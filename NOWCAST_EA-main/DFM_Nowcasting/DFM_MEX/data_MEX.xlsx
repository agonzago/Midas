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"/>
    </mc:Choice>
  </mc:AlternateContent>
  <xr:revisionPtr revIDLastSave="0" documentId="13_ncr:1_{137EDBBE-DA38-4554-9229-54A48E4E5454}" xr6:coauthVersionLast="44" xr6:coauthVersionMax="44" xr10:uidLastSave="{00000000-0000-0000-0000-000000000000}"/>
  <bookViews>
    <workbookView xWindow="1560" yWindow="1050" windowWidth="23535" windowHeight="15150" activeTab="3" xr2:uid="{FB2BAC06-C1A8-4B7A-8C4A-07CE58D2F014}"/>
  </bookViews>
  <sheets>
    <sheet name="Haver_M" sheetId="1" r:id="rId1"/>
    <sheet name="Haver_Q" sheetId="2" r:id="rId2"/>
    <sheet name="Bloomberg_m" sheetId="6" r:id="rId3"/>
    <sheet name="data" sheetId="5" r:id="rId4"/>
  </sheets>
  <definedNames>
    <definedName name="_DLX1.USE">Haver_M!$A$2:$HG$5</definedName>
    <definedName name="_DLX2.USE">Haver_Q!$A$2:$CL$5</definedName>
    <definedName name="EdssBatch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7" i="6" l="1"/>
  <c r="I17" i="6"/>
  <c r="J17" i="6"/>
  <c r="D17" i="6"/>
  <c r="F17" i="6"/>
  <c r="L17" i="6"/>
  <c r="H17" i="6"/>
  <c r="K17" i="6"/>
  <c r="E17" i="6"/>
  <c r="B17" i="6"/>
  <c r="L14" i="6"/>
  <c r="K14" i="6"/>
  <c r="J14" i="6"/>
  <c r="I14" i="6"/>
  <c r="H14" i="6"/>
  <c r="G14" i="6"/>
  <c r="F14" i="6"/>
  <c r="E14" i="6"/>
  <c r="D14" i="6"/>
  <c r="L9" i="6"/>
  <c r="K9" i="6"/>
  <c r="J9" i="6"/>
  <c r="I9" i="6"/>
  <c r="H9" i="6"/>
  <c r="G9" i="6"/>
  <c r="F9" i="6"/>
  <c r="E9" i="6"/>
  <c r="D9" i="6"/>
  <c r="L8" i="6"/>
  <c r="K8" i="6"/>
  <c r="J8" i="6"/>
  <c r="I8" i="6"/>
  <c r="H8" i="6"/>
  <c r="G8" i="6"/>
  <c r="F8" i="6"/>
  <c r="E8" i="6"/>
  <c r="D8" i="6"/>
  <c r="L7" i="6"/>
  <c r="K7" i="6"/>
  <c r="J7" i="6"/>
  <c r="I7" i="6"/>
  <c r="H7" i="6"/>
  <c r="G7" i="6"/>
  <c r="F7" i="6"/>
  <c r="E7" i="6"/>
  <c r="D7" i="6"/>
  <c r="L5" i="6"/>
  <c r="K5" i="6"/>
  <c r="J5" i="6"/>
  <c r="I5" i="6"/>
  <c r="H5" i="6"/>
  <c r="G5" i="6"/>
  <c r="F5" i="6"/>
  <c r="E5" i="6"/>
  <c r="D5" i="6"/>
  <c r="D4" i="6"/>
  <c r="E4" i="6" s="1"/>
  <c r="F4" i="6" s="1"/>
  <c r="G4" i="6" s="1"/>
  <c r="H4" i="6" s="1"/>
  <c r="I4" i="6" s="1"/>
  <c r="J4" i="6" s="1"/>
  <c r="K4" i="6" s="1"/>
  <c r="L4" i="6" s="1"/>
  <c r="F16" i="6"/>
  <c r="H15" i="6"/>
  <c r="D15" i="6"/>
  <c r="E16" i="6"/>
  <c r="G15" i="6"/>
  <c r="J16" i="6"/>
  <c r="L16" i="6"/>
  <c r="D16" i="6"/>
  <c r="F15" i="6"/>
  <c r="L15" i="6"/>
  <c r="G16" i="6"/>
  <c r="K16" i="6"/>
  <c r="C16" i="6"/>
  <c r="E15" i="6"/>
  <c r="I15" i="6"/>
  <c r="I16" i="6"/>
  <c r="K15" i="6"/>
  <c r="C15" i="6"/>
  <c r="H16" i="6"/>
  <c r="J15" i="6"/>
  <c r="M3" i="5" l="1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AY84" i="5"/>
  <c r="AZ84" i="5"/>
  <c r="BA84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AZ85" i="5"/>
  <c r="BA85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AY86" i="5"/>
  <c r="AZ86" i="5"/>
  <c r="BA86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AY87" i="5"/>
  <c r="AZ87" i="5"/>
  <c r="BA87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AY88" i="5"/>
  <c r="AZ88" i="5"/>
  <c r="BA88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AZ89" i="5"/>
  <c r="BA89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AZ90" i="5"/>
  <c r="BA90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AY91" i="5"/>
  <c r="AZ91" i="5"/>
  <c r="BA91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AY92" i="5"/>
  <c r="AZ92" i="5"/>
  <c r="BA92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AY93" i="5"/>
  <c r="AZ93" i="5"/>
  <c r="BA93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AU94" i="5"/>
  <c r="AV94" i="5"/>
  <c r="AW94" i="5"/>
  <c r="AX94" i="5"/>
  <c r="AY94" i="5"/>
  <c r="AZ94" i="5"/>
  <c r="BA94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AY95" i="5"/>
  <c r="AZ95" i="5"/>
  <c r="BA95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AZ98" i="5"/>
  <c r="BA98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Y99" i="5"/>
  <c r="AZ99" i="5"/>
  <c r="BA99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AY100" i="5"/>
  <c r="AZ100" i="5"/>
  <c r="BA100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AY101" i="5"/>
  <c r="AZ101" i="5"/>
  <c r="BA101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Y102" i="5"/>
  <c r="AZ102" i="5"/>
  <c r="BA102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AZ104" i="5"/>
  <c r="BA104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AZ105" i="5"/>
  <c r="BA105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X106" i="5"/>
  <c r="AY106" i="5"/>
  <c r="AZ106" i="5"/>
  <c r="BA106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X107" i="5"/>
  <c r="AY107" i="5"/>
  <c r="AZ107" i="5"/>
  <c r="BA107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AY108" i="5"/>
  <c r="AZ108" i="5"/>
  <c r="BA108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X109" i="5"/>
  <c r="AY109" i="5"/>
  <c r="AZ109" i="5"/>
  <c r="BA109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AY110" i="5"/>
  <c r="AZ110" i="5"/>
  <c r="BA110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X111" i="5"/>
  <c r="AY111" i="5"/>
  <c r="AZ111" i="5"/>
  <c r="BA111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R112" i="5"/>
  <c r="AS112" i="5"/>
  <c r="AT112" i="5"/>
  <c r="AU112" i="5"/>
  <c r="AV112" i="5"/>
  <c r="AW112" i="5"/>
  <c r="AX112" i="5"/>
  <c r="AY112" i="5"/>
  <c r="AZ112" i="5"/>
  <c r="BA112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AZ113" i="5"/>
  <c r="BA113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X114" i="5"/>
  <c r="AY114" i="5"/>
  <c r="AZ114" i="5"/>
  <c r="BA114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AU115" i="5"/>
  <c r="AV115" i="5"/>
  <c r="AW115" i="5"/>
  <c r="AX115" i="5"/>
  <c r="AY115" i="5"/>
  <c r="AZ115" i="5"/>
  <c r="BA115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AY116" i="5"/>
  <c r="AZ116" i="5"/>
  <c r="BA116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AY117" i="5"/>
  <c r="AZ117" i="5"/>
  <c r="BA117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AU118" i="5"/>
  <c r="AV118" i="5"/>
  <c r="AW118" i="5"/>
  <c r="AX118" i="5"/>
  <c r="AY118" i="5"/>
  <c r="AZ118" i="5"/>
  <c r="BA118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AU119" i="5"/>
  <c r="AV119" i="5"/>
  <c r="AW119" i="5"/>
  <c r="AX119" i="5"/>
  <c r="AY119" i="5"/>
  <c r="AZ119" i="5"/>
  <c r="BA119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X120" i="5"/>
  <c r="AY120" i="5"/>
  <c r="AZ120" i="5"/>
  <c r="BA120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AU121" i="5"/>
  <c r="AV121" i="5"/>
  <c r="AW121" i="5"/>
  <c r="AX121" i="5"/>
  <c r="AY121" i="5"/>
  <c r="AZ121" i="5"/>
  <c r="BA121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AY122" i="5"/>
  <c r="AZ122" i="5"/>
  <c r="BA122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AU123" i="5"/>
  <c r="AV123" i="5"/>
  <c r="AW123" i="5"/>
  <c r="AX123" i="5"/>
  <c r="AY123" i="5"/>
  <c r="AZ123" i="5"/>
  <c r="BA123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AY124" i="5"/>
  <c r="AZ124" i="5"/>
  <c r="BA124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AU125" i="5"/>
  <c r="AV125" i="5"/>
  <c r="AW125" i="5"/>
  <c r="AX125" i="5"/>
  <c r="AY125" i="5"/>
  <c r="AZ125" i="5"/>
  <c r="BA125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AU126" i="5"/>
  <c r="AV126" i="5"/>
  <c r="AW126" i="5"/>
  <c r="AX126" i="5"/>
  <c r="AY126" i="5"/>
  <c r="AZ126" i="5"/>
  <c r="BA126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AZ127" i="5"/>
  <c r="BA127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AZ128" i="5"/>
  <c r="BA128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AU129" i="5"/>
  <c r="AV129" i="5"/>
  <c r="AW129" i="5"/>
  <c r="AX129" i="5"/>
  <c r="AY129" i="5"/>
  <c r="AZ129" i="5"/>
  <c r="BA129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R130" i="5"/>
  <c r="AS130" i="5"/>
  <c r="AT130" i="5"/>
  <c r="AU130" i="5"/>
  <c r="AV130" i="5"/>
  <c r="AW130" i="5"/>
  <c r="AX130" i="5"/>
  <c r="AY130" i="5"/>
  <c r="AZ130" i="5"/>
  <c r="BA130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AU131" i="5"/>
  <c r="AV131" i="5"/>
  <c r="AW131" i="5"/>
  <c r="AX131" i="5"/>
  <c r="AY131" i="5"/>
  <c r="AZ131" i="5"/>
  <c r="BA131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AU132" i="5"/>
  <c r="AV132" i="5"/>
  <c r="AW132" i="5"/>
  <c r="AX132" i="5"/>
  <c r="AY132" i="5"/>
  <c r="AZ132" i="5"/>
  <c r="BA132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R133" i="5"/>
  <c r="AS133" i="5"/>
  <c r="AT133" i="5"/>
  <c r="AU133" i="5"/>
  <c r="AV133" i="5"/>
  <c r="AW133" i="5"/>
  <c r="AX133" i="5"/>
  <c r="AY133" i="5"/>
  <c r="AZ133" i="5"/>
  <c r="BA133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AU134" i="5"/>
  <c r="AV134" i="5"/>
  <c r="AW134" i="5"/>
  <c r="AX134" i="5"/>
  <c r="AY134" i="5"/>
  <c r="AZ134" i="5"/>
  <c r="BA134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AU135" i="5"/>
  <c r="AV135" i="5"/>
  <c r="AW135" i="5"/>
  <c r="AX135" i="5"/>
  <c r="AY135" i="5"/>
  <c r="AZ135" i="5"/>
  <c r="BA135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R136" i="5"/>
  <c r="AS136" i="5"/>
  <c r="AT136" i="5"/>
  <c r="AU136" i="5"/>
  <c r="AV136" i="5"/>
  <c r="AW136" i="5"/>
  <c r="AX136" i="5"/>
  <c r="AY136" i="5"/>
  <c r="AZ136" i="5"/>
  <c r="BA136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AU137" i="5"/>
  <c r="AV137" i="5"/>
  <c r="AW137" i="5"/>
  <c r="AX137" i="5"/>
  <c r="AY137" i="5"/>
  <c r="AZ137" i="5"/>
  <c r="BA137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AU138" i="5"/>
  <c r="AV138" i="5"/>
  <c r="AW138" i="5"/>
  <c r="AX138" i="5"/>
  <c r="AY138" i="5"/>
  <c r="AZ138" i="5"/>
  <c r="BA138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AR139" i="5"/>
  <c r="AS139" i="5"/>
  <c r="AT139" i="5"/>
  <c r="AU139" i="5"/>
  <c r="AV139" i="5"/>
  <c r="AW139" i="5"/>
  <c r="AX139" i="5"/>
  <c r="AY139" i="5"/>
  <c r="AZ139" i="5"/>
  <c r="BA139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AS140" i="5"/>
  <c r="AT140" i="5"/>
  <c r="AU140" i="5"/>
  <c r="AV140" i="5"/>
  <c r="AW140" i="5"/>
  <c r="AX140" i="5"/>
  <c r="AY140" i="5"/>
  <c r="AZ140" i="5"/>
  <c r="BA140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R141" i="5"/>
  <c r="AS141" i="5"/>
  <c r="AT141" i="5"/>
  <c r="AU141" i="5"/>
  <c r="AV141" i="5"/>
  <c r="AW141" i="5"/>
  <c r="AX141" i="5"/>
  <c r="AY141" i="5"/>
  <c r="AZ141" i="5"/>
  <c r="BA141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AR142" i="5"/>
  <c r="AS142" i="5"/>
  <c r="AT142" i="5"/>
  <c r="AU142" i="5"/>
  <c r="AV142" i="5"/>
  <c r="AW142" i="5"/>
  <c r="AX142" i="5"/>
  <c r="AY142" i="5"/>
  <c r="AZ142" i="5"/>
  <c r="BA142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R143" i="5"/>
  <c r="AS143" i="5"/>
  <c r="AT143" i="5"/>
  <c r="AU143" i="5"/>
  <c r="AV143" i="5"/>
  <c r="AW143" i="5"/>
  <c r="AX143" i="5"/>
  <c r="AY143" i="5"/>
  <c r="AZ143" i="5"/>
  <c r="BA143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R144" i="5"/>
  <c r="AS144" i="5"/>
  <c r="AT144" i="5"/>
  <c r="AU144" i="5"/>
  <c r="AV144" i="5"/>
  <c r="AW144" i="5"/>
  <c r="AX144" i="5"/>
  <c r="AY144" i="5"/>
  <c r="AZ144" i="5"/>
  <c r="BA144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AR145" i="5"/>
  <c r="AS145" i="5"/>
  <c r="AT145" i="5"/>
  <c r="AU145" i="5"/>
  <c r="AV145" i="5"/>
  <c r="AW145" i="5"/>
  <c r="AX145" i="5"/>
  <c r="AY145" i="5"/>
  <c r="AZ145" i="5"/>
  <c r="BA145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AU146" i="5"/>
  <c r="AV146" i="5"/>
  <c r="AW146" i="5"/>
  <c r="AX146" i="5"/>
  <c r="AY146" i="5"/>
  <c r="AZ146" i="5"/>
  <c r="BA146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R147" i="5"/>
  <c r="AS147" i="5"/>
  <c r="AT147" i="5"/>
  <c r="AU147" i="5"/>
  <c r="AV147" i="5"/>
  <c r="AW147" i="5"/>
  <c r="AX147" i="5"/>
  <c r="AY147" i="5"/>
  <c r="AZ147" i="5"/>
  <c r="BA147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AQ148" i="5"/>
  <c r="AR148" i="5"/>
  <c r="AS148" i="5"/>
  <c r="AT148" i="5"/>
  <c r="AU148" i="5"/>
  <c r="AV148" i="5"/>
  <c r="AW148" i="5"/>
  <c r="AX148" i="5"/>
  <c r="AY148" i="5"/>
  <c r="AZ148" i="5"/>
  <c r="BA148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AR149" i="5"/>
  <c r="AS149" i="5"/>
  <c r="AT149" i="5"/>
  <c r="AU149" i="5"/>
  <c r="AV149" i="5"/>
  <c r="AW149" i="5"/>
  <c r="AX149" i="5"/>
  <c r="AY149" i="5"/>
  <c r="AZ149" i="5"/>
  <c r="BA149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AR150" i="5"/>
  <c r="AS150" i="5"/>
  <c r="AT150" i="5"/>
  <c r="AU150" i="5"/>
  <c r="AV150" i="5"/>
  <c r="AW150" i="5"/>
  <c r="AX150" i="5"/>
  <c r="AY150" i="5"/>
  <c r="AZ150" i="5"/>
  <c r="BA150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AQ151" i="5"/>
  <c r="AR151" i="5"/>
  <c r="AS151" i="5"/>
  <c r="AT151" i="5"/>
  <c r="AU151" i="5"/>
  <c r="AV151" i="5"/>
  <c r="AW151" i="5"/>
  <c r="AX151" i="5"/>
  <c r="AY151" i="5"/>
  <c r="AZ151" i="5"/>
  <c r="BA151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R152" i="5"/>
  <c r="AS152" i="5"/>
  <c r="AT152" i="5"/>
  <c r="AU152" i="5"/>
  <c r="AV152" i="5"/>
  <c r="AW152" i="5"/>
  <c r="AX152" i="5"/>
  <c r="AY152" i="5"/>
  <c r="AZ152" i="5"/>
  <c r="BA152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AR153" i="5"/>
  <c r="AS153" i="5"/>
  <c r="AT153" i="5"/>
  <c r="AU153" i="5"/>
  <c r="AV153" i="5"/>
  <c r="AW153" i="5"/>
  <c r="AX153" i="5"/>
  <c r="AY153" i="5"/>
  <c r="AZ153" i="5"/>
  <c r="BA153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AJ154" i="5"/>
  <c r="AK154" i="5"/>
  <c r="AL154" i="5"/>
  <c r="AM154" i="5"/>
  <c r="AN154" i="5"/>
  <c r="AO154" i="5"/>
  <c r="AP154" i="5"/>
  <c r="AQ154" i="5"/>
  <c r="AR154" i="5"/>
  <c r="AS154" i="5"/>
  <c r="AT154" i="5"/>
  <c r="AU154" i="5"/>
  <c r="AV154" i="5"/>
  <c r="AW154" i="5"/>
  <c r="AX154" i="5"/>
  <c r="AY154" i="5"/>
  <c r="AZ154" i="5"/>
  <c r="BA154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AH155" i="5"/>
  <c r="AI155" i="5"/>
  <c r="AJ155" i="5"/>
  <c r="AK155" i="5"/>
  <c r="AL155" i="5"/>
  <c r="AM155" i="5"/>
  <c r="AN155" i="5"/>
  <c r="AO155" i="5"/>
  <c r="AP155" i="5"/>
  <c r="AQ155" i="5"/>
  <c r="AR155" i="5"/>
  <c r="AS155" i="5"/>
  <c r="AT155" i="5"/>
  <c r="AU155" i="5"/>
  <c r="AV155" i="5"/>
  <c r="AW155" i="5"/>
  <c r="AX155" i="5"/>
  <c r="AY155" i="5"/>
  <c r="AZ155" i="5"/>
  <c r="BA155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AH156" i="5"/>
  <c r="AI156" i="5"/>
  <c r="AJ156" i="5"/>
  <c r="AK156" i="5"/>
  <c r="AL156" i="5"/>
  <c r="AM156" i="5"/>
  <c r="AN156" i="5"/>
  <c r="AO156" i="5"/>
  <c r="AP156" i="5"/>
  <c r="AQ156" i="5"/>
  <c r="AR156" i="5"/>
  <c r="AS156" i="5"/>
  <c r="AT156" i="5"/>
  <c r="AU156" i="5"/>
  <c r="AV156" i="5"/>
  <c r="AW156" i="5"/>
  <c r="AX156" i="5"/>
  <c r="AY156" i="5"/>
  <c r="AZ156" i="5"/>
  <c r="BA156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AG157" i="5"/>
  <c r="AH157" i="5"/>
  <c r="AI157" i="5"/>
  <c r="AJ157" i="5"/>
  <c r="AK157" i="5"/>
  <c r="AL157" i="5"/>
  <c r="AM157" i="5"/>
  <c r="AN157" i="5"/>
  <c r="AO157" i="5"/>
  <c r="AP157" i="5"/>
  <c r="AQ157" i="5"/>
  <c r="AR157" i="5"/>
  <c r="AS157" i="5"/>
  <c r="AT157" i="5"/>
  <c r="AU157" i="5"/>
  <c r="AV157" i="5"/>
  <c r="AW157" i="5"/>
  <c r="AX157" i="5"/>
  <c r="AY157" i="5"/>
  <c r="AZ157" i="5"/>
  <c r="BA157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AH158" i="5"/>
  <c r="AI158" i="5"/>
  <c r="AJ158" i="5"/>
  <c r="AK158" i="5"/>
  <c r="AL158" i="5"/>
  <c r="AM158" i="5"/>
  <c r="AN158" i="5"/>
  <c r="AO158" i="5"/>
  <c r="AP158" i="5"/>
  <c r="AQ158" i="5"/>
  <c r="AR158" i="5"/>
  <c r="AS158" i="5"/>
  <c r="AT158" i="5"/>
  <c r="AU158" i="5"/>
  <c r="AV158" i="5"/>
  <c r="AW158" i="5"/>
  <c r="AX158" i="5"/>
  <c r="AY158" i="5"/>
  <c r="AZ158" i="5"/>
  <c r="BA158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AH159" i="5"/>
  <c r="AI159" i="5"/>
  <c r="AJ159" i="5"/>
  <c r="AK159" i="5"/>
  <c r="AL159" i="5"/>
  <c r="AM159" i="5"/>
  <c r="AN159" i="5"/>
  <c r="AO159" i="5"/>
  <c r="AP159" i="5"/>
  <c r="AQ159" i="5"/>
  <c r="AR159" i="5"/>
  <c r="AS159" i="5"/>
  <c r="AT159" i="5"/>
  <c r="AU159" i="5"/>
  <c r="AV159" i="5"/>
  <c r="AW159" i="5"/>
  <c r="AX159" i="5"/>
  <c r="AY159" i="5"/>
  <c r="AZ159" i="5"/>
  <c r="BA159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AG160" i="5"/>
  <c r="AH160" i="5"/>
  <c r="AI160" i="5"/>
  <c r="AJ160" i="5"/>
  <c r="AK160" i="5"/>
  <c r="AL160" i="5"/>
  <c r="AM160" i="5"/>
  <c r="AN160" i="5"/>
  <c r="AO160" i="5"/>
  <c r="AP160" i="5"/>
  <c r="AQ160" i="5"/>
  <c r="AR160" i="5"/>
  <c r="AS160" i="5"/>
  <c r="AT160" i="5"/>
  <c r="AU160" i="5"/>
  <c r="AV160" i="5"/>
  <c r="AW160" i="5"/>
  <c r="AX160" i="5"/>
  <c r="AY160" i="5"/>
  <c r="AZ160" i="5"/>
  <c r="BA160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AG161" i="5"/>
  <c r="AH161" i="5"/>
  <c r="AI161" i="5"/>
  <c r="AJ161" i="5"/>
  <c r="AK161" i="5"/>
  <c r="AL161" i="5"/>
  <c r="AM161" i="5"/>
  <c r="AN161" i="5"/>
  <c r="AO161" i="5"/>
  <c r="AP161" i="5"/>
  <c r="AQ161" i="5"/>
  <c r="AR161" i="5"/>
  <c r="AS161" i="5"/>
  <c r="AT161" i="5"/>
  <c r="AU161" i="5"/>
  <c r="AV161" i="5"/>
  <c r="AW161" i="5"/>
  <c r="AX161" i="5"/>
  <c r="AY161" i="5"/>
  <c r="AZ161" i="5"/>
  <c r="BA161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AG162" i="5"/>
  <c r="AH162" i="5"/>
  <c r="AI162" i="5"/>
  <c r="AJ162" i="5"/>
  <c r="AK162" i="5"/>
  <c r="AL162" i="5"/>
  <c r="AM162" i="5"/>
  <c r="AN162" i="5"/>
  <c r="AO162" i="5"/>
  <c r="AP162" i="5"/>
  <c r="AQ162" i="5"/>
  <c r="AR162" i="5"/>
  <c r="AS162" i="5"/>
  <c r="AT162" i="5"/>
  <c r="AU162" i="5"/>
  <c r="AV162" i="5"/>
  <c r="AW162" i="5"/>
  <c r="AX162" i="5"/>
  <c r="AY162" i="5"/>
  <c r="AZ162" i="5"/>
  <c r="BA162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AG163" i="5"/>
  <c r="AH163" i="5"/>
  <c r="AI163" i="5"/>
  <c r="AJ163" i="5"/>
  <c r="AK163" i="5"/>
  <c r="AL163" i="5"/>
  <c r="AM163" i="5"/>
  <c r="AN163" i="5"/>
  <c r="AO163" i="5"/>
  <c r="AP163" i="5"/>
  <c r="AQ163" i="5"/>
  <c r="AR163" i="5"/>
  <c r="AS163" i="5"/>
  <c r="AT163" i="5"/>
  <c r="AU163" i="5"/>
  <c r="AV163" i="5"/>
  <c r="AW163" i="5"/>
  <c r="AX163" i="5"/>
  <c r="AY163" i="5"/>
  <c r="AZ163" i="5"/>
  <c r="BA163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AH164" i="5"/>
  <c r="AI164" i="5"/>
  <c r="AJ164" i="5"/>
  <c r="AK164" i="5"/>
  <c r="AL164" i="5"/>
  <c r="AM164" i="5"/>
  <c r="AN164" i="5"/>
  <c r="AO164" i="5"/>
  <c r="AP164" i="5"/>
  <c r="AQ164" i="5"/>
  <c r="AR164" i="5"/>
  <c r="AS164" i="5"/>
  <c r="AT164" i="5"/>
  <c r="AU164" i="5"/>
  <c r="AV164" i="5"/>
  <c r="AW164" i="5"/>
  <c r="AX164" i="5"/>
  <c r="AY164" i="5"/>
  <c r="AZ164" i="5"/>
  <c r="BA164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AG165" i="5"/>
  <c r="AH165" i="5"/>
  <c r="AI165" i="5"/>
  <c r="AJ165" i="5"/>
  <c r="AK165" i="5"/>
  <c r="AL165" i="5"/>
  <c r="AM165" i="5"/>
  <c r="AN165" i="5"/>
  <c r="AO165" i="5"/>
  <c r="AP165" i="5"/>
  <c r="AQ165" i="5"/>
  <c r="AR165" i="5"/>
  <c r="AS165" i="5"/>
  <c r="AT165" i="5"/>
  <c r="AU165" i="5"/>
  <c r="AV165" i="5"/>
  <c r="AW165" i="5"/>
  <c r="AX165" i="5"/>
  <c r="AY165" i="5"/>
  <c r="AZ165" i="5"/>
  <c r="BA165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AG166" i="5"/>
  <c r="AH166" i="5"/>
  <c r="AI166" i="5"/>
  <c r="AJ166" i="5"/>
  <c r="AK166" i="5"/>
  <c r="AL166" i="5"/>
  <c r="AM166" i="5"/>
  <c r="AN166" i="5"/>
  <c r="AO166" i="5"/>
  <c r="AP166" i="5"/>
  <c r="AQ166" i="5"/>
  <c r="AR166" i="5"/>
  <c r="AS166" i="5"/>
  <c r="AT166" i="5"/>
  <c r="AU166" i="5"/>
  <c r="AV166" i="5"/>
  <c r="AW166" i="5"/>
  <c r="AX166" i="5"/>
  <c r="AY166" i="5"/>
  <c r="AZ166" i="5"/>
  <c r="BA166" i="5"/>
  <c r="M167" i="5"/>
  <c r="N167" i="5"/>
  <c r="O167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AG167" i="5"/>
  <c r="AH167" i="5"/>
  <c r="AI167" i="5"/>
  <c r="AJ167" i="5"/>
  <c r="AK167" i="5"/>
  <c r="AL167" i="5"/>
  <c r="AM167" i="5"/>
  <c r="AN167" i="5"/>
  <c r="AO167" i="5"/>
  <c r="AP167" i="5"/>
  <c r="AQ167" i="5"/>
  <c r="AR167" i="5"/>
  <c r="AS167" i="5"/>
  <c r="AT167" i="5"/>
  <c r="AU167" i="5"/>
  <c r="AV167" i="5"/>
  <c r="AW167" i="5"/>
  <c r="AX167" i="5"/>
  <c r="AY167" i="5"/>
  <c r="AZ167" i="5"/>
  <c r="BA167" i="5"/>
  <c r="M168" i="5"/>
  <c r="N168" i="5"/>
  <c r="O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AG168" i="5"/>
  <c r="AH168" i="5"/>
  <c r="AI168" i="5"/>
  <c r="AJ168" i="5"/>
  <c r="AK168" i="5"/>
  <c r="AL168" i="5"/>
  <c r="AM168" i="5"/>
  <c r="AN168" i="5"/>
  <c r="AO168" i="5"/>
  <c r="AP168" i="5"/>
  <c r="AQ168" i="5"/>
  <c r="AR168" i="5"/>
  <c r="AS168" i="5"/>
  <c r="AT168" i="5"/>
  <c r="AU168" i="5"/>
  <c r="AV168" i="5"/>
  <c r="AW168" i="5"/>
  <c r="AX168" i="5"/>
  <c r="AY168" i="5"/>
  <c r="AZ168" i="5"/>
  <c r="BA168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AG169" i="5"/>
  <c r="AH169" i="5"/>
  <c r="AI169" i="5"/>
  <c r="AJ169" i="5"/>
  <c r="AK169" i="5"/>
  <c r="AL169" i="5"/>
  <c r="AM169" i="5"/>
  <c r="AN169" i="5"/>
  <c r="AO169" i="5"/>
  <c r="AP169" i="5"/>
  <c r="AQ169" i="5"/>
  <c r="AR169" i="5"/>
  <c r="AS169" i="5"/>
  <c r="AT169" i="5"/>
  <c r="AU169" i="5"/>
  <c r="AV169" i="5"/>
  <c r="AW169" i="5"/>
  <c r="AX169" i="5"/>
  <c r="AY169" i="5"/>
  <c r="AZ169" i="5"/>
  <c r="BA169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AG170" i="5"/>
  <c r="AH170" i="5"/>
  <c r="AI170" i="5"/>
  <c r="AJ170" i="5"/>
  <c r="AK170" i="5"/>
  <c r="AL170" i="5"/>
  <c r="AM170" i="5"/>
  <c r="AN170" i="5"/>
  <c r="AO170" i="5"/>
  <c r="AP170" i="5"/>
  <c r="AQ170" i="5"/>
  <c r="AR170" i="5"/>
  <c r="AS170" i="5"/>
  <c r="AT170" i="5"/>
  <c r="AU170" i="5"/>
  <c r="AV170" i="5"/>
  <c r="AW170" i="5"/>
  <c r="AX170" i="5"/>
  <c r="AY170" i="5"/>
  <c r="AZ170" i="5"/>
  <c r="BA170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AG171" i="5"/>
  <c r="AH171" i="5"/>
  <c r="AI171" i="5"/>
  <c r="AJ171" i="5"/>
  <c r="AK171" i="5"/>
  <c r="AL171" i="5"/>
  <c r="AM171" i="5"/>
  <c r="AN171" i="5"/>
  <c r="AO171" i="5"/>
  <c r="AP171" i="5"/>
  <c r="AQ171" i="5"/>
  <c r="AR171" i="5"/>
  <c r="AS171" i="5"/>
  <c r="AT171" i="5"/>
  <c r="AU171" i="5"/>
  <c r="AV171" i="5"/>
  <c r="AW171" i="5"/>
  <c r="AX171" i="5"/>
  <c r="AY171" i="5"/>
  <c r="AZ171" i="5"/>
  <c r="BA171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AG172" i="5"/>
  <c r="AH172" i="5"/>
  <c r="AI172" i="5"/>
  <c r="AJ172" i="5"/>
  <c r="AK172" i="5"/>
  <c r="AL172" i="5"/>
  <c r="AM172" i="5"/>
  <c r="AN172" i="5"/>
  <c r="AO172" i="5"/>
  <c r="AP172" i="5"/>
  <c r="AQ172" i="5"/>
  <c r="AR172" i="5"/>
  <c r="AS172" i="5"/>
  <c r="AT172" i="5"/>
  <c r="AU172" i="5"/>
  <c r="AV172" i="5"/>
  <c r="AW172" i="5"/>
  <c r="AX172" i="5"/>
  <c r="AY172" i="5"/>
  <c r="AZ172" i="5"/>
  <c r="BA172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AG173" i="5"/>
  <c r="AH173" i="5"/>
  <c r="AI173" i="5"/>
  <c r="AJ173" i="5"/>
  <c r="AK173" i="5"/>
  <c r="AL173" i="5"/>
  <c r="AM173" i="5"/>
  <c r="AN173" i="5"/>
  <c r="AO173" i="5"/>
  <c r="AP173" i="5"/>
  <c r="AQ173" i="5"/>
  <c r="AR173" i="5"/>
  <c r="AS173" i="5"/>
  <c r="AT173" i="5"/>
  <c r="AU173" i="5"/>
  <c r="AV173" i="5"/>
  <c r="AW173" i="5"/>
  <c r="AX173" i="5"/>
  <c r="AY173" i="5"/>
  <c r="AZ173" i="5"/>
  <c r="BA173" i="5"/>
  <c r="M174" i="5"/>
  <c r="N174" i="5"/>
  <c r="O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AG174" i="5"/>
  <c r="AH174" i="5"/>
  <c r="AI174" i="5"/>
  <c r="AJ174" i="5"/>
  <c r="AK174" i="5"/>
  <c r="AL174" i="5"/>
  <c r="AM174" i="5"/>
  <c r="AN174" i="5"/>
  <c r="AO174" i="5"/>
  <c r="AP174" i="5"/>
  <c r="AQ174" i="5"/>
  <c r="AR174" i="5"/>
  <c r="AS174" i="5"/>
  <c r="AT174" i="5"/>
  <c r="AU174" i="5"/>
  <c r="AV174" i="5"/>
  <c r="AW174" i="5"/>
  <c r="AX174" i="5"/>
  <c r="AY174" i="5"/>
  <c r="AZ174" i="5"/>
  <c r="BA174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AG175" i="5"/>
  <c r="AH175" i="5"/>
  <c r="AI175" i="5"/>
  <c r="AJ175" i="5"/>
  <c r="AK175" i="5"/>
  <c r="AL175" i="5"/>
  <c r="AM175" i="5"/>
  <c r="AN175" i="5"/>
  <c r="AO175" i="5"/>
  <c r="AP175" i="5"/>
  <c r="AQ175" i="5"/>
  <c r="AR175" i="5"/>
  <c r="AS175" i="5"/>
  <c r="AT175" i="5"/>
  <c r="AU175" i="5"/>
  <c r="AV175" i="5"/>
  <c r="AW175" i="5"/>
  <c r="AX175" i="5"/>
  <c r="AY175" i="5"/>
  <c r="AZ175" i="5"/>
  <c r="BA175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AG176" i="5"/>
  <c r="AH176" i="5"/>
  <c r="AI176" i="5"/>
  <c r="AJ176" i="5"/>
  <c r="AK176" i="5"/>
  <c r="AL176" i="5"/>
  <c r="AM176" i="5"/>
  <c r="AN176" i="5"/>
  <c r="AO176" i="5"/>
  <c r="AP176" i="5"/>
  <c r="AQ176" i="5"/>
  <c r="AR176" i="5"/>
  <c r="AS176" i="5"/>
  <c r="AT176" i="5"/>
  <c r="AU176" i="5"/>
  <c r="AV176" i="5"/>
  <c r="AW176" i="5"/>
  <c r="AX176" i="5"/>
  <c r="AY176" i="5"/>
  <c r="AZ176" i="5"/>
  <c r="BA176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AG177" i="5"/>
  <c r="AH177" i="5"/>
  <c r="AI177" i="5"/>
  <c r="AJ177" i="5"/>
  <c r="AK177" i="5"/>
  <c r="AL177" i="5"/>
  <c r="AM177" i="5"/>
  <c r="AN177" i="5"/>
  <c r="AO177" i="5"/>
  <c r="AP177" i="5"/>
  <c r="AQ177" i="5"/>
  <c r="AR177" i="5"/>
  <c r="AS177" i="5"/>
  <c r="AT177" i="5"/>
  <c r="AU177" i="5"/>
  <c r="AV177" i="5"/>
  <c r="AW177" i="5"/>
  <c r="AX177" i="5"/>
  <c r="AY177" i="5"/>
  <c r="AZ177" i="5"/>
  <c r="BA177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AG178" i="5"/>
  <c r="AH178" i="5"/>
  <c r="AI178" i="5"/>
  <c r="AJ178" i="5"/>
  <c r="AK178" i="5"/>
  <c r="AL178" i="5"/>
  <c r="AM178" i="5"/>
  <c r="AN178" i="5"/>
  <c r="AO178" i="5"/>
  <c r="AP178" i="5"/>
  <c r="AQ178" i="5"/>
  <c r="AR178" i="5"/>
  <c r="AS178" i="5"/>
  <c r="AT178" i="5"/>
  <c r="AU178" i="5"/>
  <c r="AV178" i="5"/>
  <c r="AW178" i="5"/>
  <c r="AX178" i="5"/>
  <c r="AY178" i="5"/>
  <c r="AZ178" i="5"/>
  <c r="BA178" i="5"/>
  <c r="M179" i="5"/>
  <c r="N179" i="5"/>
  <c r="O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AG179" i="5"/>
  <c r="AH179" i="5"/>
  <c r="AI179" i="5"/>
  <c r="AJ179" i="5"/>
  <c r="AK179" i="5"/>
  <c r="AL179" i="5"/>
  <c r="AM179" i="5"/>
  <c r="AN179" i="5"/>
  <c r="AO179" i="5"/>
  <c r="AP179" i="5"/>
  <c r="AQ179" i="5"/>
  <c r="AR179" i="5"/>
  <c r="AS179" i="5"/>
  <c r="AT179" i="5"/>
  <c r="AU179" i="5"/>
  <c r="AV179" i="5"/>
  <c r="AW179" i="5"/>
  <c r="AX179" i="5"/>
  <c r="AY179" i="5"/>
  <c r="AZ179" i="5"/>
  <c r="BA179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AG180" i="5"/>
  <c r="AH180" i="5"/>
  <c r="AI180" i="5"/>
  <c r="AJ180" i="5"/>
  <c r="AK180" i="5"/>
  <c r="AL180" i="5"/>
  <c r="AM180" i="5"/>
  <c r="AN180" i="5"/>
  <c r="AO180" i="5"/>
  <c r="AP180" i="5"/>
  <c r="AQ180" i="5"/>
  <c r="AR180" i="5"/>
  <c r="AS180" i="5"/>
  <c r="AT180" i="5"/>
  <c r="AU180" i="5"/>
  <c r="AV180" i="5"/>
  <c r="AW180" i="5"/>
  <c r="AX180" i="5"/>
  <c r="AY180" i="5"/>
  <c r="AZ180" i="5"/>
  <c r="BA180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AG181" i="5"/>
  <c r="AH181" i="5"/>
  <c r="AI181" i="5"/>
  <c r="AJ181" i="5"/>
  <c r="AK181" i="5"/>
  <c r="AL181" i="5"/>
  <c r="AM181" i="5"/>
  <c r="AN181" i="5"/>
  <c r="AO181" i="5"/>
  <c r="AP181" i="5"/>
  <c r="AQ181" i="5"/>
  <c r="AR181" i="5"/>
  <c r="AS181" i="5"/>
  <c r="AT181" i="5"/>
  <c r="AU181" i="5"/>
  <c r="AV181" i="5"/>
  <c r="AW181" i="5"/>
  <c r="AX181" i="5"/>
  <c r="AY181" i="5"/>
  <c r="AZ181" i="5"/>
  <c r="BA181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AG182" i="5"/>
  <c r="AH182" i="5"/>
  <c r="AI182" i="5"/>
  <c r="AJ182" i="5"/>
  <c r="AK182" i="5"/>
  <c r="AL182" i="5"/>
  <c r="AM182" i="5"/>
  <c r="AN182" i="5"/>
  <c r="AO182" i="5"/>
  <c r="AP182" i="5"/>
  <c r="AQ182" i="5"/>
  <c r="AR182" i="5"/>
  <c r="AS182" i="5"/>
  <c r="AT182" i="5"/>
  <c r="AU182" i="5"/>
  <c r="AV182" i="5"/>
  <c r="AW182" i="5"/>
  <c r="AX182" i="5"/>
  <c r="AY182" i="5"/>
  <c r="AZ182" i="5"/>
  <c r="BA182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AH183" i="5"/>
  <c r="AI183" i="5"/>
  <c r="AJ183" i="5"/>
  <c r="AK183" i="5"/>
  <c r="AL183" i="5"/>
  <c r="AM183" i="5"/>
  <c r="AN183" i="5"/>
  <c r="AO183" i="5"/>
  <c r="AP183" i="5"/>
  <c r="AQ183" i="5"/>
  <c r="AR183" i="5"/>
  <c r="AS183" i="5"/>
  <c r="AT183" i="5"/>
  <c r="AU183" i="5"/>
  <c r="AV183" i="5"/>
  <c r="AW183" i="5"/>
  <c r="AX183" i="5"/>
  <c r="AY183" i="5"/>
  <c r="AZ183" i="5"/>
  <c r="BA183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AG184" i="5"/>
  <c r="AH184" i="5"/>
  <c r="AI184" i="5"/>
  <c r="AJ184" i="5"/>
  <c r="AK184" i="5"/>
  <c r="AL184" i="5"/>
  <c r="AM184" i="5"/>
  <c r="AN184" i="5"/>
  <c r="AO184" i="5"/>
  <c r="AP184" i="5"/>
  <c r="AQ184" i="5"/>
  <c r="AR184" i="5"/>
  <c r="AS184" i="5"/>
  <c r="AT184" i="5"/>
  <c r="AU184" i="5"/>
  <c r="AV184" i="5"/>
  <c r="AW184" i="5"/>
  <c r="AX184" i="5"/>
  <c r="AY184" i="5"/>
  <c r="AZ184" i="5"/>
  <c r="BA184" i="5"/>
  <c r="M185" i="5"/>
  <c r="N185" i="5"/>
  <c r="O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AG185" i="5"/>
  <c r="AH185" i="5"/>
  <c r="AI185" i="5"/>
  <c r="AJ185" i="5"/>
  <c r="AK185" i="5"/>
  <c r="AL185" i="5"/>
  <c r="AM185" i="5"/>
  <c r="AN185" i="5"/>
  <c r="AO185" i="5"/>
  <c r="AP185" i="5"/>
  <c r="AQ185" i="5"/>
  <c r="AR185" i="5"/>
  <c r="AS185" i="5"/>
  <c r="AT185" i="5"/>
  <c r="AU185" i="5"/>
  <c r="AV185" i="5"/>
  <c r="AW185" i="5"/>
  <c r="AX185" i="5"/>
  <c r="AY185" i="5"/>
  <c r="AZ185" i="5"/>
  <c r="BA185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AG186" i="5"/>
  <c r="AH186" i="5"/>
  <c r="AI186" i="5"/>
  <c r="AJ186" i="5"/>
  <c r="AK186" i="5"/>
  <c r="AL186" i="5"/>
  <c r="AM186" i="5"/>
  <c r="AN186" i="5"/>
  <c r="AO186" i="5"/>
  <c r="AP186" i="5"/>
  <c r="AQ186" i="5"/>
  <c r="AR186" i="5"/>
  <c r="AS186" i="5"/>
  <c r="AT186" i="5"/>
  <c r="AU186" i="5"/>
  <c r="AV186" i="5"/>
  <c r="AW186" i="5"/>
  <c r="AX186" i="5"/>
  <c r="AY186" i="5"/>
  <c r="AZ186" i="5"/>
  <c r="BA186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AG187" i="5"/>
  <c r="AH187" i="5"/>
  <c r="AI187" i="5"/>
  <c r="AJ187" i="5"/>
  <c r="AK187" i="5"/>
  <c r="AL187" i="5"/>
  <c r="AM187" i="5"/>
  <c r="AN187" i="5"/>
  <c r="AO187" i="5"/>
  <c r="AP187" i="5"/>
  <c r="AQ187" i="5"/>
  <c r="AR187" i="5"/>
  <c r="AS187" i="5"/>
  <c r="AT187" i="5"/>
  <c r="AU187" i="5"/>
  <c r="AV187" i="5"/>
  <c r="AW187" i="5"/>
  <c r="AX187" i="5"/>
  <c r="AY187" i="5"/>
  <c r="AZ187" i="5"/>
  <c r="BA187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AG188" i="5"/>
  <c r="AH188" i="5"/>
  <c r="AI188" i="5"/>
  <c r="AJ188" i="5"/>
  <c r="AK188" i="5"/>
  <c r="AL188" i="5"/>
  <c r="AM188" i="5"/>
  <c r="AN188" i="5"/>
  <c r="AO188" i="5"/>
  <c r="AP188" i="5"/>
  <c r="AQ188" i="5"/>
  <c r="AR188" i="5"/>
  <c r="AS188" i="5"/>
  <c r="AT188" i="5"/>
  <c r="AU188" i="5"/>
  <c r="AV188" i="5"/>
  <c r="AW188" i="5"/>
  <c r="AX188" i="5"/>
  <c r="AY188" i="5"/>
  <c r="AZ188" i="5"/>
  <c r="BA188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AG189" i="5"/>
  <c r="AH189" i="5"/>
  <c r="AI189" i="5"/>
  <c r="AJ189" i="5"/>
  <c r="AK189" i="5"/>
  <c r="AL189" i="5"/>
  <c r="AM189" i="5"/>
  <c r="AN189" i="5"/>
  <c r="AO189" i="5"/>
  <c r="AP189" i="5"/>
  <c r="AQ189" i="5"/>
  <c r="AR189" i="5"/>
  <c r="AS189" i="5"/>
  <c r="AT189" i="5"/>
  <c r="AU189" i="5"/>
  <c r="AV189" i="5"/>
  <c r="AW189" i="5"/>
  <c r="AX189" i="5"/>
  <c r="AY189" i="5"/>
  <c r="AZ189" i="5"/>
  <c r="BA189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AG190" i="5"/>
  <c r="AH190" i="5"/>
  <c r="AI190" i="5"/>
  <c r="AJ190" i="5"/>
  <c r="AK190" i="5"/>
  <c r="AL190" i="5"/>
  <c r="AM190" i="5"/>
  <c r="AN190" i="5"/>
  <c r="AO190" i="5"/>
  <c r="AP190" i="5"/>
  <c r="AQ190" i="5"/>
  <c r="AR190" i="5"/>
  <c r="AS190" i="5"/>
  <c r="AT190" i="5"/>
  <c r="AU190" i="5"/>
  <c r="AV190" i="5"/>
  <c r="AW190" i="5"/>
  <c r="AX190" i="5"/>
  <c r="AY190" i="5"/>
  <c r="AZ190" i="5"/>
  <c r="BA190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AG191" i="5"/>
  <c r="AH191" i="5"/>
  <c r="AI191" i="5"/>
  <c r="AJ191" i="5"/>
  <c r="AK191" i="5"/>
  <c r="AL191" i="5"/>
  <c r="AM191" i="5"/>
  <c r="AN191" i="5"/>
  <c r="AO191" i="5"/>
  <c r="AP191" i="5"/>
  <c r="AQ191" i="5"/>
  <c r="AR191" i="5"/>
  <c r="AS191" i="5"/>
  <c r="AT191" i="5"/>
  <c r="AU191" i="5"/>
  <c r="AV191" i="5"/>
  <c r="AW191" i="5"/>
  <c r="AX191" i="5"/>
  <c r="AY191" i="5"/>
  <c r="AZ191" i="5"/>
  <c r="BA191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AG192" i="5"/>
  <c r="AH192" i="5"/>
  <c r="AI192" i="5"/>
  <c r="AJ192" i="5"/>
  <c r="AK192" i="5"/>
  <c r="AL192" i="5"/>
  <c r="AM192" i="5"/>
  <c r="AN192" i="5"/>
  <c r="AO192" i="5"/>
  <c r="AP192" i="5"/>
  <c r="AQ192" i="5"/>
  <c r="AR192" i="5"/>
  <c r="AS192" i="5"/>
  <c r="AT192" i="5"/>
  <c r="AU192" i="5"/>
  <c r="AV192" i="5"/>
  <c r="AW192" i="5"/>
  <c r="AX192" i="5"/>
  <c r="AY192" i="5"/>
  <c r="AZ192" i="5"/>
  <c r="BA192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AG193" i="5"/>
  <c r="AH193" i="5"/>
  <c r="AI193" i="5"/>
  <c r="AJ193" i="5"/>
  <c r="AK193" i="5"/>
  <c r="AL193" i="5"/>
  <c r="AM193" i="5"/>
  <c r="AN193" i="5"/>
  <c r="AO193" i="5"/>
  <c r="AP193" i="5"/>
  <c r="AQ193" i="5"/>
  <c r="AR193" i="5"/>
  <c r="AS193" i="5"/>
  <c r="AT193" i="5"/>
  <c r="AU193" i="5"/>
  <c r="AV193" i="5"/>
  <c r="AW193" i="5"/>
  <c r="AX193" i="5"/>
  <c r="AY193" i="5"/>
  <c r="AZ193" i="5"/>
  <c r="BA193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AG194" i="5"/>
  <c r="AH194" i="5"/>
  <c r="AI194" i="5"/>
  <c r="AJ194" i="5"/>
  <c r="AK194" i="5"/>
  <c r="AL194" i="5"/>
  <c r="AM194" i="5"/>
  <c r="AN194" i="5"/>
  <c r="AO194" i="5"/>
  <c r="AP194" i="5"/>
  <c r="AQ194" i="5"/>
  <c r="AR194" i="5"/>
  <c r="AS194" i="5"/>
  <c r="AT194" i="5"/>
  <c r="AU194" i="5"/>
  <c r="AV194" i="5"/>
  <c r="AW194" i="5"/>
  <c r="AX194" i="5"/>
  <c r="AY194" i="5"/>
  <c r="AZ194" i="5"/>
  <c r="BA194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AG195" i="5"/>
  <c r="AH195" i="5"/>
  <c r="AI195" i="5"/>
  <c r="AJ195" i="5"/>
  <c r="AK195" i="5"/>
  <c r="AL195" i="5"/>
  <c r="AM195" i="5"/>
  <c r="AN195" i="5"/>
  <c r="AO195" i="5"/>
  <c r="AP195" i="5"/>
  <c r="AQ195" i="5"/>
  <c r="AR195" i="5"/>
  <c r="AS195" i="5"/>
  <c r="AT195" i="5"/>
  <c r="AU195" i="5"/>
  <c r="AV195" i="5"/>
  <c r="AW195" i="5"/>
  <c r="AX195" i="5"/>
  <c r="AY195" i="5"/>
  <c r="AZ195" i="5"/>
  <c r="BA195" i="5"/>
  <c r="M196" i="5"/>
  <c r="N196" i="5"/>
  <c r="O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AG196" i="5"/>
  <c r="AH196" i="5"/>
  <c r="AI196" i="5"/>
  <c r="AJ196" i="5"/>
  <c r="AK196" i="5"/>
  <c r="AL196" i="5"/>
  <c r="AM196" i="5"/>
  <c r="AN196" i="5"/>
  <c r="AO196" i="5"/>
  <c r="AP196" i="5"/>
  <c r="AQ196" i="5"/>
  <c r="AR196" i="5"/>
  <c r="AS196" i="5"/>
  <c r="AT196" i="5"/>
  <c r="AU196" i="5"/>
  <c r="AV196" i="5"/>
  <c r="AW196" i="5"/>
  <c r="AX196" i="5"/>
  <c r="AY196" i="5"/>
  <c r="AZ196" i="5"/>
  <c r="BA196" i="5"/>
  <c r="M197" i="5"/>
  <c r="N197" i="5"/>
  <c r="O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AG197" i="5"/>
  <c r="AH197" i="5"/>
  <c r="AI197" i="5"/>
  <c r="AJ197" i="5"/>
  <c r="AK197" i="5"/>
  <c r="AL197" i="5"/>
  <c r="AM197" i="5"/>
  <c r="AN197" i="5"/>
  <c r="AO197" i="5"/>
  <c r="AP197" i="5"/>
  <c r="AQ197" i="5"/>
  <c r="AR197" i="5"/>
  <c r="AS197" i="5"/>
  <c r="AT197" i="5"/>
  <c r="AU197" i="5"/>
  <c r="AV197" i="5"/>
  <c r="AW197" i="5"/>
  <c r="AX197" i="5"/>
  <c r="AY197" i="5"/>
  <c r="AZ197" i="5"/>
  <c r="BA197" i="5"/>
  <c r="M198" i="5"/>
  <c r="N198" i="5"/>
  <c r="O198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AG198" i="5"/>
  <c r="AH198" i="5"/>
  <c r="AI198" i="5"/>
  <c r="AJ198" i="5"/>
  <c r="AK198" i="5"/>
  <c r="AL198" i="5"/>
  <c r="AM198" i="5"/>
  <c r="AN198" i="5"/>
  <c r="AO198" i="5"/>
  <c r="AP198" i="5"/>
  <c r="AQ198" i="5"/>
  <c r="AR198" i="5"/>
  <c r="AS198" i="5"/>
  <c r="AT198" i="5"/>
  <c r="AU198" i="5"/>
  <c r="AV198" i="5"/>
  <c r="AW198" i="5"/>
  <c r="AX198" i="5"/>
  <c r="AY198" i="5"/>
  <c r="AZ198" i="5"/>
  <c r="BA198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AG199" i="5"/>
  <c r="AH199" i="5"/>
  <c r="AI199" i="5"/>
  <c r="AJ199" i="5"/>
  <c r="AK199" i="5"/>
  <c r="AL199" i="5"/>
  <c r="AM199" i="5"/>
  <c r="AN199" i="5"/>
  <c r="AO199" i="5"/>
  <c r="AP199" i="5"/>
  <c r="AQ199" i="5"/>
  <c r="AR199" i="5"/>
  <c r="AS199" i="5"/>
  <c r="AT199" i="5"/>
  <c r="AU199" i="5"/>
  <c r="AV199" i="5"/>
  <c r="AW199" i="5"/>
  <c r="AX199" i="5"/>
  <c r="AY199" i="5"/>
  <c r="AZ199" i="5"/>
  <c r="BA199" i="5"/>
  <c r="M200" i="5"/>
  <c r="N200" i="5"/>
  <c r="O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AG200" i="5"/>
  <c r="AH200" i="5"/>
  <c r="AI200" i="5"/>
  <c r="AJ200" i="5"/>
  <c r="AK200" i="5"/>
  <c r="AL200" i="5"/>
  <c r="AM200" i="5"/>
  <c r="AN200" i="5"/>
  <c r="AO200" i="5"/>
  <c r="AP200" i="5"/>
  <c r="AQ200" i="5"/>
  <c r="AR200" i="5"/>
  <c r="AS200" i="5"/>
  <c r="AT200" i="5"/>
  <c r="AU200" i="5"/>
  <c r="AV200" i="5"/>
  <c r="AW200" i="5"/>
  <c r="AX200" i="5"/>
  <c r="AY200" i="5"/>
  <c r="AZ200" i="5"/>
  <c r="BA200" i="5"/>
  <c r="M201" i="5"/>
  <c r="N201" i="5"/>
  <c r="O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AG201" i="5"/>
  <c r="AH201" i="5"/>
  <c r="AI201" i="5"/>
  <c r="AJ201" i="5"/>
  <c r="AK201" i="5"/>
  <c r="AL201" i="5"/>
  <c r="AM201" i="5"/>
  <c r="AN201" i="5"/>
  <c r="AO201" i="5"/>
  <c r="AP201" i="5"/>
  <c r="AQ201" i="5"/>
  <c r="AR201" i="5"/>
  <c r="AS201" i="5"/>
  <c r="AT201" i="5"/>
  <c r="AU201" i="5"/>
  <c r="AV201" i="5"/>
  <c r="AW201" i="5"/>
  <c r="AX201" i="5"/>
  <c r="AY201" i="5"/>
  <c r="AZ201" i="5"/>
  <c r="BA201" i="5"/>
  <c r="M202" i="5"/>
  <c r="N202" i="5"/>
  <c r="O202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AG202" i="5"/>
  <c r="AH202" i="5"/>
  <c r="AI202" i="5"/>
  <c r="AJ202" i="5"/>
  <c r="AK202" i="5"/>
  <c r="AL202" i="5"/>
  <c r="AM202" i="5"/>
  <c r="AN202" i="5"/>
  <c r="AO202" i="5"/>
  <c r="AP202" i="5"/>
  <c r="AQ202" i="5"/>
  <c r="AR202" i="5"/>
  <c r="AS202" i="5"/>
  <c r="AT202" i="5"/>
  <c r="AU202" i="5"/>
  <c r="AV202" i="5"/>
  <c r="AW202" i="5"/>
  <c r="AX202" i="5"/>
  <c r="AY202" i="5"/>
  <c r="AZ202" i="5"/>
  <c r="BA202" i="5"/>
  <c r="M203" i="5"/>
  <c r="N203" i="5"/>
  <c r="O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AG203" i="5"/>
  <c r="AH203" i="5"/>
  <c r="AI203" i="5"/>
  <c r="AJ203" i="5"/>
  <c r="AK203" i="5"/>
  <c r="AL203" i="5"/>
  <c r="AM203" i="5"/>
  <c r="AN203" i="5"/>
  <c r="AO203" i="5"/>
  <c r="AP203" i="5"/>
  <c r="AQ203" i="5"/>
  <c r="AR203" i="5"/>
  <c r="AS203" i="5"/>
  <c r="AT203" i="5"/>
  <c r="AU203" i="5"/>
  <c r="AV203" i="5"/>
  <c r="AW203" i="5"/>
  <c r="AX203" i="5"/>
  <c r="AY203" i="5"/>
  <c r="AZ203" i="5"/>
  <c r="BA203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AG204" i="5"/>
  <c r="AH204" i="5"/>
  <c r="AI204" i="5"/>
  <c r="AJ204" i="5"/>
  <c r="AK204" i="5"/>
  <c r="AL204" i="5"/>
  <c r="AM204" i="5"/>
  <c r="AN204" i="5"/>
  <c r="AO204" i="5"/>
  <c r="AP204" i="5"/>
  <c r="AQ204" i="5"/>
  <c r="AR204" i="5"/>
  <c r="AS204" i="5"/>
  <c r="AT204" i="5"/>
  <c r="AU204" i="5"/>
  <c r="AV204" i="5"/>
  <c r="AW204" i="5"/>
  <c r="AX204" i="5"/>
  <c r="AY204" i="5"/>
  <c r="AZ204" i="5"/>
  <c r="BA204" i="5"/>
  <c r="M205" i="5"/>
  <c r="N205" i="5"/>
  <c r="O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AG205" i="5"/>
  <c r="AH205" i="5"/>
  <c r="AI205" i="5"/>
  <c r="AJ205" i="5"/>
  <c r="AK205" i="5"/>
  <c r="AL205" i="5"/>
  <c r="AM205" i="5"/>
  <c r="AN205" i="5"/>
  <c r="AO205" i="5"/>
  <c r="AP205" i="5"/>
  <c r="AQ205" i="5"/>
  <c r="AR205" i="5"/>
  <c r="AS205" i="5"/>
  <c r="AT205" i="5"/>
  <c r="AU205" i="5"/>
  <c r="AV205" i="5"/>
  <c r="AW205" i="5"/>
  <c r="AX205" i="5"/>
  <c r="AY205" i="5"/>
  <c r="AZ205" i="5"/>
  <c r="BA205" i="5"/>
  <c r="M206" i="5"/>
  <c r="N206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AG206" i="5"/>
  <c r="AH206" i="5"/>
  <c r="AI206" i="5"/>
  <c r="AJ206" i="5"/>
  <c r="AK206" i="5"/>
  <c r="AL206" i="5"/>
  <c r="AM206" i="5"/>
  <c r="AN206" i="5"/>
  <c r="AO206" i="5"/>
  <c r="AP206" i="5"/>
  <c r="AQ206" i="5"/>
  <c r="AR206" i="5"/>
  <c r="AS206" i="5"/>
  <c r="AT206" i="5"/>
  <c r="AU206" i="5"/>
  <c r="AV206" i="5"/>
  <c r="AW206" i="5"/>
  <c r="AX206" i="5"/>
  <c r="AY206" i="5"/>
  <c r="AZ206" i="5"/>
  <c r="BA206" i="5"/>
  <c r="M207" i="5"/>
  <c r="N207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AG207" i="5"/>
  <c r="AH207" i="5"/>
  <c r="AI207" i="5"/>
  <c r="AJ207" i="5"/>
  <c r="AK207" i="5"/>
  <c r="AL207" i="5"/>
  <c r="AM207" i="5"/>
  <c r="AN207" i="5"/>
  <c r="AO207" i="5"/>
  <c r="AP207" i="5"/>
  <c r="AQ207" i="5"/>
  <c r="AR207" i="5"/>
  <c r="AS207" i="5"/>
  <c r="AT207" i="5"/>
  <c r="AU207" i="5"/>
  <c r="AV207" i="5"/>
  <c r="AW207" i="5"/>
  <c r="AX207" i="5"/>
  <c r="AY207" i="5"/>
  <c r="AZ207" i="5"/>
  <c r="BA207" i="5"/>
  <c r="M208" i="5"/>
  <c r="N208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AG208" i="5"/>
  <c r="AH208" i="5"/>
  <c r="AI208" i="5"/>
  <c r="AJ208" i="5"/>
  <c r="AK208" i="5"/>
  <c r="AL208" i="5"/>
  <c r="AM208" i="5"/>
  <c r="AN208" i="5"/>
  <c r="AO208" i="5"/>
  <c r="AP208" i="5"/>
  <c r="AQ208" i="5"/>
  <c r="AR208" i="5"/>
  <c r="AS208" i="5"/>
  <c r="AT208" i="5"/>
  <c r="AU208" i="5"/>
  <c r="AV208" i="5"/>
  <c r="AW208" i="5"/>
  <c r="AX208" i="5"/>
  <c r="AY208" i="5"/>
  <c r="AZ208" i="5"/>
  <c r="BA208" i="5"/>
  <c r="M209" i="5"/>
  <c r="N209" i="5"/>
  <c r="O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AG209" i="5"/>
  <c r="AH209" i="5"/>
  <c r="AI209" i="5"/>
  <c r="AJ209" i="5"/>
  <c r="AK209" i="5"/>
  <c r="AL209" i="5"/>
  <c r="AM209" i="5"/>
  <c r="AN209" i="5"/>
  <c r="AO209" i="5"/>
  <c r="AP209" i="5"/>
  <c r="AQ209" i="5"/>
  <c r="AR209" i="5"/>
  <c r="AS209" i="5"/>
  <c r="AT209" i="5"/>
  <c r="AU209" i="5"/>
  <c r="AV209" i="5"/>
  <c r="AW209" i="5"/>
  <c r="AX209" i="5"/>
  <c r="AY209" i="5"/>
  <c r="AZ209" i="5"/>
  <c r="BA209" i="5"/>
  <c r="M210" i="5"/>
  <c r="N210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AG210" i="5"/>
  <c r="AH210" i="5"/>
  <c r="AI210" i="5"/>
  <c r="AJ210" i="5"/>
  <c r="AK210" i="5"/>
  <c r="AL210" i="5"/>
  <c r="AM210" i="5"/>
  <c r="AN210" i="5"/>
  <c r="AO210" i="5"/>
  <c r="AP210" i="5"/>
  <c r="AQ210" i="5"/>
  <c r="AR210" i="5"/>
  <c r="AS210" i="5"/>
  <c r="AT210" i="5"/>
  <c r="AU210" i="5"/>
  <c r="AV210" i="5"/>
  <c r="AW210" i="5"/>
  <c r="AX210" i="5"/>
  <c r="AY210" i="5"/>
  <c r="AZ210" i="5"/>
  <c r="BA210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AG211" i="5"/>
  <c r="AH211" i="5"/>
  <c r="AI211" i="5"/>
  <c r="AJ211" i="5"/>
  <c r="AK211" i="5"/>
  <c r="AL211" i="5"/>
  <c r="AM211" i="5"/>
  <c r="AN211" i="5"/>
  <c r="AO211" i="5"/>
  <c r="AP211" i="5"/>
  <c r="AQ211" i="5"/>
  <c r="AR211" i="5"/>
  <c r="AS211" i="5"/>
  <c r="AT211" i="5"/>
  <c r="AU211" i="5"/>
  <c r="AV211" i="5"/>
  <c r="AW211" i="5"/>
  <c r="AX211" i="5"/>
  <c r="AY211" i="5"/>
  <c r="AZ211" i="5"/>
  <c r="BA211" i="5"/>
  <c r="M212" i="5"/>
  <c r="N212" i="5"/>
  <c r="O212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AG212" i="5"/>
  <c r="AH212" i="5"/>
  <c r="AI212" i="5"/>
  <c r="AJ212" i="5"/>
  <c r="AK212" i="5"/>
  <c r="AL212" i="5"/>
  <c r="AM212" i="5"/>
  <c r="AN212" i="5"/>
  <c r="AO212" i="5"/>
  <c r="AP212" i="5"/>
  <c r="AQ212" i="5"/>
  <c r="AR212" i="5"/>
  <c r="AS212" i="5"/>
  <c r="AT212" i="5"/>
  <c r="AU212" i="5"/>
  <c r="AV212" i="5"/>
  <c r="AW212" i="5"/>
  <c r="AX212" i="5"/>
  <c r="AY212" i="5"/>
  <c r="AZ212" i="5"/>
  <c r="BA212" i="5"/>
  <c r="M213" i="5"/>
  <c r="N213" i="5"/>
  <c r="O213" i="5"/>
  <c r="P213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AG213" i="5"/>
  <c r="AH213" i="5"/>
  <c r="AI213" i="5"/>
  <c r="AJ213" i="5"/>
  <c r="AK213" i="5"/>
  <c r="AL213" i="5"/>
  <c r="AM213" i="5"/>
  <c r="AN213" i="5"/>
  <c r="AO213" i="5"/>
  <c r="AP213" i="5"/>
  <c r="AQ213" i="5"/>
  <c r="AR213" i="5"/>
  <c r="AS213" i="5"/>
  <c r="AT213" i="5"/>
  <c r="AU213" i="5"/>
  <c r="AV213" i="5"/>
  <c r="AW213" i="5"/>
  <c r="AX213" i="5"/>
  <c r="AY213" i="5"/>
  <c r="AZ213" i="5"/>
  <c r="BA213" i="5"/>
  <c r="M214" i="5"/>
  <c r="N214" i="5"/>
  <c r="O214" i="5"/>
  <c r="P214" i="5"/>
  <c r="Q214" i="5"/>
  <c r="R214" i="5"/>
  <c r="S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AG214" i="5"/>
  <c r="AH214" i="5"/>
  <c r="AI214" i="5"/>
  <c r="AJ214" i="5"/>
  <c r="AK214" i="5"/>
  <c r="AL214" i="5"/>
  <c r="AM214" i="5"/>
  <c r="AN214" i="5"/>
  <c r="AO214" i="5"/>
  <c r="AP214" i="5"/>
  <c r="AQ214" i="5"/>
  <c r="AR214" i="5"/>
  <c r="AS214" i="5"/>
  <c r="AT214" i="5"/>
  <c r="AU214" i="5"/>
  <c r="AV214" i="5"/>
  <c r="AW214" i="5"/>
  <c r="AX214" i="5"/>
  <c r="AY214" i="5"/>
  <c r="AZ214" i="5"/>
  <c r="BA214" i="5"/>
  <c r="M215" i="5"/>
  <c r="N215" i="5"/>
  <c r="O215" i="5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AG215" i="5"/>
  <c r="AH215" i="5"/>
  <c r="AI215" i="5"/>
  <c r="AJ215" i="5"/>
  <c r="AK215" i="5"/>
  <c r="AL215" i="5"/>
  <c r="AM215" i="5"/>
  <c r="AN215" i="5"/>
  <c r="AO215" i="5"/>
  <c r="AP215" i="5"/>
  <c r="AQ215" i="5"/>
  <c r="AR215" i="5"/>
  <c r="AS215" i="5"/>
  <c r="AT215" i="5"/>
  <c r="AU215" i="5"/>
  <c r="AV215" i="5"/>
  <c r="AW215" i="5"/>
  <c r="AX215" i="5"/>
  <c r="AY215" i="5"/>
  <c r="AZ215" i="5"/>
  <c r="BA215" i="5"/>
  <c r="M216" i="5"/>
  <c r="N216" i="5"/>
  <c r="O216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AG216" i="5"/>
  <c r="AH216" i="5"/>
  <c r="AI216" i="5"/>
  <c r="AJ216" i="5"/>
  <c r="AK216" i="5"/>
  <c r="AL216" i="5"/>
  <c r="AM216" i="5"/>
  <c r="AN216" i="5"/>
  <c r="AO216" i="5"/>
  <c r="AP216" i="5"/>
  <c r="AQ216" i="5"/>
  <c r="AR216" i="5"/>
  <c r="AS216" i="5"/>
  <c r="AT216" i="5"/>
  <c r="AU216" i="5"/>
  <c r="AV216" i="5"/>
  <c r="AW216" i="5"/>
  <c r="AX216" i="5"/>
  <c r="AY216" i="5"/>
  <c r="AZ216" i="5"/>
  <c r="BA216" i="5"/>
  <c r="M217" i="5"/>
  <c r="N217" i="5"/>
  <c r="O217" i="5"/>
  <c r="P217" i="5"/>
  <c r="Q217" i="5"/>
  <c r="R217" i="5"/>
  <c r="S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AG217" i="5"/>
  <c r="AH217" i="5"/>
  <c r="AI217" i="5"/>
  <c r="AJ217" i="5"/>
  <c r="AK217" i="5"/>
  <c r="AL217" i="5"/>
  <c r="AM217" i="5"/>
  <c r="AN217" i="5"/>
  <c r="AO217" i="5"/>
  <c r="AP217" i="5"/>
  <c r="AQ217" i="5"/>
  <c r="AR217" i="5"/>
  <c r="AS217" i="5"/>
  <c r="AT217" i="5"/>
  <c r="AU217" i="5"/>
  <c r="AV217" i="5"/>
  <c r="AW217" i="5"/>
  <c r="AX217" i="5"/>
  <c r="AY217" i="5"/>
  <c r="AZ217" i="5"/>
  <c r="BA217" i="5"/>
  <c r="M218" i="5"/>
  <c r="N218" i="5"/>
  <c r="O218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AG218" i="5"/>
  <c r="AH218" i="5"/>
  <c r="AI218" i="5"/>
  <c r="AJ218" i="5"/>
  <c r="AK218" i="5"/>
  <c r="AL218" i="5"/>
  <c r="AM218" i="5"/>
  <c r="AN218" i="5"/>
  <c r="AO218" i="5"/>
  <c r="AP218" i="5"/>
  <c r="AQ218" i="5"/>
  <c r="AR218" i="5"/>
  <c r="AS218" i="5"/>
  <c r="AT218" i="5"/>
  <c r="AU218" i="5"/>
  <c r="AV218" i="5"/>
  <c r="AW218" i="5"/>
  <c r="AX218" i="5"/>
  <c r="AY218" i="5"/>
  <c r="AZ218" i="5"/>
  <c r="BA218" i="5"/>
  <c r="M219" i="5"/>
  <c r="N219" i="5"/>
  <c r="O219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AG219" i="5"/>
  <c r="AH219" i="5"/>
  <c r="AI219" i="5"/>
  <c r="AJ219" i="5"/>
  <c r="AK219" i="5"/>
  <c r="AL219" i="5"/>
  <c r="AM219" i="5"/>
  <c r="AN219" i="5"/>
  <c r="AO219" i="5"/>
  <c r="AP219" i="5"/>
  <c r="AQ219" i="5"/>
  <c r="AR219" i="5"/>
  <c r="AS219" i="5"/>
  <c r="AT219" i="5"/>
  <c r="AU219" i="5"/>
  <c r="AV219" i="5"/>
  <c r="AW219" i="5"/>
  <c r="AX219" i="5"/>
  <c r="AY219" i="5"/>
  <c r="AZ219" i="5"/>
  <c r="BA219" i="5"/>
  <c r="M220" i="5"/>
  <c r="N220" i="5"/>
  <c r="O220" i="5"/>
  <c r="P220" i="5"/>
  <c r="Q220" i="5"/>
  <c r="R220" i="5"/>
  <c r="S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AG220" i="5"/>
  <c r="AH220" i="5"/>
  <c r="AI220" i="5"/>
  <c r="AJ220" i="5"/>
  <c r="AK220" i="5"/>
  <c r="AL220" i="5"/>
  <c r="AM220" i="5"/>
  <c r="AN220" i="5"/>
  <c r="AO220" i="5"/>
  <c r="AP220" i="5"/>
  <c r="AQ220" i="5"/>
  <c r="AR220" i="5"/>
  <c r="AS220" i="5"/>
  <c r="AT220" i="5"/>
  <c r="AU220" i="5"/>
  <c r="AV220" i="5"/>
  <c r="AW220" i="5"/>
  <c r="AX220" i="5"/>
  <c r="AY220" i="5"/>
  <c r="AZ220" i="5"/>
  <c r="BA220" i="5"/>
  <c r="M221" i="5"/>
  <c r="N221" i="5"/>
  <c r="O221" i="5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AG221" i="5"/>
  <c r="AH221" i="5"/>
  <c r="AI221" i="5"/>
  <c r="AJ221" i="5"/>
  <c r="AK221" i="5"/>
  <c r="AL221" i="5"/>
  <c r="AM221" i="5"/>
  <c r="AN221" i="5"/>
  <c r="AO221" i="5"/>
  <c r="AP221" i="5"/>
  <c r="AQ221" i="5"/>
  <c r="AR221" i="5"/>
  <c r="AS221" i="5"/>
  <c r="AT221" i="5"/>
  <c r="AU221" i="5"/>
  <c r="AV221" i="5"/>
  <c r="AW221" i="5"/>
  <c r="AX221" i="5"/>
  <c r="AY221" i="5"/>
  <c r="AZ221" i="5"/>
  <c r="BA221" i="5"/>
  <c r="M222" i="5"/>
  <c r="N222" i="5"/>
  <c r="O222" i="5"/>
  <c r="P222" i="5"/>
  <c r="Q222" i="5"/>
  <c r="R222" i="5"/>
  <c r="S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AG222" i="5"/>
  <c r="AH222" i="5"/>
  <c r="AI222" i="5"/>
  <c r="AJ222" i="5"/>
  <c r="AK222" i="5"/>
  <c r="AL222" i="5"/>
  <c r="AM222" i="5"/>
  <c r="AN222" i="5"/>
  <c r="AO222" i="5"/>
  <c r="AP222" i="5"/>
  <c r="AQ222" i="5"/>
  <c r="AR222" i="5"/>
  <c r="AS222" i="5"/>
  <c r="AT222" i="5"/>
  <c r="AU222" i="5"/>
  <c r="AV222" i="5"/>
  <c r="AW222" i="5"/>
  <c r="AX222" i="5"/>
  <c r="AY222" i="5"/>
  <c r="AZ222" i="5"/>
  <c r="BA222" i="5"/>
  <c r="M223" i="5"/>
  <c r="N223" i="5"/>
  <c r="O223" i="5"/>
  <c r="P223" i="5"/>
  <c r="Q223" i="5"/>
  <c r="R223" i="5"/>
  <c r="S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AG223" i="5"/>
  <c r="AH223" i="5"/>
  <c r="AI223" i="5"/>
  <c r="AJ223" i="5"/>
  <c r="AK223" i="5"/>
  <c r="AL223" i="5"/>
  <c r="AM223" i="5"/>
  <c r="AN223" i="5"/>
  <c r="AO223" i="5"/>
  <c r="AP223" i="5"/>
  <c r="AQ223" i="5"/>
  <c r="AR223" i="5"/>
  <c r="AS223" i="5"/>
  <c r="AT223" i="5"/>
  <c r="AU223" i="5"/>
  <c r="AV223" i="5"/>
  <c r="AW223" i="5"/>
  <c r="AX223" i="5"/>
  <c r="AY223" i="5"/>
  <c r="AZ223" i="5"/>
  <c r="BA223" i="5"/>
  <c r="M224" i="5"/>
  <c r="N224" i="5"/>
  <c r="O224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AG224" i="5"/>
  <c r="AH224" i="5"/>
  <c r="AI224" i="5"/>
  <c r="AJ224" i="5"/>
  <c r="AK224" i="5"/>
  <c r="AL224" i="5"/>
  <c r="AM224" i="5"/>
  <c r="AN224" i="5"/>
  <c r="AO224" i="5"/>
  <c r="AP224" i="5"/>
  <c r="AQ224" i="5"/>
  <c r="AR224" i="5"/>
  <c r="AS224" i="5"/>
  <c r="AT224" i="5"/>
  <c r="AU224" i="5"/>
  <c r="AV224" i="5"/>
  <c r="AW224" i="5"/>
  <c r="AX224" i="5"/>
  <c r="AY224" i="5"/>
  <c r="AZ224" i="5"/>
  <c r="BA224" i="5"/>
  <c r="M225" i="5"/>
  <c r="N225" i="5"/>
  <c r="O225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AG225" i="5"/>
  <c r="AH225" i="5"/>
  <c r="AI225" i="5"/>
  <c r="AJ225" i="5"/>
  <c r="AK225" i="5"/>
  <c r="AL225" i="5"/>
  <c r="AM225" i="5"/>
  <c r="AN225" i="5"/>
  <c r="AO225" i="5"/>
  <c r="AP225" i="5"/>
  <c r="AQ225" i="5"/>
  <c r="AR225" i="5"/>
  <c r="AS225" i="5"/>
  <c r="AT225" i="5"/>
  <c r="AU225" i="5"/>
  <c r="AV225" i="5"/>
  <c r="AW225" i="5"/>
  <c r="AX225" i="5"/>
  <c r="AY225" i="5"/>
  <c r="AZ225" i="5"/>
  <c r="BA225" i="5"/>
  <c r="M226" i="5"/>
  <c r="N226" i="5"/>
  <c r="O226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AG226" i="5"/>
  <c r="AH226" i="5"/>
  <c r="AI226" i="5"/>
  <c r="AJ226" i="5"/>
  <c r="AK226" i="5"/>
  <c r="AL226" i="5"/>
  <c r="AM226" i="5"/>
  <c r="AN226" i="5"/>
  <c r="AO226" i="5"/>
  <c r="AP226" i="5"/>
  <c r="AQ226" i="5"/>
  <c r="AR226" i="5"/>
  <c r="AS226" i="5"/>
  <c r="AT226" i="5"/>
  <c r="AU226" i="5"/>
  <c r="AV226" i="5"/>
  <c r="AW226" i="5"/>
  <c r="AX226" i="5"/>
  <c r="AY226" i="5"/>
  <c r="AZ226" i="5"/>
  <c r="BA226" i="5"/>
  <c r="M227" i="5"/>
  <c r="N227" i="5"/>
  <c r="O22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AG227" i="5"/>
  <c r="AH227" i="5"/>
  <c r="AI227" i="5"/>
  <c r="AJ227" i="5"/>
  <c r="AK227" i="5"/>
  <c r="AL227" i="5"/>
  <c r="AM227" i="5"/>
  <c r="AN227" i="5"/>
  <c r="AO227" i="5"/>
  <c r="AP227" i="5"/>
  <c r="AQ227" i="5"/>
  <c r="AR227" i="5"/>
  <c r="AS227" i="5"/>
  <c r="AT227" i="5"/>
  <c r="AU227" i="5"/>
  <c r="AV227" i="5"/>
  <c r="AW227" i="5"/>
  <c r="AX227" i="5"/>
  <c r="AY227" i="5"/>
  <c r="AZ227" i="5"/>
  <c r="BA227" i="5"/>
  <c r="M228" i="5"/>
  <c r="N228" i="5"/>
  <c r="O22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AG228" i="5"/>
  <c r="AH228" i="5"/>
  <c r="AI228" i="5"/>
  <c r="AJ228" i="5"/>
  <c r="AK228" i="5"/>
  <c r="AL228" i="5"/>
  <c r="AM228" i="5"/>
  <c r="AN228" i="5"/>
  <c r="AO228" i="5"/>
  <c r="AP228" i="5"/>
  <c r="AQ228" i="5"/>
  <c r="AR228" i="5"/>
  <c r="AS228" i="5"/>
  <c r="AT228" i="5"/>
  <c r="AU228" i="5"/>
  <c r="AV228" i="5"/>
  <c r="AW228" i="5"/>
  <c r="AX228" i="5"/>
  <c r="AY228" i="5"/>
  <c r="AZ228" i="5"/>
  <c r="BA228" i="5"/>
  <c r="M229" i="5"/>
  <c r="N229" i="5"/>
  <c r="O229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AG229" i="5"/>
  <c r="AH229" i="5"/>
  <c r="AI229" i="5"/>
  <c r="AJ229" i="5"/>
  <c r="AK229" i="5"/>
  <c r="AL229" i="5"/>
  <c r="AM229" i="5"/>
  <c r="AN229" i="5"/>
  <c r="AO229" i="5"/>
  <c r="AP229" i="5"/>
  <c r="AQ229" i="5"/>
  <c r="AR229" i="5"/>
  <c r="AS229" i="5"/>
  <c r="AT229" i="5"/>
  <c r="AU229" i="5"/>
  <c r="AV229" i="5"/>
  <c r="AW229" i="5"/>
  <c r="AX229" i="5"/>
  <c r="AY229" i="5"/>
  <c r="AZ229" i="5"/>
  <c r="BA229" i="5"/>
  <c r="M230" i="5"/>
  <c r="N230" i="5"/>
  <c r="O23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AG230" i="5"/>
  <c r="AH230" i="5"/>
  <c r="AI230" i="5"/>
  <c r="AJ230" i="5"/>
  <c r="AK230" i="5"/>
  <c r="AL230" i="5"/>
  <c r="AM230" i="5"/>
  <c r="AN230" i="5"/>
  <c r="AO230" i="5"/>
  <c r="AP230" i="5"/>
  <c r="AQ230" i="5"/>
  <c r="AR230" i="5"/>
  <c r="AS230" i="5"/>
  <c r="AT230" i="5"/>
  <c r="AU230" i="5"/>
  <c r="AV230" i="5"/>
  <c r="AW230" i="5"/>
  <c r="AX230" i="5"/>
  <c r="AY230" i="5"/>
  <c r="AZ230" i="5"/>
  <c r="BA230" i="5"/>
  <c r="M231" i="5"/>
  <c r="N231" i="5"/>
  <c r="O231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AG231" i="5"/>
  <c r="AH231" i="5"/>
  <c r="AI231" i="5"/>
  <c r="AJ231" i="5"/>
  <c r="AK231" i="5"/>
  <c r="AL231" i="5"/>
  <c r="AM231" i="5"/>
  <c r="AN231" i="5"/>
  <c r="AO231" i="5"/>
  <c r="AP231" i="5"/>
  <c r="AQ231" i="5"/>
  <c r="AR231" i="5"/>
  <c r="AS231" i="5"/>
  <c r="AT231" i="5"/>
  <c r="AU231" i="5"/>
  <c r="AV231" i="5"/>
  <c r="AW231" i="5"/>
  <c r="AX231" i="5"/>
  <c r="AY231" i="5"/>
  <c r="AZ231" i="5"/>
  <c r="BA231" i="5"/>
  <c r="M232" i="5"/>
  <c r="N232" i="5"/>
  <c r="O23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AG232" i="5"/>
  <c r="AH232" i="5"/>
  <c r="AI232" i="5"/>
  <c r="AJ232" i="5"/>
  <c r="AK232" i="5"/>
  <c r="AL232" i="5"/>
  <c r="AM232" i="5"/>
  <c r="AN232" i="5"/>
  <c r="AO232" i="5"/>
  <c r="AP232" i="5"/>
  <c r="AQ232" i="5"/>
  <c r="AR232" i="5"/>
  <c r="AS232" i="5"/>
  <c r="AT232" i="5"/>
  <c r="AU232" i="5"/>
  <c r="AV232" i="5"/>
  <c r="AW232" i="5"/>
  <c r="AX232" i="5"/>
  <c r="AY232" i="5"/>
  <c r="AZ232" i="5"/>
  <c r="BA232" i="5"/>
  <c r="M233" i="5"/>
  <c r="N233" i="5"/>
  <c r="O233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AG233" i="5"/>
  <c r="AH233" i="5"/>
  <c r="AI233" i="5"/>
  <c r="AJ233" i="5"/>
  <c r="AK233" i="5"/>
  <c r="AL233" i="5"/>
  <c r="AM233" i="5"/>
  <c r="AN233" i="5"/>
  <c r="AO233" i="5"/>
  <c r="AP233" i="5"/>
  <c r="AQ233" i="5"/>
  <c r="AR233" i="5"/>
  <c r="AS233" i="5"/>
  <c r="AT233" i="5"/>
  <c r="AU233" i="5"/>
  <c r="AV233" i="5"/>
  <c r="AW233" i="5"/>
  <c r="AX233" i="5"/>
  <c r="AY233" i="5"/>
  <c r="AZ233" i="5"/>
  <c r="BA233" i="5"/>
  <c r="M234" i="5"/>
  <c r="N234" i="5"/>
  <c r="O234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AG234" i="5"/>
  <c r="AH234" i="5"/>
  <c r="AI234" i="5"/>
  <c r="AJ234" i="5"/>
  <c r="AK234" i="5"/>
  <c r="AL234" i="5"/>
  <c r="AM234" i="5"/>
  <c r="AN234" i="5"/>
  <c r="AO234" i="5"/>
  <c r="AP234" i="5"/>
  <c r="AQ234" i="5"/>
  <c r="AR234" i="5"/>
  <c r="AS234" i="5"/>
  <c r="AT234" i="5"/>
  <c r="AU234" i="5"/>
  <c r="AV234" i="5"/>
  <c r="AW234" i="5"/>
  <c r="AX234" i="5"/>
  <c r="AY234" i="5"/>
  <c r="AZ234" i="5"/>
  <c r="BA234" i="5"/>
  <c r="M235" i="5"/>
  <c r="N235" i="5"/>
  <c r="O235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AG235" i="5"/>
  <c r="AH235" i="5"/>
  <c r="AI235" i="5"/>
  <c r="AJ235" i="5"/>
  <c r="AK235" i="5"/>
  <c r="AL235" i="5"/>
  <c r="AM235" i="5"/>
  <c r="AN235" i="5"/>
  <c r="AO235" i="5"/>
  <c r="AP235" i="5"/>
  <c r="AQ235" i="5"/>
  <c r="AR235" i="5"/>
  <c r="AS235" i="5"/>
  <c r="AT235" i="5"/>
  <c r="AU235" i="5"/>
  <c r="AV235" i="5"/>
  <c r="AW235" i="5"/>
  <c r="AX235" i="5"/>
  <c r="AY235" i="5"/>
  <c r="AZ235" i="5"/>
  <c r="BA235" i="5"/>
  <c r="M236" i="5"/>
  <c r="N236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AG236" i="5"/>
  <c r="AH236" i="5"/>
  <c r="AI236" i="5"/>
  <c r="AJ236" i="5"/>
  <c r="AK236" i="5"/>
  <c r="AL236" i="5"/>
  <c r="AM236" i="5"/>
  <c r="AN236" i="5"/>
  <c r="AO236" i="5"/>
  <c r="AP236" i="5"/>
  <c r="AQ236" i="5"/>
  <c r="AR236" i="5"/>
  <c r="AS236" i="5"/>
  <c r="AT236" i="5"/>
  <c r="AU236" i="5"/>
  <c r="AV236" i="5"/>
  <c r="AW236" i="5"/>
  <c r="AX236" i="5"/>
  <c r="AY236" i="5"/>
  <c r="AZ236" i="5"/>
  <c r="BA236" i="5"/>
  <c r="M237" i="5"/>
  <c r="N237" i="5"/>
  <c r="O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AG237" i="5"/>
  <c r="AH237" i="5"/>
  <c r="AI237" i="5"/>
  <c r="AJ237" i="5"/>
  <c r="AK237" i="5"/>
  <c r="AL237" i="5"/>
  <c r="AM237" i="5"/>
  <c r="AN237" i="5"/>
  <c r="AO237" i="5"/>
  <c r="AP237" i="5"/>
  <c r="AQ237" i="5"/>
  <c r="AR237" i="5"/>
  <c r="AS237" i="5"/>
  <c r="AT237" i="5"/>
  <c r="AU237" i="5"/>
  <c r="AV237" i="5"/>
  <c r="AW237" i="5"/>
  <c r="AX237" i="5"/>
  <c r="AY237" i="5"/>
  <c r="AZ237" i="5"/>
  <c r="BA237" i="5"/>
  <c r="M238" i="5"/>
  <c r="N238" i="5"/>
  <c r="O238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AG238" i="5"/>
  <c r="AH238" i="5"/>
  <c r="AI238" i="5"/>
  <c r="AJ238" i="5"/>
  <c r="AK238" i="5"/>
  <c r="AL238" i="5"/>
  <c r="AM238" i="5"/>
  <c r="AN238" i="5"/>
  <c r="AO238" i="5"/>
  <c r="AP238" i="5"/>
  <c r="AQ238" i="5"/>
  <c r="AR238" i="5"/>
  <c r="AS238" i="5"/>
  <c r="AT238" i="5"/>
  <c r="AU238" i="5"/>
  <c r="AV238" i="5"/>
  <c r="AW238" i="5"/>
  <c r="AX238" i="5"/>
  <c r="AY238" i="5"/>
  <c r="AZ238" i="5"/>
  <c r="BA238" i="5"/>
  <c r="M239" i="5"/>
  <c r="N239" i="5"/>
  <c r="O239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AG239" i="5"/>
  <c r="AH239" i="5"/>
  <c r="AI239" i="5"/>
  <c r="AJ239" i="5"/>
  <c r="AK239" i="5"/>
  <c r="AL239" i="5"/>
  <c r="AM239" i="5"/>
  <c r="AN239" i="5"/>
  <c r="AO239" i="5"/>
  <c r="AP239" i="5"/>
  <c r="AQ239" i="5"/>
  <c r="AR239" i="5"/>
  <c r="AS239" i="5"/>
  <c r="AT239" i="5"/>
  <c r="AU239" i="5"/>
  <c r="AV239" i="5"/>
  <c r="AW239" i="5"/>
  <c r="AX239" i="5"/>
  <c r="AY239" i="5"/>
  <c r="AZ239" i="5"/>
  <c r="BA239" i="5"/>
  <c r="M240" i="5"/>
  <c r="N240" i="5"/>
  <c r="O240" i="5"/>
  <c r="P240" i="5"/>
  <c r="Q240" i="5"/>
  <c r="R240" i="5"/>
  <c r="S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AG240" i="5"/>
  <c r="AH240" i="5"/>
  <c r="AI240" i="5"/>
  <c r="AJ240" i="5"/>
  <c r="AK240" i="5"/>
  <c r="AL240" i="5"/>
  <c r="AM240" i="5"/>
  <c r="AN240" i="5"/>
  <c r="AO240" i="5"/>
  <c r="AP240" i="5"/>
  <c r="AQ240" i="5"/>
  <c r="AR240" i="5"/>
  <c r="AS240" i="5"/>
  <c r="AT240" i="5"/>
  <c r="AU240" i="5"/>
  <c r="AV240" i="5"/>
  <c r="AW240" i="5"/>
  <c r="AX240" i="5"/>
  <c r="AY240" i="5"/>
  <c r="AZ240" i="5"/>
  <c r="BA240" i="5"/>
  <c r="M241" i="5"/>
  <c r="N241" i="5"/>
  <c r="O241" i="5"/>
  <c r="P241" i="5"/>
  <c r="Q241" i="5"/>
  <c r="R241" i="5"/>
  <c r="S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AG241" i="5"/>
  <c r="AH241" i="5"/>
  <c r="AI241" i="5"/>
  <c r="AJ241" i="5"/>
  <c r="AK241" i="5"/>
  <c r="AL241" i="5"/>
  <c r="AM241" i="5"/>
  <c r="AN241" i="5"/>
  <c r="AO241" i="5"/>
  <c r="AP241" i="5"/>
  <c r="AQ241" i="5"/>
  <c r="AR241" i="5"/>
  <c r="AS241" i="5"/>
  <c r="AT241" i="5"/>
  <c r="AU241" i="5"/>
  <c r="AV241" i="5"/>
  <c r="AW241" i="5"/>
  <c r="AX241" i="5"/>
  <c r="AY241" i="5"/>
  <c r="AZ241" i="5"/>
  <c r="BA241" i="5"/>
  <c r="M242" i="5"/>
  <c r="N242" i="5"/>
  <c r="O242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AG242" i="5"/>
  <c r="AH242" i="5"/>
  <c r="AI242" i="5"/>
  <c r="AJ242" i="5"/>
  <c r="AK242" i="5"/>
  <c r="AL242" i="5"/>
  <c r="AM242" i="5"/>
  <c r="AN242" i="5"/>
  <c r="AO242" i="5"/>
  <c r="AP242" i="5"/>
  <c r="AQ242" i="5"/>
  <c r="AR242" i="5"/>
  <c r="AS242" i="5"/>
  <c r="AT242" i="5"/>
  <c r="AU242" i="5"/>
  <c r="AV242" i="5"/>
  <c r="AW242" i="5"/>
  <c r="AX242" i="5"/>
  <c r="AY242" i="5"/>
  <c r="AZ242" i="5"/>
  <c r="BA242" i="5"/>
  <c r="M243" i="5"/>
  <c r="N243" i="5"/>
  <c r="O243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AG243" i="5"/>
  <c r="AH243" i="5"/>
  <c r="AI243" i="5"/>
  <c r="AJ243" i="5"/>
  <c r="AK243" i="5"/>
  <c r="AL243" i="5"/>
  <c r="AM243" i="5"/>
  <c r="AN243" i="5"/>
  <c r="AO243" i="5"/>
  <c r="AP243" i="5"/>
  <c r="AQ243" i="5"/>
  <c r="AR243" i="5"/>
  <c r="AS243" i="5"/>
  <c r="AT243" i="5"/>
  <c r="AU243" i="5"/>
  <c r="AV243" i="5"/>
  <c r="AW243" i="5"/>
  <c r="AX243" i="5"/>
  <c r="AY243" i="5"/>
  <c r="AZ243" i="5"/>
  <c r="BA243" i="5"/>
  <c r="M244" i="5"/>
  <c r="N244" i="5"/>
  <c r="O244" i="5"/>
  <c r="P244" i="5"/>
  <c r="Q244" i="5"/>
  <c r="R244" i="5"/>
  <c r="S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AG244" i="5"/>
  <c r="AH244" i="5"/>
  <c r="AI244" i="5"/>
  <c r="AJ244" i="5"/>
  <c r="AK244" i="5"/>
  <c r="AL244" i="5"/>
  <c r="AM244" i="5"/>
  <c r="AN244" i="5"/>
  <c r="AO244" i="5"/>
  <c r="AP244" i="5"/>
  <c r="AQ244" i="5"/>
  <c r="AR244" i="5"/>
  <c r="AS244" i="5"/>
  <c r="AT244" i="5"/>
  <c r="AU244" i="5"/>
  <c r="AV244" i="5"/>
  <c r="AW244" i="5"/>
  <c r="AX244" i="5"/>
  <c r="AY244" i="5"/>
  <c r="AZ244" i="5"/>
  <c r="BA244" i="5"/>
  <c r="M245" i="5"/>
  <c r="N245" i="5"/>
  <c r="O245" i="5"/>
  <c r="P245" i="5"/>
  <c r="Q245" i="5"/>
  <c r="R245" i="5"/>
  <c r="S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AG245" i="5"/>
  <c r="AH245" i="5"/>
  <c r="AI245" i="5"/>
  <c r="AJ245" i="5"/>
  <c r="AK245" i="5"/>
  <c r="AL245" i="5"/>
  <c r="AM245" i="5"/>
  <c r="AN245" i="5"/>
  <c r="AO245" i="5"/>
  <c r="AP245" i="5"/>
  <c r="AQ245" i="5"/>
  <c r="AR245" i="5"/>
  <c r="AS245" i="5"/>
  <c r="AT245" i="5"/>
  <c r="AU245" i="5"/>
  <c r="AV245" i="5"/>
  <c r="AW245" i="5"/>
  <c r="AX245" i="5"/>
  <c r="AY245" i="5"/>
  <c r="AZ245" i="5"/>
  <c r="BA245" i="5"/>
  <c r="M246" i="5"/>
  <c r="N246" i="5"/>
  <c r="O246" i="5"/>
  <c r="P246" i="5"/>
  <c r="Q246" i="5"/>
  <c r="R246" i="5"/>
  <c r="S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AG246" i="5"/>
  <c r="AH246" i="5"/>
  <c r="AI246" i="5"/>
  <c r="AJ246" i="5"/>
  <c r="AK246" i="5"/>
  <c r="AL246" i="5"/>
  <c r="AM246" i="5"/>
  <c r="AN246" i="5"/>
  <c r="AO246" i="5"/>
  <c r="AP246" i="5"/>
  <c r="AQ246" i="5"/>
  <c r="AR246" i="5"/>
  <c r="AS246" i="5"/>
  <c r="AT246" i="5"/>
  <c r="AU246" i="5"/>
  <c r="AV246" i="5"/>
  <c r="AW246" i="5"/>
  <c r="AX246" i="5"/>
  <c r="AY246" i="5"/>
  <c r="AZ246" i="5"/>
  <c r="BA246" i="5"/>
  <c r="M247" i="5"/>
  <c r="N247" i="5"/>
  <c r="O247" i="5"/>
  <c r="P247" i="5"/>
  <c r="Q247" i="5"/>
  <c r="R247" i="5"/>
  <c r="S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AG247" i="5"/>
  <c r="AH247" i="5"/>
  <c r="AI247" i="5"/>
  <c r="AJ247" i="5"/>
  <c r="AK247" i="5"/>
  <c r="AL247" i="5"/>
  <c r="AM247" i="5"/>
  <c r="AN247" i="5"/>
  <c r="AO247" i="5"/>
  <c r="AP247" i="5"/>
  <c r="AQ247" i="5"/>
  <c r="AR247" i="5"/>
  <c r="AS247" i="5"/>
  <c r="AT247" i="5"/>
  <c r="AU247" i="5"/>
  <c r="AV247" i="5"/>
  <c r="AW247" i="5"/>
  <c r="AX247" i="5"/>
  <c r="AY247" i="5"/>
  <c r="AZ247" i="5"/>
  <c r="BA247" i="5"/>
  <c r="M248" i="5"/>
  <c r="N248" i="5"/>
  <c r="O248" i="5"/>
  <c r="P248" i="5"/>
  <c r="Q248" i="5"/>
  <c r="R248" i="5"/>
  <c r="S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AG248" i="5"/>
  <c r="AH248" i="5"/>
  <c r="AI248" i="5"/>
  <c r="AJ248" i="5"/>
  <c r="AK248" i="5"/>
  <c r="AL248" i="5"/>
  <c r="AM248" i="5"/>
  <c r="AN248" i="5"/>
  <c r="AO248" i="5"/>
  <c r="AP248" i="5"/>
  <c r="AQ248" i="5"/>
  <c r="AR248" i="5"/>
  <c r="AS248" i="5"/>
  <c r="AT248" i="5"/>
  <c r="AU248" i="5"/>
  <c r="AV248" i="5"/>
  <c r="AW248" i="5"/>
  <c r="AX248" i="5"/>
  <c r="AY248" i="5"/>
  <c r="AZ248" i="5"/>
  <c r="BA248" i="5"/>
  <c r="M249" i="5"/>
  <c r="N249" i="5"/>
  <c r="O249" i="5"/>
  <c r="P249" i="5"/>
  <c r="Q249" i="5"/>
  <c r="R249" i="5"/>
  <c r="S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AG249" i="5"/>
  <c r="AH249" i="5"/>
  <c r="AI249" i="5"/>
  <c r="AJ249" i="5"/>
  <c r="AK249" i="5"/>
  <c r="AL249" i="5"/>
  <c r="AM249" i="5"/>
  <c r="AN249" i="5"/>
  <c r="AO249" i="5"/>
  <c r="AP249" i="5"/>
  <c r="AQ249" i="5"/>
  <c r="AR249" i="5"/>
  <c r="AS249" i="5"/>
  <c r="AT249" i="5"/>
  <c r="AU249" i="5"/>
  <c r="AV249" i="5"/>
  <c r="AW249" i="5"/>
  <c r="AX249" i="5"/>
  <c r="AY249" i="5"/>
  <c r="AZ249" i="5"/>
  <c r="BA249" i="5"/>
  <c r="M250" i="5"/>
  <c r="N250" i="5"/>
  <c r="O250" i="5"/>
  <c r="P250" i="5"/>
  <c r="Q250" i="5"/>
  <c r="R250" i="5"/>
  <c r="S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AG250" i="5"/>
  <c r="AH250" i="5"/>
  <c r="AI250" i="5"/>
  <c r="AJ250" i="5"/>
  <c r="AK250" i="5"/>
  <c r="AL250" i="5"/>
  <c r="AM250" i="5"/>
  <c r="AN250" i="5"/>
  <c r="AO250" i="5"/>
  <c r="AP250" i="5"/>
  <c r="AQ250" i="5"/>
  <c r="AR250" i="5"/>
  <c r="AS250" i="5"/>
  <c r="AT250" i="5"/>
  <c r="AU250" i="5"/>
  <c r="AV250" i="5"/>
  <c r="AW250" i="5"/>
  <c r="AX250" i="5"/>
  <c r="AY250" i="5"/>
  <c r="AZ250" i="5"/>
  <c r="BA250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" i="5"/>
  <c r="I3" i="5"/>
  <c r="J3" i="5"/>
  <c r="K3" i="5"/>
  <c r="I4" i="5"/>
  <c r="J4" i="5"/>
  <c r="K4" i="5"/>
  <c r="I5" i="5"/>
  <c r="J5" i="5"/>
  <c r="K5" i="5"/>
  <c r="I6" i="5"/>
  <c r="J6" i="5"/>
  <c r="K6" i="5"/>
  <c r="I7" i="5"/>
  <c r="J7" i="5"/>
  <c r="K7" i="5"/>
  <c r="I8" i="5"/>
  <c r="J8" i="5"/>
  <c r="K8" i="5"/>
  <c r="I9" i="5"/>
  <c r="J9" i="5"/>
  <c r="K9" i="5"/>
  <c r="I10" i="5"/>
  <c r="J10" i="5"/>
  <c r="K10" i="5"/>
  <c r="I11" i="5"/>
  <c r="J11" i="5"/>
  <c r="K11" i="5"/>
  <c r="I12" i="5"/>
  <c r="J12" i="5"/>
  <c r="K12" i="5"/>
  <c r="I13" i="5"/>
  <c r="J13" i="5"/>
  <c r="K13" i="5"/>
  <c r="I14" i="5"/>
  <c r="J14" i="5"/>
  <c r="K14" i="5"/>
  <c r="I15" i="5"/>
  <c r="J15" i="5"/>
  <c r="K15" i="5"/>
  <c r="I16" i="5"/>
  <c r="J16" i="5"/>
  <c r="K16" i="5"/>
  <c r="I17" i="5"/>
  <c r="J17" i="5"/>
  <c r="K17" i="5"/>
  <c r="I18" i="5"/>
  <c r="J18" i="5"/>
  <c r="K18" i="5"/>
  <c r="I19" i="5"/>
  <c r="J19" i="5"/>
  <c r="K19" i="5"/>
  <c r="I20" i="5"/>
  <c r="J20" i="5"/>
  <c r="K20" i="5"/>
  <c r="I21" i="5"/>
  <c r="J21" i="5"/>
  <c r="K21" i="5"/>
  <c r="I22" i="5"/>
  <c r="J22" i="5"/>
  <c r="K22" i="5"/>
  <c r="I23" i="5"/>
  <c r="J23" i="5"/>
  <c r="K23" i="5"/>
  <c r="I24" i="5"/>
  <c r="J24" i="5"/>
  <c r="K24" i="5"/>
  <c r="I25" i="5"/>
  <c r="J25" i="5"/>
  <c r="K25" i="5"/>
  <c r="I26" i="5"/>
  <c r="J26" i="5"/>
  <c r="K26" i="5"/>
  <c r="I27" i="5"/>
  <c r="J27" i="5"/>
  <c r="K27" i="5"/>
  <c r="I28" i="5"/>
  <c r="J28" i="5"/>
  <c r="K28" i="5"/>
  <c r="I29" i="5"/>
  <c r="J29" i="5"/>
  <c r="K29" i="5"/>
  <c r="I30" i="5"/>
  <c r="J30" i="5"/>
  <c r="K30" i="5"/>
  <c r="I31" i="5"/>
  <c r="J31" i="5"/>
  <c r="K31" i="5"/>
  <c r="I32" i="5"/>
  <c r="J32" i="5"/>
  <c r="K32" i="5"/>
  <c r="I33" i="5"/>
  <c r="J33" i="5"/>
  <c r="K33" i="5"/>
  <c r="I34" i="5"/>
  <c r="J34" i="5"/>
  <c r="K34" i="5"/>
  <c r="I35" i="5"/>
  <c r="J35" i="5"/>
  <c r="K35" i="5"/>
  <c r="I36" i="5"/>
  <c r="J36" i="5"/>
  <c r="K36" i="5"/>
  <c r="I37" i="5"/>
  <c r="J37" i="5"/>
  <c r="K37" i="5"/>
  <c r="I38" i="5"/>
  <c r="J38" i="5"/>
  <c r="K38" i="5"/>
  <c r="I39" i="5"/>
  <c r="J39" i="5"/>
  <c r="K39" i="5"/>
  <c r="I40" i="5"/>
  <c r="J40" i="5"/>
  <c r="K40" i="5"/>
  <c r="I41" i="5"/>
  <c r="J41" i="5"/>
  <c r="K41" i="5"/>
  <c r="I42" i="5"/>
  <c r="J42" i="5"/>
  <c r="K42" i="5"/>
  <c r="I43" i="5"/>
  <c r="J43" i="5"/>
  <c r="K43" i="5"/>
  <c r="I44" i="5"/>
  <c r="J44" i="5"/>
  <c r="K44" i="5"/>
  <c r="I45" i="5"/>
  <c r="J45" i="5"/>
  <c r="K45" i="5"/>
  <c r="I46" i="5"/>
  <c r="J46" i="5"/>
  <c r="K46" i="5"/>
  <c r="I47" i="5"/>
  <c r="J47" i="5"/>
  <c r="K47" i="5"/>
  <c r="I48" i="5"/>
  <c r="J48" i="5"/>
  <c r="K48" i="5"/>
  <c r="I49" i="5"/>
  <c r="J49" i="5"/>
  <c r="K49" i="5"/>
  <c r="I50" i="5"/>
  <c r="J50" i="5"/>
  <c r="K50" i="5"/>
  <c r="I51" i="5"/>
  <c r="J51" i="5"/>
  <c r="K51" i="5"/>
  <c r="I52" i="5"/>
  <c r="J52" i="5"/>
  <c r="K52" i="5"/>
  <c r="I53" i="5"/>
  <c r="J53" i="5"/>
  <c r="K53" i="5"/>
  <c r="I54" i="5"/>
  <c r="J54" i="5"/>
  <c r="K54" i="5"/>
  <c r="I55" i="5"/>
  <c r="J55" i="5"/>
  <c r="K55" i="5"/>
  <c r="I56" i="5"/>
  <c r="J56" i="5"/>
  <c r="K56" i="5"/>
  <c r="I57" i="5"/>
  <c r="J57" i="5"/>
  <c r="K57" i="5"/>
  <c r="I58" i="5"/>
  <c r="J58" i="5"/>
  <c r="K58" i="5"/>
  <c r="I59" i="5"/>
  <c r="J59" i="5"/>
  <c r="K59" i="5"/>
  <c r="I60" i="5"/>
  <c r="J60" i="5"/>
  <c r="K60" i="5"/>
  <c r="I61" i="5"/>
  <c r="J61" i="5"/>
  <c r="K61" i="5"/>
  <c r="I62" i="5"/>
  <c r="J62" i="5"/>
  <c r="K62" i="5"/>
  <c r="I63" i="5"/>
  <c r="J63" i="5"/>
  <c r="K63" i="5"/>
  <c r="I64" i="5"/>
  <c r="J64" i="5"/>
  <c r="K64" i="5"/>
  <c r="I65" i="5"/>
  <c r="J65" i="5"/>
  <c r="K65" i="5"/>
  <c r="I66" i="5"/>
  <c r="J66" i="5"/>
  <c r="K66" i="5"/>
  <c r="I67" i="5"/>
  <c r="J67" i="5"/>
  <c r="K67" i="5"/>
  <c r="I68" i="5"/>
  <c r="J68" i="5"/>
  <c r="K68" i="5"/>
  <c r="I69" i="5"/>
  <c r="J69" i="5"/>
  <c r="K69" i="5"/>
  <c r="I70" i="5"/>
  <c r="J70" i="5"/>
  <c r="K70" i="5"/>
  <c r="I71" i="5"/>
  <c r="J71" i="5"/>
  <c r="K71" i="5"/>
  <c r="I72" i="5"/>
  <c r="J72" i="5"/>
  <c r="K72" i="5"/>
  <c r="I73" i="5"/>
  <c r="J73" i="5"/>
  <c r="K73" i="5"/>
  <c r="I74" i="5"/>
  <c r="J74" i="5"/>
  <c r="K74" i="5"/>
  <c r="I75" i="5"/>
  <c r="J75" i="5"/>
  <c r="K75" i="5"/>
  <c r="I76" i="5"/>
  <c r="J76" i="5"/>
  <c r="K76" i="5"/>
  <c r="I77" i="5"/>
  <c r="J77" i="5"/>
  <c r="K77" i="5"/>
  <c r="I78" i="5"/>
  <c r="J78" i="5"/>
  <c r="K78" i="5"/>
  <c r="I79" i="5"/>
  <c r="J79" i="5"/>
  <c r="K79" i="5"/>
  <c r="I80" i="5"/>
  <c r="J80" i="5"/>
  <c r="K80" i="5"/>
  <c r="I81" i="5"/>
  <c r="J81" i="5"/>
  <c r="K81" i="5"/>
  <c r="I82" i="5"/>
  <c r="J82" i="5"/>
  <c r="K82" i="5"/>
  <c r="I83" i="5"/>
  <c r="J83" i="5"/>
  <c r="K83" i="5"/>
  <c r="I84" i="5"/>
  <c r="J84" i="5"/>
  <c r="K84" i="5"/>
  <c r="I85" i="5"/>
  <c r="J85" i="5"/>
  <c r="K85" i="5"/>
  <c r="I86" i="5"/>
  <c r="J86" i="5"/>
  <c r="K86" i="5"/>
  <c r="I87" i="5"/>
  <c r="J87" i="5"/>
  <c r="K87" i="5"/>
  <c r="I88" i="5"/>
  <c r="J88" i="5"/>
  <c r="K88" i="5"/>
  <c r="I89" i="5"/>
  <c r="J89" i="5"/>
  <c r="K89" i="5"/>
  <c r="I90" i="5"/>
  <c r="J90" i="5"/>
  <c r="K90" i="5"/>
  <c r="I91" i="5"/>
  <c r="J91" i="5"/>
  <c r="K91" i="5"/>
  <c r="I92" i="5"/>
  <c r="J92" i="5"/>
  <c r="K92" i="5"/>
  <c r="I93" i="5"/>
  <c r="J93" i="5"/>
  <c r="K93" i="5"/>
  <c r="I94" i="5"/>
  <c r="J94" i="5"/>
  <c r="K94" i="5"/>
  <c r="I95" i="5"/>
  <c r="J95" i="5"/>
  <c r="K95" i="5"/>
  <c r="I96" i="5"/>
  <c r="J96" i="5"/>
  <c r="K96" i="5"/>
  <c r="I97" i="5"/>
  <c r="J97" i="5"/>
  <c r="K97" i="5"/>
  <c r="I98" i="5"/>
  <c r="J98" i="5"/>
  <c r="K98" i="5"/>
  <c r="I99" i="5"/>
  <c r="J99" i="5"/>
  <c r="K99" i="5"/>
  <c r="I100" i="5"/>
  <c r="J100" i="5"/>
  <c r="K100" i="5"/>
  <c r="I101" i="5"/>
  <c r="J101" i="5"/>
  <c r="K101" i="5"/>
  <c r="I102" i="5"/>
  <c r="J102" i="5"/>
  <c r="K102" i="5"/>
  <c r="I103" i="5"/>
  <c r="J103" i="5"/>
  <c r="K103" i="5"/>
  <c r="I104" i="5"/>
  <c r="J104" i="5"/>
  <c r="K104" i="5"/>
  <c r="I105" i="5"/>
  <c r="J105" i="5"/>
  <c r="K105" i="5"/>
  <c r="I106" i="5"/>
  <c r="J106" i="5"/>
  <c r="K106" i="5"/>
  <c r="I107" i="5"/>
  <c r="J107" i="5"/>
  <c r="K107" i="5"/>
  <c r="I108" i="5"/>
  <c r="J108" i="5"/>
  <c r="K108" i="5"/>
  <c r="I109" i="5"/>
  <c r="J109" i="5"/>
  <c r="K109" i="5"/>
  <c r="I110" i="5"/>
  <c r="J110" i="5"/>
  <c r="K110" i="5"/>
  <c r="I111" i="5"/>
  <c r="J111" i="5"/>
  <c r="K111" i="5"/>
  <c r="I112" i="5"/>
  <c r="J112" i="5"/>
  <c r="K112" i="5"/>
  <c r="I113" i="5"/>
  <c r="J113" i="5"/>
  <c r="K113" i="5"/>
  <c r="I114" i="5"/>
  <c r="J114" i="5"/>
  <c r="K114" i="5"/>
  <c r="I115" i="5"/>
  <c r="J115" i="5"/>
  <c r="K115" i="5"/>
  <c r="I116" i="5"/>
  <c r="J116" i="5"/>
  <c r="K116" i="5"/>
  <c r="I117" i="5"/>
  <c r="J117" i="5"/>
  <c r="K117" i="5"/>
  <c r="I118" i="5"/>
  <c r="J118" i="5"/>
  <c r="K118" i="5"/>
  <c r="I119" i="5"/>
  <c r="J119" i="5"/>
  <c r="K119" i="5"/>
  <c r="I120" i="5"/>
  <c r="J120" i="5"/>
  <c r="K120" i="5"/>
  <c r="I121" i="5"/>
  <c r="J121" i="5"/>
  <c r="K121" i="5"/>
  <c r="I122" i="5"/>
  <c r="J122" i="5"/>
  <c r="K122" i="5"/>
  <c r="I123" i="5"/>
  <c r="J123" i="5"/>
  <c r="K123" i="5"/>
  <c r="I124" i="5"/>
  <c r="J124" i="5"/>
  <c r="K124" i="5"/>
  <c r="I125" i="5"/>
  <c r="J125" i="5"/>
  <c r="K125" i="5"/>
  <c r="I126" i="5"/>
  <c r="J126" i="5"/>
  <c r="K126" i="5"/>
  <c r="I127" i="5"/>
  <c r="J127" i="5"/>
  <c r="K127" i="5"/>
  <c r="I128" i="5"/>
  <c r="J128" i="5"/>
  <c r="K128" i="5"/>
  <c r="I129" i="5"/>
  <c r="J129" i="5"/>
  <c r="K129" i="5"/>
  <c r="I130" i="5"/>
  <c r="J130" i="5"/>
  <c r="K130" i="5"/>
  <c r="I131" i="5"/>
  <c r="J131" i="5"/>
  <c r="K131" i="5"/>
  <c r="I132" i="5"/>
  <c r="J132" i="5"/>
  <c r="K132" i="5"/>
  <c r="I133" i="5"/>
  <c r="J133" i="5"/>
  <c r="K133" i="5"/>
  <c r="I134" i="5"/>
  <c r="J134" i="5"/>
  <c r="K134" i="5"/>
  <c r="I135" i="5"/>
  <c r="J135" i="5"/>
  <c r="K135" i="5"/>
  <c r="I136" i="5"/>
  <c r="J136" i="5"/>
  <c r="K136" i="5"/>
  <c r="I137" i="5"/>
  <c r="J137" i="5"/>
  <c r="K137" i="5"/>
  <c r="I138" i="5"/>
  <c r="J138" i="5"/>
  <c r="K138" i="5"/>
  <c r="I139" i="5"/>
  <c r="J139" i="5"/>
  <c r="K139" i="5"/>
  <c r="I140" i="5"/>
  <c r="J140" i="5"/>
  <c r="K140" i="5"/>
  <c r="I141" i="5"/>
  <c r="J141" i="5"/>
  <c r="K141" i="5"/>
  <c r="I142" i="5"/>
  <c r="J142" i="5"/>
  <c r="K142" i="5"/>
  <c r="I143" i="5"/>
  <c r="J143" i="5"/>
  <c r="K143" i="5"/>
  <c r="I144" i="5"/>
  <c r="J144" i="5"/>
  <c r="K144" i="5"/>
  <c r="I145" i="5"/>
  <c r="J145" i="5"/>
  <c r="K145" i="5"/>
  <c r="I146" i="5"/>
  <c r="J146" i="5"/>
  <c r="K146" i="5"/>
  <c r="I147" i="5"/>
  <c r="J147" i="5"/>
  <c r="K147" i="5"/>
  <c r="I148" i="5"/>
  <c r="J148" i="5"/>
  <c r="K148" i="5"/>
  <c r="I149" i="5"/>
  <c r="J149" i="5"/>
  <c r="K149" i="5"/>
  <c r="I150" i="5"/>
  <c r="J150" i="5"/>
  <c r="K150" i="5"/>
  <c r="I151" i="5"/>
  <c r="J151" i="5"/>
  <c r="K151" i="5"/>
  <c r="I152" i="5"/>
  <c r="J152" i="5"/>
  <c r="K152" i="5"/>
  <c r="I153" i="5"/>
  <c r="J153" i="5"/>
  <c r="K153" i="5"/>
  <c r="I154" i="5"/>
  <c r="J154" i="5"/>
  <c r="K154" i="5"/>
  <c r="I155" i="5"/>
  <c r="J155" i="5"/>
  <c r="K155" i="5"/>
  <c r="I156" i="5"/>
  <c r="J156" i="5"/>
  <c r="K156" i="5"/>
  <c r="I157" i="5"/>
  <c r="J157" i="5"/>
  <c r="K157" i="5"/>
  <c r="I158" i="5"/>
  <c r="J158" i="5"/>
  <c r="K158" i="5"/>
  <c r="I159" i="5"/>
  <c r="J159" i="5"/>
  <c r="K159" i="5"/>
  <c r="I160" i="5"/>
  <c r="J160" i="5"/>
  <c r="K160" i="5"/>
  <c r="I161" i="5"/>
  <c r="J161" i="5"/>
  <c r="K161" i="5"/>
  <c r="I162" i="5"/>
  <c r="J162" i="5"/>
  <c r="K162" i="5"/>
  <c r="I163" i="5"/>
  <c r="J163" i="5"/>
  <c r="K163" i="5"/>
  <c r="I164" i="5"/>
  <c r="J164" i="5"/>
  <c r="K164" i="5"/>
  <c r="I165" i="5"/>
  <c r="J165" i="5"/>
  <c r="K165" i="5"/>
  <c r="I166" i="5"/>
  <c r="J166" i="5"/>
  <c r="K166" i="5"/>
  <c r="I167" i="5"/>
  <c r="J167" i="5"/>
  <c r="K167" i="5"/>
  <c r="I168" i="5"/>
  <c r="J168" i="5"/>
  <c r="K168" i="5"/>
  <c r="I169" i="5"/>
  <c r="J169" i="5"/>
  <c r="K169" i="5"/>
  <c r="I170" i="5"/>
  <c r="J170" i="5"/>
  <c r="K170" i="5"/>
  <c r="I171" i="5"/>
  <c r="J171" i="5"/>
  <c r="K171" i="5"/>
  <c r="I172" i="5"/>
  <c r="J172" i="5"/>
  <c r="K172" i="5"/>
  <c r="I173" i="5"/>
  <c r="J173" i="5"/>
  <c r="K173" i="5"/>
  <c r="I174" i="5"/>
  <c r="J174" i="5"/>
  <c r="K174" i="5"/>
  <c r="I175" i="5"/>
  <c r="J175" i="5"/>
  <c r="K175" i="5"/>
  <c r="I176" i="5"/>
  <c r="J176" i="5"/>
  <c r="K176" i="5"/>
  <c r="I177" i="5"/>
  <c r="J177" i="5"/>
  <c r="K177" i="5"/>
  <c r="I178" i="5"/>
  <c r="J178" i="5"/>
  <c r="K178" i="5"/>
  <c r="I179" i="5"/>
  <c r="J179" i="5"/>
  <c r="K179" i="5"/>
  <c r="I180" i="5"/>
  <c r="J180" i="5"/>
  <c r="K180" i="5"/>
  <c r="I181" i="5"/>
  <c r="J181" i="5"/>
  <c r="K181" i="5"/>
  <c r="I182" i="5"/>
  <c r="J182" i="5"/>
  <c r="K182" i="5"/>
  <c r="I183" i="5"/>
  <c r="J183" i="5"/>
  <c r="K183" i="5"/>
  <c r="I184" i="5"/>
  <c r="J184" i="5"/>
  <c r="K184" i="5"/>
  <c r="I185" i="5"/>
  <c r="J185" i="5"/>
  <c r="K185" i="5"/>
  <c r="I186" i="5"/>
  <c r="J186" i="5"/>
  <c r="K186" i="5"/>
  <c r="I187" i="5"/>
  <c r="J187" i="5"/>
  <c r="K187" i="5"/>
  <c r="I188" i="5"/>
  <c r="J188" i="5"/>
  <c r="K188" i="5"/>
  <c r="I189" i="5"/>
  <c r="J189" i="5"/>
  <c r="K189" i="5"/>
  <c r="I190" i="5"/>
  <c r="J190" i="5"/>
  <c r="K190" i="5"/>
  <c r="I191" i="5"/>
  <c r="J191" i="5"/>
  <c r="K191" i="5"/>
  <c r="I192" i="5"/>
  <c r="J192" i="5"/>
  <c r="K192" i="5"/>
  <c r="I193" i="5"/>
  <c r="J193" i="5"/>
  <c r="K193" i="5"/>
  <c r="I194" i="5"/>
  <c r="J194" i="5"/>
  <c r="K194" i="5"/>
  <c r="I195" i="5"/>
  <c r="J195" i="5"/>
  <c r="K195" i="5"/>
  <c r="I196" i="5"/>
  <c r="J196" i="5"/>
  <c r="K196" i="5"/>
  <c r="I197" i="5"/>
  <c r="J197" i="5"/>
  <c r="K197" i="5"/>
  <c r="I198" i="5"/>
  <c r="J198" i="5"/>
  <c r="K198" i="5"/>
  <c r="I199" i="5"/>
  <c r="J199" i="5"/>
  <c r="K199" i="5"/>
  <c r="I200" i="5"/>
  <c r="J200" i="5"/>
  <c r="K200" i="5"/>
  <c r="I201" i="5"/>
  <c r="J201" i="5"/>
  <c r="K201" i="5"/>
  <c r="I202" i="5"/>
  <c r="J202" i="5"/>
  <c r="K202" i="5"/>
  <c r="I203" i="5"/>
  <c r="J203" i="5"/>
  <c r="K203" i="5"/>
  <c r="I204" i="5"/>
  <c r="J204" i="5"/>
  <c r="K204" i="5"/>
  <c r="I205" i="5"/>
  <c r="J205" i="5"/>
  <c r="K205" i="5"/>
  <c r="I206" i="5"/>
  <c r="J206" i="5"/>
  <c r="K206" i="5"/>
  <c r="I207" i="5"/>
  <c r="J207" i="5"/>
  <c r="K207" i="5"/>
  <c r="I208" i="5"/>
  <c r="J208" i="5"/>
  <c r="K208" i="5"/>
  <c r="I209" i="5"/>
  <c r="J209" i="5"/>
  <c r="K209" i="5"/>
  <c r="I210" i="5"/>
  <c r="J210" i="5"/>
  <c r="K210" i="5"/>
  <c r="I211" i="5"/>
  <c r="J211" i="5"/>
  <c r="K211" i="5"/>
  <c r="I212" i="5"/>
  <c r="J212" i="5"/>
  <c r="K212" i="5"/>
  <c r="I213" i="5"/>
  <c r="J213" i="5"/>
  <c r="K213" i="5"/>
  <c r="I214" i="5"/>
  <c r="J214" i="5"/>
  <c r="K214" i="5"/>
  <c r="I215" i="5"/>
  <c r="J215" i="5"/>
  <c r="K215" i="5"/>
  <c r="I216" i="5"/>
  <c r="J216" i="5"/>
  <c r="K216" i="5"/>
  <c r="I217" i="5"/>
  <c r="J217" i="5"/>
  <c r="K217" i="5"/>
  <c r="I218" i="5"/>
  <c r="J218" i="5"/>
  <c r="K218" i="5"/>
  <c r="I219" i="5"/>
  <c r="J219" i="5"/>
  <c r="K219" i="5"/>
  <c r="I220" i="5"/>
  <c r="J220" i="5"/>
  <c r="K220" i="5"/>
  <c r="I221" i="5"/>
  <c r="J221" i="5"/>
  <c r="K221" i="5"/>
  <c r="I222" i="5"/>
  <c r="J222" i="5"/>
  <c r="K222" i="5"/>
  <c r="I223" i="5"/>
  <c r="J223" i="5"/>
  <c r="K223" i="5"/>
  <c r="I224" i="5"/>
  <c r="J224" i="5"/>
  <c r="K224" i="5"/>
  <c r="I225" i="5"/>
  <c r="J225" i="5"/>
  <c r="K225" i="5"/>
  <c r="I226" i="5"/>
  <c r="J226" i="5"/>
  <c r="K226" i="5"/>
  <c r="I227" i="5"/>
  <c r="J227" i="5"/>
  <c r="K227" i="5"/>
  <c r="I228" i="5"/>
  <c r="J228" i="5"/>
  <c r="K228" i="5"/>
  <c r="I229" i="5"/>
  <c r="J229" i="5"/>
  <c r="K229" i="5"/>
  <c r="I230" i="5"/>
  <c r="J230" i="5"/>
  <c r="K230" i="5"/>
  <c r="I231" i="5"/>
  <c r="J231" i="5"/>
  <c r="K231" i="5"/>
  <c r="I232" i="5"/>
  <c r="J232" i="5"/>
  <c r="K232" i="5"/>
  <c r="I233" i="5"/>
  <c r="J233" i="5"/>
  <c r="K233" i="5"/>
  <c r="I234" i="5"/>
  <c r="J234" i="5"/>
  <c r="K234" i="5"/>
  <c r="I235" i="5"/>
  <c r="J235" i="5"/>
  <c r="K235" i="5"/>
  <c r="I236" i="5"/>
  <c r="J236" i="5"/>
  <c r="K236" i="5"/>
  <c r="I237" i="5"/>
  <c r="J237" i="5"/>
  <c r="K237" i="5"/>
  <c r="I238" i="5"/>
  <c r="J238" i="5"/>
  <c r="K238" i="5"/>
  <c r="I239" i="5"/>
  <c r="J239" i="5"/>
  <c r="K239" i="5"/>
  <c r="I240" i="5"/>
  <c r="J240" i="5"/>
  <c r="K240" i="5"/>
  <c r="I241" i="5"/>
  <c r="J241" i="5"/>
  <c r="K241" i="5"/>
  <c r="I242" i="5"/>
  <c r="J242" i="5"/>
  <c r="K242" i="5"/>
  <c r="I243" i="5"/>
  <c r="J243" i="5"/>
  <c r="K243" i="5"/>
  <c r="I244" i="5"/>
  <c r="J244" i="5"/>
  <c r="K244" i="5"/>
  <c r="I245" i="5"/>
  <c r="J245" i="5"/>
  <c r="K245" i="5"/>
  <c r="I246" i="5"/>
  <c r="J246" i="5"/>
  <c r="K246" i="5"/>
  <c r="I247" i="5"/>
  <c r="J247" i="5"/>
  <c r="K247" i="5"/>
  <c r="I248" i="5"/>
  <c r="J248" i="5"/>
  <c r="K248" i="5"/>
  <c r="I249" i="5"/>
  <c r="J249" i="5"/>
  <c r="K249" i="5"/>
  <c r="I250" i="5"/>
  <c r="J250" i="5"/>
  <c r="K250" i="5"/>
  <c r="J2" i="5"/>
  <c r="K2" i="5"/>
  <c r="I2" i="5"/>
  <c r="B3" i="5"/>
  <c r="C3" i="5"/>
  <c r="D3" i="5"/>
  <c r="E3" i="5"/>
  <c r="F3" i="5"/>
  <c r="G3" i="5"/>
  <c r="H3" i="5"/>
  <c r="B4" i="5"/>
  <c r="C4" i="5"/>
  <c r="D4" i="5"/>
  <c r="E4" i="5"/>
  <c r="F4" i="5"/>
  <c r="G4" i="5"/>
  <c r="H4" i="5"/>
  <c r="B5" i="5"/>
  <c r="C5" i="5"/>
  <c r="D5" i="5"/>
  <c r="E5" i="5"/>
  <c r="F5" i="5"/>
  <c r="G5" i="5"/>
  <c r="H5" i="5"/>
  <c r="B6" i="5"/>
  <c r="C6" i="5"/>
  <c r="D6" i="5"/>
  <c r="E6" i="5"/>
  <c r="F6" i="5"/>
  <c r="G6" i="5"/>
  <c r="H6" i="5"/>
  <c r="B7" i="5"/>
  <c r="C7" i="5"/>
  <c r="D7" i="5"/>
  <c r="E7" i="5"/>
  <c r="F7" i="5"/>
  <c r="G7" i="5"/>
  <c r="H7" i="5"/>
  <c r="B8" i="5"/>
  <c r="C8" i="5"/>
  <c r="D8" i="5"/>
  <c r="E8" i="5"/>
  <c r="F8" i="5"/>
  <c r="G8" i="5"/>
  <c r="H8" i="5"/>
  <c r="B9" i="5"/>
  <c r="C9" i="5"/>
  <c r="D9" i="5"/>
  <c r="E9" i="5"/>
  <c r="F9" i="5"/>
  <c r="G9" i="5"/>
  <c r="H9" i="5"/>
  <c r="B10" i="5"/>
  <c r="C10" i="5"/>
  <c r="D10" i="5"/>
  <c r="E10" i="5"/>
  <c r="F10" i="5"/>
  <c r="G10" i="5"/>
  <c r="H10" i="5"/>
  <c r="B11" i="5"/>
  <c r="C11" i="5"/>
  <c r="D11" i="5"/>
  <c r="E11" i="5"/>
  <c r="F11" i="5"/>
  <c r="G11" i="5"/>
  <c r="H11" i="5"/>
  <c r="B12" i="5"/>
  <c r="C12" i="5"/>
  <c r="D12" i="5"/>
  <c r="E12" i="5"/>
  <c r="F12" i="5"/>
  <c r="G12" i="5"/>
  <c r="H12" i="5"/>
  <c r="B13" i="5"/>
  <c r="C13" i="5"/>
  <c r="D13" i="5"/>
  <c r="E13" i="5"/>
  <c r="F13" i="5"/>
  <c r="G13" i="5"/>
  <c r="H13" i="5"/>
  <c r="B14" i="5"/>
  <c r="C14" i="5"/>
  <c r="D14" i="5"/>
  <c r="E14" i="5"/>
  <c r="F14" i="5"/>
  <c r="G14" i="5"/>
  <c r="H14" i="5"/>
  <c r="B15" i="5"/>
  <c r="C15" i="5"/>
  <c r="D15" i="5"/>
  <c r="E15" i="5"/>
  <c r="F15" i="5"/>
  <c r="G15" i="5"/>
  <c r="H15" i="5"/>
  <c r="B16" i="5"/>
  <c r="C16" i="5"/>
  <c r="D16" i="5"/>
  <c r="E16" i="5"/>
  <c r="F16" i="5"/>
  <c r="G16" i="5"/>
  <c r="H16" i="5"/>
  <c r="B17" i="5"/>
  <c r="C17" i="5"/>
  <c r="D17" i="5"/>
  <c r="E17" i="5"/>
  <c r="F17" i="5"/>
  <c r="G17" i="5"/>
  <c r="H17" i="5"/>
  <c r="B18" i="5"/>
  <c r="C18" i="5"/>
  <c r="D18" i="5"/>
  <c r="E18" i="5"/>
  <c r="F18" i="5"/>
  <c r="G18" i="5"/>
  <c r="H18" i="5"/>
  <c r="B19" i="5"/>
  <c r="C19" i="5"/>
  <c r="D19" i="5"/>
  <c r="E19" i="5"/>
  <c r="F19" i="5"/>
  <c r="G19" i="5"/>
  <c r="H19" i="5"/>
  <c r="B20" i="5"/>
  <c r="C20" i="5"/>
  <c r="D20" i="5"/>
  <c r="E20" i="5"/>
  <c r="F20" i="5"/>
  <c r="G20" i="5"/>
  <c r="H20" i="5"/>
  <c r="B21" i="5"/>
  <c r="C21" i="5"/>
  <c r="D21" i="5"/>
  <c r="E21" i="5"/>
  <c r="F21" i="5"/>
  <c r="G21" i="5"/>
  <c r="H21" i="5"/>
  <c r="B22" i="5"/>
  <c r="C22" i="5"/>
  <c r="D22" i="5"/>
  <c r="E22" i="5"/>
  <c r="F22" i="5"/>
  <c r="G22" i="5"/>
  <c r="H22" i="5"/>
  <c r="B23" i="5"/>
  <c r="C23" i="5"/>
  <c r="D23" i="5"/>
  <c r="E23" i="5"/>
  <c r="F23" i="5"/>
  <c r="G23" i="5"/>
  <c r="H23" i="5"/>
  <c r="B24" i="5"/>
  <c r="C24" i="5"/>
  <c r="D24" i="5"/>
  <c r="E24" i="5"/>
  <c r="F24" i="5"/>
  <c r="G24" i="5"/>
  <c r="H24" i="5"/>
  <c r="B25" i="5"/>
  <c r="C25" i="5"/>
  <c r="D25" i="5"/>
  <c r="E25" i="5"/>
  <c r="F25" i="5"/>
  <c r="G25" i="5"/>
  <c r="H25" i="5"/>
  <c r="B26" i="5"/>
  <c r="C26" i="5"/>
  <c r="D26" i="5"/>
  <c r="E26" i="5"/>
  <c r="F26" i="5"/>
  <c r="G26" i="5"/>
  <c r="H26" i="5"/>
  <c r="B27" i="5"/>
  <c r="C27" i="5"/>
  <c r="D27" i="5"/>
  <c r="E27" i="5"/>
  <c r="F27" i="5"/>
  <c r="G27" i="5"/>
  <c r="H27" i="5"/>
  <c r="B28" i="5"/>
  <c r="C28" i="5"/>
  <c r="D28" i="5"/>
  <c r="E28" i="5"/>
  <c r="F28" i="5"/>
  <c r="G28" i="5"/>
  <c r="H28" i="5"/>
  <c r="B29" i="5"/>
  <c r="C29" i="5"/>
  <c r="D29" i="5"/>
  <c r="E29" i="5"/>
  <c r="F29" i="5"/>
  <c r="G29" i="5"/>
  <c r="H29" i="5"/>
  <c r="B30" i="5"/>
  <c r="C30" i="5"/>
  <c r="D30" i="5"/>
  <c r="E30" i="5"/>
  <c r="F30" i="5"/>
  <c r="G30" i="5"/>
  <c r="H30" i="5"/>
  <c r="B31" i="5"/>
  <c r="C31" i="5"/>
  <c r="D31" i="5"/>
  <c r="E31" i="5"/>
  <c r="F31" i="5"/>
  <c r="G31" i="5"/>
  <c r="H31" i="5"/>
  <c r="B32" i="5"/>
  <c r="C32" i="5"/>
  <c r="D32" i="5"/>
  <c r="E32" i="5"/>
  <c r="F32" i="5"/>
  <c r="G32" i="5"/>
  <c r="H32" i="5"/>
  <c r="B33" i="5"/>
  <c r="C33" i="5"/>
  <c r="D33" i="5"/>
  <c r="E33" i="5"/>
  <c r="F33" i="5"/>
  <c r="G33" i="5"/>
  <c r="H33" i="5"/>
  <c r="B34" i="5"/>
  <c r="C34" i="5"/>
  <c r="D34" i="5"/>
  <c r="E34" i="5"/>
  <c r="F34" i="5"/>
  <c r="G34" i="5"/>
  <c r="H34" i="5"/>
  <c r="B35" i="5"/>
  <c r="C35" i="5"/>
  <c r="D35" i="5"/>
  <c r="E35" i="5"/>
  <c r="F35" i="5"/>
  <c r="G35" i="5"/>
  <c r="H35" i="5"/>
  <c r="B36" i="5"/>
  <c r="C36" i="5"/>
  <c r="D36" i="5"/>
  <c r="E36" i="5"/>
  <c r="F36" i="5"/>
  <c r="G36" i="5"/>
  <c r="H36" i="5"/>
  <c r="B37" i="5"/>
  <c r="C37" i="5"/>
  <c r="D37" i="5"/>
  <c r="E37" i="5"/>
  <c r="F37" i="5"/>
  <c r="G37" i="5"/>
  <c r="H37" i="5"/>
  <c r="B38" i="5"/>
  <c r="C38" i="5"/>
  <c r="D38" i="5"/>
  <c r="E38" i="5"/>
  <c r="F38" i="5"/>
  <c r="G38" i="5"/>
  <c r="H38" i="5"/>
  <c r="B39" i="5"/>
  <c r="C39" i="5"/>
  <c r="D39" i="5"/>
  <c r="E39" i="5"/>
  <c r="F39" i="5"/>
  <c r="G39" i="5"/>
  <c r="H39" i="5"/>
  <c r="B40" i="5"/>
  <c r="C40" i="5"/>
  <c r="D40" i="5"/>
  <c r="E40" i="5"/>
  <c r="F40" i="5"/>
  <c r="G40" i="5"/>
  <c r="H40" i="5"/>
  <c r="B41" i="5"/>
  <c r="C41" i="5"/>
  <c r="D41" i="5"/>
  <c r="E41" i="5"/>
  <c r="F41" i="5"/>
  <c r="G41" i="5"/>
  <c r="H41" i="5"/>
  <c r="B42" i="5"/>
  <c r="C42" i="5"/>
  <c r="D42" i="5"/>
  <c r="E42" i="5"/>
  <c r="F42" i="5"/>
  <c r="G42" i="5"/>
  <c r="H42" i="5"/>
  <c r="B43" i="5"/>
  <c r="C43" i="5"/>
  <c r="D43" i="5"/>
  <c r="E43" i="5"/>
  <c r="F43" i="5"/>
  <c r="G43" i="5"/>
  <c r="H43" i="5"/>
  <c r="B44" i="5"/>
  <c r="C44" i="5"/>
  <c r="D44" i="5"/>
  <c r="E44" i="5"/>
  <c r="F44" i="5"/>
  <c r="G44" i="5"/>
  <c r="H44" i="5"/>
  <c r="B45" i="5"/>
  <c r="C45" i="5"/>
  <c r="D45" i="5"/>
  <c r="E45" i="5"/>
  <c r="F45" i="5"/>
  <c r="G45" i="5"/>
  <c r="H45" i="5"/>
  <c r="B46" i="5"/>
  <c r="C46" i="5"/>
  <c r="D46" i="5"/>
  <c r="E46" i="5"/>
  <c r="F46" i="5"/>
  <c r="G46" i="5"/>
  <c r="H46" i="5"/>
  <c r="B47" i="5"/>
  <c r="C47" i="5"/>
  <c r="D47" i="5"/>
  <c r="E47" i="5"/>
  <c r="F47" i="5"/>
  <c r="G47" i="5"/>
  <c r="H47" i="5"/>
  <c r="B48" i="5"/>
  <c r="C48" i="5"/>
  <c r="D48" i="5"/>
  <c r="E48" i="5"/>
  <c r="F48" i="5"/>
  <c r="G48" i="5"/>
  <c r="H48" i="5"/>
  <c r="B49" i="5"/>
  <c r="C49" i="5"/>
  <c r="D49" i="5"/>
  <c r="E49" i="5"/>
  <c r="F49" i="5"/>
  <c r="G49" i="5"/>
  <c r="H49" i="5"/>
  <c r="B50" i="5"/>
  <c r="C50" i="5"/>
  <c r="D50" i="5"/>
  <c r="E50" i="5"/>
  <c r="F50" i="5"/>
  <c r="G50" i="5"/>
  <c r="H50" i="5"/>
  <c r="B51" i="5"/>
  <c r="C51" i="5"/>
  <c r="D51" i="5"/>
  <c r="E51" i="5"/>
  <c r="F51" i="5"/>
  <c r="G51" i="5"/>
  <c r="H51" i="5"/>
  <c r="B52" i="5"/>
  <c r="C52" i="5"/>
  <c r="D52" i="5"/>
  <c r="E52" i="5"/>
  <c r="F52" i="5"/>
  <c r="G52" i="5"/>
  <c r="H52" i="5"/>
  <c r="B53" i="5"/>
  <c r="C53" i="5"/>
  <c r="D53" i="5"/>
  <c r="E53" i="5"/>
  <c r="F53" i="5"/>
  <c r="G53" i="5"/>
  <c r="H53" i="5"/>
  <c r="B54" i="5"/>
  <c r="C54" i="5"/>
  <c r="D54" i="5"/>
  <c r="E54" i="5"/>
  <c r="F54" i="5"/>
  <c r="G54" i="5"/>
  <c r="H54" i="5"/>
  <c r="B55" i="5"/>
  <c r="C55" i="5"/>
  <c r="D55" i="5"/>
  <c r="E55" i="5"/>
  <c r="F55" i="5"/>
  <c r="G55" i="5"/>
  <c r="H55" i="5"/>
  <c r="B56" i="5"/>
  <c r="C56" i="5"/>
  <c r="D56" i="5"/>
  <c r="E56" i="5"/>
  <c r="F56" i="5"/>
  <c r="G56" i="5"/>
  <c r="H56" i="5"/>
  <c r="B57" i="5"/>
  <c r="C57" i="5"/>
  <c r="D57" i="5"/>
  <c r="E57" i="5"/>
  <c r="F57" i="5"/>
  <c r="G57" i="5"/>
  <c r="H57" i="5"/>
  <c r="B58" i="5"/>
  <c r="C58" i="5"/>
  <c r="D58" i="5"/>
  <c r="E58" i="5"/>
  <c r="F58" i="5"/>
  <c r="G58" i="5"/>
  <c r="H58" i="5"/>
  <c r="B59" i="5"/>
  <c r="C59" i="5"/>
  <c r="D59" i="5"/>
  <c r="E59" i="5"/>
  <c r="F59" i="5"/>
  <c r="G59" i="5"/>
  <c r="H59" i="5"/>
  <c r="B60" i="5"/>
  <c r="C60" i="5"/>
  <c r="D60" i="5"/>
  <c r="E60" i="5"/>
  <c r="F60" i="5"/>
  <c r="G60" i="5"/>
  <c r="H60" i="5"/>
  <c r="B61" i="5"/>
  <c r="C61" i="5"/>
  <c r="D61" i="5"/>
  <c r="E61" i="5"/>
  <c r="F61" i="5"/>
  <c r="G61" i="5"/>
  <c r="H61" i="5"/>
  <c r="B62" i="5"/>
  <c r="C62" i="5"/>
  <c r="D62" i="5"/>
  <c r="E62" i="5"/>
  <c r="F62" i="5"/>
  <c r="G62" i="5"/>
  <c r="H62" i="5"/>
  <c r="B63" i="5"/>
  <c r="C63" i="5"/>
  <c r="D63" i="5"/>
  <c r="E63" i="5"/>
  <c r="F63" i="5"/>
  <c r="G63" i="5"/>
  <c r="H63" i="5"/>
  <c r="B64" i="5"/>
  <c r="C64" i="5"/>
  <c r="D64" i="5"/>
  <c r="E64" i="5"/>
  <c r="F64" i="5"/>
  <c r="G64" i="5"/>
  <c r="H64" i="5"/>
  <c r="B65" i="5"/>
  <c r="C65" i="5"/>
  <c r="D65" i="5"/>
  <c r="E65" i="5"/>
  <c r="F65" i="5"/>
  <c r="G65" i="5"/>
  <c r="H65" i="5"/>
  <c r="B66" i="5"/>
  <c r="C66" i="5"/>
  <c r="D66" i="5"/>
  <c r="E66" i="5"/>
  <c r="F66" i="5"/>
  <c r="G66" i="5"/>
  <c r="H66" i="5"/>
  <c r="B67" i="5"/>
  <c r="C67" i="5"/>
  <c r="D67" i="5"/>
  <c r="E67" i="5"/>
  <c r="F67" i="5"/>
  <c r="G67" i="5"/>
  <c r="H67" i="5"/>
  <c r="B68" i="5"/>
  <c r="C68" i="5"/>
  <c r="D68" i="5"/>
  <c r="E68" i="5"/>
  <c r="F68" i="5"/>
  <c r="G68" i="5"/>
  <c r="H68" i="5"/>
  <c r="B69" i="5"/>
  <c r="C69" i="5"/>
  <c r="D69" i="5"/>
  <c r="E69" i="5"/>
  <c r="F69" i="5"/>
  <c r="G69" i="5"/>
  <c r="H69" i="5"/>
  <c r="B70" i="5"/>
  <c r="C70" i="5"/>
  <c r="D70" i="5"/>
  <c r="E70" i="5"/>
  <c r="F70" i="5"/>
  <c r="G70" i="5"/>
  <c r="H70" i="5"/>
  <c r="B71" i="5"/>
  <c r="C71" i="5"/>
  <c r="D71" i="5"/>
  <c r="E71" i="5"/>
  <c r="F71" i="5"/>
  <c r="G71" i="5"/>
  <c r="H71" i="5"/>
  <c r="B72" i="5"/>
  <c r="C72" i="5"/>
  <c r="D72" i="5"/>
  <c r="E72" i="5"/>
  <c r="F72" i="5"/>
  <c r="G72" i="5"/>
  <c r="H72" i="5"/>
  <c r="B73" i="5"/>
  <c r="C73" i="5"/>
  <c r="D73" i="5"/>
  <c r="E73" i="5"/>
  <c r="F73" i="5"/>
  <c r="G73" i="5"/>
  <c r="H73" i="5"/>
  <c r="B74" i="5"/>
  <c r="C74" i="5"/>
  <c r="D74" i="5"/>
  <c r="E74" i="5"/>
  <c r="F74" i="5"/>
  <c r="G74" i="5"/>
  <c r="H74" i="5"/>
  <c r="B75" i="5"/>
  <c r="C75" i="5"/>
  <c r="D75" i="5"/>
  <c r="E75" i="5"/>
  <c r="F75" i="5"/>
  <c r="G75" i="5"/>
  <c r="H75" i="5"/>
  <c r="B76" i="5"/>
  <c r="C76" i="5"/>
  <c r="D76" i="5"/>
  <c r="E76" i="5"/>
  <c r="F76" i="5"/>
  <c r="G76" i="5"/>
  <c r="H76" i="5"/>
  <c r="B77" i="5"/>
  <c r="C77" i="5"/>
  <c r="D77" i="5"/>
  <c r="E77" i="5"/>
  <c r="F77" i="5"/>
  <c r="G77" i="5"/>
  <c r="H77" i="5"/>
  <c r="B78" i="5"/>
  <c r="C78" i="5"/>
  <c r="D78" i="5"/>
  <c r="E78" i="5"/>
  <c r="F78" i="5"/>
  <c r="G78" i="5"/>
  <c r="H78" i="5"/>
  <c r="B79" i="5"/>
  <c r="C79" i="5"/>
  <c r="D79" i="5"/>
  <c r="E79" i="5"/>
  <c r="F79" i="5"/>
  <c r="G79" i="5"/>
  <c r="H79" i="5"/>
  <c r="B80" i="5"/>
  <c r="C80" i="5"/>
  <c r="D80" i="5"/>
  <c r="E80" i="5"/>
  <c r="F80" i="5"/>
  <c r="G80" i="5"/>
  <c r="H80" i="5"/>
  <c r="B81" i="5"/>
  <c r="C81" i="5"/>
  <c r="D81" i="5"/>
  <c r="E81" i="5"/>
  <c r="F81" i="5"/>
  <c r="G81" i="5"/>
  <c r="H81" i="5"/>
  <c r="B82" i="5"/>
  <c r="C82" i="5"/>
  <c r="D82" i="5"/>
  <c r="E82" i="5"/>
  <c r="F82" i="5"/>
  <c r="G82" i="5"/>
  <c r="H82" i="5"/>
  <c r="B83" i="5"/>
  <c r="C83" i="5"/>
  <c r="D83" i="5"/>
  <c r="E83" i="5"/>
  <c r="F83" i="5"/>
  <c r="G83" i="5"/>
  <c r="H83" i="5"/>
  <c r="B84" i="5"/>
  <c r="C84" i="5"/>
  <c r="D84" i="5"/>
  <c r="E84" i="5"/>
  <c r="F84" i="5"/>
  <c r="G84" i="5"/>
  <c r="H84" i="5"/>
  <c r="B85" i="5"/>
  <c r="C85" i="5"/>
  <c r="D85" i="5"/>
  <c r="E85" i="5"/>
  <c r="F85" i="5"/>
  <c r="G85" i="5"/>
  <c r="H85" i="5"/>
  <c r="B86" i="5"/>
  <c r="C86" i="5"/>
  <c r="D86" i="5"/>
  <c r="E86" i="5"/>
  <c r="F86" i="5"/>
  <c r="G86" i="5"/>
  <c r="H86" i="5"/>
  <c r="B87" i="5"/>
  <c r="C87" i="5"/>
  <c r="D87" i="5"/>
  <c r="E87" i="5"/>
  <c r="F87" i="5"/>
  <c r="G87" i="5"/>
  <c r="H87" i="5"/>
  <c r="B88" i="5"/>
  <c r="C88" i="5"/>
  <c r="D88" i="5"/>
  <c r="E88" i="5"/>
  <c r="F88" i="5"/>
  <c r="G88" i="5"/>
  <c r="H88" i="5"/>
  <c r="B89" i="5"/>
  <c r="C89" i="5"/>
  <c r="D89" i="5"/>
  <c r="E89" i="5"/>
  <c r="F89" i="5"/>
  <c r="G89" i="5"/>
  <c r="H89" i="5"/>
  <c r="B90" i="5"/>
  <c r="C90" i="5"/>
  <c r="D90" i="5"/>
  <c r="E90" i="5"/>
  <c r="F90" i="5"/>
  <c r="G90" i="5"/>
  <c r="H90" i="5"/>
  <c r="B91" i="5"/>
  <c r="C91" i="5"/>
  <c r="D91" i="5"/>
  <c r="E91" i="5"/>
  <c r="F91" i="5"/>
  <c r="G91" i="5"/>
  <c r="H91" i="5"/>
  <c r="B92" i="5"/>
  <c r="C92" i="5"/>
  <c r="D92" i="5"/>
  <c r="E92" i="5"/>
  <c r="F92" i="5"/>
  <c r="G92" i="5"/>
  <c r="H92" i="5"/>
  <c r="B93" i="5"/>
  <c r="C93" i="5"/>
  <c r="D93" i="5"/>
  <c r="E93" i="5"/>
  <c r="F93" i="5"/>
  <c r="G93" i="5"/>
  <c r="H93" i="5"/>
  <c r="B94" i="5"/>
  <c r="C94" i="5"/>
  <c r="D94" i="5"/>
  <c r="E94" i="5"/>
  <c r="F94" i="5"/>
  <c r="G94" i="5"/>
  <c r="H94" i="5"/>
  <c r="B95" i="5"/>
  <c r="C95" i="5"/>
  <c r="D95" i="5"/>
  <c r="E95" i="5"/>
  <c r="F95" i="5"/>
  <c r="G95" i="5"/>
  <c r="H95" i="5"/>
  <c r="B96" i="5"/>
  <c r="C96" i="5"/>
  <c r="D96" i="5"/>
  <c r="E96" i="5"/>
  <c r="F96" i="5"/>
  <c r="G96" i="5"/>
  <c r="H96" i="5"/>
  <c r="B97" i="5"/>
  <c r="C97" i="5"/>
  <c r="D97" i="5"/>
  <c r="E97" i="5"/>
  <c r="F97" i="5"/>
  <c r="G97" i="5"/>
  <c r="H97" i="5"/>
  <c r="B98" i="5"/>
  <c r="C98" i="5"/>
  <c r="D98" i="5"/>
  <c r="E98" i="5"/>
  <c r="F98" i="5"/>
  <c r="G98" i="5"/>
  <c r="H98" i="5"/>
  <c r="B99" i="5"/>
  <c r="C99" i="5"/>
  <c r="D99" i="5"/>
  <c r="E99" i="5"/>
  <c r="F99" i="5"/>
  <c r="G99" i="5"/>
  <c r="H99" i="5"/>
  <c r="B100" i="5"/>
  <c r="C100" i="5"/>
  <c r="D100" i="5"/>
  <c r="E100" i="5"/>
  <c r="F100" i="5"/>
  <c r="G100" i="5"/>
  <c r="H100" i="5"/>
  <c r="B101" i="5"/>
  <c r="C101" i="5"/>
  <c r="D101" i="5"/>
  <c r="E101" i="5"/>
  <c r="F101" i="5"/>
  <c r="G101" i="5"/>
  <c r="H101" i="5"/>
  <c r="B102" i="5"/>
  <c r="C102" i="5"/>
  <c r="D102" i="5"/>
  <c r="E102" i="5"/>
  <c r="F102" i="5"/>
  <c r="G102" i="5"/>
  <c r="H102" i="5"/>
  <c r="B103" i="5"/>
  <c r="C103" i="5"/>
  <c r="D103" i="5"/>
  <c r="E103" i="5"/>
  <c r="F103" i="5"/>
  <c r="G103" i="5"/>
  <c r="H103" i="5"/>
  <c r="B104" i="5"/>
  <c r="C104" i="5"/>
  <c r="D104" i="5"/>
  <c r="E104" i="5"/>
  <c r="F104" i="5"/>
  <c r="G104" i="5"/>
  <c r="H104" i="5"/>
  <c r="B105" i="5"/>
  <c r="C105" i="5"/>
  <c r="D105" i="5"/>
  <c r="E105" i="5"/>
  <c r="F105" i="5"/>
  <c r="G105" i="5"/>
  <c r="H105" i="5"/>
  <c r="B106" i="5"/>
  <c r="C106" i="5"/>
  <c r="D106" i="5"/>
  <c r="E106" i="5"/>
  <c r="F106" i="5"/>
  <c r="G106" i="5"/>
  <c r="H106" i="5"/>
  <c r="B107" i="5"/>
  <c r="C107" i="5"/>
  <c r="D107" i="5"/>
  <c r="E107" i="5"/>
  <c r="F107" i="5"/>
  <c r="G107" i="5"/>
  <c r="H107" i="5"/>
  <c r="B108" i="5"/>
  <c r="C108" i="5"/>
  <c r="D108" i="5"/>
  <c r="E108" i="5"/>
  <c r="F108" i="5"/>
  <c r="G108" i="5"/>
  <c r="H108" i="5"/>
  <c r="B109" i="5"/>
  <c r="C109" i="5"/>
  <c r="D109" i="5"/>
  <c r="E109" i="5"/>
  <c r="F109" i="5"/>
  <c r="G109" i="5"/>
  <c r="H109" i="5"/>
  <c r="B110" i="5"/>
  <c r="C110" i="5"/>
  <c r="D110" i="5"/>
  <c r="E110" i="5"/>
  <c r="F110" i="5"/>
  <c r="G110" i="5"/>
  <c r="H110" i="5"/>
  <c r="B111" i="5"/>
  <c r="C111" i="5"/>
  <c r="D111" i="5"/>
  <c r="E111" i="5"/>
  <c r="F111" i="5"/>
  <c r="G111" i="5"/>
  <c r="H111" i="5"/>
  <c r="B112" i="5"/>
  <c r="C112" i="5"/>
  <c r="D112" i="5"/>
  <c r="E112" i="5"/>
  <c r="F112" i="5"/>
  <c r="G112" i="5"/>
  <c r="H112" i="5"/>
  <c r="B113" i="5"/>
  <c r="C113" i="5"/>
  <c r="D113" i="5"/>
  <c r="E113" i="5"/>
  <c r="F113" i="5"/>
  <c r="G113" i="5"/>
  <c r="H113" i="5"/>
  <c r="B114" i="5"/>
  <c r="C114" i="5"/>
  <c r="D114" i="5"/>
  <c r="E114" i="5"/>
  <c r="F114" i="5"/>
  <c r="G114" i="5"/>
  <c r="H114" i="5"/>
  <c r="B115" i="5"/>
  <c r="C115" i="5"/>
  <c r="D115" i="5"/>
  <c r="E115" i="5"/>
  <c r="F115" i="5"/>
  <c r="G115" i="5"/>
  <c r="H115" i="5"/>
  <c r="B116" i="5"/>
  <c r="C116" i="5"/>
  <c r="D116" i="5"/>
  <c r="E116" i="5"/>
  <c r="F116" i="5"/>
  <c r="G116" i="5"/>
  <c r="H116" i="5"/>
  <c r="B117" i="5"/>
  <c r="C117" i="5"/>
  <c r="D117" i="5"/>
  <c r="E117" i="5"/>
  <c r="F117" i="5"/>
  <c r="G117" i="5"/>
  <c r="H117" i="5"/>
  <c r="B118" i="5"/>
  <c r="C118" i="5"/>
  <c r="D118" i="5"/>
  <c r="E118" i="5"/>
  <c r="F118" i="5"/>
  <c r="G118" i="5"/>
  <c r="H118" i="5"/>
  <c r="B119" i="5"/>
  <c r="C119" i="5"/>
  <c r="D119" i="5"/>
  <c r="E119" i="5"/>
  <c r="F119" i="5"/>
  <c r="G119" i="5"/>
  <c r="H119" i="5"/>
  <c r="B120" i="5"/>
  <c r="C120" i="5"/>
  <c r="D120" i="5"/>
  <c r="E120" i="5"/>
  <c r="F120" i="5"/>
  <c r="G120" i="5"/>
  <c r="H120" i="5"/>
  <c r="B121" i="5"/>
  <c r="C121" i="5"/>
  <c r="D121" i="5"/>
  <c r="E121" i="5"/>
  <c r="F121" i="5"/>
  <c r="G121" i="5"/>
  <c r="H121" i="5"/>
  <c r="B122" i="5"/>
  <c r="C122" i="5"/>
  <c r="D122" i="5"/>
  <c r="E122" i="5"/>
  <c r="F122" i="5"/>
  <c r="G122" i="5"/>
  <c r="H122" i="5"/>
  <c r="B123" i="5"/>
  <c r="C123" i="5"/>
  <c r="D123" i="5"/>
  <c r="E123" i="5"/>
  <c r="F123" i="5"/>
  <c r="G123" i="5"/>
  <c r="H123" i="5"/>
  <c r="B124" i="5"/>
  <c r="C124" i="5"/>
  <c r="D124" i="5"/>
  <c r="E124" i="5"/>
  <c r="F124" i="5"/>
  <c r="G124" i="5"/>
  <c r="H124" i="5"/>
  <c r="B125" i="5"/>
  <c r="C125" i="5"/>
  <c r="D125" i="5"/>
  <c r="E125" i="5"/>
  <c r="F125" i="5"/>
  <c r="G125" i="5"/>
  <c r="H125" i="5"/>
  <c r="B126" i="5"/>
  <c r="C126" i="5"/>
  <c r="D126" i="5"/>
  <c r="E126" i="5"/>
  <c r="F126" i="5"/>
  <c r="G126" i="5"/>
  <c r="H126" i="5"/>
  <c r="B127" i="5"/>
  <c r="C127" i="5"/>
  <c r="D127" i="5"/>
  <c r="E127" i="5"/>
  <c r="F127" i="5"/>
  <c r="G127" i="5"/>
  <c r="H127" i="5"/>
  <c r="B128" i="5"/>
  <c r="C128" i="5"/>
  <c r="D128" i="5"/>
  <c r="E128" i="5"/>
  <c r="F128" i="5"/>
  <c r="G128" i="5"/>
  <c r="H128" i="5"/>
  <c r="B129" i="5"/>
  <c r="C129" i="5"/>
  <c r="D129" i="5"/>
  <c r="E129" i="5"/>
  <c r="F129" i="5"/>
  <c r="G129" i="5"/>
  <c r="H129" i="5"/>
  <c r="B130" i="5"/>
  <c r="C130" i="5"/>
  <c r="D130" i="5"/>
  <c r="E130" i="5"/>
  <c r="F130" i="5"/>
  <c r="G130" i="5"/>
  <c r="H130" i="5"/>
  <c r="B131" i="5"/>
  <c r="C131" i="5"/>
  <c r="D131" i="5"/>
  <c r="E131" i="5"/>
  <c r="F131" i="5"/>
  <c r="G131" i="5"/>
  <c r="H131" i="5"/>
  <c r="B132" i="5"/>
  <c r="C132" i="5"/>
  <c r="D132" i="5"/>
  <c r="E132" i="5"/>
  <c r="F132" i="5"/>
  <c r="G132" i="5"/>
  <c r="H132" i="5"/>
  <c r="B133" i="5"/>
  <c r="C133" i="5"/>
  <c r="D133" i="5"/>
  <c r="E133" i="5"/>
  <c r="F133" i="5"/>
  <c r="G133" i="5"/>
  <c r="H133" i="5"/>
  <c r="B134" i="5"/>
  <c r="C134" i="5"/>
  <c r="D134" i="5"/>
  <c r="E134" i="5"/>
  <c r="F134" i="5"/>
  <c r="G134" i="5"/>
  <c r="H134" i="5"/>
  <c r="B135" i="5"/>
  <c r="C135" i="5"/>
  <c r="D135" i="5"/>
  <c r="E135" i="5"/>
  <c r="F135" i="5"/>
  <c r="G135" i="5"/>
  <c r="H135" i="5"/>
  <c r="B136" i="5"/>
  <c r="C136" i="5"/>
  <c r="D136" i="5"/>
  <c r="E136" i="5"/>
  <c r="F136" i="5"/>
  <c r="G136" i="5"/>
  <c r="H136" i="5"/>
  <c r="B137" i="5"/>
  <c r="C137" i="5"/>
  <c r="D137" i="5"/>
  <c r="E137" i="5"/>
  <c r="F137" i="5"/>
  <c r="G137" i="5"/>
  <c r="H137" i="5"/>
  <c r="B138" i="5"/>
  <c r="C138" i="5"/>
  <c r="D138" i="5"/>
  <c r="E138" i="5"/>
  <c r="F138" i="5"/>
  <c r="G138" i="5"/>
  <c r="H138" i="5"/>
  <c r="B139" i="5"/>
  <c r="C139" i="5"/>
  <c r="D139" i="5"/>
  <c r="E139" i="5"/>
  <c r="F139" i="5"/>
  <c r="G139" i="5"/>
  <c r="H139" i="5"/>
  <c r="B140" i="5"/>
  <c r="C140" i="5"/>
  <c r="D140" i="5"/>
  <c r="E140" i="5"/>
  <c r="F140" i="5"/>
  <c r="G140" i="5"/>
  <c r="H140" i="5"/>
  <c r="B141" i="5"/>
  <c r="C141" i="5"/>
  <c r="D141" i="5"/>
  <c r="E141" i="5"/>
  <c r="F141" i="5"/>
  <c r="G141" i="5"/>
  <c r="H141" i="5"/>
  <c r="B142" i="5"/>
  <c r="C142" i="5"/>
  <c r="D142" i="5"/>
  <c r="E142" i="5"/>
  <c r="F142" i="5"/>
  <c r="G142" i="5"/>
  <c r="H142" i="5"/>
  <c r="B143" i="5"/>
  <c r="C143" i="5"/>
  <c r="D143" i="5"/>
  <c r="E143" i="5"/>
  <c r="F143" i="5"/>
  <c r="G143" i="5"/>
  <c r="H143" i="5"/>
  <c r="B144" i="5"/>
  <c r="C144" i="5"/>
  <c r="D144" i="5"/>
  <c r="E144" i="5"/>
  <c r="F144" i="5"/>
  <c r="G144" i="5"/>
  <c r="H144" i="5"/>
  <c r="B145" i="5"/>
  <c r="C145" i="5"/>
  <c r="D145" i="5"/>
  <c r="E145" i="5"/>
  <c r="F145" i="5"/>
  <c r="G145" i="5"/>
  <c r="H145" i="5"/>
  <c r="B146" i="5"/>
  <c r="C146" i="5"/>
  <c r="D146" i="5"/>
  <c r="E146" i="5"/>
  <c r="F146" i="5"/>
  <c r="G146" i="5"/>
  <c r="H146" i="5"/>
  <c r="B147" i="5"/>
  <c r="C147" i="5"/>
  <c r="D147" i="5"/>
  <c r="E147" i="5"/>
  <c r="F147" i="5"/>
  <c r="G147" i="5"/>
  <c r="H147" i="5"/>
  <c r="B148" i="5"/>
  <c r="C148" i="5"/>
  <c r="D148" i="5"/>
  <c r="E148" i="5"/>
  <c r="F148" i="5"/>
  <c r="G148" i="5"/>
  <c r="H148" i="5"/>
  <c r="B149" i="5"/>
  <c r="C149" i="5"/>
  <c r="D149" i="5"/>
  <c r="E149" i="5"/>
  <c r="F149" i="5"/>
  <c r="G149" i="5"/>
  <c r="H149" i="5"/>
  <c r="B150" i="5"/>
  <c r="C150" i="5"/>
  <c r="D150" i="5"/>
  <c r="E150" i="5"/>
  <c r="F150" i="5"/>
  <c r="G150" i="5"/>
  <c r="H150" i="5"/>
  <c r="B151" i="5"/>
  <c r="C151" i="5"/>
  <c r="D151" i="5"/>
  <c r="E151" i="5"/>
  <c r="F151" i="5"/>
  <c r="G151" i="5"/>
  <c r="H151" i="5"/>
  <c r="B152" i="5"/>
  <c r="C152" i="5"/>
  <c r="D152" i="5"/>
  <c r="E152" i="5"/>
  <c r="F152" i="5"/>
  <c r="G152" i="5"/>
  <c r="H152" i="5"/>
  <c r="B153" i="5"/>
  <c r="C153" i="5"/>
  <c r="D153" i="5"/>
  <c r="E153" i="5"/>
  <c r="F153" i="5"/>
  <c r="G153" i="5"/>
  <c r="H153" i="5"/>
  <c r="B154" i="5"/>
  <c r="C154" i="5"/>
  <c r="D154" i="5"/>
  <c r="E154" i="5"/>
  <c r="F154" i="5"/>
  <c r="G154" i="5"/>
  <c r="H154" i="5"/>
  <c r="B155" i="5"/>
  <c r="C155" i="5"/>
  <c r="D155" i="5"/>
  <c r="E155" i="5"/>
  <c r="F155" i="5"/>
  <c r="G155" i="5"/>
  <c r="H155" i="5"/>
  <c r="B156" i="5"/>
  <c r="C156" i="5"/>
  <c r="D156" i="5"/>
  <c r="E156" i="5"/>
  <c r="F156" i="5"/>
  <c r="G156" i="5"/>
  <c r="H156" i="5"/>
  <c r="B157" i="5"/>
  <c r="C157" i="5"/>
  <c r="D157" i="5"/>
  <c r="E157" i="5"/>
  <c r="F157" i="5"/>
  <c r="G157" i="5"/>
  <c r="H157" i="5"/>
  <c r="B158" i="5"/>
  <c r="C158" i="5"/>
  <c r="D158" i="5"/>
  <c r="E158" i="5"/>
  <c r="F158" i="5"/>
  <c r="G158" i="5"/>
  <c r="H158" i="5"/>
  <c r="B159" i="5"/>
  <c r="C159" i="5"/>
  <c r="D159" i="5"/>
  <c r="E159" i="5"/>
  <c r="F159" i="5"/>
  <c r="G159" i="5"/>
  <c r="H159" i="5"/>
  <c r="B160" i="5"/>
  <c r="C160" i="5"/>
  <c r="D160" i="5"/>
  <c r="E160" i="5"/>
  <c r="F160" i="5"/>
  <c r="G160" i="5"/>
  <c r="H160" i="5"/>
  <c r="B161" i="5"/>
  <c r="C161" i="5"/>
  <c r="D161" i="5"/>
  <c r="E161" i="5"/>
  <c r="F161" i="5"/>
  <c r="G161" i="5"/>
  <c r="H161" i="5"/>
  <c r="B162" i="5"/>
  <c r="C162" i="5"/>
  <c r="D162" i="5"/>
  <c r="E162" i="5"/>
  <c r="F162" i="5"/>
  <c r="G162" i="5"/>
  <c r="H162" i="5"/>
  <c r="B163" i="5"/>
  <c r="C163" i="5"/>
  <c r="D163" i="5"/>
  <c r="E163" i="5"/>
  <c r="F163" i="5"/>
  <c r="G163" i="5"/>
  <c r="H163" i="5"/>
  <c r="B164" i="5"/>
  <c r="C164" i="5"/>
  <c r="D164" i="5"/>
  <c r="E164" i="5"/>
  <c r="F164" i="5"/>
  <c r="G164" i="5"/>
  <c r="H164" i="5"/>
  <c r="B165" i="5"/>
  <c r="C165" i="5"/>
  <c r="D165" i="5"/>
  <c r="E165" i="5"/>
  <c r="F165" i="5"/>
  <c r="G165" i="5"/>
  <c r="H165" i="5"/>
  <c r="B166" i="5"/>
  <c r="C166" i="5"/>
  <c r="D166" i="5"/>
  <c r="E166" i="5"/>
  <c r="F166" i="5"/>
  <c r="G166" i="5"/>
  <c r="H166" i="5"/>
  <c r="B167" i="5"/>
  <c r="C167" i="5"/>
  <c r="D167" i="5"/>
  <c r="E167" i="5"/>
  <c r="F167" i="5"/>
  <c r="G167" i="5"/>
  <c r="H167" i="5"/>
  <c r="B168" i="5"/>
  <c r="C168" i="5"/>
  <c r="D168" i="5"/>
  <c r="E168" i="5"/>
  <c r="F168" i="5"/>
  <c r="G168" i="5"/>
  <c r="H168" i="5"/>
  <c r="B169" i="5"/>
  <c r="C169" i="5"/>
  <c r="D169" i="5"/>
  <c r="E169" i="5"/>
  <c r="F169" i="5"/>
  <c r="G169" i="5"/>
  <c r="H169" i="5"/>
  <c r="B170" i="5"/>
  <c r="C170" i="5"/>
  <c r="D170" i="5"/>
  <c r="E170" i="5"/>
  <c r="F170" i="5"/>
  <c r="G170" i="5"/>
  <c r="H170" i="5"/>
  <c r="B171" i="5"/>
  <c r="C171" i="5"/>
  <c r="D171" i="5"/>
  <c r="E171" i="5"/>
  <c r="F171" i="5"/>
  <c r="G171" i="5"/>
  <c r="H171" i="5"/>
  <c r="B172" i="5"/>
  <c r="C172" i="5"/>
  <c r="D172" i="5"/>
  <c r="E172" i="5"/>
  <c r="F172" i="5"/>
  <c r="G172" i="5"/>
  <c r="H172" i="5"/>
  <c r="B173" i="5"/>
  <c r="C173" i="5"/>
  <c r="D173" i="5"/>
  <c r="E173" i="5"/>
  <c r="F173" i="5"/>
  <c r="G173" i="5"/>
  <c r="H173" i="5"/>
  <c r="B174" i="5"/>
  <c r="C174" i="5"/>
  <c r="D174" i="5"/>
  <c r="E174" i="5"/>
  <c r="F174" i="5"/>
  <c r="G174" i="5"/>
  <c r="H174" i="5"/>
  <c r="B175" i="5"/>
  <c r="C175" i="5"/>
  <c r="D175" i="5"/>
  <c r="E175" i="5"/>
  <c r="F175" i="5"/>
  <c r="G175" i="5"/>
  <c r="H175" i="5"/>
  <c r="B176" i="5"/>
  <c r="C176" i="5"/>
  <c r="D176" i="5"/>
  <c r="E176" i="5"/>
  <c r="F176" i="5"/>
  <c r="G176" i="5"/>
  <c r="H176" i="5"/>
  <c r="B177" i="5"/>
  <c r="C177" i="5"/>
  <c r="D177" i="5"/>
  <c r="E177" i="5"/>
  <c r="F177" i="5"/>
  <c r="G177" i="5"/>
  <c r="H177" i="5"/>
  <c r="B178" i="5"/>
  <c r="C178" i="5"/>
  <c r="D178" i="5"/>
  <c r="E178" i="5"/>
  <c r="F178" i="5"/>
  <c r="G178" i="5"/>
  <c r="H178" i="5"/>
  <c r="B179" i="5"/>
  <c r="C179" i="5"/>
  <c r="D179" i="5"/>
  <c r="E179" i="5"/>
  <c r="F179" i="5"/>
  <c r="G179" i="5"/>
  <c r="H179" i="5"/>
  <c r="B180" i="5"/>
  <c r="C180" i="5"/>
  <c r="D180" i="5"/>
  <c r="E180" i="5"/>
  <c r="F180" i="5"/>
  <c r="G180" i="5"/>
  <c r="H180" i="5"/>
  <c r="B181" i="5"/>
  <c r="C181" i="5"/>
  <c r="D181" i="5"/>
  <c r="E181" i="5"/>
  <c r="F181" i="5"/>
  <c r="G181" i="5"/>
  <c r="H181" i="5"/>
  <c r="B182" i="5"/>
  <c r="C182" i="5"/>
  <c r="D182" i="5"/>
  <c r="E182" i="5"/>
  <c r="F182" i="5"/>
  <c r="G182" i="5"/>
  <c r="H182" i="5"/>
  <c r="B183" i="5"/>
  <c r="C183" i="5"/>
  <c r="D183" i="5"/>
  <c r="E183" i="5"/>
  <c r="F183" i="5"/>
  <c r="G183" i="5"/>
  <c r="H183" i="5"/>
  <c r="B184" i="5"/>
  <c r="C184" i="5"/>
  <c r="D184" i="5"/>
  <c r="E184" i="5"/>
  <c r="F184" i="5"/>
  <c r="G184" i="5"/>
  <c r="H184" i="5"/>
  <c r="B185" i="5"/>
  <c r="C185" i="5"/>
  <c r="D185" i="5"/>
  <c r="E185" i="5"/>
  <c r="F185" i="5"/>
  <c r="G185" i="5"/>
  <c r="H185" i="5"/>
  <c r="B186" i="5"/>
  <c r="C186" i="5"/>
  <c r="D186" i="5"/>
  <c r="E186" i="5"/>
  <c r="F186" i="5"/>
  <c r="G186" i="5"/>
  <c r="H186" i="5"/>
  <c r="B187" i="5"/>
  <c r="C187" i="5"/>
  <c r="D187" i="5"/>
  <c r="E187" i="5"/>
  <c r="F187" i="5"/>
  <c r="G187" i="5"/>
  <c r="H187" i="5"/>
  <c r="B188" i="5"/>
  <c r="C188" i="5"/>
  <c r="D188" i="5"/>
  <c r="E188" i="5"/>
  <c r="F188" i="5"/>
  <c r="G188" i="5"/>
  <c r="H188" i="5"/>
  <c r="B189" i="5"/>
  <c r="C189" i="5"/>
  <c r="D189" i="5"/>
  <c r="E189" i="5"/>
  <c r="F189" i="5"/>
  <c r="G189" i="5"/>
  <c r="H189" i="5"/>
  <c r="B190" i="5"/>
  <c r="C190" i="5"/>
  <c r="D190" i="5"/>
  <c r="E190" i="5"/>
  <c r="F190" i="5"/>
  <c r="G190" i="5"/>
  <c r="H190" i="5"/>
  <c r="B191" i="5"/>
  <c r="C191" i="5"/>
  <c r="D191" i="5"/>
  <c r="E191" i="5"/>
  <c r="F191" i="5"/>
  <c r="G191" i="5"/>
  <c r="H191" i="5"/>
  <c r="B192" i="5"/>
  <c r="C192" i="5"/>
  <c r="D192" i="5"/>
  <c r="E192" i="5"/>
  <c r="F192" i="5"/>
  <c r="G192" i="5"/>
  <c r="H192" i="5"/>
  <c r="B193" i="5"/>
  <c r="C193" i="5"/>
  <c r="D193" i="5"/>
  <c r="E193" i="5"/>
  <c r="F193" i="5"/>
  <c r="G193" i="5"/>
  <c r="H193" i="5"/>
  <c r="B194" i="5"/>
  <c r="C194" i="5"/>
  <c r="D194" i="5"/>
  <c r="E194" i="5"/>
  <c r="F194" i="5"/>
  <c r="G194" i="5"/>
  <c r="H194" i="5"/>
  <c r="B195" i="5"/>
  <c r="C195" i="5"/>
  <c r="D195" i="5"/>
  <c r="E195" i="5"/>
  <c r="F195" i="5"/>
  <c r="G195" i="5"/>
  <c r="H195" i="5"/>
  <c r="B196" i="5"/>
  <c r="C196" i="5"/>
  <c r="D196" i="5"/>
  <c r="E196" i="5"/>
  <c r="F196" i="5"/>
  <c r="G196" i="5"/>
  <c r="H196" i="5"/>
  <c r="B197" i="5"/>
  <c r="C197" i="5"/>
  <c r="D197" i="5"/>
  <c r="E197" i="5"/>
  <c r="F197" i="5"/>
  <c r="G197" i="5"/>
  <c r="H197" i="5"/>
  <c r="B198" i="5"/>
  <c r="C198" i="5"/>
  <c r="D198" i="5"/>
  <c r="E198" i="5"/>
  <c r="F198" i="5"/>
  <c r="G198" i="5"/>
  <c r="H198" i="5"/>
  <c r="B199" i="5"/>
  <c r="C199" i="5"/>
  <c r="D199" i="5"/>
  <c r="E199" i="5"/>
  <c r="F199" i="5"/>
  <c r="G199" i="5"/>
  <c r="H199" i="5"/>
  <c r="B200" i="5"/>
  <c r="C200" i="5"/>
  <c r="D200" i="5"/>
  <c r="E200" i="5"/>
  <c r="F200" i="5"/>
  <c r="G200" i="5"/>
  <c r="H200" i="5"/>
  <c r="B201" i="5"/>
  <c r="C201" i="5"/>
  <c r="D201" i="5"/>
  <c r="E201" i="5"/>
  <c r="F201" i="5"/>
  <c r="G201" i="5"/>
  <c r="H201" i="5"/>
  <c r="B202" i="5"/>
  <c r="C202" i="5"/>
  <c r="D202" i="5"/>
  <c r="E202" i="5"/>
  <c r="F202" i="5"/>
  <c r="G202" i="5"/>
  <c r="H202" i="5"/>
  <c r="B203" i="5"/>
  <c r="C203" i="5"/>
  <c r="D203" i="5"/>
  <c r="E203" i="5"/>
  <c r="F203" i="5"/>
  <c r="G203" i="5"/>
  <c r="H203" i="5"/>
  <c r="B204" i="5"/>
  <c r="C204" i="5"/>
  <c r="D204" i="5"/>
  <c r="E204" i="5"/>
  <c r="F204" i="5"/>
  <c r="G204" i="5"/>
  <c r="H204" i="5"/>
  <c r="B205" i="5"/>
  <c r="C205" i="5"/>
  <c r="D205" i="5"/>
  <c r="E205" i="5"/>
  <c r="F205" i="5"/>
  <c r="G205" i="5"/>
  <c r="H205" i="5"/>
  <c r="B206" i="5"/>
  <c r="C206" i="5"/>
  <c r="D206" i="5"/>
  <c r="E206" i="5"/>
  <c r="F206" i="5"/>
  <c r="G206" i="5"/>
  <c r="H206" i="5"/>
  <c r="B207" i="5"/>
  <c r="C207" i="5"/>
  <c r="D207" i="5"/>
  <c r="E207" i="5"/>
  <c r="F207" i="5"/>
  <c r="G207" i="5"/>
  <c r="H207" i="5"/>
  <c r="B208" i="5"/>
  <c r="C208" i="5"/>
  <c r="D208" i="5"/>
  <c r="E208" i="5"/>
  <c r="F208" i="5"/>
  <c r="G208" i="5"/>
  <c r="H208" i="5"/>
  <c r="B209" i="5"/>
  <c r="C209" i="5"/>
  <c r="D209" i="5"/>
  <c r="E209" i="5"/>
  <c r="F209" i="5"/>
  <c r="G209" i="5"/>
  <c r="H209" i="5"/>
  <c r="B210" i="5"/>
  <c r="C210" i="5"/>
  <c r="D210" i="5"/>
  <c r="E210" i="5"/>
  <c r="F210" i="5"/>
  <c r="G210" i="5"/>
  <c r="H210" i="5"/>
  <c r="B211" i="5"/>
  <c r="C211" i="5"/>
  <c r="D211" i="5"/>
  <c r="E211" i="5"/>
  <c r="F211" i="5"/>
  <c r="G211" i="5"/>
  <c r="H211" i="5"/>
  <c r="B212" i="5"/>
  <c r="C212" i="5"/>
  <c r="D212" i="5"/>
  <c r="E212" i="5"/>
  <c r="F212" i="5"/>
  <c r="G212" i="5"/>
  <c r="H212" i="5"/>
  <c r="B213" i="5"/>
  <c r="C213" i="5"/>
  <c r="D213" i="5"/>
  <c r="E213" i="5"/>
  <c r="F213" i="5"/>
  <c r="G213" i="5"/>
  <c r="H213" i="5"/>
  <c r="B214" i="5"/>
  <c r="C214" i="5"/>
  <c r="D214" i="5"/>
  <c r="E214" i="5"/>
  <c r="F214" i="5"/>
  <c r="G214" i="5"/>
  <c r="H214" i="5"/>
  <c r="B215" i="5"/>
  <c r="C215" i="5"/>
  <c r="D215" i="5"/>
  <c r="E215" i="5"/>
  <c r="F215" i="5"/>
  <c r="G215" i="5"/>
  <c r="H215" i="5"/>
  <c r="B216" i="5"/>
  <c r="C216" i="5"/>
  <c r="D216" i="5"/>
  <c r="E216" i="5"/>
  <c r="F216" i="5"/>
  <c r="G216" i="5"/>
  <c r="H216" i="5"/>
  <c r="B217" i="5"/>
  <c r="C217" i="5"/>
  <c r="D217" i="5"/>
  <c r="E217" i="5"/>
  <c r="F217" i="5"/>
  <c r="G217" i="5"/>
  <c r="H217" i="5"/>
  <c r="B218" i="5"/>
  <c r="C218" i="5"/>
  <c r="D218" i="5"/>
  <c r="E218" i="5"/>
  <c r="F218" i="5"/>
  <c r="G218" i="5"/>
  <c r="H218" i="5"/>
  <c r="B219" i="5"/>
  <c r="C219" i="5"/>
  <c r="D219" i="5"/>
  <c r="E219" i="5"/>
  <c r="F219" i="5"/>
  <c r="G219" i="5"/>
  <c r="H219" i="5"/>
  <c r="B220" i="5"/>
  <c r="C220" i="5"/>
  <c r="D220" i="5"/>
  <c r="E220" i="5"/>
  <c r="F220" i="5"/>
  <c r="G220" i="5"/>
  <c r="H220" i="5"/>
  <c r="B221" i="5"/>
  <c r="C221" i="5"/>
  <c r="D221" i="5"/>
  <c r="E221" i="5"/>
  <c r="F221" i="5"/>
  <c r="G221" i="5"/>
  <c r="H221" i="5"/>
  <c r="B222" i="5"/>
  <c r="C222" i="5"/>
  <c r="D222" i="5"/>
  <c r="E222" i="5"/>
  <c r="F222" i="5"/>
  <c r="G222" i="5"/>
  <c r="H222" i="5"/>
  <c r="B223" i="5"/>
  <c r="C223" i="5"/>
  <c r="D223" i="5"/>
  <c r="E223" i="5"/>
  <c r="F223" i="5"/>
  <c r="G223" i="5"/>
  <c r="H223" i="5"/>
  <c r="B224" i="5"/>
  <c r="C224" i="5"/>
  <c r="D224" i="5"/>
  <c r="E224" i="5"/>
  <c r="F224" i="5"/>
  <c r="G224" i="5"/>
  <c r="H224" i="5"/>
  <c r="B225" i="5"/>
  <c r="C225" i="5"/>
  <c r="D225" i="5"/>
  <c r="E225" i="5"/>
  <c r="F225" i="5"/>
  <c r="G225" i="5"/>
  <c r="H225" i="5"/>
  <c r="B226" i="5"/>
  <c r="C226" i="5"/>
  <c r="D226" i="5"/>
  <c r="E226" i="5"/>
  <c r="F226" i="5"/>
  <c r="G226" i="5"/>
  <c r="H226" i="5"/>
  <c r="B227" i="5"/>
  <c r="C227" i="5"/>
  <c r="D227" i="5"/>
  <c r="E227" i="5"/>
  <c r="F227" i="5"/>
  <c r="G227" i="5"/>
  <c r="H227" i="5"/>
  <c r="B228" i="5"/>
  <c r="C228" i="5"/>
  <c r="D228" i="5"/>
  <c r="E228" i="5"/>
  <c r="F228" i="5"/>
  <c r="G228" i="5"/>
  <c r="H228" i="5"/>
  <c r="B229" i="5"/>
  <c r="C229" i="5"/>
  <c r="D229" i="5"/>
  <c r="E229" i="5"/>
  <c r="F229" i="5"/>
  <c r="G229" i="5"/>
  <c r="H229" i="5"/>
  <c r="B230" i="5"/>
  <c r="C230" i="5"/>
  <c r="D230" i="5"/>
  <c r="E230" i="5"/>
  <c r="F230" i="5"/>
  <c r="G230" i="5"/>
  <c r="H230" i="5"/>
  <c r="B231" i="5"/>
  <c r="C231" i="5"/>
  <c r="D231" i="5"/>
  <c r="E231" i="5"/>
  <c r="F231" i="5"/>
  <c r="G231" i="5"/>
  <c r="H231" i="5"/>
  <c r="B232" i="5"/>
  <c r="C232" i="5"/>
  <c r="D232" i="5"/>
  <c r="E232" i="5"/>
  <c r="F232" i="5"/>
  <c r="G232" i="5"/>
  <c r="H232" i="5"/>
  <c r="B233" i="5"/>
  <c r="C233" i="5"/>
  <c r="D233" i="5"/>
  <c r="E233" i="5"/>
  <c r="F233" i="5"/>
  <c r="G233" i="5"/>
  <c r="H233" i="5"/>
  <c r="B234" i="5"/>
  <c r="C234" i="5"/>
  <c r="D234" i="5"/>
  <c r="E234" i="5"/>
  <c r="F234" i="5"/>
  <c r="G234" i="5"/>
  <c r="H234" i="5"/>
  <c r="B235" i="5"/>
  <c r="C235" i="5"/>
  <c r="D235" i="5"/>
  <c r="E235" i="5"/>
  <c r="F235" i="5"/>
  <c r="G235" i="5"/>
  <c r="H235" i="5"/>
  <c r="B236" i="5"/>
  <c r="C236" i="5"/>
  <c r="D236" i="5"/>
  <c r="E236" i="5"/>
  <c r="F236" i="5"/>
  <c r="G236" i="5"/>
  <c r="H236" i="5"/>
  <c r="B237" i="5"/>
  <c r="C237" i="5"/>
  <c r="D237" i="5"/>
  <c r="E237" i="5"/>
  <c r="F237" i="5"/>
  <c r="G237" i="5"/>
  <c r="H237" i="5"/>
  <c r="B238" i="5"/>
  <c r="C238" i="5"/>
  <c r="D238" i="5"/>
  <c r="E238" i="5"/>
  <c r="F238" i="5"/>
  <c r="G238" i="5"/>
  <c r="H238" i="5"/>
  <c r="B239" i="5"/>
  <c r="C239" i="5"/>
  <c r="D239" i="5"/>
  <c r="E239" i="5"/>
  <c r="F239" i="5"/>
  <c r="G239" i="5"/>
  <c r="H239" i="5"/>
  <c r="B240" i="5"/>
  <c r="C240" i="5"/>
  <c r="D240" i="5"/>
  <c r="E240" i="5"/>
  <c r="F240" i="5"/>
  <c r="G240" i="5"/>
  <c r="H240" i="5"/>
  <c r="B241" i="5"/>
  <c r="C241" i="5"/>
  <c r="D241" i="5"/>
  <c r="E241" i="5"/>
  <c r="F241" i="5"/>
  <c r="G241" i="5"/>
  <c r="H241" i="5"/>
  <c r="B242" i="5"/>
  <c r="C242" i="5"/>
  <c r="D242" i="5"/>
  <c r="E242" i="5"/>
  <c r="F242" i="5"/>
  <c r="G242" i="5"/>
  <c r="H242" i="5"/>
  <c r="B243" i="5"/>
  <c r="C243" i="5"/>
  <c r="D243" i="5"/>
  <c r="E243" i="5"/>
  <c r="F243" i="5"/>
  <c r="G243" i="5"/>
  <c r="H243" i="5"/>
  <c r="B244" i="5"/>
  <c r="C244" i="5"/>
  <c r="D244" i="5"/>
  <c r="E244" i="5"/>
  <c r="F244" i="5"/>
  <c r="G244" i="5"/>
  <c r="H244" i="5"/>
  <c r="B245" i="5"/>
  <c r="C245" i="5"/>
  <c r="D245" i="5"/>
  <c r="E245" i="5"/>
  <c r="F245" i="5"/>
  <c r="G245" i="5"/>
  <c r="H245" i="5"/>
  <c r="B246" i="5"/>
  <c r="C246" i="5"/>
  <c r="D246" i="5"/>
  <c r="E246" i="5"/>
  <c r="F246" i="5"/>
  <c r="G246" i="5"/>
  <c r="H246" i="5"/>
  <c r="B247" i="5"/>
  <c r="C247" i="5"/>
  <c r="D247" i="5"/>
  <c r="E247" i="5"/>
  <c r="F247" i="5"/>
  <c r="G247" i="5"/>
  <c r="H247" i="5"/>
  <c r="B248" i="5"/>
  <c r="C248" i="5"/>
  <c r="D248" i="5"/>
  <c r="E248" i="5"/>
  <c r="F248" i="5"/>
  <c r="G248" i="5"/>
  <c r="H248" i="5"/>
  <c r="B249" i="5"/>
  <c r="C249" i="5"/>
  <c r="D249" i="5"/>
  <c r="E249" i="5"/>
  <c r="F249" i="5"/>
  <c r="G249" i="5"/>
  <c r="H249" i="5"/>
  <c r="B250" i="5"/>
  <c r="C250" i="5"/>
  <c r="D250" i="5"/>
  <c r="E250" i="5"/>
  <c r="F250" i="5"/>
  <c r="G250" i="5"/>
  <c r="H250" i="5"/>
  <c r="C2" i="5"/>
  <c r="D2" i="5"/>
  <c r="E2" i="5"/>
  <c r="F2" i="5"/>
  <c r="G2" i="5"/>
  <c r="H2" i="5"/>
  <c r="B2" i="5"/>
  <c r="BB242" i="5" l="1"/>
  <c r="BB243" i="5"/>
  <c r="BB244" i="5"/>
  <c r="BB245" i="5"/>
  <c r="BB246" i="5"/>
  <c r="BB247" i="5"/>
  <c r="BB248" i="5"/>
  <c r="BB249" i="5"/>
  <c r="BB250" i="5"/>
  <c r="BB3" i="5" l="1"/>
  <c r="BB4" i="5"/>
  <c r="BB5" i="5"/>
  <c r="BB6" i="5"/>
  <c r="BB7" i="5"/>
  <c r="BB8" i="5"/>
  <c r="BB9" i="5"/>
  <c r="BB10" i="5"/>
  <c r="BB11" i="5"/>
  <c r="BB12" i="5"/>
  <c r="BB13" i="5"/>
  <c r="BB14" i="5"/>
  <c r="BB15" i="5"/>
  <c r="BB16" i="5"/>
  <c r="BB17" i="5"/>
  <c r="BB18" i="5"/>
  <c r="BB19" i="5"/>
  <c r="BB20" i="5"/>
  <c r="BB21" i="5"/>
  <c r="BB22" i="5"/>
  <c r="BB23" i="5"/>
  <c r="BB24" i="5"/>
  <c r="BB25" i="5"/>
  <c r="BB26" i="5"/>
  <c r="BB27" i="5"/>
  <c r="BB28" i="5"/>
  <c r="BB29" i="5"/>
  <c r="BB30" i="5"/>
  <c r="BB31" i="5"/>
  <c r="BB32" i="5"/>
  <c r="BB33" i="5"/>
  <c r="BB34" i="5"/>
  <c r="BB35" i="5"/>
  <c r="BB36" i="5"/>
  <c r="BB37" i="5"/>
  <c r="BB38" i="5"/>
  <c r="BB39" i="5"/>
  <c r="BB40" i="5"/>
  <c r="BB41" i="5"/>
  <c r="BB42" i="5"/>
  <c r="BB43" i="5"/>
  <c r="BB44" i="5"/>
  <c r="BB45" i="5"/>
  <c r="BB46" i="5"/>
  <c r="BB47" i="5"/>
  <c r="BB48" i="5"/>
  <c r="BB49" i="5"/>
  <c r="BB50" i="5"/>
  <c r="BB51" i="5"/>
  <c r="BB52" i="5"/>
  <c r="BB53" i="5"/>
  <c r="BB54" i="5"/>
  <c r="BB55" i="5"/>
  <c r="BB56" i="5"/>
  <c r="BB57" i="5"/>
  <c r="BB58" i="5"/>
  <c r="BB59" i="5"/>
  <c r="BB60" i="5"/>
  <c r="BB61" i="5"/>
  <c r="BB62" i="5"/>
  <c r="BB63" i="5"/>
  <c r="BB64" i="5"/>
  <c r="BB65" i="5"/>
  <c r="BB66" i="5"/>
  <c r="BB67" i="5"/>
  <c r="BB68" i="5"/>
  <c r="BB69" i="5"/>
  <c r="BB70" i="5"/>
  <c r="BB71" i="5"/>
  <c r="BB72" i="5"/>
  <c r="BB73" i="5"/>
  <c r="BB74" i="5"/>
  <c r="BB75" i="5"/>
  <c r="BB76" i="5"/>
  <c r="BB77" i="5"/>
  <c r="BB78" i="5"/>
  <c r="BB79" i="5"/>
  <c r="BB80" i="5"/>
  <c r="BB81" i="5"/>
  <c r="BB82" i="5"/>
  <c r="BB83" i="5"/>
  <c r="BB84" i="5"/>
  <c r="BB85" i="5"/>
  <c r="BB86" i="5"/>
  <c r="BB87" i="5"/>
  <c r="BB88" i="5"/>
  <c r="BB89" i="5"/>
  <c r="BB90" i="5"/>
  <c r="BB91" i="5"/>
  <c r="BB92" i="5"/>
  <c r="BB93" i="5"/>
  <c r="BB94" i="5"/>
  <c r="BB95" i="5"/>
  <c r="BB96" i="5"/>
  <c r="BB97" i="5"/>
  <c r="BB98" i="5"/>
  <c r="BB99" i="5"/>
  <c r="BB100" i="5"/>
  <c r="BB101" i="5"/>
  <c r="BB102" i="5"/>
  <c r="BB103" i="5"/>
  <c r="BB104" i="5"/>
  <c r="BB105" i="5"/>
  <c r="BB106" i="5"/>
  <c r="BB107" i="5"/>
  <c r="BB108" i="5"/>
  <c r="BB109" i="5"/>
  <c r="BB110" i="5"/>
  <c r="BB111" i="5"/>
  <c r="BB112" i="5"/>
  <c r="BB113" i="5"/>
  <c r="BB114" i="5"/>
  <c r="BB115" i="5"/>
  <c r="BB116" i="5"/>
  <c r="BB117" i="5"/>
  <c r="BB118" i="5"/>
  <c r="BB119" i="5"/>
  <c r="BB120" i="5"/>
  <c r="BB121" i="5"/>
  <c r="BB122" i="5"/>
  <c r="BB123" i="5"/>
  <c r="BB124" i="5"/>
  <c r="BB125" i="5"/>
  <c r="BB126" i="5"/>
  <c r="BB127" i="5"/>
  <c r="BB128" i="5"/>
  <c r="BB129" i="5"/>
  <c r="BB130" i="5"/>
  <c r="BB131" i="5"/>
  <c r="BB132" i="5"/>
  <c r="BB133" i="5"/>
  <c r="BB134" i="5"/>
  <c r="BB135" i="5"/>
  <c r="BB136" i="5"/>
  <c r="BB137" i="5"/>
  <c r="BB138" i="5"/>
  <c r="BB139" i="5"/>
  <c r="BB140" i="5"/>
  <c r="BB141" i="5"/>
  <c r="BB142" i="5"/>
  <c r="BB143" i="5"/>
  <c r="BB144" i="5"/>
  <c r="BB145" i="5"/>
  <c r="BB146" i="5"/>
  <c r="BB147" i="5"/>
  <c r="BB148" i="5"/>
  <c r="BB149" i="5"/>
  <c r="BB150" i="5"/>
  <c r="BB151" i="5"/>
  <c r="BB152" i="5"/>
  <c r="BB153" i="5"/>
  <c r="BB154" i="5"/>
  <c r="BB155" i="5"/>
  <c r="BB156" i="5"/>
  <c r="BB157" i="5"/>
  <c r="BB158" i="5"/>
  <c r="BB159" i="5"/>
  <c r="BB160" i="5"/>
  <c r="BB161" i="5"/>
  <c r="BB162" i="5"/>
  <c r="BB163" i="5"/>
  <c r="BB164" i="5"/>
  <c r="BB165" i="5"/>
  <c r="BB166" i="5"/>
  <c r="BB167" i="5"/>
  <c r="BB168" i="5"/>
  <c r="BB169" i="5"/>
  <c r="BB170" i="5"/>
  <c r="BB171" i="5"/>
  <c r="BB172" i="5"/>
  <c r="BB173" i="5"/>
  <c r="BB174" i="5"/>
  <c r="BB175" i="5"/>
  <c r="BB176" i="5"/>
  <c r="BB177" i="5"/>
  <c r="BB178" i="5"/>
  <c r="BB179" i="5"/>
  <c r="BB180" i="5"/>
  <c r="BB181" i="5"/>
  <c r="BB182" i="5"/>
  <c r="BB183" i="5"/>
  <c r="BB184" i="5"/>
  <c r="BB185" i="5"/>
  <c r="BB186" i="5"/>
  <c r="BB187" i="5"/>
  <c r="BB188" i="5"/>
  <c r="BB189" i="5"/>
  <c r="BB190" i="5"/>
  <c r="BB191" i="5"/>
  <c r="BB192" i="5"/>
  <c r="BB193" i="5"/>
  <c r="BB194" i="5"/>
  <c r="BB195" i="5"/>
  <c r="BB196" i="5"/>
  <c r="BB197" i="5"/>
  <c r="BB198" i="5"/>
  <c r="BB199" i="5"/>
  <c r="BB200" i="5"/>
  <c r="BB201" i="5"/>
  <c r="BB202" i="5"/>
  <c r="BB203" i="5"/>
  <c r="BB204" i="5"/>
  <c r="BB205" i="5"/>
  <c r="BB206" i="5"/>
  <c r="BB207" i="5"/>
  <c r="BB208" i="5"/>
  <c r="BB209" i="5"/>
  <c r="BB210" i="5"/>
  <c r="BB211" i="5"/>
  <c r="BB212" i="5"/>
  <c r="BB213" i="5"/>
  <c r="BB214" i="5"/>
  <c r="BB215" i="5"/>
  <c r="BB216" i="5"/>
  <c r="BB217" i="5"/>
  <c r="BB218" i="5"/>
  <c r="BB219" i="5"/>
  <c r="BB220" i="5"/>
  <c r="BB221" i="5"/>
  <c r="BB222" i="5"/>
  <c r="BB223" i="5"/>
  <c r="BB224" i="5"/>
  <c r="BB225" i="5"/>
  <c r="BB226" i="5"/>
  <c r="BB227" i="5"/>
  <c r="BB228" i="5"/>
  <c r="BB229" i="5"/>
  <c r="BB230" i="5"/>
  <c r="BB231" i="5"/>
  <c r="BB232" i="5"/>
  <c r="BB233" i="5"/>
  <c r="BB234" i="5"/>
  <c r="BB235" i="5"/>
  <c r="BB236" i="5"/>
  <c r="BB237" i="5"/>
  <c r="BB238" i="5"/>
  <c r="BB239" i="5"/>
  <c r="BB240" i="5"/>
  <c r="BB241" i="5"/>
  <c r="B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S1" authorId="0" shapeId="0" xr:uid="{4F189DAC-16C9-4320-A4E9-4B0ED54017A8}">
      <text>
        <r>
          <rPr>
            <b/>
            <sz val="9"/>
            <color indexed="81"/>
            <rFont val="Tahoma"/>
            <family val="2"/>
          </rPr>
          <t>Rivera Greenwood, Daniel:</t>
        </r>
        <r>
          <rPr>
            <sz val="9"/>
            <color indexed="81"/>
            <rFont val="Tahoma"/>
            <family val="2"/>
          </rPr>
          <t xml:space="preserve">
From Eikon Sheet</t>
        </r>
      </text>
    </comment>
  </commentList>
</comments>
</file>

<file path=xl/sharedStrings.xml><?xml version="1.0" encoding="utf-8"?>
<sst xmlns="http://schemas.openxmlformats.org/spreadsheetml/2006/main" count="712" uniqueCount="566">
  <si>
    <t>10001 !M</t>
  </si>
  <si>
    <t>.excel_last</t>
  </si>
  <si>
    <t>0001</t>
  </si>
  <si>
    <t>.TN</t>
  </si>
  <si>
    <t>.T1</t>
  </si>
  <si>
    <t>.DESC</t>
  </si>
  <si>
    <t>Jan-2008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</si>
  <si>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</si>
  <si>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</si>
  <si>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</si>
  <si>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</si>
  <si>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</si>
  <si>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</si>
  <si>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</si>
  <si>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</si>
  <si>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</si>
  <si>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</si>
  <si>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</si>
  <si>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</si>
  <si>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</si>
  <si>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</si>
  <si>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</si>
  <si>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</si>
  <si>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</si>
  <si>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</si>
  <si>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</si>
  <si>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</si>
  <si>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</si>
  <si>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</si>
  <si>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</si>
  <si>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</si>
  <si>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</si>
  <si>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</si>
  <si>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</si>
  <si>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</si>
  <si>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</si>
  <si>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</si>
  <si>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</si>
  <si>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</si>
  <si>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</si>
  <si>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</si>
  <si>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</si>
  <si>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</si>
  <si>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</si>
  <si>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</si>
  <si>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</si>
  <si>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</si>
  <si>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</si>
  <si>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</si>
  <si>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</si>
  <si>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</si>
  <si>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</si>
  <si>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</si>
  <si>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</si>
  <si>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</si>
  <si>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</si>
  <si>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</si>
  <si>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</si>
  <si>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</si>
  <si>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</si>
  <si>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</si>
  <si>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</si>
  <si>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</si>
  <si>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</si>
  <si>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</si>
  <si>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</si>
  <si>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</si>
  <si>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</si>
  <si>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</si>
  <si>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</si>
  <si>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</si>
  <si>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</si>
  <si>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</si>
  <si>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</si>
  <si>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</si>
  <si>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</si>
  <si>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</si>
  <si>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</si>
  <si>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</si>
  <si>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</si>
  <si>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</si>
  <si>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</si>
  <si>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</si>
  <si>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</si>
  <si>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</si>
  <si>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</si>
  <si>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</si>
  <si>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</si>
  <si>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</si>
  <si>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</si>
  <si>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</si>
  <si>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</si>
  <si>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</si>
  <si>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</si>
  <si>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</si>
  <si>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</si>
  <si>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</si>
  <si>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</si>
  <si>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</si>
  <si>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</si>
  <si>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</si>
  <si>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</si>
  <si>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</si>
  <si>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</si>
  <si>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</si>
  <si>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</si>
  <si>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</si>
  <si>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</si>
  <si>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</si>
  <si>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</si>
  <si>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</si>
  <si>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</si>
  <si>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</si>
  <si>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</si>
  <si>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</si>
  <si>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</si>
  <si>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</si>
  <si>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</si>
  <si>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</si>
  <si>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</si>
  <si>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</si>
  <si>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</si>
  <si>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</si>
  <si>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</si>
  <si>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</si>
  <si>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</si>
  <si>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</si>
  <si>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</si>
  <si>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</si>
  <si>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</si>
  <si>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</si>
  <si>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</si>
  <si>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</si>
  <si>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</si>
  <si>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</si>
  <si>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</si>
  <si>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</si>
  <si>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</si>
  <si>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</si>
  <si>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</si>
  <si>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</si>
  <si>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</si>
  <si>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</si>
  <si>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</si>
  <si>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</si>
  <si>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</si>
  <si>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</si>
  <si>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</si>
  <si>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</si>
  <si>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</si>
  <si>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</si>
  <si>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</si>
  <si>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</si>
  <si>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</si>
  <si>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</si>
  <si>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</si>
  <si>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</si>
  <si>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</si>
  <si>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</si>
  <si>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</si>
  <si>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</si>
  <si>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</si>
  <si>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</si>
  <si>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</si>
  <si>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</si>
  <si>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</si>
  <si>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</si>
  <si>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</si>
  <si>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</si>
  <si>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</si>
  <si>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</si>
  <si>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</si>
  <si>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</si>
  <si>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</si>
  <si>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</si>
  <si>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</si>
  <si>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</si>
  <si>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</si>
  <si>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</si>
  <si>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</si>
  <si>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</si>
  <si>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</si>
  <si>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</si>
  <si>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</si>
  <si>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</si>
  <si>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</si>
  <si>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</si>
  <si>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</si>
  <si>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</si>
  <si>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</si>
  <si>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</si>
  <si>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</si>
  <si>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</si>
  <si>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</si>
  <si>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</si>
  <si>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</si>
  <si>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</si>
  <si>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</si>
  <si>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</si>
  <si>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</si>
  <si>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</si>
  <si>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</si>
  <si>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</si>
  <si>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</si>
  <si>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</si>
  <si>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</si>
  <si>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</si>
  <si>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</si>
  <si>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</si>
  <si>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</si>
  <si>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</si>
  <si>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</si>
  <si>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</si>
  <si>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</si>
  <si>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</si>
  <si>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</si>
  <si>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</si>
  <si>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</si>
  <si>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</si>
  <si>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</si>
  <si>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</si>
  <si>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</si>
  <si>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</si>
  <si>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</si>
  <si>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</si>
  <si>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</si>
  <si>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</si>
  <si>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</si>
  <si>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</si>
  <si>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</si>
  <si>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</si>
  <si>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</si>
  <si>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</si>
  <si>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</si>
  <si>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1901</t>
  </si>
  <si>
    <t>1902</t>
  </si>
  <si>
    <t>1903</t>
  </si>
  <si>
    <t>1904</t>
  </si>
  <si>
    <t>1905</t>
  </si>
  <si>
    <t>Bloomberg Description</t>
  </si>
  <si>
    <t>Units</t>
  </si>
  <si>
    <t>G</t>
  </si>
  <si>
    <t>Quote=</t>
  </si>
  <si>
    <t>G=Avg C=Last</t>
  </si>
  <si>
    <t>Curr=</t>
  </si>
  <si>
    <t>USD</t>
  </si>
  <si>
    <t>Sort=</t>
  </si>
  <si>
    <t>C,A,R,D</t>
  </si>
  <si>
    <t>QtTyp=</t>
  </si>
  <si>
    <t>P,Y</t>
  </si>
  <si>
    <t>Dts=</t>
  </si>
  <si>
    <t>TRUE,FALSE</t>
  </si>
  <si>
    <t>B</t>
  </si>
  <si>
    <t>Fill=</t>
  </si>
  <si>
    <t xml:space="preserve">C,P,E,B </t>
  </si>
  <si>
    <t>N</t>
  </si>
  <si>
    <t>Days=</t>
  </si>
  <si>
    <t>N,C,T,W,A</t>
  </si>
  <si>
    <t>m</t>
  </si>
  <si>
    <t>Per=</t>
  </si>
  <si>
    <t>D,W,M,Q,S,Y</t>
  </si>
  <si>
    <t>End Date</t>
  </si>
  <si>
    <t>Start Date</t>
  </si>
  <si>
    <t>px_last</t>
  </si>
  <si>
    <t>Fields</t>
  </si>
  <si>
    <t>OSLSHX Index</t>
  </si>
  <si>
    <t>RGUSPSSH Index</t>
  </si>
  <si>
    <t>PHLXSHX Index</t>
  </si>
  <si>
    <t>DJGSH Index</t>
  </si>
  <si>
    <t>SHSPCCFI Index</t>
  </si>
  <si>
    <t>RGUSPSH Index</t>
  </si>
  <si>
    <t>SHSPSCFI Index</t>
  </si>
  <si>
    <t>WCIDCOMP Index</t>
  </si>
  <si>
    <t>BDIY Index</t>
  </si>
  <si>
    <t>Security</t>
  </si>
  <si>
    <t>Oslo Shipping Index</t>
  </si>
  <si>
    <t>Philadelphia Stock Exchange Marine Shipping Index</t>
  </si>
  <si>
    <t>Dow Jones Global Shipping USD Index</t>
  </si>
  <si>
    <t>Shanghai Shipping Exchange China (Export) Containerized Freight Index</t>
  </si>
  <si>
    <t>Russell 3000 Shipping Index</t>
  </si>
  <si>
    <t>Shanghai Shipping Exchange Shanghai (Export) Containerized Freight Index</t>
  </si>
  <si>
    <t>WCI Composite Container Freight Benchmark Rate per 40 Foot Box</t>
  </si>
  <si>
    <t>BDI Baltic Exchange Dry Index</t>
  </si>
  <si>
    <t>1001 !Q</t>
  </si>
  <si>
    <t>001</t>
  </si>
  <si>
    <t>002</t>
  </si>
  <si>
    <t>003</t>
  </si>
  <si>
    <t>004</t>
  </si>
  <si>
    <t>011</t>
  </si>
  <si>
    <t>012</t>
  </si>
  <si>
    <t>013</t>
  </si>
  <si>
    <t>014</t>
  </si>
  <si>
    <t>021</t>
  </si>
  <si>
    <t>022</t>
  </si>
  <si>
    <t>023</t>
  </si>
  <si>
    <t>024</t>
  </si>
  <si>
    <t>031</t>
  </si>
  <si>
    <t>032</t>
  </si>
  <si>
    <t>033</t>
  </si>
  <si>
    <t>034</t>
  </si>
  <si>
    <t>041</t>
  </si>
  <si>
    <t>042</t>
  </si>
  <si>
    <t>043</t>
  </si>
  <si>
    <t>044</t>
  </si>
  <si>
    <t>051</t>
  </si>
  <si>
    <t>052</t>
  </si>
  <si>
    <t>053</t>
  </si>
  <si>
    <t>054</t>
  </si>
  <si>
    <t>061</t>
  </si>
  <si>
    <t>062</t>
  </si>
  <si>
    <t>063</t>
  </si>
  <si>
    <t>064</t>
  </si>
  <si>
    <t>071</t>
  </si>
  <si>
    <t>072</t>
  </si>
  <si>
    <t>073</t>
  </si>
  <si>
    <t>074</t>
  </si>
  <si>
    <t>081</t>
  </si>
  <si>
    <t>082</t>
  </si>
  <si>
    <t>083</t>
  </si>
  <si>
    <t>084</t>
  </si>
  <si>
    <t>091</t>
  </si>
  <si>
    <t>092</t>
  </si>
  <si>
    <t>093</t>
  </si>
  <si>
    <t>094</t>
  </si>
  <si>
    <t>101</t>
  </si>
  <si>
    <t>102</t>
  </si>
  <si>
    <t>103</t>
  </si>
  <si>
    <t>104</t>
  </si>
  <si>
    <t>111</t>
  </si>
  <si>
    <t>112</t>
  </si>
  <si>
    <t>113</t>
  </si>
  <si>
    <t>114</t>
  </si>
  <si>
    <t>121</t>
  </si>
  <si>
    <t>122</t>
  </si>
  <si>
    <t>123</t>
  </si>
  <si>
    <t>124</t>
  </si>
  <si>
    <t>131</t>
  </si>
  <si>
    <t>132</t>
  </si>
  <si>
    <t>133</t>
  </si>
  <si>
    <t>134</t>
  </si>
  <si>
    <t>141</t>
  </si>
  <si>
    <t>142</t>
  </si>
  <si>
    <t>143</t>
  </si>
  <si>
    <t>144</t>
  </si>
  <si>
    <t>151</t>
  </si>
  <si>
    <t>152</t>
  </si>
  <si>
    <t>153</t>
  </si>
  <si>
    <t>154</t>
  </si>
  <si>
    <t>161</t>
  </si>
  <si>
    <t>162</t>
  </si>
  <si>
    <t>163</t>
  </si>
  <si>
    <t>164</t>
  </si>
  <si>
    <t>171</t>
  </si>
  <si>
    <t>172</t>
  </si>
  <si>
    <t>173</t>
  </si>
  <si>
    <t>174</t>
  </si>
  <si>
    <t>181</t>
  </si>
  <si>
    <t>182</t>
  </si>
  <si>
    <t>183</t>
  </si>
  <si>
    <t>184</t>
  </si>
  <si>
    <t>191</t>
  </si>
  <si>
    <t>GDP</t>
  </si>
  <si>
    <t>CPI</t>
  </si>
  <si>
    <t>PMINO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</si>
  <si>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</si>
  <si>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</si>
  <si>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</si>
  <si>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</si>
  <si>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</si>
  <si>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</si>
  <si>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</si>
  <si>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</si>
  <si>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</si>
  <si>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</si>
  <si>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BALTIC</t>
  </si>
  <si>
    <t>WCIFREIGHT</t>
  </si>
  <si>
    <t>SHANGHAI</t>
  </si>
  <si>
    <t>RUSSELL</t>
  </si>
  <si>
    <t>GPMGDP</t>
  </si>
  <si>
    <t>GDPGOVT</t>
  </si>
  <si>
    <t>GDPPRIV</t>
  </si>
  <si>
    <t>GDPGFCF</t>
  </si>
  <si>
    <t>GDPX</t>
  </si>
  <si>
    <t>GDPM</t>
  </si>
  <si>
    <t>1906</t>
  </si>
  <si>
    <t>192</t>
  </si>
  <si>
    <t>PMI</t>
  </si>
  <si>
    <t>Jan-2005</t>
  </si>
  <si>
    <t>Jan-1996</t>
  </si>
  <si>
    <t>Jan-1994</t>
  </si>
  <si>
    <t>1907</t>
  </si>
  <si>
    <t>Q1-1980</t>
  </si>
  <si>
    <t>CCI</t>
  </si>
  <si>
    <t>193</t>
  </si>
  <si>
    <t>1908</t>
  </si>
  <si>
    <t>STOCKS</t>
  </si>
  <si>
    <t>1909</t>
  </si>
  <si>
    <t>1910</t>
  </si>
  <si>
    <t>194</t>
  </si>
  <si>
    <t>1911</t>
  </si>
  <si>
    <t>1912</t>
  </si>
  <si>
    <t>2001</t>
  </si>
  <si>
    <t>2002</t>
  </si>
  <si>
    <t>Q1-2020</t>
  </si>
  <si>
    <t>201</t>
  </si>
  <si>
    <t>Mar-2020</t>
  </si>
  <si>
    <t>2003</t>
  </si>
  <si>
    <t>N273RD@EMERGELA</t>
  </si>
  <si>
    <t>H273PJ@EMERGELA</t>
  </si>
  <si>
    <t>H273PJXQ@EMERGELA</t>
  </si>
  <si>
    <t>S273DW@EMERGELA</t>
  </si>
  <si>
    <t>S273DN@EMERGELA</t>
  </si>
  <si>
    <t>S273DV@EMERGELA</t>
  </si>
  <si>
    <t>S273DR@EMERGELA</t>
  </si>
  <si>
    <t>S273DM@EMERGELA</t>
  </si>
  <si>
    <t>S273E9M@EMERGELA</t>
  </si>
  <si>
    <t>May-2020</t>
  </si>
  <si>
    <t>Mexico: Overnight Interbank Funding Rate: [Target Rate - Tasa objetivo] (EOP, %)</t>
  </si>
  <si>
    <t>Jan-1969</t>
  </si>
  <si>
    <t>Mexico: Consumer Price Index (SA, Jul 16-31, 2018=100)</t>
  </si>
  <si>
    <t>Jan-1982</t>
  </si>
  <si>
    <t>Mexico: Consumer Price Index: Core (SA, Jul 16-31, 2018=100)</t>
  </si>
  <si>
    <t>Apr-2020</t>
  </si>
  <si>
    <t>Jan-1980</t>
  </si>
  <si>
    <t>Mexico: Industrial Production (SA, 2013=100)</t>
  </si>
  <si>
    <t>Mexico: Industrial Production: Mining (SA, 2013=100)</t>
  </si>
  <si>
    <t>Mexico: Industrial Production: Utilities (SA, 2013=100)</t>
  </si>
  <si>
    <t>Mexico: Industrial Production: Construction (SA, 2013=100)</t>
  </si>
  <si>
    <t>Mexico: Industrial Production: Manufacturing (SA, 2013=100)</t>
  </si>
  <si>
    <t>Jan-2007</t>
  </si>
  <si>
    <t>Mexico: Avg Real Earnings Per Employee: Manufacturing (SA, 2013=100)</t>
  </si>
  <si>
    <t>2004</t>
  </si>
  <si>
    <t>2005</t>
  </si>
  <si>
    <t>2006</t>
  </si>
  <si>
    <t>N273VLD@EMERGELA</t>
  </si>
  <si>
    <t>LEAD</t>
  </si>
  <si>
    <t>Mexico: Leading Index (NSA, LT Avg=100)</t>
  </si>
  <si>
    <t>S273TRS@EMERGELA</t>
  </si>
  <si>
    <t>S273TWS@EMERGELA</t>
  </si>
  <si>
    <t>S273TXD@EMERGELA</t>
  </si>
  <si>
    <t>S273TMD@EMERGELA</t>
  </si>
  <si>
    <t>N273VLC@EMERGELA</t>
  </si>
  <si>
    <t>S273VPCC@EMERGELA</t>
  </si>
  <si>
    <t>N273VCP@EMERGELA</t>
  </si>
  <si>
    <t>S273M@MKTPMI</t>
  </si>
  <si>
    <t>S273MG@MKTPMI</t>
  </si>
  <si>
    <t>S273MO@MKTPMI</t>
  </si>
  <si>
    <t>S273ME@MKTPMI</t>
  </si>
  <si>
    <t>S273MD@MKTPMI</t>
  </si>
  <si>
    <t>S273MSP@MKTPMI</t>
  </si>
  <si>
    <t>S273MPI@MKTPMI</t>
  </si>
  <si>
    <t>S273MQP@MKTPMI</t>
  </si>
  <si>
    <t>S273MSF@MKTPMI</t>
  </si>
  <si>
    <t>S273MX@MKTPMI</t>
  </si>
  <si>
    <t>S273MPO@MKTPMI</t>
  </si>
  <si>
    <t>S273MB@MKTPMI</t>
  </si>
  <si>
    <t>C273KNV@EMERGELA</t>
  </si>
  <si>
    <t>S273NCPI@EMERGELA</t>
  </si>
  <si>
    <t>S273NCVI@EMERGELA</t>
  </si>
  <si>
    <t>S273NCUI@EMERGELA</t>
  </si>
  <si>
    <t>S273NCSI@EMERGELA</t>
  </si>
  <si>
    <t>S273NCMI@EMERGELA</t>
  </si>
  <si>
    <t>N273TM@EMERGELA</t>
  </si>
  <si>
    <t>S273GVI@EMERGELA</t>
  </si>
  <si>
    <t>S273NFI@EMERGELA</t>
  </si>
  <si>
    <t>H273IUQ@EMERGELA</t>
  </si>
  <si>
    <t>C273TXUQ@EMERGELA</t>
  </si>
  <si>
    <t>Mexico: Retail Sales Volume [Goods &amp; Services] (SA, 2013=100)</t>
  </si>
  <si>
    <t>Mexico: Wholesale Sales [Goods &amp; Services] (SA, 2013=100)</t>
  </si>
  <si>
    <t>Mexico: Exports, fob (SA, Mil.US$)</t>
  </si>
  <si>
    <t>Mexico: Imports, fob (SA, Mil.US$)</t>
  </si>
  <si>
    <t>Mexico: Coincident Index (NSA, LT Avg=100)</t>
  </si>
  <si>
    <t>Apr-2001</t>
  </si>
  <si>
    <t>Mexico: Consumer Confidence (SA, 50+=Optimistic)</t>
  </si>
  <si>
    <t>Jan-2004</t>
  </si>
  <si>
    <t>Mexico: Producer Confidence Index (NSA, Points)</t>
  </si>
  <si>
    <t>Apr-2011</t>
  </si>
  <si>
    <t>Mexico PMI: Manufacturing (SA, 50+= Expansion)</t>
  </si>
  <si>
    <t>Mexico PMI: Manufacturing  New Orders (SA, 50+= Expansion)</t>
  </si>
  <si>
    <t>Mexico PMI: Manufacturing  Employment (SA, 50+= Expansion)</t>
  </si>
  <si>
    <t>Mexico PMI: Manufacturing  Suppliers' Delivery Times (SA, 50+= Expansion)</t>
  </si>
  <si>
    <t>Mexico PMI: Manufacturing  Stocks of Purchases (SA, 50+= Expansion)</t>
  </si>
  <si>
    <t>Mexico PMI: Manufacturing  Input Prices (SA, 50+= Expansion)</t>
  </si>
  <si>
    <t>Mexico PMI: Manufacturing  Quantity of Purchases (SA, 50+= Expansion)</t>
  </si>
  <si>
    <t>Mexico PMI: Manufacturing  Stocks of Finished Goods (SA, 50+= Expansion)</t>
  </si>
  <si>
    <t>Mexico PMI: Manufacturing  New Export Orders (SA, 50+= Expansion)</t>
  </si>
  <si>
    <t>Mexico PMI: Manufacturing  Output Prices (SA, 50+= Expansion)</t>
  </si>
  <si>
    <t>Mexico PMI: Manufacturing  Backlogs of Work (SA, 50+= Expansion)</t>
  </si>
  <si>
    <t>Mexico: Stock Price Index: IPC (Avg, 11/78=0.78)</t>
  </si>
  <si>
    <t>Jan-1993</t>
  </si>
  <si>
    <t>Mexico: Private Consumption in Domestic Market (SA, 2013=100)</t>
  </si>
  <si>
    <t>Mexico: Private Consumption in Domestic Market, Total Domestic (SA, 2013=100)</t>
  </si>
  <si>
    <t>Mexico: Private Consumption in Domestic Market, Domestic Goods (SA, 2013=100)</t>
  </si>
  <si>
    <t>Mexico: Private Consumption in Domestic Market, Domestic Services (SA, 2013=100)</t>
  </si>
  <si>
    <t>Mexico: Private Consumption in Domestic Market, Imported Goods (SA, 2013=100)</t>
  </si>
  <si>
    <t>Mexico: Mfg Goods Sales: Manufacturing (NSA, Thous.Pesos)</t>
  </si>
  <si>
    <t>Mexico: Economic Activity Indicator (SWDA, 2013=100)</t>
  </si>
  <si>
    <t>Mexico: Gross Fixed Capital Formation (SA, 2013=100)</t>
  </si>
  <si>
    <t>Jan-1984</t>
  </si>
  <si>
    <t>Mexico: Production of Crude Petroleum (SA, Thous.Bbls/Day)</t>
  </si>
  <si>
    <t>Mexico: Petroleum Exports: Crude (Thous.Barrels/Day)</t>
  </si>
  <si>
    <t>S273VMA@EMERGELA</t>
  </si>
  <si>
    <t>S273VMNA@EMERGELA</t>
  </si>
  <si>
    <t>sa(N273VIUC@EMERGELA)</t>
  </si>
  <si>
    <t>Mexico: IMEF Business Climate Index: Mfg Adj by Co Size (SA, 50+=Econ Expand)</t>
  </si>
  <si>
    <t>Mexico: News Based Economic Policy Uncertainty Index (Jan 1996-Dec 2016=100)  - Seasonal Adjustment, All</t>
  </si>
  <si>
    <t>Mexico: IMEF Business Climate Index: Nonmfg Adj by Co Size (SA, 50+=Econ Expand)</t>
  </si>
  <si>
    <t>IPMINE</t>
  </si>
  <si>
    <t>IPUTIL</t>
  </si>
  <si>
    <t>202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</si>
  <si>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</si>
  <si>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IPCONST</t>
  </si>
  <si>
    <t>EXPORTS</t>
  </si>
  <si>
    <t>IMPORTS</t>
  </si>
  <si>
    <t>PCI</t>
  </si>
  <si>
    <t>PMIManu</t>
  </si>
  <si>
    <t>PMIDELI</t>
  </si>
  <si>
    <t>PMIStocks</t>
  </si>
  <si>
    <t>PMIIP</t>
  </si>
  <si>
    <t>COINCI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</si>
  <si>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</si>
  <si>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</si>
  <si>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</si>
  <si>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</si>
  <si>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</si>
  <si>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</si>
  <si>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</si>
  <si>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</si>
  <si>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</si>
  <si>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</si>
  <si>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</si>
  <si>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</si>
  <si>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Q1-1993</t>
  </si>
  <si>
    <t>difa%(S273NGPC@EMERGELA)</t>
  </si>
  <si>
    <t>Mexico: Gross Domestic Product, Market Prices (SAAR, 2013.NewPesos) % Change - Annual Rate</t>
  </si>
  <si>
    <t>difa%(S273NCC@EMERGELA)</t>
  </si>
  <si>
    <t>difa%(S273NCGC@EMERGELA)</t>
  </si>
  <si>
    <t>difa%(S273NCPC@EMERGELA)</t>
  </si>
  <si>
    <t>difa%(S273NBC@EMERGELA)</t>
  </si>
  <si>
    <t>difa%(S273NFC@EMERGELA)</t>
  </si>
  <si>
    <t>difa%(S273NXC@EMERGELA)</t>
  </si>
  <si>
    <t>difa%(S273NMC@EMERGELA)</t>
  </si>
  <si>
    <t>Mexico: GDP: Total Consumption (SAAR, 2013.NewPesos) % Change - Annual Rate</t>
  </si>
  <si>
    <t>Mexico: GDP: Government Consumption (SAAR, 2013.NewPesos) % Change - Annual Rate</t>
  </si>
  <si>
    <t>Mexico: GDP: Private Consumption (SAAR, 2013.NewPesos) % Change - Annual Rate</t>
  </si>
  <si>
    <t>Mexico: GDP: Change in Inventories (SAAR, 2013.NewPesos) % Change - Annual Rate</t>
  </si>
  <si>
    <t>Mexico: GDP: Gross Fixed Capital Formation (SAAR, 2013.NewPesos) % Change - Annual Rate</t>
  </si>
  <si>
    <t>Mexico: GDP: Exports of Goods and Services (SAAR, 2013.NewPesos) % Change - Annual Rate</t>
  </si>
  <si>
    <t>Mexico: GDP: Imports of Goods and Services (SAAR, 2013.NewPesos) % Change - Annual Rate</t>
  </si>
  <si>
    <t>USCRWTIC Index</t>
  </si>
  <si>
    <t>WTI</t>
  </si>
  <si>
    <t>WTI Price</t>
  </si>
  <si>
    <t>Jun-2020</t>
  </si>
  <si>
    <t>R273MA@EMERGELA</t>
  </si>
  <si>
    <t>N273XJCB@EMERGELA</t>
  </si>
  <si>
    <t>H273EPAU@EMERGELA</t>
  </si>
  <si>
    <t>Mexico: 10 Year Treasury Bond Mid Yield (% p.a.)</t>
  </si>
  <si>
    <t>Jan-1970</t>
  </si>
  <si>
    <t>Mexico: JPMorgan Real Broad Effective Exchange Rate Index, CPI Based (2010=100)</t>
  </si>
  <si>
    <t>Apr-2000</t>
  </si>
  <si>
    <t>Mexico: NES: Unemployed Population: Percent of Econ Active Pop (SA, %)</t>
  </si>
  <si>
    <t>SALES_R</t>
  </si>
  <si>
    <t>WHOLESALE</t>
  </si>
  <si>
    <t>PCONS_D</t>
  </si>
  <si>
    <t>sa(N273TA55@EMERGELA)</t>
  </si>
  <si>
    <t>Mexico: Inbound International Tourism Expenditure (NSA, Thous.US$)  - Seasonal Adjustment,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</si>
</sst>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mm"/>
    <numFmt numFmtId="165" formatCode="0.000"/>
    <numFmt numFmtId="166" formatCode="0.0"/>
    <numFmt numFmtId="167" formatCode="0.0000"/>
    <numFmt numFmtId="168" formatCode="0.00000"/>
    <numFmt numFmtId="169" formatCode="0.00000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8" fillId="0" borderId="0"/>
  </cellStyleXfs>
  <cellXfs count="40">
    <xf numFmtId="0" fontId="0" fillId="0" borderId="0" xfId="0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3" fillId="0" borderId="0" xfId="1"/>
    <xf numFmtId="0" fontId="4" fillId="0" borderId="0" xfId="2"/>
    <xf numFmtId="2" fontId="4" fillId="0" borderId="0" xfId="2" applyNumberFormat="1"/>
    <xf numFmtId="14" fontId="4" fillId="0" borderId="0" xfId="2" applyNumberFormat="1"/>
    <xf numFmtId="2" fontId="4" fillId="0" borderId="1" xfId="2" applyNumberFormat="1" applyBorder="1"/>
    <xf numFmtId="14" fontId="4" fillId="0" borderId="1" xfId="2" applyNumberFormat="1" applyBorder="1"/>
    <xf numFmtId="0" fontId="4" fillId="0" borderId="1" xfId="2" applyBorder="1"/>
    <xf numFmtId="2" fontId="4" fillId="2" borderId="1" xfId="2" applyNumberFormat="1" applyFill="1" applyBorder="1" applyAlignment="1">
      <alignment vertical="top" wrapText="1"/>
    </xf>
    <xf numFmtId="0" fontId="4" fillId="2" borderId="1" xfId="2" applyFill="1" applyBorder="1" applyAlignment="1">
      <alignment vertical="top" wrapText="1"/>
    </xf>
    <xf numFmtId="0" fontId="4" fillId="3" borderId="1" xfId="2" applyFill="1" applyBorder="1" applyAlignment="1">
      <alignment horizontal="center"/>
    </xf>
    <xf numFmtId="0" fontId="4" fillId="3" borderId="1" xfId="2" applyFill="1" applyBorder="1"/>
    <xf numFmtId="0" fontId="2" fillId="3" borderId="1" xfId="2" applyFont="1" applyFill="1" applyBorder="1" applyAlignment="1">
      <alignment horizontal="center"/>
    </xf>
    <xf numFmtId="0" fontId="2" fillId="4" borderId="1" xfId="2" applyFont="1" applyFill="1" applyBorder="1" applyAlignment="1">
      <alignment horizontal="left"/>
    </xf>
    <xf numFmtId="0" fontId="2" fillId="4" borderId="1" xfId="2" applyFont="1" applyFill="1" applyBorder="1"/>
    <xf numFmtId="0" fontId="2" fillId="4" borderId="1" xfId="2" applyFont="1" applyFill="1" applyBorder="1" applyAlignment="1">
      <alignment horizontal="center"/>
    </xf>
    <xf numFmtId="14" fontId="2" fillId="4" borderId="1" xfId="2" applyNumberFormat="1" applyFont="1" applyFill="1" applyBorder="1" applyAlignment="1">
      <alignment horizontal="left"/>
    </xf>
    <xf numFmtId="14" fontId="5" fillId="4" borderId="1" xfId="2" applyNumberFormat="1" applyFont="1" applyFill="1" applyBorder="1" applyAlignment="1">
      <alignment horizontal="left"/>
    </xf>
    <xf numFmtId="2" fontId="4" fillId="5" borderId="1" xfId="2" applyNumberFormat="1" applyFill="1" applyBorder="1" applyAlignment="1">
      <alignment vertical="top" wrapText="1"/>
    </xf>
    <xf numFmtId="2" fontId="4" fillId="0" borderId="0" xfId="2" applyNumberFormat="1" applyAlignment="1">
      <alignment horizontal="center" vertical="center" wrapText="1"/>
    </xf>
    <xf numFmtId="0" fontId="6" fillId="0" borderId="0" xfId="0" applyFont="1" applyAlignment="1">
      <alignment wrapText="1"/>
    </xf>
    <xf numFmtId="14" fontId="0" fillId="0" borderId="0" xfId="0" applyNumberFormat="1"/>
    <xf numFmtId="167" fontId="0" fillId="0" borderId="0" xfId="0" applyNumberFormat="1"/>
    <xf numFmtId="2" fontId="7" fillId="7" borderId="0" xfId="2" applyNumberFormat="1" applyFont="1" applyFill="1"/>
    <xf numFmtId="0" fontId="7" fillId="0" borderId="0" xfId="0" applyFont="1"/>
    <xf numFmtId="0" fontId="7" fillId="6" borderId="0" xfId="0" applyFont="1" applyFill="1"/>
    <xf numFmtId="0" fontId="3" fillId="0" borderId="0" xfId="1" applyFill="1"/>
    <xf numFmtId="0" fontId="0" fillId="0" borderId="0" xfId="0" applyFill="1"/>
    <xf numFmtId="168" fontId="0" fillId="0" borderId="0" xfId="0" applyNumberFormat="1"/>
    <xf numFmtId="169" fontId="0" fillId="0" borderId="0" xfId="0" applyNumberFormat="1"/>
    <xf numFmtId="2" fontId="1" fillId="5" borderId="1" xfId="2" applyNumberFormat="1" applyFont="1" applyFill="1" applyBorder="1" applyAlignment="1">
      <alignment vertical="top" wrapText="1"/>
    </xf>
    <xf numFmtId="0" fontId="1" fillId="0" borderId="0" xfId="2" applyFont="1"/>
    <xf numFmtId="2" fontId="1" fillId="0" borderId="0" xfId="2" applyNumberFormat="1" applyFont="1" applyAlignment="1">
      <alignment horizontal="center" vertical="center" wrapText="1"/>
    </xf>
  </cellXfs>
  <cellStyles count="4">
    <cellStyle name="Hyperlink" xfId="1" builtinId="8"/>
    <cellStyle name="Normal" xfId="0" builtinId="0"/>
    <cellStyle name="Normal 2" xfId="2" xr:uid="{CC0B3DE0-847B-4289-A4EC-A800F4E92523}"/>
    <cellStyle name="Normal 3" xfId="3" xr:uid="{6B4BF48F-34E3-435A-B9F2-4A4A53CB26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#N/A Connection</v>
        <stp/>
        <stp>##V3_BDPV12</stp>
        <stp>RGUSPSH Index</stp>
        <stp>indx_units</stp>
        <stp>[data_MEX.xlsx]Bloomberg_m!R15C6</stp>
        <tr r="F15" s="6"/>
      </tp>
      <tp t="s">
        <v>#N/A Connection</v>
        <stp/>
        <stp>##V3_BDPV12</stp>
        <stp>PHLXSHX Index</stp>
        <stp>indx_units</stp>
        <stp>[data_MEX.xlsx]Bloomberg_m!R15C9</stp>
        <tr r="I15" s="6"/>
      </tp>
      <tp t="s">
        <v>#N/A Connection</v>
        <stp/>
        <stp>##V3_BDPV12</stp>
        <stp>WCIDCOMP Index</stp>
        <stp>indx_units</stp>
        <stp>[data_MEX.xlsx]Bloomberg_m!R15C4</stp>
        <tr r="D15" s="6"/>
      </tp>
    </main>
    <main first="bofaddin.rtdserver">
      <tp t="e">
        <v>#N/A</v>
        <stp/>
        <stp>BDH|16752505184862034682</stp>
        <tr r="G17" s="6"/>
      </tp>
    </main>
    <main first="bloomberg.rtd">
      <tp t="s">
        <v>#N/A Connection</v>
        <stp/>
        <stp>##V3_BDPV12</stp>
        <stp>OSLSHX Index</stp>
        <stp>indx_units</stp>
        <stp>[data_MEX.xlsx]Bloomberg_m!R15C11</stp>
        <tr r="K15" s="6"/>
      </tp>
      <tp t="s">
        <v>#N/A Connection</v>
        <stp/>
        <stp>##V3_BDPV12</stp>
        <stp>RGUSPSSH Index</stp>
        <stp>indx_units</stp>
        <stp>[data_MEX.xlsx]Bloomberg_m!R15C10</stp>
        <tr r="J15" s="6"/>
      </tp>
      <tp t="s">
        <v>#N/A Connection</v>
        <stp/>
        <stp>##V3_BDPV12</stp>
        <stp>USCRWTIC Index</stp>
        <stp>indx_units</stp>
        <stp>[data_MEX.xlsx]Bloomberg_m!R15C12</stp>
        <tr r="L15" s="6"/>
      </tp>
    </main>
    <main first="bofaddin.rtdserver">
      <tp t="e">
        <v>#N/A</v>
        <stp/>
        <stp>BDH|13913295889718436152</stp>
        <tr r="I17" s="6"/>
      </tp>
    </main>
    <main first="bloomberg.rtd">
      <tp t="s">
        <v>#N/A Connection</v>
        <stp/>
        <stp>##V3_BDPV12</stp>
        <stp>SHSPCCFI Index</stp>
        <stp>indx_units</stp>
        <stp>[data_MEX.xlsx]Bloomberg_m!R15C7</stp>
        <tr r="G15" s="6"/>
      </tp>
      <tp t="s">
        <v>#N/A Connection</v>
        <stp/>
        <stp>##V3_BDPV12</stp>
        <stp>SHSPSCFI Index</stp>
        <stp>indx_units</stp>
        <stp>[data_MEX.xlsx]Bloomberg_m!R15C5</stp>
        <tr r="E15" s="6"/>
      </tp>
    </main>
    <main first="bofaddin.rtdserver">
      <tp t="e">
        <v>#N/A</v>
        <stp/>
        <stp>BDH|16208850008062173895</stp>
        <tr r="H17" s="6"/>
      </tp>
      <tp t="e">
        <v>#N/A</v>
        <stp/>
        <stp>BDH|18349907361471500301</stp>
        <tr r="F17" s="6"/>
      </tp>
    </main>
    <main first="bofaddin.rtdserver">
      <tp t="e">
        <v>#N/A</v>
        <stp/>
        <stp>BDH|3949753546542820</stp>
        <tr r="B17" s="6"/>
      </tp>
    </main>
    <main first="bloomberg.rtd">
      <tp t="s">
        <v>#N/A Connection</v>
        <stp/>
        <stp>##V3_BDPV12</stp>
        <stp>DJGSH Index</stp>
        <stp>long_comp_name</stp>
        <stp>[data_MEX.xlsx]Bloomberg_m!R16C8</stp>
        <tr r="H16" s="6"/>
      </tp>
      <tp t="s">
        <v>#N/A Connection</v>
        <stp/>
        <stp>##V3_BDPV12</stp>
        <stp>BDIY Index</stp>
        <stp>long_comp_name</stp>
        <stp>[data_MEX.xlsx]Bloomberg_m!R16C3</stp>
        <tr r="C16" s="6"/>
      </tp>
    </main>
    <main first="bofaddin.rtdserver">
      <tp t="e">
        <v>#N/A</v>
        <stp/>
        <stp>BDH|7962037018491562893</stp>
        <tr r="J17" s="6"/>
      </tp>
      <tp t="e">
        <v>#N/A</v>
        <stp/>
        <stp>BDH|1646699359350452987</stp>
        <tr r="L17" s="6"/>
      </tp>
      <tp t="e">
        <v>#N/A</v>
        <stp/>
        <stp>BDH|8220966896711208247</stp>
        <tr r="E17" s="6"/>
      </tp>
    </main>
    <main first="bloomberg.rtd">
      <tp t="s">
        <v>#N/A Connection</v>
        <stp/>
        <stp>##V3_BDPV12</stp>
        <stp>RGUSPSSH Index</stp>
        <stp>long_comp_name</stp>
        <stp>[data_MEX.xlsx]Bloomberg_m!R16C10</stp>
        <tr r="J16" s="6"/>
      </tp>
      <tp t="s">
        <v>#N/A Connection</v>
        <stp/>
        <stp>##V3_BDPV12</stp>
        <stp>OSLSHX Index</stp>
        <stp>long_comp_name</stp>
        <stp>[data_MEX.xlsx]Bloomberg_m!R16C11</stp>
        <tr r="K16" s="6"/>
      </tp>
      <tp t="s">
        <v>#N/A Connection</v>
        <stp/>
        <stp>##V3_BDPV12</stp>
        <stp>USCRWTIC Index</stp>
        <stp>long_comp_name</stp>
        <stp>[data_MEX.xlsx]Bloomberg_m!R16C12</stp>
        <tr r="L16" s="6"/>
      </tp>
    </main>
    <main first="bofaddin.rtdserver">
      <tp t="e">
        <v>#N/A</v>
        <stp/>
        <stp>BDH|2199608712265945709</stp>
        <tr r="K17" s="6"/>
      </tp>
      <tp t="e">
        <v>#N/A</v>
        <stp/>
        <stp>BDH|7198313250791445278</stp>
        <tr r="D17" s="6"/>
      </tp>
    </main>
    <main first="bloomberg.rtd">
      <tp t="s">
        <v>#N/A Connection</v>
        <stp/>
        <stp>##V3_BDPV12</stp>
        <stp>BDIY Index</stp>
        <stp>indx_units</stp>
        <stp>[data_MEX.xlsx]Bloomberg_m!R15C3</stp>
        <tr r="C15" s="6"/>
      </tp>
      <tp t="s">
        <v>#N/A Connection</v>
        <stp/>
        <stp>##V3_BDPV12</stp>
        <stp>DJGSH Index</stp>
        <stp>indx_units</stp>
        <stp>[data_MEX.xlsx]Bloomberg_m!R15C8</stp>
        <tr r="H15" s="6"/>
      </tp>
      <tp t="s">
        <v>#N/A Connection</v>
        <stp/>
        <stp>##V3_BDPV12</stp>
        <stp>PHLXSHX Index</stp>
        <stp>long_comp_name</stp>
        <stp>[data_MEX.xlsx]Bloomberg_m!R16C9</stp>
        <tr r="I16" s="6"/>
      </tp>
      <tp t="s">
        <v>#N/A Connection</v>
        <stp/>
        <stp>##V3_BDPV12</stp>
        <stp>RGUSPSH Index</stp>
        <stp>long_comp_name</stp>
        <stp>[data_MEX.xlsx]Bloomberg_m!R16C6</stp>
        <tr r="F16" s="6"/>
      </tp>
      <tp t="s">
        <v>#N/A Connection</v>
        <stp/>
        <stp>##V3_BDPV12</stp>
        <stp>SHSPSCFI Index</stp>
        <stp>long_comp_name</stp>
        <stp>[data_MEX.xlsx]Bloomberg_m!R16C5</stp>
        <tr r="E16" s="6"/>
      </tp>
      <tp t="s">
        <v>#N/A Connection</v>
        <stp/>
        <stp>##V3_BDPV12</stp>
        <stp>SHSPCCFI Index</stp>
        <stp>long_comp_name</stp>
        <stp>[data_MEX.xlsx]Bloomberg_m!R16C7</stp>
        <tr r="G16" s="6"/>
      </tp>
      <tp t="s">
        <v>#N/A Connection</v>
        <stp/>
        <stp>##V3_BDPV12</stp>
        <stp>WCIDCOMP Index</stp>
        <stp>long_comp_name</stp>
        <stp>[data_MEX.xlsx]Bloomberg_m!R16C4</stp>
        <tr r="D16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542VLD@EMERGEPR" TargetMode="External"/><Relationship Id="rId13" Type="http://schemas.openxmlformats.org/officeDocument/2006/relationships/hyperlink" Target="mailto:H542PCXG@EMERGEPR" TargetMode="External"/><Relationship Id="rId3" Type="http://schemas.openxmlformats.org/officeDocument/2006/relationships/hyperlink" Target="mailto:H542IX@EMERGEPR" TargetMode="External"/><Relationship Id="rId7" Type="http://schemas.openxmlformats.org/officeDocument/2006/relationships/hyperlink" Target="mailto:S542S26S@EMERGEPR" TargetMode="External"/><Relationship Id="rId12" Type="http://schemas.openxmlformats.org/officeDocument/2006/relationships/hyperlink" Target="mailto:SM225@JAPAN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H542EM@EMERGEPR" TargetMode="External"/><Relationship Id="rId16" Type="http://schemas.openxmlformats.org/officeDocument/2006/relationships/hyperlink" Target="mailto:S273DV@EMERGELA" TargetMode="External"/><Relationship Id="rId1" Type="http://schemas.openxmlformats.org/officeDocument/2006/relationships/hyperlink" Target="mailto:S542M@MKTPMI" TargetMode="External"/><Relationship Id="rId6" Type="http://schemas.openxmlformats.org/officeDocument/2006/relationships/hyperlink" Target="mailto:S542TSM@EMERGEPR" TargetMode="External"/><Relationship Id="rId11" Type="http://schemas.openxmlformats.org/officeDocument/2006/relationships/hyperlink" Target="mailto:JPEWSSF@JAPAN" TargetMode="External"/><Relationship Id="rId5" Type="http://schemas.openxmlformats.org/officeDocument/2006/relationships/hyperlink" Target="mailto:S542TS26@EMERGEPR" TargetMode="External"/><Relationship Id="rId15" Type="http://schemas.openxmlformats.org/officeDocument/2006/relationships/hyperlink" Target="mailto:H542PC@EMERGEPR" TargetMode="External"/><Relationship Id="rId10" Type="http://schemas.openxmlformats.org/officeDocument/2006/relationships/hyperlink" Target="mailto:JPEWSSC@JAPAN" TargetMode="External"/><Relationship Id="rId4" Type="http://schemas.openxmlformats.org/officeDocument/2006/relationships/hyperlink" Target="mailto:H542IM@EMERGEPR" TargetMode="External"/><Relationship Id="rId9" Type="http://schemas.openxmlformats.org/officeDocument/2006/relationships/hyperlink" Target="mailto:H542VLCC@EMERGEPR" TargetMode="External"/><Relationship Id="rId14" Type="http://schemas.openxmlformats.org/officeDocument/2006/relationships/hyperlink" Target="mailto:N542XJCB@EMERGEP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542NMC@EMERGEPR" TargetMode="External"/><Relationship Id="rId3" Type="http://schemas.openxmlformats.org/officeDocument/2006/relationships/hyperlink" Target="mailto:S542NCGC@EMERGEPR" TargetMode="External"/><Relationship Id="rId7" Type="http://schemas.openxmlformats.org/officeDocument/2006/relationships/hyperlink" Target="mailto:S542NXC@EMERGEPR" TargetMode="External"/><Relationship Id="rId2" Type="http://schemas.openxmlformats.org/officeDocument/2006/relationships/hyperlink" Target="mailto:S542NCC@EMERGEPR" TargetMode="External"/><Relationship Id="rId1" Type="http://schemas.openxmlformats.org/officeDocument/2006/relationships/hyperlink" Target="mailto:REDPC2@JAPAN" TargetMode="External"/><Relationship Id="rId6" Type="http://schemas.openxmlformats.org/officeDocument/2006/relationships/hyperlink" Target="mailto:S542NFC@EMERGEPR" TargetMode="External"/><Relationship Id="rId5" Type="http://schemas.openxmlformats.org/officeDocument/2006/relationships/hyperlink" Target="mailto:S542NKC@EMERGEPR" TargetMode="External"/><Relationship Id="rId4" Type="http://schemas.openxmlformats.org/officeDocument/2006/relationships/hyperlink" Target="mailto:S542NCPC@EMERGEPR" TargetMode="Externa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68A9-9716-45E8-BF8B-0CD849EE3968}">
  <sheetPr codeName="Sheet2">
    <tabColor rgb="FF0070C0"/>
  </sheetPr>
  <dimension ref="A1:AW251"/>
  <sheetViews>
    <sheetView workbookViewId="0">
      <pane xSplit="2" ySplit="5" topLeftCell="C237" activePane="bottomRight" state="frozen"/>
      <selection pane="topRight" activeCell="C1" sqref="C1"/>
      <selection pane="bottomLeft" activeCell="A5" sqref="A5"/>
      <selection pane="bottomRight" activeCell="C255" sqref="C255"/>
    </sheetView>
  </sheetViews>
  <sheetFormatPr defaultColWidth="13.42578125" defaultRowHeight="15" x14ac:dyDescent="0.25"/>
  <sheetData>
    <row r="1" spans="1:49" x14ac:dyDescent="0.25">
      <c r="C1" t="s">
        <v>364</v>
      </c>
      <c r="D1" t="s">
        <v>365</v>
      </c>
      <c r="E1" t="s">
        <v>366</v>
      </c>
      <c r="F1" t="s">
        <v>362</v>
      </c>
      <c r="G1" t="s">
        <v>367</v>
      </c>
      <c r="H1" t="s">
        <v>368</v>
      </c>
      <c r="I1" t="s">
        <v>507</v>
      </c>
      <c r="J1" t="s">
        <v>508</v>
      </c>
      <c r="K1" t="s">
        <v>511</v>
      </c>
      <c r="L1" t="s">
        <v>369</v>
      </c>
      <c r="M1" t="s">
        <v>370</v>
      </c>
      <c r="N1" t="s">
        <v>371</v>
      </c>
      <c r="O1" t="s">
        <v>435</v>
      </c>
      <c r="P1" t="s">
        <v>561</v>
      </c>
      <c r="Q1" t="s">
        <v>562</v>
      </c>
      <c r="R1" t="s">
        <v>512</v>
      </c>
      <c r="S1" t="s">
        <v>513</v>
      </c>
      <c r="T1" t="s">
        <v>519</v>
      </c>
      <c r="U1" t="s">
        <v>392</v>
      </c>
      <c r="V1" t="s">
        <v>514</v>
      </c>
      <c r="W1" t="s">
        <v>386</v>
      </c>
      <c r="X1" t="s">
        <v>515</v>
      </c>
      <c r="Y1" t="s">
        <v>363</v>
      </c>
      <c r="Z1" t="s">
        <v>373</v>
      </c>
      <c r="AA1" t="s">
        <v>516</v>
      </c>
      <c r="AB1" t="s">
        <v>517</v>
      </c>
      <c r="AC1" t="s">
        <v>518</v>
      </c>
      <c r="AD1" t="s">
        <v>520</v>
      </c>
      <c r="AE1" t="s">
        <v>372</v>
      </c>
      <c r="AF1" t="s">
        <v>521</v>
      </c>
      <c r="AG1" t="s">
        <v>522</v>
      </c>
      <c r="AH1" t="s">
        <v>523</v>
      </c>
      <c r="AI1" t="s">
        <v>395</v>
      </c>
      <c r="AJ1" t="s">
        <v>524</v>
      </c>
      <c r="AK1" t="s">
        <v>563</v>
      </c>
      <c r="AP1" t="s">
        <v>525</v>
      </c>
      <c r="AQ1" t="s">
        <v>526</v>
      </c>
      <c r="AR1" t="s">
        <v>527</v>
      </c>
      <c r="AS1" t="s">
        <v>528</v>
      </c>
      <c r="AT1" t="s">
        <v>529</v>
      </c>
      <c r="AU1" t="s">
        <v>530</v>
      </c>
      <c r="AV1" t="s">
        <v>531</v>
      </c>
    </row>
    <row r="2" spans="1:49" x14ac:dyDescent="0.25">
      <c r="A2" s="1" t="s">
        <v>0</v>
      </c>
      <c r="B2" s="1" t="s">
        <v>1</v>
      </c>
      <c r="C2" t="s">
        <v>407</v>
      </c>
      <c r="D2" t="s">
        <v>553</v>
      </c>
      <c r="E2" s="8" t="s">
        <v>554</v>
      </c>
      <c r="F2" s="8" t="s">
        <v>408</v>
      </c>
      <c r="G2" s="8" t="s">
        <v>409</v>
      </c>
      <c r="H2" t="s">
        <v>410</v>
      </c>
      <c r="I2" t="s">
        <v>411</v>
      </c>
      <c r="J2" s="33" t="s">
        <v>412</v>
      </c>
      <c r="K2" t="s">
        <v>413</v>
      </c>
      <c r="L2" t="s">
        <v>414</v>
      </c>
      <c r="M2" t="s">
        <v>555</v>
      </c>
      <c r="N2" s="8" t="s">
        <v>415</v>
      </c>
      <c r="O2" s="33" t="s">
        <v>434</v>
      </c>
      <c r="P2" t="s">
        <v>437</v>
      </c>
      <c r="Q2" t="s">
        <v>438</v>
      </c>
      <c r="R2" s="8" t="s">
        <v>439</v>
      </c>
      <c r="S2" s="8" t="s">
        <v>440</v>
      </c>
      <c r="T2" t="s">
        <v>441</v>
      </c>
      <c r="U2" t="s">
        <v>442</v>
      </c>
      <c r="V2" s="33" t="s">
        <v>443</v>
      </c>
      <c r="W2" t="s">
        <v>444</v>
      </c>
      <c r="X2" t="s">
        <v>445</v>
      </c>
      <c r="Y2" s="8" t="s">
        <v>446</v>
      </c>
      <c r="Z2" t="s">
        <v>447</v>
      </c>
      <c r="AA2" t="s">
        <v>448</v>
      </c>
      <c r="AB2" t="s">
        <v>449</v>
      </c>
      <c r="AC2" t="s">
        <v>450</v>
      </c>
      <c r="AD2" s="8" t="s">
        <v>451</v>
      </c>
      <c r="AE2" s="8" t="s">
        <v>452</v>
      </c>
      <c r="AF2" s="8" t="s">
        <v>453</v>
      </c>
      <c r="AG2" s="8" t="s">
        <v>454</v>
      </c>
      <c r="AH2" s="8" t="s">
        <v>455</v>
      </c>
      <c r="AI2" s="8" t="s">
        <v>456</v>
      </c>
      <c r="AJ2" t="s">
        <v>457</v>
      </c>
      <c r="AK2" t="s">
        <v>458</v>
      </c>
      <c r="AL2" t="s">
        <v>459</v>
      </c>
      <c r="AM2" t="s">
        <v>460</v>
      </c>
      <c r="AN2" t="s">
        <v>461</v>
      </c>
      <c r="AO2" t="s">
        <v>462</v>
      </c>
      <c r="AP2" t="s">
        <v>463</v>
      </c>
      <c r="AQ2" t="s">
        <v>464</v>
      </c>
      <c r="AR2" t="s">
        <v>564</v>
      </c>
      <c r="AS2" t="s">
        <v>465</v>
      </c>
      <c r="AT2" t="s">
        <v>466</v>
      </c>
      <c r="AU2" t="s">
        <v>501</v>
      </c>
      <c r="AV2" t="s">
        <v>503</v>
      </c>
      <c r="AW2" t="s">
        <v>502</v>
      </c>
    </row>
    <row r="3" spans="1:49" s="27" customFormat="1" ht="114.75" x14ac:dyDescent="0.2">
      <c r="A3" s="27" t="s">
        <v>5</v>
      </c>
      <c r="C3" s="27" t="s">
        <v>417</v>
      </c>
      <c r="D3" s="27" t="s">
        <v>556</v>
      </c>
      <c r="E3" s="27" t="s">
        <v>558</v>
      </c>
      <c r="F3" s="27" t="s">
        <v>419</v>
      </c>
      <c r="G3" s="27" t="s">
        <v>421</v>
      </c>
      <c r="H3" s="27" t="s">
        <v>424</v>
      </c>
      <c r="I3" s="27" t="s">
        <v>425</v>
      </c>
      <c r="J3" s="27" t="s">
        <v>426</v>
      </c>
      <c r="K3" s="27" t="s">
        <v>427</v>
      </c>
      <c r="L3" s="27" t="s">
        <v>428</v>
      </c>
      <c r="M3" s="27" t="s">
        <v>560</v>
      </c>
      <c r="N3" s="27" t="s">
        <v>430</v>
      </c>
      <c r="O3" s="27" t="s">
        <v>436</v>
      </c>
      <c r="P3" s="27" t="s">
        <v>467</v>
      </c>
      <c r="Q3" s="27" t="s">
        <v>468</v>
      </c>
      <c r="R3" s="27" t="s">
        <v>469</v>
      </c>
      <c r="S3" s="27" t="s">
        <v>470</v>
      </c>
      <c r="T3" s="27" t="s">
        <v>471</v>
      </c>
      <c r="U3" s="27" t="s">
        <v>473</v>
      </c>
      <c r="V3" s="27" t="s">
        <v>475</v>
      </c>
      <c r="W3" s="27" t="s">
        <v>477</v>
      </c>
      <c r="X3" s="27" t="s">
        <v>477</v>
      </c>
      <c r="Y3" s="27" t="s">
        <v>478</v>
      </c>
      <c r="Z3" s="27" t="s">
        <v>479</v>
      </c>
      <c r="AA3" s="27" t="s">
        <v>480</v>
      </c>
      <c r="AB3" s="27" t="s">
        <v>481</v>
      </c>
      <c r="AC3" s="27" t="s">
        <v>482</v>
      </c>
      <c r="AD3" s="27" t="s">
        <v>483</v>
      </c>
      <c r="AE3" s="27" t="s">
        <v>484</v>
      </c>
      <c r="AF3" s="27" t="s">
        <v>485</v>
      </c>
      <c r="AG3" s="27" t="s">
        <v>486</v>
      </c>
      <c r="AH3" s="27" t="s">
        <v>487</v>
      </c>
      <c r="AI3" s="27" t="s">
        <v>488</v>
      </c>
      <c r="AJ3" s="27" t="s">
        <v>490</v>
      </c>
      <c r="AK3" s="27" t="s">
        <v>491</v>
      </c>
      <c r="AL3" s="27" t="s">
        <v>492</v>
      </c>
      <c r="AM3" s="27" t="s">
        <v>493</v>
      </c>
      <c r="AN3" s="27" t="s">
        <v>494</v>
      </c>
      <c r="AO3" s="27" t="s">
        <v>495</v>
      </c>
      <c r="AP3" s="27" t="s">
        <v>496</v>
      </c>
      <c r="AQ3" s="27" t="s">
        <v>497</v>
      </c>
      <c r="AR3" s="27" t="s">
        <v>565</v>
      </c>
      <c r="AS3" s="27" t="s">
        <v>499</v>
      </c>
      <c r="AT3" s="27" t="s">
        <v>500</v>
      </c>
      <c r="AU3" s="27" t="s">
        <v>504</v>
      </c>
      <c r="AV3" s="27" t="s">
        <v>505</v>
      </c>
      <c r="AW3" s="27" t="s">
        <v>506</v>
      </c>
    </row>
    <row r="4" spans="1:49" x14ac:dyDescent="0.25">
      <c r="A4" t="s">
        <v>4</v>
      </c>
      <c r="C4" t="s">
        <v>6</v>
      </c>
      <c r="D4" t="s">
        <v>6</v>
      </c>
      <c r="E4" t="s">
        <v>557</v>
      </c>
      <c r="F4" t="s">
        <v>418</v>
      </c>
      <c r="G4" t="s">
        <v>420</v>
      </c>
      <c r="H4" t="s">
        <v>423</v>
      </c>
      <c r="I4" t="s">
        <v>423</v>
      </c>
      <c r="J4" t="s">
        <v>423</v>
      </c>
      <c r="K4" t="s">
        <v>423</v>
      </c>
      <c r="L4" t="s">
        <v>423</v>
      </c>
      <c r="M4" t="s">
        <v>559</v>
      </c>
      <c r="N4" t="s">
        <v>429</v>
      </c>
      <c r="O4" t="s">
        <v>423</v>
      </c>
      <c r="P4" t="s">
        <v>389</v>
      </c>
      <c r="Q4" t="s">
        <v>6</v>
      </c>
      <c r="R4" t="s">
        <v>423</v>
      </c>
      <c r="S4" t="s">
        <v>423</v>
      </c>
      <c r="T4" t="s">
        <v>423</v>
      </c>
      <c r="U4" t="s">
        <v>472</v>
      </c>
      <c r="V4" t="s">
        <v>474</v>
      </c>
      <c r="W4" t="s">
        <v>476</v>
      </c>
      <c r="X4" t="s">
        <v>476</v>
      </c>
      <c r="Y4" t="s">
        <v>476</v>
      </c>
      <c r="Z4" t="s">
        <v>476</v>
      </c>
      <c r="AA4" t="s">
        <v>476</v>
      </c>
      <c r="AB4" t="s">
        <v>476</v>
      </c>
      <c r="AC4" t="s">
        <v>476</v>
      </c>
      <c r="AD4" t="s">
        <v>476</v>
      </c>
      <c r="AE4" t="s">
        <v>476</v>
      </c>
      <c r="AF4" t="s">
        <v>476</v>
      </c>
      <c r="AG4" t="s">
        <v>476</v>
      </c>
      <c r="AH4" t="s">
        <v>476</v>
      </c>
      <c r="AI4" t="s">
        <v>423</v>
      </c>
      <c r="AJ4" t="s">
        <v>489</v>
      </c>
      <c r="AK4" t="s">
        <v>489</v>
      </c>
      <c r="AL4" t="s">
        <v>489</v>
      </c>
      <c r="AM4" t="s">
        <v>489</v>
      </c>
      <c r="AN4" t="s">
        <v>489</v>
      </c>
      <c r="AO4" t="s">
        <v>429</v>
      </c>
      <c r="AP4" t="s">
        <v>489</v>
      </c>
      <c r="AQ4" t="s">
        <v>489</v>
      </c>
      <c r="AR4" t="s">
        <v>423</v>
      </c>
      <c r="AS4" t="s">
        <v>498</v>
      </c>
      <c r="AT4" t="s">
        <v>423</v>
      </c>
      <c r="AU4" t="s">
        <v>387</v>
      </c>
      <c r="AV4" t="s">
        <v>388</v>
      </c>
      <c r="AW4" t="s">
        <v>387</v>
      </c>
    </row>
    <row r="5" spans="1:49" x14ac:dyDescent="0.25">
      <c r="A5" t="s">
        <v>3</v>
      </c>
      <c r="C5" t="s">
        <v>552</v>
      </c>
      <c r="D5" t="s">
        <v>552</v>
      </c>
      <c r="E5" t="s">
        <v>552</v>
      </c>
      <c r="F5" t="s">
        <v>552</v>
      </c>
      <c r="G5" t="s">
        <v>552</v>
      </c>
      <c r="H5" t="s">
        <v>416</v>
      </c>
      <c r="I5" t="s">
        <v>416</v>
      </c>
      <c r="J5" t="s">
        <v>416</v>
      </c>
      <c r="K5" t="s">
        <v>416</v>
      </c>
      <c r="L5" t="s">
        <v>416</v>
      </c>
      <c r="M5" t="s">
        <v>416</v>
      </c>
      <c r="N5" t="s">
        <v>416</v>
      </c>
      <c r="O5" t="s">
        <v>416</v>
      </c>
      <c r="P5" t="s">
        <v>416</v>
      </c>
      <c r="Q5" t="s">
        <v>416</v>
      </c>
      <c r="R5" t="s">
        <v>552</v>
      </c>
      <c r="S5" t="s">
        <v>552</v>
      </c>
      <c r="T5" t="s">
        <v>422</v>
      </c>
      <c r="U5" t="s">
        <v>405</v>
      </c>
      <c r="V5" t="s">
        <v>552</v>
      </c>
      <c r="W5" t="s">
        <v>552</v>
      </c>
      <c r="X5" t="s">
        <v>552</v>
      </c>
      <c r="Y5" t="s">
        <v>552</v>
      </c>
      <c r="Z5" t="s">
        <v>552</v>
      </c>
      <c r="AA5" t="s">
        <v>552</v>
      </c>
      <c r="AB5" t="s">
        <v>552</v>
      </c>
      <c r="AC5" t="s">
        <v>552</v>
      </c>
      <c r="AD5" t="s">
        <v>552</v>
      </c>
      <c r="AE5" t="s">
        <v>552</v>
      </c>
      <c r="AF5" t="s">
        <v>552</v>
      </c>
      <c r="AG5" t="s">
        <v>552</v>
      </c>
      <c r="AH5" t="s">
        <v>552</v>
      </c>
      <c r="AI5" t="s">
        <v>552</v>
      </c>
      <c r="AJ5" t="s">
        <v>422</v>
      </c>
      <c r="AK5" t="s">
        <v>422</v>
      </c>
      <c r="AL5" t="s">
        <v>422</v>
      </c>
      <c r="AM5" t="s">
        <v>422</v>
      </c>
      <c r="AN5" t="s">
        <v>422</v>
      </c>
      <c r="AO5" t="s">
        <v>416</v>
      </c>
      <c r="AP5" t="s">
        <v>416</v>
      </c>
      <c r="AQ5" t="s">
        <v>422</v>
      </c>
      <c r="AR5" t="s">
        <v>416</v>
      </c>
      <c r="AS5" t="s">
        <v>416</v>
      </c>
      <c r="AT5" t="s">
        <v>416</v>
      </c>
      <c r="AU5" t="s">
        <v>552</v>
      </c>
      <c r="AV5" t="s">
        <v>416</v>
      </c>
      <c r="AW5" t="s">
        <v>552</v>
      </c>
    </row>
    <row r="6" spans="1:49" x14ac:dyDescent="0.25">
      <c r="A6" t="s">
        <v>2</v>
      </c>
      <c r="B6" s="2">
        <v>36556</v>
      </c>
      <c r="C6" s="3" t="e">
        <v>#N/A</v>
      </c>
      <c r="D6" s="29" t="e">
        <v>#N/A</v>
      </c>
      <c r="E6" s="35">
        <v>113.55455000000001</v>
      </c>
      <c r="F6" s="29">
        <v>44.653300000000002</v>
      </c>
      <c r="G6" s="29">
        <v>48.932000000000002</v>
      </c>
      <c r="H6" s="29">
        <v>89.346599999999995</v>
      </c>
      <c r="I6" s="29">
        <v>101.1315</v>
      </c>
      <c r="J6" s="29">
        <v>53.8108</v>
      </c>
      <c r="K6" s="29">
        <v>85.328599999999994</v>
      </c>
      <c r="L6" s="29">
        <v>89.968500000000006</v>
      </c>
      <c r="M6" s="3" t="e">
        <v>#N/A</v>
      </c>
      <c r="N6" s="3" t="e">
        <v>#N/A</v>
      </c>
      <c r="O6" s="3">
        <v>101.39</v>
      </c>
      <c r="P6" s="29">
        <v>73.528800000000004</v>
      </c>
      <c r="Q6" s="29" t="e">
        <v>#N/A</v>
      </c>
      <c r="R6" s="6">
        <v>13046</v>
      </c>
      <c r="S6" s="6">
        <v>13621.5</v>
      </c>
      <c r="T6" s="3">
        <v>101.2</v>
      </c>
      <c r="U6" s="6" t="e">
        <v>#N/A</v>
      </c>
      <c r="V6" s="3" t="e">
        <v>#N/A</v>
      </c>
      <c r="W6" s="29" t="e">
        <v>#N/A</v>
      </c>
      <c r="X6" s="29" t="e">
        <v>#N/A</v>
      </c>
      <c r="Y6" s="29" t="e">
        <v>#N/A</v>
      </c>
      <c r="Z6" s="29" t="e">
        <v>#N/A</v>
      </c>
      <c r="AA6" s="29" t="e">
        <v>#N/A</v>
      </c>
      <c r="AB6" s="29" t="e">
        <v>#N/A</v>
      </c>
      <c r="AC6" s="29" t="e">
        <v>#N/A</v>
      </c>
      <c r="AD6" s="29" t="e">
        <v>#N/A</v>
      </c>
      <c r="AE6" s="29" t="e">
        <v>#N/A</v>
      </c>
      <c r="AF6" s="29" t="e">
        <v>#N/A</v>
      </c>
      <c r="AG6" s="29" t="e">
        <v>#N/A</v>
      </c>
      <c r="AH6" s="29" t="e">
        <v>#N/A</v>
      </c>
      <c r="AI6" s="3">
        <v>7010.52</v>
      </c>
      <c r="AJ6" s="4">
        <v>75.869</v>
      </c>
      <c r="AK6" s="4">
        <v>79.911000000000001</v>
      </c>
      <c r="AL6" s="4">
        <v>89.058999999999997</v>
      </c>
      <c r="AM6" s="4">
        <v>70.936999999999998</v>
      </c>
      <c r="AN6" s="4">
        <v>36.914000000000001</v>
      </c>
      <c r="AO6" s="5" t="e">
        <v>#N/A</v>
      </c>
      <c r="AP6" s="36">
        <v>79.339849000000001</v>
      </c>
      <c r="AQ6" s="6">
        <v>77.5</v>
      </c>
      <c r="AR6" s="3">
        <v>643302.8444862836</v>
      </c>
      <c r="AS6" s="5">
        <v>2964</v>
      </c>
      <c r="AT6" s="5">
        <v>1517</v>
      </c>
      <c r="AU6" s="6" t="e">
        <v>#N/A</v>
      </c>
      <c r="AV6" s="35">
        <v>129.33690584269155</v>
      </c>
      <c r="AW6" s="6" t="e">
        <v>#N/A</v>
      </c>
    </row>
    <row r="7" spans="1:49" x14ac:dyDescent="0.25">
      <c r="A7" t="s">
        <v>7</v>
      </c>
      <c r="B7" s="2">
        <v>36585</v>
      </c>
      <c r="C7" s="3" t="e">
        <v>#N/A</v>
      </c>
      <c r="D7" s="29" t="e">
        <v>#N/A</v>
      </c>
      <c r="E7" s="35">
        <v>115.46699</v>
      </c>
      <c r="F7" s="29">
        <v>44.999000000000002</v>
      </c>
      <c r="G7" s="29">
        <v>49.3</v>
      </c>
      <c r="H7" s="29">
        <v>89.971400000000003</v>
      </c>
      <c r="I7" s="29">
        <v>99.6387</v>
      </c>
      <c r="J7" s="29">
        <v>54.600900000000003</v>
      </c>
      <c r="K7" s="29">
        <v>86.204099999999997</v>
      </c>
      <c r="L7" s="29">
        <v>90.687600000000003</v>
      </c>
      <c r="M7" s="3" t="e">
        <v>#N/A</v>
      </c>
      <c r="N7" s="3" t="e">
        <v>#N/A</v>
      </c>
      <c r="O7" s="3">
        <v>101.49</v>
      </c>
      <c r="P7" s="29">
        <v>73.774900000000002</v>
      </c>
      <c r="Q7" s="29" t="e">
        <v>#N/A</v>
      </c>
      <c r="R7" s="6">
        <v>13421.6</v>
      </c>
      <c r="S7" s="6">
        <v>13734.9</v>
      </c>
      <c r="T7" s="3">
        <v>101.34</v>
      </c>
      <c r="U7" s="6" t="e">
        <v>#N/A</v>
      </c>
      <c r="V7" s="3" t="e">
        <v>#N/A</v>
      </c>
      <c r="W7" s="29" t="e">
        <v>#N/A</v>
      </c>
      <c r="X7" s="29" t="e">
        <v>#N/A</v>
      </c>
      <c r="Y7" s="29" t="e">
        <v>#N/A</v>
      </c>
      <c r="Z7" s="29" t="e">
        <v>#N/A</v>
      </c>
      <c r="AA7" s="29" t="e">
        <v>#N/A</v>
      </c>
      <c r="AB7" s="29" t="e">
        <v>#N/A</v>
      </c>
      <c r="AC7" s="29" t="e">
        <v>#N/A</v>
      </c>
      <c r="AD7" s="29" t="e">
        <v>#N/A</v>
      </c>
      <c r="AE7" s="29" t="e">
        <v>#N/A</v>
      </c>
      <c r="AF7" s="29" t="e">
        <v>#N/A</v>
      </c>
      <c r="AG7" s="29" t="e">
        <v>#N/A</v>
      </c>
      <c r="AH7" s="29" t="e">
        <v>#N/A</v>
      </c>
      <c r="AI7" s="3">
        <v>7372.96</v>
      </c>
      <c r="AJ7" s="4">
        <v>75.635000000000005</v>
      </c>
      <c r="AK7" s="4">
        <v>79.688000000000002</v>
      </c>
      <c r="AL7" s="4">
        <v>88.186000000000007</v>
      </c>
      <c r="AM7" s="4">
        <v>71.218999999999994</v>
      </c>
      <c r="AN7" s="4">
        <v>39.045000000000002</v>
      </c>
      <c r="AO7" s="5" t="e">
        <v>#N/A</v>
      </c>
      <c r="AP7" s="36">
        <v>78.869913999999994</v>
      </c>
      <c r="AQ7" s="6">
        <v>77.2</v>
      </c>
      <c r="AR7" s="3">
        <v>689953.40225935075</v>
      </c>
      <c r="AS7" s="5">
        <v>2890</v>
      </c>
      <c r="AT7" s="5">
        <v>1531</v>
      </c>
      <c r="AU7" s="6" t="e">
        <v>#N/A</v>
      </c>
      <c r="AV7" s="35">
        <v>182.08916026109918</v>
      </c>
      <c r="AW7" s="6" t="e">
        <v>#N/A</v>
      </c>
    </row>
    <row r="8" spans="1:49" x14ac:dyDescent="0.25">
      <c r="A8" t="s">
        <v>8</v>
      </c>
      <c r="B8" s="2">
        <v>36616</v>
      </c>
      <c r="C8" s="3" t="e">
        <v>#N/A</v>
      </c>
      <c r="D8" s="29" t="e">
        <v>#N/A</v>
      </c>
      <c r="E8" s="35">
        <v>117.33534</v>
      </c>
      <c r="F8" s="29">
        <v>45.313499999999998</v>
      </c>
      <c r="G8" s="29">
        <v>49.567100000000003</v>
      </c>
      <c r="H8" s="29">
        <v>89.9666</v>
      </c>
      <c r="I8" s="29">
        <v>101.1593</v>
      </c>
      <c r="J8" s="29">
        <v>55.207000000000001</v>
      </c>
      <c r="K8" s="29">
        <v>84.066699999999997</v>
      </c>
      <c r="L8" s="29">
        <v>90.8005</v>
      </c>
      <c r="M8" s="3" t="e">
        <v>#N/A</v>
      </c>
      <c r="N8" s="3" t="e">
        <v>#N/A</v>
      </c>
      <c r="O8" s="3">
        <v>101.54</v>
      </c>
      <c r="P8" s="29">
        <v>71.969499999999996</v>
      </c>
      <c r="Q8" s="29" t="e">
        <v>#N/A</v>
      </c>
      <c r="R8" s="6">
        <v>12899.9</v>
      </c>
      <c r="S8" s="6">
        <v>13380.6</v>
      </c>
      <c r="T8" s="3">
        <v>101.47</v>
      </c>
      <c r="U8" s="6" t="e">
        <v>#N/A</v>
      </c>
      <c r="V8" s="3" t="e">
        <v>#N/A</v>
      </c>
      <c r="W8" s="29" t="e">
        <v>#N/A</v>
      </c>
      <c r="X8" s="29" t="e">
        <v>#N/A</v>
      </c>
      <c r="Y8" s="29" t="e">
        <v>#N/A</v>
      </c>
      <c r="Z8" s="29" t="e">
        <v>#N/A</v>
      </c>
      <c r="AA8" s="29" t="e">
        <v>#N/A</v>
      </c>
      <c r="AB8" s="29" t="e">
        <v>#N/A</v>
      </c>
      <c r="AC8" s="29" t="e">
        <v>#N/A</v>
      </c>
      <c r="AD8" s="29" t="e">
        <v>#N/A</v>
      </c>
      <c r="AE8" s="29" t="e">
        <v>#N/A</v>
      </c>
      <c r="AF8" s="29" t="e">
        <v>#N/A</v>
      </c>
      <c r="AG8" s="29" t="e">
        <v>#N/A</v>
      </c>
      <c r="AH8" s="29" t="e">
        <v>#N/A</v>
      </c>
      <c r="AI8" s="3">
        <v>7958.76</v>
      </c>
      <c r="AJ8" s="4">
        <v>75.914000000000001</v>
      </c>
      <c r="AK8" s="4">
        <v>80.025999999999996</v>
      </c>
      <c r="AL8" s="4">
        <v>88.542000000000002</v>
      </c>
      <c r="AM8" s="4">
        <v>71.516000000000005</v>
      </c>
      <c r="AN8" s="4">
        <v>39.095999999999997</v>
      </c>
      <c r="AO8" s="5" t="e">
        <v>#N/A</v>
      </c>
      <c r="AP8" s="36">
        <v>78.657454999999999</v>
      </c>
      <c r="AQ8" s="6">
        <v>74.599999999999994</v>
      </c>
      <c r="AR8" s="3">
        <v>692837.22765082971</v>
      </c>
      <c r="AS8" s="5">
        <v>2956</v>
      </c>
      <c r="AT8" s="5">
        <v>1534</v>
      </c>
      <c r="AU8" s="6" t="e">
        <v>#N/A</v>
      </c>
      <c r="AV8" s="35">
        <v>119.76351703709324</v>
      </c>
      <c r="AW8" s="6" t="e">
        <v>#N/A</v>
      </c>
    </row>
    <row r="9" spans="1:49" x14ac:dyDescent="0.25">
      <c r="A9" t="s">
        <v>9</v>
      </c>
      <c r="B9" s="2">
        <v>36646</v>
      </c>
      <c r="C9" s="3" t="e">
        <v>#N/A</v>
      </c>
      <c r="D9" s="29" t="e">
        <v>#N/A</v>
      </c>
      <c r="E9" s="35">
        <v>116.90303</v>
      </c>
      <c r="F9" s="29">
        <v>45.598500000000001</v>
      </c>
      <c r="G9" s="29">
        <v>49.824599999999997</v>
      </c>
      <c r="H9" s="29">
        <v>90.303399999999996</v>
      </c>
      <c r="I9" s="29">
        <v>103.75149999999999</v>
      </c>
      <c r="J9" s="29">
        <v>54.952800000000003</v>
      </c>
      <c r="K9" s="29">
        <v>84.575400000000002</v>
      </c>
      <c r="L9" s="29">
        <v>90.844999999999999</v>
      </c>
      <c r="M9" s="3">
        <v>2.77</v>
      </c>
      <c r="N9" s="3" t="e">
        <v>#N/A</v>
      </c>
      <c r="O9" s="3">
        <v>101.52</v>
      </c>
      <c r="P9" s="29">
        <v>75.744399999999999</v>
      </c>
      <c r="Q9" s="29" t="e">
        <v>#N/A</v>
      </c>
      <c r="R9" s="6">
        <v>13176.4</v>
      </c>
      <c r="S9" s="6">
        <v>13844.5</v>
      </c>
      <c r="T9" s="3">
        <v>101.61</v>
      </c>
      <c r="U9" s="6" t="e">
        <v>#N/A</v>
      </c>
      <c r="V9" s="3" t="e">
        <v>#N/A</v>
      </c>
      <c r="W9" s="29" t="e">
        <v>#N/A</v>
      </c>
      <c r="X9" s="29" t="e">
        <v>#N/A</v>
      </c>
      <c r="Y9" s="29" t="e">
        <v>#N/A</v>
      </c>
      <c r="Z9" s="29" t="e">
        <v>#N/A</v>
      </c>
      <c r="AA9" s="29" t="e">
        <v>#N/A</v>
      </c>
      <c r="AB9" s="29" t="e">
        <v>#N/A</v>
      </c>
      <c r="AC9" s="29" t="e">
        <v>#N/A</v>
      </c>
      <c r="AD9" s="29" t="e">
        <v>#N/A</v>
      </c>
      <c r="AE9" s="29" t="e">
        <v>#N/A</v>
      </c>
      <c r="AF9" s="29" t="e">
        <v>#N/A</v>
      </c>
      <c r="AG9" s="29" t="e">
        <v>#N/A</v>
      </c>
      <c r="AH9" s="29" t="e">
        <v>#N/A</v>
      </c>
      <c r="AI9" s="3">
        <v>6918.29</v>
      </c>
      <c r="AJ9" s="4">
        <v>76.807000000000002</v>
      </c>
      <c r="AK9" s="4">
        <v>80.328999999999994</v>
      </c>
      <c r="AL9" s="4">
        <v>88.741</v>
      </c>
      <c r="AM9" s="4">
        <v>71.716999999999999</v>
      </c>
      <c r="AN9" s="4">
        <v>44.033999999999999</v>
      </c>
      <c r="AO9" s="5" t="e">
        <v>#N/A</v>
      </c>
      <c r="AP9" s="36">
        <v>79.397634999999994</v>
      </c>
      <c r="AQ9" s="6">
        <v>77.400000000000006</v>
      </c>
      <c r="AR9" s="3">
        <v>654738.81842873082</v>
      </c>
      <c r="AS9" s="5">
        <v>3053</v>
      </c>
      <c r="AT9" s="5">
        <v>1679</v>
      </c>
      <c r="AU9" s="6" t="e">
        <v>#N/A</v>
      </c>
      <c r="AV9" s="35">
        <v>108.5146426360256</v>
      </c>
      <c r="AW9" s="6" t="e">
        <v>#N/A</v>
      </c>
    </row>
    <row r="10" spans="1:49" x14ac:dyDescent="0.25">
      <c r="A10" t="s">
        <v>10</v>
      </c>
      <c r="B10" s="2">
        <v>36677</v>
      </c>
      <c r="C10" s="3" t="e">
        <v>#N/A</v>
      </c>
      <c r="D10" s="29" t="e">
        <v>#N/A</v>
      </c>
      <c r="E10" s="35">
        <v>116.64525999999999</v>
      </c>
      <c r="F10" s="29">
        <v>45.965499999999999</v>
      </c>
      <c r="G10" s="29">
        <v>50.143999999999998</v>
      </c>
      <c r="H10" s="29">
        <v>91.172399999999996</v>
      </c>
      <c r="I10" s="29">
        <v>103.1344</v>
      </c>
      <c r="J10" s="29">
        <v>55.1982</v>
      </c>
      <c r="K10" s="29">
        <v>85.569500000000005</v>
      </c>
      <c r="L10" s="29">
        <v>91.627700000000004</v>
      </c>
      <c r="M10" s="3">
        <v>2.72</v>
      </c>
      <c r="N10" s="3" t="e">
        <v>#N/A</v>
      </c>
      <c r="O10" s="3">
        <v>101.44</v>
      </c>
      <c r="P10" s="29">
        <v>76.811199999999999</v>
      </c>
      <c r="Q10" s="29" t="e">
        <v>#N/A</v>
      </c>
      <c r="R10" s="6">
        <v>13561.4</v>
      </c>
      <c r="S10" s="6">
        <v>14366.8</v>
      </c>
      <c r="T10" s="3">
        <v>101.74</v>
      </c>
      <c r="U10" s="6" t="e">
        <v>#N/A</v>
      </c>
      <c r="V10" s="3" t="e">
        <v>#N/A</v>
      </c>
      <c r="W10" s="29" t="e">
        <v>#N/A</v>
      </c>
      <c r="X10" s="29" t="e">
        <v>#N/A</v>
      </c>
      <c r="Y10" s="29" t="e">
        <v>#N/A</v>
      </c>
      <c r="Z10" s="29" t="e">
        <v>#N/A</v>
      </c>
      <c r="AA10" s="29" t="e">
        <v>#N/A</v>
      </c>
      <c r="AB10" s="29" t="e">
        <v>#N/A</v>
      </c>
      <c r="AC10" s="29" t="e">
        <v>#N/A</v>
      </c>
      <c r="AD10" s="29" t="e">
        <v>#N/A</v>
      </c>
      <c r="AE10" s="29" t="e">
        <v>#N/A</v>
      </c>
      <c r="AF10" s="29" t="e">
        <v>#N/A</v>
      </c>
      <c r="AG10" s="29" t="e">
        <v>#N/A</v>
      </c>
      <c r="AH10" s="29" t="e">
        <v>#N/A</v>
      </c>
      <c r="AI10" s="3">
        <v>6067.96</v>
      </c>
      <c r="AJ10" s="4">
        <v>77.430000000000007</v>
      </c>
      <c r="AK10" s="4">
        <v>80.951999999999998</v>
      </c>
      <c r="AL10" s="4">
        <v>89.804000000000002</v>
      </c>
      <c r="AM10" s="4">
        <v>71.950999999999993</v>
      </c>
      <c r="AN10" s="4">
        <v>46.002000000000002</v>
      </c>
      <c r="AO10" s="5" t="e">
        <v>#N/A</v>
      </c>
      <c r="AP10" s="36">
        <v>79.856351000000004</v>
      </c>
      <c r="AQ10" s="6">
        <v>77.5</v>
      </c>
      <c r="AR10" s="3">
        <v>676591.82146025717</v>
      </c>
      <c r="AS10" s="5">
        <v>3044</v>
      </c>
      <c r="AT10" s="5">
        <v>1684</v>
      </c>
      <c r="AU10" s="6" t="e">
        <v>#N/A</v>
      </c>
      <c r="AV10" s="35">
        <v>149.5928469058077</v>
      </c>
      <c r="AW10" s="6" t="e">
        <v>#N/A</v>
      </c>
    </row>
    <row r="11" spans="1:49" x14ac:dyDescent="0.25">
      <c r="A11" t="s">
        <v>11</v>
      </c>
      <c r="B11" s="2">
        <v>36707</v>
      </c>
      <c r="C11" s="3" t="e">
        <v>#N/A</v>
      </c>
      <c r="D11" s="29" t="e">
        <v>#N/A</v>
      </c>
      <c r="E11" s="35">
        <v>112.26979</v>
      </c>
      <c r="F11" s="29">
        <v>46.3367</v>
      </c>
      <c r="G11" s="29">
        <v>50.4345</v>
      </c>
      <c r="H11" s="29">
        <v>91.743600000000001</v>
      </c>
      <c r="I11" s="29">
        <v>104.3887</v>
      </c>
      <c r="J11" s="29">
        <v>55.203200000000002</v>
      </c>
      <c r="K11" s="29">
        <v>84.683700000000002</v>
      </c>
      <c r="L11" s="29">
        <v>92.706400000000002</v>
      </c>
      <c r="M11" s="3">
        <v>2.72</v>
      </c>
      <c r="N11" s="3" t="e">
        <v>#N/A</v>
      </c>
      <c r="O11" s="3">
        <v>101.34</v>
      </c>
      <c r="P11" s="29">
        <v>78.370500000000007</v>
      </c>
      <c r="Q11" s="29" t="e">
        <v>#N/A</v>
      </c>
      <c r="R11" s="6">
        <v>13796</v>
      </c>
      <c r="S11" s="6">
        <v>14427.7</v>
      </c>
      <c r="T11" s="3">
        <v>101.87</v>
      </c>
      <c r="U11" s="6" t="e">
        <v>#N/A</v>
      </c>
      <c r="V11" s="3" t="e">
        <v>#N/A</v>
      </c>
      <c r="W11" s="29" t="e">
        <v>#N/A</v>
      </c>
      <c r="X11" s="29" t="e">
        <v>#N/A</v>
      </c>
      <c r="Y11" s="29" t="e">
        <v>#N/A</v>
      </c>
      <c r="Z11" s="29" t="e">
        <v>#N/A</v>
      </c>
      <c r="AA11" s="29" t="e">
        <v>#N/A</v>
      </c>
      <c r="AB11" s="29" t="e">
        <v>#N/A</v>
      </c>
      <c r="AC11" s="29" t="e">
        <v>#N/A</v>
      </c>
      <c r="AD11" s="29" t="e">
        <v>#N/A</v>
      </c>
      <c r="AE11" s="29" t="e">
        <v>#N/A</v>
      </c>
      <c r="AF11" s="29" t="e">
        <v>#N/A</v>
      </c>
      <c r="AG11" s="29" t="e">
        <v>#N/A</v>
      </c>
      <c r="AH11" s="29" t="e">
        <v>#N/A</v>
      </c>
      <c r="AI11" s="3">
        <v>6536.47</v>
      </c>
      <c r="AJ11" s="4">
        <v>77.992000000000004</v>
      </c>
      <c r="AK11" s="4">
        <v>81.209000000000003</v>
      </c>
      <c r="AL11" s="4">
        <v>90.168999999999997</v>
      </c>
      <c r="AM11" s="4">
        <v>72.096999999999994</v>
      </c>
      <c r="AN11" s="4">
        <v>49.692</v>
      </c>
      <c r="AO11" s="5" t="e">
        <v>#N/A</v>
      </c>
      <c r="AP11" s="36">
        <v>80.310104999999993</v>
      </c>
      <c r="AQ11" s="6">
        <v>78.099999999999994</v>
      </c>
      <c r="AR11" s="3">
        <v>722413.11264128145</v>
      </c>
      <c r="AS11" s="5">
        <v>3071</v>
      </c>
      <c r="AT11" s="5">
        <v>1685</v>
      </c>
      <c r="AU11" s="6" t="e">
        <v>#N/A</v>
      </c>
      <c r="AV11" s="35">
        <v>261.59392752029407</v>
      </c>
      <c r="AW11" s="6" t="e">
        <v>#N/A</v>
      </c>
    </row>
    <row r="12" spans="1:49" x14ac:dyDescent="0.25">
      <c r="A12" t="s">
        <v>12</v>
      </c>
      <c r="B12" s="2">
        <v>36738</v>
      </c>
      <c r="C12" s="3" t="e">
        <v>#N/A</v>
      </c>
      <c r="D12" s="29" t="e">
        <v>#N/A</v>
      </c>
      <c r="E12" s="35">
        <v>117.72534</v>
      </c>
      <c r="F12" s="29">
        <v>46.690399999999997</v>
      </c>
      <c r="G12" s="29">
        <v>50.769500000000001</v>
      </c>
      <c r="H12" s="29">
        <v>91.411500000000004</v>
      </c>
      <c r="I12" s="29">
        <v>96.778899999999993</v>
      </c>
      <c r="J12" s="29">
        <v>54.690399999999997</v>
      </c>
      <c r="K12" s="29">
        <v>83.364900000000006</v>
      </c>
      <c r="L12" s="29">
        <v>96.426699999999997</v>
      </c>
      <c r="M12" s="3">
        <v>2.39</v>
      </c>
      <c r="N12" s="3" t="e">
        <v>#N/A</v>
      </c>
      <c r="O12" s="3">
        <v>101.2</v>
      </c>
      <c r="P12" s="29">
        <v>78.616699999999994</v>
      </c>
      <c r="Q12" s="29" t="e">
        <v>#N/A</v>
      </c>
      <c r="R12" s="6">
        <v>13930.7</v>
      </c>
      <c r="S12" s="6">
        <v>14899.4</v>
      </c>
      <c r="T12" s="3">
        <v>101.95</v>
      </c>
      <c r="U12" s="6" t="e">
        <v>#N/A</v>
      </c>
      <c r="V12" s="3" t="e">
        <v>#N/A</v>
      </c>
      <c r="W12" s="29" t="e">
        <v>#N/A</v>
      </c>
      <c r="X12" s="29" t="e">
        <v>#N/A</v>
      </c>
      <c r="Y12" s="29" t="e">
        <v>#N/A</v>
      </c>
      <c r="Z12" s="29" t="e">
        <v>#N/A</v>
      </c>
      <c r="AA12" s="29" t="e">
        <v>#N/A</v>
      </c>
      <c r="AB12" s="29" t="e">
        <v>#N/A</v>
      </c>
      <c r="AC12" s="29" t="e">
        <v>#N/A</v>
      </c>
      <c r="AD12" s="29" t="e">
        <v>#N/A</v>
      </c>
      <c r="AE12" s="29" t="e">
        <v>#N/A</v>
      </c>
      <c r="AF12" s="29" t="e">
        <v>#N/A</v>
      </c>
      <c r="AG12" s="29" t="e">
        <v>#N/A</v>
      </c>
      <c r="AH12" s="29" t="e">
        <v>#N/A</v>
      </c>
      <c r="AI12" s="3">
        <v>7063.39</v>
      </c>
      <c r="AJ12" s="4">
        <v>78.802999999999997</v>
      </c>
      <c r="AK12" s="4">
        <v>81.84</v>
      </c>
      <c r="AL12" s="4">
        <v>90.960999999999999</v>
      </c>
      <c r="AM12" s="4">
        <v>72.527000000000001</v>
      </c>
      <c r="AN12" s="4">
        <v>51.143999999999998</v>
      </c>
      <c r="AO12" s="5" t="e">
        <v>#N/A</v>
      </c>
      <c r="AP12" s="36">
        <v>80.417845</v>
      </c>
      <c r="AQ12" s="6">
        <v>77.900000000000006</v>
      </c>
      <c r="AR12" s="3">
        <v>695570.20386473578</v>
      </c>
      <c r="AS12" s="5">
        <v>2844</v>
      </c>
      <c r="AT12" s="5">
        <v>1723</v>
      </c>
      <c r="AU12" s="6" t="e">
        <v>#N/A</v>
      </c>
      <c r="AV12" s="35">
        <v>144.08677744409911</v>
      </c>
      <c r="AW12" s="6" t="e">
        <v>#N/A</v>
      </c>
    </row>
    <row r="13" spans="1:49" x14ac:dyDescent="0.25">
      <c r="A13" t="s">
        <v>13</v>
      </c>
      <c r="B13" s="2">
        <v>36769</v>
      </c>
      <c r="C13" s="3" t="e">
        <v>#N/A</v>
      </c>
      <c r="D13" s="29" t="e">
        <v>#N/A</v>
      </c>
      <c r="E13" s="35">
        <v>120.57772</v>
      </c>
      <c r="F13" s="29">
        <v>47.013199999999998</v>
      </c>
      <c r="G13" s="29">
        <v>51.074199999999998</v>
      </c>
      <c r="H13" s="29">
        <v>91.644099999999995</v>
      </c>
      <c r="I13" s="29">
        <v>105.61750000000001</v>
      </c>
      <c r="J13" s="29">
        <v>55.331200000000003</v>
      </c>
      <c r="K13" s="29">
        <v>83.252600000000001</v>
      </c>
      <c r="L13" s="29">
        <v>92.732900000000001</v>
      </c>
      <c r="M13" s="3">
        <v>2.75</v>
      </c>
      <c r="N13" s="3" t="e">
        <v>#N/A</v>
      </c>
      <c r="O13" s="3">
        <v>101.01</v>
      </c>
      <c r="P13" s="29">
        <v>79.191100000000006</v>
      </c>
      <c r="Q13" s="29" t="e">
        <v>#N/A</v>
      </c>
      <c r="R13" s="6">
        <v>14357.5</v>
      </c>
      <c r="S13" s="6">
        <v>15111.6</v>
      </c>
      <c r="T13" s="3">
        <v>101.99</v>
      </c>
      <c r="U13" s="6" t="e">
        <v>#N/A</v>
      </c>
      <c r="V13" s="3" t="e">
        <v>#N/A</v>
      </c>
      <c r="W13" s="29" t="e">
        <v>#N/A</v>
      </c>
      <c r="X13" s="29" t="e">
        <v>#N/A</v>
      </c>
      <c r="Y13" s="29" t="e">
        <v>#N/A</v>
      </c>
      <c r="Z13" s="29" t="e">
        <v>#N/A</v>
      </c>
      <c r="AA13" s="29" t="e">
        <v>#N/A</v>
      </c>
      <c r="AB13" s="29" t="e">
        <v>#N/A</v>
      </c>
      <c r="AC13" s="29" t="e">
        <v>#N/A</v>
      </c>
      <c r="AD13" s="29" t="e">
        <v>#N/A</v>
      </c>
      <c r="AE13" s="29" t="e">
        <v>#N/A</v>
      </c>
      <c r="AF13" s="29" t="e">
        <v>#N/A</v>
      </c>
      <c r="AG13" s="29" t="e">
        <v>#N/A</v>
      </c>
      <c r="AH13" s="29" t="e">
        <v>#N/A</v>
      </c>
      <c r="AI13" s="3">
        <v>6464.2</v>
      </c>
      <c r="AJ13" s="4">
        <v>78.075000000000003</v>
      </c>
      <c r="AK13" s="4">
        <v>81.525999999999996</v>
      </c>
      <c r="AL13" s="4">
        <v>90.200999999999993</v>
      </c>
      <c r="AM13" s="4">
        <v>72.563000000000002</v>
      </c>
      <c r="AN13" s="4">
        <v>47.796999999999997</v>
      </c>
      <c r="AO13" s="5" t="e">
        <v>#N/A</v>
      </c>
      <c r="AP13" s="36">
        <v>80.513530000000003</v>
      </c>
      <c r="AQ13" s="6">
        <v>78.5</v>
      </c>
      <c r="AR13" s="3">
        <v>675626.04736254795</v>
      </c>
      <c r="AS13" s="5">
        <v>3132</v>
      </c>
      <c r="AT13" s="5">
        <v>1756</v>
      </c>
      <c r="AU13" s="6" t="e">
        <v>#N/A</v>
      </c>
      <c r="AV13" s="35">
        <v>94.650131053083271</v>
      </c>
      <c r="AW13" s="6" t="e">
        <v>#N/A</v>
      </c>
    </row>
    <row r="14" spans="1:49" x14ac:dyDescent="0.25">
      <c r="A14" t="s">
        <v>14</v>
      </c>
      <c r="B14" s="2">
        <v>36799</v>
      </c>
      <c r="C14" s="3" t="e">
        <v>#N/A</v>
      </c>
      <c r="D14" s="29" t="e">
        <v>#N/A</v>
      </c>
      <c r="E14" s="35">
        <v>120.15479000000001</v>
      </c>
      <c r="F14" s="29">
        <v>47.282600000000002</v>
      </c>
      <c r="G14" s="29">
        <v>51.321399999999997</v>
      </c>
      <c r="H14" s="29">
        <v>91.507999999999996</v>
      </c>
      <c r="I14" s="29">
        <v>107.4547</v>
      </c>
      <c r="J14" s="29">
        <v>55.9557</v>
      </c>
      <c r="K14" s="29">
        <v>81.883099999999999</v>
      </c>
      <c r="L14" s="29">
        <v>92.781599999999997</v>
      </c>
      <c r="M14" s="3">
        <v>2.67</v>
      </c>
      <c r="N14" s="3" t="e">
        <v>#N/A</v>
      </c>
      <c r="O14" s="3">
        <v>100.78</v>
      </c>
      <c r="P14" s="29">
        <v>80.093800000000002</v>
      </c>
      <c r="Q14" s="29" t="e">
        <v>#N/A</v>
      </c>
      <c r="R14" s="6">
        <v>14143.7</v>
      </c>
      <c r="S14" s="6">
        <v>15071.5</v>
      </c>
      <c r="T14" s="3">
        <v>101.98</v>
      </c>
      <c r="U14" s="6" t="e">
        <v>#N/A</v>
      </c>
      <c r="V14" s="3" t="e">
        <v>#N/A</v>
      </c>
      <c r="W14" s="29" t="e">
        <v>#N/A</v>
      </c>
      <c r="X14" s="29" t="e">
        <v>#N/A</v>
      </c>
      <c r="Y14" s="29" t="e">
        <v>#N/A</v>
      </c>
      <c r="Z14" s="29" t="e">
        <v>#N/A</v>
      </c>
      <c r="AA14" s="29" t="e">
        <v>#N/A</v>
      </c>
      <c r="AB14" s="29" t="e">
        <v>#N/A</v>
      </c>
      <c r="AC14" s="29" t="e">
        <v>#N/A</v>
      </c>
      <c r="AD14" s="29" t="e">
        <v>#N/A</v>
      </c>
      <c r="AE14" s="29" t="e">
        <v>#N/A</v>
      </c>
      <c r="AF14" s="29" t="e">
        <v>#N/A</v>
      </c>
      <c r="AG14" s="29" t="e">
        <v>#N/A</v>
      </c>
      <c r="AH14" s="29" t="e">
        <v>#N/A</v>
      </c>
      <c r="AI14" s="3">
        <v>6680.32</v>
      </c>
      <c r="AJ14" s="4">
        <v>78.997</v>
      </c>
      <c r="AK14" s="4">
        <v>81.93</v>
      </c>
      <c r="AL14" s="4">
        <v>90.581000000000003</v>
      </c>
      <c r="AM14" s="4">
        <v>73.171000000000006</v>
      </c>
      <c r="AN14" s="4">
        <v>51.529000000000003</v>
      </c>
      <c r="AO14" s="5" t="e">
        <v>#N/A</v>
      </c>
      <c r="AP14" s="36">
        <v>80.639011999999994</v>
      </c>
      <c r="AQ14" s="6">
        <v>77.099999999999994</v>
      </c>
      <c r="AR14" s="3">
        <v>729377.59667502099</v>
      </c>
      <c r="AS14" s="5">
        <v>3167</v>
      </c>
      <c r="AT14" s="5">
        <v>1720</v>
      </c>
      <c r="AU14" s="6" t="e">
        <v>#N/A</v>
      </c>
      <c r="AV14" s="35">
        <v>62.056771561259616</v>
      </c>
      <c r="AW14" s="6" t="e">
        <v>#N/A</v>
      </c>
    </row>
    <row r="15" spans="1:49" x14ac:dyDescent="0.25">
      <c r="A15" t="s">
        <v>15</v>
      </c>
      <c r="B15" s="2">
        <v>36830</v>
      </c>
      <c r="C15" s="3" t="e">
        <v>#N/A</v>
      </c>
      <c r="D15" s="29" t="e">
        <v>#N/A</v>
      </c>
      <c r="E15" s="35">
        <v>119.1305</v>
      </c>
      <c r="F15" s="29">
        <v>47.615200000000002</v>
      </c>
      <c r="G15" s="29">
        <v>51.642499999999998</v>
      </c>
      <c r="H15" s="29">
        <v>90.605699999999999</v>
      </c>
      <c r="I15" s="29">
        <v>99.774199999999993</v>
      </c>
      <c r="J15" s="29">
        <v>56.196100000000001</v>
      </c>
      <c r="K15" s="29">
        <v>82.128</v>
      </c>
      <c r="L15" s="29">
        <v>92.970799999999997</v>
      </c>
      <c r="M15" s="3">
        <v>2.54</v>
      </c>
      <c r="N15" s="3" t="e">
        <v>#N/A</v>
      </c>
      <c r="O15" s="3">
        <v>100.49</v>
      </c>
      <c r="P15" s="29">
        <v>80.011799999999994</v>
      </c>
      <c r="Q15" s="29" t="e">
        <v>#N/A</v>
      </c>
      <c r="R15" s="6">
        <v>14662.9</v>
      </c>
      <c r="S15" s="6">
        <v>15239</v>
      </c>
      <c r="T15" s="3">
        <v>101.92</v>
      </c>
      <c r="U15" s="6" t="e">
        <v>#N/A</v>
      </c>
      <c r="V15" s="3" t="e">
        <v>#N/A</v>
      </c>
      <c r="W15" s="29" t="e">
        <v>#N/A</v>
      </c>
      <c r="X15" s="29" t="e">
        <v>#N/A</v>
      </c>
      <c r="Y15" s="29" t="e">
        <v>#N/A</v>
      </c>
      <c r="Z15" s="29" t="e">
        <v>#N/A</v>
      </c>
      <c r="AA15" s="29" t="e">
        <v>#N/A</v>
      </c>
      <c r="AB15" s="29" t="e">
        <v>#N/A</v>
      </c>
      <c r="AC15" s="29" t="e">
        <v>#N/A</v>
      </c>
      <c r="AD15" s="29" t="e">
        <v>#N/A</v>
      </c>
      <c r="AE15" s="29" t="e">
        <v>#N/A</v>
      </c>
      <c r="AF15" s="29" t="e">
        <v>#N/A</v>
      </c>
      <c r="AG15" s="29" t="e">
        <v>#N/A</v>
      </c>
      <c r="AH15" s="29" t="e">
        <v>#N/A</v>
      </c>
      <c r="AI15" s="3">
        <v>6061.31</v>
      </c>
      <c r="AJ15" s="4">
        <v>79.864000000000004</v>
      </c>
      <c r="AK15" s="4">
        <v>83.003</v>
      </c>
      <c r="AL15" s="4">
        <v>92.47</v>
      </c>
      <c r="AM15" s="4">
        <v>73.156999999999996</v>
      </c>
      <c r="AN15" s="4">
        <v>52.542999999999999</v>
      </c>
      <c r="AO15" s="5" t="e">
        <v>#N/A</v>
      </c>
      <c r="AP15" s="36">
        <v>80.503439</v>
      </c>
      <c r="AQ15" s="6">
        <v>77.3</v>
      </c>
      <c r="AR15" s="3">
        <v>725220.49020051677</v>
      </c>
      <c r="AS15" s="5">
        <v>2983</v>
      </c>
      <c r="AT15" s="5">
        <v>1549</v>
      </c>
      <c r="AU15" s="6" t="e">
        <v>#N/A</v>
      </c>
      <c r="AV15" s="35">
        <v>103.55552743758521</v>
      </c>
      <c r="AW15" s="6" t="e">
        <v>#N/A</v>
      </c>
    </row>
    <row r="16" spans="1:49" x14ac:dyDescent="0.25">
      <c r="A16" t="s">
        <v>16</v>
      </c>
      <c r="B16" s="2">
        <v>36860</v>
      </c>
      <c r="C16" s="3" t="e">
        <v>#N/A</v>
      </c>
      <c r="D16" s="29" t="e">
        <v>#N/A</v>
      </c>
      <c r="E16" s="35">
        <v>120.55956</v>
      </c>
      <c r="F16" s="29">
        <v>47.872399999999999</v>
      </c>
      <c r="G16" s="29">
        <v>52.025100000000002</v>
      </c>
      <c r="H16" s="29">
        <v>89.754199999999997</v>
      </c>
      <c r="I16" s="29">
        <v>102.39060000000001</v>
      </c>
      <c r="J16" s="29">
        <v>56.7744</v>
      </c>
      <c r="K16" s="29">
        <v>80.444100000000006</v>
      </c>
      <c r="L16" s="29">
        <v>91.401700000000005</v>
      </c>
      <c r="M16" s="3">
        <v>2.3199999999999998</v>
      </c>
      <c r="N16" s="3" t="e">
        <v>#N/A</v>
      </c>
      <c r="O16" s="3">
        <v>100.18</v>
      </c>
      <c r="P16" s="29">
        <v>78.862799999999993</v>
      </c>
      <c r="Q16" s="29" t="e">
        <v>#N/A</v>
      </c>
      <c r="R16" s="6">
        <v>14474.3</v>
      </c>
      <c r="S16" s="6">
        <v>15215.5</v>
      </c>
      <c r="T16" s="3">
        <v>101.8</v>
      </c>
      <c r="U16" s="6" t="e">
        <v>#N/A</v>
      </c>
      <c r="V16" s="3" t="e">
        <v>#N/A</v>
      </c>
      <c r="W16" s="29" t="e">
        <v>#N/A</v>
      </c>
      <c r="X16" s="29" t="e">
        <v>#N/A</v>
      </c>
      <c r="Y16" s="29" t="e">
        <v>#N/A</v>
      </c>
      <c r="Z16" s="29" t="e">
        <v>#N/A</v>
      </c>
      <c r="AA16" s="29" t="e">
        <v>#N/A</v>
      </c>
      <c r="AB16" s="29" t="e">
        <v>#N/A</v>
      </c>
      <c r="AC16" s="29" t="e">
        <v>#N/A</v>
      </c>
      <c r="AD16" s="29" t="e">
        <v>#N/A</v>
      </c>
      <c r="AE16" s="29" t="e">
        <v>#N/A</v>
      </c>
      <c r="AF16" s="29" t="e">
        <v>#N/A</v>
      </c>
      <c r="AG16" s="29" t="e">
        <v>#N/A</v>
      </c>
      <c r="AH16" s="29" t="e">
        <v>#N/A</v>
      </c>
      <c r="AI16" s="3">
        <v>6125.42</v>
      </c>
      <c r="AJ16" s="4">
        <v>79.59</v>
      </c>
      <c r="AK16" s="4">
        <v>81.75</v>
      </c>
      <c r="AL16" s="4">
        <v>89.921999999999997</v>
      </c>
      <c r="AM16" s="4">
        <v>73.387</v>
      </c>
      <c r="AN16" s="4">
        <v>60.134</v>
      </c>
      <c r="AO16" s="5" t="e">
        <v>#N/A</v>
      </c>
      <c r="AP16" s="36">
        <v>80.239524000000003</v>
      </c>
      <c r="AQ16" s="6">
        <v>76.099999999999994</v>
      </c>
      <c r="AR16" s="3">
        <v>732509.8194777281</v>
      </c>
      <c r="AS16" s="5">
        <v>3006</v>
      </c>
      <c r="AT16" s="5">
        <v>1697</v>
      </c>
      <c r="AU16" s="6" t="e">
        <v>#N/A</v>
      </c>
      <c r="AV16" s="35">
        <v>174.55300312198389</v>
      </c>
      <c r="AW16" s="6" t="e">
        <v>#N/A</v>
      </c>
    </row>
    <row r="17" spans="1:49" x14ac:dyDescent="0.25">
      <c r="A17" t="s">
        <v>17</v>
      </c>
      <c r="B17" s="2">
        <v>36891</v>
      </c>
      <c r="C17" s="3" t="e">
        <v>#N/A</v>
      </c>
      <c r="D17" s="29" t="e">
        <v>#N/A</v>
      </c>
      <c r="E17" s="35">
        <v>121.8344</v>
      </c>
      <c r="F17" s="29">
        <v>48.273499999999999</v>
      </c>
      <c r="G17" s="29">
        <v>52.312800000000003</v>
      </c>
      <c r="H17" s="29">
        <v>88.622</v>
      </c>
      <c r="I17" s="29">
        <v>102.9357</v>
      </c>
      <c r="J17" s="29">
        <v>56.509700000000002</v>
      </c>
      <c r="K17" s="29">
        <v>79.639200000000002</v>
      </c>
      <c r="L17" s="29">
        <v>89.54</v>
      </c>
      <c r="M17" s="3">
        <v>2.6</v>
      </c>
      <c r="N17" s="3" t="e">
        <v>#N/A</v>
      </c>
      <c r="O17" s="3">
        <v>99.9</v>
      </c>
      <c r="P17" s="29">
        <v>78.616699999999994</v>
      </c>
      <c r="Q17" s="29" t="e">
        <v>#N/A</v>
      </c>
      <c r="R17" s="6">
        <v>14552.2</v>
      </c>
      <c r="S17" s="6">
        <v>15425.6</v>
      </c>
      <c r="T17" s="3">
        <v>101.64</v>
      </c>
      <c r="U17" s="6" t="e">
        <v>#N/A</v>
      </c>
      <c r="V17" s="3" t="e">
        <v>#N/A</v>
      </c>
      <c r="W17" s="29" t="e">
        <v>#N/A</v>
      </c>
      <c r="X17" s="29" t="e">
        <v>#N/A</v>
      </c>
      <c r="Y17" s="29" t="e">
        <v>#N/A</v>
      </c>
      <c r="Z17" s="29" t="e">
        <v>#N/A</v>
      </c>
      <c r="AA17" s="29" t="e">
        <v>#N/A</v>
      </c>
      <c r="AB17" s="29" t="e">
        <v>#N/A</v>
      </c>
      <c r="AC17" s="29" t="e">
        <v>#N/A</v>
      </c>
      <c r="AD17" s="29" t="e">
        <v>#N/A</v>
      </c>
      <c r="AE17" s="29" t="e">
        <v>#N/A</v>
      </c>
      <c r="AF17" s="29" t="e">
        <v>#N/A</v>
      </c>
      <c r="AG17" s="29" t="e">
        <v>#N/A</v>
      </c>
      <c r="AH17" s="29" t="e">
        <v>#N/A</v>
      </c>
      <c r="AI17" s="3">
        <v>5601.73</v>
      </c>
      <c r="AJ17" s="4">
        <v>79.504000000000005</v>
      </c>
      <c r="AK17" s="4">
        <v>81.911000000000001</v>
      </c>
      <c r="AL17" s="4">
        <v>90.465999999999994</v>
      </c>
      <c r="AM17" s="4">
        <v>73.081999999999994</v>
      </c>
      <c r="AN17" s="4">
        <v>56.216000000000001</v>
      </c>
      <c r="AO17" s="5" t="e">
        <v>#N/A</v>
      </c>
      <c r="AP17" s="36">
        <v>79.790284</v>
      </c>
      <c r="AQ17" s="6">
        <v>74.5</v>
      </c>
      <c r="AR17" s="3">
        <v>684800.22304255038</v>
      </c>
      <c r="AS17" s="5">
        <v>3023</v>
      </c>
      <c r="AT17" s="5">
        <v>1749</v>
      </c>
      <c r="AU17" s="6" t="e">
        <v>#N/A</v>
      </c>
      <c r="AV17" s="35">
        <v>88.497361313277224</v>
      </c>
      <c r="AW17" s="6" t="e">
        <v>#N/A</v>
      </c>
    </row>
    <row r="18" spans="1:49" x14ac:dyDescent="0.25">
      <c r="A18" t="s">
        <v>18</v>
      </c>
      <c r="B18" s="2">
        <v>36922</v>
      </c>
      <c r="C18" s="3" t="e">
        <v>#N/A</v>
      </c>
      <c r="D18" s="29" t="e">
        <v>#N/A</v>
      </c>
      <c r="E18" s="35">
        <v>117.98875</v>
      </c>
      <c r="F18" s="29">
        <v>48.293700000000001</v>
      </c>
      <c r="G18" s="29">
        <v>52.493000000000002</v>
      </c>
      <c r="H18" s="29">
        <v>89.992400000000004</v>
      </c>
      <c r="I18" s="29">
        <v>103.8013</v>
      </c>
      <c r="J18" s="29">
        <v>56.383299999999998</v>
      </c>
      <c r="K18" s="29">
        <v>78.481899999999996</v>
      </c>
      <c r="L18" s="29">
        <v>92.705299999999994</v>
      </c>
      <c r="M18" s="3">
        <v>2.56</v>
      </c>
      <c r="N18" s="3" t="e">
        <v>#N/A</v>
      </c>
      <c r="O18" s="3">
        <v>99.66</v>
      </c>
      <c r="P18" s="29">
        <v>80.586200000000005</v>
      </c>
      <c r="Q18" s="29" t="e">
        <v>#N/A</v>
      </c>
      <c r="R18" s="6">
        <v>13864.3</v>
      </c>
      <c r="S18" s="6">
        <v>14668.1</v>
      </c>
      <c r="T18" s="3">
        <v>101.45</v>
      </c>
      <c r="U18" s="6" t="e">
        <v>#N/A</v>
      </c>
      <c r="V18" s="3" t="e">
        <v>#N/A</v>
      </c>
      <c r="W18" s="29" t="e">
        <v>#N/A</v>
      </c>
      <c r="X18" s="29" t="e">
        <v>#N/A</v>
      </c>
      <c r="Y18" s="29" t="e">
        <v>#N/A</v>
      </c>
      <c r="Z18" s="29" t="e">
        <v>#N/A</v>
      </c>
      <c r="AA18" s="29" t="e">
        <v>#N/A</v>
      </c>
      <c r="AB18" s="29" t="e">
        <v>#N/A</v>
      </c>
      <c r="AC18" s="29" t="e">
        <v>#N/A</v>
      </c>
      <c r="AD18" s="29" t="e">
        <v>#N/A</v>
      </c>
      <c r="AE18" s="29" t="e">
        <v>#N/A</v>
      </c>
      <c r="AF18" s="29" t="e">
        <v>#N/A</v>
      </c>
      <c r="AG18" s="29" t="e">
        <v>#N/A</v>
      </c>
      <c r="AH18" s="29" t="e">
        <v>#N/A</v>
      </c>
      <c r="AI18" s="3">
        <v>6118.06</v>
      </c>
      <c r="AJ18" s="4">
        <v>78.995999999999995</v>
      </c>
      <c r="AK18" s="4">
        <v>81.899000000000001</v>
      </c>
      <c r="AL18" s="4">
        <v>89.822999999999993</v>
      </c>
      <c r="AM18" s="4">
        <v>74.055000000000007</v>
      </c>
      <c r="AN18" s="4">
        <v>54.143000000000001</v>
      </c>
      <c r="AO18" s="5" t="e">
        <v>#N/A</v>
      </c>
      <c r="AP18" s="36">
        <v>79.773189000000002</v>
      </c>
      <c r="AQ18" s="6">
        <v>73.400000000000006</v>
      </c>
      <c r="AR18" s="3">
        <v>725886.24037792801</v>
      </c>
      <c r="AS18" s="5">
        <v>3017</v>
      </c>
      <c r="AT18" s="5">
        <v>1750</v>
      </c>
      <c r="AU18" s="6" t="e">
        <v>#N/A</v>
      </c>
      <c r="AV18" s="35">
        <v>123.11118446590129</v>
      </c>
      <c r="AW18" s="6" t="e">
        <v>#N/A</v>
      </c>
    </row>
    <row r="19" spans="1:49" x14ac:dyDescent="0.25">
      <c r="A19" t="s">
        <v>19</v>
      </c>
      <c r="B19" s="2">
        <v>36950</v>
      </c>
      <c r="C19" s="3" t="e">
        <v>#N/A</v>
      </c>
      <c r="D19" s="29" t="e">
        <v>#N/A</v>
      </c>
      <c r="E19" s="35">
        <v>118.65244</v>
      </c>
      <c r="F19" s="29">
        <v>48.238300000000002</v>
      </c>
      <c r="G19" s="29">
        <v>52.725999999999999</v>
      </c>
      <c r="H19" s="29">
        <v>89.515799999999999</v>
      </c>
      <c r="I19" s="29">
        <v>107.18770000000001</v>
      </c>
      <c r="J19" s="29">
        <v>56.855699999999999</v>
      </c>
      <c r="K19" s="29">
        <v>77.095600000000005</v>
      </c>
      <c r="L19" s="29">
        <v>91.269800000000004</v>
      </c>
      <c r="M19" s="3">
        <v>3.15</v>
      </c>
      <c r="N19" s="3" t="e">
        <v>#N/A</v>
      </c>
      <c r="O19" s="3">
        <v>99.49</v>
      </c>
      <c r="P19" s="29">
        <v>80.257900000000006</v>
      </c>
      <c r="Q19" s="29" t="e">
        <v>#N/A</v>
      </c>
      <c r="R19" s="6">
        <v>13631</v>
      </c>
      <c r="S19" s="6">
        <v>14363.3</v>
      </c>
      <c r="T19" s="3">
        <v>101.25</v>
      </c>
      <c r="U19" s="6" t="e">
        <v>#N/A</v>
      </c>
      <c r="V19" s="3" t="e">
        <v>#N/A</v>
      </c>
      <c r="W19" s="29" t="e">
        <v>#N/A</v>
      </c>
      <c r="X19" s="29" t="e">
        <v>#N/A</v>
      </c>
      <c r="Y19" s="29" t="e">
        <v>#N/A</v>
      </c>
      <c r="Z19" s="29" t="e">
        <v>#N/A</v>
      </c>
      <c r="AA19" s="29" t="e">
        <v>#N/A</v>
      </c>
      <c r="AB19" s="29" t="e">
        <v>#N/A</v>
      </c>
      <c r="AC19" s="29" t="e">
        <v>#N/A</v>
      </c>
      <c r="AD19" s="29" t="e">
        <v>#N/A</v>
      </c>
      <c r="AE19" s="29" t="e">
        <v>#N/A</v>
      </c>
      <c r="AF19" s="29" t="e">
        <v>#N/A</v>
      </c>
      <c r="AG19" s="29" t="e">
        <v>#N/A</v>
      </c>
      <c r="AH19" s="29" t="e">
        <v>#N/A</v>
      </c>
      <c r="AI19" s="3">
        <v>6276.83</v>
      </c>
      <c r="AJ19" s="4">
        <v>79.123000000000005</v>
      </c>
      <c r="AK19" s="4">
        <v>81.784000000000006</v>
      </c>
      <c r="AL19" s="4">
        <v>89.31</v>
      </c>
      <c r="AM19" s="4">
        <v>74.245000000000005</v>
      </c>
      <c r="AN19" s="4">
        <v>54.223999999999997</v>
      </c>
      <c r="AO19" s="5" t="e">
        <v>#N/A</v>
      </c>
      <c r="AP19" s="36">
        <v>79.570087000000001</v>
      </c>
      <c r="AQ19" s="6">
        <v>72.5</v>
      </c>
      <c r="AR19" s="3">
        <v>723385.62448607211</v>
      </c>
      <c r="AS19" s="5">
        <v>3137</v>
      </c>
      <c r="AT19" s="5">
        <v>1759</v>
      </c>
      <c r="AU19" s="6" t="e">
        <v>#N/A</v>
      </c>
      <c r="AV19" s="35">
        <v>103.71030003282682</v>
      </c>
      <c r="AW19" s="6" t="e">
        <v>#N/A</v>
      </c>
    </row>
    <row r="20" spans="1:49" x14ac:dyDescent="0.25">
      <c r="A20" t="s">
        <v>20</v>
      </c>
      <c r="B20" s="2">
        <v>36981</v>
      </c>
      <c r="C20" s="3" t="e">
        <v>#N/A</v>
      </c>
      <c r="D20" s="29" t="e">
        <v>#N/A</v>
      </c>
      <c r="E20" s="35">
        <v>121.48672000000001</v>
      </c>
      <c r="F20" s="29">
        <v>48.594799999999999</v>
      </c>
      <c r="G20" s="29">
        <v>52.999099999999999</v>
      </c>
      <c r="H20" s="29">
        <v>89.120199999999997</v>
      </c>
      <c r="I20" s="29">
        <v>105.9494</v>
      </c>
      <c r="J20" s="29">
        <v>57.071399999999997</v>
      </c>
      <c r="K20" s="29">
        <v>76.687799999999996</v>
      </c>
      <c r="L20" s="29">
        <v>90.156999999999996</v>
      </c>
      <c r="M20" s="3">
        <v>2.66</v>
      </c>
      <c r="N20" s="3" t="e">
        <v>#N/A</v>
      </c>
      <c r="O20" s="3">
        <v>99.41</v>
      </c>
      <c r="P20" s="29">
        <v>80.996499999999997</v>
      </c>
      <c r="Q20" s="29" t="e">
        <v>#N/A</v>
      </c>
      <c r="R20" s="6">
        <v>13987.5</v>
      </c>
      <c r="S20" s="6">
        <v>14776.7</v>
      </c>
      <c r="T20" s="3">
        <v>101.06</v>
      </c>
      <c r="U20" s="6" t="e">
        <v>#N/A</v>
      </c>
      <c r="V20" s="3" t="e">
        <v>#N/A</v>
      </c>
      <c r="W20" s="29" t="e">
        <v>#N/A</v>
      </c>
      <c r="X20" s="29" t="e">
        <v>#N/A</v>
      </c>
      <c r="Y20" s="29" t="e">
        <v>#N/A</v>
      </c>
      <c r="Z20" s="29" t="e">
        <v>#N/A</v>
      </c>
      <c r="AA20" s="29" t="e">
        <v>#N/A</v>
      </c>
      <c r="AB20" s="29" t="e">
        <v>#N/A</v>
      </c>
      <c r="AC20" s="29" t="e">
        <v>#N/A</v>
      </c>
      <c r="AD20" s="29" t="e">
        <v>#N/A</v>
      </c>
      <c r="AE20" s="29" t="e">
        <v>#N/A</v>
      </c>
      <c r="AF20" s="29" t="e">
        <v>#N/A</v>
      </c>
      <c r="AG20" s="29" t="e">
        <v>#N/A</v>
      </c>
      <c r="AH20" s="29" t="e">
        <v>#N/A</v>
      </c>
      <c r="AI20" s="3">
        <v>5926.31</v>
      </c>
      <c r="AJ20" s="4">
        <v>79.447999999999993</v>
      </c>
      <c r="AK20" s="4">
        <v>82.052999999999997</v>
      </c>
      <c r="AL20" s="4">
        <v>89.534999999999997</v>
      </c>
      <c r="AM20" s="4">
        <v>74.531000000000006</v>
      </c>
      <c r="AN20" s="4">
        <v>55.48</v>
      </c>
      <c r="AO20" s="5" t="e">
        <v>#N/A</v>
      </c>
      <c r="AP20" s="36">
        <v>79.525193000000002</v>
      </c>
      <c r="AQ20" s="6">
        <v>71.2</v>
      </c>
      <c r="AR20" s="3">
        <v>728591.11810084223</v>
      </c>
      <c r="AS20" s="5">
        <v>3122</v>
      </c>
      <c r="AT20" s="5">
        <v>1757</v>
      </c>
      <c r="AU20" s="6" t="e">
        <v>#N/A</v>
      </c>
      <c r="AV20" s="35">
        <v>120.5149774110124</v>
      </c>
      <c r="AW20" s="6" t="e">
        <v>#N/A</v>
      </c>
    </row>
    <row r="21" spans="1:49" x14ac:dyDescent="0.25">
      <c r="A21" t="s">
        <v>21</v>
      </c>
      <c r="B21" s="2">
        <v>37011</v>
      </c>
      <c r="C21" s="3" t="e">
        <v>#N/A</v>
      </c>
      <c r="D21" s="29" t="e">
        <v>#N/A</v>
      </c>
      <c r="E21" s="35">
        <v>125.89816</v>
      </c>
      <c r="F21" s="29">
        <v>48.886000000000003</v>
      </c>
      <c r="G21" s="29">
        <v>53.265300000000003</v>
      </c>
      <c r="H21" s="29">
        <v>87.018600000000006</v>
      </c>
      <c r="I21" s="29">
        <v>102.51260000000001</v>
      </c>
      <c r="J21" s="29">
        <v>57.724899999999998</v>
      </c>
      <c r="K21" s="29">
        <v>73.4465</v>
      </c>
      <c r="L21" s="29">
        <v>89.553799999999995</v>
      </c>
      <c r="M21" s="3">
        <v>2.7</v>
      </c>
      <c r="N21" s="3" t="e">
        <v>#N/A</v>
      </c>
      <c r="O21" s="3">
        <v>99.41</v>
      </c>
      <c r="P21" s="29">
        <v>79.355199999999996</v>
      </c>
      <c r="Q21" s="29" t="e">
        <v>#N/A</v>
      </c>
      <c r="R21" s="6">
        <v>13782.2</v>
      </c>
      <c r="S21" s="6">
        <v>14722.7</v>
      </c>
      <c r="T21" s="3">
        <v>100.88</v>
      </c>
      <c r="U21" s="6">
        <v>46.9</v>
      </c>
      <c r="V21" s="3" t="e">
        <v>#N/A</v>
      </c>
      <c r="W21" s="29" t="e">
        <v>#N/A</v>
      </c>
      <c r="X21" s="29" t="e">
        <v>#N/A</v>
      </c>
      <c r="Y21" s="29" t="e">
        <v>#N/A</v>
      </c>
      <c r="Z21" s="29" t="e">
        <v>#N/A</v>
      </c>
      <c r="AA21" s="29" t="e">
        <v>#N/A</v>
      </c>
      <c r="AB21" s="29" t="e">
        <v>#N/A</v>
      </c>
      <c r="AC21" s="29" t="e">
        <v>#N/A</v>
      </c>
      <c r="AD21" s="29" t="e">
        <v>#N/A</v>
      </c>
      <c r="AE21" s="29" t="e">
        <v>#N/A</v>
      </c>
      <c r="AF21" s="29" t="e">
        <v>#N/A</v>
      </c>
      <c r="AG21" s="29" t="e">
        <v>#N/A</v>
      </c>
      <c r="AH21" s="29" t="e">
        <v>#N/A</v>
      </c>
      <c r="AI21" s="3">
        <v>5884.99</v>
      </c>
      <c r="AJ21" s="4">
        <v>79.203000000000003</v>
      </c>
      <c r="AK21" s="4">
        <v>82.21</v>
      </c>
      <c r="AL21" s="4">
        <v>89.77</v>
      </c>
      <c r="AM21" s="4">
        <v>74.361999999999995</v>
      </c>
      <c r="AN21" s="4">
        <v>51.584000000000003</v>
      </c>
      <c r="AO21" s="5" t="e">
        <v>#N/A</v>
      </c>
      <c r="AP21" s="36">
        <v>79.364557000000005</v>
      </c>
      <c r="AQ21" s="6">
        <v>69.8</v>
      </c>
      <c r="AR21" s="3">
        <v>745852.65942619613</v>
      </c>
      <c r="AS21" s="5">
        <v>3018</v>
      </c>
      <c r="AT21" s="5">
        <v>1716</v>
      </c>
      <c r="AU21" s="6" t="e">
        <v>#N/A</v>
      </c>
      <c r="AV21" s="35">
        <v>132.17547094137123</v>
      </c>
      <c r="AW21" s="6" t="e">
        <v>#N/A</v>
      </c>
    </row>
    <row r="22" spans="1:49" x14ac:dyDescent="0.25">
      <c r="A22" t="s">
        <v>22</v>
      </c>
      <c r="B22" s="2">
        <v>37042</v>
      </c>
      <c r="C22" s="3" t="e">
        <v>#N/A</v>
      </c>
      <c r="D22" s="29" t="e">
        <v>#N/A</v>
      </c>
      <c r="E22" s="35">
        <v>128.21088</v>
      </c>
      <c r="F22" s="29">
        <v>49.217500000000001</v>
      </c>
      <c r="G22" s="29">
        <v>53.558799999999998</v>
      </c>
      <c r="H22" s="29">
        <v>88.181700000000006</v>
      </c>
      <c r="I22" s="29">
        <v>102.2353</v>
      </c>
      <c r="J22" s="29">
        <v>57.4636</v>
      </c>
      <c r="K22" s="29">
        <v>75.153700000000001</v>
      </c>
      <c r="L22" s="29">
        <v>90.290700000000001</v>
      </c>
      <c r="M22" s="3">
        <v>2.79</v>
      </c>
      <c r="N22" s="3" t="e">
        <v>#N/A</v>
      </c>
      <c r="O22" s="3">
        <v>99.49</v>
      </c>
      <c r="P22" s="29">
        <v>79.601399999999998</v>
      </c>
      <c r="Q22" s="29" t="e">
        <v>#N/A</v>
      </c>
      <c r="R22" s="6">
        <v>13153.3</v>
      </c>
      <c r="S22" s="6">
        <v>14034.9</v>
      </c>
      <c r="T22" s="3">
        <v>100.71</v>
      </c>
      <c r="U22" s="6">
        <v>44.4</v>
      </c>
      <c r="V22" s="3" t="e">
        <v>#N/A</v>
      </c>
      <c r="W22" s="29" t="e">
        <v>#N/A</v>
      </c>
      <c r="X22" s="29" t="e">
        <v>#N/A</v>
      </c>
      <c r="Y22" s="29" t="e">
        <v>#N/A</v>
      </c>
      <c r="Z22" s="29" t="e">
        <v>#N/A</v>
      </c>
      <c r="AA22" s="29" t="e">
        <v>#N/A</v>
      </c>
      <c r="AB22" s="29" t="e">
        <v>#N/A</v>
      </c>
      <c r="AC22" s="29" t="e">
        <v>#N/A</v>
      </c>
      <c r="AD22" s="29" t="e">
        <v>#N/A</v>
      </c>
      <c r="AE22" s="29" t="e">
        <v>#N/A</v>
      </c>
      <c r="AF22" s="29" t="e">
        <v>#N/A</v>
      </c>
      <c r="AG22" s="29" t="e">
        <v>#N/A</v>
      </c>
      <c r="AH22" s="29" t="e">
        <v>#N/A</v>
      </c>
      <c r="AI22" s="3">
        <v>6351.16</v>
      </c>
      <c r="AJ22" s="4">
        <v>79.227000000000004</v>
      </c>
      <c r="AK22" s="4">
        <v>82.155000000000001</v>
      </c>
      <c r="AL22" s="4">
        <v>89.733000000000004</v>
      </c>
      <c r="AM22" s="4">
        <v>74.376000000000005</v>
      </c>
      <c r="AN22" s="4">
        <v>53.341000000000001</v>
      </c>
      <c r="AO22" s="5" t="e">
        <v>#N/A</v>
      </c>
      <c r="AP22" s="36">
        <v>79.182548999999995</v>
      </c>
      <c r="AQ22" s="6">
        <v>69.599999999999994</v>
      </c>
      <c r="AR22" s="3">
        <v>744680.72072943859</v>
      </c>
      <c r="AS22" s="5">
        <v>3043</v>
      </c>
      <c r="AT22" s="5">
        <v>1719</v>
      </c>
      <c r="AU22" s="6" t="e">
        <v>#N/A</v>
      </c>
      <c r="AV22" s="35">
        <v>165.55541299942226</v>
      </c>
      <c r="AW22" s="6" t="e">
        <v>#N/A</v>
      </c>
    </row>
    <row r="23" spans="1:49" x14ac:dyDescent="0.25">
      <c r="A23" t="s">
        <v>23</v>
      </c>
      <c r="B23" s="2">
        <v>37072</v>
      </c>
      <c r="C23" s="3" t="e">
        <v>#N/A</v>
      </c>
      <c r="D23" s="29" t="e">
        <v>#N/A</v>
      </c>
      <c r="E23" s="35">
        <v>129.65588</v>
      </c>
      <c r="F23" s="29">
        <v>49.425600000000003</v>
      </c>
      <c r="G23" s="29">
        <v>53.852200000000003</v>
      </c>
      <c r="H23" s="29">
        <v>88.581900000000005</v>
      </c>
      <c r="I23" s="29">
        <v>105.73050000000001</v>
      </c>
      <c r="J23" s="29">
        <v>58.039099999999998</v>
      </c>
      <c r="K23" s="29">
        <v>76.119200000000006</v>
      </c>
      <c r="L23" s="29">
        <v>89.468199999999996</v>
      </c>
      <c r="M23" s="3">
        <v>2.75</v>
      </c>
      <c r="N23" s="3" t="e">
        <v>#N/A</v>
      </c>
      <c r="O23" s="3">
        <v>99.57</v>
      </c>
      <c r="P23" s="29">
        <v>79.8476</v>
      </c>
      <c r="Q23" s="29" t="e">
        <v>#N/A</v>
      </c>
      <c r="R23" s="6">
        <v>13360.1</v>
      </c>
      <c r="S23" s="6">
        <v>13983.2</v>
      </c>
      <c r="T23" s="3">
        <v>100.57</v>
      </c>
      <c r="U23" s="6">
        <v>44</v>
      </c>
      <c r="V23" s="3" t="e">
        <v>#N/A</v>
      </c>
      <c r="W23" s="29" t="e">
        <v>#N/A</v>
      </c>
      <c r="X23" s="29" t="e">
        <v>#N/A</v>
      </c>
      <c r="Y23" s="29" t="e">
        <v>#N/A</v>
      </c>
      <c r="Z23" s="29" t="e">
        <v>#N/A</v>
      </c>
      <c r="AA23" s="29" t="e">
        <v>#N/A</v>
      </c>
      <c r="AB23" s="29" t="e">
        <v>#N/A</v>
      </c>
      <c r="AC23" s="29" t="e">
        <v>#N/A</v>
      </c>
      <c r="AD23" s="29" t="e">
        <v>#N/A</v>
      </c>
      <c r="AE23" s="29" t="e">
        <v>#N/A</v>
      </c>
      <c r="AF23" s="29" t="e">
        <v>#N/A</v>
      </c>
      <c r="AG23" s="29" t="e">
        <v>#N/A</v>
      </c>
      <c r="AH23" s="29" t="e">
        <v>#N/A</v>
      </c>
      <c r="AI23" s="3">
        <v>6642.04</v>
      </c>
      <c r="AJ23" s="4">
        <v>80.569000000000003</v>
      </c>
      <c r="AK23" s="4">
        <v>83.3</v>
      </c>
      <c r="AL23" s="4">
        <v>91.774000000000001</v>
      </c>
      <c r="AM23" s="4">
        <v>74.659000000000006</v>
      </c>
      <c r="AN23" s="4">
        <v>55.313000000000002</v>
      </c>
      <c r="AO23" s="5" t="e">
        <v>#N/A</v>
      </c>
      <c r="AP23" s="36">
        <v>79.518017</v>
      </c>
      <c r="AQ23" s="6">
        <v>70.7</v>
      </c>
      <c r="AR23" s="3">
        <v>734358.78433296178</v>
      </c>
      <c r="AS23" s="5">
        <v>3142</v>
      </c>
      <c r="AT23" s="5">
        <v>1716</v>
      </c>
      <c r="AU23" s="6" t="e">
        <v>#N/A</v>
      </c>
      <c r="AV23" s="35">
        <v>115.9976479963933</v>
      </c>
      <c r="AW23" s="6" t="e">
        <v>#N/A</v>
      </c>
    </row>
    <row r="24" spans="1:49" x14ac:dyDescent="0.25">
      <c r="A24" t="s">
        <v>24</v>
      </c>
      <c r="B24" s="2">
        <v>37103</v>
      </c>
      <c r="C24" s="3" t="e">
        <v>#N/A</v>
      </c>
      <c r="D24" s="29" t="e">
        <v>#N/A</v>
      </c>
      <c r="E24" s="35">
        <v>128.51874000000001</v>
      </c>
      <c r="F24" s="29">
        <v>49.459099999999999</v>
      </c>
      <c r="G24" s="29">
        <v>54.082799999999999</v>
      </c>
      <c r="H24" s="29">
        <v>89.212500000000006</v>
      </c>
      <c r="I24" s="29">
        <v>106.27930000000001</v>
      </c>
      <c r="J24" s="29">
        <v>57.558100000000003</v>
      </c>
      <c r="K24" s="29">
        <v>78.876800000000003</v>
      </c>
      <c r="L24" s="29">
        <v>89.083799999999997</v>
      </c>
      <c r="M24" s="3">
        <v>2.77</v>
      </c>
      <c r="N24" s="3" t="e">
        <v>#N/A</v>
      </c>
      <c r="O24" s="3">
        <v>99.61</v>
      </c>
      <c r="P24" s="29">
        <v>79.191100000000006</v>
      </c>
      <c r="Q24" s="29" t="e">
        <v>#N/A</v>
      </c>
      <c r="R24" s="6">
        <v>12794.8</v>
      </c>
      <c r="S24" s="6">
        <v>13532.5</v>
      </c>
      <c r="T24" s="3">
        <v>100.43</v>
      </c>
      <c r="U24" s="6">
        <v>46.1</v>
      </c>
      <c r="V24" s="3" t="e">
        <v>#N/A</v>
      </c>
      <c r="W24" s="29" t="e">
        <v>#N/A</v>
      </c>
      <c r="X24" s="29" t="e">
        <v>#N/A</v>
      </c>
      <c r="Y24" s="29" t="e">
        <v>#N/A</v>
      </c>
      <c r="Z24" s="29" t="e">
        <v>#N/A</v>
      </c>
      <c r="AA24" s="29" t="e">
        <v>#N/A</v>
      </c>
      <c r="AB24" s="29" t="e">
        <v>#N/A</v>
      </c>
      <c r="AC24" s="29" t="e">
        <v>#N/A</v>
      </c>
      <c r="AD24" s="29" t="e">
        <v>#N/A</v>
      </c>
      <c r="AE24" s="29" t="e">
        <v>#N/A</v>
      </c>
      <c r="AF24" s="29" t="e">
        <v>#N/A</v>
      </c>
      <c r="AG24" s="29" t="e">
        <v>#N/A</v>
      </c>
      <c r="AH24" s="29" t="e">
        <v>#N/A</v>
      </c>
      <c r="AI24" s="3">
        <v>6552.96</v>
      </c>
      <c r="AJ24" s="4">
        <v>79.39</v>
      </c>
      <c r="AK24" s="4">
        <v>82.257999999999996</v>
      </c>
      <c r="AL24" s="4">
        <v>89.494</v>
      </c>
      <c r="AM24" s="4">
        <v>74.748999999999995</v>
      </c>
      <c r="AN24" s="4">
        <v>53.262999999999998</v>
      </c>
      <c r="AO24" s="5" t="e">
        <v>#N/A</v>
      </c>
      <c r="AP24" s="36">
        <v>79.625331000000003</v>
      </c>
      <c r="AQ24" s="6">
        <v>72.5</v>
      </c>
      <c r="AR24" s="3">
        <v>715506.87362185598</v>
      </c>
      <c r="AS24" s="5">
        <v>3157</v>
      </c>
      <c r="AT24" s="5">
        <v>1711</v>
      </c>
      <c r="AU24" s="6" t="e">
        <v>#N/A</v>
      </c>
      <c r="AV24" s="35">
        <v>97.896514254751906</v>
      </c>
      <c r="AW24" s="6" t="e">
        <v>#N/A</v>
      </c>
    </row>
    <row r="25" spans="1:49" x14ac:dyDescent="0.25">
      <c r="A25" t="s">
        <v>25</v>
      </c>
      <c r="B25" s="2">
        <v>37134</v>
      </c>
      <c r="C25" s="3" t="e">
        <v>#N/A</v>
      </c>
      <c r="D25" s="29" t="e">
        <v>#N/A</v>
      </c>
      <c r="E25" s="35">
        <v>128.89868000000001</v>
      </c>
      <c r="F25" s="29">
        <v>49.7791</v>
      </c>
      <c r="G25" s="29">
        <v>54.324800000000003</v>
      </c>
      <c r="H25" s="29">
        <v>88.881299999999996</v>
      </c>
      <c r="I25" s="29">
        <v>105.83880000000001</v>
      </c>
      <c r="J25" s="29">
        <v>59.045200000000001</v>
      </c>
      <c r="K25" s="29">
        <v>79.023499999999999</v>
      </c>
      <c r="L25" s="29">
        <v>88.550600000000003</v>
      </c>
      <c r="M25" s="3">
        <v>2.27</v>
      </c>
      <c r="N25" s="3" t="e">
        <v>#N/A</v>
      </c>
      <c r="O25" s="3">
        <v>99.63</v>
      </c>
      <c r="P25" s="29">
        <v>79.765600000000006</v>
      </c>
      <c r="Q25" s="29" t="e">
        <v>#N/A</v>
      </c>
      <c r="R25" s="6">
        <v>13049.5</v>
      </c>
      <c r="S25" s="6">
        <v>13691.3</v>
      </c>
      <c r="T25" s="3">
        <v>100.29</v>
      </c>
      <c r="U25" s="6">
        <v>47.4</v>
      </c>
      <c r="V25" s="3" t="e">
        <v>#N/A</v>
      </c>
      <c r="W25" s="29" t="e">
        <v>#N/A</v>
      </c>
      <c r="X25" s="29" t="e">
        <v>#N/A</v>
      </c>
      <c r="Y25" s="29" t="e">
        <v>#N/A</v>
      </c>
      <c r="Z25" s="29" t="e">
        <v>#N/A</v>
      </c>
      <c r="AA25" s="29" t="e">
        <v>#N/A</v>
      </c>
      <c r="AB25" s="29" t="e">
        <v>#N/A</v>
      </c>
      <c r="AC25" s="29" t="e">
        <v>#N/A</v>
      </c>
      <c r="AD25" s="29" t="e">
        <v>#N/A</v>
      </c>
      <c r="AE25" s="29" t="e">
        <v>#N/A</v>
      </c>
      <c r="AF25" s="29" t="e">
        <v>#N/A</v>
      </c>
      <c r="AG25" s="29" t="e">
        <v>#N/A</v>
      </c>
      <c r="AH25" s="29" t="e">
        <v>#N/A</v>
      </c>
      <c r="AI25" s="3">
        <v>6466.42</v>
      </c>
      <c r="AJ25" s="4">
        <v>79.983000000000004</v>
      </c>
      <c r="AK25" s="4">
        <v>82.754999999999995</v>
      </c>
      <c r="AL25" s="4">
        <v>90.667000000000002</v>
      </c>
      <c r="AM25" s="4">
        <v>74.742999999999995</v>
      </c>
      <c r="AN25" s="4">
        <v>55.674999999999997</v>
      </c>
      <c r="AO25" s="5" t="e">
        <v>#N/A</v>
      </c>
      <c r="AP25" s="36">
        <v>79.936959000000002</v>
      </c>
      <c r="AQ25" s="6">
        <v>72</v>
      </c>
      <c r="AR25" s="3">
        <v>709838.95184213831</v>
      </c>
      <c r="AS25" s="5">
        <v>3140</v>
      </c>
      <c r="AT25" s="5">
        <v>1648</v>
      </c>
      <c r="AU25" s="6" t="e">
        <v>#N/A</v>
      </c>
      <c r="AV25" s="35">
        <v>113.21612162740409</v>
      </c>
      <c r="AW25" s="6" t="e">
        <v>#N/A</v>
      </c>
    </row>
    <row r="26" spans="1:49" x14ac:dyDescent="0.25">
      <c r="A26" t="s">
        <v>26</v>
      </c>
      <c r="B26" s="2">
        <v>37164</v>
      </c>
      <c r="C26" s="3" t="e">
        <v>#N/A</v>
      </c>
      <c r="D26" s="29" t="e">
        <v>#N/A</v>
      </c>
      <c r="E26" s="35">
        <v>125.62600999999999</v>
      </c>
      <c r="F26" s="29">
        <v>50.147300000000001</v>
      </c>
      <c r="G26" s="29">
        <v>54.572299999999998</v>
      </c>
      <c r="H26" s="29">
        <v>88.865899999999996</v>
      </c>
      <c r="I26" s="29">
        <v>106.7873</v>
      </c>
      <c r="J26" s="29">
        <v>58.893300000000004</v>
      </c>
      <c r="K26" s="29">
        <v>78.262699999999995</v>
      </c>
      <c r="L26" s="29">
        <v>88.880700000000004</v>
      </c>
      <c r="M26" s="3">
        <v>2.5299999999999998</v>
      </c>
      <c r="N26" s="3" t="e">
        <v>#N/A</v>
      </c>
      <c r="O26" s="3">
        <v>99.65</v>
      </c>
      <c r="P26" s="29">
        <v>80.504099999999994</v>
      </c>
      <c r="Q26" s="29" t="e">
        <v>#N/A</v>
      </c>
      <c r="R26" s="6">
        <v>12984.4</v>
      </c>
      <c r="S26" s="6">
        <v>13768.8</v>
      </c>
      <c r="T26" s="3">
        <v>100.13</v>
      </c>
      <c r="U26" s="6">
        <v>44.7</v>
      </c>
      <c r="V26" s="3" t="e">
        <v>#N/A</v>
      </c>
      <c r="W26" s="29" t="e">
        <v>#N/A</v>
      </c>
      <c r="X26" s="29" t="e">
        <v>#N/A</v>
      </c>
      <c r="Y26" s="29" t="e">
        <v>#N/A</v>
      </c>
      <c r="Z26" s="29" t="e">
        <v>#N/A</v>
      </c>
      <c r="AA26" s="29" t="e">
        <v>#N/A</v>
      </c>
      <c r="AB26" s="29" t="e">
        <v>#N/A</v>
      </c>
      <c r="AC26" s="29" t="e">
        <v>#N/A</v>
      </c>
      <c r="AD26" s="29" t="e">
        <v>#N/A</v>
      </c>
      <c r="AE26" s="29" t="e">
        <v>#N/A</v>
      </c>
      <c r="AF26" s="29" t="e">
        <v>#N/A</v>
      </c>
      <c r="AG26" s="29" t="e">
        <v>#N/A</v>
      </c>
      <c r="AH26" s="29" t="e">
        <v>#N/A</v>
      </c>
      <c r="AI26" s="3">
        <v>5546.51</v>
      </c>
      <c r="AJ26" s="4">
        <v>80.283000000000001</v>
      </c>
      <c r="AK26" s="4">
        <v>82.962999999999994</v>
      </c>
      <c r="AL26" s="4">
        <v>91.325999999999993</v>
      </c>
      <c r="AM26" s="4">
        <v>74.513999999999996</v>
      </c>
      <c r="AN26" s="4">
        <v>55.267000000000003</v>
      </c>
      <c r="AO26" s="5" t="e">
        <v>#N/A</v>
      </c>
      <c r="AP26" s="36">
        <v>79.732418999999993</v>
      </c>
      <c r="AQ26" s="6">
        <v>72.400000000000006</v>
      </c>
      <c r="AR26" s="3">
        <v>572489.07736562169</v>
      </c>
      <c r="AS26" s="5">
        <v>3166</v>
      </c>
      <c r="AT26" s="5">
        <v>1648</v>
      </c>
      <c r="AU26" s="6" t="e">
        <v>#N/A</v>
      </c>
      <c r="AV26" s="35">
        <v>246.2359743192109</v>
      </c>
      <c r="AW26" s="6" t="e">
        <v>#N/A</v>
      </c>
    </row>
    <row r="27" spans="1:49" x14ac:dyDescent="0.25">
      <c r="A27" t="s">
        <v>27</v>
      </c>
      <c r="B27" s="2">
        <v>37195</v>
      </c>
      <c r="C27" s="3" t="e">
        <v>#N/A</v>
      </c>
      <c r="D27" s="29" t="e">
        <v>#N/A</v>
      </c>
      <c r="E27" s="35">
        <v>127.92358</v>
      </c>
      <c r="F27" s="29">
        <v>50.354599999999998</v>
      </c>
      <c r="G27" s="29">
        <v>54.752099999999999</v>
      </c>
      <c r="H27" s="29">
        <v>86.749300000000005</v>
      </c>
      <c r="I27" s="29">
        <v>103.8515</v>
      </c>
      <c r="J27" s="29">
        <v>59.471400000000003</v>
      </c>
      <c r="K27" s="29">
        <v>76.036699999999996</v>
      </c>
      <c r="L27" s="29">
        <v>87.056100000000001</v>
      </c>
      <c r="M27" s="3">
        <v>2.92</v>
      </c>
      <c r="N27" s="3" t="e">
        <v>#N/A</v>
      </c>
      <c r="O27" s="3">
        <v>99.75</v>
      </c>
      <c r="P27" s="29">
        <v>79.683499999999995</v>
      </c>
      <c r="Q27" s="29" t="e">
        <v>#N/A</v>
      </c>
      <c r="R27" s="6">
        <v>12825.1</v>
      </c>
      <c r="S27" s="6">
        <v>13721.4</v>
      </c>
      <c r="T27" s="3">
        <v>99.95</v>
      </c>
      <c r="U27" s="6">
        <v>42.3</v>
      </c>
      <c r="V27" s="3" t="e">
        <v>#N/A</v>
      </c>
      <c r="W27" s="29" t="e">
        <v>#N/A</v>
      </c>
      <c r="X27" s="29" t="e">
        <v>#N/A</v>
      </c>
      <c r="Y27" s="29" t="e">
        <v>#N/A</v>
      </c>
      <c r="Z27" s="29" t="e">
        <v>#N/A</v>
      </c>
      <c r="AA27" s="29" t="e">
        <v>#N/A</v>
      </c>
      <c r="AB27" s="29" t="e">
        <v>#N/A</v>
      </c>
      <c r="AC27" s="29" t="e">
        <v>#N/A</v>
      </c>
      <c r="AD27" s="29" t="e">
        <v>#N/A</v>
      </c>
      <c r="AE27" s="29" t="e">
        <v>#N/A</v>
      </c>
      <c r="AF27" s="29" t="e">
        <v>#N/A</v>
      </c>
      <c r="AG27" s="29" t="e">
        <v>#N/A</v>
      </c>
      <c r="AH27" s="29" t="e">
        <v>#N/A</v>
      </c>
      <c r="AI27" s="3">
        <v>5567.04</v>
      </c>
      <c r="AJ27" s="4">
        <v>80.043000000000006</v>
      </c>
      <c r="AK27" s="4">
        <v>82.840999999999994</v>
      </c>
      <c r="AL27" s="4">
        <v>91.204999999999998</v>
      </c>
      <c r="AM27" s="4">
        <v>74.257000000000005</v>
      </c>
      <c r="AN27" s="4">
        <v>55.411999999999999</v>
      </c>
      <c r="AO27" s="5" t="e">
        <v>#N/A</v>
      </c>
      <c r="AP27" s="36">
        <v>78.823013000000003</v>
      </c>
      <c r="AQ27" s="6">
        <v>69.3</v>
      </c>
      <c r="AR27" s="3">
        <v>608237.91360215028</v>
      </c>
      <c r="AS27" s="5">
        <v>3113</v>
      </c>
      <c r="AT27" s="5">
        <v>1734</v>
      </c>
      <c r="AU27" s="6" t="e">
        <v>#N/A</v>
      </c>
      <c r="AV27" s="35">
        <v>284.99277250704</v>
      </c>
      <c r="AW27" s="6" t="e">
        <v>#N/A</v>
      </c>
    </row>
    <row r="28" spans="1:49" x14ac:dyDescent="0.25">
      <c r="A28" t="s">
        <v>28</v>
      </c>
      <c r="B28" s="2">
        <v>37225</v>
      </c>
      <c r="C28" s="3" t="e">
        <v>#N/A</v>
      </c>
      <c r="D28" s="29" t="e">
        <v>#N/A</v>
      </c>
      <c r="E28" s="35">
        <v>130.33858000000001</v>
      </c>
      <c r="F28" s="29">
        <v>50.360900000000001</v>
      </c>
      <c r="G28" s="29">
        <v>54.924100000000003</v>
      </c>
      <c r="H28" s="29">
        <v>88.392799999999994</v>
      </c>
      <c r="I28" s="29">
        <v>108.2167</v>
      </c>
      <c r="J28" s="29">
        <v>60.1631</v>
      </c>
      <c r="K28" s="29">
        <v>76.7226</v>
      </c>
      <c r="L28" s="29">
        <v>87.456999999999994</v>
      </c>
      <c r="M28" s="3">
        <v>2.93</v>
      </c>
      <c r="N28" s="3" t="e">
        <v>#N/A</v>
      </c>
      <c r="O28" s="3">
        <v>99.91</v>
      </c>
      <c r="P28" s="29">
        <v>79.929699999999997</v>
      </c>
      <c r="Q28" s="29" t="e">
        <v>#N/A</v>
      </c>
      <c r="R28" s="6">
        <v>12544.6</v>
      </c>
      <c r="S28" s="6">
        <v>13468</v>
      </c>
      <c r="T28" s="3">
        <v>99.79</v>
      </c>
      <c r="U28" s="6">
        <v>42.8</v>
      </c>
      <c r="V28" s="3" t="e">
        <v>#N/A</v>
      </c>
      <c r="W28" s="29" t="e">
        <v>#N/A</v>
      </c>
      <c r="X28" s="29" t="e">
        <v>#N/A</v>
      </c>
      <c r="Y28" s="29" t="e">
        <v>#N/A</v>
      </c>
      <c r="Z28" s="29" t="e">
        <v>#N/A</v>
      </c>
      <c r="AA28" s="29" t="e">
        <v>#N/A</v>
      </c>
      <c r="AB28" s="29" t="e">
        <v>#N/A</v>
      </c>
      <c r="AC28" s="29" t="e">
        <v>#N/A</v>
      </c>
      <c r="AD28" s="29" t="e">
        <v>#N/A</v>
      </c>
      <c r="AE28" s="29" t="e">
        <v>#N/A</v>
      </c>
      <c r="AF28" s="29" t="e">
        <v>#N/A</v>
      </c>
      <c r="AG28" s="29" t="e">
        <v>#N/A</v>
      </c>
      <c r="AH28" s="29" t="e">
        <v>#N/A</v>
      </c>
      <c r="AI28" s="3">
        <v>5707.32</v>
      </c>
      <c r="AJ28" s="4">
        <v>80.087999999999994</v>
      </c>
      <c r="AK28" s="4">
        <v>82.736000000000004</v>
      </c>
      <c r="AL28" s="4">
        <v>91.067999999999998</v>
      </c>
      <c r="AM28" s="4">
        <v>74.263000000000005</v>
      </c>
      <c r="AN28" s="4">
        <v>56.808</v>
      </c>
      <c r="AO28" s="5" t="e">
        <v>#N/A</v>
      </c>
      <c r="AP28" s="36">
        <v>79.396360999999999</v>
      </c>
      <c r="AQ28" s="6">
        <v>71.3</v>
      </c>
      <c r="AR28" s="3">
        <v>665944.53027955838</v>
      </c>
      <c r="AS28" s="5">
        <v>3213</v>
      </c>
      <c r="AT28" s="5">
        <v>1682</v>
      </c>
      <c r="AU28" s="6" t="e">
        <v>#N/A</v>
      </c>
      <c r="AV28" s="35">
        <v>190.50981500705072</v>
      </c>
      <c r="AW28" s="6" t="e">
        <v>#N/A</v>
      </c>
    </row>
    <row r="29" spans="1:49" x14ac:dyDescent="0.25">
      <c r="A29" t="s">
        <v>29</v>
      </c>
      <c r="B29" s="2">
        <v>37256</v>
      </c>
      <c r="C29" s="3" t="e">
        <v>#N/A</v>
      </c>
      <c r="D29" s="29" t="e">
        <v>#N/A</v>
      </c>
      <c r="E29" s="35">
        <v>131.60927000000001</v>
      </c>
      <c r="F29" s="29">
        <v>50.3568</v>
      </c>
      <c r="G29" s="29">
        <v>55.065800000000003</v>
      </c>
      <c r="H29" s="29">
        <v>88.453999999999994</v>
      </c>
      <c r="I29" s="29">
        <v>109.0177</v>
      </c>
      <c r="J29" s="29">
        <v>60.435400000000001</v>
      </c>
      <c r="K29" s="29">
        <v>78.331000000000003</v>
      </c>
      <c r="L29" s="29">
        <v>86.755799999999994</v>
      </c>
      <c r="M29" s="3">
        <v>3.07</v>
      </c>
      <c r="N29" s="3" t="e">
        <v>#N/A</v>
      </c>
      <c r="O29" s="3">
        <v>100.1</v>
      </c>
      <c r="P29" s="29">
        <v>79.519400000000005</v>
      </c>
      <c r="Q29" s="29" t="e">
        <v>#N/A</v>
      </c>
      <c r="R29" s="6">
        <v>12930.8</v>
      </c>
      <c r="S29" s="6">
        <v>13602.3</v>
      </c>
      <c r="T29" s="3">
        <v>99.64</v>
      </c>
      <c r="U29" s="6">
        <v>42.7</v>
      </c>
      <c r="V29" s="3" t="e">
        <v>#N/A</v>
      </c>
      <c r="W29" s="29" t="e">
        <v>#N/A</v>
      </c>
      <c r="X29" s="29" t="e">
        <v>#N/A</v>
      </c>
      <c r="Y29" s="29" t="e">
        <v>#N/A</v>
      </c>
      <c r="Z29" s="29" t="e">
        <v>#N/A</v>
      </c>
      <c r="AA29" s="29" t="e">
        <v>#N/A</v>
      </c>
      <c r="AB29" s="29" t="e">
        <v>#N/A</v>
      </c>
      <c r="AC29" s="29" t="e">
        <v>#N/A</v>
      </c>
      <c r="AD29" s="29" t="e">
        <v>#N/A</v>
      </c>
      <c r="AE29" s="29" t="e">
        <v>#N/A</v>
      </c>
      <c r="AF29" s="29" t="e">
        <v>#N/A</v>
      </c>
      <c r="AG29" s="29" t="e">
        <v>#N/A</v>
      </c>
      <c r="AH29" s="29" t="e">
        <v>#N/A</v>
      </c>
      <c r="AI29" s="3">
        <v>6214.49</v>
      </c>
      <c r="AJ29" s="4">
        <v>80.614999999999995</v>
      </c>
      <c r="AK29" s="4">
        <v>82.918000000000006</v>
      </c>
      <c r="AL29" s="4">
        <v>91.293000000000006</v>
      </c>
      <c r="AM29" s="4">
        <v>74.259</v>
      </c>
      <c r="AN29" s="4">
        <v>58.127000000000002</v>
      </c>
      <c r="AO29" s="5" t="e">
        <v>#N/A</v>
      </c>
      <c r="AP29" s="36">
        <v>79.326696999999996</v>
      </c>
      <c r="AQ29" s="6">
        <v>72.3</v>
      </c>
      <c r="AR29" s="3">
        <v>669154.73257612798</v>
      </c>
      <c r="AS29" s="5">
        <v>3243</v>
      </c>
      <c r="AT29" s="5">
        <v>1685</v>
      </c>
      <c r="AU29" s="6" t="e">
        <v>#N/A</v>
      </c>
      <c r="AV29" s="35">
        <v>221.31068865030872</v>
      </c>
      <c r="AW29" s="6" t="e">
        <v>#N/A</v>
      </c>
    </row>
    <row r="30" spans="1:49" x14ac:dyDescent="0.25">
      <c r="A30" t="s">
        <v>30</v>
      </c>
      <c r="B30" s="2">
        <v>37287</v>
      </c>
      <c r="C30" s="3" t="e">
        <v>#N/A</v>
      </c>
      <c r="D30" s="29" t="e">
        <v>#N/A</v>
      </c>
      <c r="E30" s="35">
        <v>133.14067</v>
      </c>
      <c r="F30" s="29">
        <v>50.64</v>
      </c>
      <c r="G30" s="29">
        <v>55.189799999999998</v>
      </c>
      <c r="H30" s="29">
        <v>86.794799999999995</v>
      </c>
      <c r="I30" s="29">
        <v>106.2968</v>
      </c>
      <c r="J30" s="29">
        <v>56.713700000000003</v>
      </c>
      <c r="K30" s="29">
        <v>74.276799999999994</v>
      </c>
      <c r="L30" s="29">
        <v>86.887900000000002</v>
      </c>
      <c r="M30" s="3">
        <v>3.42</v>
      </c>
      <c r="N30" s="3" t="e">
        <v>#N/A</v>
      </c>
      <c r="O30" s="3">
        <v>100.26</v>
      </c>
      <c r="P30" s="29">
        <v>79.355199999999996</v>
      </c>
      <c r="Q30" s="29" t="e">
        <v>#N/A</v>
      </c>
      <c r="R30" s="6">
        <v>12757.2</v>
      </c>
      <c r="S30" s="6">
        <v>13146.5</v>
      </c>
      <c r="T30" s="3">
        <v>99.52</v>
      </c>
      <c r="U30" s="6">
        <v>36.799999999999997</v>
      </c>
      <c r="V30" s="3" t="e">
        <v>#N/A</v>
      </c>
      <c r="W30" s="29" t="e">
        <v>#N/A</v>
      </c>
      <c r="X30" s="29" t="e">
        <v>#N/A</v>
      </c>
      <c r="Y30" s="29" t="e">
        <v>#N/A</v>
      </c>
      <c r="Z30" s="29" t="e">
        <v>#N/A</v>
      </c>
      <c r="AA30" s="29" t="e">
        <v>#N/A</v>
      </c>
      <c r="AB30" s="29" t="e">
        <v>#N/A</v>
      </c>
      <c r="AC30" s="29" t="e">
        <v>#N/A</v>
      </c>
      <c r="AD30" s="29" t="e">
        <v>#N/A</v>
      </c>
      <c r="AE30" s="29" t="e">
        <v>#N/A</v>
      </c>
      <c r="AF30" s="29" t="e">
        <v>#N/A</v>
      </c>
      <c r="AG30" s="29" t="e">
        <v>#N/A</v>
      </c>
      <c r="AH30" s="29" t="e">
        <v>#N/A</v>
      </c>
      <c r="AI30" s="3">
        <v>6633.51</v>
      </c>
      <c r="AJ30" s="4">
        <v>79.620999999999995</v>
      </c>
      <c r="AK30" s="4">
        <v>82.66</v>
      </c>
      <c r="AL30" s="4">
        <v>91.072999999999993</v>
      </c>
      <c r="AM30" s="4">
        <v>74.161000000000001</v>
      </c>
      <c r="AN30" s="4">
        <v>54.923999999999999</v>
      </c>
      <c r="AO30" s="5" t="e">
        <v>#N/A</v>
      </c>
      <c r="AP30" s="36">
        <v>77.930769999999995</v>
      </c>
      <c r="AQ30" s="6">
        <v>68.5</v>
      </c>
      <c r="AR30" s="3">
        <v>694656.73657293478</v>
      </c>
      <c r="AS30" s="5">
        <v>3189</v>
      </c>
      <c r="AT30" s="5">
        <v>1793</v>
      </c>
      <c r="AU30" s="6" t="e">
        <v>#N/A</v>
      </c>
      <c r="AV30" s="35">
        <v>165.27889666536262</v>
      </c>
      <c r="AW30" s="6" t="e">
        <v>#N/A</v>
      </c>
    </row>
    <row r="31" spans="1:49" x14ac:dyDescent="0.25">
      <c r="A31" t="s">
        <v>31</v>
      </c>
      <c r="B31" s="2">
        <v>37315</v>
      </c>
      <c r="C31" s="3" t="e">
        <v>#N/A</v>
      </c>
      <c r="D31" s="29" t="e">
        <v>#N/A</v>
      </c>
      <c r="E31" s="35">
        <v>134.08655999999999</v>
      </c>
      <c r="F31" s="29">
        <v>50.600200000000001</v>
      </c>
      <c r="G31" s="29">
        <v>55.431699999999999</v>
      </c>
      <c r="H31" s="29">
        <v>86.156000000000006</v>
      </c>
      <c r="I31" s="29">
        <v>106.0989</v>
      </c>
      <c r="J31" s="29">
        <v>57.167000000000002</v>
      </c>
      <c r="K31" s="29">
        <v>74.236900000000006</v>
      </c>
      <c r="L31" s="29">
        <v>86.361599999999996</v>
      </c>
      <c r="M31" s="3">
        <v>2.97</v>
      </c>
      <c r="N31" s="3" t="e">
        <v>#N/A</v>
      </c>
      <c r="O31" s="3">
        <v>100.35</v>
      </c>
      <c r="P31" s="29">
        <v>79.601399999999998</v>
      </c>
      <c r="Q31" s="29" t="e">
        <v>#N/A</v>
      </c>
      <c r="R31" s="6">
        <v>12968</v>
      </c>
      <c r="S31" s="6">
        <v>13765.6</v>
      </c>
      <c r="T31" s="3">
        <v>99.45</v>
      </c>
      <c r="U31" s="6">
        <v>38.299999999999997</v>
      </c>
      <c r="V31" s="3" t="e">
        <v>#N/A</v>
      </c>
      <c r="W31" s="29" t="e">
        <v>#N/A</v>
      </c>
      <c r="X31" s="29" t="e">
        <v>#N/A</v>
      </c>
      <c r="Y31" s="29" t="e">
        <v>#N/A</v>
      </c>
      <c r="Z31" s="29" t="e">
        <v>#N/A</v>
      </c>
      <c r="AA31" s="29" t="e">
        <v>#N/A</v>
      </c>
      <c r="AB31" s="29" t="e">
        <v>#N/A</v>
      </c>
      <c r="AC31" s="29" t="e">
        <v>#N/A</v>
      </c>
      <c r="AD31" s="29" t="e">
        <v>#N/A</v>
      </c>
      <c r="AE31" s="29" t="e">
        <v>#N/A</v>
      </c>
      <c r="AF31" s="29" t="e">
        <v>#N/A</v>
      </c>
      <c r="AG31" s="29" t="e">
        <v>#N/A</v>
      </c>
      <c r="AH31" s="29" t="e">
        <v>#N/A</v>
      </c>
      <c r="AI31" s="3">
        <v>6685.32</v>
      </c>
      <c r="AJ31" s="4">
        <v>79.697000000000003</v>
      </c>
      <c r="AK31" s="4">
        <v>82.433999999999997</v>
      </c>
      <c r="AL31" s="4">
        <v>91.081999999999994</v>
      </c>
      <c r="AM31" s="4">
        <v>73.828000000000003</v>
      </c>
      <c r="AN31" s="4">
        <v>54.225999999999999</v>
      </c>
      <c r="AO31" s="5" t="e">
        <v>#N/A</v>
      </c>
      <c r="AP31" s="36">
        <v>78.493448999999998</v>
      </c>
      <c r="AQ31" s="6">
        <v>69.8</v>
      </c>
      <c r="AR31" s="3">
        <v>685134.1070910698</v>
      </c>
      <c r="AS31" s="5">
        <v>3143</v>
      </c>
      <c r="AT31" s="5">
        <v>1714</v>
      </c>
      <c r="AU31" s="6" t="e">
        <v>#N/A</v>
      </c>
      <c r="AV31" s="35">
        <v>132.92212418852327</v>
      </c>
      <c r="AW31" s="6" t="e">
        <v>#N/A</v>
      </c>
    </row>
    <row r="32" spans="1:49" x14ac:dyDescent="0.25">
      <c r="A32" t="s">
        <v>32</v>
      </c>
      <c r="B32" s="2">
        <v>37346</v>
      </c>
      <c r="C32" s="3" t="e">
        <v>#N/A</v>
      </c>
      <c r="D32" s="29" t="e">
        <v>#N/A</v>
      </c>
      <c r="E32" s="35">
        <v>134.75093000000001</v>
      </c>
      <c r="F32" s="29">
        <v>50.828200000000002</v>
      </c>
      <c r="G32" s="29">
        <v>55.578899999999997</v>
      </c>
      <c r="H32" s="29">
        <v>86.201499999999996</v>
      </c>
      <c r="I32" s="29">
        <v>104.2174</v>
      </c>
      <c r="J32" s="29">
        <v>57.008299999999998</v>
      </c>
      <c r="K32" s="29">
        <v>70.462699999999998</v>
      </c>
      <c r="L32" s="29">
        <v>87.560500000000005</v>
      </c>
      <c r="M32" s="3">
        <v>3.02</v>
      </c>
      <c r="N32" s="3" t="e">
        <v>#N/A</v>
      </c>
      <c r="O32" s="3">
        <v>100.35</v>
      </c>
      <c r="P32" s="29">
        <v>79.519400000000005</v>
      </c>
      <c r="Q32" s="29" t="e">
        <v>#N/A</v>
      </c>
      <c r="R32" s="6">
        <v>13240.3</v>
      </c>
      <c r="S32" s="6">
        <v>14250.7</v>
      </c>
      <c r="T32" s="3">
        <v>99.42</v>
      </c>
      <c r="U32" s="6">
        <v>39.5</v>
      </c>
      <c r="V32" s="3" t="e">
        <v>#N/A</v>
      </c>
      <c r="W32" s="29" t="e">
        <v>#N/A</v>
      </c>
      <c r="X32" s="29" t="e">
        <v>#N/A</v>
      </c>
      <c r="Y32" s="29" t="e">
        <v>#N/A</v>
      </c>
      <c r="Z32" s="29" t="e">
        <v>#N/A</v>
      </c>
      <c r="AA32" s="29" t="e">
        <v>#N/A</v>
      </c>
      <c r="AB32" s="29" t="e">
        <v>#N/A</v>
      </c>
      <c r="AC32" s="29" t="e">
        <v>#N/A</v>
      </c>
      <c r="AD32" s="29" t="e">
        <v>#N/A</v>
      </c>
      <c r="AE32" s="29" t="e">
        <v>#N/A</v>
      </c>
      <c r="AF32" s="29" t="e">
        <v>#N/A</v>
      </c>
      <c r="AG32" s="29" t="e">
        <v>#N/A</v>
      </c>
      <c r="AH32" s="29" t="e">
        <v>#N/A</v>
      </c>
      <c r="AI32" s="3">
        <v>7233.28</v>
      </c>
      <c r="AJ32" s="4">
        <v>80.856999999999999</v>
      </c>
      <c r="AK32" s="4">
        <v>83.426000000000002</v>
      </c>
      <c r="AL32" s="4">
        <v>92.811000000000007</v>
      </c>
      <c r="AM32" s="4">
        <v>74.203999999999994</v>
      </c>
      <c r="AN32" s="4">
        <v>57.206000000000003</v>
      </c>
      <c r="AO32" s="5" t="e">
        <v>#N/A</v>
      </c>
      <c r="AP32" s="36">
        <v>78.826567999999995</v>
      </c>
      <c r="AQ32" s="6">
        <v>67.400000000000006</v>
      </c>
      <c r="AR32" s="3">
        <v>739576.84361882764</v>
      </c>
      <c r="AS32" s="5">
        <v>3113</v>
      </c>
      <c r="AT32" s="5">
        <v>1699</v>
      </c>
      <c r="AU32" s="6" t="e">
        <v>#N/A</v>
      </c>
      <c r="AV32" s="35">
        <v>137.79894988499296</v>
      </c>
      <c r="AW32" s="6" t="e">
        <v>#N/A</v>
      </c>
    </row>
    <row r="33" spans="1:49" x14ac:dyDescent="0.25">
      <c r="A33" t="s">
        <v>33</v>
      </c>
      <c r="B33" s="2">
        <v>37376</v>
      </c>
      <c r="C33" s="3" t="e">
        <v>#N/A</v>
      </c>
      <c r="D33" s="29" t="e">
        <v>#N/A</v>
      </c>
      <c r="E33" s="35">
        <v>133.18567999999999</v>
      </c>
      <c r="F33" s="29">
        <v>51.267800000000001</v>
      </c>
      <c r="G33" s="29">
        <v>55.881300000000003</v>
      </c>
      <c r="H33" s="29">
        <v>86.987899999999996</v>
      </c>
      <c r="I33" s="29">
        <v>105.7465</v>
      </c>
      <c r="J33" s="29">
        <v>57.415399999999998</v>
      </c>
      <c r="K33" s="29">
        <v>74.471100000000007</v>
      </c>
      <c r="L33" s="29">
        <v>87.477900000000005</v>
      </c>
      <c r="M33" s="3">
        <v>3.04</v>
      </c>
      <c r="N33" s="3" t="e">
        <v>#N/A</v>
      </c>
      <c r="O33" s="3">
        <v>100.2</v>
      </c>
      <c r="P33" s="29">
        <v>80.750299999999996</v>
      </c>
      <c r="Q33" s="29" t="e">
        <v>#N/A</v>
      </c>
      <c r="R33" s="6">
        <v>13966.5</v>
      </c>
      <c r="S33" s="6">
        <v>14060.4</v>
      </c>
      <c r="T33" s="3">
        <v>99.42</v>
      </c>
      <c r="U33" s="6">
        <v>40.1</v>
      </c>
      <c r="V33" s="3" t="e">
        <v>#N/A</v>
      </c>
      <c r="W33" s="29" t="e">
        <v>#N/A</v>
      </c>
      <c r="X33" s="29" t="e">
        <v>#N/A</v>
      </c>
      <c r="Y33" s="29" t="e">
        <v>#N/A</v>
      </c>
      <c r="Z33" s="29" t="e">
        <v>#N/A</v>
      </c>
      <c r="AA33" s="29" t="e">
        <v>#N/A</v>
      </c>
      <c r="AB33" s="29" t="e">
        <v>#N/A</v>
      </c>
      <c r="AC33" s="29" t="e">
        <v>#N/A</v>
      </c>
      <c r="AD33" s="29" t="e">
        <v>#N/A</v>
      </c>
      <c r="AE33" s="29" t="e">
        <v>#N/A</v>
      </c>
      <c r="AF33" s="29" t="e">
        <v>#N/A</v>
      </c>
      <c r="AG33" s="29" t="e">
        <v>#N/A</v>
      </c>
      <c r="AH33" s="29" t="e">
        <v>#N/A</v>
      </c>
      <c r="AI33" s="3">
        <v>7415.32</v>
      </c>
      <c r="AJ33" s="4">
        <v>82.001000000000005</v>
      </c>
      <c r="AK33" s="4">
        <v>84.238</v>
      </c>
      <c r="AL33" s="4">
        <v>93.423000000000002</v>
      </c>
      <c r="AM33" s="4">
        <v>74.634</v>
      </c>
      <c r="AN33" s="4">
        <v>61.048999999999999</v>
      </c>
      <c r="AO33" s="5" t="e">
        <v>#N/A</v>
      </c>
      <c r="AP33" s="36">
        <v>79.255465000000001</v>
      </c>
      <c r="AQ33" s="6">
        <v>69.900000000000006</v>
      </c>
      <c r="AR33" s="3">
        <v>711289.16302930447</v>
      </c>
      <c r="AS33" s="5">
        <v>3186</v>
      </c>
      <c r="AT33" s="5">
        <v>1660</v>
      </c>
      <c r="AU33" s="6" t="e">
        <v>#N/A</v>
      </c>
      <c r="AV33" s="35">
        <v>122.33760220330382</v>
      </c>
      <c r="AW33" s="6" t="e">
        <v>#N/A</v>
      </c>
    </row>
    <row r="34" spans="1:49" x14ac:dyDescent="0.25">
      <c r="A34" t="s">
        <v>34</v>
      </c>
      <c r="B34" s="2">
        <v>37407</v>
      </c>
      <c r="C34" s="3" t="e">
        <v>#N/A</v>
      </c>
      <c r="D34" s="29" t="e">
        <v>#N/A</v>
      </c>
      <c r="E34" s="35">
        <v>127.63193</v>
      </c>
      <c r="F34" s="29">
        <v>51.558500000000002</v>
      </c>
      <c r="G34" s="29">
        <v>56.025799999999997</v>
      </c>
      <c r="H34" s="29">
        <v>87.061099999999996</v>
      </c>
      <c r="I34" s="29">
        <v>105.8182</v>
      </c>
      <c r="J34" s="29">
        <v>58.508200000000002</v>
      </c>
      <c r="K34" s="29">
        <v>75.290099999999995</v>
      </c>
      <c r="L34" s="29">
        <v>86.45</v>
      </c>
      <c r="M34" s="3">
        <v>3.12</v>
      </c>
      <c r="N34" s="3" t="e">
        <v>#N/A</v>
      </c>
      <c r="O34" s="3">
        <v>99.92</v>
      </c>
      <c r="P34" s="29">
        <v>80.504099999999994</v>
      </c>
      <c r="Q34" s="29" t="e">
        <v>#N/A</v>
      </c>
      <c r="R34" s="6">
        <v>13382.2</v>
      </c>
      <c r="S34" s="6">
        <v>14290.7</v>
      </c>
      <c r="T34" s="3">
        <v>99.42</v>
      </c>
      <c r="U34" s="6">
        <v>40.9</v>
      </c>
      <c r="V34" s="3" t="e">
        <v>#N/A</v>
      </c>
      <c r="W34" s="29" t="e">
        <v>#N/A</v>
      </c>
      <c r="X34" s="29" t="e">
        <v>#N/A</v>
      </c>
      <c r="Y34" s="29" t="e">
        <v>#N/A</v>
      </c>
      <c r="Z34" s="29" t="e">
        <v>#N/A</v>
      </c>
      <c r="AA34" s="29" t="e">
        <v>#N/A</v>
      </c>
      <c r="AB34" s="29" t="e">
        <v>#N/A</v>
      </c>
      <c r="AC34" s="29" t="e">
        <v>#N/A</v>
      </c>
      <c r="AD34" s="29" t="e">
        <v>#N/A</v>
      </c>
      <c r="AE34" s="29" t="e">
        <v>#N/A</v>
      </c>
      <c r="AF34" s="29" t="e">
        <v>#N/A</v>
      </c>
      <c r="AG34" s="29" t="e">
        <v>#N/A</v>
      </c>
      <c r="AH34" s="29" t="e">
        <v>#N/A</v>
      </c>
      <c r="AI34" s="3">
        <v>7371.39</v>
      </c>
      <c r="AJ34" s="4">
        <v>81.072000000000003</v>
      </c>
      <c r="AK34" s="4">
        <v>83.433000000000007</v>
      </c>
      <c r="AL34" s="4">
        <v>92.091999999999999</v>
      </c>
      <c r="AM34" s="4">
        <v>74.710999999999999</v>
      </c>
      <c r="AN34" s="4">
        <v>60.311999999999998</v>
      </c>
      <c r="AO34" s="5" t="e">
        <v>#N/A</v>
      </c>
      <c r="AP34" s="36">
        <v>79.455785000000006</v>
      </c>
      <c r="AQ34" s="6">
        <v>70.8</v>
      </c>
      <c r="AR34" s="3">
        <v>710601.96347034012</v>
      </c>
      <c r="AS34" s="5">
        <v>3154</v>
      </c>
      <c r="AT34" s="5">
        <v>1637</v>
      </c>
      <c r="AU34" s="6" t="e">
        <v>#N/A</v>
      </c>
      <c r="AV34" s="35">
        <v>114.46287844743367</v>
      </c>
      <c r="AW34" s="6" t="e">
        <v>#N/A</v>
      </c>
    </row>
    <row r="35" spans="1:49" x14ac:dyDescent="0.25">
      <c r="A35" t="s">
        <v>35</v>
      </c>
      <c r="B35" s="2">
        <v>37437</v>
      </c>
      <c r="C35" s="3" t="e">
        <v>#N/A</v>
      </c>
      <c r="D35" s="29" t="e">
        <v>#N/A</v>
      </c>
      <c r="E35" s="35">
        <v>124.27209999999999</v>
      </c>
      <c r="F35" s="29">
        <v>51.9071</v>
      </c>
      <c r="G35" s="29">
        <v>56.204300000000003</v>
      </c>
      <c r="H35" s="29">
        <v>86.801199999999994</v>
      </c>
      <c r="I35" s="29">
        <v>105.67619999999999</v>
      </c>
      <c r="J35" s="29">
        <v>58.0657</v>
      </c>
      <c r="K35" s="29">
        <v>74.319999999999993</v>
      </c>
      <c r="L35" s="29">
        <v>86.899699999999996</v>
      </c>
      <c r="M35" s="3">
        <v>3.04</v>
      </c>
      <c r="N35" s="3" t="e">
        <v>#N/A</v>
      </c>
      <c r="O35" s="3">
        <v>99.54</v>
      </c>
      <c r="P35" s="29">
        <v>80.750299999999996</v>
      </c>
      <c r="Q35" s="29" t="e">
        <v>#N/A</v>
      </c>
      <c r="R35" s="6">
        <v>13333.1</v>
      </c>
      <c r="S35" s="6">
        <v>14103.6</v>
      </c>
      <c r="T35" s="3">
        <v>99.43</v>
      </c>
      <c r="U35" s="6">
        <v>41</v>
      </c>
      <c r="V35" s="3" t="e">
        <v>#N/A</v>
      </c>
      <c r="W35" s="29" t="e">
        <v>#N/A</v>
      </c>
      <c r="X35" s="29" t="e">
        <v>#N/A</v>
      </c>
      <c r="Y35" s="29" t="e">
        <v>#N/A</v>
      </c>
      <c r="Z35" s="29" t="e">
        <v>#N/A</v>
      </c>
      <c r="AA35" s="29" t="e">
        <v>#N/A</v>
      </c>
      <c r="AB35" s="29" t="e">
        <v>#N/A</v>
      </c>
      <c r="AC35" s="29" t="e">
        <v>#N/A</v>
      </c>
      <c r="AD35" s="29" t="e">
        <v>#N/A</v>
      </c>
      <c r="AE35" s="29" t="e">
        <v>#N/A</v>
      </c>
      <c r="AF35" s="29" t="e">
        <v>#N/A</v>
      </c>
      <c r="AG35" s="29" t="e">
        <v>#N/A</v>
      </c>
      <c r="AH35" s="29" t="e">
        <v>#N/A</v>
      </c>
      <c r="AI35" s="3">
        <v>6683.3</v>
      </c>
      <c r="AJ35" s="4">
        <v>81.314999999999998</v>
      </c>
      <c r="AK35" s="4">
        <v>83.626000000000005</v>
      </c>
      <c r="AL35" s="4">
        <v>92.179000000000002</v>
      </c>
      <c r="AM35" s="4">
        <v>74.846000000000004</v>
      </c>
      <c r="AN35" s="4">
        <v>59.348999999999997</v>
      </c>
      <c r="AO35" s="5" t="e">
        <v>#N/A</v>
      </c>
      <c r="AP35" s="36">
        <v>79.271659999999997</v>
      </c>
      <c r="AQ35" s="6">
        <v>69.2</v>
      </c>
      <c r="AR35" s="3">
        <v>731094.80572239461</v>
      </c>
      <c r="AS35" s="5">
        <v>3141</v>
      </c>
      <c r="AT35" s="5">
        <v>1604</v>
      </c>
      <c r="AU35" s="6" t="e">
        <v>#N/A</v>
      </c>
      <c r="AV35" s="35">
        <v>165.31712199338139</v>
      </c>
      <c r="AW35" s="6" t="e">
        <v>#N/A</v>
      </c>
    </row>
    <row r="36" spans="1:49" x14ac:dyDescent="0.25">
      <c r="A36" t="s">
        <v>36</v>
      </c>
      <c r="B36" s="2">
        <v>37468</v>
      </c>
      <c r="C36" s="3" t="e">
        <v>#N/A</v>
      </c>
      <c r="D36" s="29" t="e">
        <v>#N/A</v>
      </c>
      <c r="E36" s="35">
        <v>123.55103</v>
      </c>
      <c r="F36" s="29">
        <v>52.1999</v>
      </c>
      <c r="G36" s="29">
        <v>56.405200000000001</v>
      </c>
      <c r="H36" s="29">
        <v>87.022099999999995</v>
      </c>
      <c r="I36" s="29">
        <v>104.8466</v>
      </c>
      <c r="J36" s="29">
        <v>58.299599999999998</v>
      </c>
      <c r="K36" s="29">
        <v>75.257999999999996</v>
      </c>
      <c r="L36" s="29">
        <v>86.998199999999997</v>
      </c>
      <c r="M36" s="3">
        <v>2.86</v>
      </c>
      <c r="N36" s="3" t="e">
        <v>#N/A</v>
      </c>
      <c r="O36" s="3">
        <v>99.13</v>
      </c>
      <c r="P36" s="29">
        <v>80.668300000000002</v>
      </c>
      <c r="Q36" s="29" t="e">
        <v>#N/A</v>
      </c>
      <c r="R36" s="6">
        <v>13537.1</v>
      </c>
      <c r="S36" s="6">
        <v>14226.2</v>
      </c>
      <c r="T36" s="3">
        <v>99.43</v>
      </c>
      <c r="U36" s="6">
        <v>41.6</v>
      </c>
      <c r="V36" s="3" t="e">
        <v>#N/A</v>
      </c>
      <c r="W36" s="29" t="e">
        <v>#N/A</v>
      </c>
      <c r="X36" s="29" t="e">
        <v>#N/A</v>
      </c>
      <c r="Y36" s="29" t="e">
        <v>#N/A</v>
      </c>
      <c r="Z36" s="29" t="e">
        <v>#N/A</v>
      </c>
      <c r="AA36" s="29" t="e">
        <v>#N/A</v>
      </c>
      <c r="AB36" s="29" t="e">
        <v>#N/A</v>
      </c>
      <c r="AC36" s="29" t="e">
        <v>#N/A</v>
      </c>
      <c r="AD36" s="29" t="e">
        <v>#N/A</v>
      </c>
      <c r="AE36" s="29" t="e">
        <v>#N/A</v>
      </c>
      <c r="AF36" s="29" t="e">
        <v>#N/A</v>
      </c>
      <c r="AG36" s="29" t="e">
        <v>#N/A</v>
      </c>
      <c r="AH36" s="29" t="e">
        <v>#N/A</v>
      </c>
      <c r="AI36" s="3">
        <v>6250.68</v>
      </c>
      <c r="AJ36" s="4">
        <v>81.388000000000005</v>
      </c>
      <c r="AK36" s="4">
        <v>83.921000000000006</v>
      </c>
      <c r="AL36" s="4">
        <v>92.992000000000004</v>
      </c>
      <c r="AM36" s="4">
        <v>74.620999999999995</v>
      </c>
      <c r="AN36" s="4">
        <v>58.271000000000001</v>
      </c>
      <c r="AO36" s="5" t="e">
        <v>#N/A</v>
      </c>
      <c r="AP36" s="36">
        <v>79.549659000000005</v>
      </c>
      <c r="AQ36" s="6">
        <v>69.900000000000006</v>
      </c>
      <c r="AR36" s="3">
        <v>745571.88901617867</v>
      </c>
      <c r="AS36" s="5">
        <v>3129</v>
      </c>
      <c r="AT36" s="5">
        <v>1707</v>
      </c>
      <c r="AU36" s="6" t="e">
        <v>#N/A</v>
      </c>
      <c r="AV36" s="35">
        <v>200.09945089741004</v>
      </c>
      <c r="AW36" s="6" t="e">
        <v>#N/A</v>
      </c>
    </row>
    <row r="37" spans="1:49" x14ac:dyDescent="0.25">
      <c r="A37" t="s">
        <v>37</v>
      </c>
      <c r="B37" s="2">
        <v>37499</v>
      </c>
      <c r="C37" s="3" t="e">
        <v>#N/A</v>
      </c>
      <c r="D37" s="29" t="e">
        <v>#N/A</v>
      </c>
      <c r="E37" s="35">
        <v>123.53097</v>
      </c>
      <c r="F37" s="29">
        <v>52.395600000000002</v>
      </c>
      <c r="G37" s="29">
        <v>56.640300000000003</v>
      </c>
      <c r="H37" s="29">
        <v>87.691999999999993</v>
      </c>
      <c r="I37" s="29">
        <v>106.429</v>
      </c>
      <c r="J37" s="29">
        <v>58.155999999999999</v>
      </c>
      <c r="K37" s="29">
        <v>76.284099999999995</v>
      </c>
      <c r="L37" s="29">
        <v>87.344499999999996</v>
      </c>
      <c r="M37" s="3">
        <v>2.8</v>
      </c>
      <c r="N37" s="3" t="e">
        <v>#N/A</v>
      </c>
      <c r="O37" s="3">
        <v>98.75</v>
      </c>
      <c r="P37" s="29">
        <v>81.324799999999996</v>
      </c>
      <c r="Q37" s="29" t="e">
        <v>#N/A</v>
      </c>
      <c r="R37" s="6">
        <v>13589.4</v>
      </c>
      <c r="S37" s="6">
        <v>14172</v>
      </c>
      <c r="T37" s="3">
        <v>99.43</v>
      </c>
      <c r="U37" s="6">
        <v>42.3</v>
      </c>
      <c r="V37" s="3" t="e">
        <v>#N/A</v>
      </c>
      <c r="W37" s="29" t="e">
        <v>#N/A</v>
      </c>
      <c r="X37" s="29" t="e">
        <v>#N/A</v>
      </c>
      <c r="Y37" s="29" t="e">
        <v>#N/A</v>
      </c>
      <c r="Z37" s="29" t="e">
        <v>#N/A</v>
      </c>
      <c r="AA37" s="29" t="e">
        <v>#N/A</v>
      </c>
      <c r="AB37" s="29" t="e">
        <v>#N/A</v>
      </c>
      <c r="AC37" s="29" t="e">
        <v>#N/A</v>
      </c>
      <c r="AD37" s="29" t="e">
        <v>#N/A</v>
      </c>
      <c r="AE37" s="29" t="e">
        <v>#N/A</v>
      </c>
      <c r="AF37" s="29" t="e">
        <v>#N/A</v>
      </c>
      <c r="AG37" s="29" t="e">
        <v>#N/A</v>
      </c>
      <c r="AH37" s="29" t="e">
        <v>#N/A</v>
      </c>
      <c r="AI37" s="3">
        <v>6027.23</v>
      </c>
      <c r="AJ37" s="4">
        <v>81.453000000000003</v>
      </c>
      <c r="AK37" s="4">
        <v>83.876999999999995</v>
      </c>
      <c r="AL37" s="4">
        <v>92.68</v>
      </c>
      <c r="AM37" s="4">
        <v>74.978999999999999</v>
      </c>
      <c r="AN37" s="4">
        <v>59.738999999999997</v>
      </c>
      <c r="AO37" s="5" t="e">
        <v>#N/A</v>
      </c>
      <c r="AP37" s="36">
        <v>80.087024999999997</v>
      </c>
      <c r="AQ37" s="6">
        <v>70.400000000000006</v>
      </c>
      <c r="AR37" s="3">
        <v>760407.04521989333</v>
      </c>
      <c r="AS37" s="5">
        <v>3183</v>
      </c>
      <c r="AT37" s="5">
        <v>1646</v>
      </c>
      <c r="AU37" s="6" t="e">
        <v>#N/A</v>
      </c>
      <c r="AV37" s="35">
        <v>234.97285190587857</v>
      </c>
      <c r="AW37" s="6" t="e">
        <v>#N/A</v>
      </c>
    </row>
    <row r="38" spans="1:49" x14ac:dyDescent="0.25">
      <c r="A38" t="s">
        <v>38</v>
      </c>
      <c r="B38" s="2">
        <v>37529</v>
      </c>
      <c r="C38" s="3" t="e">
        <v>#N/A</v>
      </c>
      <c r="D38" s="29" t="e">
        <v>#N/A</v>
      </c>
      <c r="E38" s="35">
        <v>121.49594</v>
      </c>
      <c r="F38" s="29">
        <v>52.597799999999999</v>
      </c>
      <c r="G38" s="29">
        <v>56.842500000000001</v>
      </c>
      <c r="H38" s="29">
        <v>87.687600000000003</v>
      </c>
      <c r="I38" s="29">
        <v>105.5673</v>
      </c>
      <c r="J38" s="29">
        <v>58.716900000000003</v>
      </c>
      <c r="K38" s="29">
        <v>77.695099999999996</v>
      </c>
      <c r="L38" s="29">
        <v>87.072999999999993</v>
      </c>
      <c r="M38" s="3">
        <v>2.92</v>
      </c>
      <c r="N38" s="3" t="e">
        <v>#N/A</v>
      </c>
      <c r="O38" s="3">
        <v>98.42</v>
      </c>
      <c r="P38" s="29">
        <v>80.504099999999994</v>
      </c>
      <c r="Q38" s="29" t="e">
        <v>#N/A</v>
      </c>
      <c r="R38" s="6">
        <v>13521.5</v>
      </c>
      <c r="S38" s="6">
        <v>14228.6</v>
      </c>
      <c r="T38" s="3">
        <v>99.42</v>
      </c>
      <c r="U38" s="6">
        <v>42</v>
      </c>
      <c r="V38" s="3" t="e">
        <v>#N/A</v>
      </c>
      <c r="W38" s="29" t="e">
        <v>#N/A</v>
      </c>
      <c r="X38" s="29" t="e">
        <v>#N/A</v>
      </c>
      <c r="Y38" s="29" t="e">
        <v>#N/A</v>
      </c>
      <c r="Z38" s="29" t="e">
        <v>#N/A</v>
      </c>
      <c r="AA38" s="29" t="e">
        <v>#N/A</v>
      </c>
      <c r="AB38" s="29" t="e">
        <v>#N/A</v>
      </c>
      <c r="AC38" s="29" t="e">
        <v>#N/A</v>
      </c>
      <c r="AD38" s="29" t="e">
        <v>#N/A</v>
      </c>
      <c r="AE38" s="29" t="e">
        <v>#N/A</v>
      </c>
      <c r="AF38" s="29" t="e">
        <v>#N/A</v>
      </c>
      <c r="AG38" s="29" t="e">
        <v>#N/A</v>
      </c>
      <c r="AH38" s="29" t="e">
        <v>#N/A</v>
      </c>
      <c r="AI38" s="3">
        <v>5992.96</v>
      </c>
      <c r="AJ38" s="4">
        <v>81.228999999999999</v>
      </c>
      <c r="AK38" s="4">
        <v>83.793999999999997</v>
      </c>
      <c r="AL38" s="4">
        <v>92.465999999999994</v>
      </c>
      <c r="AM38" s="4">
        <v>75.088999999999999</v>
      </c>
      <c r="AN38" s="4">
        <v>57.725999999999999</v>
      </c>
      <c r="AO38" s="5" t="e">
        <v>#N/A</v>
      </c>
      <c r="AP38" s="36">
        <v>79.931949000000003</v>
      </c>
      <c r="AQ38" s="6">
        <v>71.400000000000006</v>
      </c>
      <c r="AR38" s="3">
        <v>747746.55738219374</v>
      </c>
      <c r="AS38" s="5">
        <v>3145</v>
      </c>
      <c r="AT38" s="5">
        <v>1604</v>
      </c>
      <c r="AU38" s="6" t="e">
        <v>#N/A</v>
      </c>
      <c r="AV38" s="35">
        <v>171.98801389202083</v>
      </c>
      <c r="AW38" s="6" t="e">
        <v>#N/A</v>
      </c>
    </row>
    <row r="39" spans="1:49" x14ac:dyDescent="0.25">
      <c r="A39" t="s">
        <v>39</v>
      </c>
      <c r="B39" s="2">
        <v>37560</v>
      </c>
      <c r="C39" s="3" t="e">
        <v>#N/A</v>
      </c>
      <c r="D39" s="29" t="e">
        <v>#N/A</v>
      </c>
      <c r="E39" s="35">
        <v>121.94717</v>
      </c>
      <c r="F39" s="29">
        <v>52.794899999999998</v>
      </c>
      <c r="G39" s="29">
        <v>57.014400000000002</v>
      </c>
      <c r="H39" s="29">
        <v>88.473200000000006</v>
      </c>
      <c r="I39" s="29">
        <v>110.7163</v>
      </c>
      <c r="J39" s="29">
        <v>58.679000000000002</v>
      </c>
      <c r="K39" s="29">
        <v>77.156499999999994</v>
      </c>
      <c r="L39" s="29">
        <v>87.6464</v>
      </c>
      <c r="M39" s="3">
        <v>2.83</v>
      </c>
      <c r="N39" s="3" t="e">
        <v>#N/A</v>
      </c>
      <c r="O39" s="3">
        <v>98.16</v>
      </c>
      <c r="P39" s="29">
        <v>80.504099999999994</v>
      </c>
      <c r="Q39" s="29" t="e">
        <v>#N/A</v>
      </c>
      <c r="R39" s="6">
        <v>13377.4</v>
      </c>
      <c r="S39" s="6">
        <v>13951.7</v>
      </c>
      <c r="T39" s="3">
        <v>99.41</v>
      </c>
      <c r="U39" s="6">
        <v>41.8</v>
      </c>
      <c r="V39" s="3" t="e">
        <v>#N/A</v>
      </c>
      <c r="W39" s="29" t="e">
        <v>#N/A</v>
      </c>
      <c r="X39" s="29" t="e">
        <v>#N/A</v>
      </c>
      <c r="Y39" s="29" t="e">
        <v>#N/A</v>
      </c>
      <c r="Z39" s="29" t="e">
        <v>#N/A</v>
      </c>
      <c r="AA39" s="29" t="e">
        <v>#N/A</v>
      </c>
      <c r="AB39" s="29" t="e">
        <v>#N/A</v>
      </c>
      <c r="AC39" s="29" t="e">
        <v>#N/A</v>
      </c>
      <c r="AD39" s="29" t="e">
        <v>#N/A</v>
      </c>
      <c r="AE39" s="29" t="e">
        <v>#N/A</v>
      </c>
      <c r="AF39" s="29" t="e">
        <v>#N/A</v>
      </c>
      <c r="AG39" s="29" t="e">
        <v>#N/A</v>
      </c>
      <c r="AH39" s="29" t="e">
        <v>#N/A</v>
      </c>
      <c r="AI39" s="3">
        <v>5909.05</v>
      </c>
      <c r="AJ39" s="4">
        <v>81.75</v>
      </c>
      <c r="AK39" s="4">
        <v>84.265000000000001</v>
      </c>
      <c r="AL39" s="4">
        <v>92.819000000000003</v>
      </c>
      <c r="AM39" s="4">
        <v>75.448999999999998</v>
      </c>
      <c r="AN39" s="4">
        <v>60.040999999999997</v>
      </c>
      <c r="AO39" s="5" t="e">
        <v>#N/A</v>
      </c>
      <c r="AP39" s="36">
        <v>80.304652000000004</v>
      </c>
      <c r="AQ39" s="6">
        <v>70</v>
      </c>
      <c r="AR39" s="3">
        <v>781040.12501922599</v>
      </c>
      <c r="AS39" s="5">
        <v>3369</v>
      </c>
      <c r="AT39" s="5">
        <v>1876</v>
      </c>
      <c r="AU39" s="6" t="e">
        <v>#N/A</v>
      </c>
      <c r="AV39" s="35">
        <v>148.54546944364884</v>
      </c>
      <c r="AW39" s="6" t="e">
        <v>#N/A</v>
      </c>
    </row>
    <row r="40" spans="1:49" x14ac:dyDescent="0.25">
      <c r="A40" t="s">
        <v>40</v>
      </c>
      <c r="B40" s="2">
        <v>37590</v>
      </c>
      <c r="C40" s="3" t="e">
        <v>#N/A</v>
      </c>
      <c r="D40" s="29" t="e">
        <v>#N/A</v>
      </c>
      <c r="E40" s="35">
        <v>120.84434</v>
      </c>
      <c r="F40" s="29">
        <v>53.005299999999998</v>
      </c>
      <c r="G40" s="29">
        <v>57.156999999999996</v>
      </c>
      <c r="H40" s="29">
        <v>88.184600000000003</v>
      </c>
      <c r="I40" s="29">
        <v>104.8574</v>
      </c>
      <c r="J40" s="29">
        <v>58.119599999999998</v>
      </c>
      <c r="K40" s="29">
        <v>77.224999999999994</v>
      </c>
      <c r="L40" s="29">
        <v>88.327100000000002</v>
      </c>
      <c r="M40" s="3">
        <v>2.95</v>
      </c>
      <c r="N40" s="3" t="e">
        <v>#N/A</v>
      </c>
      <c r="O40" s="3">
        <v>97.96</v>
      </c>
      <c r="P40" s="29">
        <v>80.4221</v>
      </c>
      <c r="Q40" s="29" t="e">
        <v>#N/A</v>
      </c>
      <c r="R40" s="6">
        <v>13478.2</v>
      </c>
      <c r="S40" s="6">
        <v>13987.9</v>
      </c>
      <c r="T40" s="3">
        <v>99.38</v>
      </c>
      <c r="U40" s="6">
        <v>43.3</v>
      </c>
      <c r="V40" s="3" t="e">
        <v>#N/A</v>
      </c>
      <c r="W40" s="29" t="e">
        <v>#N/A</v>
      </c>
      <c r="X40" s="29" t="e">
        <v>#N/A</v>
      </c>
      <c r="Y40" s="29" t="e">
        <v>#N/A</v>
      </c>
      <c r="Z40" s="29" t="e">
        <v>#N/A</v>
      </c>
      <c r="AA40" s="29" t="e">
        <v>#N/A</v>
      </c>
      <c r="AB40" s="29" t="e">
        <v>#N/A</v>
      </c>
      <c r="AC40" s="29" t="e">
        <v>#N/A</v>
      </c>
      <c r="AD40" s="29" t="e">
        <v>#N/A</v>
      </c>
      <c r="AE40" s="29" t="e">
        <v>#N/A</v>
      </c>
      <c r="AF40" s="29" t="e">
        <v>#N/A</v>
      </c>
      <c r="AG40" s="29" t="e">
        <v>#N/A</v>
      </c>
      <c r="AH40" s="29" t="e">
        <v>#N/A</v>
      </c>
      <c r="AI40" s="3">
        <v>5938.41</v>
      </c>
      <c r="AJ40" s="4">
        <v>80.873999999999995</v>
      </c>
      <c r="AK40" s="4">
        <v>83.408000000000001</v>
      </c>
      <c r="AL40" s="4">
        <v>91.376999999999995</v>
      </c>
      <c r="AM40" s="4">
        <v>75.340999999999994</v>
      </c>
      <c r="AN40" s="4">
        <v>58.241999999999997</v>
      </c>
      <c r="AO40" s="5" t="e">
        <v>#N/A</v>
      </c>
      <c r="AP40" s="36">
        <v>79.671124000000006</v>
      </c>
      <c r="AQ40" s="6">
        <v>70.3</v>
      </c>
      <c r="AR40" s="3">
        <v>779740.54215247137</v>
      </c>
      <c r="AS40" s="5">
        <v>3119</v>
      </c>
      <c r="AT40" s="5">
        <v>1694</v>
      </c>
      <c r="AU40" s="6" t="e">
        <v>#N/A</v>
      </c>
      <c r="AV40" s="35">
        <v>163.18261480609078</v>
      </c>
      <c r="AW40" s="6" t="e">
        <v>#N/A</v>
      </c>
    </row>
    <row r="41" spans="1:49" x14ac:dyDescent="0.25">
      <c r="A41" t="s">
        <v>41</v>
      </c>
      <c r="B41" s="2">
        <v>37621</v>
      </c>
      <c r="C41" s="3" t="e">
        <v>#N/A</v>
      </c>
      <c r="D41" s="29" t="e">
        <v>#N/A</v>
      </c>
      <c r="E41" s="35">
        <v>120.54138</v>
      </c>
      <c r="F41" s="29">
        <v>53.195500000000003</v>
      </c>
      <c r="G41" s="29">
        <v>57.294600000000003</v>
      </c>
      <c r="H41" s="29">
        <v>88.197500000000005</v>
      </c>
      <c r="I41" s="29">
        <v>107.9576</v>
      </c>
      <c r="J41" s="29">
        <v>59.997399999999999</v>
      </c>
      <c r="K41" s="29">
        <v>77.852400000000003</v>
      </c>
      <c r="L41" s="29">
        <v>86.534899999999993</v>
      </c>
      <c r="M41" s="3">
        <v>2.77</v>
      </c>
      <c r="N41" s="3" t="e">
        <v>#N/A</v>
      </c>
      <c r="O41" s="3">
        <v>97.8</v>
      </c>
      <c r="P41" s="29">
        <v>81.242699999999999</v>
      </c>
      <c r="Q41" s="29" t="e">
        <v>#N/A</v>
      </c>
      <c r="R41" s="6">
        <v>13467.6</v>
      </c>
      <c r="S41" s="6">
        <v>13928.9</v>
      </c>
      <c r="T41" s="3">
        <v>99.33</v>
      </c>
      <c r="U41" s="6">
        <v>42.4</v>
      </c>
      <c r="V41" s="3" t="e">
        <v>#N/A</v>
      </c>
      <c r="W41" s="29" t="e">
        <v>#N/A</v>
      </c>
      <c r="X41" s="29" t="e">
        <v>#N/A</v>
      </c>
      <c r="Y41" s="29" t="e">
        <v>#N/A</v>
      </c>
      <c r="Z41" s="29" t="e">
        <v>#N/A</v>
      </c>
      <c r="AA41" s="29" t="e">
        <v>#N/A</v>
      </c>
      <c r="AB41" s="29" t="e">
        <v>#N/A</v>
      </c>
      <c r="AC41" s="29" t="e">
        <v>#N/A</v>
      </c>
      <c r="AD41" s="29" t="e">
        <v>#N/A</v>
      </c>
      <c r="AE41" s="29" t="e">
        <v>#N/A</v>
      </c>
      <c r="AF41" s="29" t="e">
        <v>#N/A</v>
      </c>
      <c r="AG41" s="29" t="e">
        <v>#N/A</v>
      </c>
      <c r="AH41" s="29" t="e">
        <v>#N/A</v>
      </c>
      <c r="AI41" s="3">
        <v>6142.73</v>
      </c>
      <c r="AJ41" s="4">
        <v>81.007999999999996</v>
      </c>
      <c r="AK41" s="4">
        <v>83.516000000000005</v>
      </c>
      <c r="AL41" s="4">
        <v>91.271000000000001</v>
      </c>
      <c r="AM41" s="4">
        <v>75.424999999999997</v>
      </c>
      <c r="AN41" s="4">
        <v>56.341000000000001</v>
      </c>
      <c r="AO41" s="5" t="e">
        <v>#N/A</v>
      </c>
      <c r="AP41" s="36">
        <v>79.963317000000004</v>
      </c>
      <c r="AQ41" s="6">
        <v>69.400000000000006</v>
      </c>
      <c r="AR41" s="3">
        <v>788394.52614883531</v>
      </c>
      <c r="AS41" s="5">
        <v>3233</v>
      </c>
      <c r="AT41" s="5">
        <v>1814</v>
      </c>
      <c r="AU41" s="6" t="e">
        <v>#N/A</v>
      </c>
      <c r="AV41" s="35">
        <v>159.22744294443675</v>
      </c>
      <c r="AW41" s="6" t="e">
        <v>#N/A</v>
      </c>
    </row>
    <row r="42" spans="1:49" x14ac:dyDescent="0.25">
      <c r="A42" t="s">
        <v>42</v>
      </c>
      <c r="B42" s="2">
        <v>37652</v>
      </c>
      <c r="C42" s="3" t="e">
        <v>#N/A</v>
      </c>
      <c r="D42" s="29" t="e">
        <v>#N/A</v>
      </c>
      <c r="E42" s="35">
        <v>115.15513</v>
      </c>
      <c r="F42" s="29">
        <v>53.274900000000002</v>
      </c>
      <c r="G42" s="29">
        <v>57.4465</v>
      </c>
      <c r="H42" s="29">
        <v>87.667199999999994</v>
      </c>
      <c r="I42" s="29">
        <v>109.02290000000001</v>
      </c>
      <c r="J42" s="29">
        <v>58.961599999999997</v>
      </c>
      <c r="K42" s="29">
        <v>78.339100000000002</v>
      </c>
      <c r="L42" s="29">
        <v>85.428100000000001</v>
      </c>
      <c r="M42" s="3">
        <v>2.9</v>
      </c>
      <c r="N42" s="3" t="e">
        <v>#N/A</v>
      </c>
      <c r="O42" s="3">
        <v>97.68</v>
      </c>
      <c r="P42" s="29">
        <v>80.257900000000006</v>
      </c>
      <c r="Q42" s="29" t="e">
        <v>#N/A</v>
      </c>
      <c r="R42" s="6">
        <v>14140.9</v>
      </c>
      <c r="S42" s="6">
        <v>14065</v>
      </c>
      <c r="T42" s="3">
        <v>99.27</v>
      </c>
      <c r="U42" s="6">
        <v>40.799999999999997</v>
      </c>
      <c r="V42" s="3" t="e">
        <v>#N/A</v>
      </c>
      <c r="W42" s="29" t="e">
        <v>#N/A</v>
      </c>
      <c r="X42" s="29" t="e">
        <v>#N/A</v>
      </c>
      <c r="Y42" s="29" t="e">
        <v>#N/A</v>
      </c>
      <c r="Z42" s="29" t="e">
        <v>#N/A</v>
      </c>
      <c r="AA42" s="29" t="e">
        <v>#N/A</v>
      </c>
      <c r="AB42" s="29" t="e">
        <v>#N/A</v>
      </c>
      <c r="AC42" s="29" t="e">
        <v>#N/A</v>
      </c>
      <c r="AD42" s="29" t="e">
        <v>#N/A</v>
      </c>
      <c r="AE42" s="29" t="e">
        <v>#N/A</v>
      </c>
      <c r="AF42" s="29" t="e">
        <v>#N/A</v>
      </c>
      <c r="AG42" s="29" t="e">
        <v>#N/A</v>
      </c>
      <c r="AH42" s="29" t="e">
        <v>#N/A</v>
      </c>
      <c r="AI42" s="3">
        <v>6168.1</v>
      </c>
      <c r="AJ42" s="4">
        <v>82.156000000000006</v>
      </c>
      <c r="AK42" s="4">
        <v>84.028999999999996</v>
      </c>
      <c r="AL42" s="4">
        <v>92.307000000000002</v>
      </c>
      <c r="AM42" s="4">
        <v>75.69</v>
      </c>
      <c r="AN42" s="4">
        <v>69.918999999999997</v>
      </c>
      <c r="AO42" s="5" t="e">
        <v>#N/A</v>
      </c>
      <c r="AP42" s="36">
        <v>80.026015000000001</v>
      </c>
      <c r="AQ42" s="6">
        <v>70.400000000000006</v>
      </c>
      <c r="AR42" s="3">
        <v>748382.50552842033</v>
      </c>
      <c r="AS42" s="5">
        <v>3282</v>
      </c>
      <c r="AT42" s="5">
        <v>1973</v>
      </c>
      <c r="AU42" s="6" t="e">
        <v>#N/A</v>
      </c>
      <c r="AV42" s="35">
        <v>274.51129733289667</v>
      </c>
      <c r="AW42" s="6" t="e">
        <v>#N/A</v>
      </c>
    </row>
    <row r="43" spans="1:49" x14ac:dyDescent="0.25">
      <c r="A43" t="s">
        <v>43</v>
      </c>
      <c r="B43" s="2">
        <v>37680</v>
      </c>
      <c r="C43" s="3" t="e">
        <v>#N/A</v>
      </c>
      <c r="D43" s="29" t="e">
        <v>#N/A</v>
      </c>
      <c r="E43" s="35">
        <v>111.4093</v>
      </c>
      <c r="F43" s="29">
        <v>53.425600000000003</v>
      </c>
      <c r="G43" s="29">
        <v>57.607500000000002</v>
      </c>
      <c r="H43" s="29">
        <v>89.328999999999994</v>
      </c>
      <c r="I43" s="29">
        <v>110.471</v>
      </c>
      <c r="J43" s="29">
        <v>59.450899999999997</v>
      </c>
      <c r="K43" s="29">
        <v>81.849900000000005</v>
      </c>
      <c r="L43" s="29">
        <v>86.836799999999997</v>
      </c>
      <c r="M43" s="3">
        <v>2.9</v>
      </c>
      <c r="N43" s="3" t="e">
        <v>#N/A</v>
      </c>
      <c r="O43" s="3">
        <v>97.66</v>
      </c>
      <c r="P43" s="29">
        <v>80.750299999999996</v>
      </c>
      <c r="Q43" s="29" t="e">
        <v>#N/A</v>
      </c>
      <c r="R43" s="6">
        <v>13943.1</v>
      </c>
      <c r="S43" s="6">
        <v>13827.9</v>
      </c>
      <c r="T43" s="3">
        <v>99.18</v>
      </c>
      <c r="U43" s="6">
        <v>39.799999999999997</v>
      </c>
      <c r="V43" s="3" t="e">
        <v>#N/A</v>
      </c>
      <c r="W43" s="29" t="e">
        <v>#N/A</v>
      </c>
      <c r="X43" s="29" t="e">
        <v>#N/A</v>
      </c>
      <c r="Y43" s="29" t="e">
        <v>#N/A</v>
      </c>
      <c r="Z43" s="29" t="e">
        <v>#N/A</v>
      </c>
      <c r="AA43" s="29" t="e">
        <v>#N/A</v>
      </c>
      <c r="AB43" s="29" t="e">
        <v>#N/A</v>
      </c>
      <c r="AC43" s="29" t="e">
        <v>#N/A</v>
      </c>
      <c r="AD43" s="29" t="e">
        <v>#N/A</v>
      </c>
      <c r="AE43" s="29" t="e">
        <v>#N/A</v>
      </c>
      <c r="AF43" s="29" t="e">
        <v>#N/A</v>
      </c>
      <c r="AG43" s="29" t="e">
        <v>#N/A</v>
      </c>
      <c r="AH43" s="29" t="e">
        <v>#N/A</v>
      </c>
      <c r="AI43" s="3">
        <v>5873.29</v>
      </c>
      <c r="AJ43" s="4">
        <v>82.506</v>
      </c>
      <c r="AK43" s="4">
        <v>84.712000000000003</v>
      </c>
      <c r="AL43" s="4">
        <v>93.48</v>
      </c>
      <c r="AM43" s="4">
        <v>75.912000000000006</v>
      </c>
      <c r="AN43" s="4">
        <v>62.293999999999997</v>
      </c>
      <c r="AO43" s="5" t="e">
        <v>#N/A</v>
      </c>
      <c r="AP43" s="36">
        <v>80.770103000000006</v>
      </c>
      <c r="AQ43" s="6">
        <v>72.900000000000006</v>
      </c>
      <c r="AR43" s="3">
        <v>756539.83481742674</v>
      </c>
      <c r="AS43" s="5">
        <v>3330</v>
      </c>
      <c r="AT43" s="5">
        <v>1886</v>
      </c>
      <c r="AU43" s="6" t="e">
        <v>#N/A</v>
      </c>
      <c r="AV43" s="35">
        <v>420.85692919236772</v>
      </c>
      <c r="AW43" s="6" t="e">
        <v>#N/A</v>
      </c>
    </row>
    <row r="44" spans="1:49" x14ac:dyDescent="0.25">
      <c r="A44" t="s">
        <v>44</v>
      </c>
      <c r="B44" s="2">
        <v>37711</v>
      </c>
      <c r="C44" s="3" t="e">
        <v>#N/A</v>
      </c>
      <c r="D44" s="29" t="e">
        <v>#N/A</v>
      </c>
      <c r="E44" s="35">
        <v>112.14297000000001</v>
      </c>
      <c r="F44" s="29">
        <v>53.7684</v>
      </c>
      <c r="G44" s="29">
        <v>57.821199999999997</v>
      </c>
      <c r="H44" s="29">
        <v>88.2761</v>
      </c>
      <c r="I44" s="29">
        <v>110.45480000000001</v>
      </c>
      <c r="J44" s="29">
        <v>59.867600000000003</v>
      </c>
      <c r="K44" s="29">
        <v>77.349000000000004</v>
      </c>
      <c r="L44" s="29">
        <v>85.925600000000003</v>
      </c>
      <c r="M44" s="3">
        <v>3.13</v>
      </c>
      <c r="N44" s="3" t="e">
        <v>#N/A</v>
      </c>
      <c r="O44" s="3">
        <v>97.78</v>
      </c>
      <c r="P44" s="29">
        <v>80.750299999999996</v>
      </c>
      <c r="Q44" s="29" t="e">
        <v>#N/A</v>
      </c>
      <c r="R44" s="6">
        <v>13370.9</v>
      </c>
      <c r="S44" s="6">
        <v>14156.3</v>
      </c>
      <c r="T44" s="3">
        <v>99.06</v>
      </c>
      <c r="U44" s="6">
        <v>37.5</v>
      </c>
      <c r="V44" s="3" t="e">
        <v>#N/A</v>
      </c>
      <c r="W44" s="29" t="e">
        <v>#N/A</v>
      </c>
      <c r="X44" s="29" t="e">
        <v>#N/A</v>
      </c>
      <c r="Y44" s="29" t="e">
        <v>#N/A</v>
      </c>
      <c r="Z44" s="29" t="e">
        <v>#N/A</v>
      </c>
      <c r="AA44" s="29" t="e">
        <v>#N/A</v>
      </c>
      <c r="AB44" s="29" t="e">
        <v>#N/A</v>
      </c>
      <c r="AC44" s="29" t="e">
        <v>#N/A</v>
      </c>
      <c r="AD44" s="29" t="e">
        <v>#N/A</v>
      </c>
      <c r="AE44" s="29" t="e">
        <v>#N/A</v>
      </c>
      <c r="AF44" s="29" t="e">
        <v>#N/A</v>
      </c>
      <c r="AG44" s="29" t="e">
        <v>#N/A</v>
      </c>
      <c r="AH44" s="29" t="e">
        <v>#N/A</v>
      </c>
      <c r="AI44" s="3">
        <v>5936.8</v>
      </c>
      <c r="AJ44" s="4">
        <v>82.183999999999997</v>
      </c>
      <c r="AK44" s="4">
        <v>84.335999999999999</v>
      </c>
      <c r="AL44" s="4">
        <v>92.745999999999995</v>
      </c>
      <c r="AM44" s="4">
        <v>75.944999999999993</v>
      </c>
      <c r="AN44" s="4">
        <v>62.207999999999998</v>
      </c>
      <c r="AO44" s="5" t="e">
        <v>#N/A</v>
      </c>
      <c r="AP44" s="36">
        <v>80.134530999999996</v>
      </c>
      <c r="AQ44" s="6">
        <v>70.7</v>
      </c>
      <c r="AR44" s="3">
        <v>735091.55167087563</v>
      </c>
      <c r="AS44" s="5">
        <v>3325</v>
      </c>
      <c r="AT44" s="5">
        <v>1554</v>
      </c>
      <c r="AU44" s="6" t="e">
        <v>#N/A</v>
      </c>
      <c r="AV44" s="35">
        <v>518.52624890487903</v>
      </c>
      <c r="AW44" s="6" t="e">
        <v>#N/A</v>
      </c>
    </row>
    <row r="45" spans="1:49" x14ac:dyDescent="0.25">
      <c r="A45" t="s">
        <v>45</v>
      </c>
      <c r="B45" s="2">
        <v>37741</v>
      </c>
      <c r="C45" s="3" t="e">
        <v>#N/A</v>
      </c>
      <c r="D45" s="29" t="e">
        <v>#N/A</v>
      </c>
      <c r="E45" s="35">
        <v>115.61315</v>
      </c>
      <c r="F45" s="29">
        <v>53.905700000000003</v>
      </c>
      <c r="G45" s="29">
        <v>58.002499999999998</v>
      </c>
      <c r="H45" s="29">
        <v>88.191400000000002</v>
      </c>
      <c r="I45" s="29">
        <v>109.2158</v>
      </c>
      <c r="J45" s="29">
        <v>59.7699</v>
      </c>
      <c r="K45" s="29">
        <v>77.680300000000003</v>
      </c>
      <c r="L45" s="29">
        <v>86.490799999999993</v>
      </c>
      <c r="M45" s="3">
        <v>3.08</v>
      </c>
      <c r="N45" s="3" t="e">
        <v>#N/A</v>
      </c>
      <c r="O45" s="3">
        <v>98.04</v>
      </c>
      <c r="P45" s="29">
        <v>80.750299999999996</v>
      </c>
      <c r="Q45" s="29" t="e">
        <v>#N/A</v>
      </c>
      <c r="R45" s="6">
        <v>13296.6</v>
      </c>
      <c r="S45" s="6">
        <v>14224.7</v>
      </c>
      <c r="T45" s="3">
        <v>98.94</v>
      </c>
      <c r="U45" s="6">
        <v>40.200000000000003</v>
      </c>
      <c r="V45" s="3" t="e">
        <v>#N/A</v>
      </c>
      <c r="W45" s="29" t="e">
        <v>#N/A</v>
      </c>
      <c r="X45" s="29" t="e">
        <v>#N/A</v>
      </c>
      <c r="Y45" s="29" t="e">
        <v>#N/A</v>
      </c>
      <c r="Z45" s="29" t="e">
        <v>#N/A</v>
      </c>
      <c r="AA45" s="29" t="e">
        <v>#N/A</v>
      </c>
      <c r="AB45" s="29" t="e">
        <v>#N/A</v>
      </c>
      <c r="AC45" s="29" t="e">
        <v>#N/A</v>
      </c>
      <c r="AD45" s="29" t="e">
        <v>#N/A</v>
      </c>
      <c r="AE45" s="29" t="e">
        <v>#N/A</v>
      </c>
      <c r="AF45" s="29" t="e">
        <v>#N/A</v>
      </c>
      <c r="AG45" s="29" t="e">
        <v>#N/A</v>
      </c>
      <c r="AH45" s="29" t="e">
        <v>#N/A</v>
      </c>
      <c r="AI45" s="3">
        <v>6263.24</v>
      </c>
      <c r="AJ45" s="4">
        <v>82.644000000000005</v>
      </c>
      <c r="AK45" s="4">
        <v>84.635000000000005</v>
      </c>
      <c r="AL45" s="4">
        <v>92.671000000000006</v>
      </c>
      <c r="AM45" s="4">
        <v>76.234999999999999</v>
      </c>
      <c r="AN45" s="4">
        <v>64.567999999999998</v>
      </c>
      <c r="AO45" s="5" t="e">
        <v>#N/A</v>
      </c>
      <c r="AP45" s="36">
        <v>80.238202000000001</v>
      </c>
      <c r="AQ45" s="6">
        <v>71</v>
      </c>
      <c r="AR45" s="3">
        <v>746849.17064565874</v>
      </c>
      <c r="AS45" s="5">
        <v>3274</v>
      </c>
      <c r="AT45" s="5">
        <v>1889</v>
      </c>
      <c r="AU45" s="6" t="e">
        <v>#N/A</v>
      </c>
      <c r="AV45" s="35">
        <v>265.28232487880445</v>
      </c>
      <c r="AW45" s="6" t="e">
        <v>#N/A</v>
      </c>
    </row>
    <row r="46" spans="1:49" x14ac:dyDescent="0.25">
      <c r="A46" t="s">
        <v>46</v>
      </c>
      <c r="B46" s="2">
        <v>37772</v>
      </c>
      <c r="C46" s="3" t="e">
        <v>#N/A</v>
      </c>
      <c r="D46" s="29" t="e">
        <v>#N/A</v>
      </c>
      <c r="E46" s="35">
        <v>117.76662</v>
      </c>
      <c r="F46" s="29">
        <v>54.020499999999998</v>
      </c>
      <c r="G46" s="29">
        <v>58.2485</v>
      </c>
      <c r="H46" s="29">
        <v>88.378200000000007</v>
      </c>
      <c r="I46" s="29">
        <v>109.971</v>
      </c>
      <c r="J46" s="29">
        <v>60.217599999999997</v>
      </c>
      <c r="K46" s="29">
        <v>77.022599999999997</v>
      </c>
      <c r="L46" s="29">
        <v>86.377099999999999</v>
      </c>
      <c r="M46" s="3">
        <v>3.21</v>
      </c>
      <c r="N46" s="3" t="e">
        <v>#N/A</v>
      </c>
      <c r="O46" s="3">
        <v>98.39</v>
      </c>
      <c r="P46" s="29">
        <v>80.750299999999996</v>
      </c>
      <c r="Q46" s="29" t="e">
        <v>#N/A</v>
      </c>
      <c r="R46" s="6">
        <v>12991.1</v>
      </c>
      <c r="S46" s="6">
        <v>13899.6</v>
      </c>
      <c r="T46" s="3">
        <v>98.8</v>
      </c>
      <c r="U46" s="6">
        <v>40.299999999999997</v>
      </c>
      <c r="V46" s="3" t="e">
        <v>#N/A</v>
      </c>
      <c r="W46" s="29" t="e">
        <v>#N/A</v>
      </c>
      <c r="X46" s="29" t="e">
        <v>#N/A</v>
      </c>
      <c r="Y46" s="29" t="e">
        <v>#N/A</v>
      </c>
      <c r="Z46" s="29" t="e">
        <v>#N/A</v>
      </c>
      <c r="AA46" s="29" t="e">
        <v>#N/A</v>
      </c>
      <c r="AB46" s="29" t="e">
        <v>#N/A</v>
      </c>
      <c r="AC46" s="29" t="e">
        <v>#N/A</v>
      </c>
      <c r="AD46" s="29" t="e">
        <v>#N/A</v>
      </c>
      <c r="AE46" s="29" t="e">
        <v>#N/A</v>
      </c>
      <c r="AF46" s="29" t="e">
        <v>#N/A</v>
      </c>
      <c r="AG46" s="29" t="e">
        <v>#N/A</v>
      </c>
      <c r="AH46" s="29" t="e">
        <v>#N/A</v>
      </c>
      <c r="AI46" s="3">
        <v>6551.97</v>
      </c>
      <c r="AJ46" s="4">
        <v>81.924999999999997</v>
      </c>
      <c r="AK46" s="4">
        <v>84.408000000000001</v>
      </c>
      <c r="AL46" s="4">
        <v>92.165000000000006</v>
      </c>
      <c r="AM46" s="4">
        <v>76.584000000000003</v>
      </c>
      <c r="AN46" s="4">
        <v>59.595999999999997</v>
      </c>
      <c r="AO46" s="5" t="e">
        <v>#N/A</v>
      </c>
      <c r="AP46" s="36">
        <v>80.015065000000007</v>
      </c>
      <c r="AQ46" s="6">
        <v>70.599999999999994</v>
      </c>
      <c r="AR46" s="3">
        <v>755334.84693304799</v>
      </c>
      <c r="AS46" s="5">
        <v>3332</v>
      </c>
      <c r="AT46" s="5">
        <v>1666</v>
      </c>
      <c r="AU46" s="6" t="e">
        <v>#N/A</v>
      </c>
      <c r="AV46" s="35">
        <v>137.46524948010307</v>
      </c>
      <c r="AW46" s="6" t="e">
        <v>#N/A</v>
      </c>
    </row>
    <row r="47" spans="1:49" x14ac:dyDescent="0.25">
      <c r="A47" t="s">
        <v>47</v>
      </c>
      <c r="B47" s="2">
        <v>37802</v>
      </c>
      <c r="C47" s="3" t="e">
        <v>#N/A</v>
      </c>
      <c r="D47" s="29" t="e">
        <v>#N/A</v>
      </c>
      <c r="E47" s="35">
        <v>114.71387</v>
      </c>
      <c r="F47" s="29">
        <v>54.1708</v>
      </c>
      <c r="G47" s="29">
        <v>58.395800000000001</v>
      </c>
      <c r="H47" s="29">
        <v>89.004499999999993</v>
      </c>
      <c r="I47" s="29">
        <v>110.9872</v>
      </c>
      <c r="J47" s="29">
        <v>60.157499999999999</v>
      </c>
      <c r="K47" s="29">
        <v>78.080299999999994</v>
      </c>
      <c r="L47" s="29">
        <v>86.890600000000006</v>
      </c>
      <c r="M47" s="3">
        <v>3.27</v>
      </c>
      <c r="N47" s="3" t="e">
        <v>#N/A</v>
      </c>
      <c r="O47" s="3">
        <v>98.78</v>
      </c>
      <c r="P47" s="29">
        <v>82.227500000000006</v>
      </c>
      <c r="Q47" s="29" t="e">
        <v>#N/A</v>
      </c>
      <c r="R47" s="6">
        <v>13377.8</v>
      </c>
      <c r="S47" s="6">
        <v>13921.6</v>
      </c>
      <c r="T47" s="3">
        <v>98.67</v>
      </c>
      <c r="U47" s="6">
        <v>40.9</v>
      </c>
      <c r="V47" s="3" t="e">
        <v>#N/A</v>
      </c>
      <c r="W47" s="29" t="e">
        <v>#N/A</v>
      </c>
      <c r="X47" s="29" t="e">
        <v>#N/A</v>
      </c>
      <c r="Y47" s="29" t="e">
        <v>#N/A</v>
      </c>
      <c r="Z47" s="29" t="e">
        <v>#N/A</v>
      </c>
      <c r="AA47" s="29" t="e">
        <v>#N/A</v>
      </c>
      <c r="AB47" s="29" t="e">
        <v>#N/A</v>
      </c>
      <c r="AC47" s="29" t="e">
        <v>#N/A</v>
      </c>
      <c r="AD47" s="29" t="e">
        <v>#N/A</v>
      </c>
      <c r="AE47" s="29" t="e">
        <v>#N/A</v>
      </c>
      <c r="AF47" s="29" t="e">
        <v>#N/A</v>
      </c>
      <c r="AG47" s="29" t="e">
        <v>#N/A</v>
      </c>
      <c r="AH47" s="29" t="e">
        <v>#N/A</v>
      </c>
      <c r="AI47" s="3">
        <v>6988.14</v>
      </c>
      <c r="AJ47" s="4">
        <v>82.546999999999997</v>
      </c>
      <c r="AK47" s="4">
        <v>84.942999999999998</v>
      </c>
      <c r="AL47" s="4">
        <v>93.168999999999997</v>
      </c>
      <c r="AM47" s="4">
        <v>76.567999999999998</v>
      </c>
      <c r="AN47" s="4">
        <v>59.421999999999997</v>
      </c>
      <c r="AO47" s="5" t="e">
        <v>#N/A</v>
      </c>
      <c r="AP47" s="36">
        <v>80.563626999999997</v>
      </c>
      <c r="AQ47" s="6">
        <v>70.900000000000006</v>
      </c>
      <c r="AR47" s="3">
        <v>775463.52929719118</v>
      </c>
      <c r="AS47" s="5">
        <v>3365</v>
      </c>
      <c r="AT47" s="5">
        <v>1801</v>
      </c>
      <c r="AU47" s="6" t="e">
        <v>#N/A</v>
      </c>
      <c r="AV47" s="35">
        <v>132.56760769266285</v>
      </c>
      <c r="AW47" s="6" t="e">
        <v>#N/A</v>
      </c>
    </row>
    <row r="48" spans="1:49" x14ac:dyDescent="0.25">
      <c r="A48" t="s">
        <v>48</v>
      </c>
      <c r="B48" s="2">
        <v>37833</v>
      </c>
      <c r="C48" s="3" t="e">
        <v>#N/A</v>
      </c>
      <c r="D48" s="29" t="e">
        <v>#N/A</v>
      </c>
      <c r="E48" s="35">
        <v>115.65987</v>
      </c>
      <c r="F48" s="29">
        <v>54.363</v>
      </c>
      <c r="G48" s="29">
        <v>58.578200000000002</v>
      </c>
      <c r="H48" s="29">
        <v>88.905900000000003</v>
      </c>
      <c r="I48" s="29">
        <v>111.6009</v>
      </c>
      <c r="J48" s="29">
        <v>60.580599999999997</v>
      </c>
      <c r="K48" s="29">
        <v>77.620900000000006</v>
      </c>
      <c r="L48" s="29">
        <v>86.619799999999998</v>
      </c>
      <c r="M48" s="3">
        <v>3.58</v>
      </c>
      <c r="N48" s="3" t="e">
        <v>#N/A</v>
      </c>
      <c r="O48" s="3">
        <v>99.12</v>
      </c>
      <c r="P48" s="29">
        <v>82.473699999999994</v>
      </c>
      <c r="Q48" s="29" t="e">
        <v>#N/A</v>
      </c>
      <c r="R48" s="6">
        <v>13521.3</v>
      </c>
      <c r="S48" s="6">
        <v>14202.8</v>
      </c>
      <c r="T48" s="3">
        <v>98.56</v>
      </c>
      <c r="U48" s="6">
        <v>41</v>
      </c>
      <c r="V48" s="3" t="e">
        <v>#N/A</v>
      </c>
      <c r="W48" s="29" t="e">
        <v>#N/A</v>
      </c>
      <c r="X48" s="29" t="e">
        <v>#N/A</v>
      </c>
      <c r="Y48" s="29" t="e">
        <v>#N/A</v>
      </c>
      <c r="Z48" s="29" t="e">
        <v>#N/A</v>
      </c>
      <c r="AA48" s="29" t="e">
        <v>#N/A</v>
      </c>
      <c r="AB48" s="29" t="e">
        <v>#N/A</v>
      </c>
      <c r="AC48" s="29" t="e">
        <v>#N/A</v>
      </c>
      <c r="AD48" s="29" t="e">
        <v>#N/A</v>
      </c>
      <c r="AE48" s="29" t="e">
        <v>#N/A</v>
      </c>
      <c r="AF48" s="29" t="e">
        <v>#N/A</v>
      </c>
      <c r="AG48" s="29" t="e">
        <v>#N/A</v>
      </c>
      <c r="AH48" s="29" t="e">
        <v>#N/A</v>
      </c>
      <c r="AI48" s="3">
        <v>7173.6</v>
      </c>
      <c r="AJ48" s="4">
        <v>82.626999999999995</v>
      </c>
      <c r="AK48" s="4">
        <v>84.881</v>
      </c>
      <c r="AL48" s="4">
        <v>92.707999999999998</v>
      </c>
      <c r="AM48" s="4">
        <v>76.795000000000002</v>
      </c>
      <c r="AN48" s="4">
        <v>62.531999999999996</v>
      </c>
      <c r="AO48" s="5" t="e">
        <v>#N/A</v>
      </c>
      <c r="AP48" s="36">
        <v>80.665790000000001</v>
      </c>
      <c r="AQ48" s="6">
        <v>70.599999999999994</v>
      </c>
      <c r="AR48" s="3">
        <v>791681.03646756883</v>
      </c>
      <c r="AS48" s="5">
        <v>3399</v>
      </c>
      <c r="AT48" s="5">
        <v>1866</v>
      </c>
      <c r="AU48" s="6" t="e">
        <v>#N/A</v>
      </c>
      <c r="AV48" s="35">
        <v>112.4561087145744</v>
      </c>
      <c r="AW48" s="6" t="e">
        <v>#N/A</v>
      </c>
    </row>
    <row r="49" spans="1:49" x14ac:dyDescent="0.25">
      <c r="A49" t="s">
        <v>49</v>
      </c>
      <c r="B49" s="2">
        <v>37864</v>
      </c>
      <c r="C49" s="3" t="e">
        <v>#N/A</v>
      </c>
      <c r="D49" s="29" t="e">
        <v>#N/A</v>
      </c>
      <c r="E49" s="35">
        <v>112.46751999999999</v>
      </c>
      <c r="F49" s="29">
        <v>54.51</v>
      </c>
      <c r="G49" s="29">
        <v>58.828800000000001</v>
      </c>
      <c r="H49" s="29">
        <v>88.771699999999996</v>
      </c>
      <c r="I49" s="29">
        <v>111.4611</v>
      </c>
      <c r="J49" s="29">
        <v>60.268799999999999</v>
      </c>
      <c r="K49" s="29">
        <v>76.967799999999997</v>
      </c>
      <c r="L49" s="29">
        <v>86.255600000000001</v>
      </c>
      <c r="M49" s="3">
        <v>3.77</v>
      </c>
      <c r="N49" s="3" t="e">
        <v>#N/A</v>
      </c>
      <c r="O49" s="3">
        <v>99.41</v>
      </c>
      <c r="P49" s="29">
        <v>82.391599999999997</v>
      </c>
      <c r="Q49" s="29" t="e">
        <v>#N/A</v>
      </c>
      <c r="R49" s="6">
        <v>13441.9</v>
      </c>
      <c r="S49" s="6">
        <v>13972.6</v>
      </c>
      <c r="T49" s="3">
        <v>98.48</v>
      </c>
      <c r="U49" s="6">
        <v>40.9</v>
      </c>
      <c r="V49" s="3" t="e">
        <v>#N/A</v>
      </c>
      <c r="W49" s="29" t="e">
        <v>#N/A</v>
      </c>
      <c r="X49" s="29" t="e">
        <v>#N/A</v>
      </c>
      <c r="Y49" s="29" t="e">
        <v>#N/A</v>
      </c>
      <c r="Z49" s="29" t="e">
        <v>#N/A</v>
      </c>
      <c r="AA49" s="29" t="e">
        <v>#N/A</v>
      </c>
      <c r="AB49" s="29" t="e">
        <v>#N/A</v>
      </c>
      <c r="AC49" s="29" t="e">
        <v>#N/A</v>
      </c>
      <c r="AD49" s="29" t="e">
        <v>#N/A</v>
      </c>
      <c r="AE49" s="29" t="e">
        <v>#N/A</v>
      </c>
      <c r="AF49" s="29" t="e">
        <v>#N/A</v>
      </c>
      <c r="AG49" s="29" t="e">
        <v>#N/A</v>
      </c>
      <c r="AH49" s="29" t="e">
        <v>#N/A</v>
      </c>
      <c r="AI49" s="3">
        <v>7413.51</v>
      </c>
      <c r="AJ49" s="4">
        <v>82.509</v>
      </c>
      <c r="AK49" s="4">
        <v>84.787999999999997</v>
      </c>
      <c r="AL49" s="4">
        <v>92.700999999999993</v>
      </c>
      <c r="AM49" s="4">
        <v>76.88</v>
      </c>
      <c r="AN49" s="4">
        <v>61.99</v>
      </c>
      <c r="AO49" s="5" t="e">
        <v>#N/A</v>
      </c>
      <c r="AP49" s="36">
        <v>79.983929000000003</v>
      </c>
      <c r="AQ49" s="6">
        <v>70.400000000000006</v>
      </c>
      <c r="AR49" s="3">
        <v>811223.11637181172</v>
      </c>
      <c r="AS49" s="5">
        <v>3401</v>
      </c>
      <c r="AT49" s="5">
        <v>1922</v>
      </c>
      <c r="AU49" s="6" t="e">
        <v>#N/A</v>
      </c>
      <c r="AV49" s="35">
        <v>119.88173216342734</v>
      </c>
      <c r="AW49" s="6" t="e">
        <v>#N/A</v>
      </c>
    </row>
    <row r="50" spans="1:49" x14ac:dyDescent="0.25">
      <c r="A50" t="s">
        <v>50</v>
      </c>
      <c r="B50" s="2">
        <v>37894</v>
      </c>
      <c r="C50" s="3" t="e">
        <v>#N/A</v>
      </c>
      <c r="D50" s="29" t="e">
        <v>#N/A</v>
      </c>
      <c r="E50" s="35">
        <v>110.76161999999999</v>
      </c>
      <c r="F50" s="29">
        <v>54.702199999999998</v>
      </c>
      <c r="G50" s="29">
        <v>58.9405</v>
      </c>
      <c r="H50" s="29">
        <v>88.612200000000001</v>
      </c>
      <c r="I50" s="29">
        <v>112.1651</v>
      </c>
      <c r="J50" s="29">
        <v>60.249600000000001</v>
      </c>
      <c r="K50" s="29">
        <v>76.413300000000007</v>
      </c>
      <c r="L50" s="29">
        <v>86.545699999999997</v>
      </c>
      <c r="M50" s="3">
        <v>3.9</v>
      </c>
      <c r="N50" s="3" t="e">
        <v>#N/A</v>
      </c>
      <c r="O50" s="3">
        <v>99.64</v>
      </c>
      <c r="P50" s="29">
        <v>82.063299999999998</v>
      </c>
      <c r="Q50" s="29" t="e">
        <v>#N/A</v>
      </c>
      <c r="R50" s="6">
        <v>13738.1</v>
      </c>
      <c r="S50" s="6">
        <v>14074.4</v>
      </c>
      <c r="T50" s="3">
        <v>98.46</v>
      </c>
      <c r="U50" s="6">
        <v>40.1</v>
      </c>
      <c r="V50" s="3" t="e">
        <v>#N/A</v>
      </c>
      <c r="W50" s="29" t="e">
        <v>#N/A</v>
      </c>
      <c r="X50" s="29" t="e">
        <v>#N/A</v>
      </c>
      <c r="Y50" s="29" t="e">
        <v>#N/A</v>
      </c>
      <c r="Z50" s="29" t="e">
        <v>#N/A</v>
      </c>
      <c r="AA50" s="29" t="e">
        <v>#N/A</v>
      </c>
      <c r="AB50" s="29" t="e">
        <v>#N/A</v>
      </c>
      <c r="AC50" s="29" t="e">
        <v>#N/A</v>
      </c>
      <c r="AD50" s="29" t="e">
        <v>#N/A</v>
      </c>
      <c r="AE50" s="29" t="e">
        <v>#N/A</v>
      </c>
      <c r="AF50" s="29" t="e">
        <v>#N/A</v>
      </c>
      <c r="AG50" s="29" t="e">
        <v>#N/A</v>
      </c>
      <c r="AH50" s="29" t="e">
        <v>#N/A</v>
      </c>
      <c r="AI50" s="3">
        <v>7767.49</v>
      </c>
      <c r="AJ50" s="4">
        <v>83.123000000000005</v>
      </c>
      <c r="AK50" s="4">
        <v>85.402000000000001</v>
      </c>
      <c r="AL50" s="4">
        <v>93.376000000000005</v>
      </c>
      <c r="AM50" s="4">
        <v>77.260000000000005</v>
      </c>
      <c r="AN50" s="4">
        <v>62.024999999999999</v>
      </c>
      <c r="AO50" s="5" t="e">
        <v>#N/A</v>
      </c>
      <c r="AP50" s="36">
        <v>80.251344000000003</v>
      </c>
      <c r="AQ50" s="6">
        <v>68.900000000000006</v>
      </c>
      <c r="AR50" s="3">
        <v>816167.08588635281</v>
      </c>
      <c r="AS50" s="5">
        <v>3395</v>
      </c>
      <c r="AT50" s="5">
        <v>1900</v>
      </c>
      <c r="AU50" s="6" t="e">
        <v>#N/A</v>
      </c>
      <c r="AV50" s="35">
        <v>97.038433946957966</v>
      </c>
      <c r="AW50" s="6" t="e">
        <v>#N/A</v>
      </c>
    </row>
    <row r="51" spans="1:49" x14ac:dyDescent="0.25">
      <c r="A51" t="s">
        <v>51</v>
      </c>
      <c r="B51" s="2">
        <v>37925</v>
      </c>
      <c r="C51" s="3" t="e">
        <v>#N/A</v>
      </c>
      <c r="D51" s="29" t="e">
        <v>#N/A</v>
      </c>
      <c r="E51" s="35">
        <v>107.64431</v>
      </c>
      <c r="F51" s="29">
        <v>54.8553</v>
      </c>
      <c r="G51" s="29">
        <v>59.101799999999997</v>
      </c>
      <c r="H51" s="29">
        <v>89.039199999999994</v>
      </c>
      <c r="I51" s="29">
        <v>114.1703</v>
      </c>
      <c r="J51" s="29">
        <v>60.474699999999999</v>
      </c>
      <c r="K51" s="29">
        <v>78.535300000000007</v>
      </c>
      <c r="L51" s="29">
        <v>86.620400000000004</v>
      </c>
      <c r="M51" s="3">
        <v>3.82</v>
      </c>
      <c r="N51" s="3" t="e">
        <v>#N/A</v>
      </c>
      <c r="O51" s="3">
        <v>99.84</v>
      </c>
      <c r="P51" s="29">
        <v>82.966099999999997</v>
      </c>
      <c r="Q51" s="29" t="e">
        <v>#N/A</v>
      </c>
      <c r="R51" s="6">
        <v>14050.7</v>
      </c>
      <c r="S51" s="6">
        <v>14413.9</v>
      </c>
      <c r="T51" s="3">
        <v>98.49</v>
      </c>
      <c r="U51" s="6">
        <v>40.6</v>
      </c>
      <c r="V51" s="3" t="e">
        <v>#N/A</v>
      </c>
      <c r="W51" s="29" t="e">
        <v>#N/A</v>
      </c>
      <c r="X51" s="29" t="e">
        <v>#N/A</v>
      </c>
      <c r="Y51" s="29" t="e">
        <v>#N/A</v>
      </c>
      <c r="Z51" s="29" t="e">
        <v>#N/A</v>
      </c>
      <c r="AA51" s="29" t="e">
        <v>#N/A</v>
      </c>
      <c r="AB51" s="29" t="e">
        <v>#N/A</v>
      </c>
      <c r="AC51" s="29" t="e">
        <v>#N/A</v>
      </c>
      <c r="AD51" s="29" t="e">
        <v>#N/A</v>
      </c>
      <c r="AE51" s="29" t="e">
        <v>#N/A</v>
      </c>
      <c r="AF51" s="29" t="e">
        <v>#N/A</v>
      </c>
      <c r="AG51" s="29" t="e">
        <v>#N/A</v>
      </c>
      <c r="AH51" s="29" t="e">
        <v>#N/A</v>
      </c>
      <c r="AI51" s="3">
        <v>7894.36</v>
      </c>
      <c r="AJ51" s="4">
        <v>83.174999999999997</v>
      </c>
      <c r="AK51" s="4">
        <v>85.546000000000006</v>
      </c>
      <c r="AL51" s="4">
        <v>93.281000000000006</v>
      </c>
      <c r="AM51" s="4">
        <v>77.891999999999996</v>
      </c>
      <c r="AN51" s="4">
        <v>63.066000000000003</v>
      </c>
      <c r="AO51" s="5" t="e">
        <v>#N/A</v>
      </c>
      <c r="AP51" s="36">
        <v>80.495333000000002</v>
      </c>
      <c r="AQ51" s="6">
        <v>69.8</v>
      </c>
      <c r="AR51" s="3">
        <v>795628.0933679872</v>
      </c>
      <c r="AS51" s="5">
        <v>3494</v>
      </c>
      <c r="AT51" s="5">
        <v>1829</v>
      </c>
      <c r="AU51" s="6" t="e">
        <v>#N/A</v>
      </c>
      <c r="AV51" s="35">
        <v>67.640740795828293</v>
      </c>
      <c r="AW51" s="6" t="e">
        <v>#N/A</v>
      </c>
    </row>
    <row r="52" spans="1:49" x14ac:dyDescent="0.25">
      <c r="A52" t="s">
        <v>52</v>
      </c>
      <c r="B52" s="2">
        <v>37955</v>
      </c>
      <c r="C52" s="3" t="e">
        <v>#N/A</v>
      </c>
      <c r="D52" s="29" t="e">
        <v>#N/A</v>
      </c>
      <c r="E52" s="35">
        <v>108.71679</v>
      </c>
      <c r="F52" s="29">
        <v>55.075400000000002</v>
      </c>
      <c r="G52" s="29">
        <v>59.2911</v>
      </c>
      <c r="H52" s="29">
        <v>89.132300000000001</v>
      </c>
      <c r="I52" s="29">
        <v>113.5977</v>
      </c>
      <c r="J52" s="29">
        <v>61.6999</v>
      </c>
      <c r="K52" s="29">
        <v>75.415400000000005</v>
      </c>
      <c r="L52" s="29">
        <v>87.014899999999997</v>
      </c>
      <c r="M52" s="3">
        <v>3.94</v>
      </c>
      <c r="N52" s="3" t="e">
        <v>#N/A</v>
      </c>
      <c r="O52" s="3">
        <v>100</v>
      </c>
      <c r="P52" s="29">
        <v>83.950699999999998</v>
      </c>
      <c r="Q52" s="29" t="e">
        <v>#N/A</v>
      </c>
      <c r="R52" s="6">
        <v>14309.2</v>
      </c>
      <c r="S52" s="6">
        <v>14694.2</v>
      </c>
      <c r="T52" s="3">
        <v>98.56</v>
      </c>
      <c r="U52" s="6">
        <v>40.299999999999997</v>
      </c>
      <c r="V52" s="3" t="e">
        <v>#N/A</v>
      </c>
      <c r="W52" s="29" t="e">
        <v>#N/A</v>
      </c>
      <c r="X52" s="29" t="e">
        <v>#N/A</v>
      </c>
      <c r="Y52" s="29" t="e">
        <v>#N/A</v>
      </c>
      <c r="Z52" s="29" t="e">
        <v>#N/A</v>
      </c>
      <c r="AA52" s="29" t="e">
        <v>#N/A</v>
      </c>
      <c r="AB52" s="29" t="e">
        <v>#N/A</v>
      </c>
      <c r="AC52" s="29" t="e">
        <v>#N/A</v>
      </c>
      <c r="AD52" s="29" t="e">
        <v>#N/A</v>
      </c>
      <c r="AE52" s="29" t="e">
        <v>#N/A</v>
      </c>
      <c r="AF52" s="29" t="e">
        <v>#N/A</v>
      </c>
      <c r="AG52" s="29" t="e">
        <v>#N/A</v>
      </c>
      <c r="AH52" s="29" t="e">
        <v>#N/A</v>
      </c>
      <c r="AI52" s="3">
        <v>8400.09</v>
      </c>
      <c r="AJ52" s="4">
        <v>83.971999999999994</v>
      </c>
      <c r="AK52" s="4">
        <v>86.403999999999996</v>
      </c>
      <c r="AL52" s="4">
        <v>94.206999999999994</v>
      </c>
      <c r="AM52" s="4">
        <v>78.432000000000002</v>
      </c>
      <c r="AN52" s="4">
        <v>62.673999999999999</v>
      </c>
      <c r="AO52" s="5" t="e">
        <v>#N/A</v>
      </c>
      <c r="AP52" s="36">
        <v>80.896180999999999</v>
      </c>
      <c r="AQ52" s="6">
        <v>68.7</v>
      </c>
      <c r="AR52" s="3">
        <v>831056.30309577577</v>
      </c>
      <c r="AS52" s="5">
        <v>3420</v>
      </c>
      <c r="AT52" s="5">
        <v>1700</v>
      </c>
      <c r="AU52" s="6" t="e">
        <v>#N/A</v>
      </c>
      <c r="AV52" s="35">
        <v>138.3141815375017</v>
      </c>
      <c r="AW52" s="6" t="e">
        <v>#N/A</v>
      </c>
    </row>
    <row r="53" spans="1:49" x14ac:dyDescent="0.25">
      <c r="A53" t="s">
        <v>53</v>
      </c>
      <c r="B53" s="2">
        <v>37986</v>
      </c>
      <c r="C53" s="3" t="e">
        <v>#N/A</v>
      </c>
      <c r="D53" s="29" t="e">
        <v>#N/A</v>
      </c>
      <c r="E53" s="35">
        <v>107.20341999999999</v>
      </c>
      <c r="F53" s="29">
        <v>55.266100000000002</v>
      </c>
      <c r="G53" s="29">
        <v>59.481900000000003</v>
      </c>
      <c r="H53" s="29">
        <v>90.548599999999993</v>
      </c>
      <c r="I53" s="29">
        <v>113.27760000000001</v>
      </c>
      <c r="J53" s="29">
        <v>61.419699999999999</v>
      </c>
      <c r="K53" s="29">
        <v>79.09</v>
      </c>
      <c r="L53" s="29">
        <v>87.729600000000005</v>
      </c>
      <c r="M53" s="3">
        <v>3.36</v>
      </c>
      <c r="N53" s="3" t="e">
        <v>#N/A</v>
      </c>
      <c r="O53" s="3">
        <v>100.12</v>
      </c>
      <c r="P53" s="29">
        <v>85.017700000000005</v>
      </c>
      <c r="Q53" s="29" t="e">
        <v>#N/A</v>
      </c>
      <c r="R53" s="6">
        <v>14662.7</v>
      </c>
      <c r="S53" s="6">
        <v>15009.2</v>
      </c>
      <c r="T53" s="3">
        <v>98.68</v>
      </c>
      <c r="U53" s="6">
        <v>39</v>
      </c>
      <c r="V53" s="3" t="e">
        <v>#N/A</v>
      </c>
      <c r="W53" s="29" t="e">
        <v>#N/A</v>
      </c>
      <c r="X53" s="29" t="e">
        <v>#N/A</v>
      </c>
      <c r="Y53" s="29" t="e">
        <v>#N/A</v>
      </c>
      <c r="Z53" s="29" t="e">
        <v>#N/A</v>
      </c>
      <c r="AA53" s="29" t="e">
        <v>#N/A</v>
      </c>
      <c r="AB53" s="29" t="e">
        <v>#N/A</v>
      </c>
      <c r="AC53" s="29" t="e">
        <v>#N/A</v>
      </c>
      <c r="AD53" s="29" t="e">
        <v>#N/A</v>
      </c>
      <c r="AE53" s="29" t="e">
        <v>#N/A</v>
      </c>
      <c r="AF53" s="29" t="e">
        <v>#N/A</v>
      </c>
      <c r="AG53" s="29" t="e">
        <v>#N/A</v>
      </c>
      <c r="AH53" s="29" t="e">
        <v>#N/A</v>
      </c>
      <c r="AI53" s="3">
        <v>8546.41</v>
      </c>
      <c r="AJ53" s="4">
        <v>85.32</v>
      </c>
      <c r="AK53" s="4">
        <v>87.352999999999994</v>
      </c>
      <c r="AL53" s="4">
        <v>95.167000000000002</v>
      </c>
      <c r="AM53" s="4">
        <v>79.153999999999996</v>
      </c>
      <c r="AN53" s="4">
        <v>63.533999999999999</v>
      </c>
      <c r="AO53" s="5" t="e">
        <v>#N/A</v>
      </c>
      <c r="AP53" s="36">
        <v>81.713458000000003</v>
      </c>
      <c r="AQ53" s="6">
        <v>71</v>
      </c>
      <c r="AR53" s="3">
        <v>824793.4802738321</v>
      </c>
      <c r="AS53" s="5">
        <v>3417</v>
      </c>
      <c r="AT53" s="5">
        <v>2141</v>
      </c>
      <c r="AU53" s="6" t="e">
        <v>#N/A</v>
      </c>
      <c r="AV53" s="35">
        <v>221.73944219930272</v>
      </c>
      <c r="AW53" s="6" t="e">
        <v>#N/A</v>
      </c>
    </row>
    <row r="54" spans="1:49" x14ac:dyDescent="0.25">
      <c r="A54" t="s">
        <v>54</v>
      </c>
      <c r="B54" s="2">
        <v>38017</v>
      </c>
      <c r="C54" s="3" t="e">
        <v>#N/A</v>
      </c>
      <c r="D54" s="29" t="e">
        <v>#N/A</v>
      </c>
      <c r="E54" s="35">
        <v>110.05423999999999</v>
      </c>
      <c r="F54" s="29">
        <v>55.523000000000003</v>
      </c>
      <c r="G54" s="29">
        <v>59.637599999999999</v>
      </c>
      <c r="H54" s="29">
        <v>91.023600000000002</v>
      </c>
      <c r="I54" s="29">
        <v>112.8947</v>
      </c>
      <c r="J54" s="29">
        <v>65.259900000000002</v>
      </c>
      <c r="K54" s="29">
        <v>85.698899999999995</v>
      </c>
      <c r="L54" s="29">
        <v>87.130499999999998</v>
      </c>
      <c r="M54" s="3">
        <v>3.81</v>
      </c>
      <c r="N54" s="3" t="e">
        <v>#N/A</v>
      </c>
      <c r="O54" s="3">
        <v>100.2</v>
      </c>
      <c r="P54" s="29">
        <v>85.181700000000006</v>
      </c>
      <c r="Q54" s="29" t="e">
        <v>#N/A</v>
      </c>
      <c r="R54" s="6">
        <v>14676.1</v>
      </c>
      <c r="S54" s="6">
        <v>14719</v>
      </c>
      <c r="T54" s="3">
        <v>98.8</v>
      </c>
      <c r="U54" s="6">
        <v>39.5</v>
      </c>
      <c r="V54" s="3">
        <v>99.02</v>
      </c>
      <c r="W54" s="29" t="e">
        <v>#N/A</v>
      </c>
      <c r="X54" s="29" t="e">
        <v>#N/A</v>
      </c>
      <c r="Y54" s="29" t="e">
        <v>#N/A</v>
      </c>
      <c r="Z54" s="29" t="e">
        <v>#N/A</v>
      </c>
      <c r="AA54" s="29" t="e">
        <v>#N/A</v>
      </c>
      <c r="AB54" s="29" t="e">
        <v>#N/A</v>
      </c>
      <c r="AC54" s="29" t="e">
        <v>#N/A</v>
      </c>
      <c r="AD54" s="29" t="e">
        <v>#N/A</v>
      </c>
      <c r="AE54" s="29" t="e">
        <v>#N/A</v>
      </c>
      <c r="AF54" s="29" t="e">
        <v>#N/A</v>
      </c>
      <c r="AG54" s="29" t="e">
        <v>#N/A</v>
      </c>
      <c r="AH54" s="29" t="e">
        <v>#N/A</v>
      </c>
      <c r="AI54" s="3">
        <v>9267.7900000000009</v>
      </c>
      <c r="AJ54" s="4">
        <v>83.436000000000007</v>
      </c>
      <c r="AK54" s="4">
        <v>86.602000000000004</v>
      </c>
      <c r="AL54" s="4">
        <v>93.870999999999995</v>
      </c>
      <c r="AM54" s="4">
        <v>79.123000000000005</v>
      </c>
      <c r="AN54" s="4">
        <v>57.276000000000003</v>
      </c>
      <c r="AO54" s="5" t="e">
        <v>#N/A</v>
      </c>
      <c r="AP54" s="36">
        <v>82.175197999999995</v>
      </c>
      <c r="AQ54" s="6">
        <v>75.2</v>
      </c>
      <c r="AR54" s="3">
        <v>843411.59110963473</v>
      </c>
      <c r="AS54" s="5">
        <v>3387</v>
      </c>
      <c r="AT54" s="5">
        <v>1897</v>
      </c>
      <c r="AU54" s="6" t="e">
        <v>#N/A</v>
      </c>
      <c r="AV54" s="35">
        <v>99.450042525629357</v>
      </c>
      <c r="AW54" s="6" t="e">
        <v>#N/A</v>
      </c>
    </row>
    <row r="55" spans="1:49" x14ac:dyDescent="0.25">
      <c r="A55" t="s">
        <v>55</v>
      </c>
      <c r="B55" s="2">
        <v>38046</v>
      </c>
      <c r="C55" s="3" t="e">
        <v>#N/A</v>
      </c>
      <c r="D55" s="29" t="e">
        <v>#N/A</v>
      </c>
      <c r="E55" s="35">
        <v>109.61216</v>
      </c>
      <c r="F55" s="29">
        <v>55.859000000000002</v>
      </c>
      <c r="G55" s="29">
        <v>59.803400000000003</v>
      </c>
      <c r="H55" s="29">
        <v>90.892300000000006</v>
      </c>
      <c r="I55" s="29">
        <v>112.5663</v>
      </c>
      <c r="J55" s="29">
        <v>65.586200000000005</v>
      </c>
      <c r="K55" s="29">
        <v>82.461200000000005</v>
      </c>
      <c r="L55" s="29">
        <v>87.401499999999999</v>
      </c>
      <c r="M55" s="3">
        <v>3.98</v>
      </c>
      <c r="N55" s="3" t="e">
        <v>#N/A</v>
      </c>
      <c r="O55" s="3">
        <v>100.25</v>
      </c>
      <c r="P55" s="29">
        <v>85.181700000000006</v>
      </c>
      <c r="Q55" s="29" t="e">
        <v>#N/A</v>
      </c>
      <c r="R55" s="6">
        <v>14822.2</v>
      </c>
      <c r="S55" s="6">
        <v>15436.3</v>
      </c>
      <c r="T55" s="3">
        <v>98.91</v>
      </c>
      <c r="U55" s="6">
        <v>40</v>
      </c>
      <c r="V55" s="3">
        <v>99.11</v>
      </c>
      <c r="W55" s="29" t="e">
        <v>#N/A</v>
      </c>
      <c r="X55" s="29" t="e">
        <v>#N/A</v>
      </c>
      <c r="Y55" s="29" t="e">
        <v>#N/A</v>
      </c>
      <c r="Z55" s="29" t="e">
        <v>#N/A</v>
      </c>
      <c r="AA55" s="29" t="e">
        <v>#N/A</v>
      </c>
      <c r="AB55" s="29" t="e">
        <v>#N/A</v>
      </c>
      <c r="AC55" s="29" t="e">
        <v>#N/A</v>
      </c>
      <c r="AD55" s="29" t="e">
        <v>#N/A</v>
      </c>
      <c r="AE55" s="29" t="e">
        <v>#N/A</v>
      </c>
      <c r="AF55" s="29" t="e">
        <v>#N/A</v>
      </c>
      <c r="AG55" s="29" t="e">
        <v>#N/A</v>
      </c>
      <c r="AH55" s="29" t="e">
        <v>#N/A</v>
      </c>
      <c r="AI55" s="3">
        <v>9897.86</v>
      </c>
      <c r="AJ55" s="4">
        <v>84.781999999999996</v>
      </c>
      <c r="AK55" s="4">
        <v>87.262</v>
      </c>
      <c r="AL55" s="4">
        <v>95.277000000000001</v>
      </c>
      <c r="AM55" s="4">
        <v>79.195999999999998</v>
      </c>
      <c r="AN55" s="4">
        <v>63.155999999999999</v>
      </c>
      <c r="AO55" s="5" t="e">
        <v>#N/A</v>
      </c>
      <c r="AP55" s="36">
        <v>82.483082999999993</v>
      </c>
      <c r="AQ55" s="6">
        <v>73.3</v>
      </c>
      <c r="AR55" s="3">
        <v>877687.70372953382</v>
      </c>
      <c r="AS55" s="5">
        <v>3367</v>
      </c>
      <c r="AT55" s="5">
        <v>1752</v>
      </c>
      <c r="AU55" s="6" t="e">
        <v>#N/A</v>
      </c>
      <c r="AV55" s="35">
        <v>103.41335512699015</v>
      </c>
      <c r="AW55" s="6" t="e">
        <v>#N/A</v>
      </c>
    </row>
    <row r="56" spans="1:49" x14ac:dyDescent="0.25">
      <c r="A56" t="s">
        <v>56</v>
      </c>
      <c r="B56" s="2">
        <v>38077</v>
      </c>
      <c r="C56" s="3" t="e">
        <v>#N/A</v>
      </c>
      <c r="D56" s="29" t="e">
        <v>#N/A</v>
      </c>
      <c r="E56" s="35">
        <v>110.33435</v>
      </c>
      <c r="F56" s="29">
        <v>56.044699999999999</v>
      </c>
      <c r="G56" s="29">
        <v>59.989600000000003</v>
      </c>
      <c r="H56" s="29">
        <v>92.233999999999995</v>
      </c>
      <c r="I56" s="29">
        <v>112.233</v>
      </c>
      <c r="J56" s="29">
        <v>67.309100000000001</v>
      </c>
      <c r="K56" s="29">
        <v>83.623699999999999</v>
      </c>
      <c r="L56" s="29">
        <v>89.525599999999997</v>
      </c>
      <c r="M56" s="3">
        <v>3.95</v>
      </c>
      <c r="N56" s="3" t="e">
        <v>#N/A</v>
      </c>
      <c r="O56" s="3">
        <v>100.24</v>
      </c>
      <c r="P56" s="29">
        <v>87.151300000000006</v>
      </c>
      <c r="Q56" s="29" t="e">
        <v>#N/A</v>
      </c>
      <c r="R56" s="6">
        <v>15204.5</v>
      </c>
      <c r="S56" s="6">
        <v>15662.9</v>
      </c>
      <c r="T56" s="3">
        <v>99.02</v>
      </c>
      <c r="U56" s="6">
        <v>39.1</v>
      </c>
      <c r="V56" s="3">
        <v>99.21</v>
      </c>
      <c r="W56" s="29" t="e">
        <v>#N/A</v>
      </c>
      <c r="X56" s="29" t="e">
        <v>#N/A</v>
      </c>
      <c r="Y56" s="29" t="e">
        <v>#N/A</v>
      </c>
      <c r="Z56" s="29" t="e">
        <v>#N/A</v>
      </c>
      <c r="AA56" s="29" t="e">
        <v>#N/A</v>
      </c>
      <c r="AB56" s="29" t="e">
        <v>#N/A</v>
      </c>
      <c r="AC56" s="29" t="e">
        <v>#N/A</v>
      </c>
      <c r="AD56" s="29" t="e">
        <v>#N/A</v>
      </c>
      <c r="AE56" s="29" t="e">
        <v>#N/A</v>
      </c>
      <c r="AF56" s="29" t="e">
        <v>#N/A</v>
      </c>
      <c r="AG56" s="29" t="e">
        <v>#N/A</v>
      </c>
      <c r="AH56" s="29" t="e">
        <v>#N/A</v>
      </c>
      <c r="AI56" s="3">
        <v>10104.65</v>
      </c>
      <c r="AJ56" s="4">
        <v>86.26</v>
      </c>
      <c r="AK56" s="4">
        <v>88.325000000000003</v>
      </c>
      <c r="AL56" s="4">
        <v>96.96</v>
      </c>
      <c r="AM56" s="4">
        <v>79.587999999999994</v>
      </c>
      <c r="AN56" s="4">
        <v>66.784999999999997</v>
      </c>
      <c r="AO56" s="5" t="e">
        <v>#N/A</v>
      </c>
      <c r="AP56" s="36">
        <v>83.435839999999999</v>
      </c>
      <c r="AQ56" s="6">
        <v>74.599999999999994</v>
      </c>
      <c r="AR56" s="3">
        <v>847649.36919919308</v>
      </c>
      <c r="AS56" s="5">
        <v>3385</v>
      </c>
      <c r="AT56" s="5">
        <v>1789</v>
      </c>
      <c r="AU56" s="6" t="e">
        <v>#N/A</v>
      </c>
      <c r="AV56" s="35">
        <v>102.82116367658904</v>
      </c>
      <c r="AW56" s="6" t="e">
        <v>#N/A</v>
      </c>
    </row>
    <row r="57" spans="1:49" x14ac:dyDescent="0.25">
      <c r="A57" t="s">
        <v>57</v>
      </c>
      <c r="B57" s="2">
        <v>38107</v>
      </c>
      <c r="C57" s="3" t="e">
        <v>#N/A</v>
      </c>
      <c r="D57" s="29" t="e">
        <v>#N/A</v>
      </c>
      <c r="E57" s="35">
        <v>107.86163999999999</v>
      </c>
      <c r="F57" s="29">
        <v>56.175800000000002</v>
      </c>
      <c r="G57" s="29">
        <v>60.204099999999997</v>
      </c>
      <c r="H57" s="29">
        <v>92.293899999999994</v>
      </c>
      <c r="I57" s="29">
        <v>114.2347</v>
      </c>
      <c r="J57" s="29">
        <v>66.683199999999999</v>
      </c>
      <c r="K57" s="29">
        <v>83.991</v>
      </c>
      <c r="L57" s="29">
        <v>89.011200000000002</v>
      </c>
      <c r="M57" s="3">
        <v>3.96</v>
      </c>
      <c r="N57" s="3" t="e">
        <v>#N/A</v>
      </c>
      <c r="O57" s="3">
        <v>100.21</v>
      </c>
      <c r="P57" s="29">
        <v>87.725700000000003</v>
      </c>
      <c r="Q57" s="29" t="e">
        <v>#N/A</v>
      </c>
      <c r="R57" s="6">
        <v>15043.2</v>
      </c>
      <c r="S57" s="6">
        <v>15752.4</v>
      </c>
      <c r="T57" s="3">
        <v>99.1</v>
      </c>
      <c r="U57" s="6">
        <v>39.9</v>
      </c>
      <c r="V57" s="3">
        <v>99.35</v>
      </c>
      <c r="W57" s="29" t="e">
        <v>#N/A</v>
      </c>
      <c r="X57" s="29" t="e">
        <v>#N/A</v>
      </c>
      <c r="Y57" s="29" t="e">
        <v>#N/A</v>
      </c>
      <c r="Z57" s="29" t="e">
        <v>#N/A</v>
      </c>
      <c r="AA57" s="29" t="e">
        <v>#N/A</v>
      </c>
      <c r="AB57" s="29" t="e">
        <v>#N/A</v>
      </c>
      <c r="AC57" s="29" t="e">
        <v>#N/A</v>
      </c>
      <c r="AD57" s="29" t="e">
        <v>#N/A</v>
      </c>
      <c r="AE57" s="29" t="e">
        <v>#N/A</v>
      </c>
      <c r="AF57" s="29" t="e">
        <v>#N/A</v>
      </c>
      <c r="AG57" s="29" t="e">
        <v>#N/A</v>
      </c>
      <c r="AH57" s="29" t="e">
        <v>#N/A</v>
      </c>
      <c r="AI57" s="3">
        <v>10580.25</v>
      </c>
      <c r="AJ57" s="4">
        <v>85.596999999999994</v>
      </c>
      <c r="AK57" s="4">
        <v>87.822000000000003</v>
      </c>
      <c r="AL57" s="4">
        <v>95.546999999999997</v>
      </c>
      <c r="AM57" s="4">
        <v>79.929000000000002</v>
      </c>
      <c r="AN57" s="4">
        <v>66.266000000000005</v>
      </c>
      <c r="AO57" s="5" t="e">
        <v>#N/A</v>
      </c>
      <c r="AP57" s="36">
        <v>83.253844000000001</v>
      </c>
      <c r="AQ57" s="6">
        <v>75.900000000000006</v>
      </c>
      <c r="AR57" s="3">
        <v>877004.8621723298</v>
      </c>
      <c r="AS57" s="5">
        <v>3419</v>
      </c>
      <c r="AT57" s="5">
        <v>1766</v>
      </c>
      <c r="AU57" s="6" t="e">
        <v>#N/A</v>
      </c>
      <c r="AV57" s="35">
        <v>89.289901678655056</v>
      </c>
      <c r="AW57" s="6" t="e">
        <v>#N/A</v>
      </c>
    </row>
    <row r="58" spans="1:49" x14ac:dyDescent="0.25">
      <c r="A58" t="s">
        <v>58</v>
      </c>
      <c r="B58" s="2">
        <v>38138</v>
      </c>
      <c r="C58" s="3" t="e">
        <v>#N/A</v>
      </c>
      <c r="D58" s="29" t="e">
        <v>#N/A</v>
      </c>
      <c r="E58" s="35">
        <v>105.60213</v>
      </c>
      <c r="F58" s="29">
        <v>56.375900000000001</v>
      </c>
      <c r="G58" s="29">
        <v>60.412500000000001</v>
      </c>
      <c r="H58" s="29">
        <v>92.073400000000007</v>
      </c>
      <c r="I58" s="29">
        <v>112.9062</v>
      </c>
      <c r="J58" s="29">
        <v>66.106099999999998</v>
      </c>
      <c r="K58" s="29">
        <v>83.141300000000001</v>
      </c>
      <c r="L58" s="29">
        <v>89.090199999999996</v>
      </c>
      <c r="M58" s="3">
        <v>3.85</v>
      </c>
      <c r="N58" s="3" t="e">
        <v>#N/A</v>
      </c>
      <c r="O58" s="3">
        <v>100.14</v>
      </c>
      <c r="P58" s="29">
        <v>88.710499999999996</v>
      </c>
      <c r="Q58" s="29" t="e">
        <v>#N/A</v>
      </c>
      <c r="R58" s="6">
        <v>16039</v>
      </c>
      <c r="S58" s="6">
        <v>16545.2</v>
      </c>
      <c r="T58" s="3">
        <v>99.17</v>
      </c>
      <c r="U58" s="6">
        <v>40.5</v>
      </c>
      <c r="V58" s="3">
        <v>99.48</v>
      </c>
      <c r="W58" s="29" t="e">
        <v>#N/A</v>
      </c>
      <c r="X58" s="29" t="e">
        <v>#N/A</v>
      </c>
      <c r="Y58" s="29" t="e">
        <v>#N/A</v>
      </c>
      <c r="Z58" s="29" t="e">
        <v>#N/A</v>
      </c>
      <c r="AA58" s="29" t="e">
        <v>#N/A</v>
      </c>
      <c r="AB58" s="29" t="e">
        <v>#N/A</v>
      </c>
      <c r="AC58" s="29" t="e">
        <v>#N/A</v>
      </c>
      <c r="AD58" s="29" t="e">
        <v>#N/A</v>
      </c>
      <c r="AE58" s="29" t="e">
        <v>#N/A</v>
      </c>
      <c r="AF58" s="29" t="e">
        <v>#N/A</v>
      </c>
      <c r="AG58" s="29" t="e">
        <v>#N/A</v>
      </c>
      <c r="AH58" s="29" t="e">
        <v>#N/A</v>
      </c>
      <c r="AI58" s="3">
        <v>9882.5</v>
      </c>
      <c r="AJ58" s="4">
        <v>86.213999999999999</v>
      </c>
      <c r="AK58" s="4">
        <v>88.066999999999993</v>
      </c>
      <c r="AL58" s="4">
        <v>96.168000000000006</v>
      </c>
      <c r="AM58" s="4">
        <v>79.927999999999997</v>
      </c>
      <c r="AN58" s="4">
        <v>69.376999999999995</v>
      </c>
      <c r="AO58" s="5" t="e">
        <v>#N/A</v>
      </c>
      <c r="AP58" s="36">
        <v>83.805944999999994</v>
      </c>
      <c r="AQ58" s="6">
        <v>75.599999999999994</v>
      </c>
      <c r="AR58" s="3">
        <v>879905.30473571003</v>
      </c>
      <c r="AS58" s="5">
        <v>3399</v>
      </c>
      <c r="AT58" s="5">
        <v>1967</v>
      </c>
      <c r="AU58" s="6" t="e">
        <v>#N/A</v>
      </c>
      <c r="AV58" s="35">
        <v>127.32441785622464</v>
      </c>
      <c r="AW58" s="6" t="e">
        <v>#N/A</v>
      </c>
    </row>
    <row r="59" spans="1:49" x14ac:dyDescent="0.25">
      <c r="A59" t="s">
        <v>59</v>
      </c>
      <c r="B59" s="2">
        <v>38168</v>
      </c>
      <c r="C59" s="3" t="e">
        <v>#N/A</v>
      </c>
      <c r="D59" s="29" t="e">
        <v>#N/A</v>
      </c>
      <c r="E59" s="35">
        <v>106.28859</v>
      </c>
      <c r="F59" s="29">
        <v>56.587899999999998</v>
      </c>
      <c r="G59" s="29">
        <v>60.634500000000003</v>
      </c>
      <c r="H59" s="29">
        <v>92.227500000000006</v>
      </c>
      <c r="I59" s="29">
        <v>113.70359999999999</v>
      </c>
      <c r="J59" s="29">
        <v>66.450400000000002</v>
      </c>
      <c r="K59" s="29">
        <v>83.306399999999996</v>
      </c>
      <c r="L59" s="29">
        <v>89.023899999999998</v>
      </c>
      <c r="M59" s="3">
        <v>3.93</v>
      </c>
      <c r="N59" s="3" t="e">
        <v>#N/A</v>
      </c>
      <c r="O59" s="3">
        <v>100.06</v>
      </c>
      <c r="P59" s="29">
        <v>87.971900000000005</v>
      </c>
      <c r="Q59" s="29" t="e">
        <v>#N/A</v>
      </c>
      <c r="R59" s="6">
        <v>15502.3</v>
      </c>
      <c r="S59" s="6">
        <v>16288.8</v>
      </c>
      <c r="T59" s="3">
        <v>99.2</v>
      </c>
      <c r="U59" s="6">
        <v>40.799999999999997</v>
      </c>
      <c r="V59" s="3">
        <v>99.6</v>
      </c>
      <c r="W59" s="29" t="e">
        <v>#N/A</v>
      </c>
      <c r="X59" s="29" t="e">
        <v>#N/A</v>
      </c>
      <c r="Y59" s="29" t="e">
        <v>#N/A</v>
      </c>
      <c r="Z59" s="29" t="e">
        <v>#N/A</v>
      </c>
      <c r="AA59" s="29" t="e">
        <v>#N/A</v>
      </c>
      <c r="AB59" s="29" t="e">
        <v>#N/A</v>
      </c>
      <c r="AC59" s="29" t="e">
        <v>#N/A</v>
      </c>
      <c r="AD59" s="29" t="e">
        <v>#N/A</v>
      </c>
      <c r="AE59" s="29" t="e">
        <v>#N/A</v>
      </c>
      <c r="AF59" s="29" t="e">
        <v>#N/A</v>
      </c>
      <c r="AG59" s="29" t="e">
        <v>#N/A</v>
      </c>
      <c r="AH59" s="29" t="e">
        <v>#N/A</v>
      </c>
      <c r="AI59" s="3">
        <v>10161.719999999999</v>
      </c>
      <c r="AJ59" s="4">
        <v>86.721000000000004</v>
      </c>
      <c r="AK59" s="4">
        <v>88.674000000000007</v>
      </c>
      <c r="AL59" s="4">
        <v>96.697999999999993</v>
      </c>
      <c r="AM59" s="4">
        <v>80.364000000000004</v>
      </c>
      <c r="AN59" s="4">
        <v>67.433000000000007</v>
      </c>
      <c r="AO59" s="5" t="e">
        <v>#N/A</v>
      </c>
      <c r="AP59" s="36">
        <v>83.627713999999997</v>
      </c>
      <c r="AQ59" s="6">
        <v>75.599999999999994</v>
      </c>
      <c r="AR59" s="3">
        <v>867285.34157925681</v>
      </c>
      <c r="AS59" s="5">
        <v>3395</v>
      </c>
      <c r="AT59" s="5">
        <v>1846</v>
      </c>
      <c r="AU59" s="6" t="e">
        <v>#N/A</v>
      </c>
      <c r="AV59" s="35">
        <v>80.301643897921281</v>
      </c>
      <c r="AW59" s="6" t="e">
        <v>#N/A</v>
      </c>
    </row>
    <row r="60" spans="1:49" x14ac:dyDescent="0.25">
      <c r="A60" t="s">
        <v>60</v>
      </c>
      <c r="B60" s="2">
        <v>38199</v>
      </c>
      <c r="C60" s="3" t="e">
        <v>#N/A</v>
      </c>
      <c r="D60" s="29" t="e">
        <v>#N/A</v>
      </c>
      <c r="E60" s="35">
        <v>105.45390999999999</v>
      </c>
      <c r="F60" s="29">
        <v>56.808399999999999</v>
      </c>
      <c r="G60" s="29">
        <v>60.820599999999999</v>
      </c>
      <c r="H60" s="29">
        <v>91.831000000000003</v>
      </c>
      <c r="I60" s="29">
        <v>111.2628</v>
      </c>
      <c r="J60" s="29">
        <v>66.792400000000001</v>
      </c>
      <c r="K60" s="29">
        <v>82.843299999999999</v>
      </c>
      <c r="L60" s="29">
        <v>89.680700000000002</v>
      </c>
      <c r="M60" s="3">
        <v>3.82</v>
      </c>
      <c r="N60" s="3" t="e">
        <v>#N/A</v>
      </c>
      <c r="O60" s="3">
        <v>99.99</v>
      </c>
      <c r="P60" s="29">
        <v>89.367000000000004</v>
      </c>
      <c r="Q60" s="29" t="e">
        <v>#N/A</v>
      </c>
      <c r="R60" s="6">
        <v>15657.8</v>
      </c>
      <c r="S60" s="6">
        <v>16533</v>
      </c>
      <c r="T60" s="3">
        <v>99.24</v>
      </c>
      <c r="U60" s="6">
        <v>39.6</v>
      </c>
      <c r="V60" s="3">
        <v>99.69</v>
      </c>
      <c r="W60" s="29" t="e">
        <v>#N/A</v>
      </c>
      <c r="X60" s="29" t="e">
        <v>#N/A</v>
      </c>
      <c r="Y60" s="29" t="e">
        <v>#N/A</v>
      </c>
      <c r="Z60" s="29" t="e">
        <v>#N/A</v>
      </c>
      <c r="AA60" s="29" t="e">
        <v>#N/A</v>
      </c>
      <c r="AB60" s="29" t="e">
        <v>#N/A</v>
      </c>
      <c r="AC60" s="29" t="e">
        <v>#N/A</v>
      </c>
      <c r="AD60" s="29" t="e">
        <v>#N/A</v>
      </c>
      <c r="AE60" s="29" t="e">
        <v>#N/A</v>
      </c>
      <c r="AF60" s="29" t="e">
        <v>#N/A</v>
      </c>
      <c r="AG60" s="29" t="e">
        <v>#N/A</v>
      </c>
      <c r="AH60" s="29" t="e">
        <v>#N/A</v>
      </c>
      <c r="AI60" s="3">
        <v>10036.76</v>
      </c>
      <c r="AJ60" s="4">
        <v>87.153000000000006</v>
      </c>
      <c r="AK60" s="4">
        <v>89.254000000000005</v>
      </c>
      <c r="AL60" s="4">
        <v>97.400999999999996</v>
      </c>
      <c r="AM60" s="4">
        <v>81.009</v>
      </c>
      <c r="AN60" s="4">
        <v>68.295000000000002</v>
      </c>
      <c r="AO60" s="5" t="e">
        <v>#N/A</v>
      </c>
      <c r="AP60" s="36">
        <v>83.213987000000003</v>
      </c>
      <c r="AQ60" s="6">
        <v>75.599999999999994</v>
      </c>
      <c r="AR60" s="3">
        <v>884296.69800658035</v>
      </c>
      <c r="AS60" s="5">
        <v>3373</v>
      </c>
      <c r="AT60" s="5">
        <v>1805</v>
      </c>
      <c r="AU60" s="6" t="e">
        <v>#N/A</v>
      </c>
      <c r="AV60" s="35">
        <v>93.797958273830105</v>
      </c>
      <c r="AW60" s="6" t="e">
        <v>#N/A</v>
      </c>
    </row>
    <row r="61" spans="1:49" x14ac:dyDescent="0.25">
      <c r="A61" t="s">
        <v>61</v>
      </c>
      <c r="B61" s="2">
        <v>38230</v>
      </c>
      <c r="C61" s="3" t="e">
        <v>#N/A</v>
      </c>
      <c r="D61" s="29" t="e">
        <v>#N/A</v>
      </c>
      <c r="E61" s="35">
        <v>106.74599000000001</v>
      </c>
      <c r="F61" s="29">
        <v>57.140099999999997</v>
      </c>
      <c r="G61" s="29">
        <v>61.035400000000003</v>
      </c>
      <c r="H61" s="29">
        <v>91.839200000000005</v>
      </c>
      <c r="I61" s="29">
        <v>110.8219</v>
      </c>
      <c r="J61" s="29">
        <v>67.569900000000004</v>
      </c>
      <c r="K61" s="29">
        <v>80.751599999999996</v>
      </c>
      <c r="L61" s="29">
        <v>90.213899999999995</v>
      </c>
      <c r="M61" s="3">
        <v>4.12</v>
      </c>
      <c r="N61" s="3" t="e">
        <v>#N/A</v>
      </c>
      <c r="O61" s="3">
        <v>99.93</v>
      </c>
      <c r="P61" s="29">
        <v>88.874600000000001</v>
      </c>
      <c r="Q61" s="29" t="e">
        <v>#N/A</v>
      </c>
      <c r="R61" s="6">
        <v>15991.6</v>
      </c>
      <c r="S61" s="6">
        <v>16574.5</v>
      </c>
      <c r="T61" s="3">
        <v>99.27</v>
      </c>
      <c r="U61" s="6">
        <v>39.200000000000003</v>
      </c>
      <c r="V61" s="3">
        <v>99.77</v>
      </c>
      <c r="W61" s="29" t="e">
        <v>#N/A</v>
      </c>
      <c r="X61" s="29" t="e">
        <v>#N/A</v>
      </c>
      <c r="Y61" s="29" t="e">
        <v>#N/A</v>
      </c>
      <c r="Z61" s="29" t="e">
        <v>#N/A</v>
      </c>
      <c r="AA61" s="29" t="e">
        <v>#N/A</v>
      </c>
      <c r="AB61" s="29" t="e">
        <v>#N/A</v>
      </c>
      <c r="AC61" s="29" t="e">
        <v>#N/A</v>
      </c>
      <c r="AD61" s="29" t="e">
        <v>#N/A</v>
      </c>
      <c r="AE61" s="29" t="e">
        <v>#N/A</v>
      </c>
      <c r="AF61" s="29" t="e">
        <v>#N/A</v>
      </c>
      <c r="AG61" s="29" t="e">
        <v>#N/A</v>
      </c>
      <c r="AH61" s="29" t="e">
        <v>#N/A</v>
      </c>
      <c r="AI61" s="3">
        <v>10059.26</v>
      </c>
      <c r="AJ61" s="4">
        <v>87.406000000000006</v>
      </c>
      <c r="AK61" s="4">
        <v>89.215999999999994</v>
      </c>
      <c r="AL61" s="4">
        <v>97.221000000000004</v>
      </c>
      <c r="AM61" s="4">
        <v>81.099999999999994</v>
      </c>
      <c r="AN61" s="4">
        <v>71.192999999999998</v>
      </c>
      <c r="AO61" s="5" t="e">
        <v>#N/A</v>
      </c>
      <c r="AP61" s="36">
        <v>83.443799999999996</v>
      </c>
      <c r="AQ61" s="6">
        <v>73.8</v>
      </c>
      <c r="AR61" s="3">
        <v>909504.99303599843</v>
      </c>
      <c r="AS61" s="5">
        <v>3343</v>
      </c>
      <c r="AT61" s="5">
        <v>1815</v>
      </c>
      <c r="AU61" s="6" t="e">
        <v>#N/A</v>
      </c>
      <c r="AV61" s="35">
        <v>63.087222513471701</v>
      </c>
      <c r="AW61" s="6" t="e">
        <v>#N/A</v>
      </c>
    </row>
    <row r="62" spans="1:49" x14ac:dyDescent="0.25">
      <c r="A62" t="s">
        <v>62</v>
      </c>
      <c r="B62" s="2">
        <v>38260</v>
      </c>
      <c r="C62" s="3" t="e">
        <v>#N/A</v>
      </c>
      <c r="D62" s="29" t="e">
        <v>#N/A</v>
      </c>
      <c r="E62" s="35">
        <v>106.19713</v>
      </c>
      <c r="F62" s="29">
        <v>57.454500000000003</v>
      </c>
      <c r="G62" s="29">
        <v>61.220199999999998</v>
      </c>
      <c r="H62" s="29">
        <v>92.419200000000004</v>
      </c>
      <c r="I62" s="29">
        <v>114.4294</v>
      </c>
      <c r="J62" s="29">
        <v>67.884</v>
      </c>
      <c r="K62" s="29">
        <v>82.5398</v>
      </c>
      <c r="L62" s="29">
        <v>89.877600000000001</v>
      </c>
      <c r="M62" s="3">
        <v>3.89</v>
      </c>
      <c r="N62" s="3" t="e">
        <v>#N/A</v>
      </c>
      <c r="O62" s="3">
        <v>99.9</v>
      </c>
      <c r="P62" s="29">
        <v>89.941400000000002</v>
      </c>
      <c r="Q62" s="29" t="e">
        <v>#N/A</v>
      </c>
      <c r="R62" s="6">
        <v>15829.4</v>
      </c>
      <c r="S62" s="6">
        <v>16325.4</v>
      </c>
      <c r="T62" s="3">
        <v>99.33</v>
      </c>
      <c r="U62" s="6">
        <v>40.1</v>
      </c>
      <c r="V62" s="3">
        <v>99.82</v>
      </c>
      <c r="W62" s="29" t="e">
        <v>#N/A</v>
      </c>
      <c r="X62" s="29" t="e">
        <v>#N/A</v>
      </c>
      <c r="Y62" s="29" t="e">
        <v>#N/A</v>
      </c>
      <c r="Z62" s="29" t="e">
        <v>#N/A</v>
      </c>
      <c r="AA62" s="29" t="e">
        <v>#N/A</v>
      </c>
      <c r="AB62" s="29" t="e">
        <v>#N/A</v>
      </c>
      <c r="AC62" s="29" t="e">
        <v>#N/A</v>
      </c>
      <c r="AD62" s="29" t="e">
        <v>#N/A</v>
      </c>
      <c r="AE62" s="29" t="e">
        <v>#N/A</v>
      </c>
      <c r="AF62" s="29" t="e">
        <v>#N/A</v>
      </c>
      <c r="AG62" s="29" t="e">
        <v>#N/A</v>
      </c>
      <c r="AH62" s="29" t="e">
        <v>#N/A</v>
      </c>
      <c r="AI62" s="3">
        <v>10668.76</v>
      </c>
      <c r="AJ62" s="4">
        <v>87.320999999999998</v>
      </c>
      <c r="AK62" s="4">
        <v>89.233999999999995</v>
      </c>
      <c r="AL62" s="4">
        <v>96.988</v>
      </c>
      <c r="AM62" s="4">
        <v>81.337000000000003</v>
      </c>
      <c r="AN62" s="4">
        <v>71.11</v>
      </c>
      <c r="AO62" s="5" t="e">
        <v>#N/A</v>
      </c>
      <c r="AP62" s="36">
        <v>83.653031999999996</v>
      </c>
      <c r="AQ62" s="6">
        <v>74.599999999999994</v>
      </c>
      <c r="AR62" s="3">
        <v>938517.03262369486</v>
      </c>
      <c r="AS62" s="5">
        <v>3405</v>
      </c>
      <c r="AT62" s="5">
        <v>1894</v>
      </c>
      <c r="AU62" s="6" t="e">
        <v>#N/A</v>
      </c>
      <c r="AV62" s="35">
        <v>46.525937605206401</v>
      </c>
      <c r="AW62" s="6" t="e">
        <v>#N/A</v>
      </c>
    </row>
    <row r="63" spans="1:49" x14ac:dyDescent="0.25">
      <c r="A63" t="s">
        <v>63</v>
      </c>
      <c r="B63" s="2">
        <v>38291</v>
      </c>
      <c r="C63" s="3" t="e">
        <v>#N/A</v>
      </c>
      <c r="D63" s="29" t="e">
        <v>#N/A</v>
      </c>
      <c r="E63" s="35">
        <v>106.68661</v>
      </c>
      <c r="F63" s="29">
        <v>57.8005</v>
      </c>
      <c r="G63" s="29">
        <v>61.427700000000002</v>
      </c>
      <c r="H63" s="29">
        <v>92.788399999999996</v>
      </c>
      <c r="I63" s="29">
        <v>116.4717</v>
      </c>
      <c r="J63" s="29">
        <v>68.285799999999995</v>
      </c>
      <c r="K63" s="29">
        <v>83.080100000000002</v>
      </c>
      <c r="L63" s="29">
        <v>90.030199999999994</v>
      </c>
      <c r="M63" s="3">
        <v>3.93</v>
      </c>
      <c r="N63" s="3" t="e">
        <v>#N/A</v>
      </c>
      <c r="O63" s="3">
        <v>99.89</v>
      </c>
      <c r="P63" s="29">
        <v>90.844099999999997</v>
      </c>
      <c r="Q63" s="29" t="e">
        <v>#N/A</v>
      </c>
      <c r="R63" s="6">
        <v>16355</v>
      </c>
      <c r="S63" s="6">
        <v>16840.599999999999</v>
      </c>
      <c r="T63" s="3">
        <v>99.4</v>
      </c>
      <c r="U63" s="6">
        <v>39.799999999999997</v>
      </c>
      <c r="V63" s="3">
        <v>99.85</v>
      </c>
      <c r="W63" s="29" t="e">
        <v>#N/A</v>
      </c>
      <c r="X63" s="29" t="e">
        <v>#N/A</v>
      </c>
      <c r="Y63" s="29" t="e">
        <v>#N/A</v>
      </c>
      <c r="Z63" s="29" t="e">
        <v>#N/A</v>
      </c>
      <c r="AA63" s="29" t="e">
        <v>#N/A</v>
      </c>
      <c r="AB63" s="29" t="e">
        <v>#N/A</v>
      </c>
      <c r="AC63" s="29" t="e">
        <v>#N/A</v>
      </c>
      <c r="AD63" s="29" t="e">
        <v>#N/A</v>
      </c>
      <c r="AE63" s="29" t="e">
        <v>#N/A</v>
      </c>
      <c r="AF63" s="29" t="e">
        <v>#N/A</v>
      </c>
      <c r="AG63" s="29" t="e">
        <v>#N/A</v>
      </c>
      <c r="AH63" s="29" t="e">
        <v>#N/A</v>
      </c>
      <c r="AI63" s="3">
        <v>11137.56</v>
      </c>
      <c r="AJ63" s="4">
        <v>86.981999999999999</v>
      </c>
      <c r="AK63" s="4">
        <v>88.938000000000002</v>
      </c>
      <c r="AL63" s="4">
        <v>96.584999999999994</v>
      </c>
      <c r="AM63" s="4">
        <v>81.5</v>
      </c>
      <c r="AN63" s="4">
        <v>70.293999999999997</v>
      </c>
      <c r="AO63" s="5" t="e">
        <v>#N/A</v>
      </c>
      <c r="AP63" s="36">
        <v>83.912294000000003</v>
      </c>
      <c r="AQ63" s="6">
        <v>75.900000000000006</v>
      </c>
      <c r="AR63" s="3">
        <v>977220.15318806854</v>
      </c>
      <c r="AS63" s="5">
        <v>3526</v>
      </c>
      <c r="AT63" s="5">
        <v>1980</v>
      </c>
      <c r="AU63" s="6" t="e">
        <v>#N/A</v>
      </c>
      <c r="AV63" s="35">
        <v>95.051785192664369</v>
      </c>
      <c r="AW63" s="6" t="e">
        <v>#N/A</v>
      </c>
    </row>
    <row r="64" spans="1:49" x14ac:dyDescent="0.25">
      <c r="A64" t="s">
        <v>64</v>
      </c>
      <c r="B64" s="2">
        <v>38321</v>
      </c>
      <c r="C64" s="3" t="e">
        <v>#N/A</v>
      </c>
      <c r="D64" s="29" t="e">
        <v>#N/A</v>
      </c>
      <c r="E64" s="35">
        <v>106.41829</v>
      </c>
      <c r="F64" s="29">
        <v>58.043599999999998</v>
      </c>
      <c r="G64" s="29">
        <v>61.613500000000002</v>
      </c>
      <c r="H64" s="29">
        <v>92.910799999999995</v>
      </c>
      <c r="I64" s="29">
        <v>114.37779999999999</v>
      </c>
      <c r="J64" s="29">
        <v>68.491</v>
      </c>
      <c r="K64" s="29">
        <v>83.656000000000006</v>
      </c>
      <c r="L64" s="29">
        <v>89.979799999999997</v>
      </c>
      <c r="M64" s="3">
        <v>3.81</v>
      </c>
      <c r="N64" s="3" t="e">
        <v>#N/A</v>
      </c>
      <c r="O64" s="3">
        <v>99.91</v>
      </c>
      <c r="P64" s="29">
        <v>92.7316</v>
      </c>
      <c r="Q64" s="29" t="e">
        <v>#N/A</v>
      </c>
      <c r="R64" s="6">
        <v>16429.400000000001</v>
      </c>
      <c r="S64" s="6">
        <v>17701.3</v>
      </c>
      <c r="T64" s="3">
        <v>99.47</v>
      </c>
      <c r="U64" s="6">
        <v>40.200000000000003</v>
      </c>
      <c r="V64" s="3">
        <v>99.88</v>
      </c>
      <c r="W64" s="29" t="e">
        <v>#N/A</v>
      </c>
      <c r="X64" s="29" t="e">
        <v>#N/A</v>
      </c>
      <c r="Y64" s="29" t="e">
        <v>#N/A</v>
      </c>
      <c r="Z64" s="29" t="e">
        <v>#N/A</v>
      </c>
      <c r="AA64" s="29" t="e">
        <v>#N/A</v>
      </c>
      <c r="AB64" s="29" t="e">
        <v>#N/A</v>
      </c>
      <c r="AC64" s="29" t="e">
        <v>#N/A</v>
      </c>
      <c r="AD64" s="29" t="e">
        <v>#N/A</v>
      </c>
      <c r="AE64" s="29" t="e">
        <v>#N/A</v>
      </c>
      <c r="AF64" s="29" t="e">
        <v>#N/A</v>
      </c>
      <c r="AG64" s="29" t="e">
        <v>#N/A</v>
      </c>
      <c r="AH64" s="29" t="e">
        <v>#N/A</v>
      </c>
      <c r="AI64" s="3">
        <v>11898.57</v>
      </c>
      <c r="AJ64" s="4">
        <v>89.242000000000004</v>
      </c>
      <c r="AK64" s="4">
        <v>90.754000000000005</v>
      </c>
      <c r="AL64" s="4">
        <v>99.400999999999996</v>
      </c>
      <c r="AM64" s="4">
        <v>81.739000000000004</v>
      </c>
      <c r="AN64" s="4">
        <v>74.391000000000005</v>
      </c>
      <c r="AO64" s="5" t="e">
        <v>#N/A</v>
      </c>
      <c r="AP64" s="36">
        <v>84.721945000000005</v>
      </c>
      <c r="AQ64" s="6">
        <v>77.099999999999994</v>
      </c>
      <c r="AR64" s="3">
        <v>948628.04148223426</v>
      </c>
      <c r="AS64" s="5">
        <v>3403</v>
      </c>
      <c r="AT64" s="5">
        <v>1950</v>
      </c>
      <c r="AU64" s="6" t="e">
        <v>#N/A</v>
      </c>
      <c r="AV64" s="35">
        <v>105.85602304932046</v>
      </c>
      <c r="AW64" s="6" t="e">
        <v>#N/A</v>
      </c>
    </row>
    <row r="65" spans="1:49" x14ac:dyDescent="0.25">
      <c r="A65" t="s">
        <v>65</v>
      </c>
      <c r="B65" s="2">
        <v>38352</v>
      </c>
      <c r="C65" s="3" t="e">
        <v>#N/A</v>
      </c>
      <c r="D65" s="29" t="e">
        <v>#N/A</v>
      </c>
      <c r="E65" s="35">
        <v>107.58665000000001</v>
      </c>
      <c r="F65" s="29">
        <v>58.100700000000003</v>
      </c>
      <c r="G65" s="29">
        <v>61.7973</v>
      </c>
      <c r="H65" s="29">
        <v>92.799000000000007</v>
      </c>
      <c r="I65" s="29">
        <v>108.5986</v>
      </c>
      <c r="J65" s="29">
        <v>68.946899999999999</v>
      </c>
      <c r="K65" s="29">
        <v>83.496600000000001</v>
      </c>
      <c r="L65" s="29">
        <v>90.953000000000003</v>
      </c>
      <c r="M65" s="3">
        <v>3.93</v>
      </c>
      <c r="N65" s="3" t="e">
        <v>#N/A</v>
      </c>
      <c r="O65" s="3">
        <v>99.92</v>
      </c>
      <c r="P65" s="29">
        <v>91.336399999999998</v>
      </c>
      <c r="Q65" s="29" t="e">
        <v>#N/A</v>
      </c>
      <c r="R65" s="6">
        <v>15755.7</v>
      </c>
      <c r="S65" s="6">
        <v>17328.900000000001</v>
      </c>
      <c r="T65" s="3">
        <v>99.51</v>
      </c>
      <c r="U65" s="6">
        <v>41.1</v>
      </c>
      <c r="V65" s="3">
        <v>99.91</v>
      </c>
      <c r="W65" s="29" t="e">
        <v>#N/A</v>
      </c>
      <c r="X65" s="29" t="e">
        <v>#N/A</v>
      </c>
      <c r="Y65" s="29" t="e">
        <v>#N/A</v>
      </c>
      <c r="Z65" s="29" t="e">
        <v>#N/A</v>
      </c>
      <c r="AA65" s="29" t="e">
        <v>#N/A</v>
      </c>
      <c r="AB65" s="29" t="e">
        <v>#N/A</v>
      </c>
      <c r="AC65" s="29" t="e">
        <v>#N/A</v>
      </c>
      <c r="AD65" s="29" t="e">
        <v>#N/A</v>
      </c>
      <c r="AE65" s="29" t="e">
        <v>#N/A</v>
      </c>
      <c r="AF65" s="29" t="e">
        <v>#N/A</v>
      </c>
      <c r="AG65" s="29" t="e">
        <v>#N/A</v>
      </c>
      <c r="AH65" s="29" t="e">
        <v>#N/A</v>
      </c>
      <c r="AI65" s="3">
        <v>12503.79</v>
      </c>
      <c r="AJ65" s="4">
        <v>89.206999999999994</v>
      </c>
      <c r="AK65" s="4">
        <v>90.400999999999996</v>
      </c>
      <c r="AL65" s="4">
        <v>98.606999999999999</v>
      </c>
      <c r="AM65" s="4">
        <v>81.866</v>
      </c>
      <c r="AN65" s="4">
        <v>74.036000000000001</v>
      </c>
      <c r="AO65" s="5" t="e">
        <v>#N/A</v>
      </c>
      <c r="AP65" s="36">
        <v>84.418443999999994</v>
      </c>
      <c r="AQ65" s="6">
        <v>77</v>
      </c>
      <c r="AR65" s="3">
        <v>982947.35491117998</v>
      </c>
      <c r="AS65" s="5">
        <v>3194</v>
      </c>
      <c r="AT65" s="5">
        <v>1974</v>
      </c>
      <c r="AU65" s="6" t="e">
        <v>#N/A</v>
      </c>
      <c r="AV65" s="35">
        <v>106.4569778024923</v>
      </c>
      <c r="AW65" s="6" t="e">
        <v>#N/A</v>
      </c>
    </row>
    <row r="66" spans="1:49" x14ac:dyDescent="0.25">
      <c r="A66" t="s">
        <v>66</v>
      </c>
      <c r="B66" s="2">
        <v>38383</v>
      </c>
      <c r="C66" s="3" t="e">
        <v>#N/A</v>
      </c>
      <c r="D66" s="29" t="e">
        <v>#N/A</v>
      </c>
      <c r="E66" s="35">
        <v>107.14464</v>
      </c>
      <c r="F66" s="29">
        <v>58.039900000000003</v>
      </c>
      <c r="G66" s="29">
        <v>61.970199999999998</v>
      </c>
      <c r="H66" s="29">
        <v>93.354900000000001</v>
      </c>
      <c r="I66" s="29">
        <v>113.242</v>
      </c>
      <c r="J66" s="29">
        <v>70.991699999999994</v>
      </c>
      <c r="K66" s="29">
        <v>88.370500000000007</v>
      </c>
      <c r="L66" s="29">
        <v>90.139200000000002</v>
      </c>
      <c r="M66" s="3">
        <v>3.99</v>
      </c>
      <c r="N66" s="3" t="e">
        <v>#N/A</v>
      </c>
      <c r="O66" s="3">
        <v>99.91</v>
      </c>
      <c r="P66" s="29">
        <v>91.828800000000001</v>
      </c>
      <c r="Q66" s="29" t="e">
        <v>#N/A</v>
      </c>
      <c r="R66" s="6">
        <v>16364.9</v>
      </c>
      <c r="S66" s="6">
        <v>17697.5</v>
      </c>
      <c r="T66" s="3">
        <v>99.54</v>
      </c>
      <c r="U66" s="6">
        <v>42</v>
      </c>
      <c r="V66" s="3">
        <v>99.93</v>
      </c>
      <c r="W66" s="29" t="e">
        <v>#N/A</v>
      </c>
      <c r="X66" s="29" t="e">
        <v>#N/A</v>
      </c>
      <c r="Y66" s="29" t="e">
        <v>#N/A</v>
      </c>
      <c r="Z66" s="29" t="e">
        <v>#N/A</v>
      </c>
      <c r="AA66" s="29" t="e">
        <v>#N/A</v>
      </c>
      <c r="AB66" s="29" t="e">
        <v>#N/A</v>
      </c>
      <c r="AC66" s="29" t="e">
        <v>#N/A</v>
      </c>
      <c r="AD66" s="29" t="e">
        <v>#N/A</v>
      </c>
      <c r="AE66" s="29" t="e">
        <v>#N/A</v>
      </c>
      <c r="AF66" s="29" t="e">
        <v>#N/A</v>
      </c>
      <c r="AG66" s="29" t="e">
        <v>#N/A</v>
      </c>
      <c r="AH66" s="29" t="e">
        <v>#N/A</v>
      </c>
      <c r="AI66" s="3">
        <v>12752.58</v>
      </c>
      <c r="AJ66" s="4">
        <v>88.736000000000004</v>
      </c>
      <c r="AK66" s="4">
        <v>90.756</v>
      </c>
      <c r="AL66" s="4">
        <v>99.522999999999996</v>
      </c>
      <c r="AM66" s="4">
        <v>81.787000000000006</v>
      </c>
      <c r="AN66" s="4">
        <v>73.373999999999995</v>
      </c>
      <c r="AO66" s="5" t="e">
        <v>#N/A</v>
      </c>
      <c r="AP66" s="36">
        <v>84.537968000000006</v>
      </c>
      <c r="AQ66" s="6">
        <v>79.900000000000006</v>
      </c>
      <c r="AR66" s="3">
        <v>966427.68599465548</v>
      </c>
      <c r="AS66" s="5">
        <v>3333</v>
      </c>
      <c r="AT66" s="5">
        <v>1818</v>
      </c>
      <c r="AU66" s="6">
        <v>52.4</v>
      </c>
      <c r="AV66" s="35">
        <v>87.126523899194709</v>
      </c>
      <c r="AW66" s="6">
        <v>56.6</v>
      </c>
    </row>
    <row r="67" spans="1:49" x14ac:dyDescent="0.25">
      <c r="A67" t="s">
        <v>67</v>
      </c>
      <c r="B67" s="2">
        <v>38411</v>
      </c>
      <c r="C67" s="3" t="e">
        <v>#N/A</v>
      </c>
      <c r="D67" s="29" t="e">
        <v>#N/A</v>
      </c>
      <c r="E67" s="35">
        <v>108.28601999999999</v>
      </c>
      <c r="F67" s="29">
        <v>58.233800000000002</v>
      </c>
      <c r="G67" s="29">
        <v>62.126399999999997</v>
      </c>
      <c r="H67" s="29">
        <v>93.451400000000007</v>
      </c>
      <c r="I67" s="29">
        <v>113.4427</v>
      </c>
      <c r="J67" s="29">
        <v>71.590500000000006</v>
      </c>
      <c r="K67" s="29">
        <v>84.822299999999998</v>
      </c>
      <c r="L67" s="29">
        <v>90.875399999999999</v>
      </c>
      <c r="M67" s="3">
        <v>3.63</v>
      </c>
      <c r="N67" s="3" t="e">
        <v>#N/A</v>
      </c>
      <c r="O67" s="3">
        <v>99.87</v>
      </c>
      <c r="P67" s="29">
        <v>91.6648</v>
      </c>
      <c r="Q67" s="29" t="e">
        <v>#N/A</v>
      </c>
      <c r="R67" s="6">
        <v>16722.900000000001</v>
      </c>
      <c r="S67" s="6">
        <v>17667.8</v>
      </c>
      <c r="T67" s="3">
        <v>99.56</v>
      </c>
      <c r="U67" s="6">
        <v>43.8</v>
      </c>
      <c r="V67" s="3">
        <v>99.94</v>
      </c>
      <c r="W67" s="29" t="e">
        <v>#N/A</v>
      </c>
      <c r="X67" s="29" t="e">
        <v>#N/A</v>
      </c>
      <c r="Y67" s="29" t="e">
        <v>#N/A</v>
      </c>
      <c r="Z67" s="29" t="e">
        <v>#N/A</v>
      </c>
      <c r="AA67" s="29" t="e">
        <v>#N/A</v>
      </c>
      <c r="AB67" s="29" t="e">
        <v>#N/A</v>
      </c>
      <c r="AC67" s="29" t="e">
        <v>#N/A</v>
      </c>
      <c r="AD67" s="29" t="e">
        <v>#N/A</v>
      </c>
      <c r="AE67" s="29" t="e">
        <v>#N/A</v>
      </c>
      <c r="AF67" s="29" t="e">
        <v>#N/A</v>
      </c>
      <c r="AG67" s="29" t="e">
        <v>#N/A</v>
      </c>
      <c r="AH67" s="29" t="e">
        <v>#N/A</v>
      </c>
      <c r="AI67" s="3">
        <v>13586</v>
      </c>
      <c r="AJ67" s="4">
        <v>88.62</v>
      </c>
      <c r="AK67" s="4">
        <v>90.242000000000004</v>
      </c>
      <c r="AL67" s="4">
        <v>98.379000000000005</v>
      </c>
      <c r="AM67" s="4">
        <v>81.897000000000006</v>
      </c>
      <c r="AN67" s="4">
        <v>74.432000000000002</v>
      </c>
      <c r="AO67" s="5" t="e">
        <v>#N/A</v>
      </c>
      <c r="AP67" s="36">
        <v>84.779173999999998</v>
      </c>
      <c r="AQ67" s="6">
        <v>78.7</v>
      </c>
      <c r="AR67" s="3">
        <v>1001139.3879658567</v>
      </c>
      <c r="AS67" s="5">
        <v>3360</v>
      </c>
      <c r="AT67" s="5">
        <v>1898</v>
      </c>
      <c r="AU67" s="6">
        <v>53.6</v>
      </c>
      <c r="AV67" s="35">
        <v>76.060993456715224</v>
      </c>
      <c r="AW67" s="6">
        <v>55</v>
      </c>
    </row>
    <row r="68" spans="1:49" x14ac:dyDescent="0.25">
      <c r="A68" t="s">
        <v>68</v>
      </c>
      <c r="B68" s="2">
        <v>38442</v>
      </c>
      <c r="C68" s="3" t="e">
        <v>#N/A</v>
      </c>
      <c r="D68" s="29" t="e">
        <v>#N/A</v>
      </c>
      <c r="E68" s="35">
        <v>108.08723000000001</v>
      </c>
      <c r="F68" s="29">
        <v>58.429900000000004</v>
      </c>
      <c r="G68" s="29">
        <v>62.236199999999997</v>
      </c>
      <c r="H68" s="29">
        <v>93.062700000000007</v>
      </c>
      <c r="I68" s="29">
        <v>111.4179</v>
      </c>
      <c r="J68" s="29">
        <v>71.515299999999996</v>
      </c>
      <c r="K68" s="29">
        <v>85.185299999999998</v>
      </c>
      <c r="L68" s="29">
        <v>90.688599999999994</v>
      </c>
      <c r="M68" s="3">
        <v>3.65</v>
      </c>
      <c r="N68" s="3" t="e">
        <v>#N/A</v>
      </c>
      <c r="O68" s="3">
        <v>99.81</v>
      </c>
      <c r="P68" s="29">
        <v>92.239199999999997</v>
      </c>
      <c r="Q68" s="29" t="e">
        <v>#N/A</v>
      </c>
      <c r="R68" s="6">
        <v>16578.099999999999</v>
      </c>
      <c r="S68" s="6">
        <v>17491</v>
      </c>
      <c r="T68" s="3">
        <v>99.56</v>
      </c>
      <c r="U68" s="6">
        <v>42.2</v>
      </c>
      <c r="V68" s="3">
        <v>99.93</v>
      </c>
      <c r="W68" s="29" t="e">
        <v>#N/A</v>
      </c>
      <c r="X68" s="29" t="e">
        <v>#N/A</v>
      </c>
      <c r="Y68" s="29" t="e">
        <v>#N/A</v>
      </c>
      <c r="Z68" s="29" t="e">
        <v>#N/A</v>
      </c>
      <c r="AA68" s="29" t="e">
        <v>#N/A</v>
      </c>
      <c r="AB68" s="29" t="e">
        <v>#N/A</v>
      </c>
      <c r="AC68" s="29" t="e">
        <v>#N/A</v>
      </c>
      <c r="AD68" s="29" t="e">
        <v>#N/A</v>
      </c>
      <c r="AE68" s="29" t="e">
        <v>#N/A</v>
      </c>
      <c r="AF68" s="29" t="e">
        <v>#N/A</v>
      </c>
      <c r="AG68" s="29" t="e">
        <v>#N/A</v>
      </c>
      <c r="AH68" s="29" t="e">
        <v>#N/A</v>
      </c>
      <c r="AI68" s="3">
        <v>13294.26</v>
      </c>
      <c r="AJ68" s="4">
        <v>88.241</v>
      </c>
      <c r="AK68" s="4">
        <v>89.879000000000005</v>
      </c>
      <c r="AL68" s="4">
        <v>97.89</v>
      </c>
      <c r="AM68" s="4">
        <v>81.811999999999998</v>
      </c>
      <c r="AN68" s="4">
        <v>74.007000000000005</v>
      </c>
      <c r="AO68" s="5" t="e">
        <v>#N/A</v>
      </c>
      <c r="AP68" s="36">
        <v>84.487927999999997</v>
      </c>
      <c r="AQ68" s="6">
        <v>79.5</v>
      </c>
      <c r="AR68" s="3">
        <v>1044991.4498542621</v>
      </c>
      <c r="AS68" s="5">
        <v>3272</v>
      </c>
      <c r="AT68" s="5">
        <v>1856</v>
      </c>
      <c r="AU68" s="6">
        <v>51.5</v>
      </c>
      <c r="AV68" s="35">
        <v>55.697062943678254</v>
      </c>
      <c r="AW68" s="6">
        <v>54.4</v>
      </c>
    </row>
    <row r="69" spans="1:49" x14ac:dyDescent="0.25">
      <c r="A69" t="s">
        <v>69</v>
      </c>
      <c r="B69" s="2">
        <v>38472</v>
      </c>
      <c r="C69" s="3" t="e">
        <v>#N/A</v>
      </c>
      <c r="D69" s="29" t="e">
        <v>#N/A</v>
      </c>
      <c r="E69" s="35">
        <v>108.98515999999999</v>
      </c>
      <c r="F69" s="29">
        <v>58.829799999999999</v>
      </c>
      <c r="G69" s="29">
        <v>62.447299999999998</v>
      </c>
      <c r="H69" s="29">
        <v>93.6297</v>
      </c>
      <c r="I69" s="29">
        <v>114.2302</v>
      </c>
      <c r="J69" s="29">
        <v>71.816900000000004</v>
      </c>
      <c r="K69" s="29">
        <v>84.959299999999999</v>
      </c>
      <c r="L69" s="29">
        <v>90.769400000000005</v>
      </c>
      <c r="M69" s="3">
        <v>3.8</v>
      </c>
      <c r="N69" s="3" t="e">
        <v>#N/A</v>
      </c>
      <c r="O69" s="3">
        <v>99.75</v>
      </c>
      <c r="P69" s="29">
        <v>91.6648</v>
      </c>
      <c r="Q69" s="29" t="e">
        <v>#N/A</v>
      </c>
      <c r="R69" s="6">
        <v>17628.900000000001</v>
      </c>
      <c r="S69" s="6">
        <v>18030.900000000001</v>
      </c>
      <c r="T69" s="3">
        <v>99.57</v>
      </c>
      <c r="U69" s="6">
        <v>41.2</v>
      </c>
      <c r="V69" s="3">
        <v>99.92</v>
      </c>
      <c r="W69" s="29" t="e">
        <v>#N/A</v>
      </c>
      <c r="X69" s="29" t="e">
        <v>#N/A</v>
      </c>
      <c r="Y69" s="29" t="e">
        <v>#N/A</v>
      </c>
      <c r="Z69" s="29" t="e">
        <v>#N/A</v>
      </c>
      <c r="AA69" s="29" t="e">
        <v>#N/A</v>
      </c>
      <c r="AB69" s="29" t="e">
        <v>#N/A</v>
      </c>
      <c r="AC69" s="29" t="e">
        <v>#N/A</v>
      </c>
      <c r="AD69" s="29" t="e">
        <v>#N/A</v>
      </c>
      <c r="AE69" s="29" t="e">
        <v>#N/A</v>
      </c>
      <c r="AF69" s="29" t="e">
        <v>#N/A</v>
      </c>
      <c r="AG69" s="29" t="e">
        <v>#N/A</v>
      </c>
      <c r="AH69" s="29" t="e">
        <v>#N/A</v>
      </c>
      <c r="AI69" s="3">
        <v>12284.35</v>
      </c>
      <c r="AJ69" s="4">
        <v>88.754999999999995</v>
      </c>
      <c r="AK69" s="4">
        <v>90.24</v>
      </c>
      <c r="AL69" s="4">
        <v>98.634</v>
      </c>
      <c r="AM69" s="4">
        <v>81.804000000000002</v>
      </c>
      <c r="AN69" s="4">
        <v>75.144000000000005</v>
      </c>
      <c r="AO69" s="5" t="e">
        <v>#N/A</v>
      </c>
      <c r="AP69" s="36">
        <v>84.943247999999997</v>
      </c>
      <c r="AQ69" s="6">
        <v>78.5</v>
      </c>
      <c r="AR69" s="3">
        <v>988538.07803242339</v>
      </c>
      <c r="AS69" s="5">
        <v>3376</v>
      </c>
      <c r="AT69" s="5">
        <v>1781</v>
      </c>
      <c r="AU69" s="6">
        <v>49.9</v>
      </c>
      <c r="AV69" s="35">
        <v>182.10377063142485</v>
      </c>
      <c r="AW69" s="6">
        <v>51.5</v>
      </c>
    </row>
    <row r="70" spans="1:49" x14ac:dyDescent="0.25">
      <c r="A70" t="s">
        <v>70</v>
      </c>
      <c r="B70" s="2">
        <v>38503</v>
      </c>
      <c r="C70" s="3" t="e">
        <v>#N/A</v>
      </c>
      <c r="D70" s="29" t="e">
        <v>#N/A</v>
      </c>
      <c r="E70" s="35">
        <v>110.22448</v>
      </c>
      <c r="F70" s="29">
        <v>59.007800000000003</v>
      </c>
      <c r="G70" s="29">
        <v>62.595599999999997</v>
      </c>
      <c r="H70" s="29">
        <v>95.087800000000001</v>
      </c>
      <c r="I70" s="29">
        <v>116.07680000000001</v>
      </c>
      <c r="J70" s="29">
        <v>72.287899999999993</v>
      </c>
      <c r="K70" s="29">
        <v>85.830500000000001</v>
      </c>
      <c r="L70" s="29">
        <v>91.475200000000001</v>
      </c>
      <c r="M70" s="3">
        <v>3.74</v>
      </c>
      <c r="N70" s="3" t="e">
        <v>#N/A</v>
      </c>
      <c r="O70" s="3">
        <v>99.74</v>
      </c>
      <c r="P70" s="29">
        <v>92.321200000000005</v>
      </c>
      <c r="Q70" s="29" t="e">
        <v>#N/A</v>
      </c>
      <c r="R70" s="6">
        <v>17202.5</v>
      </c>
      <c r="S70" s="6">
        <v>17720.599999999999</v>
      </c>
      <c r="T70" s="3">
        <v>99.58</v>
      </c>
      <c r="U70" s="6">
        <v>40.1</v>
      </c>
      <c r="V70" s="3">
        <v>99.9</v>
      </c>
      <c r="W70" s="29" t="e">
        <v>#N/A</v>
      </c>
      <c r="X70" s="29" t="e">
        <v>#N/A</v>
      </c>
      <c r="Y70" s="29" t="e">
        <v>#N/A</v>
      </c>
      <c r="Z70" s="29" t="e">
        <v>#N/A</v>
      </c>
      <c r="AA70" s="29" t="e">
        <v>#N/A</v>
      </c>
      <c r="AB70" s="29" t="e">
        <v>#N/A</v>
      </c>
      <c r="AC70" s="29" t="e">
        <v>#N/A</v>
      </c>
      <c r="AD70" s="29" t="e">
        <v>#N/A</v>
      </c>
      <c r="AE70" s="29" t="e">
        <v>#N/A</v>
      </c>
      <c r="AF70" s="29" t="e">
        <v>#N/A</v>
      </c>
      <c r="AG70" s="29" t="e">
        <v>#N/A</v>
      </c>
      <c r="AH70" s="29" t="e">
        <v>#N/A</v>
      </c>
      <c r="AI70" s="3">
        <v>12717.73</v>
      </c>
      <c r="AJ70" s="4">
        <v>89.055999999999997</v>
      </c>
      <c r="AK70" s="4">
        <v>90.682000000000002</v>
      </c>
      <c r="AL70" s="4">
        <v>99.656000000000006</v>
      </c>
      <c r="AM70" s="4">
        <v>81.608000000000004</v>
      </c>
      <c r="AN70" s="4">
        <v>74.474999999999994</v>
      </c>
      <c r="AO70" s="5" t="e">
        <v>#N/A</v>
      </c>
      <c r="AP70" s="36">
        <v>85.905433000000002</v>
      </c>
      <c r="AQ70" s="6">
        <v>79.3</v>
      </c>
      <c r="AR70" s="3">
        <v>1007360.6700923259</v>
      </c>
      <c r="AS70" s="5">
        <v>3441</v>
      </c>
      <c r="AT70" s="5">
        <v>1841</v>
      </c>
      <c r="AU70" s="6">
        <v>50.3</v>
      </c>
      <c r="AV70" s="35">
        <v>84.259365495483067</v>
      </c>
      <c r="AW70" s="6">
        <v>54</v>
      </c>
    </row>
    <row r="71" spans="1:49" x14ac:dyDescent="0.25">
      <c r="A71" t="s">
        <v>71</v>
      </c>
      <c r="B71" s="2">
        <v>38533</v>
      </c>
      <c r="C71" s="3" t="e">
        <v>#N/A</v>
      </c>
      <c r="D71" s="29" t="e">
        <v>#N/A</v>
      </c>
      <c r="E71" s="35">
        <v>112.41038</v>
      </c>
      <c r="F71" s="29">
        <v>59.082599999999999</v>
      </c>
      <c r="G71" s="29">
        <v>62.7883</v>
      </c>
      <c r="H71" s="29">
        <v>93.463399999999993</v>
      </c>
      <c r="I71" s="29">
        <v>115.7101</v>
      </c>
      <c r="J71" s="29">
        <v>73.354699999999994</v>
      </c>
      <c r="K71" s="29">
        <v>85.685000000000002</v>
      </c>
      <c r="L71" s="29">
        <v>88.973699999999994</v>
      </c>
      <c r="M71" s="3">
        <v>3.93</v>
      </c>
      <c r="N71" s="3" t="e">
        <v>#N/A</v>
      </c>
      <c r="O71" s="3">
        <v>99.78</v>
      </c>
      <c r="P71" s="29">
        <v>90.351799999999997</v>
      </c>
      <c r="Q71" s="29" t="e">
        <v>#N/A</v>
      </c>
      <c r="R71" s="6">
        <v>17895.099999999999</v>
      </c>
      <c r="S71" s="6">
        <v>18204</v>
      </c>
      <c r="T71" s="3">
        <v>99.6</v>
      </c>
      <c r="U71" s="6">
        <v>40.9</v>
      </c>
      <c r="V71" s="3">
        <v>99.9</v>
      </c>
      <c r="W71" s="29" t="e">
        <v>#N/A</v>
      </c>
      <c r="X71" s="29" t="e">
        <v>#N/A</v>
      </c>
      <c r="Y71" s="29" t="e">
        <v>#N/A</v>
      </c>
      <c r="Z71" s="29" t="e">
        <v>#N/A</v>
      </c>
      <c r="AA71" s="29" t="e">
        <v>#N/A</v>
      </c>
      <c r="AB71" s="29" t="e">
        <v>#N/A</v>
      </c>
      <c r="AC71" s="29" t="e">
        <v>#N/A</v>
      </c>
      <c r="AD71" s="29" t="e">
        <v>#N/A</v>
      </c>
      <c r="AE71" s="29" t="e">
        <v>#N/A</v>
      </c>
      <c r="AF71" s="29" t="e">
        <v>#N/A</v>
      </c>
      <c r="AG71" s="29" t="e">
        <v>#N/A</v>
      </c>
      <c r="AH71" s="29" t="e">
        <v>#N/A</v>
      </c>
      <c r="AI71" s="3">
        <v>13375.52</v>
      </c>
      <c r="AJ71" s="4">
        <v>88.263000000000005</v>
      </c>
      <c r="AK71" s="4">
        <v>89.423000000000002</v>
      </c>
      <c r="AL71" s="4">
        <v>97.031000000000006</v>
      </c>
      <c r="AM71" s="4">
        <v>81.665999999999997</v>
      </c>
      <c r="AN71" s="4">
        <v>77.483000000000004</v>
      </c>
      <c r="AO71" s="5" t="e">
        <v>#N/A</v>
      </c>
      <c r="AP71" s="36">
        <v>84.543423000000004</v>
      </c>
      <c r="AQ71" s="6">
        <v>79.5</v>
      </c>
      <c r="AR71" s="3">
        <v>1026026.9304719215</v>
      </c>
      <c r="AS71" s="5">
        <v>3380</v>
      </c>
      <c r="AT71" s="5">
        <v>1796</v>
      </c>
      <c r="AU71" s="6">
        <v>50.5</v>
      </c>
      <c r="AV71" s="35">
        <v>68.76120404427931</v>
      </c>
      <c r="AW71" s="6">
        <v>54.7</v>
      </c>
    </row>
    <row r="72" spans="1:49" x14ac:dyDescent="0.25">
      <c r="A72" t="s">
        <v>72</v>
      </c>
      <c r="B72" s="2">
        <v>38564</v>
      </c>
      <c r="C72" s="3" t="e">
        <v>#N/A</v>
      </c>
      <c r="D72" s="29" t="e">
        <v>#N/A</v>
      </c>
      <c r="E72" s="35">
        <v>114.25118999999999</v>
      </c>
      <c r="F72" s="29">
        <v>59.351199999999999</v>
      </c>
      <c r="G72" s="29">
        <v>62.979199999999999</v>
      </c>
      <c r="H72" s="29">
        <v>91.630600000000001</v>
      </c>
      <c r="I72" s="29">
        <v>105.7775</v>
      </c>
      <c r="J72" s="29">
        <v>73.567499999999995</v>
      </c>
      <c r="K72" s="29">
        <v>84.738799999999998</v>
      </c>
      <c r="L72" s="29">
        <v>90.162499999999994</v>
      </c>
      <c r="M72" s="3">
        <v>3.81</v>
      </c>
      <c r="N72" s="3" t="e">
        <v>#N/A</v>
      </c>
      <c r="O72" s="3">
        <v>99.86</v>
      </c>
      <c r="P72" s="29">
        <v>90.762</v>
      </c>
      <c r="Q72" s="29" t="e">
        <v>#N/A</v>
      </c>
      <c r="R72" s="6">
        <v>17155.2</v>
      </c>
      <c r="S72" s="6">
        <v>18276.099999999999</v>
      </c>
      <c r="T72" s="3">
        <v>99.67</v>
      </c>
      <c r="U72" s="6">
        <v>41</v>
      </c>
      <c r="V72" s="3">
        <v>99.91</v>
      </c>
      <c r="W72" s="29" t="e">
        <v>#N/A</v>
      </c>
      <c r="X72" s="29" t="e">
        <v>#N/A</v>
      </c>
      <c r="Y72" s="29" t="e">
        <v>#N/A</v>
      </c>
      <c r="Z72" s="29" t="e">
        <v>#N/A</v>
      </c>
      <c r="AA72" s="29" t="e">
        <v>#N/A</v>
      </c>
      <c r="AB72" s="29" t="e">
        <v>#N/A</v>
      </c>
      <c r="AC72" s="29" t="e">
        <v>#N/A</v>
      </c>
      <c r="AD72" s="29" t="e">
        <v>#N/A</v>
      </c>
      <c r="AE72" s="29" t="e">
        <v>#N/A</v>
      </c>
      <c r="AF72" s="29" t="e">
        <v>#N/A</v>
      </c>
      <c r="AG72" s="29" t="e">
        <v>#N/A</v>
      </c>
      <c r="AH72" s="29" t="e">
        <v>#N/A</v>
      </c>
      <c r="AI72" s="3">
        <v>14003.4</v>
      </c>
      <c r="AJ72" s="4">
        <v>89.013999999999996</v>
      </c>
      <c r="AK72" s="4">
        <v>90.272999999999996</v>
      </c>
      <c r="AL72" s="4">
        <v>99.006</v>
      </c>
      <c r="AM72" s="4">
        <v>81.52</v>
      </c>
      <c r="AN72" s="4">
        <v>78.134</v>
      </c>
      <c r="AO72" s="5" t="e">
        <v>#N/A</v>
      </c>
      <c r="AP72" s="36">
        <v>84.821742999999998</v>
      </c>
      <c r="AQ72" s="6">
        <v>78.400000000000006</v>
      </c>
      <c r="AR72" s="3">
        <v>994691.76172919536</v>
      </c>
      <c r="AS72" s="5">
        <v>3099</v>
      </c>
      <c r="AT72" s="5">
        <v>1714</v>
      </c>
      <c r="AU72" s="6">
        <v>51</v>
      </c>
      <c r="AV72" s="35">
        <v>81.944410508906458</v>
      </c>
      <c r="AW72" s="6">
        <v>57.2</v>
      </c>
    </row>
    <row r="73" spans="1:49" x14ac:dyDescent="0.25">
      <c r="A73" t="s">
        <v>73</v>
      </c>
      <c r="B73" s="2">
        <v>38595</v>
      </c>
      <c r="C73" s="3" t="e">
        <v>#N/A</v>
      </c>
      <c r="D73" s="29" t="e">
        <v>#N/A</v>
      </c>
      <c r="E73" s="35">
        <v>113.01056</v>
      </c>
      <c r="F73" s="29">
        <v>59.4011</v>
      </c>
      <c r="G73" s="29">
        <v>63.118400000000001</v>
      </c>
      <c r="H73" s="29">
        <v>94.326599999999999</v>
      </c>
      <c r="I73" s="29">
        <v>115.5784</v>
      </c>
      <c r="J73" s="29">
        <v>72.787499999999994</v>
      </c>
      <c r="K73" s="29">
        <v>84.496300000000005</v>
      </c>
      <c r="L73" s="29">
        <v>91.097700000000003</v>
      </c>
      <c r="M73" s="3">
        <v>3.36</v>
      </c>
      <c r="N73" s="3" t="e">
        <v>#N/A</v>
      </c>
      <c r="O73" s="3">
        <v>99.98</v>
      </c>
      <c r="P73" s="29">
        <v>92.239199999999997</v>
      </c>
      <c r="Q73" s="29" t="e">
        <v>#N/A</v>
      </c>
      <c r="R73" s="6">
        <v>17865.8</v>
      </c>
      <c r="S73" s="6">
        <v>18403.099999999999</v>
      </c>
      <c r="T73" s="3">
        <v>99.8</v>
      </c>
      <c r="U73" s="6">
        <v>40.1</v>
      </c>
      <c r="V73" s="3">
        <v>99.96</v>
      </c>
      <c r="W73" s="29" t="e">
        <v>#N/A</v>
      </c>
      <c r="X73" s="29" t="e">
        <v>#N/A</v>
      </c>
      <c r="Y73" s="29" t="e">
        <v>#N/A</v>
      </c>
      <c r="Z73" s="29" t="e">
        <v>#N/A</v>
      </c>
      <c r="AA73" s="29" t="e">
        <v>#N/A</v>
      </c>
      <c r="AB73" s="29" t="e">
        <v>#N/A</v>
      </c>
      <c r="AC73" s="29" t="e">
        <v>#N/A</v>
      </c>
      <c r="AD73" s="29" t="e">
        <v>#N/A</v>
      </c>
      <c r="AE73" s="29" t="e">
        <v>#N/A</v>
      </c>
      <c r="AF73" s="29" t="e">
        <v>#N/A</v>
      </c>
      <c r="AG73" s="29" t="e">
        <v>#N/A</v>
      </c>
      <c r="AH73" s="29" t="e">
        <v>#N/A</v>
      </c>
      <c r="AI73" s="3">
        <v>14580.26</v>
      </c>
      <c r="AJ73" s="4">
        <v>89.563999999999993</v>
      </c>
      <c r="AK73" s="4">
        <v>91.218000000000004</v>
      </c>
      <c r="AL73" s="4">
        <v>100.465</v>
      </c>
      <c r="AM73" s="4">
        <v>81.804000000000002</v>
      </c>
      <c r="AN73" s="4">
        <v>74.616</v>
      </c>
      <c r="AO73" s="5" t="e">
        <v>#N/A</v>
      </c>
      <c r="AP73" s="36">
        <v>85.998676000000003</v>
      </c>
      <c r="AQ73" s="6">
        <v>79.599999999999994</v>
      </c>
      <c r="AR73" s="3">
        <v>979484.47643408645</v>
      </c>
      <c r="AS73" s="5">
        <v>3414</v>
      </c>
      <c r="AT73" s="5">
        <v>1766</v>
      </c>
      <c r="AU73" s="6">
        <v>51.2</v>
      </c>
      <c r="AV73" s="35">
        <v>70.376107325762732</v>
      </c>
      <c r="AW73" s="6">
        <v>54.7</v>
      </c>
    </row>
    <row r="74" spans="1:49" x14ac:dyDescent="0.25">
      <c r="A74" t="s">
        <v>74</v>
      </c>
      <c r="B74" s="2">
        <v>38625</v>
      </c>
      <c r="C74" s="3" t="e">
        <v>#N/A</v>
      </c>
      <c r="D74" s="29" t="e">
        <v>#N/A</v>
      </c>
      <c r="E74" s="35">
        <v>111.34645</v>
      </c>
      <c r="F74" s="29">
        <v>59.466900000000003</v>
      </c>
      <c r="G74" s="29">
        <v>63.274500000000003</v>
      </c>
      <c r="H74" s="29">
        <v>94.387699999999995</v>
      </c>
      <c r="I74" s="29">
        <v>113.5651</v>
      </c>
      <c r="J74" s="29">
        <v>73.198899999999995</v>
      </c>
      <c r="K74" s="29">
        <v>85.676000000000002</v>
      </c>
      <c r="L74" s="29">
        <v>92.105500000000006</v>
      </c>
      <c r="M74" s="3">
        <v>3.41</v>
      </c>
      <c r="N74" s="3" t="e">
        <v>#N/A</v>
      </c>
      <c r="O74" s="3">
        <v>100.13</v>
      </c>
      <c r="P74" s="29">
        <v>94.454899999999995</v>
      </c>
      <c r="Q74" s="29" t="e">
        <v>#N/A</v>
      </c>
      <c r="R74" s="6">
        <v>18314.400000000001</v>
      </c>
      <c r="S74" s="6">
        <v>18421.400000000001</v>
      </c>
      <c r="T74" s="3">
        <v>99.96</v>
      </c>
      <c r="U74" s="6">
        <v>41.6</v>
      </c>
      <c r="V74" s="3">
        <v>100.03</v>
      </c>
      <c r="W74" s="29" t="e">
        <v>#N/A</v>
      </c>
      <c r="X74" s="29" t="e">
        <v>#N/A</v>
      </c>
      <c r="Y74" s="29" t="e">
        <v>#N/A</v>
      </c>
      <c r="Z74" s="29" t="e">
        <v>#N/A</v>
      </c>
      <c r="AA74" s="29" t="e">
        <v>#N/A</v>
      </c>
      <c r="AB74" s="29" t="e">
        <v>#N/A</v>
      </c>
      <c r="AC74" s="29" t="e">
        <v>#N/A</v>
      </c>
      <c r="AD74" s="29" t="e">
        <v>#N/A</v>
      </c>
      <c r="AE74" s="29" t="e">
        <v>#N/A</v>
      </c>
      <c r="AF74" s="29" t="e">
        <v>#N/A</v>
      </c>
      <c r="AG74" s="29" t="e">
        <v>#N/A</v>
      </c>
      <c r="AH74" s="29" t="e">
        <v>#N/A</v>
      </c>
      <c r="AI74" s="3">
        <v>15393.03</v>
      </c>
      <c r="AJ74" s="4">
        <v>90.149000000000001</v>
      </c>
      <c r="AK74" s="4">
        <v>91.74</v>
      </c>
      <c r="AL74" s="4">
        <v>101.16500000000001</v>
      </c>
      <c r="AM74" s="4">
        <v>82.096999999999994</v>
      </c>
      <c r="AN74" s="4">
        <v>76.954999999999998</v>
      </c>
      <c r="AO74" s="5" t="e">
        <v>#N/A</v>
      </c>
      <c r="AP74" s="36">
        <v>86.128849000000002</v>
      </c>
      <c r="AQ74" s="6">
        <v>80.3</v>
      </c>
      <c r="AR74" s="3">
        <v>1095126.5184226714</v>
      </c>
      <c r="AS74" s="5">
        <v>3338</v>
      </c>
      <c r="AT74" s="5">
        <v>1677</v>
      </c>
      <c r="AU74" s="6">
        <v>52.2</v>
      </c>
      <c r="AV74" s="35">
        <v>74.337340204616922</v>
      </c>
      <c r="AW74" s="6">
        <v>55</v>
      </c>
    </row>
    <row r="75" spans="1:49" x14ac:dyDescent="0.25">
      <c r="A75" t="s">
        <v>75</v>
      </c>
      <c r="B75" s="2">
        <v>38656</v>
      </c>
      <c r="C75" s="3" t="e">
        <v>#N/A</v>
      </c>
      <c r="D75" s="29" t="e">
        <v>#N/A</v>
      </c>
      <c r="E75" s="35">
        <v>111.44351</v>
      </c>
      <c r="F75" s="29">
        <v>59.553699999999999</v>
      </c>
      <c r="G75" s="29">
        <v>63.4559</v>
      </c>
      <c r="H75" s="29">
        <v>94.302400000000006</v>
      </c>
      <c r="I75" s="29">
        <v>111.77719999999999</v>
      </c>
      <c r="J75" s="29">
        <v>73.7226</v>
      </c>
      <c r="K75" s="29">
        <v>86.1</v>
      </c>
      <c r="L75" s="29">
        <v>93.223600000000005</v>
      </c>
      <c r="M75" s="3">
        <v>3.4</v>
      </c>
      <c r="N75" s="3" t="e">
        <v>#N/A</v>
      </c>
      <c r="O75" s="3">
        <v>100.29</v>
      </c>
      <c r="P75" s="29">
        <v>93.470200000000006</v>
      </c>
      <c r="Q75" s="29" t="e">
        <v>#N/A</v>
      </c>
      <c r="R75" s="6">
        <v>18807.3</v>
      </c>
      <c r="S75" s="6">
        <v>19303</v>
      </c>
      <c r="T75" s="3">
        <v>100.13</v>
      </c>
      <c r="U75" s="6">
        <v>42.8</v>
      </c>
      <c r="V75" s="3">
        <v>100.14</v>
      </c>
      <c r="W75" s="29" t="e">
        <v>#N/A</v>
      </c>
      <c r="X75" s="29" t="e">
        <v>#N/A</v>
      </c>
      <c r="Y75" s="29" t="e">
        <v>#N/A</v>
      </c>
      <c r="Z75" s="29" t="e">
        <v>#N/A</v>
      </c>
      <c r="AA75" s="29" t="e">
        <v>#N/A</v>
      </c>
      <c r="AB75" s="29" t="e">
        <v>#N/A</v>
      </c>
      <c r="AC75" s="29" t="e">
        <v>#N/A</v>
      </c>
      <c r="AD75" s="29" t="e">
        <v>#N/A</v>
      </c>
      <c r="AE75" s="29" t="e">
        <v>#N/A</v>
      </c>
      <c r="AF75" s="29" t="e">
        <v>#N/A</v>
      </c>
      <c r="AG75" s="29" t="e">
        <v>#N/A</v>
      </c>
      <c r="AH75" s="29" t="e">
        <v>#N/A</v>
      </c>
      <c r="AI75" s="3">
        <v>15362.09</v>
      </c>
      <c r="AJ75" s="4">
        <v>89.572000000000003</v>
      </c>
      <c r="AK75" s="4">
        <v>90.966999999999999</v>
      </c>
      <c r="AL75" s="4">
        <v>99.965000000000003</v>
      </c>
      <c r="AM75" s="4">
        <v>82.01</v>
      </c>
      <c r="AN75" s="4">
        <v>77.650999999999996</v>
      </c>
      <c r="AO75" s="5" t="e">
        <v>#N/A</v>
      </c>
      <c r="AP75" s="36">
        <v>86.277167000000006</v>
      </c>
      <c r="AQ75" s="6">
        <v>80.3</v>
      </c>
      <c r="AR75" s="3">
        <v>960746.36354922445</v>
      </c>
      <c r="AS75" s="5">
        <v>3275</v>
      </c>
      <c r="AT75" s="5">
        <v>1908</v>
      </c>
      <c r="AU75" s="6">
        <v>51.9</v>
      </c>
      <c r="AV75" s="35">
        <v>88.145927505350969</v>
      </c>
      <c r="AW75" s="6">
        <v>54.1</v>
      </c>
    </row>
    <row r="76" spans="1:49" x14ac:dyDescent="0.25">
      <c r="A76" t="s">
        <v>76</v>
      </c>
      <c r="B76" s="2">
        <v>38686</v>
      </c>
      <c r="C76" s="3" t="e">
        <v>#N/A</v>
      </c>
      <c r="D76" s="29" t="e">
        <v>#N/A</v>
      </c>
      <c r="E76" s="35">
        <v>114.82468</v>
      </c>
      <c r="F76" s="29">
        <v>59.724699999999999</v>
      </c>
      <c r="G76" s="29">
        <v>63.630099999999999</v>
      </c>
      <c r="H76" s="29">
        <v>96.225300000000004</v>
      </c>
      <c r="I76" s="29">
        <v>115.09950000000001</v>
      </c>
      <c r="J76" s="29">
        <v>74.450800000000001</v>
      </c>
      <c r="K76" s="29">
        <v>87.513599999999997</v>
      </c>
      <c r="L76" s="29">
        <v>94.006900000000002</v>
      </c>
      <c r="M76" s="3">
        <v>3.22</v>
      </c>
      <c r="N76" s="3" t="e">
        <v>#N/A</v>
      </c>
      <c r="O76" s="3">
        <v>100.47</v>
      </c>
      <c r="P76" s="29">
        <v>93.059799999999996</v>
      </c>
      <c r="Q76" s="29" t="e">
        <v>#N/A</v>
      </c>
      <c r="R76" s="6">
        <v>19499.7</v>
      </c>
      <c r="S76" s="6">
        <v>20004.2</v>
      </c>
      <c r="T76" s="3">
        <v>100.3</v>
      </c>
      <c r="U76" s="6">
        <v>43.3</v>
      </c>
      <c r="V76" s="3">
        <v>100.25</v>
      </c>
      <c r="W76" s="29" t="e">
        <v>#N/A</v>
      </c>
      <c r="X76" s="29" t="e">
        <v>#N/A</v>
      </c>
      <c r="Y76" s="29" t="e">
        <v>#N/A</v>
      </c>
      <c r="Z76" s="29" t="e">
        <v>#N/A</v>
      </c>
      <c r="AA76" s="29" t="e">
        <v>#N/A</v>
      </c>
      <c r="AB76" s="29" t="e">
        <v>#N/A</v>
      </c>
      <c r="AC76" s="29" t="e">
        <v>#N/A</v>
      </c>
      <c r="AD76" s="29" t="e">
        <v>#N/A</v>
      </c>
      <c r="AE76" s="29" t="e">
        <v>#N/A</v>
      </c>
      <c r="AF76" s="29" t="e">
        <v>#N/A</v>
      </c>
      <c r="AG76" s="29" t="e">
        <v>#N/A</v>
      </c>
      <c r="AH76" s="29" t="e">
        <v>#N/A</v>
      </c>
      <c r="AI76" s="3">
        <v>16354.64</v>
      </c>
      <c r="AJ76" s="4">
        <v>89.998999999999995</v>
      </c>
      <c r="AK76" s="4">
        <v>91.292000000000002</v>
      </c>
      <c r="AL76" s="4">
        <v>100.268</v>
      </c>
      <c r="AM76" s="4">
        <v>81.878</v>
      </c>
      <c r="AN76" s="4">
        <v>77.742000000000004</v>
      </c>
      <c r="AO76" s="5" t="e">
        <v>#N/A</v>
      </c>
      <c r="AP76" s="36">
        <v>87.132930000000002</v>
      </c>
      <c r="AQ76" s="6">
        <v>82.7</v>
      </c>
      <c r="AR76" s="3">
        <v>845917.83238108119</v>
      </c>
      <c r="AS76" s="5">
        <v>3350</v>
      </c>
      <c r="AT76" s="5">
        <v>1909</v>
      </c>
      <c r="AU76" s="6">
        <v>52.6</v>
      </c>
      <c r="AV76" s="35">
        <v>45.535161651752162</v>
      </c>
      <c r="AW76" s="6">
        <v>55.1</v>
      </c>
    </row>
    <row r="77" spans="1:49" x14ac:dyDescent="0.25">
      <c r="A77" t="s">
        <v>77</v>
      </c>
      <c r="B77" s="2">
        <v>38717</v>
      </c>
      <c r="C77" s="3" t="e">
        <v>#N/A</v>
      </c>
      <c r="D77" s="29" t="e">
        <v>#N/A</v>
      </c>
      <c r="E77" s="35">
        <v>115.66074</v>
      </c>
      <c r="F77" s="29">
        <v>60.002800000000001</v>
      </c>
      <c r="G77" s="29">
        <v>63.804400000000001</v>
      </c>
      <c r="H77" s="29">
        <v>97.857200000000006</v>
      </c>
      <c r="I77" s="29">
        <v>115.4182</v>
      </c>
      <c r="J77" s="29">
        <v>73.346000000000004</v>
      </c>
      <c r="K77" s="29">
        <v>89.556399999999996</v>
      </c>
      <c r="L77" s="29">
        <v>94.629199999999997</v>
      </c>
      <c r="M77" s="3">
        <v>3.21</v>
      </c>
      <c r="N77" s="3" t="e">
        <v>#N/A</v>
      </c>
      <c r="O77" s="3">
        <v>100.63</v>
      </c>
      <c r="P77" s="29">
        <v>93.305999999999997</v>
      </c>
      <c r="Q77" s="29" t="e">
        <v>#N/A</v>
      </c>
      <c r="R77" s="6">
        <v>20238.400000000001</v>
      </c>
      <c r="S77" s="6">
        <v>20721.900000000001</v>
      </c>
      <c r="T77" s="3">
        <v>100.45</v>
      </c>
      <c r="U77" s="6">
        <v>43.6</v>
      </c>
      <c r="V77" s="3">
        <v>100.36</v>
      </c>
      <c r="W77" s="29" t="e">
        <v>#N/A</v>
      </c>
      <c r="X77" s="29" t="e">
        <v>#N/A</v>
      </c>
      <c r="Y77" s="29" t="e">
        <v>#N/A</v>
      </c>
      <c r="Z77" s="29" t="e">
        <v>#N/A</v>
      </c>
      <c r="AA77" s="29" t="e">
        <v>#N/A</v>
      </c>
      <c r="AB77" s="29" t="e">
        <v>#N/A</v>
      </c>
      <c r="AC77" s="29" t="e">
        <v>#N/A</v>
      </c>
      <c r="AD77" s="29" t="e">
        <v>#N/A</v>
      </c>
      <c r="AE77" s="29" t="e">
        <v>#N/A</v>
      </c>
      <c r="AF77" s="29" t="e">
        <v>#N/A</v>
      </c>
      <c r="AG77" s="29" t="e">
        <v>#N/A</v>
      </c>
      <c r="AH77" s="29" t="e">
        <v>#N/A</v>
      </c>
      <c r="AI77" s="3">
        <v>17626.650000000001</v>
      </c>
      <c r="AJ77" s="4">
        <v>90.263999999999996</v>
      </c>
      <c r="AK77" s="4">
        <v>90.539000000000001</v>
      </c>
      <c r="AL77" s="4">
        <v>98.084999999999994</v>
      </c>
      <c r="AM77" s="4">
        <v>82.603999999999999</v>
      </c>
      <c r="AN77" s="4">
        <v>82.113</v>
      </c>
      <c r="AO77" s="5" t="e">
        <v>#N/A</v>
      </c>
      <c r="AP77" s="36">
        <v>87.617952000000002</v>
      </c>
      <c r="AQ77" s="6">
        <v>85.1</v>
      </c>
      <c r="AR77" s="3">
        <v>916957.53547866712</v>
      </c>
      <c r="AS77" s="5">
        <v>3369</v>
      </c>
      <c r="AT77" s="5">
        <v>1848</v>
      </c>
      <c r="AU77" s="6">
        <v>52.7</v>
      </c>
      <c r="AV77" s="35">
        <v>59.744307790111435</v>
      </c>
      <c r="AW77" s="6">
        <v>56</v>
      </c>
    </row>
    <row r="78" spans="1:49" x14ac:dyDescent="0.25">
      <c r="A78" t="s">
        <v>78</v>
      </c>
      <c r="B78" s="2">
        <v>38748</v>
      </c>
      <c r="C78" s="3" t="e">
        <v>#N/A</v>
      </c>
      <c r="D78" s="29" t="e">
        <v>#N/A</v>
      </c>
      <c r="E78" s="35">
        <v>115.82867</v>
      </c>
      <c r="F78" s="29">
        <v>60.314599999999999</v>
      </c>
      <c r="G78" s="29">
        <v>63.892699999999998</v>
      </c>
      <c r="H78" s="29">
        <v>97.371300000000005</v>
      </c>
      <c r="I78" s="29">
        <v>115.23820000000001</v>
      </c>
      <c r="J78" s="29">
        <v>76.343500000000006</v>
      </c>
      <c r="K78" s="29">
        <v>90.343000000000004</v>
      </c>
      <c r="L78" s="29">
        <v>95.562299999999993</v>
      </c>
      <c r="M78" s="3">
        <v>3.3</v>
      </c>
      <c r="N78" s="3" t="e">
        <v>#N/A</v>
      </c>
      <c r="O78" s="3">
        <v>100.77</v>
      </c>
      <c r="P78" s="29">
        <v>94.290800000000004</v>
      </c>
      <c r="Q78" s="29" t="e">
        <v>#N/A</v>
      </c>
      <c r="R78" s="6">
        <v>21196.400000000001</v>
      </c>
      <c r="S78" s="6">
        <v>20167.3</v>
      </c>
      <c r="T78" s="3">
        <v>100.56</v>
      </c>
      <c r="U78" s="6">
        <v>43.9</v>
      </c>
      <c r="V78" s="3">
        <v>100.46</v>
      </c>
      <c r="W78" s="29" t="e">
        <v>#N/A</v>
      </c>
      <c r="X78" s="29" t="e">
        <v>#N/A</v>
      </c>
      <c r="Y78" s="29" t="e">
        <v>#N/A</v>
      </c>
      <c r="Z78" s="29" t="e">
        <v>#N/A</v>
      </c>
      <c r="AA78" s="29" t="e">
        <v>#N/A</v>
      </c>
      <c r="AB78" s="29" t="e">
        <v>#N/A</v>
      </c>
      <c r="AC78" s="29" t="e">
        <v>#N/A</v>
      </c>
      <c r="AD78" s="29" t="e">
        <v>#N/A</v>
      </c>
      <c r="AE78" s="29" t="e">
        <v>#N/A</v>
      </c>
      <c r="AF78" s="29" t="e">
        <v>#N/A</v>
      </c>
      <c r="AG78" s="29" t="e">
        <v>#N/A</v>
      </c>
      <c r="AH78" s="29" t="e">
        <v>#N/A</v>
      </c>
      <c r="AI78" s="3">
        <v>18728.48</v>
      </c>
      <c r="AJ78" s="4">
        <v>91.44</v>
      </c>
      <c r="AK78" s="4">
        <v>92.600999999999999</v>
      </c>
      <c r="AL78" s="4">
        <v>101.818</v>
      </c>
      <c r="AM78" s="4">
        <v>83.174999999999997</v>
      </c>
      <c r="AN78" s="4">
        <v>83.003</v>
      </c>
      <c r="AO78" s="5" t="e">
        <v>#N/A</v>
      </c>
      <c r="AP78" s="36">
        <v>88.997845999999996</v>
      </c>
      <c r="AQ78" s="6">
        <v>85.6</v>
      </c>
      <c r="AR78" s="3">
        <v>940145.71767913422</v>
      </c>
      <c r="AS78" s="5">
        <v>3365</v>
      </c>
      <c r="AT78" s="5">
        <v>2052</v>
      </c>
      <c r="AU78" s="6">
        <v>53.8</v>
      </c>
      <c r="AV78" s="35">
        <v>57.844609593097537</v>
      </c>
      <c r="AW78" s="6">
        <v>55.6</v>
      </c>
    </row>
    <row r="79" spans="1:49" x14ac:dyDescent="0.25">
      <c r="A79" t="s">
        <v>79</v>
      </c>
      <c r="B79" s="2">
        <v>38776</v>
      </c>
      <c r="C79" s="3" t="e">
        <v>#N/A</v>
      </c>
      <c r="D79" s="29" t="e">
        <v>#N/A</v>
      </c>
      <c r="E79" s="35">
        <v>116.66338</v>
      </c>
      <c r="F79" s="29">
        <v>60.404800000000002</v>
      </c>
      <c r="G79" s="29">
        <v>64.033600000000007</v>
      </c>
      <c r="H79" s="29">
        <v>96.883099999999999</v>
      </c>
      <c r="I79" s="29">
        <v>113.6635</v>
      </c>
      <c r="J79" s="29">
        <v>77.594300000000004</v>
      </c>
      <c r="K79" s="29">
        <v>89.310100000000006</v>
      </c>
      <c r="L79" s="29">
        <v>94.892499999999998</v>
      </c>
      <c r="M79" s="3">
        <v>3.51</v>
      </c>
      <c r="N79" s="3" t="e">
        <v>#N/A</v>
      </c>
      <c r="O79" s="3">
        <v>100.89</v>
      </c>
      <c r="P79" s="29">
        <v>94.619</v>
      </c>
      <c r="Q79" s="29" t="e">
        <v>#N/A</v>
      </c>
      <c r="R79" s="6">
        <v>20349.3</v>
      </c>
      <c r="S79" s="6">
        <v>20499.900000000001</v>
      </c>
      <c r="T79" s="3">
        <v>100.64</v>
      </c>
      <c r="U79" s="6">
        <v>44.4</v>
      </c>
      <c r="V79" s="3">
        <v>100.54</v>
      </c>
      <c r="W79" s="29" t="e">
        <v>#N/A</v>
      </c>
      <c r="X79" s="29" t="e">
        <v>#N/A</v>
      </c>
      <c r="Y79" s="29" t="e">
        <v>#N/A</v>
      </c>
      <c r="Z79" s="29" t="e">
        <v>#N/A</v>
      </c>
      <c r="AA79" s="29" t="e">
        <v>#N/A</v>
      </c>
      <c r="AB79" s="29" t="e">
        <v>#N/A</v>
      </c>
      <c r="AC79" s="29" t="e">
        <v>#N/A</v>
      </c>
      <c r="AD79" s="29" t="e">
        <v>#N/A</v>
      </c>
      <c r="AE79" s="29" t="e">
        <v>#N/A</v>
      </c>
      <c r="AF79" s="29" t="e">
        <v>#N/A</v>
      </c>
      <c r="AG79" s="29" t="e">
        <v>#N/A</v>
      </c>
      <c r="AH79" s="29" t="e">
        <v>#N/A</v>
      </c>
      <c r="AI79" s="3">
        <v>18633.84</v>
      </c>
      <c r="AJ79" s="4">
        <v>91.763999999999996</v>
      </c>
      <c r="AK79" s="4">
        <v>92.796999999999997</v>
      </c>
      <c r="AL79" s="4">
        <v>101.783</v>
      </c>
      <c r="AM79" s="4">
        <v>83.626999999999995</v>
      </c>
      <c r="AN79" s="4">
        <v>83.460999999999999</v>
      </c>
      <c r="AO79" s="5" t="e">
        <v>#N/A</v>
      </c>
      <c r="AP79" s="36">
        <v>88.309560000000005</v>
      </c>
      <c r="AQ79" s="6">
        <v>84.5</v>
      </c>
      <c r="AR79" s="3">
        <v>929656.35448042129</v>
      </c>
      <c r="AS79" s="5">
        <v>3318</v>
      </c>
      <c r="AT79" s="5">
        <v>1968</v>
      </c>
      <c r="AU79" s="6">
        <v>51.9</v>
      </c>
      <c r="AV79" s="35">
        <v>38.884218032984826</v>
      </c>
      <c r="AW79" s="6">
        <v>52.3</v>
      </c>
    </row>
    <row r="80" spans="1:49" x14ac:dyDescent="0.25">
      <c r="A80" t="s">
        <v>80</v>
      </c>
      <c r="B80" s="2">
        <v>38807</v>
      </c>
      <c r="C80" s="3" t="e">
        <v>#N/A</v>
      </c>
      <c r="D80" s="29" t="e">
        <v>#N/A</v>
      </c>
      <c r="E80" s="35">
        <v>113.65047</v>
      </c>
      <c r="F80" s="29">
        <v>60.493400000000001</v>
      </c>
      <c r="G80" s="29">
        <v>64.282700000000006</v>
      </c>
      <c r="H80" s="29">
        <v>97.477400000000003</v>
      </c>
      <c r="I80" s="29">
        <v>114.1144</v>
      </c>
      <c r="J80" s="29">
        <v>78.394499999999994</v>
      </c>
      <c r="K80" s="29">
        <v>91.214399999999998</v>
      </c>
      <c r="L80" s="29">
        <v>94.872</v>
      </c>
      <c r="M80" s="3">
        <v>3.55</v>
      </c>
      <c r="N80" s="3" t="e">
        <v>#N/A</v>
      </c>
      <c r="O80" s="3">
        <v>100.98</v>
      </c>
      <c r="P80" s="29">
        <v>92.813599999999994</v>
      </c>
      <c r="Q80" s="29" t="e">
        <v>#N/A</v>
      </c>
      <c r="R80" s="6">
        <v>20243.900000000001</v>
      </c>
      <c r="S80" s="6">
        <v>20791.099999999999</v>
      </c>
      <c r="T80" s="3">
        <v>100.71</v>
      </c>
      <c r="U80" s="6">
        <v>44.9</v>
      </c>
      <c r="V80" s="3">
        <v>100.62</v>
      </c>
      <c r="W80" s="29" t="e">
        <v>#N/A</v>
      </c>
      <c r="X80" s="29" t="e">
        <v>#N/A</v>
      </c>
      <c r="Y80" s="29" t="e">
        <v>#N/A</v>
      </c>
      <c r="Z80" s="29" t="e">
        <v>#N/A</v>
      </c>
      <c r="AA80" s="29" t="e">
        <v>#N/A</v>
      </c>
      <c r="AB80" s="29" t="e">
        <v>#N/A</v>
      </c>
      <c r="AC80" s="29" t="e">
        <v>#N/A</v>
      </c>
      <c r="AD80" s="29" t="e">
        <v>#N/A</v>
      </c>
      <c r="AE80" s="29" t="e">
        <v>#N/A</v>
      </c>
      <c r="AF80" s="29" t="e">
        <v>#N/A</v>
      </c>
      <c r="AG80" s="29" t="e">
        <v>#N/A</v>
      </c>
      <c r="AH80" s="29" t="e">
        <v>#N/A</v>
      </c>
      <c r="AI80" s="3">
        <v>19033.16</v>
      </c>
      <c r="AJ80" s="4">
        <v>91.168999999999997</v>
      </c>
      <c r="AK80" s="4">
        <v>92.38</v>
      </c>
      <c r="AL80" s="4">
        <v>100.63</v>
      </c>
      <c r="AM80" s="4">
        <v>84.116</v>
      </c>
      <c r="AN80" s="4">
        <v>80.825999999999993</v>
      </c>
      <c r="AO80" s="5" t="e">
        <v>#N/A</v>
      </c>
      <c r="AP80" s="36">
        <v>88.159581000000003</v>
      </c>
      <c r="AQ80" s="6">
        <v>86.6</v>
      </c>
      <c r="AR80" s="3">
        <v>970122.22794774675</v>
      </c>
      <c r="AS80" s="5">
        <v>3365</v>
      </c>
      <c r="AT80" s="5">
        <v>1986</v>
      </c>
      <c r="AU80" s="6">
        <v>53.7</v>
      </c>
      <c r="AV80" s="35">
        <v>87.303406258049606</v>
      </c>
      <c r="AW80" s="6">
        <v>54.1</v>
      </c>
    </row>
    <row r="81" spans="1:49" x14ac:dyDescent="0.25">
      <c r="A81" t="s">
        <v>81</v>
      </c>
      <c r="B81" s="2">
        <v>38837</v>
      </c>
      <c r="C81" s="3" t="e">
        <v>#N/A</v>
      </c>
      <c r="D81" s="29" t="e">
        <v>#N/A</v>
      </c>
      <c r="E81" s="35">
        <v>109.68322000000001</v>
      </c>
      <c r="F81" s="29">
        <v>60.6404</v>
      </c>
      <c r="G81" s="29">
        <v>64.467299999999994</v>
      </c>
      <c r="H81" s="29">
        <v>97.759600000000006</v>
      </c>
      <c r="I81" s="29">
        <v>113.8942</v>
      </c>
      <c r="J81" s="29">
        <v>79.377099999999999</v>
      </c>
      <c r="K81" s="29">
        <v>92.053799999999995</v>
      </c>
      <c r="L81" s="29">
        <v>95.262</v>
      </c>
      <c r="M81" s="3">
        <v>3.4</v>
      </c>
      <c r="N81" s="3" t="e">
        <v>#N/A</v>
      </c>
      <c r="O81" s="3">
        <v>101.04</v>
      </c>
      <c r="P81" s="29">
        <v>94.701099999999997</v>
      </c>
      <c r="Q81" s="29" t="e">
        <v>#N/A</v>
      </c>
      <c r="R81" s="6">
        <v>20783.900000000001</v>
      </c>
      <c r="S81" s="6">
        <v>21081</v>
      </c>
      <c r="T81" s="3">
        <v>100.77</v>
      </c>
      <c r="U81" s="6">
        <v>44.7</v>
      </c>
      <c r="V81" s="3">
        <v>100.7</v>
      </c>
      <c r="W81" s="29" t="e">
        <v>#N/A</v>
      </c>
      <c r="X81" s="29" t="e">
        <v>#N/A</v>
      </c>
      <c r="Y81" s="29" t="e">
        <v>#N/A</v>
      </c>
      <c r="Z81" s="29" t="e">
        <v>#N/A</v>
      </c>
      <c r="AA81" s="29" t="e">
        <v>#N/A</v>
      </c>
      <c r="AB81" s="29" t="e">
        <v>#N/A</v>
      </c>
      <c r="AC81" s="29" t="e">
        <v>#N/A</v>
      </c>
      <c r="AD81" s="29" t="e">
        <v>#N/A</v>
      </c>
      <c r="AE81" s="29" t="e">
        <v>#N/A</v>
      </c>
      <c r="AF81" s="29" t="e">
        <v>#N/A</v>
      </c>
      <c r="AG81" s="29" t="e">
        <v>#N/A</v>
      </c>
      <c r="AH81" s="29" t="e">
        <v>#N/A</v>
      </c>
      <c r="AI81" s="3">
        <v>19928.32</v>
      </c>
      <c r="AJ81" s="4">
        <v>92.51</v>
      </c>
      <c r="AK81" s="4">
        <v>93.837999999999994</v>
      </c>
      <c r="AL81" s="4">
        <v>102.26900000000001</v>
      </c>
      <c r="AM81" s="4">
        <v>85.373000000000005</v>
      </c>
      <c r="AN81" s="4">
        <v>81.353999999999999</v>
      </c>
      <c r="AO81" s="5" t="e">
        <v>#N/A</v>
      </c>
      <c r="AP81" s="36">
        <v>88.866195000000005</v>
      </c>
      <c r="AQ81" s="6">
        <v>87.2</v>
      </c>
      <c r="AR81" s="3">
        <v>1038969.0037591236</v>
      </c>
      <c r="AS81" s="5">
        <v>3333</v>
      </c>
      <c r="AT81" s="5">
        <v>1833</v>
      </c>
      <c r="AU81" s="6">
        <v>54.3</v>
      </c>
      <c r="AV81" s="35">
        <v>69.277971377336982</v>
      </c>
      <c r="AW81" s="6">
        <v>57.5</v>
      </c>
    </row>
    <row r="82" spans="1:49" x14ac:dyDescent="0.25">
      <c r="A82" t="s">
        <v>82</v>
      </c>
      <c r="B82" s="2">
        <v>38868</v>
      </c>
      <c r="C82" s="3" t="e">
        <v>#N/A</v>
      </c>
      <c r="D82" s="29" t="e">
        <v>#N/A</v>
      </c>
      <c r="E82" s="35">
        <v>107.48316</v>
      </c>
      <c r="F82" s="29">
        <v>60.798900000000003</v>
      </c>
      <c r="G82" s="29">
        <v>64.643699999999995</v>
      </c>
      <c r="H82" s="29">
        <v>98.686899999999994</v>
      </c>
      <c r="I82" s="29">
        <v>112.8434</v>
      </c>
      <c r="J82" s="29">
        <v>80.535200000000003</v>
      </c>
      <c r="K82" s="29">
        <v>92.811999999999998</v>
      </c>
      <c r="L82" s="29">
        <v>96.479699999999994</v>
      </c>
      <c r="M82" s="3">
        <v>3.34</v>
      </c>
      <c r="N82" s="3" t="e">
        <v>#N/A</v>
      </c>
      <c r="O82" s="3">
        <v>101.09</v>
      </c>
      <c r="P82" s="29">
        <v>94.372799999999998</v>
      </c>
      <c r="Q82" s="29" t="e">
        <v>#N/A</v>
      </c>
      <c r="R82" s="6">
        <v>20867.8</v>
      </c>
      <c r="S82" s="6">
        <v>21606</v>
      </c>
      <c r="T82" s="3">
        <v>100.81</v>
      </c>
      <c r="U82" s="6">
        <v>44.3</v>
      </c>
      <c r="V82" s="3">
        <v>100.78</v>
      </c>
      <c r="W82" s="29" t="e">
        <v>#N/A</v>
      </c>
      <c r="X82" s="29" t="e">
        <v>#N/A</v>
      </c>
      <c r="Y82" s="29" t="e">
        <v>#N/A</v>
      </c>
      <c r="Z82" s="29" t="e">
        <v>#N/A</v>
      </c>
      <c r="AA82" s="29" t="e">
        <v>#N/A</v>
      </c>
      <c r="AB82" s="29" t="e">
        <v>#N/A</v>
      </c>
      <c r="AC82" s="29" t="e">
        <v>#N/A</v>
      </c>
      <c r="AD82" s="29" t="e">
        <v>#N/A</v>
      </c>
      <c r="AE82" s="29" t="e">
        <v>#N/A</v>
      </c>
      <c r="AF82" s="29" t="e">
        <v>#N/A</v>
      </c>
      <c r="AG82" s="29" t="e">
        <v>#N/A</v>
      </c>
      <c r="AH82" s="29" t="e">
        <v>#N/A</v>
      </c>
      <c r="AI82" s="3">
        <v>20367.16</v>
      </c>
      <c r="AJ82" s="4">
        <v>92.870999999999995</v>
      </c>
      <c r="AK82" s="4">
        <v>93.828999999999994</v>
      </c>
      <c r="AL82" s="4">
        <v>102.288</v>
      </c>
      <c r="AM82" s="4">
        <v>85.325999999999993</v>
      </c>
      <c r="AN82" s="4">
        <v>84.531000000000006</v>
      </c>
      <c r="AO82" s="5" t="e">
        <v>#N/A</v>
      </c>
      <c r="AP82" s="36">
        <v>90.276836000000003</v>
      </c>
      <c r="AQ82" s="6">
        <v>87</v>
      </c>
      <c r="AR82" s="3">
        <v>1022609.648185189</v>
      </c>
      <c r="AS82" s="5">
        <v>3329</v>
      </c>
      <c r="AT82" s="5">
        <v>1831</v>
      </c>
      <c r="AU82" s="6">
        <v>55.8</v>
      </c>
      <c r="AV82" s="35">
        <v>74.287394171698836</v>
      </c>
      <c r="AW82" s="6">
        <v>54.7</v>
      </c>
    </row>
    <row r="83" spans="1:49" x14ac:dyDescent="0.25">
      <c r="A83" t="s">
        <v>83</v>
      </c>
      <c r="B83" s="2">
        <v>38898</v>
      </c>
      <c r="C83" s="3" t="e">
        <v>#N/A</v>
      </c>
      <c r="D83" s="29" t="e">
        <v>#N/A</v>
      </c>
      <c r="E83" s="35">
        <v>105.17870000000001</v>
      </c>
      <c r="F83" s="29">
        <v>60.988599999999998</v>
      </c>
      <c r="G83" s="29">
        <v>64.865700000000004</v>
      </c>
      <c r="H83" s="29">
        <v>98.405199999999994</v>
      </c>
      <c r="I83" s="29">
        <v>111.08280000000001</v>
      </c>
      <c r="J83" s="29">
        <v>81.548100000000005</v>
      </c>
      <c r="K83" s="29">
        <v>93.301500000000004</v>
      </c>
      <c r="L83" s="29">
        <v>96.290099999999995</v>
      </c>
      <c r="M83" s="3">
        <v>3.61</v>
      </c>
      <c r="N83" s="3" t="e">
        <v>#N/A</v>
      </c>
      <c r="O83" s="3">
        <v>101.13</v>
      </c>
      <c r="P83" s="29">
        <v>93.798400000000001</v>
      </c>
      <c r="Q83" s="29" t="e">
        <v>#N/A</v>
      </c>
      <c r="R83" s="6">
        <v>20786.400000000001</v>
      </c>
      <c r="S83" s="6">
        <v>21366.9</v>
      </c>
      <c r="T83" s="3">
        <v>100.81</v>
      </c>
      <c r="U83" s="6">
        <v>44.2</v>
      </c>
      <c r="V83" s="3">
        <v>100.87</v>
      </c>
      <c r="W83" s="29" t="e">
        <v>#N/A</v>
      </c>
      <c r="X83" s="29" t="e">
        <v>#N/A</v>
      </c>
      <c r="Y83" s="29" t="e">
        <v>#N/A</v>
      </c>
      <c r="Z83" s="29" t="e">
        <v>#N/A</v>
      </c>
      <c r="AA83" s="29" t="e">
        <v>#N/A</v>
      </c>
      <c r="AB83" s="29" t="e">
        <v>#N/A</v>
      </c>
      <c r="AC83" s="29" t="e">
        <v>#N/A</v>
      </c>
      <c r="AD83" s="29" t="e">
        <v>#N/A</v>
      </c>
      <c r="AE83" s="29" t="e">
        <v>#N/A</v>
      </c>
      <c r="AF83" s="29" t="e">
        <v>#N/A</v>
      </c>
      <c r="AG83" s="29" t="e">
        <v>#N/A</v>
      </c>
      <c r="AH83" s="29" t="e">
        <v>#N/A</v>
      </c>
      <c r="AI83" s="3">
        <v>18184.669999999998</v>
      </c>
      <c r="AJ83" s="4">
        <v>92.846999999999994</v>
      </c>
      <c r="AK83" s="4">
        <v>93.986000000000004</v>
      </c>
      <c r="AL83" s="4">
        <v>102.57299999999999</v>
      </c>
      <c r="AM83" s="4">
        <v>85.384</v>
      </c>
      <c r="AN83" s="4">
        <v>82.236000000000004</v>
      </c>
      <c r="AO83" s="5" t="e">
        <v>#N/A</v>
      </c>
      <c r="AP83" s="36">
        <v>89.331528000000006</v>
      </c>
      <c r="AQ83" s="6">
        <v>87.3</v>
      </c>
      <c r="AR83" s="3">
        <v>984892.46609867585</v>
      </c>
      <c r="AS83" s="5">
        <v>3240</v>
      </c>
      <c r="AT83" s="5">
        <v>1776</v>
      </c>
      <c r="AU83" s="6">
        <v>53.1</v>
      </c>
      <c r="AV83" s="35">
        <v>123.57041849729281</v>
      </c>
      <c r="AW83" s="6">
        <v>55.1</v>
      </c>
    </row>
    <row r="84" spans="1:49" x14ac:dyDescent="0.25">
      <c r="A84" t="s">
        <v>84</v>
      </c>
      <c r="B84" s="2">
        <v>38929</v>
      </c>
      <c r="C84" s="3" t="e">
        <v>#N/A</v>
      </c>
      <c r="D84" s="29" t="e">
        <v>#N/A</v>
      </c>
      <c r="E84" s="35">
        <v>109.07706</v>
      </c>
      <c r="F84" s="29">
        <v>61.171300000000002</v>
      </c>
      <c r="G84" s="29">
        <v>65.080200000000005</v>
      </c>
      <c r="H84" s="29">
        <v>98.465900000000005</v>
      </c>
      <c r="I84" s="29">
        <v>110.2359</v>
      </c>
      <c r="J84" s="29">
        <v>82.096400000000003</v>
      </c>
      <c r="K84" s="29">
        <v>94.8155</v>
      </c>
      <c r="L84" s="29">
        <v>96.801599999999993</v>
      </c>
      <c r="M84" s="3">
        <v>3.64</v>
      </c>
      <c r="N84" s="3" t="e">
        <v>#N/A</v>
      </c>
      <c r="O84" s="3">
        <v>101.19</v>
      </c>
      <c r="P84" s="29">
        <v>93.552199999999999</v>
      </c>
      <c r="Q84" s="29" t="e">
        <v>#N/A</v>
      </c>
      <c r="R84" s="6">
        <v>20704.5</v>
      </c>
      <c r="S84" s="6">
        <v>21396.5</v>
      </c>
      <c r="T84" s="3">
        <v>100.81</v>
      </c>
      <c r="U84" s="6">
        <v>44.8</v>
      </c>
      <c r="V84" s="3">
        <v>100.98</v>
      </c>
      <c r="W84" s="29" t="e">
        <v>#N/A</v>
      </c>
      <c r="X84" s="29" t="e">
        <v>#N/A</v>
      </c>
      <c r="Y84" s="29" t="e">
        <v>#N/A</v>
      </c>
      <c r="Z84" s="29" t="e">
        <v>#N/A</v>
      </c>
      <c r="AA84" s="29" t="e">
        <v>#N/A</v>
      </c>
      <c r="AB84" s="29" t="e">
        <v>#N/A</v>
      </c>
      <c r="AC84" s="29" t="e">
        <v>#N/A</v>
      </c>
      <c r="AD84" s="29" t="e">
        <v>#N/A</v>
      </c>
      <c r="AE84" s="29" t="e">
        <v>#N/A</v>
      </c>
      <c r="AF84" s="29" t="e">
        <v>#N/A</v>
      </c>
      <c r="AG84" s="29" t="e">
        <v>#N/A</v>
      </c>
      <c r="AH84" s="29" t="e">
        <v>#N/A</v>
      </c>
      <c r="AI84" s="3">
        <v>19627.63</v>
      </c>
      <c r="AJ84" s="4">
        <v>92.679000000000002</v>
      </c>
      <c r="AK84" s="4">
        <v>93.861000000000004</v>
      </c>
      <c r="AL84" s="4">
        <v>102.215</v>
      </c>
      <c r="AM84" s="4">
        <v>85.375</v>
      </c>
      <c r="AN84" s="4">
        <v>82.2</v>
      </c>
      <c r="AO84" s="5" t="e">
        <v>#N/A</v>
      </c>
      <c r="AP84" s="36">
        <v>89.510334999999998</v>
      </c>
      <c r="AQ84" s="6">
        <v>87.3</v>
      </c>
      <c r="AR84" s="3">
        <v>1045783.9746482993</v>
      </c>
      <c r="AS84" s="5">
        <v>3252</v>
      </c>
      <c r="AT84" s="5">
        <v>1635</v>
      </c>
      <c r="AU84" s="6">
        <v>53.4</v>
      </c>
      <c r="AV84" s="35">
        <v>85.292567954158926</v>
      </c>
      <c r="AW84" s="6">
        <v>53.7</v>
      </c>
    </row>
    <row r="85" spans="1:49" x14ac:dyDescent="0.25">
      <c r="A85" t="s">
        <v>85</v>
      </c>
      <c r="B85" s="2">
        <v>38960</v>
      </c>
      <c r="C85" s="3" t="e">
        <v>#N/A</v>
      </c>
      <c r="D85" s="29" t="e">
        <v>#N/A</v>
      </c>
      <c r="E85" s="35">
        <v>110.06059999999999</v>
      </c>
      <c r="F85" s="29">
        <v>61.463200000000001</v>
      </c>
      <c r="G85" s="29">
        <v>65.256299999999996</v>
      </c>
      <c r="H85" s="29">
        <v>98.731800000000007</v>
      </c>
      <c r="I85" s="29">
        <v>111.2079</v>
      </c>
      <c r="J85" s="29">
        <v>82.830500000000001</v>
      </c>
      <c r="K85" s="29">
        <v>95.887500000000003</v>
      </c>
      <c r="L85" s="29">
        <v>95.751499999999993</v>
      </c>
      <c r="M85" s="3">
        <v>3.71</v>
      </c>
      <c r="N85" s="3" t="e">
        <v>#N/A</v>
      </c>
      <c r="O85" s="3">
        <v>101.28</v>
      </c>
      <c r="P85" s="29">
        <v>94.619</v>
      </c>
      <c r="Q85" s="29" t="e">
        <v>#N/A</v>
      </c>
      <c r="R85" s="6">
        <v>21123.200000000001</v>
      </c>
      <c r="S85" s="6">
        <v>21638.3</v>
      </c>
      <c r="T85" s="3">
        <v>100.8</v>
      </c>
      <c r="U85" s="6">
        <v>44.7</v>
      </c>
      <c r="V85" s="3">
        <v>101.08</v>
      </c>
      <c r="W85" s="29" t="e">
        <v>#N/A</v>
      </c>
      <c r="X85" s="29" t="e">
        <v>#N/A</v>
      </c>
      <c r="Y85" s="29" t="e">
        <v>#N/A</v>
      </c>
      <c r="Z85" s="29" t="e">
        <v>#N/A</v>
      </c>
      <c r="AA85" s="29" t="e">
        <v>#N/A</v>
      </c>
      <c r="AB85" s="29" t="e">
        <v>#N/A</v>
      </c>
      <c r="AC85" s="29" t="e">
        <v>#N/A</v>
      </c>
      <c r="AD85" s="29" t="e">
        <v>#N/A</v>
      </c>
      <c r="AE85" s="29" t="e">
        <v>#N/A</v>
      </c>
      <c r="AF85" s="29" t="e">
        <v>#N/A</v>
      </c>
      <c r="AG85" s="29" t="e">
        <v>#N/A</v>
      </c>
      <c r="AH85" s="29" t="e">
        <v>#N/A</v>
      </c>
      <c r="AI85" s="3">
        <v>20645.95</v>
      </c>
      <c r="AJ85" s="4">
        <v>92.849000000000004</v>
      </c>
      <c r="AK85" s="4">
        <v>93.77</v>
      </c>
      <c r="AL85" s="4">
        <v>101.467</v>
      </c>
      <c r="AM85" s="4">
        <v>85.807000000000002</v>
      </c>
      <c r="AN85" s="4">
        <v>85.334000000000003</v>
      </c>
      <c r="AO85" s="5" t="e">
        <v>#N/A</v>
      </c>
      <c r="AP85" s="36">
        <v>89.767942000000005</v>
      </c>
      <c r="AQ85" s="6">
        <v>88.5</v>
      </c>
      <c r="AR85" s="3">
        <v>947512.70165619848</v>
      </c>
      <c r="AS85" s="5">
        <v>3262</v>
      </c>
      <c r="AT85" s="5">
        <v>1776</v>
      </c>
      <c r="AU85" s="6">
        <v>53.1</v>
      </c>
      <c r="AV85" s="35">
        <v>68.624505357904198</v>
      </c>
      <c r="AW85" s="6">
        <v>54.2</v>
      </c>
    </row>
    <row r="86" spans="1:49" x14ac:dyDescent="0.25">
      <c r="A86" t="s">
        <v>86</v>
      </c>
      <c r="B86" s="2">
        <v>38990</v>
      </c>
      <c r="C86" s="3" t="e">
        <v>#N/A</v>
      </c>
      <c r="D86" s="29" t="e">
        <v>#N/A</v>
      </c>
      <c r="E86" s="35">
        <v>110.28888999999999</v>
      </c>
      <c r="F86" s="29">
        <v>61.904499999999999</v>
      </c>
      <c r="G86" s="29">
        <v>65.486800000000002</v>
      </c>
      <c r="H86" s="29">
        <v>98.7744</v>
      </c>
      <c r="I86" s="29">
        <v>111.9269</v>
      </c>
      <c r="J86" s="29">
        <v>83.154399999999995</v>
      </c>
      <c r="K86" s="29">
        <v>95.971800000000002</v>
      </c>
      <c r="L86" s="29">
        <v>95.861599999999996</v>
      </c>
      <c r="M86" s="3">
        <v>3.71</v>
      </c>
      <c r="N86" s="3" t="e">
        <v>#N/A</v>
      </c>
      <c r="O86" s="3">
        <v>101.39</v>
      </c>
      <c r="P86" s="29">
        <v>95.275499999999994</v>
      </c>
      <c r="Q86" s="29" t="e">
        <v>#N/A</v>
      </c>
      <c r="R86" s="6">
        <v>20781.8</v>
      </c>
      <c r="S86" s="6">
        <v>22092.400000000001</v>
      </c>
      <c r="T86" s="3">
        <v>100.78</v>
      </c>
      <c r="U86" s="6">
        <v>44.8</v>
      </c>
      <c r="V86" s="3">
        <v>101.18</v>
      </c>
      <c r="W86" s="29" t="e">
        <v>#N/A</v>
      </c>
      <c r="X86" s="29" t="e">
        <v>#N/A</v>
      </c>
      <c r="Y86" s="29" t="e">
        <v>#N/A</v>
      </c>
      <c r="Z86" s="29" t="e">
        <v>#N/A</v>
      </c>
      <c r="AA86" s="29" t="e">
        <v>#N/A</v>
      </c>
      <c r="AB86" s="29" t="e">
        <v>#N/A</v>
      </c>
      <c r="AC86" s="29" t="e">
        <v>#N/A</v>
      </c>
      <c r="AD86" s="29" t="e">
        <v>#N/A</v>
      </c>
      <c r="AE86" s="29" t="e">
        <v>#N/A</v>
      </c>
      <c r="AF86" s="29" t="e">
        <v>#N/A</v>
      </c>
      <c r="AG86" s="29" t="e">
        <v>#N/A</v>
      </c>
      <c r="AH86" s="29" t="e">
        <v>#N/A</v>
      </c>
      <c r="AI86" s="3">
        <v>21400.44</v>
      </c>
      <c r="AJ86" s="4">
        <v>93.433000000000007</v>
      </c>
      <c r="AK86" s="4">
        <v>94.245999999999995</v>
      </c>
      <c r="AL86" s="4">
        <v>102.369</v>
      </c>
      <c r="AM86" s="4">
        <v>85.978999999999999</v>
      </c>
      <c r="AN86" s="4">
        <v>87.105999999999995</v>
      </c>
      <c r="AO86" s="5" t="e">
        <v>#N/A</v>
      </c>
      <c r="AP86" s="36">
        <v>89.727625000000003</v>
      </c>
      <c r="AQ86" s="6">
        <v>89.5</v>
      </c>
      <c r="AR86" s="3">
        <v>1033558.9900753234</v>
      </c>
      <c r="AS86" s="5">
        <v>3229</v>
      </c>
      <c r="AT86" s="5">
        <v>1678</v>
      </c>
      <c r="AU86" s="6">
        <v>53.5</v>
      </c>
      <c r="AV86" s="35">
        <v>39.092614344759021</v>
      </c>
      <c r="AW86" s="6">
        <v>54.7</v>
      </c>
    </row>
    <row r="87" spans="1:49" x14ac:dyDescent="0.25">
      <c r="A87" t="s">
        <v>87</v>
      </c>
      <c r="B87" s="2">
        <v>39021</v>
      </c>
      <c r="C87" s="3" t="e">
        <v>#N/A</v>
      </c>
      <c r="D87" s="29" t="e">
        <v>#N/A</v>
      </c>
      <c r="E87" s="35">
        <v>112.24732</v>
      </c>
      <c r="F87" s="29">
        <v>62.117100000000001</v>
      </c>
      <c r="G87" s="29">
        <v>65.666300000000007</v>
      </c>
      <c r="H87" s="29">
        <v>98.439599999999999</v>
      </c>
      <c r="I87" s="29">
        <v>111.1897</v>
      </c>
      <c r="J87" s="29">
        <v>83.457099999999997</v>
      </c>
      <c r="K87" s="29">
        <v>95.282300000000006</v>
      </c>
      <c r="L87" s="29">
        <v>95.871700000000004</v>
      </c>
      <c r="M87" s="3">
        <v>3.69</v>
      </c>
      <c r="N87" s="3" t="e">
        <v>#N/A</v>
      </c>
      <c r="O87" s="3">
        <v>101.51</v>
      </c>
      <c r="P87" s="29">
        <v>95.111400000000003</v>
      </c>
      <c r="Q87" s="29" t="e">
        <v>#N/A</v>
      </c>
      <c r="R87" s="6">
        <v>21104.3</v>
      </c>
      <c r="S87" s="6">
        <v>21944.1</v>
      </c>
      <c r="T87" s="3">
        <v>100.77</v>
      </c>
      <c r="U87" s="6">
        <v>45.3</v>
      </c>
      <c r="V87" s="3">
        <v>101.29</v>
      </c>
      <c r="W87" s="29" t="e">
        <v>#N/A</v>
      </c>
      <c r="X87" s="29" t="e">
        <v>#N/A</v>
      </c>
      <c r="Y87" s="29" t="e">
        <v>#N/A</v>
      </c>
      <c r="Z87" s="29" t="e">
        <v>#N/A</v>
      </c>
      <c r="AA87" s="29" t="e">
        <v>#N/A</v>
      </c>
      <c r="AB87" s="29" t="e">
        <v>#N/A</v>
      </c>
      <c r="AC87" s="29" t="e">
        <v>#N/A</v>
      </c>
      <c r="AD87" s="29" t="e">
        <v>#N/A</v>
      </c>
      <c r="AE87" s="29" t="e">
        <v>#N/A</v>
      </c>
      <c r="AF87" s="29" t="e">
        <v>#N/A</v>
      </c>
      <c r="AG87" s="29" t="e">
        <v>#N/A</v>
      </c>
      <c r="AH87" s="29" t="e">
        <v>#N/A</v>
      </c>
      <c r="AI87" s="3">
        <v>22703.29</v>
      </c>
      <c r="AJ87" s="4">
        <v>93.635000000000005</v>
      </c>
      <c r="AK87" s="4">
        <v>94.022999999999996</v>
      </c>
      <c r="AL87" s="4">
        <v>102.01900000000001</v>
      </c>
      <c r="AM87" s="4">
        <v>85.932000000000002</v>
      </c>
      <c r="AN87" s="4">
        <v>89.203000000000003</v>
      </c>
      <c r="AO87" s="5" t="e">
        <v>#N/A</v>
      </c>
      <c r="AP87" s="36">
        <v>90.122551999999999</v>
      </c>
      <c r="AQ87" s="6">
        <v>88.7</v>
      </c>
      <c r="AR87" s="3">
        <v>1063823.7620705264</v>
      </c>
      <c r="AS87" s="5">
        <v>3213</v>
      </c>
      <c r="AT87" s="5">
        <v>1679</v>
      </c>
      <c r="AU87" s="6">
        <v>53.1</v>
      </c>
      <c r="AV87" s="35">
        <v>32.512254441259707</v>
      </c>
      <c r="AW87" s="6">
        <v>55.9</v>
      </c>
    </row>
    <row r="88" spans="1:49" x14ac:dyDescent="0.25">
      <c r="A88" t="s">
        <v>88</v>
      </c>
      <c r="B88" s="2">
        <v>39051</v>
      </c>
      <c r="C88" s="3" t="e">
        <v>#N/A</v>
      </c>
      <c r="D88" s="29" t="e">
        <v>#N/A</v>
      </c>
      <c r="E88" s="35">
        <v>111.89854</v>
      </c>
      <c r="F88" s="29">
        <v>62.171999999999997</v>
      </c>
      <c r="G88" s="29">
        <v>65.889099999999999</v>
      </c>
      <c r="H88" s="29">
        <v>98.595399999999998</v>
      </c>
      <c r="I88" s="29">
        <v>111.3557</v>
      </c>
      <c r="J88" s="29">
        <v>84.242699999999999</v>
      </c>
      <c r="K88" s="29">
        <v>95.081800000000001</v>
      </c>
      <c r="L88" s="29">
        <v>96.380399999999995</v>
      </c>
      <c r="M88" s="3">
        <v>3.8</v>
      </c>
      <c r="N88" s="3" t="e">
        <v>#N/A</v>
      </c>
      <c r="O88" s="3">
        <v>101.63</v>
      </c>
      <c r="P88" s="29">
        <v>95.275499999999994</v>
      </c>
      <c r="Q88" s="29" t="e">
        <v>#N/A</v>
      </c>
      <c r="R88" s="6">
        <v>20906</v>
      </c>
      <c r="S88" s="6">
        <v>21564.400000000001</v>
      </c>
      <c r="T88" s="3">
        <v>100.76</v>
      </c>
      <c r="U88" s="6">
        <v>44.3</v>
      </c>
      <c r="V88" s="3">
        <v>101.41</v>
      </c>
      <c r="W88" s="29" t="e">
        <v>#N/A</v>
      </c>
      <c r="X88" s="29" t="e">
        <v>#N/A</v>
      </c>
      <c r="Y88" s="29" t="e">
        <v>#N/A</v>
      </c>
      <c r="Z88" s="29" t="e">
        <v>#N/A</v>
      </c>
      <c r="AA88" s="29" t="e">
        <v>#N/A</v>
      </c>
      <c r="AB88" s="29" t="e">
        <v>#N/A</v>
      </c>
      <c r="AC88" s="29" t="e">
        <v>#N/A</v>
      </c>
      <c r="AD88" s="29" t="e">
        <v>#N/A</v>
      </c>
      <c r="AE88" s="29" t="e">
        <v>#N/A</v>
      </c>
      <c r="AF88" s="29" t="e">
        <v>#N/A</v>
      </c>
      <c r="AG88" s="29" t="e">
        <v>#N/A</v>
      </c>
      <c r="AH88" s="29" t="e">
        <v>#N/A</v>
      </c>
      <c r="AI88" s="3">
        <v>24195.9</v>
      </c>
      <c r="AJ88" s="4">
        <v>94.125</v>
      </c>
      <c r="AK88" s="4">
        <v>94.165999999999997</v>
      </c>
      <c r="AL88" s="4">
        <v>102.102</v>
      </c>
      <c r="AM88" s="4">
        <v>85.974000000000004</v>
      </c>
      <c r="AN88" s="4">
        <v>93.5</v>
      </c>
      <c r="AO88" s="5" t="e">
        <v>#N/A</v>
      </c>
      <c r="AP88" s="36">
        <v>89.632226000000003</v>
      </c>
      <c r="AQ88" s="6">
        <v>89</v>
      </c>
      <c r="AR88" s="3">
        <v>1082675.2225862965</v>
      </c>
      <c r="AS88" s="5">
        <v>3202</v>
      </c>
      <c r="AT88" s="5">
        <v>1788</v>
      </c>
      <c r="AU88" s="6">
        <v>54</v>
      </c>
      <c r="AV88" s="35">
        <v>46.434941513123377</v>
      </c>
      <c r="AW88" s="6">
        <v>53.5</v>
      </c>
    </row>
    <row r="89" spans="1:49" x14ac:dyDescent="0.25">
      <c r="A89" t="s">
        <v>89</v>
      </c>
      <c r="B89" s="2">
        <v>39082</v>
      </c>
      <c r="C89" s="3" t="e">
        <v>#N/A</v>
      </c>
      <c r="D89" s="29" t="e">
        <v>#N/A</v>
      </c>
      <c r="E89" s="35">
        <v>112.04289</v>
      </c>
      <c r="F89" s="29">
        <v>62.421999999999997</v>
      </c>
      <c r="G89" s="29">
        <v>66.121799999999993</v>
      </c>
      <c r="H89" s="29">
        <v>98.203999999999994</v>
      </c>
      <c r="I89" s="29">
        <v>105.1401</v>
      </c>
      <c r="J89" s="29">
        <v>84.612099999999998</v>
      </c>
      <c r="K89" s="29">
        <v>94.916799999999995</v>
      </c>
      <c r="L89" s="29">
        <v>96.081400000000002</v>
      </c>
      <c r="M89" s="3">
        <v>3.85</v>
      </c>
      <c r="N89" s="3" t="e">
        <v>#N/A</v>
      </c>
      <c r="O89" s="3">
        <v>101.74</v>
      </c>
      <c r="P89" s="29">
        <v>95.85</v>
      </c>
      <c r="Q89" s="29" t="e">
        <v>#N/A</v>
      </c>
      <c r="R89" s="6">
        <v>21136.799999999999</v>
      </c>
      <c r="S89" s="6">
        <v>22020.3</v>
      </c>
      <c r="T89" s="3">
        <v>100.77</v>
      </c>
      <c r="U89" s="6">
        <v>44.1</v>
      </c>
      <c r="V89" s="3">
        <v>101.55</v>
      </c>
      <c r="W89" s="29" t="e">
        <v>#N/A</v>
      </c>
      <c r="X89" s="29" t="e">
        <v>#N/A</v>
      </c>
      <c r="Y89" s="29" t="e">
        <v>#N/A</v>
      </c>
      <c r="Z89" s="29" t="e">
        <v>#N/A</v>
      </c>
      <c r="AA89" s="29" t="e">
        <v>#N/A</v>
      </c>
      <c r="AB89" s="29" t="e">
        <v>#N/A</v>
      </c>
      <c r="AC89" s="29" t="e">
        <v>#N/A</v>
      </c>
      <c r="AD89" s="29" t="e">
        <v>#N/A</v>
      </c>
      <c r="AE89" s="29" t="e">
        <v>#N/A</v>
      </c>
      <c r="AF89" s="29" t="e">
        <v>#N/A</v>
      </c>
      <c r="AG89" s="29" t="e">
        <v>#N/A</v>
      </c>
      <c r="AH89" s="29" t="e">
        <v>#N/A</v>
      </c>
      <c r="AI89" s="3">
        <v>25747.31</v>
      </c>
      <c r="AJ89" s="4">
        <v>93.932000000000002</v>
      </c>
      <c r="AK89" s="4">
        <v>94.027000000000001</v>
      </c>
      <c r="AL89" s="4">
        <v>101.78700000000001</v>
      </c>
      <c r="AM89" s="4">
        <v>85.894999999999996</v>
      </c>
      <c r="AN89" s="4">
        <v>86.316999999999993</v>
      </c>
      <c r="AO89" s="5" t="e">
        <v>#N/A</v>
      </c>
      <c r="AP89" s="36">
        <v>90.109915999999998</v>
      </c>
      <c r="AQ89" s="6">
        <v>90.3</v>
      </c>
      <c r="AR89" s="3">
        <v>1141664.299643883</v>
      </c>
      <c r="AS89" s="5">
        <v>2967</v>
      </c>
      <c r="AT89" s="5">
        <v>1525</v>
      </c>
      <c r="AU89" s="6">
        <v>52.5</v>
      </c>
      <c r="AV89" s="35">
        <v>31.829011487041559</v>
      </c>
      <c r="AW89" s="6">
        <v>50.1</v>
      </c>
    </row>
    <row r="90" spans="1:49" x14ac:dyDescent="0.25">
      <c r="A90" t="s">
        <v>90</v>
      </c>
      <c r="B90" s="2">
        <v>39113</v>
      </c>
      <c r="C90" s="3" t="e">
        <v>#N/A</v>
      </c>
      <c r="D90" s="29" t="e">
        <v>#N/A</v>
      </c>
      <c r="E90" s="35">
        <v>111.90525</v>
      </c>
      <c r="F90" s="29">
        <v>62.6967</v>
      </c>
      <c r="G90" s="29">
        <v>66.378299999999996</v>
      </c>
      <c r="H90" s="29">
        <v>97.775000000000006</v>
      </c>
      <c r="I90" s="29">
        <v>110.36239999999999</v>
      </c>
      <c r="J90" s="29">
        <v>84.468599999999995</v>
      </c>
      <c r="K90" s="29">
        <v>94.764600000000002</v>
      </c>
      <c r="L90" s="29">
        <v>95.705100000000002</v>
      </c>
      <c r="M90" s="3">
        <v>3.72</v>
      </c>
      <c r="N90" s="3">
        <v>99.5</v>
      </c>
      <c r="O90" s="3">
        <v>101.84</v>
      </c>
      <c r="P90" s="29">
        <v>95.767899999999997</v>
      </c>
      <c r="Q90" s="29" t="e">
        <v>#N/A</v>
      </c>
      <c r="R90" s="6">
        <v>20533.099999999999</v>
      </c>
      <c r="S90" s="6">
        <v>21922.799999999999</v>
      </c>
      <c r="T90" s="3">
        <v>100.8</v>
      </c>
      <c r="U90" s="6">
        <v>42.6</v>
      </c>
      <c r="V90" s="3">
        <v>101.69</v>
      </c>
      <c r="W90" s="29" t="e">
        <v>#N/A</v>
      </c>
      <c r="X90" s="29" t="e">
        <v>#N/A</v>
      </c>
      <c r="Y90" s="29" t="e">
        <v>#N/A</v>
      </c>
      <c r="Z90" s="29" t="e">
        <v>#N/A</v>
      </c>
      <c r="AA90" s="29" t="e">
        <v>#N/A</v>
      </c>
      <c r="AB90" s="29" t="e">
        <v>#N/A</v>
      </c>
      <c r="AC90" s="29" t="e">
        <v>#N/A</v>
      </c>
      <c r="AD90" s="29" t="e">
        <v>#N/A</v>
      </c>
      <c r="AE90" s="29" t="e">
        <v>#N/A</v>
      </c>
      <c r="AF90" s="29" t="e">
        <v>#N/A</v>
      </c>
      <c r="AG90" s="29" t="e">
        <v>#N/A</v>
      </c>
      <c r="AH90" s="29" t="e">
        <v>#N/A</v>
      </c>
      <c r="AI90" s="3">
        <v>26564.1</v>
      </c>
      <c r="AJ90" s="4">
        <v>93.649000000000001</v>
      </c>
      <c r="AK90" s="4">
        <v>94.706000000000003</v>
      </c>
      <c r="AL90" s="4">
        <v>101.923</v>
      </c>
      <c r="AM90" s="4">
        <v>87.326999999999998</v>
      </c>
      <c r="AN90" s="4">
        <v>84.251999999999995</v>
      </c>
      <c r="AO90" s="5">
        <v>278158036</v>
      </c>
      <c r="AP90" s="36">
        <v>90.049368000000001</v>
      </c>
      <c r="AQ90" s="6">
        <v>87.2</v>
      </c>
      <c r="AR90" s="3">
        <v>1085422.6143887383</v>
      </c>
      <c r="AS90" s="5">
        <v>3140</v>
      </c>
      <c r="AT90" s="5">
        <v>1582</v>
      </c>
      <c r="AU90" s="6">
        <v>50.3</v>
      </c>
      <c r="AV90" s="35">
        <v>29.182121537319858</v>
      </c>
      <c r="AW90" s="6">
        <v>52.6</v>
      </c>
    </row>
    <row r="91" spans="1:49" x14ac:dyDescent="0.25">
      <c r="A91" t="s">
        <v>91</v>
      </c>
      <c r="B91" s="2">
        <v>39141</v>
      </c>
      <c r="C91" s="3" t="e">
        <v>#N/A</v>
      </c>
      <c r="D91" s="29" t="e">
        <v>#N/A</v>
      </c>
      <c r="E91" s="35">
        <v>111.16606</v>
      </c>
      <c r="F91" s="29">
        <v>62.867100000000001</v>
      </c>
      <c r="G91" s="29">
        <v>66.568600000000004</v>
      </c>
      <c r="H91" s="29">
        <v>98.638999999999996</v>
      </c>
      <c r="I91" s="29">
        <v>111.1932</v>
      </c>
      <c r="J91" s="29">
        <v>83.328999999999994</v>
      </c>
      <c r="K91" s="29">
        <v>95.967600000000004</v>
      </c>
      <c r="L91" s="29">
        <v>95.891800000000003</v>
      </c>
      <c r="M91" s="3">
        <v>3.8</v>
      </c>
      <c r="N91" s="3">
        <v>99.75</v>
      </c>
      <c r="O91" s="3">
        <v>101.94</v>
      </c>
      <c r="P91" s="29">
        <v>96.424400000000006</v>
      </c>
      <c r="Q91" s="29" t="e">
        <v>#N/A</v>
      </c>
      <c r="R91" s="6">
        <v>21367.5</v>
      </c>
      <c r="S91" s="6">
        <v>22267.9</v>
      </c>
      <c r="T91" s="3">
        <v>100.86</v>
      </c>
      <c r="U91" s="6">
        <v>42.8</v>
      </c>
      <c r="V91" s="3">
        <v>101.78</v>
      </c>
      <c r="W91" s="29" t="e">
        <v>#N/A</v>
      </c>
      <c r="X91" s="29" t="e">
        <v>#N/A</v>
      </c>
      <c r="Y91" s="29" t="e">
        <v>#N/A</v>
      </c>
      <c r="Z91" s="29" t="e">
        <v>#N/A</v>
      </c>
      <c r="AA91" s="29" t="e">
        <v>#N/A</v>
      </c>
      <c r="AB91" s="29" t="e">
        <v>#N/A</v>
      </c>
      <c r="AC91" s="29" t="e">
        <v>#N/A</v>
      </c>
      <c r="AD91" s="29" t="e">
        <v>#N/A</v>
      </c>
      <c r="AE91" s="29" t="e">
        <v>#N/A</v>
      </c>
      <c r="AF91" s="29" t="e">
        <v>#N/A</v>
      </c>
      <c r="AG91" s="29" t="e">
        <v>#N/A</v>
      </c>
      <c r="AH91" s="29" t="e">
        <v>#N/A</v>
      </c>
      <c r="AI91" s="3">
        <v>28106.18</v>
      </c>
      <c r="AJ91" s="4">
        <v>94.185000000000002</v>
      </c>
      <c r="AK91" s="4">
        <v>95.278999999999996</v>
      </c>
      <c r="AL91" s="4">
        <v>103.273</v>
      </c>
      <c r="AM91" s="4">
        <v>87.019000000000005</v>
      </c>
      <c r="AN91" s="4">
        <v>85.444999999999993</v>
      </c>
      <c r="AO91" s="5">
        <v>276192380</v>
      </c>
      <c r="AP91" s="36">
        <v>90.297156000000001</v>
      </c>
      <c r="AQ91" s="6">
        <v>90.4</v>
      </c>
      <c r="AR91" s="3">
        <v>1050974.3538040565</v>
      </c>
      <c r="AS91" s="5">
        <v>3151</v>
      </c>
      <c r="AT91" s="5">
        <v>1773</v>
      </c>
      <c r="AU91" s="6">
        <v>51.3</v>
      </c>
      <c r="AV91" s="35">
        <v>51.594071192720548</v>
      </c>
      <c r="AW91" s="6">
        <v>51.8</v>
      </c>
    </row>
    <row r="92" spans="1:49" x14ac:dyDescent="0.25">
      <c r="A92" t="s">
        <v>92</v>
      </c>
      <c r="B92" s="2">
        <v>39172</v>
      </c>
      <c r="C92" s="3" t="e">
        <v>#N/A</v>
      </c>
      <c r="D92" s="29" t="e">
        <v>#N/A</v>
      </c>
      <c r="E92" s="35">
        <v>109.39735</v>
      </c>
      <c r="F92" s="29">
        <v>63.0197</v>
      </c>
      <c r="G92" s="29">
        <v>66.724299999999999</v>
      </c>
      <c r="H92" s="29">
        <v>99.267899999999997</v>
      </c>
      <c r="I92" s="29">
        <v>111.43689999999999</v>
      </c>
      <c r="J92" s="29">
        <v>85.246899999999997</v>
      </c>
      <c r="K92" s="29">
        <v>96.335099999999997</v>
      </c>
      <c r="L92" s="29">
        <v>97.028700000000001</v>
      </c>
      <c r="M92" s="3">
        <v>4.22</v>
      </c>
      <c r="N92" s="3">
        <v>99.79</v>
      </c>
      <c r="O92" s="3">
        <v>102.02</v>
      </c>
      <c r="P92" s="29">
        <v>95.1935</v>
      </c>
      <c r="Q92" s="29" t="e">
        <v>#N/A</v>
      </c>
      <c r="R92" s="6">
        <v>21559.599999999999</v>
      </c>
      <c r="S92" s="6">
        <v>22403.8</v>
      </c>
      <c r="T92" s="3">
        <v>100.93</v>
      </c>
      <c r="U92" s="6">
        <v>43</v>
      </c>
      <c r="V92" s="3">
        <v>101.82</v>
      </c>
      <c r="W92" s="29" t="e">
        <v>#N/A</v>
      </c>
      <c r="X92" s="29" t="e">
        <v>#N/A</v>
      </c>
      <c r="Y92" s="29" t="e">
        <v>#N/A</v>
      </c>
      <c r="Z92" s="29" t="e">
        <v>#N/A</v>
      </c>
      <c r="AA92" s="29" t="e">
        <v>#N/A</v>
      </c>
      <c r="AB92" s="29" t="e">
        <v>#N/A</v>
      </c>
      <c r="AC92" s="29" t="e">
        <v>#N/A</v>
      </c>
      <c r="AD92" s="29" t="e">
        <v>#N/A</v>
      </c>
      <c r="AE92" s="29" t="e">
        <v>#N/A</v>
      </c>
      <c r="AF92" s="29" t="e">
        <v>#N/A</v>
      </c>
      <c r="AG92" s="29" t="e">
        <v>#N/A</v>
      </c>
      <c r="AH92" s="29" t="e">
        <v>#N/A</v>
      </c>
      <c r="AI92" s="3">
        <v>27310.639999999999</v>
      </c>
      <c r="AJ92" s="4">
        <v>94.841999999999999</v>
      </c>
      <c r="AK92" s="4">
        <v>95.724999999999994</v>
      </c>
      <c r="AL92" s="4">
        <v>104.08199999999999</v>
      </c>
      <c r="AM92" s="4">
        <v>87.278000000000006</v>
      </c>
      <c r="AN92" s="4">
        <v>88.245000000000005</v>
      </c>
      <c r="AO92" s="5">
        <v>314457797</v>
      </c>
      <c r="AP92" s="36">
        <v>90.457498999999999</v>
      </c>
      <c r="AQ92" s="6">
        <v>90.7</v>
      </c>
      <c r="AR92" s="3">
        <v>1052557.1017280514</v>
      </c>
      <c r="AS92" s="5">
        <v>3188</v>
      </c>
      <c r="AT92" s="5">
        <v>1782</v>
      </c>
      <c r="AU92" s="6">
        <v>52.1</v>
      </c>
      <c r="AV92" s="35">
        <v>39.799185133414525</v>
      </c>
      <c r="AW92" s="6">
        <v>52</v>
      </c>
    </row>
    <row r="93" spans="1:49" x14ac:dyDescent="0.25">
      <c r="A93" t="s">
        <v>93</v>
      </c>
      <c r="B93" s="2">
        <v>39202</v>
      </c>
      <c r="C93" s="3" t="e">
        <v>#N/A</v>
      </c>
      <c r="D93" s="29" t="e">
        <v>#N/A</v>
      </c>
      <c r="E93" s="35">
        <v>109.71768</v>
      </c>
      <c r="F93" s="29">
        <v>63.064599999999999</v>
      </c>
      <c r="G93" s="29">
        <v>66.887299999999996</v>
      </c>
      <c r="H93" s="29">
        <v>99.018500000000003</v>
      </c>
      <c r="I93" s="29">
        <v>111.19329999999999</v>
      </c>
      <c r="J93" s="29">
        <v>84.600099999999998</v>
      </c>
      <c r="K93" s="29">
        <v>96.090100000000007</v>
      </c>
      <c r="L93" s="29">
        <v>96.577299999999994</v>
      </c>
      <c r="M93" s="3">
        <v>3.69</v>
      </c>
      <c r="N93" s="3">
        <v>100.57</v>
      </c>
      <c r="O93" s="3">
        <v>102.09</v>
      </c>
      <c r="P93" s="29">
        <v>95.6858</v>
      </c>
      <c r="Q93" s="29" t="e">
        <v>#N/A</v>
      </c>
      <c r="R93" s="6">
        <v>21536.400000000001</v>
      </c>
      <c r="S93" s="6">
        <v>22809.5</v>
      </c>
      <c r="T93" s="3">
        <v>101.03</v>
      </c>
      <c r="U93" s="6">
        <v>43.3</v>
      </c>
      <c r="V93" s="3">
        <v>101.81</v>
      </c>
      <c r="W93" s="29" t="e">
        <v>#N/A</v>
      </c>
      <c r="X93" s="29" t="e">
        <v>#N/A</v>
      </c>
      <c r="Y93" s="29" t="e">
        <v>#N/A</v>
      </c>
      <c r="Z93" s="29" t="e">
        <v>#N/A</v>
      </c>
      <c r="AA93" s="29" t="e">
        <v>#N/A</v>
      </c>
      <c r="AB93" s="29" t="e">
        <v>#N/A</v>
      </c>
      <c r="AC93" s="29" t="e">
        <v>#N/A</v>
      </c>
      <c r="AD93" s="29" t="e">
        <v>#N/A</v>
      </c>
      <c r="AE93" s="29" t="e">
        <v>#N/A</v>
      </c>
      <c r="AF93" s="29" t="e">
        <v>#N/A</v>
      </c>
      <c r="AG93" s="29" t="e">
        <v>#N/A</v>
      </c>
      <c r="AH93" s="29" t="e">
        <v>#N/A</v>
      </c>
      <c r="AI93" s="3">
        <v>29489.71</v>
      </c>
      <c r="AJ93" s="4">
        <v>95.284999999999997</v>
      </c>
      <c r="AK93" s="4">
        <v>96.075000000000003</v>
      </c>
      <c r="AL93" s="4">
        <v>103.85299999999999</v>
      </c>
      <c r="AM93" s="4">
        <v>88.311999999999998</v>
      </c>
      <c r="AN93" s="4">
        <v>88.647999999999996</v>
      </c>
      <c r="AO93" s="5">
        <v>294752007</v>
      </c>
      <c r="AP93" s="36">
        <v>91.037756000000002</v>
      </c>
      <c r="AQ93" s="6">
        <v>91.7</v>
      </c>
      <c r="AR93" s="3">
        <v>1061326.4102648103</v>
      </c>
      <c r="AS93" s="5">
        <v>3147</v>
      </c>
      <c r="AT93" s="5">
        <v>1679</v>
      </c>
      <c r="AU93" s="6">
        <v>52.7</v>
      </c>
      <c r="AV93" s="35">
        <v>9.429413758834718</v>
      </c>
      <c r="AW93" s="6">
        <v>51.6</v>
      </c>
    </row>
    <row r="94" spans="1:49" x14ac:dyDescent="0.25">
      <c r="A94" t="s">
        <v>94</v>
      </c>
      <c r="B94" s="2">
        <v>39233</v>
      </c>
      <c r="C94" s="3" t="e">
        <v>#N/A</v>
      </c>
      <c r="D94" s="29" t="e">
        <v>#N/A</v>
      </c>
      <c r="E94" s="35">
        <v>110.06048</v>
      </c>
      <c r="F94" s="29">
        <v>63.215499999999999</v>
      </c>
      <c r="G94" s="29">
        <v>67.075900000000004</v>
      </c>
      <c r="H94" s="29">
        <v>99.038300000000007</v>
      </c>
      <c r="I94" s="29">
        <v>109.2119</v>
      </c>
      <c r="J94" s="29">
        <v>85.618799999999993</v>
      </c>
      <c r="K94" s="29">
        <v>94.814099999999996</v>
      </c>
      <c r="L94" s="29">
        <v>97.456699999999998</v>
      </c>
      <c r="M94" s="3">
        <v>3.67</v>
      </c>
      <c r="N94" s="3">
        <v>100.68</v>
      </c>
      <c r="O94" s="3">
        <v>102.13</v>
      </c>
      <c r="P94" s="29">
        <v>96.014099999999999</v>
      </c>
      <c r="Q94" s="29" t="e">
        <v>#N/A</v>
      </c>
      <c r="R94" s="6">
        <v>22182.799999999999</v>
      </c>
      <c r="S94" s="6">
        <v>23509.4</v>
      </c>
      <c r="T94" s="3">
        <v>101.13</v>
      </c>
      <c r="U94" s="6">
        <v>43.6</v>
      </c>
      <c r="V94" s="3">
        <v>101.77</v>
      </c>
      <c r="W94" s="29" t="e">
        <v>#N/A</v>
      </c>
      <c r="X94" s="29" t="e">
        <v>#N/A</v>
      </c>
      <c r="Y94" s="29" t="e">
        <v>#N/A</v>
      </c>
      <c r="Z94" s="29" t="e">
        <v>#N/A</v>
      </c>
      <c r="AA94" s="29" t="e">
        <v>#N/A</v>
      </c>
      <c r="AB94" s="29" t="e">
        <v>#N/A</v>
      </c>
      <c r="AC94" s="29" t="e">
        <v>#N/A</v>
      </c>
      <c r="AD94" s="29" t="e">
        <v>#N/A</v>
      </c>
      <c r="AE94" s="29" t="e">
        <v>#N/A</v>
      </c>
      <c r="AF94" s="29" t="e">
        <v>#N/A</v>
      </c>
      <c r="AG94" s="29" t="e">
        <v>#N/A</v>
      </c>
      <c r="AH94" s="29" t="e">
        <v>#N/A</v>
      </c>
      <c r="AI94" s="3">
        <v>30307.040000000001</v>
      </c>
      <c r="AJ94" s="4">
        <v>95.072999999999993</v>
      </c>
      <c r="AK94" s="4">
        <v>96.177999999999997</v>
      </c>
      <c r="AL94" s="4">
        <v>104.59</v>
      </c>
      <c r="AM94" s="4">
        <v>87.795000000000002</v>
      </c>
      <c r="AN94" s="4">
        <v>86.804000000000002</v>
      </c>
      <c r="AO94" s="5">
        <v>319301195</v>
      </c>
      <c r="AP94" s="36">
        <v>91.524736000000004</v>
      </c>
      <c r="AQ94" s="6">
        <v>90.4</v>
      </c>
      <c r="AR94" s="3">
        <v>1023351.5778596911</v>
      </c>
      <c r="AS94" s="5">
        <v>3111</v>
      </c>
      <c r="AT94" s="5">
        <v>1758</v>
      </c>
      <c r="AU94" s="6">
        <v>52.2</v>
      </c>
      <c r="AV94" s="35">
        <v>87.953954256628663</v>
      </c>
      <c r="AW94" s="6">
        <v>53.5</v>
      </c>
    </row>
    <row r="95" spans="1:49" x14ac:dyDescent="0.25">
      <c r="A95" t="s">
        <v>95</v>
      </c>
      <c r="B95" s="2">
        <v>39263</v>
      </c>
      <c r="C95" s="3" t="e">
        <v>#N/A</v>
      </c>
      <c r="D95" s="29" t="e">
        <v>#N/A</v>
      </c>
      <c r="E95" s="35">
        <v>109.76367</v>
      </c>
      <c r="F95" s="29">
        <v>63.427700000000002</v>
      </c>
      <c r="G95" s="29">
        <v>67.290999999999997</v>
      </c>
      <c r="H95" s="29">
        <v>99.599000000000004</v>
      </c>
      <c r="I95" s="29">
        <v>112.1844</v>
      </c>
      <c r="J95" s="29">
        <v>85.386700000000005</v>
      </c>
      <c r="K95" s="29">
        <v>93.593299999999999</v>
      </c>
      <c r="L95" s="29">
        <v>97.507000000000005</v>
      </c>
      <c r="M95" s="3">
        <v>3.52</v>
      </c>
      <c r="N95" s="3">
        <v>100.72</v>
      </c>
      <c r="O95" s="3">
        <v>102.16</v>
      </c>
      <c r="P95" s="29">
        <v>96.998900000000006</v>
      </c>
      <c r="Q95" s="29" t="e">
        <v>#N/A</v>
      </c>
      <c r="R95" s="6">
        <v>22481.3</v>
      </c>
      <c r="S95" s="6">
        <v>23999.5</v>
      </c>
      <c r="T95" s="3">
        <v>101.22</v>
      </c>
      <c r="U95" s="6">
        <v>43.1</v>
      </c>
      <c r="V95" s="3">
        <v>101.72</v>
      </c>
      <c r="W95" s="29" t="e">
        <v>#N/A</v>
      </c>
      <c r="X95" s="29" t="e">
        <v>#N/A</v>
      </c>
      <c r="Y95" s="29" t="e">
        <v>#N/A</v>
      </c>
      <c r="Z95" s="29" t="e">
        <v>#N/A</v>
      </c>
      <c r="AA95" s="29" t="e">
        <v>#N/A</v>
      </c>
      <c r="AB95" s="29" t="e">
        <v>#N/A</v>
      </c>
      <c r="AC95" s="29" t="e">
        <v>#N/A</v>
      </c>
      <c r="AD95" s="29" t="e">
        <v>#N/A</v>
      </c>
      <c r="AE95" s="29" t="e">
        <v>#N/A</v>
      </c>
      <c r="AF95" s="29" t="e">
        <v>#N/A</v>
      </c>
      <c r="AG95" s="29" t="e">
        <v>#N/A</v>
      </c>
      <c r="AH95" s="29" t="e">
        <v>#N/A</v>
      </c>
      <c r="AI95" s="3">
        <v>31647.54</v>
      </c>
      <c r="AJ95" s="4">
        <v>95.64</v>
      </c>
      <c r="AK95" s="4">
        <v>96.272999999999996</v>
      </c>
      <c r="AL95" s="4">
        <v>104.95699999999999</v>
      </c>
      <c r="AM95" s="4">
        <v>87.838999999999999</v>
      </c>
      <c r="AN95" s="4">
        <v>89.808999999999997</v>
      </c>
      <c r="AO95" s="5">
        <v>319611552</v>
      </c>
      <c r="AP95" s="36">
        <v>91.765106000000003</v>
      </c>
      <c r="AQ95" s="6">
        <v>89.8</v>
      </c>
      <c r="AR95" s="3">
        <v>1088976.8380921804</v>
      </c>
      <c r="AS95" s="5">
        <v>3169</v>
      </c>
      <c r="AT95" s="5">
        <v>1737</v>
      </c>
      <c r="AU95" s="6">
        <v>52.2</v>
      </c>
      <c r="AV95" s="35">
        <v>95.643579356856407</v>
      </c>
      <c r="AW95" s="6">
        <v>51.7</v>
      </c>
    </row>
    <row r="96" spans="1:49" x14ac:dyDescent="0.25">
      <c r="A96" t="s">
        <v>96</v>
      </c>
      <c r="B96" s="2">
        <v>39294</v>
      </c>
      <c r="C96" s="3" t="e">
        <v>#N/A</v>
      </c>
      <c r="D96" s="29" t="e">
        <v>#N/A</v>
      </c>
      <c r="E96" s="35">
        <v>109.45583999999999</v>
      </c>
      <c r="F96" s="29">
        <v>63.7059</v>
      </c>
      <c r="G96" s="29">
        <v>67.5334</v>
      </c>
      <c r="H96" s="29">
        <v>99.452799999999996</v>
      </c>
      <c r="I96" s="29">
        <v>111.9615</v>
      </c>
      <c r="J96" s="29">
        <v>85.992000000000004</v>
      </c>
      <c r="K96" s="29">
        <v>96.212500000000006</v>
      </c>
      <c r="L96" s="29">
        <v>97.047899999999998</v>
      </c>
      <c r="M96" s="3">
        <v>3.6</v>
      </c>
      <c r="N96" s="3">
        <v>100</v>
      </c>
      <c r="O96" s="3">
        <v>102.19</v>
      </c>
      <c r="P96" s="29">
        <v>97.409199999999998</v>
      </c>
      <c r="Q96" s="29" t="e">
        <v>#N/A</v>
      </c>
      <c r="R96" s="6">
        <v>22444.400000000001</v>
      </c>
      <c r="S96" s="6">
        <v>23197.7</v>
      </c>
      <c r="T96" s="3">
        <v>101.29</v>
      </c>
      <c r="U96" s="6">
        <v>42.9</v>
      </c>
      <c r="V96" s="3">
        <v>101.68</v>
      </c>
      <c r="W96" s="29" t="e">
        <v>#N/A</v>
      </c>
      <c r="X96" s="29" t="e">
        <v>#N/A</v>
      </c>
      <c r="Y96" s="29" t="e">
        <v>#N/A</v>
      </c>
      <c r="Z96" s="29" t="e">
        <v>#N/A</v>
      </c>
      <c r="AA96" s="29" t="e">
        <v>#N/A</v>
      </c>
      <c r="AB96" s="29" t="e">
        <v>#N/A</v>
      </c>
      <c r="AC96" s="29" t="e">
        <v>#N/A</v>
      </c>
      <c r="AD96" s="29" t="e">
        <v>#N/A</v>
      </c>
      <c r="AE96" s="29" t="e">
        <v>#N/A</v>
      </c>
      <c r="AF96" s="29" t="e">
        <v>#N/A</v>
      </c>
      <c r="AG96" s="29" t="e">
        <v>#N/A</v>
      </c>
      <c r="AH96" s="29" t="e">
        <v>#N/A</v>
      </c>
      <c r="AI96" s="3">
        <v>31702.560000000001</v>
      </c>
      <c r="AJ96" s="4">
        <v>94.832999999999998</v>
      </c>
      <c r="AK96" s="4">
        <v>96.137</v>
      </c>
      <c r="AL96" s="4">
        <v>104.06100000000001</v>
      </c>
      <c r="AM96" s="4">
        <v>87.822999999999993</v>
      </c>
      <c r="AN96" s="4">
        <v>82.888000000000005</v>
      </c>
      <c r="AO96" s="5">
        <v>302137432</v>
      </c>
      <c r="AP96" s="36">
        <v>91.824121000000005</v>
      </c>
      <c r="AQ96" s="6">
        <v>91.7</v>
      </c>
      <c r="AR96" s="3">
        <v>1079582.0753894437</v>
      </c>
      <c r="AS96" s="5">
        <v>3186</v>
      </c>
      <c r="AT96" s="5">
        <v>1758</v>
      </c>
      <c r="AU96" s="6">
        <v>51.7</v>
      </c>
      <c r="AV96" s="35">
        <v>45.797729964975623</v>
      </c>
      <c r="AW96" s="6">
        <v>51.9</v>
      </c>
    </row>
    <row r="97" spans="1:49" x14ac:dyDescent="0.25">
      <c r="A97" t="s">
        <v>97</v>
      </c>
      <c r="B97" s="2">
        <v>39325</v>
      </c>
      <c r="C97" s="3" t="e">
        <v>#N/A</v>
      </c>
      <c r="D97" s="29" t="e">
        <v>#N/A</v>
      </c>
      <c r="E97" s="35">
        <v>107.53554</v>
      </c>
      <c r="F97" s="29">
        <v>63.948</v>
      </c>
      <c r="G97" s="29">
        <v>67.789500000000004</v>
      </c>
      <c r="H97" s="29">
        <v>98.0548</v>
      </c>
      <c r="I97" s="29">
        <v>101.2003</v>
      </c>
      <c r="J97" s="29">
        <v>86.491799999999998</v>
      </c>
      <c r="K97" s="29">
        <v>98.370800000000003</v>
      </c>
      <c r="L97" s="29">
        <v>97.271100000000004</v>
      </c>
      <c r="M97" s="3">
        <v>3.6</v>
      </c>
      <c r="N97" s="3">
        <v>100.15</v>
      </c>
      <c r="O97" s="3">
        <v>102.2</v>
      </c>
      <c r="P97" s="29">
        <v>97.901499999999999</v>
      </c>
      <c r="Q97" s="29" t="e">
        <v>#N/A</v>
      </c>
      <c r="R97" s="6">
        <v>23315.4</v>
      </c>
      <c r="S97" s="6">
        <v>23907</v>
      </c>
      <c r="T97" s="3">
        <v>101.33</v>
      </c>
      <c r="U97" s="6">
        <v>43.5</v>
      </c>
      <c r="V97" s="3">
        <v>101.63</v>
      </c>
      <c r="W97" s="29" t="e">
        <v>#N/A</v>
      </c>
      <c r="X97" s="29" t="e">
        <v>#N/A</v>
      </c>
      <c r="Y97" s="29" t="e">
        <v>#N/A</v>
      </c>
      <c r="Z97" s="29" t="e">
        <v>#N/A</v>
      </c>
      <c r="AA97" s="29" t="e">
        <v>#N/A</v>
      </c>
      <c r="AB97" s="29" t="e">
        <v>#N/A</v>
      </c>
      <c r="AC97" s="29" t="e">
        <v>#N/A</v>
      </c>
      <c r="AD97" s="29" t="e">
        <v>#N/A</v>
      </c>
      <c r="AE97" s="29" t="e">
        <v>#N/A</v>
      </c>
      <c r="AF97" s="29" t="e">
        <v>#N/A</v>
      </c>
      <c r="AG97" s="29" t="e">
        <v>#N/A</v>
      </c>
      <c r="AH97" s="29" t="e">
        <v>#N/A</v>
      </c>
      <c r="AI97" s="3">
        <v>29486.45</v>
      </c>
      <c r="AJ97" s="4">
        <v>95.745000000000005</v>
      </c>
      <c r="AK97" s="4">
        <v>96.602999999999994</v>
      </c>
      <c r="AL97" s="4">
        <v>105.008</v>
      </c>
      <c r="AM97" s="4">
        <v>88.058999999999997</v>
      </c>
      <c r="AN97" s="4">
        <v>89.183999999999997</v>
      </c>
      <c r="AO97" s="5">
        <v>322995885</v>
      </c>
      <c r="AP97" s="36">
        <v>91.797707000000003</v>
      </c>
      <c r="AQ97" s="6">
        <v>93.6</v>
      </c>
      <c r="AR97" s="3">
        <v>1043004.5111018673</v>
      </c>
      <c r="AS97" s="5">
        <v>2856</v>
      </c>
      <c r="AT97" s="5">
        <v>1631</v>
      </c>
      <c r="AU97" s="6">
        <v>53.2</v>
      </c>
      <c r="AV97" s="35">
        <v>89.547002080712588</v>
      </c>
      <c r="AW97" s="6">
        <v>51.6</v>
      </c>
    </row>
    <row r="98" spans="1:49" x14ac:dyDescent="0.25">
      <c r="A98" t="s">
        <v>98</v>
      </c>
      <c r="B98" s="2">
        <v>39355</v>
      </c>
      <c r="C98" s="3" t="e">
        <v>#N/A</v>
      </c>
      <c r="D98" s="29" t="e">
        <v>#N/A</v>
      </c>
      <c r="E98" s="35">
        <v>107.33157</v>
      </c>
      <c r="F98" s="29">
        <v>64.270799999999994</v>
      </c>
      <c r="G98" s="29">
        <v>68.006500000000003</v>
      </c>
      <c r="H98" s="29">
        <v>99.704400000000007</v>
      </c>
      <c r="I98" s="29">
        <v>109.8282</v>
      </c>
      <c r="J98" s="29">
        <v>87.262</v>
      </c>
      <c r="K98" s="29">
        <v>100.0256</v>
      </c>
      <c r="L98" s="29">
        <v>96.290599999999998</v>
      </c>
      <c r="M98" s="3">
        <v>3.59</v>
      </c>
      <c r="N98" s="3">
        <v>99.86</v>
      </c>
      <c r="O98" s="3">
        <v>102.19</v>
      </c>
      <c r="P98" s="29">
        <v>98.968299999999999</v>
      </c>
      <c r="Q98" s="29" t="e">
        <v>#N/A</v>
      </c>
      <c r="R98" s="6">
        <v>23961.599999999999</v>
      </c>
      <c r="S98" s="6">
        <v>24409.599999999999</v>
      </c>
      <c r="T98" s="3">
        <v>101.37</v>
      </c>
      <c r="U98" s="6">
        <v>42.6</v>
      </c>
      <c r="V98" s="3">
        <v>101.58</v>
      </c>
      <c r="W98" s="29" t="e">
        <v>#N/A</v>
      </c>
      <c r="X98" s="29" t="e">
        <v>#N/A</v>
      </c>
      <c r="Y98" s="29" t="e">
        <v>#N/A</v>
      </c>
      <c r="Z98" s="29" t="e">
        <v>#N/A</v>
      </c>
      <c r="AA98" s="29" t="e">
        <v>#N/A</v>
      </c>
      <c r="AB98" s="29" t="e">
        <v>#N/A</v>
      </c>
      <c r="AC98" s="29" t="e">
        <v>#N/A</v>
      </c>
      <c r="AD98" s="29" t="e">
        <v>#N/A</v>
      </c>
      <c r="AE98" s="29" t="e">
        <v>#N/A</v>
      </c>
      <c r="AF98" s="29" t="e">
        <v>#N/A</v>
      </c>
      <c r="AG98" s="29" t="e">
        <v>#N/A</v>
      </c>
      <c r="AH98" s="29" t="e">
        <v>#N/A</v>
      </c>
      <c r="AI98" s="3">
        <v>30405.67</v>
      </c>
      <c r="AJ98" s="4">
        <v>95.501999999999995</v>
      </c>
      <c r="AK98" s="4">
        <v>96.376000000000005</v>
      </c>
      <c r="AL98" s="4">
        <v>104.474</v>
      </c>
      <c r="AM98" s="4">
        <v>88.114000000000004</v>
      </c>
      <c r="AN98" s="4">
        <v>89.72</v>
      </c>
      <c r="AO98" s="5">
        <v>305623497</v>
      </c>
      <c r="AP98" s="36">
        <v>92.279803999999999</v>
      </c>
      <c r="AQ98" s="6">
        <v>95.6</v>
      </c>
      <c r="AR98" s="3">
        <v>1116050.8109577901</v>
      </c>
      <c r="AS98" s="5">
        <v>3113</v>
      </c>
      <c r="AT98" s="5">
        <v>1679</v>
      </c>
      <c r="AU98" s="6">
        <v>52.1</v>
      </c>
      <c r="AV98" s="35">
        <v>72.959911928415451</v>
      </c>
      <c r="AW98" s="6">
        <v>52.4</v>
      </c>
    </row>
    <row r="99" spans="1:49" x14ac:dyDescent="0.25">
      <c r="A99" t="s">
        <v>99</v>
      </c>
      <c r="B99" s="2">
        <v>39386</v>
      </c>
      <c r="C99" s="3" t="e">
        <v>#N/A</v>
      </c>
      <c r="D99" s="29" t="e">
        <v>#N/A</v>
      </c>
      <c r="E99" s="35">
        <v>108.54158</v>
      </c>
      <c r="F99" s="29">
        <v>64.456699999999998</v>
      </c>
      <c r="G99" s="29">
        <v>68.260599999999997</v>
      </c>
      <c r="H99" s="29">
        <v>99.353899999999996</v>
      </c>
      <c r="I99" s="29">
        <v>107.85299999999999</v>
      </c>
      <c r="J99" s="29">
        <v>87.814899999999994</v>
      </c>
      <c r="K99" s="29">
        <v>100.8927</v>
      </c>
      <c r="L99" s="29">
        <v>95.745199999999997</v>
      </c>
      <c r="M99" s="3">
        <v>3.7</v>
      </c>
      <c r="N99" s="3">
        <v>100.77</v>
      </c>
      <c r="O99" s="3">
        <v>102.15</v>
      </c>
      <c r="P99" s="29">
        <v>98.311899999999994</v>
      </c>
      <c r="Q99" s="29" t="e">
        <v>#N/A</v>
      </c>
      <c r="R99" s="6">
        <v>23235.599999999999</v>
      </c>
      <c r="S99" s="6">
        <v>24210.3</v>
      </c>
      <c r="T99" s="3">
        <v>101.4</v>
      </c>
      <c r="U99" s="6">
        <v>42.2</v>
      </c>
      <c r="V99" s="3">
        <v>101.53</v>
      </c>
      <c r="W99" s="29" t="e">
        <v>#N/A</v>
      </c>
      <c r="X99" s="29" t="e">
        <v>#N/A</v>
      </c>
      <c r="Y99" s="29" t="e">
        <v>#N/A</v>
      </c>
      <c r="Z99" s="29" t="e">
        <v>#N/A</v>
      </c>
      <c r="AA99" s="29" t="e">
        <v>#N/A</v>
      </c>
      <c r="AB99" s="29" t="e">
        <v>#N/A</v>
      </c>
      <c r="AC99" s="29" t="e">
        <v>#N/A</v>
      </c>
      <c r="AD99" s="29" t="e">
        <v>#N/A</v>
      </c>
      <c r="AE99" s="29" t="e">
        <v>#N/A</v>
      </c>
      <c r="AF99" s="29" t="e">
        <v>#N/A</v>
      </c>
      <c r="AG99" s="29" t="e">
        <v>#N/A</v>
      </c>
      <c r="AH99" s="29" t="e">
        <v>#N/A</v>
      </c>
      <c r="AI99" s="3">
        <v>31908.49</v>
      </c>
      <c r="AJ99" s="4">
        <v>96.42</v>
      </c>
      <c r="AK99" s="4">
        <v>97.355999999999995</v>
      </c>
      <c r="AL99" s="4">
        <v>105.637</v>
      </c>
      <c r="AM99" s="4">
        <v>88.733000000000004</v>
      </c>
      <c r="AN99" s="4">
        <v>86.634</v>
      </c>
      <c r="AO99" s="5">
        <v>324885964</v>
      </c>
      <c r="AP99" s="36">
        <v>92.582392999999996</v>
      </c>
      <c r="AQ99" s="6">
        <v>96.3</v>
      </c>
      <c r="AR99" s="3">
        <v>1100103.9481472957</v>
      </c>
      <c r="AS99" s="5">
        <v>3006</v>
      </c>
      <c r="AT99" s="5">
        <v>1503</v>
      </c>
      <c r="AU99" s="6">
        <v>52.5</v>
      </c>
      <c r="AV99" s="35">
        <v>52.449882055473644</v>
      </c>
      <c r="AW99" s="6">
        <v>53.5</v>
      </c>
    </row>
    <row r="100" spans="1:49" x14ac:dyDescent="0.25">
      <c r="A100" t="s">
        <v>100</v>
      </c>
      <c r="B100" s="2">
        <v>39416</v>
      </c>
      <c r="C100" s="3" t="e">
        <v>#N/A</v>
      </c>
      <c r="D100" s="29" t="e">
        <v>#N/A</v>
      </c>
      <c r="E100" s="35">
        <v>107.21441</v>
      </c>
      <c r="F100" s="29">
        <v>64.623999999999995</v>
      </c>
      <c r="G100" s="29">
        <v>68.472899999999996</v>
      </c>
      <c r="H100" s="29">
        <v>98.584500000000006</v>
      </c>
      <c r="I100" s="29">
        <v>105.7568</v>
      </c>
      <c r="J100" s="29">
        <v>88.007400000000004</v>
      </c>
      <c r="K100" s="29">
        <v>102.5301</v>
      </c>
      <c r="L100" s="29">
        <v>94.816000000000003</v>
      </c>
      <c r="M100" s="3">
        <v>3.67</v>
      </c>
      <c r="N100" s="3">
        <v>99.67</v>
      </c>
      <c r="O100" s="3">
        <v>102.05</v>
      </c>
      <c r="P100" s="29">
        <v>97.901499999999999</v>
      </c>
      <c r="Q100" s="29" t="e">
        <v>#N/A</v>
      </c>
      <c r="R100" s="6">
        <v>24566.6</v>
      </c>
      <c r="S100" s="6">
        <v>24307.1</v>
      </c>
      <c r="T100" s="3">
        <v>101.44</v>
      </c>
      <c r="U100" s="6">
        <v>41.9</v>
      </c>
      <c r="V100" s="3">
        <v>101.44</v>
      </c>
      <c r="W100" s="29" t="e">
        <v>#N/A</v>
      </c>
      <c r="X100" s="29" t="e">
        <v>#N/A</v>
      </c>
      <c r="Y100" s="29" t="e">
        <v>#N/A</v>
      </c>
      <c r="Z100" s="29" t="e">
        <v>#N/A</v>
      </c>
      <c r="AA100" s="29" t="e">
        <v>#N/A</v>
      </c>
      <c r="AB100" s="29" t="e">
        <v>#N/A</v>
      </c>
      <c r="AC100" s="29" t="e">
        <v>#N/A</v>
      </c>
      <c r="AD100" s="29" t="e">
        <v>#N/A</v>
      </c>
      <c r="AE100" s="29" t="e">
        <v>#N/A</v>
      </c>
      <c r="AF100" s="29" t="e">
        <v>#N/A</v>
      </c>
      <c r="AG100" s="29" t="e">
        <v>#N/A</v>
      </c>
      <c r="AH100" s="29" t="e">
        <v>#N/A</v>
      </c>
      <c r="AI100" s="3">
        <v>29311.57</v>
      </c>
      <c r="AJ100" s="4">
        <v>95.024000000000001</v>
      </c>
      <c r="AK100" s="4">
        <v>95.626999999999995</v>
      </c>
      <c r="AL100" s="4">
        <v>102.063</v>
      </c>
      <c r="AM100" s="4">
        <v>89.048000000000002</v>
      </c>
      <c r="AN100" s="4">
        <v>90.064999999999998</v>
      </c>
      <c r="AO100" s="5">
        <v>313851800</v>
      </c>
      <c r="AP100" s="36">
        <v>91.896552</v>
      </c>
      <c r="AQ100" s="6">
        <v>97.4</v>
      </c>
      <c r="AR100" s="3">
        <v>1089621.7903686718</v>
      </c>
      <c r="AS100" s="5">
        <v>2926</v>
      </c>
      <c r="AT100" s="5">
        <v>1872</v>
      </c>
      <c r="AU100" s="6">
        <v>51.2</v>
      </c>
      <c r="AV100" s="35">
        <v>63.137070084785741</v>
      </c>
      <c r="AW100" s="6">
        <v>53.1</v>
      </c>
    </row>
    <row r="101" spans="1:49" x14ac:dyDescent="0.25">
      <c r="A101" t="s">
        <v>101</v>
      </c>
      <c r="B101" s="2">
        <v>39447</v>
      </c>
      <c r="C101" s="3" t="e">
        <v>#N/A</v>
      </c>
      <c r="D101" s="29" t="e">
        <v>#N/A</v>
      </c>
      <c r="E101" s="35">
        <v>107.86854</v>
      </c>
      <c r="F101" s="29">
        <v>64.763199999999998</v>
      </c>
      <c r="G101" s="29">
        <v>68.679900000000004</v>
      </c>
      <c r="H101" s="29">
        <v>99.587100000000007</v>
      </c>
      <c r="I101" s="29">
        <v>106.3593</v>
      </c>
      <c r="J101" s="29">
        <v>88.870500000000007</v>
      </c>
      <c r="K101" s="29">
        <v>103.8314</v>
      </c>
      <c r="L101" s="29">
        <v>93.963399999999993</v>
      </c>
      <c r="M101" s="3">
        <v>3.78</v>
      </c>
      <c r="N101" s="3">
        <v>100.97</v>
      </c>
      <c r="O101" s="3">
        <v>101.92</v>
      </c>
      <c r="P101" s="29">
        <v>97.737499999999997</v>
      </c>
      <c r="Q101" s="29" t="e">
        <v>#N/A</v>
      </c>
      <c r="R101" s="6">
        <v>24365.4</v>
      </c>
      <c r="S101" s="6">
        <v>24597.9</v>
      </c>
      <c r="T101" s="3">
        <v>101.48</v>
      </c>
      <c r="U101" s="6">
        <v>42.2</v>
      </c>
      <c r="V101" s="3">
        <v>101.3</v>
      </c>
      <c r="W101" s="29" t="e">
        <v>#N/A</v>
      </c>
      <c r="X101" s="29" t="e">
        <v>#N/A</v>
      </c>
      <c r="Y101" s="29" t="e">
        <v>#N/A</v>
      </c>
      <c r="Z101" s="29" t="e">
        <v>#N/A</v>
      </c>
      <c r="AA101" s="29" t="e">
        <v>#N/A</v>
      </c>
      <c r="AB101" s="29" t="e">
        <v>#N/A</v>
      </c>
      <c r="AC101" s="29" t="e">
        <v>#N/A</v>
      </c>
      <c r="AD101" s="29" t="e">
        <v>#N/A</v>
      </c>
      <c r="AE101" s="29" t="e">
        <v>#N/A</v>
      </c>
      <c r="AF101" s="29" t="e">
        <v>#N/A</v>
      </c>
      <c r="AG101" s="29" t="e">
        <v>#N/A</v>
      </c>
      <c r="AH101" s="29" t="e">
        <v>#N/A</v>
      </c>
      <c r="AI101" s="3">
        <v>29982.48</v>
      </c>
      <c r="AJ101" s="4">
        <v>94.325000000000003</v>
      </c>
      <c r="AK101" s="4">
        <v>93.933000000000007</v>
      </c>
      <c r="AL101" s="4">
        <v>98.619</v>
      </c>
      <c r="AM101" s="4">
        <v>88.93</v>
      </c>
      <c r="AN101" s="4">
        <v>90.765000000000001</v>
      </c>
      <c r="AO101" s="5">
        <v>290805512</v>
      </c>
      <c r="AP101" s="36">
        <v>91.908108999999996</v>
      </c>
      <c r="AQ101" s="6">
        <v>97.2</v>
      </c>
      <c r="AR101" s="3">
        <v>1138122.970697067</v>
      </c>
      <c r="AS101" s="5">
        <v>2923</v>
      </c>
      <c r="AT101" s="5">
        <v>1496</v>
      </c>
      <c r="AU101" s="6">
        <v>51</v>
      </c>
      <c r="AV101" s="35">
        <v>86.974308466313104</v>
      </c>
      <c r="AW101" s="6">
        <v>51.9</v>
      </c>
    </row>
    <row r="102" spans="1:49" x14ac:dyDescent="0.25">
      <c r="A102" t="s">
        <v>102</v>
      </c>
      <c r="B102" s="2">
        <v>39478</v>
      </c>
      <c r="C102" s="3">
        <v>7.5</v>
      </c>
      <c r="D102" s="29">
        <v>7.9214000000000002</v>
      </c>
      <c r="E102" s="35">
        <v>106.74151000000001</v>
      </c>
      <c r="F102" s="29">
        <v>65.003900000000002</v>
      </c>
      <c r="G102" s="29">
        <v>68.917699999999996</v>
      </c>
      <c r="H102" s="29">
        <v>98.691599999999994</v>
      </c>
      <c r="I102" s="29">
        <v>105.8065</v>
      </c>
      <c r="J102" s="29">
        <v>87.295599999999993</v>
      </c>
      <c r="K102" s="29">
        <v>101.57250000000001</v>
      </c>
      <c r="L102" s="29">
        <v>96.312600000000003</v>
      </c>
      <c r="M102" s="3">
        <v>3.8</v>
      </c>
      <c r="N102" s="3">
        <v>100.34</v>
      </c>
      <c r="O102" s="3">
        <v>101.75</v>
      </c>
      <c r="P102" s="29">
        <v>99.331999999999994</v>
      </c>
      <c r="Q102" s="29">
        <v>92.254099999999994</v>
      </c>
      <c r="R102" s="6">
        <v>24501.599999999999</v>
      </c>
      <c r="S102" s="6">
        <v>25591.599999999999</v>
      </c>
      <c r="T102" s="3">
        <v>101.54</v>
      </c>
      <c r="U102" s="6">
        <v>42</v>
      </c>
      <c r="V102" s="3">
        <v>101.1</v>
      </c>
      <c r="W102" s="29" t="e">
        <v>#N/A</v>
      </c>
      <c r="X102" s="29" t="e">
        <v>#N/A</v>
      </c>
      <c r="Y102" s="29" t="e">
        <v>#N/A</v>
      </c>
      <c r="Z102" s="29" t="e">
        <v>#N/A</v>
      </c>
      <c r="AA102" s="29" t="e">
        <v>#N/A</v>
      </c>
      <c r="AB102" s="29" t="e">
        <v>#N/A</v>
      </c>
      <c r="AC102" s="29" t="e">
        <v>#N/A</v>
      </c>
      <c r="AD102" s="29" t="e">
        <v>#N/A</v>
      </c>
      <c r="AE102" s="29" t="e">
        <v>#N/A</v>
      </c>
      <c r="AF102" s="29" t="e">
        <v>#N/A</v>
      </c>
      <c r="AG102" s="29" t="e">
        <v>#N/A</v>
      </c>
      <c r="AH102" s="29" t="e">
        <v>#N/A</v>
      </c>
      <c r="AI102" s="3">
        <v>27909.77</v>
      </c>
      <c r="AJ102" s="4">
        <v>96.064999999999998</v>
      </c>
      <c r="AK102" s="4">
        <v>96.477000000000004</v>
      </c>
      <c r="AL102" s="4">
        <v>103.797</v>
      </c>
      <c r="AM102" s="4">
        <v>88.965000000000003</v>
      </c>
      <c r="AN102" s="4">
        <v>92.358000000000004</v>
      </c>
      <c r="AO102" s="5">
        <v>314698562</v>
      </c>
      <c r="AP102" s="36">
        <v>92.394096000000005</v>
      </c>
      <c r="AQ102" s="6">
        <v>97.7</v>
      </c>
      <c r="AR102" s="3">
        <v>1132013.582467553</v>
      </c>
      <c r="AS102" s="5">
        <v>2926</v>
      </c>
      <c r="AT102" s="5">
        <v>1434</v>
      </c>
      <c r="AU102" s="6">
        <v>50.5</v>
      </c>
      <c r="AV102" s="35">
        <v>85.440237842913433</v>
      </c>
      <c r="AW102" s="6">
        <v>52.1</v>
      </c>
    </row>
    <row r="103" spans="1:49" x14ac:dyDescent="0.25">
      <c r="A103" t="s">
        <v>103</v>
      </c>
      <c r="B103" s="2">
        <v>39507</v>
      </c>
      <c r="C103" s="3">
        <v>7.5</v>
      </c>
      <c r="D103" s="29">
        <v>7.5391000000000004</v>
      </c>
      <c r="E103" s="35">
        <v>107.32355</v>
      </c>
      <c r="F103" s="29">
        <v>65.183199999999999</v>
      </c>
      <c r="G103" s="29">
        <v>69.147199999999998</v>
      </c>
      <c r="H103" s="29">
        <v>100.1177</v>
      </c>
      <c r="I103" s="29">
        <v>105.6221</v>
      </c>
      <c r="J103" s="29">
        <v>89.713800000000006</v>
      </c>
      <c r="K103" s="29">
        <v>103.9149</v>
      </c>
      <c r="L103" s="29">
        <v>96.718500000000006</v>
      </c>
      <c r="M103" s="3">
        <v>3.71</v>
      </c>
      <c r="N103" s="3">
        <v>100.81</v>
      </c>
      <c r="O103" s="3">
        <v>101.57</v>
      </c>
      <c r="P103" s="29">
        <v>98.949799999999996</v>
      </c>
      <c r="Q103" s="29">
        <v>93.378399999999999</v>
      </c>
      <c r="R103" s="6">
        <v>24254.2</v>
      </c>
      <c r="S103" s="6">
        <v>25859.599999999999</v>
      </c>
      <c r="T103" s="3">
        <v>101.6</v>
      </c>
      <c r="U103" s="6">
        <v>41.6</v>
      </c>
      <c r="V103" s="3">
        <v>100.84</v>
      </c>
      <c r="W103" s="29" t="e">
        <v>#N/A</v>
      </c>
      <c r="X103" s="29" t="e">
        <v>#N/A</v>
      </c>
      <c r="Y103" s="29" t="e">
        <v>#N/A</v>
      </c>
      <c r="Z103" s="29" t="e">
        <v>#N/A</v>
      </c>
      <c r="AA103" s="29" t="e">
        <v>#N/A</v>
      </c>
      <c r="AB103" s="29" t="e">
        <v>#N/A</v>
      </c>
      <c r="AC103" s="29" t="e">
        <v>#N/A</v>
      </c>
      <c r="AD103" s="29" t="e">
        <v>#N/A</v>
      </c>
      <c r="AE103" s="29" t="e">
        <v>#N/A</v>
      </c>
      <c r="AF103" s="29" t="e">
        <v>#N/A</v>
      </c>
      <c r="AG103" s="29" t="e">
        <v>#N/A</v>
      </c>
      <c r="AH103" s="29" t="e">
        <v>#N/A</v>
      </c>
      <c r="AI103" s="3">
        <v>29135.77</v>
      </c>
      <c r="AJ103" s="4">
        <v>96.576999999999998</v>
      </c>
      <c r="AK103" s="4">
        <v>97.385999999999996</v>
      </c>
      <c r="AL103" s="4">
        <v>105.4</v>
      </c>
      <c r="AM103" s="4">
        <v>89.344999999999999</v>
      </c>
      <c r="AN103" s="4">
        <v>90.893000000000001</v>
      </c>
      <c r="AO103" s="5">
        <v>311831882</v>
      </c>
      <c r="AP103" s="36">
        <v>92.402502999999996</v>
      </c>
      <c r="AQ103" s="6">
        <v>100.3</v>
      </c>
      <c r="AR103" s="3">
        <v>1145405.8336383447</v>
      </c>
      <c r="AS103" s="5">
        <v>2906</v>
      </c>
      <c r="AT103" s="5">
        <v>1429</v>
      </c>
      <c r="AU103" s="6">
        <v>51.2</v>
      </c>
      <c r="AV103" s="35">
        <v>61.811380214600796</v>
      </c>
      <c r="AW103" s="6">
        <v>52.9</v>
      </c>
    </row>
    <row r="104" spans="1:49" x14ac:dyDescent="0.25">
      <c r="A104" t="s">
        <v>104</v>
      </c>
      <c r="B104" s="2">
        <v>39538</v>
      </c>
      <c r="C104" s="3">
        <v>7.5</v>
      </c>
      <c r="D104" s="29">
        <v>7.4992000000000001</v>
      </c>
      <c r="E104" s="35">
        <v>106.79498</v>
      </c>
      <c r="F104" s="29">
        <v>65.606399999999994</v>
      </c>
      <c r="G104" s="29">
        <v>69.414299999999997</v>
      </c>
      <c r="H104" s="29">
        <v>98.620800000000003</v>
      </c>
      <c r="I104" s="29">
        <v>104.24890000000001</v>
      </c>
      <c r="J104" s="29">
        <v>87.203299999999999</v>
      </c>
      <c r="K104" s="29">
        <v>101.7976</v>
      </c>
      <c r="L104" s="29">
        <v>96.406999999999996</v>
      </c>
      <c r="M104" s="3">
        <v>4.1100000000000003</v>
      </c>
      <c r="N104" s="3">
        <v>100.47</v>
      </c>
      <c r="O104" s="3">
        <v>101.37</v>
      </c>
      <c r="P104" s="29">
        <v>98.162700000000001</v>
      </c>
      <c r="Q104" s="29">
        <v>93.366200000000006</v>
      </c>
      <c r="R104" s="6">
        <v>25374.1</v>
      </c>
      <c r="S104" s="6">
        <v>25845.200000000001</v>
      </c>
      <c r="T104" s="3">
        <v>101.66</v>
      </c>
      <c r="U104" s="6">
        <v>41.5</v>
      </c>
      <c r="V104" s="3">
        <v>100.54</v>
      </c>
      <c r="W104" s="29" t="e">
        <v>#N/A</v>
      </c>
      <c r="X104" s="29" t="e">
        <v>#N/A</v>
      </c>
      <c r="Y104" s="29" t="e">
        <v>#N/A</v>
      </c>
      <c r="Z104" s="29" t="e">
        <v>#N/A</v>
      </c>
      <c r="AA104" s="29" t="e">
        <v>#N/A</v>
      </c>
      <c r="AB104" s="29" t="e">
        <v>#N/A</v>
      </c>
      <c r="AC104" s="29" t="e">
        <v>#N/A</v>
      </c>
      <c r="AD104" s="29" t="e">
        <v>#N/A</v>
      </c>
      <c r="AE104" s="29" t="e">
        <v>#N/A</v>
      </c>
      <c r="AF104" s="29" t="e">
        <v>#N/A</v>
      </c>
      <c r="AG104" s="29" t="e">
        <v>#N/A</v>
      </c>
      <c r="AH104" s="29" t="e">
        <v>#N/A</v>
      </c>
      <c r="AI104" s="3">
        <v>29464.04</v>
      </c>
      <c r="AJ104" s="4">
        <v>96.143000000000001</v>
      </c>
      <c r="AK104" s="4">
        <v>97.016000000000005</v>
      </c>
      <c r="AL104" s="4">
        <v>104.279</v>
      </c>
      <c r="AM104" s="4">
        <v>89.569000000000003</v>
      </c>
      <c r="AN104" s="4">
        <v>90.688999999999993</v>
      </c>
      <c r="AO104" s="5">
        <v>320524933</v>
      </c>
      <c r="AP104" s="36">
        <v>91.500826000000004</v>
      </c>
      <c r="AQ104" s="6">
        <v>97.8</v>
      </c>
      <c r="AR104" s="3">
        <v>1113365.8562257423</v>
      </c>
      <c r="AS104" s="5">
        <v>2836</v>
      </c>
      <c r="AT104" s="5">
        <v>1628</v>
      </c>
      <c r="AU104" s="6">
        <v>48.6</v>
      </c>
      <c r="AV104" s="35">
        <v>60.688564455569555</v>
      </c>
      <c r="AW104" s="6">
        <v>53.6</v>
      </c>
    </row>
    <row r="105" spans="1:49" x14ac:dyDescent="0.25">
      <c r="A105" t="s">
        <v>105</v>
      </c>
      <c r="B105" s="2">
        <v>39568</v>
      </c>
      <c r="C105" s="3">
        <v>7.5</v>
      </c>
      <c r="D105" s="29">
        <v>7.6478999999999999</v>
      </c>
      <c r="E105" s="35">
        <v>108.67382000000001</v>
      </c>
      <c r="F105" s="29">
        <v>65.985100000000003</v>
      </c>
      <c r="G105" s="29">
        <v>69.791600000000003</v>
      </c>
      <c r="H105" s="29">
        <v>98.346599999999995</v>
      </c>
      <c r="I105" s="29">
        <v>100.7984</v>
      </c>
      <c r="J105" s="29">
        <v>86.966999999999999</v>
      </c>
      <c r="K105" s="29">
        <v>102.0873</v>
      </c>
      <c r="L105" s="29">
        <v>96.626300000000001</v>
      </c>
      <c r="M105" s="3">
        <v>3.71</v>
      </c>
      <c r="N105" s="3">
        <v>102.4</v>
      </c>
      <c r="O105" s="3">
        <v>101.15</v>
      </c>
      <c r="P105" s="29">
        <v>99.294600000000003</v>
      </c>
      <c r="Q105" s="29">
        <v>98.9435</v>
      </c>
      <c r="R105" s="6">
        <v>25913.7</v>
      </c>
      <c r="S105" s="6">
        <v>26700.1</v>
      </c>
      <c r="T105" s="3">
        <v>101.7</v>
      </c>
      <c r="U105" s="6">
        <v>40</v>
      </c>
      <c r="V105" s="3">
        <v>100.22</v>
      </c>
      <c r="W105" s="29" t="e">
        <v>#N/A</v>
      </c>
      <c r="X105" s="29" t="e">
        <v>#N/A</v>
      </c>
      <c r="Y105" s="29" t="e">
        <v>#N/A</v>
      </c>
      <c r="Z105" s="29" t="e">
        <v>#N/A</v>
      </c>
      <c r="AA105" s="29" t="e">
        <v>#N/A</v>
      </c>
      <c r="AB105" s="29" t="e">
        <v>#N/A</v>
      </c>
      <c r="AC105" s="29" t="e">
        <v>#N/A</v>
      </c>
      <c r="AD105" s="29" t="e">
        <v>#N/A</v>
      </c>
      <c r="AE105" s="29" t="e">
        <v>#N/A</v>
      </c>
      <c r="AF105" s="29" t="e">
        <v>#N/A</v>
      </c>
      <c r="AG105" s="29" t="e">
        <v>#N/A</v>
      </c>
      <c r="AH105" s="29" t="e">
        <v>#N/A</v>
      </c>
      <c r="AI105" s="3">
        <v>31467.09</v>
      </c>
      <c r="AJ105" s="4">
        <v>96.384</v>
      </c>
      <c r="AK105" s="4">
        <v>97.486000000000004</v>
      </c>
      <c r="AL105" s="4">
        <v>105.24</v>
      </c>
      <c r="AM105" s="4">
        <v>89.665000000000006</v>
      </c>
      <c r="AN105" s="4">
        <v>85.17</v>
      </c>
      <c r="AO105" s="5">
        <v>340142345</v>
      </c>
      <c r="AP105" s="36">
        <v>93.032238000000007</v>
      </c>
      <c r="AQ105" s="6">
        <v>98.4</v>
      </c>
      <c r="AR105" s="3">
        <v>1087853.8586120186</v>
      </c>
      <c r="AS105" s="5">
        <v>2732</v>
      </c>
      <c r="AT105" s="5">
        <v>1439</v>
      </c>
      <c r="AU105" s="6">
        <v>52.6</v>
      </c>
      <c r="AV105" s="35">
        <v>70.231438774174435</v>
      </c>
      <c r="AW105" s="6">
        <v>53.6</v>
      </c>
    </row>
    <row r="106" spans="1:49" x14ac:dyDescent="0.25">
      <c r="A106" t="s">
        <v>106</v>
      </c>
      <c r="B106" s="2">
        <v>39599</v>
      </c>
      <c r="C106" s="3">
        <v>7.5</v>
      </c>
      <c r="D106" s="29">
        <v>8.0315999999999992</v>
      </c>
      <c r="E106" s="35">
        <v>109.21095</v>
      </c>
      <c r="F106" s="29">
        <v>66.354299999999995</v>
      </c>
      <c r="G106" s="29">
        <v>70.143900000000002</v>
      </c>
      <c r="H106" s="29">
        <v>98.409199999999998</v>
      </c>
      <c r="I106" s="29">
        <v>102.2604</v>
      </c>
      <c r="J106" s="29">
        <v>87.7166</v>
      </c>
      <c r="K106" s="29">
        <v>103.33069999999999</v>
      </c>
      <c r="L106" s="29">
        <v>95.396799999999999</v>
      </c>
      <c r="M106" s="3">
        <v>3.62</v>
      </c>
      <c r="N106" s="3">
        <v>100.79</v>
      </c>
      <c r="O106" s="3">
        <v>100.86</v>
      </c>
      <c r="P106" s="29">
        <v>97.627099999999999</v>
      </c>
      <c r="Q106" s="29">
        <v>97.933999999999997</v>
      </c>
      <c r="R106" s="6">
        <v>25596</v>
      </c>
      <c r="S106" s="6">
        <v>26393.7</v>
      </c>
      <c r="T106" s="3">
        <v>101.71</v>
      </c>
      <c r="U106" s="6">
        <v>39</v>
      </c>
      <c r="V106" s="3">
        <v>99.88</v>
      </c>
      <c r="W106" s="29" t="e">
        <v>#N/A</v>
      </c>
      <c r="X106" s="29" t="e">
        <v>#N/A</v>
      </c>
      <c r="Y106" s="29" t="e">
        <v>#N/A</v>
      </c>
      <c r="Z106" s="29" t="e">
        <v>#N/A</v>
      </c>
      <c r="AA106" s="29" t="e">
        <v>#N/A</v>
      </c>
      <c r="AB106" s="29" t="e">
        <v>#N/A</v>
      </c>
      <c r="AC106" s="29" t="e">
        <v>#N/A</v>
      </c>
      <c r="AD106" s="29" t="e">
        <v>#N/A</v>
      </c>
      <c r="AE106" s="29" t="e">
        <v>#N/A</v>
      </c>
      <c r="AF106" s="29" t="e">
        <v>#N/A</v>
      </c>
      <c r="AG106" s="29" t="e">
        <v>#N/A</v>
      </c>
      <c r="AH106" s="29" t="e">
        <v>#N/A</v>
      </c>
      <c r="AI106" s="3">
        <v>31226.91</v>
      </c>
      <c r="AJ106" s="4">
        <v>97.021000000000001</v>
      </c>
      <c r="AK106" s="4">
        <v>98.218999999999994</v>
      </c>
      <c r="AL106" s="4">
        <v>105.95099999999999</v>
      </c>
      <c r="AM106" s="4">
        <v>90.858000000000004</v>
      </c>
      <c r="AN106" s="4">
        <v>88.79</v>
      </c>
      <c r="AO106" s="5">
        <v>342534067</v>
      </c>
      <c r="AP106" s="36">
        <v>92.746047000000004</v>
      </c>
      <c r="AQ106" s="6">
        <v>101</v>
      </c>
      <c r="AR106" s="3">
        <v>1182606.3881580634</v>
      </c>
      <c r="AS106" s="5">
        <v>2794</v>
      </c>
      <c r="AT106" s="5">
        <v>1376</v>
      </c>
      <c r="AU106" s="6">
        <v>51</v>
      </c>
      <c r="AV106" s="35">
        <v>57.936109678316754</v>
      </c>
      <c r="AW106" s="6">
        <v>51.8</v>
      </c>
    </row>
    <row r="107" spans="1:49" x14ac:dyDescent="0.25">
      <c r="A107" t="s">
        <v>107</v>
      </c>
      <c r="B107" s="2">
        <v>39629</v>
      </c>
      <c r="C107" s="3">
        <v>7.75</v>
      </c>
      <c r="D107" s="29">
        <v>8.7317</v>
      </c>
      <c r="E107" s="35">
        <v>109.98255</v>
      </c>
      <c r="F107" s="29">
        <v>66.768299999999996</v>
      </c>
      <c r="G107" s="29">
        <v>70.505300000000005</v>
      </c>
      <c r="H107" s="29">
        <v>99.742800000000003</v>
      </c>
      <c r="I107" s="29">
        <v>103.53660000000001</v>
      </c>
      <c r="J107" s="29">
        <v>86.666700000000006</v>
      </c>
      <c r="K107" s="29">
        <v>105.2302</v>
      </c>
      <c r="L107" s="29">
        <v>96.105500000000006</v>
      </c>
      <c r="M107" s="3">
        <v>3.79</v>
      </c>
      <c r="N107" s="3">
        <v>101.46</v>
      </c>
      <c r="O107" s="3">
        <v>100.46</v>
      </c>
      <c r="P107" s="29">
        <v>98.720100000000002</v>
      </c>
      <c r="Q107" s="29">
        <v>98.960099999999997</v>
      </c>
      <c r="R107" s="6">
        <v>25677.1</v>
      </c>
      <c r="S107" s="6">
        <v>26327.3</v>
      </c>
      <c r="T107" s="3">
        <v>101.65</v>
      </c>
      <c r="U107" s="6">
        <v>37.700000000000003</v>
      </c>
      <c r="V107" s="3">
        <v>99.49</v>
      </c>
      <c r="W107" s="29" t="e">
        <v>#N/A</v>
      </c>
      <c r="X107" s="29" t="e">
        <v>#N/A</v>
      </c>
      <c r="Y107" s="29" t="e">
        <v>#N/A</v>
      </c>
      <c r="Z107" s="29" t="e">
        <v>#N/A</v>
      </c>
      <c r="AA107" s="29" t="e">
        <v>#N/A</v>
      </c>
      <c r="AB107" s="29" t="e">
        <v>#N/A</v>
      </c>
      <c r="AC107" s="29" t="e">
        <v>#N/A</v>
      </c>
      <c r="AD107" s="29" t="e">
        <v>#N/A</v>
      </c>
      <c r="AE107" s="29" t="e">
        <v>#N/A</v>
      </c>
      <c r="AF107" s="29" t="e">
        <v>#N/A</v>
      </c>
      <c r="AG107" s="29" t="e">
        <v>#N/A</v>
      </c>
      <c r="AH107" s="29" t="e">
        <v>#N/A</v>
      </c>
      <c r="AI107" s="3">
        <v>30291.16</v>
      </c>
      <c r="AJ107" s="4">
        <v>97.515000000000001</v>
      </c>
      <c r="AK107" s="4">
        <v>98.400999999999996</v>
      </c>
      <c r="AL107" s="4">
        <v>106.298</v>
      </c>
      <c r="AM107" s="4">
        <v>90.968000000000004</v>
      </c>
      <c r="AN107" s="4">
        <v>89.77</v>
      </c>
      <c r="AO107" s="5">
        <v>343992207</v>
      </c>
      <c r="AP107" s="36">
        <v>93.344881999999998</v>
      </c>
      <c r="AQ107" s="6">
        <v>102.8</v>
      </c>
      <c r="AR107" s="3">
        <v>1188846.6186510704</v>
      </c>
      <c r="AS107" s="5">
        <v>2811</v>
      </c>
      <c r="AT107" s="5">
        <v>1415</v>
      </c>
      <c r="AU107" s="6">
        <v>51.1</v>
      </c>
      <c r="AV107" s="35">
        <v>73.697040441795508</v>
      </c>
      <c r="AW107" s="6">
        <v>50.9</v>
      </c>
    </row>
    <row r="108" spans="1:49" x14ac:dyDescent="0.25">
      <c r="A108" t="s">
        <v>108</v>
      </c>
      <c r="B108" s="2">
        <v>39660</v>
      </c>
      <c r="C108" s="3">
        <v>8</v>
      </c>
      <c r="D108" s="29">
        <v>9.0546000000000006</v>
      </c>
      <c r="E108" s="35">
        <v>110.87179</v>
      </c>
      <c r="F108" s="29">
        <v>67.136899999999997</v>
      </c>
      <c r="G108" s="29">
        <v>70.820300000000003</v>
      </c>
      <c r="H108" s="29">
        <v>98.017899999999997</v>
      </c>
      <c r="I108" s="29">
        <v>103.37179999999999</v>
      </c>
      <c r="J108" s="29">
        <v>86.033799999999999</v>
      </c>
      <c r="K108" s="29">
        <v>102.78270000000001</v>
      </c>
      <c r="L108" s="29">
        <v>95.010900000000007</v>
      </c>
      <c r="M108" s="3">
        <v>3.8</v>
      </c>
      <c r="N108" s="3">
        <v>100.55</v>
      </c>
      <c r="O108" s="3">
        <v>99.91</v>
      </c>
      <c r="P108" s="29">
        <v>98.248099999999994</v>
      </c>
      <c r="Q108" s="29">
        <v>98.333299999999994</v>
      </c>
      <c r="R108" s="6">
        <v>26800.400000000001</v>
      </c>
      <c r="S108" s="6">
        <v>27913</v>
      </c>
      <c r="T108" s="3">
        <v>101.5</v>
      </c>
      <c r="U108" s="6">
        <v>36.5</v>
      </c>
      <c r="V108" s="3">
        <v>99.02</v>
      </c>
      <c r="W108" s="29" t="e">
        <v>#N/A</v>
      </c>
      <c r="X108" s="29" t="e">
        <v>#N/A</v>
      </c>
      <c r="Y108" s="29" t="e">
        <v>#N/A</v>
      </c>
      <c r="Z108" s="29" t="e">
        <v>#N/A</v>
      </c>
      <c r="AA108" s="29" t="e">
        <v>#N/A</v>
      </c>
      <c r="AB108" s="29" t="e">
        <v>#N/A</v>
      </c>
      <c r="AC108" s="29" t="e">
        <v>#N/A</v>
      </c>
      <c r="AD108" s="29" t="e">
        <v>#N/A</v>
      </c>
      <c r="AE108" s="29" t="e">
        <v>#N/A</v>
      </c>
      <c r="AF108" s="29" t="e">
        <v>#N/A</v>
      </c>
      <c r="AG108" s="29" t="e">
        <v>#N/A</v>
      </c>
      <c r="AH108" s="29" t="e">
        <v>#N/A</v>
      </c>
      <c r="AI108" s="3">
        <v>27858.71</v>
      </c>
      <c r="AJ108" s="4">
        <v>97.234999999999999</v>
      </c>
      <c r="AK108" s="4">
        <v>97.866</v>
      </c>
      <c r="AL108" s="4">
        <v>106.245</v>
      </c>
      <c r="AM108" s="4">
        <v>88.921999999999997</v>
      </c>
      <c r="AN108" s="4">
        <v>92.028999999999996</v>
      </c>
      <c r="AO108" s="5">
        <v>341675896</v>
      </c>
      <c r="AP108" s="36">
        <v>93.405467999999999</v>
      </c>
      <c r="AQ108" s="6">
        <v>102.4</v>
      </c>
      <c r="AR108" s="3">
        <v>1111512.3094705932</v>
      </c>
      <c r="AS108" s="5">
        <v>2794</v>
      </c>
      <c r="AT108" s="5">
        <v>1377</v>
      </c>
      <c r="AU108" s="6">
        <v>50.4</v>
      </c>
      <c r="AV108" s="35">
        <v>69.367501426362793</v>
      </c>
      <c r="AW108" s="6">
        <v>50.7</v>
      </c>
    </row>
    <row r="109" spans="1:49" x14ac:dyDescent="0.25">
      <c r="A109" t="s">
        <v>109</v>
      </c>
      <c r="B109" s="2">
        <v>39691</v>
      </c>
      <c r="C109" s="3">
        <v>8.25</v>
      </c>
      <c r="D109" s="29">
        <v>8.6462000000000003</v>
      </c>
      <c r="E109" s="35">
        <v>114.19555</v>
      </c>
      <c r="F109" s="29">
        <v>67.525300000000001</v>
      </c>
      <c r="G109" s="29">
        <v>71.198800000000006</v>
      </c>
      <c r="H109" s="29">
        <v>97.585300000000004</v>
      </c>
      <c r="I109" s="29">
        <v>102.4661</v>
      </c>
      <c r="J109" s="29">
        <v>87.289299999999997</v>
      </c>
      <c r="K109" s="29">
        <v>99.979799999999997</v>
      </c>
      <c r="L109" s="29">
        <v>95.024500000000003</v>
      </c>
      <c r="M109" s="3">
        <v>3.82</v>
      </c>
      <c r="N109" s="3">
        <v>99.96</v>
      </c>
      <c r="O109" s="3">
        <v>99.21</v>
      </c>
      <c r="P109" s="29">
        <v>96.989599999999996</v>
      </c>
      <c r="Q109" s="29">
        <v>95.749300000000005</v>
      </c>
      <c r="R109" s="6">
        <v>25679.7</v>
      </c>
      <c r="S109" s="6">
        <v>27542.7</v>
      </c>
      <c r="T109" s="3">
        <v>101.26</v>
      </c>
      <c r="U109" s="6">
        <v>36.700000000000003</v>
      </c>
      <c r="V109" s="3">
        <v>98.44</v>
      </c>
      <c r="W109" s="29" t="e">
        <v>#N/A</v>
      </c>
      <c r="X109" s="29" t="e">
        <v>#N/A</v>
      </c>
      <c r="Y109" s="29" t="e">
        <v>#N/A</v>
      </c>
      <c r="Z109" s="29" t="e">
        <v>#N/A</v>
      </c>
      <c r="AA109" s="29" t="e">
        <v>#N/A</v>
      </c>
      <c r="AB109" s="29" t="e">
        <v>#N/A</v>
      </c>
      <c r="AC109" s="29" t="e">
        <v>#N/A</v>
      </c>
      <c r="AD109" s="29" t="e">
        <v>#N/A</v>
      </c>
      <c r="AE109" s="29" t="e">
        <v>#N/A</v>
      </c>
      <c r="AF109" s="29" t="e">
        <v>#N/A</v>
      </c>
      <c r="AG109" s="29" t="e">
        <v>#N/A</v>
      </c>
      <c r="AH109" s="29" t="e">
        <v>#N/A</v>
      </c>
      <c r="AI109" s="3">
        <v>26765.93</v>
      </c>
      <c r="AJ109" s="4">
        <v>95.831000000000003</v>
      </c>
      <c r="AK109" s="4">
        <v>96.989000000000004</v>
      </c>
      <c r="AL109" s="4">
        <v>104.94</v>
      </c>
      <c r="AM109" s="4">
        <v>88.866</v>
      </c>
      <c r="AN109" s="4">
        <v>87.144000000000005</v>
      </c>
      <c r="AO109" s="5">
        <v>335668793</v>
      </c>
      <c r="AP109" s="36">
        <v>92.362932000000001</v>
      </c>
      <c r="AQ109" s="6">
        <v>99.1</v>
      </c>
      <c r="AR109" s="3">
        <v>1166485.342150942</v>
      </c>
      <c r="AS109" s="5">
        <v>2775</v>
      </c>
      <c r="AT109" s="5">
        <v>1416</v>
      </c>
      <c r="AU109" s="6">
        <v>49.2</v>
      </c>
      <c r="AV109" s="35">
        <v>62.81114839906364</v>
      </c>
      <c r="AW109" s="6">
        <v>50.4</v>
      </c>
    </row>
    <row r="110" spans="1:49" x14ac:dyDescent="0.25">
      <c r="A110" t="s">
        <v>110</v>
      </c>
      <c r="B110" s="2">
        <v>39721</v>
      </c>
      <c r="C110" s="3">
        <v>8.25</v>
      </c>
      <c r="D110" s="29">
        <v>8.4885999999999999</v>
      </c>
      <c r="E110" s="35">
        <v>110.31382000000001</v>
      </c>
      <c r="F110" s="29">
        <v>67.816900000000004</v>
      </c>
      <c r="G110" s="29">
        <v>71.528700000000001</v>
      </c>
      <c r="H110" s="29">
        <v>96.766900000000007</v>
      </c>
      <c r="I110" s="29">
        <v>100.5442</v>
      </c>
      <c r="J110" s="29">
        <v>85.584199999999996</v>
      </c>
      <c r="K110" s="29">
        <v>99.146299999999997</v>
      </c>
      <c r="L110" s="29">
        <v>94.929500000000004</v>
      </c>
      <c r="M110" s="3">
        <v>3.94</v>
      </c>
      <c r="N110" s="3">
        <v>101.28</v>
      </c>
      <c r="O110" s="3">
        <v>98.36</v>
      </c>
      <c r="P110" s="29">
        <v>96.584199999999996</v>
      </c>
      <c r="Q110" s="29">
        <v>95.9739</v>
      </c>
      <c r="R110" s="6">
        <v>24119.200000000001</v>
      </c>
      <c r="S110" s="6">
        <v>26065.200000000001</v>
      </c>
      <c r="T110" s="3">
        <v>100.91</v>
      </c>
      <c r="U110" s="6">
        <v>36.200000000000003</v>
      </c>
      <c r="V110" s="3">
        <v>97.73</v>
      </c>
      <c r="W110" s="29" t="e">
        <v>#N/A</v>
      </c>
      <c r="X110" s="29" t="e">
        <v>#N/A</v>
      </c>
      <c r="Y110" s="29" t="e">
        <v>#N/A</v>
      </c>
      <c r="Z110" s="29" t="e">
        <v>#N/A</v>
      </c>
      <c r="AA110" s="29" t="e">
        <v>#N/A</v>
      </c>
      <c r="AB110" s="29" t="e">
        <v>#N/A</v>
      </c>
      <c r="AC110" s="29" t="e">
        <v>#N/A</v>
      </c>
      <c r="AD110" s="29" t="e">
        <v>#N/A</v>
      </c>
      <c r="AE110" s="29" t="e">
        <v>#N/A</v>
      </c>
      <c r="AF110" s="29" t="e">
        <v>#N/A</v>
      </c>
      <c r="AG110" s="29" t="e">
        <v>#N/A</v>
      </c>
      <c r="AH110" s="29" t="e">
        <v>#N/A</v>
      </c>
      <c r="AI110" s="3">
        <v>25408.59</v>
      </c>
      <c r="AJ110" s="4">
        <v>95.387</v>
      </c>
      <c r="AK110" s="4">
        <v>96.358999999999995</v>
      </c>
      <c r="AL110" s="4">
        <v>103.88200000000001</v>
      </c>
      <c r="AM110" s="4">
        <v>88.626999999999995</v>
      </c>
      <c r="AN110" s="4">
        <v>86.68</v>
      </c>
      <c r="AO110" s="5">
        <v>328748883</v>
      </c>
      <c r="AP110" s="36">
        <v>92.083955000000003</v>
      </c>
      <c r="AQ110" s="6">
        <v>96.7</v>
      </c>
      <c r="AR110" s="3">
        <v>1084081.125455722</v>
      </c>
      <c r="AS110" s="5">
        <v>2706</v>
      </c>
      <c r="AT110" s="5">
        <v>1060</v>
      </c>
      <c r="AU110" s="6">
        <v>49.7</v>
      </c>
      <c r="AV110" s="35">
        <v>84.426980103499943</v>
      </c>
      <c r="AW110" s="6">
        <v>48</v>
      </c>
    </row>
    <row r="111" spans="1:49" x14ac:dyDescent="0.25">
      <c r="A111" t="s">
        <v>111</v>
      </c>
      <c r="B111" s="2">
        <v>39752</v>
      </c>
      <c r="C111" s="3">
        <v>8.25</v>
      </c>
      <c r="D111" s="29">
        <v>9.1860999999999997</v>
      </c>
      <c r="E111" s="35">
        <v>96.357380000000006</v>
      </c>
      <c r="F111" s="29">
        <v>68.210499999999996</v>
      </c>
      <c r="G111" s="29">
        <v>71.763800000000003</v>
      </c>
      <c r="H111" s="29">
        <v>97.599500000000006</v>
      </c>
      <c r="I111" s="29">
        <v>103.8503</v>
      </c>
      <c r="J111" s="29">
        <v>85.755099999999999</v>
      </c>
      <c r="K111" s="29">
        <v>100.8262</v>
      </c>
      <c r="L111" s="29">
        <v>93.799700000000001</v>
      </c>
      <c r="M111" s="3">
        <v>3.88</v>
      </c>
      <c r="N111" s="3">
        <v>101.32</v>
      </c>
      <c r="O111" s="3">
        <v>97.47</v>
      </c>
      <c r="P111" s="29">
        <v>96.293099999999995</v>
      </c>
      <c r="Q111" s="29">
        <v>97.207300000000004</v>
      </c>
      <c r="R111" s="6">
        <v>22735</v>
      </c>
      <c r="S111" s="6">
        <v>25331.200000000001</v>
      </c>
      <c r="T111" s="3">
        <v>100.46</v>
      </c>
      <c r="U111" s="6">
        <v>35.1</v>
      </c>
      <c r="V111" s="3">
        <v>96.95</v>
      </c>
      <c r="W111" s="29" t="e">
        <v>#N/A</v>
      </c>
      <c r="X111" s="29" t="e">
        <v>#N/A</v>
      </c>
      <c r="Y111" s="29" t="e">
        <v>#N/A</v>
      </c>
      <c r="Z111" s="29" t="e">
        <v>#N/A</v>
      </c>
      <c r="AA111" s="29" t="e">
        <v>#N/A</v>
      </c>
      <c r="AB111" s="29" t="e">
        <v>#N/A</v>
      </c>
      <c r="AC111" s="29" t="e">
        <v>#N/A</v>
      </c>
      <c r="AD111" s="29" t="e">
        <v>#N/A</v>
      </c>
      <c r="AE111" s="29" t="e">
        <v>#N/A</v>
      </c>
      <c r="AF111" s="29" t="e">
        <v>#N/A</v>
      </c>
      <c r="AG111" s="29" t="e">
        <v>#N/A</v>
      </c>
      <c r="AH111" s="29" t="e">
        <v>#N/A</v>
      </c>
      <c r="AI111" s="3">
        <v>20511.939999999999</v>
      </c>
      <c r="AJ111" s="4">
        <v>94.123999999999995</v>
      </c>
      <c r="AK111" s="4">
        <v>95.275999999999996</v>
      </c>
      <c r="AL111" s="4">
        <v>102.51300000000001</v>
      </c>
      <c r="AM111" s="4">
        <v>87.772999999999996</v>
      </c>
      <c r="AN111" s="4">
        <v>83.861999999999995</v>
      </c>
      <c r="AO111" s="5">
        <v>359369419</v>
      </c>
      <c r="AP111" s="36">
        <v>92.704779000000002</v>
      </c>
      <c r="AQ111" s="6">
        <v>98.3</v>
      </c>
      <c r="AR111" s="3">
        <v>1079035.7312764677</v>
      </c>
      <c r="AS111" s="5">
        <v>2763</v>
      </c>
      <c r="AT111" s="5">
        <v>1434</v>
      </c>
      <c r="AU111" s="6">
        <v>49.1</v>
      </c>
      <c r="AV111" s="35">
        <v>113.72736130899044</v>
      </c>
      <c r="AW111" s="6">
        <v>47.9</v>
      </c>
    </row>
    <row r="112" spans="1:49" x14ac:dyDescent="0.25">
      <c r="A112" t="s">
        <v>112</v>
      </c>
      <c r="B112" s="2">
        <v>39782</v>
      </c>
      <c r="C112" s="3">
        <v>8.25</v>
      </c>
      <c r="D112" s="29">
        <v>9.2777999999999992</v>
      </c>
      <c r="E112" s="35">
        <v>96.203119999999998</v>
      </c>
      <c r="F112" s="29">
        <v>68.668400000000005</v>
      </c>
      <c r="G112" s="29">
        <v>72.154300000000006</v>
      </c>
      <c r="H112" s="29">
        <v>95.550399999999996</v>
      </c>
      <c r="I112" s="29">
        <v>103.1626</v>
      </c>
      <c r="J112" s="29">
        <v>85.984999999999999</v>
      </c>
      <c r="K112" s="29">
        <v>98.031899999999993</v>
      </c>
      <c r="L112" s="29">
        <v>92.266400000000004</v>
      </c>
      <c r="M112" s="3">
        <v>4.66</v>
      </c>
      <c r="N112" s="3">
        <v>101.38</v>
      </c>
      <c r="O112" s="3">
        <v>96.67</v>
      </c>
      <c r="P112" s="29">
        <v>95.364999999999995</v>
      </c>
      <c r="Q112" s="29">
        <v>93.044499999999999</v>
      </c>
      <c r="R112" s="6">
        <v>21129.9</v>
      </c>
      <c r="S112" s="6">
        <v>24039</v>
      </c>
      <c r="T112" s="3">
        <v>99.91</v>
      </c>
      <c r="U112" s="6">
        <v>35.799999999999997</v>
      </c>
      <c r="V112" s="3">
        <v>96.23</v>
      </c>
      <c r="W112" s="29" t="e">
        <v>#N/A</v>
      </c>
      <c r="X112" s="29" t="e">
        <v>#N/A</v>
      </c>
      <c r="Y112" s="29" t="e">
        <v>#N/A</v>
      </c>
      <c r="Z112" s="29" t="e">
        <v>#N/A</v>
      </c>
      <c r="AA112" s="29" t="e">
        <v>#N/A</v>
      </c>
      <c r="AB112" s="29" t="e">
        <v>#N/A</v>
      </c>
      <c r="AC112" s="29" t="e">
        <v>#N/A</v>
      </c>
      <c r="AD112" s="29" t="e">
        <v>#N/A</v>
      </c>
      <c r="AE112" s="29" t="e">
        <v>#N/A</v>
      </c>
      <c r="AF112" s="29" t="e">
        <v>#N/A</v>
      </c>
      <c r="AG112" s="29" t="e">
        <v>#N/A</v>
      </c>
      <c r="AH112" s="29" t="e">
        <v>#N/A</v>
      </c>
      <c r="AI112" s="3">
        <v>19665.77</v>
      </c>
      <c r="AJ112" s="4">
        <v>93.150999999999996</v>
      </c>
      <c r="AK112" s="4">
        <v>95.04</v>
      </c>
      <c r="AL112" s="4">
        <v>101.77200000000001</v>
      </c>
      <c r="AM112" s="4">
        <v>87.962999999999994</v>
      </c>
      <c r="AN112" s="4">
        <v>77.926000000000002</v>
      </c>
      <c r="AO112" s="5">
        <v>324728021</v>
      </c>
      <c r="AP112" s="36">
        <v>91.063535999999999</v>
      </c>
      <c r="AQ112" s="6">
        <v>95.4</v>
      </c>
      <c r="AR112" s="3">
        <v>1074692.2451344724</v>
      </c>
      <c r="AS112" s="5">
        <v>2749</v>
      </c>
      <c r="AT112" s="5">
        <v>1501</v>
      </c>
      <c r="AU112" s="6">
        <v>44</v>
      </c>
      <c r="AV112" s="35">
        <v>106.07160954690175</v>
      </c>
      <c r="AW112" s="6">
        <v>47.7</v>
      </c>
    </row>
    <row r="113" spans="1:49" x14ac:dyDescent="0.25">
      <c r="A113" t="s">
        <v>113</v>
      </c>
      <c r="B113" s="2">
        <v>39813</v>
      </c>
      <c r="C113" s="3">
        <v>8.25</v>
      </c>
      <c r="D113" s="29">
        <v>8.2627000000000006</v>
      </c>
      <c r="E113" s="35">
        <v>94.350589999999997</v>
      </c>
      <c r="F113" s="29">
        <v>68.993499999999997</v>
      </c>
      <c r="G113" s="29">
        <v>72.483400000000003</v>
      </c>
      <c r="H113" s="29">
        <v>94.479600000000005</v>
      </c>
      <c r="I113" s="29">
        <v>101.5688</v>
      </c>
      <c r="J113" s="29">
        <v>84.720500000000001</v>
      </c>
      <c r="K113" s="29">
        <v>98.210099999999997</v>
      </c>
      <c r="L113" s="29">
        <v>88.915999999999997</v>
      </c>
      <c r="M113" s="3">
        <v>4.72</v>
      </c>
      <c r="N113" s="3">
        <v>100.44</v>
      </c>
      <c r="O113" s="3">
        <v>96.05</v>
      </c>
      <c r="P113" s="29">
        <v>95.242800000000003</v>
      </c>
      <c r="Q113" s="29">
        <v>90.767700000000005</v>
      </c>
      <c r="R113" s="6">
        <v>17990.400000000001</v>
      </c>
      <c r="S113" s="6">
        <v>19722.099999999999</v>
      </c>
      <c r="T113" s="3">
        <v>99.32</v>
      </c>
      <c r="U113" s="6">
        <v>34.6</v>
      </c>
      <c r="V113" s="3">
        <v>95.65</v>
      </c>
      <c r="W113" s="29" t="e">
        <v>#N/A</v>
      </c>
      <c r="X113" s="29" t="e">
        <v>#N/A</v>
      </c>
      <c r="Y113" s="29" t="e">
        <v>#N/A</v>
      </c>
      <c r="Z113" s="29" t="e">
        <v>#N/A</v>
      </c>
      <c r="AA113" s="29" t="e">
        <v>#N/A</v>
      </c>
      <c r="AB113" s="29" t="e">
        <v>#N/A</v>
      </c>
      <c r="AC113" s="29" t="e">
        <v>#N/A</v>
      </c>
      <c r="AD113" s="29" t="e">
        <v>#N/A</v>
      </c>
      <c r="AE113" s="29" t="e">
        <v>#N/A</v>
      </c>
      <c r="AF113" s="29" t="e">
        <v>#N/A</v>
      </c>
      <c r="AG113" s="29" t="e">
        <v>#N/A</v>
      </c>
      <c r="AH113" s="29" t="e">
        <v>#N/A</v>
      </c>
      <c r="AI113" s="3">
        <v>21509.22</v>
      </c>
      <c r="AJ113" s="4">
        <v>92.206000000000003</v>
      </c>
      <c r="AK113" s="4">
        <v>93.087000000000003</v>
      </c>
      <c r="AL113" s="4">
        <v>97.6</v>
      </c>
      <c r="AM113" s="4">
        <v>88.308999999999997</v>
      </c>
      <c r="AN113" s="4">
        <v>76.658000000000001</v>
      </c>
      <c r="AO113" s="5">
        <v>304233615</v>
      </c>
      <c r="AP113" s="36">
        <v>89.804321999999999</v>
      </c>
      <c r="AQ113" s="6">
        <v>92.9</v>
      </c>
      <c r="AR113" s="3">
        <v>1012759.4554612372</v>
      </c>
      <c r="AS113" s="5">
        <v>2709</v>
      </c>
      <c r="AT113" s="5">
        <v>1327</v>
      </c>
      <c r="AU113" s="6">
        <v>46.1</v>
      </c>
      <c r="AV113" s="35">
        <v>107.19720824405769</v>
      </c>
      <c r="AW113" s="6">
        <v>48</v>
      </c>
    </row>
    <row r="114" spans="1:49" x14ac:dyDescent="0.25">
      <c r="A114" t="s">
        <v>114</v>
      </c>
      <c r="B114" s="2">
        <v>39844</v>
      </c>
      <c r="C114" s="3">
        <v>7.75</v>
      </c>
      <c r="D114" s="29">
        <v>7.5683999999999996</v>
      </c>
      <c r="E114" s="35">
        <v>91.342889999999997</v>
      </c>
      <c r="F114" s="29">
        <v>69.071299999999994</v>
      </c>
      <c r="G114" s="29">
        <v>72.726500000000001</v>
      </c>
      <c r="H114" s="29">
        <v>90.543300000000002</v>
      </c>
      <c r="I114" s="29">
        <v>100.7672</v>
      </c>
      <c r="J114" s="29">
        <v>85.150800000000004</v>
      </c>
      <c r="K114" s="29">
        <v>98.140100000000004</v>
      </c>
      <c r="L114" s="29">
        <v>84.257199999999997</v>
      </c>
      <c r="M114" s="3">
        <v>4.78</v>
      </c>
      <c r="N114" s="3">
        <v>100.1</v>
      </c>
      <c r="O114" s="3">
        <v>95.66</v>
      </c>
      <c r="P114" s="29">
        <v>95.603499999999997</v>
      </c>
      <c r="Q114" s="29">
        <v>89.584599999999995</v>
      </c>
      <c r="R114" s="6">
        <v>17644.2</v>
      </c>
      <c r="S114" s="6">
        <v>18893.400000000001</v>
      </c>
      <c r="T114" s="3">
        <v>98.74</v>
      </c>
      <c r="U114" s="6">
        <v>34.200000000000003</v>
      </c>
      <c r="V114" s="3">
        <v>95.27</v>
      </c>
      <c r="W114" s="29" t="e">
        <v>#N/A</v>
      </c>
      <c r="X114" s="29" t="e">
        <v>#N/A</v>
      </c>
      <c r="Y114" s="29" t="e">
        <v>#N/A</v>
      </c>
      <c r="Z114" s="29" t="e">
        <v>#N/A</v>
      </c>
      <c r="AA114" s="29" t="e">
        <v>#N/A</v>
      </c>
      <c r="AB114" s="29" t="e">
        <v>#N/A</v>
      </c>
      <c r="AC114" s="29" t="e">
        <v>#N/A</v>
      </c>
      <c r="AD114" s="29" t="e">
        <v>#N/A</v>
      </c>
      <c r="AE114" s="29" t="e">
        <v>#N/A</v>
      </c>
      <c r="AF114" s="29" t="e">
        <v>#N/A</v>
      </c>
      <c r="AG114" s="29" t="e">
        <v>#N/A</v>
      </c>
      <c r="AH114" s="29" t="e">
        <v>#N/A</v>
      </c>
      <c r="AI114" s="3">
        <v>20699.990000000002</v>
      </c>
      <c r="AJ114" s="4">
        <v>88.259</v>
      </c>
      <c r="AK114" s="4">
        <v>90.453999999999994</v>
      </c>
      <c r="AL114" s="4">
        <v>92.456999999999994</v>
      </c>
      <c r="AM114" s="4">
        <v>88.387</v>
      </c>
      <c r="AN114" s="4">
        <v>67.561000000000007</v>
      </c>
      <c r="AO114" s="5">
        <v>281163354</v>
      </c>
      <c r="AP114" s="36">
        <v>86.891126</v>
      </c>
      <c r="AQ114" s="6">
        <v>90.2</v>
      </c>
      <c r="AR114" s="3">
        <v>1053498.5576882842</v>
      </c>
      <c r="AS114" s="5">
        <v>2683</v>
      </c>
      <c r="AT114" s="5">
        <v>1366</v>
      </c>
      <c r="AU114" s="6">
        <v>47.3</v>
      </c>
      <c r="AV114" s="35">
        <v>98.252123498833086</v>
      </c>
      <c r="AW114" s="6">
        <v>46.3</v>
      </c>
    </row>
    <row r="115" spans="1:49" x14ac:dyDescent="0.25">
      <c r="A115" t="s">
        <v>115</v>
      </c>
      <c r="B115" s="2">
        <v>39872</v>
      </c>
      <c r="C115" s="3">
        <v>7.5</v>
      </c>
      <c r="D115" s="29">
        <v>8.1991999999999994</v>
      </c>
      <c r="E115" s="35">
        <v>87.752080000000007</v>
      </c>
      <c r="F115" s="29">
        <v>69.186400000000006</v>
      </c>
      <c r="G115" s="29">
        <v>72.983800000000002</v>
      </c>
      <c r="H115" s="29">
        <v>89.921000000000006</v>
      </c>
      <c r="I115" s="29">
        <v>99.7864</v>
      </c>
      <c r="J115" s="29">
        <v>85.6648</v>
      </c>
      <c r="K115" s="29">
        <v>94.758700000000005</v>
      </c>
      <c r="L115" s="29">
        <v>84.050899999999999</v>
      </c>
      <c r="M115" s="3">
        <v>5.13</v>
      </c>
      <c r="N115" s="3">
        <v>100.69</v>
      </c>
      <c r="O115" s="3">
        <v>95.51</v>
      </c>
      <c r="P115" s="29">
        <v>95.268299999999996</v>
      </c>
      <c r="Q115" s="29">
        <v>90.301000000000002</v>
      </c>
      <c r="R115" s="6">
        <v>17455.900000000001</v>
      </c>
      <c r="S115" s="6">
        <v>18597.599999999999</v>
      </c>
      <c r="T115" s="3">
        <v>98.24</v>
      </c>
      <c r="U115" s="6">
        <v>33.700000000000003</v>
      </c>
      <c r="V115" s="3">
        <v>95.12</v>
      </c>
      <c r="W115" s="29" t="e">
        <v>#N/A</v>
      </c>
      <c r="X115" s="29" t="e">
        <v>#N/A</v>
      </c>
      <c r="Y115" s="29" t="e">
        <v>#N/A</v>
      </c>
      <c r="Z115" s="29" t="e">
        <v>#N/A</v>
      </c>
      <c r="AA115" s="29" t="e">
        <v>#N/A</v>
      </c>
      <c r="AB115" s="29" t="e">
        <v>#N/A</v>
      </c>
      <c r="AC115" s="29" t="e">
        <v>#N/A</v>
      </c>
      <c r="AD115" s="29" t="e">
        <v>#N/A</v>
      </c>
      <c r="AE115" s="29" t="e">
        <v>#N/A</v>
      </c>
      <c r="AF115" s="29" t="e">
        <v>#N/A</v>
      </c>
      <c r="AG115" s="29" t="e">
        <v>#N/A</v>
      </c>
      <c r="AH115" s="29" t="e">
        <v>#N/A</v>
      </c>
      <c r="AI115" s="3">
        <v>19070.490000000002</v>
      </c>
      <c r="AJ115" s="4">
        <v>89.427000000000007</v>
      </c>
      <c r="AK115" s="4">
        <v>91.686000000000007</v>
      </c>
      <c r="AL115" s="4">
        <v>94.525000000000006</v>
      </c>
      <c r="AM115" s="4">
        <v>88.501999999999995</v>
      </c>
      <c r="AN115" s="4">
        <v>69.319999999999993</v>
      </c>
      <c r="AO115" s="5">
        <v>284299427</v>
      </c>
      <c r="AP115" s="36">
        <v>86.459450000000004</v>
      </c>
      <c r="AQ115" s="6">
        <v>87.9</v>
      </c>
      <c r="AR115" s="3">
        <v>1056993.7381610712</v>
      </c>
      <c r="AS115" s="5">
        <v>2655</v>
      </c>
      <c r="AT115" s="5">
        <v>1257</v>
      </c>
      <c r="AU115" s="6">
        <v>46.4</v>
      </c>
      <c r="AV115" s="35">
        <v>223.75583326726738</v>
      </c>
      <c r="AW115" s="6">
        <v>48.1</v>
      </c>
    </row>
    <row r="116" spans="1:49" x14ac:dyDescent="0.25">
      <c r="A116" t="s">
        <v>116</v>
      </c>
      <c r="B116" s="2">
        <v>39903</v>
      </c>
      <c r="C116" s="3">
        <v>6.75</v>
      </c>
      <c r="D116" s="29">
        <v>8.2495999999999992</v>
      </c>
      <c r="E116" s="35">
        <v>88.154820000000001</v>
      </c>
      <c r="F116" s="29">
        <v>69.614699999999999</v>
      </c>
      <c r="G116" s="29">
        <v>73.348200000000006</v>
      </c>
      <c r="H116" s="29">
        <v>89.306600000000003</v>
      </c>
      <c r="I116" s="29">
        <v>99.135300000000001</v>
      </c>
      <c r="J116" s="29">
        <v>86.654399999999995</v>
      </c>
      <c r="K116" s="29">
        <v>95.154600000000002</v>
      </c>
      <c r="L116" s="29">
        <v>82.433499999999995</v>
      </c>
      <c r="M116" s="3">
        <v>5.16</v>
      </c>
      <c r="N116" s="3">
        <v>100.73</v>
      </c>
      <c r="O116" s="3">
        <v>95.65</v>
      </c>
      <c r="P116" s="29">
        <v>96.700400000000002</v>
      </c>
      <c r="Q116" s="29">
        <v>88.969200000000001</v>
      </c>
      <c r="R116" s="6">
        <v>17366.2</v>
      </c>
      <c r="S116" s="6">
        <v>18054.099999999999</v>
      </c>
      <c r="T116" s="3">
        <v>97.84</v>
      </c>
      <c r="U116" s="6">
        <v>33.4</v>
      </c>
      <c r="V116" s="3">
        <v>95.18</v>
      </c>
      <c r="W116" s="29" t="e">
        <v>#N/A</v>
      </c>
      <c r="X116" s="29" t="e">
        <v>#N/A</v>
      </c>
      <c r="Y116" s="29" t="e">
        <v>#N/A</v>
      </c>
      <c r="Z116" s="29" t="e">
        <v>#N/A</v>
      </c>
      <c r="AA116" s="29" t="e">
        <v>#N/A</v>
      </c>
      <c r="AB116" s="29" t="e">
        <v>#N/A</v>
      </c>
      <c r="AC116" s="29" t="e">
        <v>#N/A</v>
      </c>
      <c r="AD116" s="29" t="e">
        <v>#N/A</v>
      </c>
      <c r="AE116" s="29" t="e">
        <v>#N/A</v>
      </c>
      <c r="AF116" s="29" t="e">
        <v>#N/A</v>
      </c>
      <c r="AG116" s="29" t="e">
        <v>#N/A</v>
      </c>
      <c r="AH116" s="29" t="e">
        <v>#N/A</v>
      </c>
      <c r="AI116" s="3">
        <v>18839.919999999998</v>
      </c>
      <c r="AJ116" s="4">
        <v>89.619</v>
      </c>
      <c r="AK116" s="4">
        <v>91.97</v>
      </c>
      <c r="AL116" s="4">
        <v>95.492000000000004</v>
      </c>
      <c r="AM116" s="4">
        <v>88.177999999999997</v>
      </c>
      <c r="AN116" s="4">
        <v>69.025999999999996</v>
      </c>
      <c r="AO116" s="5">
        <v>313889516</v>
      </c>
      <c r="AP116" s="36">
        <v>86.189216999999999</v>
      </c>
      <c r="AQ116" s="6">
        <v>86.8</v>
      </c>
      <c r="AR116" s="3">
        <v>995327.38053915196</v>
      </c>
      <c r="AS116" s="5">
        <v>2644</v>
      </c>
      <c r="AT116" s="5">
        <v>1213</v>
      </c>
      <c r="AU116" s="6">
        <v>46.8</v>
      </c>
      <c r="AV116" s="35">
        <v>119.51381747094143</v>
      </c>
      <c r="AW116" s="6">
        <v>47.6</v>
      </c>
    </row>
    <row r="117" spans="1:49" x14ac:dyDescent="0.25">
      <c r="A117" t="s">
        <v>117</v>
      </c>
      <c r="B117" s="2">
        <v>39933</v>
      </c>
      <c r="C117" s="3">
        <v>6</v>
      </c>
      <c r="D117" s="29">
        <v>7.6299000000000001</v>
      </c>
      <c r="E117" s="35">
        <v>95.687700000000007</v>
      </c>
      <c r="F117" s="29">
        <v>69.960999999999999</v>
      </c>
      <c r="G117" s="29">
        <v>73.670900000000003</v>
      </c>
      <c r="H117" s="29">
        <v>89.441299999999998</v>
      </c>
      <c r="I117" s="29">
        <v>99.192599999999999</v>
      </c>
      <c r="J117" s="29">
        <v>87.310900000000004</v>
      </c>
      <c r="K117" s="29">
        <v>95.220399999999998</v>
      </c>
      <c r="L117" s="29">
        <v>83.273099999999999</v>
      </c>
      <c r="M117" s="3">
        <v>5.35</v>
      </c>
      <c r="N117" s="3">
        <v>100.72</v>
      </c>
      <c r="O117" s="3">
        <v>96.02</v>
      </c>
      <c r="P117" s="29">
        <v>94.455500000000001</v>
      </c>
      <c r="Q117" s="29">
        <v>88.135199999999998</v>
      </c>
      <c r="R117" s="6">
        <v>17547.2</v>
      </c>
      <c r="S117" s="6">
        <v>17712</v>
      </c>
      <c r="T117" s="3">
        <v>97.56</v>
      </c>
      <c r="U117" s="6">
        <v>34.5</v>
      </c>
      <c r="V117" s="3">
        <v>95.39</v>
      </c>
      <c r="W117" s="29" t="e">
        <v>#N/A</v>
      </c>
      <c r="X117" s="29" t="e">
        <v>#N/A</v>
      </c>
      <c r="Y117" s="29" t="e">
        <v>#N/A</v>
      </c>
      <c r="Z117" s="29" t="e">
        <v>#N/A</v>
      </c>
      <c r="AA117" s="29" t="e">
        <v>#N/A</v>
      </c>
      <c r="AB117" s="29" t="e">
        <v>#N/A</v>
      </c>
      <c r="AC117" s="29" t="e">
        <v>#N/A</v>
      </c>
      <c r="AD117" s="29" t="e">
        <v>#N/A</v>
      </c>
      <c r="AE117" s="29" t="e">
        <v>#N/A</v>
      </c>
      <c r="AF117" s="29" t="e">
        <v>#N/A</v>
      </c>
      <c r="AG117" s="29" t="e">
        <v>#N/A</v>
      </c>
      <c r="AH117" s="29" t="e">
        <v>#N/A</v>
      </c>
      <c r="AI117" s="3">
        <v>21476.880000000001</v>
      </c>
      <c r="AJ117" s="4">
        <v>89.150999999999996</v>
      </c>
      <c r="AK117" s="4">
        <v>91.278999999999996</v>
      </c>
      <c r="AL117" s="4">
        <v>95.102999999999994</v>
      </c>
      <c r="AM117" s="4">
        <v>87.331000000000003</v>
      </c>
      <c r="AN117" s="4">
        <v>69.789000000000001</v>
      </c>
      <c r="AO117" s="5">
        <v>295050481</v>
      </c>
      <c r="AP117" s="36">
        <v>85.552464000000001</v>
      </c>
      <c r="AQ117" s="6">
        <v>86.1</v>
      </c>
      <c r="AR117" s="3">
        <v>1069713.6865315223</v>
      </c>
      <c r="AS117" s="5">
        <v>2624</v>
      </c>
      <c r="AT117" s="5">
        <v>1177</v>
      </c>
      <c r="AU117" s="6">
        <v>47.3</v>
      </c>
      <c r="AV117" s="35">
        <v>71.454743719227523</v>
      </c>
      <c r="AW117" s="6">
        <v>46.8</v>
      </c>
    </row>
    <row r="118" spans="1:49" x14ac:dyDescent="0.25">
      <c r="A118" t="s">
        <v>118</v>
      </c>
      <c r="B118" s="2">
        <v>39964</v>
      </c>
      <c r="C118" s="3">
        <v>5.25</v>
      </c>
      <c r="D118" s="29">
        <v>7.6296999999999997</v>
      </c>
      <c r="E118" s="35">
        <v>95.610429999999994</v>
      </c>
      <c r="F118" s="29">
        <v>70.335999999999999</v>
      </c>
      <c r="G118" s="29">
        <v>73.881600000000006</v>
      </c>
      <c r="H118" s="29">
        <v>89.221800000000002</v>
      </c>
      <c r="I118" s="29">
        <v>98.594300000000004</v>
      </c>
      <c r="J118" s="29">
        <v>86.750399999999999</v>
      </c>
      <c r="K118" s="29">
        <v>96.943299999999994</v>
      </c>
      <c r="L118" s="29">
        <v>81.115399999999994</v>
      </c>
      <c r="M118" s="3">
        <v>5.62</v>
      </c>
      <c r="N118" s="3">
        <v>100.08</v>
      </c>
      <c r="O118" s="3">
        <v>96.55</v>
      </c>
      <c r="P118" s="29">
        <v>92.994500000000002</v>
      </c>
      <c r="Q118" s="29">
        <v>85.6892</v>
      </c>
      <c r="R118" s="6">
        <v>17207.2</v>
      </c>
      <c r="S118" s="6">
        <v>17406.5</v>
      </c>
      <c r="T118" s="3">
        <v>97.41</v>
      </c>
      <c r="U118" s="6">
        <v>33.4</v>
      </c>
      <c r="V118" s="3">
        <v>95.71</v>
      </c>
      <c r="W118" s="29" t="e">
        <v>#N/A</v>
      </c>
      <c r="X118" s="29" t="e">
        <v>#N/A</v>
      </c>
      <c r="Y118" s="29" t="e">
        <v>#N/A</v>
      </c>
      <c r="Z118" s="29" t="e">
        <v>#N/A</v>
      </c>
      <c r="AA118" s="29" t="e">
        <v>#N/A</v>
      </c>
      <c r="AB118" s="29" t="e">
        <v>#N/A</v>
      </c>
      <c r="AC118" s="29" t="e">
        <v>#N/A</v>
      </c>
      <c r="AD118" s="29" t="e">
        <v>#N/A</v>
      </c>
      <c r="AE118" s="29" t="e">
        <v>#N/A</v>
      </c>
      <c r="AF118" s="29" t="e">
        <v>#N/A</v>
      </c>
      <c r="AG118" s="29" t="e">
        <v>#N/A</v>
      </c>
      <c r="AH118" s="29" t="e">
        <v>#N/A</v>
      </c>
      <c r="AI118" s="3">
        <v>23924.98</v>
      </c>
      <c r="AJ118" s="4">
        <v>86.141000000000005</v>
      </c>
      <c r="AK118" s="4">
        <v>88.427999999999997</v>
      </c>
      <c r="AL118" s="4">
        <v>92.632000000000005</v>
      </c>
      <c r="AM118" s="4">
        <v>84.731999999999999</v>
      </c>
      <c r="AN118" s="4">
        <v>66.850999999999999</v>
      </c>
      <c r="AO118" s="5">
        <v>292754156</v>
      </c>
      <c r="AP118" s="36">
        <v>85.056573999999998</v>
      </c>
      <c r="AQ118" s="6">
        <v>86.7</v>
      </c>
      <c r="AR118" s="3">
        <v>607057.11873557605</v>
      </c>
      <c r="AS118" s="5">
        <v>2613</v>
      </c>
      <c r="AT118" s="5">
        <v>1173</v>
      </c>
      <c r="AU118" s="6">
        <v>48.2</v>
      </c>
      <c r="AV118" s="35">
        <v>68.493941599146979</v>
      </c>
      <c r="AW118" s="6">
        <v>46.2</v>
      </c>
    </row>
    <row r="119" spans="1:49" x14ac:dyDescent="0.25">
      <c r="A119" t="s">
        <v>119</v>
      </c>
      <c r="B119" s="2">
        <v>39994</v>
      </c>
      <c r="C119" s="3">
        <v>4.75</v>
      </c>
      <c r="D119" s="29">
        <v>8.0889000000000006</v>
      </c>
      <c r="E119" s="35">
        <v>93.623509999999996</v>
      </c>
      <c r="F119" s="29">
        <v>70.6036</v>
      </c>
      <c r="G119" s="29">
        <v>74.113200000000006</v>
      </c>
      <c r="H119" s="29">
        <v>89.183000000000007</v>
      </c>
      <c r="I119" s="29">
        <v>96.273099999999999</v>
      </c>
      <c r="J119" s="29">
        <v>87.306200000000004</v>
      </c>
      <c r="K119" s="29">
        <v>97.737799999999993</v>
      </c>
      <c r="L119" s="29">
        <v>81.742599999999996</v>
      </c>
      <c r="M119" s="3">
        <v>5.37</v>
      </c>
      <c r="N119" s="3">
        <v>99.73</v>
      </c>
      <c r="O119" s="3">
        <v>97.14</v>
      </c>
      <c r="P119" s="29">
        <v>93.755499999999998</v>
      </c>
      <c r="Q119" s="29">
        <v>87.8904</v>
      </c>
      <c r="R119" s="6">
        <v>18072.3</v>
      </c>
      <c r="S119" s="6">
        <v>18672.5</v>
      </c>
      <c r="T119" s="3">
        <v>97.39</v>
      </c>
      <c r="U119" s="6">
        <v>34.1</v>
      </c>
      <c r="V119" s="3">
        <v>96.09</v>
      </c>
      <c r="W119" s="29" t="e">
        <v>#N/A</v>
      </c>
      <c r="X119" s="29" t="e">
        <v>#N/A</v>
      </c>
      <c r="Y119" s="29" t="e">
        <v>#N/A</v>
      </c>
      <c r="Z119" s="29" t="e">
        <v>#N/A</v>
      </c>
      <c r="AA119" s="29" t="e">
        <v>#N/A</v>
      </c>
      <c r="AB119" s="29" t="e">
        <v>#N/A</v>
      </c>
      <c r="AC119" s="29" t="e">
        <v>#N/A</v>
      </c>
      <c r="AD119" s="29" t="e">
        <v>#N/A</v>
      </c>
      <c r="AE119" s="29" t="e">
        <v>#N/A</v>
      </c>
      <c r="AF119" s="29" t="e">
        <v>#N/A</v>
      </c>
      <c r="AG119" s="29" t="e">
        <v>#N/A</v>
      </c>
      <c r="AH119" s="29" t="e">
        <v>#N/A</v>
      </c>
      <c r="AI119" s="3">
        <v>24573.53</v>
      </c>
      <c r="AJ119" s="4">
        <v>88.438999999999993</v>
      </c>
      <c r="AK119" s="4">
        <v>90.308000000000007</v>
      </c>
      <c r="AL119" s="4">
        <v>93.216999999999999</v>
      </c>
      <c r="AM119" s="4">
        <v>87.995999999999995</v>
      </c>
      <c r="AN119" s="4">
        <v>70.55</v>
      </c>
      <c r="AO119" s="5">
        <v>300786238</v>
      </c>
      <c r="AP119" s="36">
        <v>86.387502999999995</v>
      </c>
      <c r="AQ119" s="6">
        <v>88</v>
      </c>
      <c r="AR119" s="3">
        <v>865314.21161367302</v>
      </c>
      <c r="AS119" s="5">
        <v>2511</v>
      </c>
      <c r="AT119" s="5">
        <v>1236</v>
      </c>
      <c r="AU119" s="6">
        <v>49</v>
      </c>
      <c r="AV119" s="35">
        <v>58.083750630625993</v>
      </c>
      <c r="AW119" s="6">
        <v>47</v>
      </c>
    </row>
    <row r="120" spans="1:49" x14ac:dyDescent="0.25">
      <c r="A120" t="s">
        <v>120</v>
      </c>
      <c r="B120" s="2">
        <v>40025</v>
      </c>
      <c r="C120" s="3">
        <v>4.5</v>
      </c>
      <c r="D120" s="29">
        <v>8.0277999999999992</v>
      </c>
      <c r="E120" s="35">
        <v>93.57011</v>
      </c>
      <c r="F120" s="29">
        <v>70.783500000000004</v>
      </c>
      <c r="G120" s="29">
        <v>74.371499999999997</v>
      </c>
      <c r="H120" s="29">
        <v>90.930300000000003</v>
      </c>
      <c r="I120" s="29">
        <v>97.744299999999996</v>
      </c>
      <c r="J120" s="29">
        <v>88.584599999999995</v>
      </c>
      <c r="K120" s="29">
        <v>96.281199999999998</v>
      </c>
      <c r="L120" s="29">
        <v>85.780500000000004</v>
      </c>
      <c r="M120" s="3">
        <v>5.78</v>
      </c>
      <c r="N120" s="3">
        <v>100.68</v>
      </c>
      <c r="O120" s="3">
        <v>97.72</v>
      </c>
      <c r="P120" s="29">
        <v>94.0642</v>
      </c>
      <c r="Q120" s="29">
        <v>88.293800000000005</v>
      </c>
      <c r="R120" s="6">
        <v>18166.7</v>
      </c>
      <c r="S120" s="6">
        <v>19142.7</v>
      </c>
      <c r="T120" s="3">
        <v>97.46</v>
      </c>
      <c r="U120" s="6">
        <v>35.700000000000003</v>
      </c>
      <c r="V120" s="3">
        <v>96.5</v>
      </c>
      <c r="W120" s="29" t="e">
        <v>#N/A</v>
      </c>
      <c r="X120" s="29" t="e">
        <v>#N/A</v>
      </c>
      <c r="Y120" s="29" t="e">
        <v>#N/A</v>
      </c>
      <c r="Z120" s="29" t="e">
        <v>#N/A</v>
      </c>
      <c r="AA120" s="29" t="e">
        <v>#N/A</v>
      </c>
      <c r="AB120" s="29" t="e">
        <v>#N/A</v>
      </c>
      <c r="AC120" s="29" t="e">
        <v>#N/A</v>
      </c>
      <c r="AD120" s="29" t="e">
        <v>#N/A</v>
      </c>
      <c r="AE120" s="29" t="e">
        <v>#N/A</v>
      </c>
      <c r="AF120" s="29" t="e">
        <v>#N/A</v>
      </c>
      <c r="AG120" s="29" t="e">
        <v>#N/A</v>
      </c>
      <c r="AH120" s="29" t="e">
        <v>#N/A</v>
      </c>
      <c r="AI120" s="3">
        <v>25289.29</v>
      </c>
      <c r="AJ120" s="4">
        <v>89.915000000000006</v>
      </c>
      <c r="AK120" s="4">
        <v>92.073999999999998</v>
      </c>
      <c r="AL120" s="4">
        <v>95.013999999999996</v>
      </c>
      <c r="AM120" s="4">
        <v>88.814999999999998</v>
      </c>
      <c r="AN120" s="4">
        <v>70.790000000000006</v>
      </c>
      <c r="AO120" s="5">
        <v>311899462</v>
      </c>
      <c r="AP120" s="36">
        <v>87.905737000000002</v>
      </c>
      <c r="AQ120" s="6">
        <v>88.2</v>
      </c>
      <c r="AR120" s="3">
        <v>920937.33700784831</v>
      </c>
      <c r="AS120" s="5">
        <v>2575</v>
      </c>
      <c r="AT120" s="5">
        <v>1307</v>
      </c>
      <c r="AU120" s="6">
        <v>50.8</v>
      </c>
      <c r="AV120" s="35">
        <v>39.016287840558718</v>
      </c>
      <c r="AW120" s="6">
        <v>50.5</v>
      </c>
    </row>
    <row r="121" spans="1:49" x14ac:dyDescent="0.25">
      <c r="A121" t="s">
        <v>121</v>
      </c>
      <c r="B121" s="2">
        <v>40056</v>
      </c>
      <c r="C121" s="3">
        <v>4.5</v>
      </c>
      <c r="D121" s="29">
        <v>8.1071000000000009</v>
      </c>
      <c r="E121" s="35">
        <v>95.609189999999998</v>
      </c>
      <c r="F121" s="29">
        <v>70.971599999999995</v>
      </c>
      <c r="G121" s="29">
        <v>74.578000000000003</v>
      </c>
      <c r="H121" s="29">
        <v>90.365799999999993</v>
      </c>
      <c r="I121" s="29">
        <v>96.442400000000006</v>
      </c>
      <c r="J121" s="29">
        <v>89.3125</v>
      </c>
      <c r="K121" s="29">
        <v>95.928799999999995</v>
      </c>
      <c r="L121" s="29">
        <v>85.312200000000004</v>
      </c>
      <c r="M121" s="3">
        <v>5.93</v>
      </c>
      <c r="N121" s="3">
        <v>99.79</v>
      </c>
      <c r="O121" s="3">
        <v>98.27</v>
      </c>
      <c r="P121" s="29">
        <v>93.872600000000006</v>
      </c>
      <c r="Q121" s="29">
        <v>88.463499999999996</v>
      </c>
      <c r="R121" s="6">
        <v>19366.599999999999</v>
      </c>
      <c r="S121" s="6">
        <v>19755.400000000001</v>
      </c>
      <c r="T121" s="3">
        <v>97.59</v>
      </c>
      <c r="U121" s="6">
        <v>34</v>
      </c>
      <c r="V121" s="3">
        <v>96.91</v>
      </c>
      <c r="W121" s="29" t="e">
        <v>#N/A</v>
      </c>
      <c r="X121" s="29" t="e">
        <v>#N/A</v>
      </c>
      <c r="Y121" s="29" t="e">
        <v>#N/A</v>
      </c>
      <c r="Z121" s="29" t="e">
        <v>#N/A</v>
      </c>
      <c r="AA121" s="29" t="e">
        <v>#N/A</v>
      </c>
      <c r="AB121" s="29" t="e">
        <v>#N/A</v>
      </c>
      <c r="AC121" s="29" t="e">
        <v>#N/A</v>
      </c>
      <c r="AD121" s="29" t="e">
        <v>#N/A</v>
      </c>
      <c r="AE121" s="29" t="e">
        <v>#N/A</v>
      </c>
      <c r="AF121" s="29" t="e">
        <v>#N/A</v>
      </c>
      <c r="AG121" s="29" t="e">
        <v>#N/A</v>
      </c>
      <c r="AH121" s="29" t="e">
        <v>#N/A</v>
      </c>
      <c r="AI121" s="3">
        <v>27996.44</v>
      </c>
      <c r="AJ121" s="4">
        <v>90.870999999999995</v>
      </c>
      <c r="AK121" s="4">
        <v>92.888000000000005</v>
      </c>
      <c r="AL121" s="4">
        <v>95.911000000000001</v>
      </c>
      <c r="AM121" s="4">
        <v>89.647000000000006</v>
      </c>
      <c r="AN121" s="4">
        <v>73.885000000000005</v>
      </c>
      <c r="AO121" s="5">
        <v>316589179</v>
      </c>
      <c r="AP121" s="36">
        <v>87.564383000000007</v>
      </c>
      <c r="AQ121" s="6">
        <v>87.2</v>
      </c>
      <c r="AR121" s="3">
        <v>960204.59426222241</v>
      </c>
      <c r="AS121" s="5">
        <v>2557</v>
      </c>
      <c r="AT121" s="5">
        <v>1101</v>
      </c>
      <c r="AU121" s="6">
        <v>51.6</v>
      </c>
      <c r="AV121" s="35">
        <v>41.229273833536283</v>
      </c>
      <c r="AW121" s="6">
        <v>52.6</v>
      </c>
    </row>
    <row r="122" spans="1:49" x14ac:dyDescent="0.25">
      <c r="A122" t="s">
        <v>122</v>
      </c>
      <c r="B122" s="2">
        <v>40086</v>
      </c>
      <c r="C122" s="3">
        <v>4.5</v>
      </c>
      <c r="D122" s="29">
        <v>8.0854999999999997</v>
      </c>
      <c r="E122" s="35">
        <v>92.477369999999993</v>
      </c>
      <c r="F122" s="29">
        <v>71.176599999999993</v>
      </c>
      <c r="G122" s="29">
        <v>74.811800000000005</v>
      </c>
      <c r="H122" s="29">
        <v>91.091499999999996</v>
      </c>
      <c r="I122" s="29">
        <v>97.327200000000005</v>
      </c>
      <c r="J122" s="29">
        <v>89.448400000000007</v>
      </c>
      <c r="K122" s="29">
        <v>94.837599999999995</v>
      </c>
      <c r="L122" s="29">
        <v>86.4983</v>
      </c>
      <c r="M122" s="3">
        <v>6.08</v>
      </c>
      <c r="N122" s="3">
        <v>100.16</v>
      </c>
      <c r="O122" s="3">
        <v>98.75</v>
      </c>
      <c r="P122" s="29">
        <v>93.565100000000001</v>
      </c>
      <c r="Q122" s="29">
        <v>87.3733</v>
      </c>
      <c r="R122" s="6">
        <v>20264.7</v>
      </c>
      <c r="S122" s="6">
        <v>20555</v>
      </c>
      <c r="T122" s="3">
        <v>97.76</v>
      </c>
      <c r="U122" s="6">
        <v>34</v>
      </c>
      <c r="V122" s="3">
        <v>97.33</v>
      </c>
      <c r="W122" s="29" t="e">
        <v>#N/A</v>
      </c>
      <c r="X122" s="29" t="e">
        <v>#N/A</v>
      </c>
      <c r="Y122" s="29" t="e">
        <v>#N/A</v>
      </c>
      <c r="Z122" s="29" t="e">
        <v>#N/A</v>
      </c>
      <c r="AA122" s="29" t="e">
        <v>#N/A</v>
      </c>
      <c r="AB122" s="29" t="e">
        <v>#N/A</v>
      </c>
      <c r="AC122" s="29" t="e">
        <v>#N/A</v>
      </c>
      <c r="AD122" s="29" t="e">
        <v>#N/A</v>
      </c>
      <c r="AE122" s="29" t="e">
        <v>#N/A</v>
      </c>
      <c r="AF122" s="29" t="e">
        <v>#N/A</v>
      </c>
      <c r="AG122" s="29" t="e">
        <v>#N/A</v>
      </c>
      <c r="AH122" s="29" t="e">
        <v>#N/A</v>
      </c>
      <c r="AI122" s="3">
        <v>29054.54</v>
      </c>
      <c r="AJ122" s="4">
        <v>90.337000000000003</v>
      </c>
      <c r="AK122" s="4">
        <v>92.56</v>
      </c>
      <c r="AL122" s="4">
        <v>95.852000000000004</v>
      </c>
      <c r="AM122" s="4">
        <v>89.195999999999998</v>
      </c>
      <c r="AN122" s="4">
        <v>71.373000000000005</v>
      </c>
      <c r="AO122" s="5">
        <v>325005145</v>
      </c>
      <c r="AP122" s="36">
        <v>87.943897000000007</v>
      </c>
      <c r="AQ122" s="6">
        <v>86</v>
      </c>
      <c r="AR122" s="3">
        <v>961588.12971601076</v>
      </c>
      <c r="AS122" s="5">
        <v>2589</v>
      </c>
      <c r="AT122" s="5">
        <v>1128</v>
      </c>
      <c r="AU122" s="6">
        <v>52.2</v>
      </c>
      <c r="AV122" s="35">
        <v>74.110799988462205</v>
      </c>
      <c r="AW122" s="6">
        <v>54.3</v>
      </c>
    </row>
    <row r="123" spans="1:49" x14ac:dyDescent="0.25">
      <c r="A123" t="s">
        <v>123</v>
      </c>
      <c r="B123" s="2">
        <v>40117</v>
      </c>
      <c r="C123" s="3">
        <v>4.5</v>
      </c>
      <c r="D123" s="29">
        <v>7.9153000000000002</v>
      </c>
      <c r="E123" s="35">
        <v>93.189239999999998</v>
      </c>
      <c r="F123" s="29">
        <v>71.301299999999998</v>
      </c>
      <c r="G123" s="29">
        <v>75.081400000000002</v>
      </c>
      <c r="H123" s="29">
        <v>91.876300000000001</v>
      </c>
      <c r="I123" s="29">
        <v>98.031599999999997</v>
      </c>
      <c r="J123" s="29">
        <v>90.258600000000001</v>
      </c>
      <c r="K123" s="29">
        <v>93.221299999999999</v>
      </c>
      <c r="L123" s="29">
        <v>88.250799999999998</v>
      </c>
      <c r="M123" s="3">
        <v>5.72</v>
      </c>
      <c r="N123" s="3">
        <v>99.87</v>
      </c>
      <c r="O123" s="3">
        <v>99.16</v>
      </c>
      <c r="P123" s="29">
        <v>93.2196</v>
      </c>
      <c r="Q123" s="29">
        <v>87.756299999999996</v>
      </c>
      <c r="R123" s="6">
        <v>21251.7</v>
      </c>
      <c r="S123" s="6">
        <v>20593.5</v>
      </c>
      <c r="T123" s="3">
        <v>97.98</v>
      </c>
      <c r="U123" s="6">
        <v>33.4</v>
      </c>
      <c r="V123" s="3">
        <v>97.73</v>
      </c>
      <c r="W123" s="29" t="e">
        <v>#N/A</v>
      </c>
      <c r="X123" s="29" t="e">
        <v>#N/A</v>
      </c>
      <c r="Y123" s="29" t="e">
        <v>#N/A</v>
      </c>
      <c r="Z123" s="29" t="e">
        <v>#N/A</v>
      </c>
      <c r="AA123" s="29" t="e">
        <v>#N/A</v>
      </c>
      <c r="AB123" s="29" t="e">
        <v>#N/A</v>
      </c>
      <c r="AC123" s="29" t="e">
        <v>#N/A</v>
      </c>
      <c r="AD123" s="29" t="e">
        <v>#N/A</v>
      </c>
      <c r="AE123" s="29" t="e">
        <v>#N/A</v>
      </c>
      <c r="AF123" s="29" t="e">
        <v>#N/A</v>
      </c>
      <c r="AG123" s="29" t="e">
        <v>#N/A</v>
      </c>
      <c r="AH123" s="29" t="e">
        <v>#N/A</v>
      </c>
      <c r="AI123" s="3">
        <v>29997.26</v>
      </c>
      <c r="AJ123" s="4">
        <v>91.332999999999998</v>
      </c>
      <c r="AK123" s="4">
        <v>93.597999999999999</v>
      </c>
      <c r="AL123" s="4">
        <v>97.783000000000001</v>
      </c>
      <c r="AM123" s="4">
        <v>89.192999999999998</v>
      </c>
      <c r="AN123" s="4">
        <v>72.575000000000003</v>
      </c>
      <c r="AO123" s="5">
        <v>348958584</v>
      </c>
      <c r="AP123" s="36">
        <v>88.890029999999996</v>
      </c>
      <c r="AQ123" s="6">
        <v>86.7</v>
      </c>
      <c r="AR123" s="3">
        <v>978985.19905959326</v>
      </c>
      <c r="AS123" s="5">
        <v>2597</v>
      </c>
      <c r="AT123" s="5">
        <v>1238</v>
      </c>
      <c r="AU123" s="6">
        <v>53.6</v>
      </c>
      <c r="AV123" s="35">
        <v>62.662640321603256</v>
      </c>
      <c r="AW123" s="6">
        <v>51.6</v>
      </c>
    </row>
    <row r="124" spans="1:49" x14ac:dyDescent="0.25">
      <c r="A124" t="s">
        <v>124</v>
      </c>
      <c r="B124" s="2">
        <v>40147</v>
      </c>
      <c r="C124" s="3">
        <v>4.5</v>
      </c>
      <c r="D124" s="29">
        <v>7.9146999999999998</v>
      </c>
      <c r="E124" s="35">
        <v>94.041989999999998</v>
      </c>
      <c r="F124" s="29">
        <v>71.323899999999995</v>
      </c>
      <c r="G124" s="29">
        <v>75.255600000000001</v>
      </c>
      <c r="H124" s="29">
        <v>92.741500000000002</v>
      </c>
      <c r="I124" s="29">
        <v>97.206800000000001</v>
      </c>
      <c r="J124" s="29">
        <v>89.389700000000005</v>
      </c>
      <c r="K124" s="29">
        <v>93.108400000000003</v>
      </c>
      <c r="L124" s="29">
        <v>91.2119</v>
      </c>
      <c r="M124" s="3">
        <v>5.41</v>
      </c>
      <c r="N124" s="3">
        <v>99.98</v>
      </c>
      <c r="O124" s="3">
        <v>99.49</v>
      </c>
      <c r="P124" s="29">
        <v>93.440899999999999</v>
      </c>
      <c r="Q124" s="29">
        <v>88.780100000000004</v>
      </c>
      <c r="R124" s="6">
        <v>22595.8</v>
      </c>
      <c r="S124" s="6">
        <v>22430.9</v>
      </c>
      <c r="T124" s="3">
        <v>98.21</v>
      </c>
      <c r="U124" s="6">
        <v>34</v>
      </c>
      <c r="V124" s="3">
        <v>98.13</v>
      </c>
      <c r="W124" s="29" t="e">
        <v>#N/A</v>
      </c>
      <c r="X124" s="29" t="e">
        <v>#N/A</v>
      </c>
      <c r="Y124" s="29" t="e">
        <v>#N/A</v>
      </c>
      <c r="Z124" s="29" t="e">
        <v>#N/A</v>
      </c>
      <c r="AA124" s="29" t="e">
        <v>#N/A</v>
      </c>
      <c r="AB124" s="29" t="e">
        <v>#N/A</v>
      </c>
      <c r="AC124" s="29" t="e">
        <v>#N/A</v>
      </c>
      <c r="AD124" s="29" t="e">
        <v>#N/A</v>
      </c>
      <c r="AE124" s="29" t="e">
        <v>#N/A</v>
      </c>
      <c r="AF124" s="29" t="e">
        <v>#N/A</v>
      </c>
      <c r="AG124" s="29" t="e">
        <v>#N/A</v>
      </c>
      <c r="AH124" s="29" t="e">
        <v>#N/A</v>
      </c>
      <c r="AI124" s="3">
        <v>30620.45</v>
      </c>
      <c r="AJ124" s="4">
        <v>92.103999999999999</v>
      </c>
      <c r="AK124" s="4">
        <v>93.838999999999999</v>
      </c>
      <c r="AL124" s="4">
        <v>98.370999999999995</v>
      </c>
      <c r="AM124" s="4">
        <v>88.966999999999999</v>
      </c>
      <c r="AN124" s="4">
        <v>77.334000000000003</v>
      </c>
      <c r="AO124" s="5">
        <v>335344717</v>
      </c>
      <c r="AP124" s="36">
        <v>89.430860999999993</v>
      </c>
      <c r="AQ124" s="6">
        <v>86.1</v>
      </c>
      <c r="AR124" s="3">
        <v>1015047.8846862178</v>
      </c>
      <c r="AS124" s="5">
        <v>2583</v>
      </c>
      <c r="AT124" s="5">
        <v>1219</v>
      </c>
      <c r="AU124" s="6">
        <v>52.6</v>
      </c>
      <c r="AV124" s="35">
        <v>56.197908275963982</v>
      </c>
      <c r="AW124" s="6">
        <v>52.1</v>
      </c>
    </row>
    <row r="125" spans="1:49" x14ac:dyDescent="0.25">
      <c r="A125" t="s">
        <v>125</v>
      </c>
      <c r="B125" s="2">
        <v>40178</v>
      </c>
      <c r="C125" s="3">
        <v>4.5</v>
      </c>
      <c r="D125" s="29">
        <v>7.9058999999999999</v>
      </c>
      <c r="E125" s="35">
        <v>96.387910000000005</v>
      </c>
      <c r="F125" s="29">
        <v>71.460300000000004</v>
      </c>
      <c r="G125" s="29">
        <v>75.498000000000005</v>
      </c>
      <c r="H125" s="29">
        <v>92.938299999999998</v>
      </c>
      <c r="I125" s="29">
        <v>97.358099999999993</v>
      </c>
      <c r="J125" s="29">
        <v>89.156000000000006</v>
      </c>
      <c r="K125" s="29">
        <v>92.973600000000005</v>
      </c>
      <c r="L125" s="29">
        <v>90.271699999999996</v>
      </c>
      <c r="M125" s="3">
        <v>5.23</v>
      </c>
      <c r="N125" s="3">
        <v>100.47</v>
      </c>
      <c r="O125" s="3">
        <v>99.75</v>
      </c>
      <c r="P125" s="29">
        <v>94.274000000000001</v>
      </c>
      <c r="Q125" s="29">
        <v>89.020099999999999</v>
      </c>
      <c r="R125" s="6">
        <v>22630.9</v>
      </c>
      <c r="S125" s="6">
        <v>22495.1</v>
      </c>
      <c r="T125" s="3">
        <v>98.42</v>
      </c>
      <c r="U125" s="6">
        <v>33.799999999999997</v>
      </c>
      <c r="V125" s="3">
        <v>98.55</v>
      </c>
      <c r="W125" s="29" t="e">
        <v>#N/A</v>
      </c>
      <c r="X125" s="29" t="e">
        <v>#N/A</v>
      </c>
      <c r="Y125" s="29" t="e">
        <v>#N/A</v>
      </c>
      <c r="Z125" s="29" t="e">
        <v>#N/A</v>
      </c>
      <c r="AA125" s="29" t="e">
        <v>#N/A</v>
      </c>
      <c r="AB125" s="29" t="e">
        <v>#N/A</v>
      </c>
      <c r="AC125" s="29" t="e">
        <v>#N/A</v>
      </c>
      <c r="AD125" s="29" t="e">
        <v>#N/A</v>
      </c>
      <c r="AE125" s="29" t="e">
        <v>#N/A</v>
      </c>
      <c r="AF125" s="29" t="e">
        <v>#N/A</v>
      </c>
      <c r="AG125" s="29" t="e">
        <v>#N/A</v>
      </c>
      <c r="AH125" s="29" t="e">
        <v>#N/A</v>
      </c>
      <c r="AI125" s="3">
        <v>32077.95</v>
      </c>
      <c r="AJ125" s="4">
        <v>94.391999999999996</v>
      </c>
      <c r="AK125" s="4">
        <v>95.328000000000003</v>
      </c>
      <c r="AL125" s="4">
        <v>101.34099999999999</v>
      </c>
      <c r="AM125" s="4">
        <v>89.019000000000005</v>
      </c>
      <c r="AN125" s="4">
        <v>80.456999999999994</v>
      </c>
      <c r="AO125" s="5">
        <v>333511471</v>
      </c>
      <c r="AP125" s="36">
        <v>89.642259999999993</v>
      </c>
      <c r="AQ125" s="6">
        <v>87.7</v>
      </c>
      <c r="AR125" s="3">
        <v>952915.07678199816</v>
      </c>
      <c r="AS125" s="5">
        <v>2583</v>
      </c>
      <c r="AT125" s="5">
        <v>1249</v>
      </c>
      <c r="AU125" s="6">
        <v>54.4</v>
      </c>
      <c r="AV125" s="35">
        <v>59.574103788663464</v>
      </c>
      <c r="AW125" s="6">
        <v>53.2</v>
      </c>
    </row>
    <row r="126" spans="1:49" x14ac:dyDescent="0.25">
      <c r="A126" t="s">
        <v>126</v>
      </c>
      <c r="B126" s="2">
        <v>40209</v>
      </c>
      <c r="C126" s="3">
        <v>4.5</v>
      </c>
      <c r="D126" s="29">
        <v>7.8707000000000003</v>
      </c>
      <c r="E126" s="35">
        <v>97.951970000000003</v>
      </c>
      <c r="F126" s="29">
        <v>72.146500000000003</v>
      </c>
      <c r="G126" s="29">
        <v>75.978700000000003</v>
      </c>
      <c r="H126" s="29">
        <v>94.260999999999996</v>
      </c>
      <c r="I126" s="29">
        <v>99.150400000000005</v>
      </c>
      <c r="J126" s="29">
        <v>89.390299999999996</v>
      </c>
      <c r="K126" s="29">
        <v>104.34310000000001</v>
      </c>
      <c r="L126" s="29">
        <v>88.883899999999997</v>
      </c>
      <c r="M126" s="3">
        <v>5.66</v>
      </c>
      <c r="N126" s="3">
        <v>100.65</v>
      </c>
      <c r="O126" s="3">
        <v>99.97</v>
      </c>
      <c r="P126" s="29">
        <v>93.432599999999994</v>
      </c>
      <c r="Q126" s="29">
        <v>89.796899999999994</v>
      </c>
      <c r="R126" s="6">
        <v>22690.3</v>
      </c>
      <c r="S126" s="6">
        <v>22514.9</v>
      </c>
      <c r="T126" s="3">
        <v>98.61</v>
      </c>
      <c r="U126" s="6">
        <v>34.5</v>
      </c>
      <c r="V126" s="3">
        <v>99.01</v>
      </c>
      <c r="W126" s="29" t="e">
        <v>#N/A</v>
      </c>
      <c r="X126" s="29" t="e">
        <v>#N/A</v>
      </c>
      <c r="Y126" s="29" t="e">
        <v>#N/A</v>
      </c>
      <c r="Z126" s="29" t="e">
        <v>#N/A</v>
      </c>
      <c r="AA126" s="29" t="e">
        <v>#N/A</v>
      </c>
      <c r="AB126" s="29" t="e">
        <v>#N/A</v>
      </c>
      <c r="AC126" s="29" t="e">
        <v>#N/A</v>
      </c>
      <c r="AD126" s="29" t="e">
        <v>#N/A</v>
      </c>
      <c r="AE126" s="29" t="e">
        <v>#N/A</v>
      </c>
      <c r="AF126" s="29" t="e">
        <v>#N/A</v>
      </c>
      <c r="AG126" s="29" t="e">
        <v>#N/A</v>
      </c>
      <c r="AH126" s="29" t="e">
        <v>#N/A</v>
      </c>
      <c r="AI126" s="3">
        <v>31989.09</v>
      </c>
      <c r="AJ126" s="4">
        <v>90.5</v>
      </c>
      <c r="AK126" s="4">
        <v>91.537000000000006</v>
      </c>
      <c r="AL126" s="4">
        <v>93.805000000000007</v>
      </c>
      <c r="AM126" s="4">
        <v>89.141000000000005</v>
      </c>
      <c r="AN126" s="4">
        <v>80.662999999999997</v>
      </c>
      <c r="AO126" s="5">
        <v>323528785</v>
      </c>
      <c r="AP126" s="36">
        <v>89.811507000000006</v>
      </c>
      <c r="AQ126" s="6">
        <v>94.1</v>
      </c>
      <c r="AR126" s="3">
        <v>1015425.5332620922</v>
      </c>
      <c r="AS126" s="5">
        <v>2574</v>
      </c>
      <c r="AT126" s="5">
        <v>1176</v>
      </c>
      <c r="AU126" s="6">
        <v>53.7</v>
      </c>
      <c r="AV126" s="35">
        <v>79.569002845814268</v>
      </c>
      <c r="AW126" s="6">
        <v>55.4</v>
      </c>
    </row>
    <row r="127" spans="1:49" x14ac:dyDescent="0.25">
      <c r="A127" t="s">
        <v>127</v>
      </c>
      <c r="B127" s="2">
        <v>40237</v>
      </c>
      <c r="C127" s="3">
        <v>4.5</v>
      </c>
      <c r="D127" s="29">
        <v>7.6519000000000004</v>
      </c>
      <c r="E127" s="35">
        <v>98.017039999999994</v>
      </c>
      <c r="F127" s="29">
        <v>72.497100000000003</v>
      </c>
      <c r="G127" s="29">
        <v>76.190100000000001</v>
      </c>
      <c r="H127" s="29">
        <v>93.335300000000004</v>
      </c>
      <c r="I127" s="29">
        <v>99.846599999999995</v>
      </c>
      <c r="J127" s="29">
        <v>88.979699999999994</v>
      </c>
      <c r="K127" s="29">
        <v>94.921099999999996</v>
      </c>
      <c r="L127" s="29">
        <v>90.548100000000005</v>
      </c>
      <c r="M127" s="3">
        <v>5.32</v>
      </c>
      <c r="N127" s="3">
        <v>99.78</v>
      </c>
      <c r="O127" s="3">
        <v>100.16</v>
      </c>
      <c r="P127" s="29">
        <v>93.751300000000001</v>
      </c>
      <c r="Q127" s="29">
        <v>90.665800000000004</v>
      </c>
      <c r="R127" s="6">
        <v>23132.799999999999</v>
      </c>
      <c r="S127" s="6">
        <v>23239.8</v>
      </c>
      <c r="T127" s="3">
        <v>98.78</v>
      </c>
      <c r="U127" s="6">
        <v>34.5</v>
      </c>
      <c r="V127" s="3">
        <v>99.51</v>
      </c>
      <c r="W127" s="29" t="e">
        <v>#N/A</v>
      </c>
      <c r="X127" s="29" t="e">
        <v>#N/A</v>
      </c>
      <c r="Y127" s="29" t="e">
        <v>#N/A</v>
      </c>
      <c r="Z127" s="29" t="e">
        <v>#N/A</v>
      </c>
      <c r="AA127" s="29" t="e">
        <v>#N/A</v>
      </c>
      <c r="AB127" s="29" t="e">
        <v>#N/A</v>
      </c>
      <c r="AC127" s="29" t="e">
        <v>#N/A</v>
      </c>
      <c r="AD127" s="29" t="e">
        <v>#N/A</v>
      </c>
      <c r="AE127" s="29" t="e">
        <v>#N/A</v>
      </c>
      <c r="AF127" s="29" t="e">
        <v>#N/A</v>
      </c>
      <c r="AG127" s="29" t="e">
        <v>#N/A</v>
      </c>
      <c r="AH127" s="29" t="e">
        <v>#N/A</v>
      </c>
      <c r="AI127" s="3">
        <v>31333.599999999999</v>
      </c>
      <c r="AJ127" s="4">
        <v>92.114999999999995</v>
      </c>
      <c r="AK127" s="4">
        <v>93.448999999999998</v>
      </c>
      <c r="AL127" s="4">
        <v>97.528000000000006</v>
      </c>
      <c r="AM127" s="4">
        <v>89.2</v>
      </c>
      <c r="AN127" s="4">
        <v>80.492999999999995</v>
      </c>
      <c r="AO127" s="5">
        <v>327774411</v>
      </c>
      <c r="AP127" s="36">
        <v>90.048619000000002</v>
      </c>
      <c r="AQ127" s="6">
        <v>89.7</v>
      </c>
      <c r="AR127" s="3">
        <v>1033345.6899251598</v>
      </c>
      <c r="AS127" s="5">
        <v>2602</v>
      </c>
      <c r="AT127" s="5">
        <v>1234</v>
      </c>
      <c r="AU127" s="6">
        <v>54.2</v>
      </c>
      <c r="AV127" s="35">
        <v>48.721101721202693</v>
      </c>
      <c r="AW127" s="6">
        <v>55.5</v>
      </c>
    </row>
    <row r="128" spans="1:49" x14ac:dyDescent="0.25">
      <c r="A128" t="s">
        <v>128</v>
      </c>
      <c r="B128" s="2">
        <v>40268</v>
      </c>
      <c r="C128" s="3">
        <v>4.5</v>
      </c>
      <c r="D128" s="29">
        <v>7.6040999999999999</v>
      </c>
      <c r="E128" s="35">
        <v>101.27856</v>
      </c>
      <c r="F128" s="29">
        <v>72.990200000000002</v>
      </c>
      <c r="G128" s="29">
        <v>76.415599999999998</v>
      </c>
      <c r="H128" s="29">
        <v>95.075699999999998</v>
      </c>
      <c r="I128" s="29">
        <v>99.537199999999999</v>
      </c>
      <c r="J128" s="29">
        <v>90.114599999999996</v>
      </c>
      <c r="K128" s="29">
        <v>95.955100000000002</v>
      </c>
      <c r="L128" s="29">
        <v>92.671499999999995</v>
      </c>
      <c r="M128" s="3">
        <v>5.29</v>
      </c>
      <c r="N128" s="3">
        <v>101.28</v>
      </c>
      <c r="O128" s="3">
        <v>100.33</v>
      </c>
      <c r="P128" s="29">
        <v>94.702799999999996</v>
      </c>
      <c r="Q128" s="29">
        <v>91.943899999999999</v>
      </c>
      <c r="R128" s="6">
        <v>23983.8</v>
      </c>
      <c r="S128" s="6">
        <v>24427.4</v>
      </c>
      <c r="T128" s="3">
        <v>98.93</v>
      </c>
      <c r="U128" s="6">
        <v>34.700000000000003</v>
      </c>
      <c r="V128" s="3">
        <v>100.04</v>
      </c>
      <c r="W128" s="29" t="e">
        <v>#N/A</v>
      </c>
      <c r="X128" s="29" t="e">
        <v>#N/A</v>
      </c>
      <c r="Y128" s="29" t="e">
        <v>#N/A</v>
      </c>
      <c r="Z128" s="29" t="e">
        <v>#N/A</v>
      </c>
      <c r="AA128" s="29" t="e">
        <v>#N/A</v>
      </c>
      <c r="AB128" s="29" t="e">
        <v>#N/A</v>
      </c>
      <c r="AC128" s="29" t="e">
        <v>#N/A</v>
      </c>
      <c r="AD128" s="29" t="e">
        <v>#N/A</v>
      </c>
      <c r="AE128" s="29" t="e">
        <v>#N/A</v>
      </c>
      <c r="AF128" s="29" t="e">
        <v>#N/A</v>
      </c>
      <c r="AG128" s="29" t="e">
        <v>#N/A</v>
      </c>
      <c r="AH128" s="29" t="e">
        <v>#N/A</v>
      </c>
      <c r="AI128" s="3">
        <v>32777.58</v>
      </c>
      <c r="AJ128" s="4">
        <v>92.546000000000006</v>
      </c>
      <c r="AK128" s="4">
        <v>93.756</v>
      </c>
      <c r="AL128" s="4">
        <v>97.524000000000001</v>
      </c>
      <c r="AM128" s="4">
        <v>89.796000000000006</v>
      </c>
      <c r="AN128" s="4">
        <v>80.195999999999998</v>
      </c>
      <c r="AO128" s="5">
        <v>361459449</v>
      </c>
      <c r="AP128" s="36">
        <v>91.236202000000006</v>
      </c>
      <c r="AQ128" s="6">
        <v>92.5</v>
      </c>
      <c r="AR128" s="3">
        <v>1020661.3695774438</v>
      </c>
      <c r="AS128" s="5">
        <v>2589</v>
      </c>
      <c r="AT128" s="5">
        <v>1331</v>
      </c>
      <c r="AU128" s="6">
        <v>54.5</v>
      </c>
      <c r="AV128" s="35">
        <v>53.018856404472231</v>
      </c>
      <c r="AW128" s="6">
        <v>55.5</v>
      </c>
    </row>
    <row r="129" spans="1:49" x14ac:dyDescent="0.25">
      <c r="A129" t="s">
        <v>129</v>
      </c>
      <c r="B129" s="2">
        <v>40298</v>
      </c>
      <c r="C129" s="3">
        <v>4.5</v>
      </c>
      <c r="D129" s="29">
        <v>7.5021000000000004</v>
      </c>
      <c r="E129" s="35">
        <v>103.42209</v>
      </c>
      <c r="F129" s="29">
        <v>72.981099999999998</v>
      </c>
      <c r="G129" s="29">
        <v>76.600800000000007</v>
      </c>
      <c r="H129" s="29">
        <v>95.287000000000006</v>
      </c>
      <c r="I129" s="29">
        <v>99.945999999999998</v>
      </c>
      <c r="J129" s="29">
        <v>90.108800000000002</v>
      </c>
      <c r="K129" s="29">
        <v>99.691900000000004</v>
      </c>
      <c r="L129" s="29">
        <v>92.323700000000002</v>
      </c>
      <c r="M129" s="3">
        <v>5.52</v>
      </c>
      <c r="N129" s="3">
        <v>99.3</v>
      </c>
      <c r="O129" s="3">
        <v>100.45</v>
      </c>
      <c r="P129" s="29">
        <v>93.648399999999995</v>
      </c>
      <c r="Q129" s="29">
        <v>93.958699999999993</v>
      </c>
      <c r="R129" s="6">
        <v>24969.3</v>
      </c>
      <c r="S129" s="6">
        <v>25036.2</v>
      </c>
      <c r="T129" s="3">
        <v>99.03</v>
      </c>
      <c r="U129" s="6">
        <v>35</v>
      </c>
      <c r="V129" s="3">
        <v>100.54</v>
      </c>
      <c r="W129" s="29" t="e">
        <v>#N/A</v>
      </c>
      <c r="X129" s="29" t="e">
        <v>#N/A</v>
      </c>
      <c r="Y129" s="29" t="e">
        <v>#N/A</v>
      </c>
      <c r="Z129" s="29" t="e">
        <v>#N/A</v>
      </c>
      <c r="AA129" s="29" t="e">
        <v>#N/A</v>
      </c>
      <c r="AB129" s="29" t="e">
        <v>#N/A</v>
      </c>
      <c r="AC129" s="29" t="e">
        <v>#N/A</v>
      </c>
      <c r="AD129" s="29" t="e">
        <v>#N/A</v>
      </c>
      <c r="AE129" s="29" t="e">
        <v>#N/A</v>
      </c>
      <c r="AF129" s="29" t="e">
        <v>#N/A</v>
      </c>
      <c r="AG129" s="29" t="e">
        <v>#N/A</v>
      </c>
      <c r="AH129" s="29" t="e">
        <v>#N/A</v>
      </c>
      <c r="AI129" s="3">
        <v>33563.300000000003</v>
      </c>
      <c r="AJ129" s="4">
        <v>92.206000000000003</v>
      </c>
      <c r="AK129" s="4">
        <v>93.921999999999997</v>
      </c>
      <c r="AL129" s="4">
        <v>97.745999999999995</v>
      </c>
      <c r="AM129" s="4">
        <v>90.043999999999997</v>
      </c>
      <c r="AN129" s="4">
        <v>78.037000000000006</v>
      </c>
      <c r="AO129" s="5">
        <v>342194399</v>
      </c>
      <c r="AP129" s="36">
        <v>91.366023999999996</v>
      </c>
      <c r="AQ129" s="6">
        <v>92.4</v>
      </c>
      <c r="AR129" s="3">
        <v>999120.71506575914</v>
      </c>
      <c r="AS129" s="5">
        <v>2582</v>
      </c>
      <c r="AT129" s="5">
        <v>1302</v>
      </c>
      <c r="AU129" s="6">
        <v>54.3</v>
      </c>
      <c r="AV129" s="35">
        <v>103.36362725241879</v>
      </c>
      <c r="AW129" s="6">
        <v>55.5</v>
      </c>
    </row>
    <row r="130" spans="1:49" x14ac:dyDescent="0.25">
      <c r="A130" t="s">
        <v>130</v>
      </c>
      <c r="B130" s="2">
        <v>40329</v>
      </c>
      <c r="C130" s="3">
        <v>4.5</v>
      </c>
      <c r="D130" s="29">
        <v>7.4615999999999998</v>
      </c>
      <c r="E130" s="35">
        <v>100.02173999999999</v>
      </c>
      <c r="F130" s="29">
        <v>73.092799999999997</v>
      </c>
      <c r="G130" s="29">
        <v>76.8001</v>
      </c>
      <c r="H130" s="29">
        <v>94.863600000000005</v>
      </c>
      <c r="I130" s="29">
        <v>100.5851</v>
      </c>
      <c r="J130" s="29">
        <v>90.805499999999995</v>
      </c>
      <c r="K130" s="29">
        <v>93.393799999999999</v>
      </c>
      <c r="L130" s="29">
        <v>93.143000000000001</v>
      </c>
      <c r="M130" s="3">
        <v>5.35</v>
      </c>
      <c r="N130" s="3">
        <v>99.76</v>
      </c>
      <c r="O130" s="3">
        <v>100.51</v>
      </c>
      <c r="P130" s="29">
        <v>94.635900000000007</v>
      </c>
      <c r="Q130" s="29">
        <v>93.990399999999994</v>
      </c>
      <c r="R130" s="6">
        <v>24657.8</v>
      </c>
      <c r="S130" s="6">
        <v>25258.400000000001</v>
      </c>
      <c r="T130" s="3">
        <v>99.1</v>
      </c>
      <c r="U130" s="6">
        <v>35.9</v>
      </c>
      <c r="V130" s="3">
        <v>100.96</v>
      </c>
      <c r="W130" s="29" t="e">
        <v>#N/A</v>
      </c>
      <c r="X130" s="29" t="e">
        <v>#N/A</v>
      </c>
      <c r="Y130" s="29" t="e">
        <v>#N/A</v>
      </c>
      <c r="Z130" s="29" t="e">
        <v>#N/A</v>
      </c>
      <c r="AA130" s="29" t="e">
        <v>#N/A</v>
      </c>
      <c r="AB130" s="29" t="e">
        <v>#N/A</v>
      </c>
      <c r="AC130" s="29" t="e">
        <v>#N/A</v>
      </c>
      <c r="AD130" s="29" t="e">
        <v>#N/A</v>
      </c>
      <c r="AE130" s="29" t="e">
        <v>#N/A</v>
      </c>
      <c r="AF130" s="29" t="e">
        <v>#N/A</v>
      </c>
      <c r="AG130" s="29" t="e">
        <v>#N/A</v>
      </c>
      <c r="AH130" s="29" t="e">
        <v>#N/A</v>
      </c>
      <c r="AI130" s="3">
        <v>31611.35</v>
      </c>
      <c r="AJ130" s="4">
        <v>93.001000000000005</v>
      </c>
      <c r="AK130" s="4">
        <v>94.266000000000005</v>
      </c>
      <c r="AL130" s="4">
        <v>98.840999999999994</v>
      </c>
      <c r="AM130" s="4">
        <v>90.194000000000003</v>
      </c>
      <c r="AN130" s="4">
        <v>84.132000000000005</v>
      </c>
      <c r="AO130" s="5">
        <v>354633055</v>
      </c>
      <c r="AP130" s="36">
        <v>91.471383000000003</v>
      </c>
      <c r="AQ130" s="6">
        <v>90.7</v>
      </c>
      <c r="AR130" s="3">
        <v>992224.81700144068</v>
      </c>
      <c r="AS130" s="5">
        <v>2598</v>
      </c>
      <c r="AT130" s="5">
        <v>1591</v>
      </c>
      <c r="AU130" s="6">
        <v>54.2</v>
      </c>
      <c r="AV130" s="35">
        <v>140.16438369744901</v>
      </c>
      <c r="AW130" s="6">
        <v>55</v>
      </c>
    </row>
    <row r="131" spans="1:49" x14ac:dyDescent="0.25">
      <c r="A131" t="s">
        <v>131</v>
      </c>
      <c r="B131" s="2">
        <v>40359</v>
      </c>
      <c r="C131" s="3">
        <v>4.5</v>
      </c>
      <c r="D131" s="29">
        <v>6.9645999999999999</v>
      </c>
      <c r="E131" s="35">
        <v>100.55537</v>
      </c>
      <c r="F131" s="29">
        <v>73.213499999999996</v>
      </c>
      <c r="G131" s="29">
        <v>76.962199999999996</v>
      </c>
      <c r="H131" s="29">
        <v>94.656800000000004</v>
      </c>
      <c r="I131" s="29">
        <v>99.643600000000006</v>
      </c>
      <c r="J131" s="29">
        <v>91.796499999999995</v>
      </c>
      <c r="K131" s="29">
        <v>93.301199999999994</v>
      </c>
      <c r="L131" s="29">
        <v>92.900599999999997</v>
      </c>
      <c r="M131" s="3">
        <v>5.19</v>
      </c>
      <c r="N131" s="3">
        <v>99.39</v>
      </c>
      <c r="O131" s="3">
        <v>100.53</v>
      </c>
      <c r="P131" s="29">
        <v>94.064700000000002</v>
      </c>
      <c r="Q131" s="29">
        <v>92.732399999999998</v>
      </c>
      <c r="R131" s="6">
        <v>23337.8</v>
      </c>
      <c r="S131" s="6">
        <v>24380.5</v>
      </c>
      <c r="T131" s="3">
        <v>99.15</v>
      </c>
      <c r="U131" s="6">
        <v>36.6</v>
      </c>
      <c r="V131" s="3">
        <v>101.29</v>
      </c>
      <c r="W131" s="29" t="e">
        <v>#N/A</v>
      </c>
      <c r="X131" s="29" t="e">
        <v>#N/A</v>
      </c>
      <c r="Y131" s="29" t="e">
        <v>#N/A</v>
      </c>
      <c r="Z131" s="29" t="e">
        <v>#N/A</v>
      </c>
      <c r="AA131" s="29" t="e">
        <v>#N/A</v>
      </c>
      <c r="AB131" s="29" t="e">
        <v>#N/A</v>
      </c>
      <c r="AC131" s="29" t="e">
        <v>#N/A</v>
      </c>
      <c r="AD131" s="29" t="e">
        <v>#N/A</v>
      </c>
      <c r="AE131" s="29" t="e">
        <v>#N/A</v>
      </c>
      <c r="AF131" s="29" t="e">
        <v>#N/A</v>
      </c>
      <c r="AG131" s="29" t="e">
        <v>#N/A</v>
      </c>
      <c r="AH131" s="29" t="e">
        <v>#N/A</v>
      </c>
      <c r="AI131" s="3">
        <v>31976.3</v>
      </c>
      <c r="AJ131" s="4">
        <v>92.893000000000001</v>
      </c>
      <c r="AK131" s="4">
        <v>94.423000000000002</v>
      </c>
      <c r="AL131" s="4">
        <v>98.817999999999998</v>
      </c>
      <c r="AM131" s="4">
        <v>90.501000000000005</v>
      </c>
      <c r="AN131" s="4">
        <v>78.480999999999995</v>
      </c>
      <c r="AO131" s="5">
        <v>368993314</v>
      </c>
      <c r="AP131" s="36">
        <v>91.479737999999998</v>
      </c>
      <c r="AQ131" s="6">
        <v>90.3</v>
      </c>
      <c r="AR131" s="3">
        <v>973916.83609991986</v>
      </c>
      <c r="AS131" s="5">
        <v>2547</v>
      </c>
      <c r="AT131" s="5">
        <v>1110</v>
      </c>
      <c r="AU131" s="6">
        <v>54.4</v>
      </c>
      <c r="AV131" s="35">
        <v>43.951951367465263</v>
      </c>
      <c r="AW131" s="6">
        <v>56.4</v>
      </c>
    </row>
    <row r="132" spans="1:49" x14ac:dyDescent="0.25">
      <c r="A132" t="s">
        <v>132</v>
      </c>
      <c r="B132" s="2">
        <v>40390</v>
      </c>
      <c r="C132" s="3">
        <v>4.5</v>
      </c>
      <c r="D132" s="29">
        <v>6.6839000000000004</v>
      </c>
      <c r="E132" s="35">
        <v>98.901439999999994</v>
      </c>
      <c r="F132" s="29">
        <v>73.354699999999994</v>
      </c>
      <c r="G132" s="29">
        <v>77.155299999999997</v>
      </c>
      <c r="H132" s="29">
        <v>94.484200000000001</v>
      </c>
      <c r="I132" s="29">
        <v>98.673400000000001</v>
      </c>
      <c r="J132" s="29">
        <v>95.264399999999995</v>
      </c>
      <c r="K132" s="29">
        <v>94.118799999999993</v>
      </c>
      <c r="L132" s="29">
        <v>92.728999999999999</v>
      </c>
      <c r="M132" s="3">
        <v>5.38</v>
      </c>
      <c r="N132" s="3">
        <v>99.4</v>
      </c>
      <c r="O132" s="3">
        <v>100.57</v>
      </c>
      <c r="P132" s="29">
        <v>94.5047</v>
      </c>
      <c r="Q132" s="29">
        <v>93.090900000000005</v>
      </c>
      <c r="R132" s="6">
        <v>24311.599999999999</v>
      </c>
      <c r="S132" s="6">
        <v>24732.2</v>
      </c>
      <c r="T132" s="3">
        <v>99.19</v>
      </c>
      <c r="U132" s="6">
        <v>36.299999999999997</v>
      </c>
      <c r="V132" s="3">
        <v>101.53</v>
      </c>
      <c r="W132" s="29" t="e">
        <v>#N/A</v>
      </c>
      <c r="X132" s="29" t="e">
        <v>#N/A</v>
      </c>
      <c r="Y132" s="29" t="e">
        <v>#N/A</v>
      </c>
      <c r="Z132" s="29" t="e">
        <v>#N/A</v>
      </c>
      <c r="AA132" s="29" t="e">
        <v>#N/A</v>
      </c>
      <c r="AB132" s="29" t="e">
        <v>#N/A</v>
      </c>
      <c r="AC132" s="29" t="e">
        <v>#N/A</v>
      </c>
      <c r="AD132" s="29" t="e">
        <v>#N/A</v>
      </c>
      <c r="AE132" s="29" t="e">
        <v>#N/A</v>
      </c>
      <c r="AF132" s="29" t="e">
        <v>#N/A</v>
      </c>
      <c r="AG132" s="29" t="e">
        <v>#N/A</v>
      </c>
      <c r="AH132" s="29" t="e">
        <v>#N/A</v>
      </c>
      <c r="AI132" s="3">
        <v>32119.360000000001</v>
      </c>
      <c r="AJ132" s="4">
        <v>92.695999999999998</v>
      </c>
      <c r="AK132" s="4">
        <v>94.239000000000004</v>
      </c>
      <c r="AL132" s="4">
        <v>98.117999999999995</v>
      </c>
      <c r="AM132" s="4">
        <v>90.108000000000004</v>
      </c>
      <c r="AN132" s="4">
        <v>79.396000000000001</v>
      </c>
      <c r="AO132" s="5">
        <v>355331166</v>
      </c>
      <c r="AP132" s="36">
        <v>91.830731</v>
      </c>
      <c r="AQ132" s="6">
        <v>88.9</v>
      </c>
      <c r="AR132" s="3">
        <v>1004448.4346402006</v>
      </c>
      <c r="AS132" s="5">
        <v>2592</v>
      </c>
      <c r="AT132" s="5">
        <v>1386</v>
      </c>
      <c r="AU132" s="6">
        <v>55.8</v>
      </c>
      <c r="AV132" s="35">
        <v>89.130557761992875</v>
      </c>
      <c r="AW132" s="6">
        <v>54.8</v>
      </c>
    </row>
    <row r="133" spans="1:49" x14ac:dyDescent="0.25">
      <c r="A133" t="s">
        <v>133</v>
      </c>
      <c r="B133" s="2">
        <v>40421</v>
      </c>
      <c r="C133" s="3">
        <v>4.5</v>
      </c>
      <c r="D133" s="29">
        <v>6.3391000000000002</v>
      </c>
      <c r="E133" s="35">
        <v>98.792599999999993</v>
      </c>
      <c r="F133" s="29">
        <v>73.593999999999994</v>
      </c>
      <c r="G133" s="29">
        <v>77.325999999999993</v>
      </c>
      <c r="H133" s="29">
        <v>95.187700000000007</v>
      </c>
      <c r="I133" s="29">
        <v>99.175700000000006</v>
      </c>
      <c r="J133" s="29">
        <v>91.613</v>
      </c>
      <c r="K133" s="29">
        <v>92.785899999999998</v>
      </c>
      <c r="L133" s="29">
        <v>94.870599999999996</v>
      </c>
      <c r="M133" s="3">
        <v>5.0599999999999996</v>
      </c>
      <c r="N133" s="3">
        <v>99.45</v>
      </c>
      <c r="O133" s="3">
        <v>100.63</v>
      </c>
      <c r="P133" s="29">
        <v>95.391599999999997</v>
      </c>
      <c r="Q133" s="29">
        <v>93.854200000000006</v>
      </c>
      <c r="R133" s="6">
        <v>25291.9</v>
      </c>
      <c r="S133" s="6">
        <v>25494.3</v>
      </c>
      <c r="T133" s="3">
        <v>99.22</v>
      </c>
      <c r="U133" s="6">
        <v>36.700000000000003</v>
      </c>
      <c r="V133" s="3">
        <v>101.7</v>
      </c>
      <c r="W133" s="29" t="e">
        <v>#N/A</v>
      </c>
      <c r="X133" s="29" t="e">
        <v>#N/A</v>
      </c>
      <c r="Y133" s="29" t="e">
        <v>#N/A</v>
      </c>
      <c r="Z133" s="29" t="e">
        <v>#N/A</v>
      </c>
      <c r="AA133" s="29" t="e">
        <v>#N/A</v>
      </c>
      <c r="AB133" s="29" t="e">
        <v>#N/A</v>
      </c>
      <c r="AC133" s="29" t="e">
        <v>#N/A</v>
      </c>
      <c r="AD133" s="29" t="e">
        <v>#N/A</v>
      </c>
      <c r="AE133" s="29" t="e">
        <v>#N/A</v>
      </c>
      <c r="AF133" s="29" t="e">
        <v>#N/A</v>
      </c>
      <c r="AG133" s="29" t="e">
        <v>#N/A</v>
      </c>
      <c r="AH133" s="29" t="e">
        <v>#N/A</v>
      </c>
      <c r="AI133" s="3">
        <v>32194.97</v>
      </c>
      <c r="AJ133" s="4">
        <v>93.075000000000003</v>
      </c>
      <c r="AK133" s="4">
        <v>94.602999999999994</v>
      </c>
      <c r="AL133" s="4">
        <v>99.015000000000001</v>
      </c>
      <c r="AM133" s="4">
        <v>90.024000000000001</v>
      </c>
      <c r="AN133" s="4">
        <v>79.683999999999997</v>
      </c>
      <c r="AO133" s="5">
        <v>371892491</v>
      </c>
      <c r="AP133" s="36">
        <v>92.020546999999993</v>
      </c>
      <c r="AQ133" s="6">
        <v>90</v>
      </c>
      <c r="AR133" s="3">
        <v>992418.07411092857</v>
      </c>
      <c r="AS133" s="5">
        <v>2574</v>
      </c>
      <c r="AT133" s="5">
        <v>1351</v>
      </c>
      <c r="AU133" s="6">
        <v>53.9</v>
      </c>
      <c r="AV133" s="35">
        <v>63.518931589541907</v>
      </c>
      <c r="AW133" s="6">
        <v>53</v>
      </c>
    </row>
    <row r="134" spans="1:49" x14ac:dyDescent="0.25">
      <c r="A134" t="s">
        <v>134</v>
      </c>
      <c r="B134" s="2">
        <v>40451</v>
      </c>
      <c r="C134" s="3">
        <v>4.5</v>
      </c>
      <c r="D134" s="29">
        <v>6.2195999999999998</v>
      </c>
      <c r="E134" s="35">
        <v>98.227410000000006</v>
      </c>
      <c r="F134" s="29">
        <v>73.845500000000001</v>
      </c>
      <c r="G134" s="29">
        <v>77.564700000000002</v>
      </c>
      <c r="H134" s="29">
        <v>94.719899999999996</v>
      </c>
      <c r="I134" s="29">
        <v>99.493700000000004</v>
      </c>
      <c r="J134" s="29">
        <v>93.328900000000004</v>
      </c>
      <c r="K134" s="29">
        <v>93.799199999999999</v>
      </c>
      <c r="L134" s="29">
        <v>93.523200000000003</v>
      </c>
      <c r="M134" s="3">
        <v>5.34</v>
      </c>
      <c r="N134" s="3">
        <v>99.06</v>
      </c>
      <c r="O134" s="3">
        <v>100.73</v>
      </c>
      <c r="P134" s="29">
        <v>94.697900000000004</v>
      </c>
      <c r="Q134" s="29">
        <v>93.938800000000001</v>
      </c>
      <c r="R134" s="6">
        <v>25489</v>
      </c>
      <c r="S134" s="6">
        <v>25363</v>
      </c>
      <c r="T134" s="3">
        <v>99.24</v>
      </c>
      <c r="U134" s="6">
        <v>37.9</v>
      </c>
      <c r="V134" s="3">
        <v>101.8</v>
      </c>
      <c r="W134" s="29" t="e">
        <v>#N/A</v>
      </c>
      <c r="X134" s="29" t="e">
        <v>#N/A</v>
      </c>
      <c r="Y134" s="29" t="e">
        <v>#N/A</v>
      </c>
      <c r="Z134" s="29" t="e">
        <v>#N/A</v>
      </c>
      <c r="AA134" s="29" t="e">
        <v>#N/A</v>
      </c>
      <c r="AB134" s="29" t="e">
        <v>#N/A</v>
      </c>
      <c r="AC134" s="29" t="e">
        <v>#N/A</v>
      </c>
      <c r="AD134" s="29" t="e">
        <v>#N/A</v>
      </c>
      <c r="AE134" s="29" t="e">
        <v>#N/A</v>
      </c>
      <c r="AF134" s="29" t="e">
        <v>#N/A</v>
      </c>
      <c r="AG134" s="29" t="e">
        <v>#N/A</v>
      </c>
      <c r="AH134" s="29" t="e">
        <v>#N/A</v>
      </c>
      <c r="AI134" s="3">
        <v>32908.68</v>
      </c>
      <c r="AJ134" s="4">
        <v>93.912000000000006</v>
      </c>
      <c r="AK134" s="4">
        <v>95.590999999999994</v>
      </c>
      <c r="AL134" s="4">
        <v>100.857</v>
      </c>
      <c r="AM134" s="4">
        <v>90.21</v>
      </c>
      <c r="AN134" s="4">
        <v>80.02</v>
      </c>
      <c r="AO134" s="5">
        <v>365132727</v>
      </c>
      <c r="AP134" s="36">
        <v>92.438681000000003</v>
      </c>
      <c r="AQ134" s="6">
        <v>91.3</v>
      </c>
      <c r="AR134" s="3">
        <v>964755.12684236257</v>
      </c>
      <c r="AS134" s="5">
        <v>2564</v>
      </c>
      <c r="AT134" s="5">
        <v>1337</v>
      </c>
      <c r="AU134" s="6">
        <v>53.8</v>
      </c>
      <c r="AV134" s="35">
        <v>55.50683893889186</v>
      </c>
      <c r="AW134" s="6">
        <v>55.3</v>
      </c>
    </row>
    <row r="135" spans="1:49" x14ac:dyDescent="0.25">
      <c r="A135" t="s">
        <v>135</v>
      </c>
      <c r="B135" s="2">
        <v>40482</v>
      </c>
      <c r="C135" s="3">
        <v>4.5</v>
      </c>
      <c r="D135" s="29">
        <v>6.0968</v>
      </c>
      <c r="E135" s="35">
        <v>99.859800000000007</v>
      </c>
      <c r="F135" s="29">
        <v>74.194500000000005</v>
      </c>
      <c r="G135" s="29">
        <v>77.732900000000001</v>
      </c>
      <c r="H135" s="29">
        <v>94.837400000000002</v>
      </c>
      <c r="I135" s="29">
        <v>97.915599999999998</v>
      </c>
      <c r="J135" s="29">
        <v>92.899900000000002</v>
      </c>
      <c r="K135" s="29">
        <v>94.4298</v>
      </c>
      <c r="L135" s="29">
        <v>93.105800000000002</v>
      </c>
      <c r="M135" s="3">
        <v>5.5</v>
      </c>
      <c r="N135" s="3">
        <v>98.51</v>
      </c>
      <c r="O135" s="3">
        <v>100.85</v>
      </c>
      <c r="P135" s="29">
        <v>94.800399999999996</v>
      </c>
      <c r="Q135" s="29">
        <v>94.040800000000004</v>
      </c>
      <c r="R135" s="6">
        <v>25850.9</v>
      </c>
      <c r="S135" s="6">
        <v>26416.799999999999</v>
      </c>
      <c r="T135" s="3">
        <v>99.27</v>
      </c>
      <c r="U135" s="6">
        <v>38.200000000000003</v>
      </c>
      <c r="V135" s="3">
        <v>101.87</v>
      </c>
      <c r="W135" s="29" t="e">
        <v>#N/A</v>
      </c>
      <c r="X135" s="29" t="e">
        <v>#N/A</v>
      </c>
      <c r="Y135" s="29" t="e">
        <v>#N/A</v>
      </c>
      <c r="Z135" s="29" t="e">
        <v>#N/A</v>
      </c>
      <c r="AA135" s="29" t="e">
        <v>#N/A</v>
      </c>
      <c r="AB135" s="29" t="e">
        <v>#N/A</v>
      </c>
      <c r="AC135" s="29" t="e">
        <v>#N/A</v>
      </c>
      <c r="AD135" s="29" t="e">
        <v>#N/A</v>
      </c>
      <c r="AE135" s="29" t="e">
        <v>#N/A</v>
      </c>
      <c r="AF135" s="29" t="e">
        <v>#N/A</v>
      </c>
      <c r="AG135" s="29" t="e">
        <v>#N/A</v>
      </c>
      <c r="AH135" s="29" t="e">
        <v>#N/A</v>
      </c>
      <c r="AI135" s="3">
        <v>34745.72</v>
      </c>
      <c r="AJ135" s="4">
        <v>93.587999999999994</v>
      </c>
      <c r="AK135" s="4">
        <v>94.843000000000004</v>
      </c>
      <c r="AL135" s="4">
        <v>98.72</v>
      </c>
      <c r="AM135" s="4">
        <v>90.692999999999998</v>
      </c>
      <c r="AN135" s="4">
        <v>83.31</v>
      </c>
      <c r="AO135" s="5">
        <v>368840026</v>
      </c>
      <c r="AP135" s="36">
        <v>92.444585000000004</v>
      </c>
      <c r="AQ135" s="6">
        <v>92.4</v>
      </c>
      <c r="AR135" s="3">
        <v>974548.87111697556</v>
      </c>
      <c r="AS135" s="5">
        <v>2561</v>
      </c>
      <c r="AT135" s="5">
        <v>1377</v>
      </c>
      <c r="AU135" s="6">
        <v>53.5</v>
      </c>
      <c r="AV135" s="35">
        <v>76.878769585062741</v>
      </c>
      <c r="AW135" s="6">
        <v>55.3</v>
      </c>
    </row>
    <row r="136" spans="1:49" x14ac:dyDescent="0.25">
      <c r="A136" t="s">
        <v>136</v>
      </c>
      <c r="B136" s="2">
        <v>40512</v>
      </c>
      <c r="C136" s="3">
        <v>4.5</v>
      </c>
      <c r="D136" s="29">
        <v>6.3446999999999996</v>
      </c>
      <c r="E136" s="35">
        <v>101.46657999999999</v>
      </c>
      <c r="F136" s="29">
        <v>74.410700000000006</v>
      </c>
      <c r="G136" s="29">
        <v>77.989199999999997</v>
      </c>
      <c r="H136" s="29">
        <v>94.564499999999995</v>
      </c>
      <c r="I136" s="29">
        <v>97.553799999999995</v>
      </c>
      <c r="J136" s="29">
        <v>93.683700000000002</v>
      </c>
      <c r="K136" s="29">
        <v>93.468299999999999</v>
      </c>
      <c r="L136" s="29">
        <v>94.081999999999994</v>
      </c>
      <c r="M136" s="3">
        <v>5.42</v>
      </c>
      <c r="N136" s="3">
        <v>98.87</v>
      </c>
      <c r="O136" s="3">
        <v>100.97</v>
      </c>
      <c r="P136" s="29">
        <v>91.853700000000003</v>
      </c>
      <c r="Q136" s="29">
        <v>93.587299999999999</v>
      </c>
      <c r="R136" s="6">
        <v>27029.4</v>
      </c>
      <c r="S136" s="6">
        <v>26721.1</v>
      </c>
      <c r="T136" s="3">
        <v>99.32</v>
      </c>
      <c r="U136" s="6">
        <v>38.1</v>
      </c>
      <c r="V136" s="3">
        <v>101.9</v>
      </c>
      <c r="W136" s="29" t="e">
        <v>#N/A</v>
      </c>
      <c r="X136" s="29" t="e">
        <v>#N/A</v>
      </c>
      <c r="Y136" s="29" t="e">
        <v>#N/A</v>
      </c>
      <c r="Z136" s="29" t="e">
        <v>#N/A</v>
      </c>
      <c r="AA136" s="29" t="e">
        <v>#N/A</v>
      </c>
      <c r="AB136" s="29" t="e">
        <v>#N/A</v>
      </c>
      <c r="AC136" s="29" t="e">
        <v>#N/A</v>
      </c>
      <c r="AD136" s="29" t="e">
        <v>#N/A</v>
      </c>
      <c r="AE136" s="29" t="e">
        <v>#N/A</v>
      </c>
      <c r="AF136" s="29" t="e">
        <v>#N/A</v>
      </c>
      <c r="AG136" s="29" t="e">
        <v>#N/A</v>
      </c>
      <c r="AH136" s="29" t="e">
        <v>#N/A</v>
      </c>
      <c r="AI136" s="3">
        <v>36383.050000000003</v>
      </c>
      <c r="AJ136" s="4">
        <v>94.796000000000006</v>
      </c>
      <c r="AK136" s="4">
        <v>95.95</v>
      </c>
      <c r="AL136" s="4">
        <v>100.28700000000001</v>
      </c>
      <c r="AM136" s="4">
        <v>90.956999999999994</v>
      </c>
      <c r="AN136" s="4">
        <v>83.106999999999999</v>
      </c>
      <c r="AO136" s="5">
        <v>367312890</v>
      </c>
      <c r="AP136" s="36">
        <v>92.609531000000004</v>
      </c>
      <c r="AQ136" s="6">
        <v>91.7</v>
      </c>
      <c r="AR136" s="3">
        <v>951748.75692641002</v>
      </c>
      <c r="AS136" s="5">
        <v>2535</v>
      </c>
      <c r="AT136" s="5">
        <v>1617</v>
      </c>
      <c r="AU136" s="6">
        <v>54.8</v>
      </c>
      <c r="AV136" s="35">
        <v>50.909542580800505</v>
      </c>
      <c r="AW136" s="6">
        <v>54.6</v>
      </c>
    </row>
    <row r="137" spans="1:49" x14ac:dyDescent="0.25">
      <c r="A137" t="s">
        <v>137</v>
      </c>
      <c r="B137" s="2">
        <v>40543</v>
      </c>
      <c r="C137" s="3">
        <v>4.5</v>
      </c>
      <c r="D137" s="29">
        <v>7.1189999999999998</v>
      </c>
      <c r="E137" s="35">
        <v>101.50543999999999</v>
      </c>
      <c r="F137" s="29">
        <v>74.610799999999998</v>
      </c>
      <c r="G137" s="29">
        <v>78.199299999999994</v>
      </c>
      <c r="H137" s="29">
        <v>95.621499999999997</v>
      </c>
      <c r="I137" s="29">
        <v>98.575900000000004</v>
      </c>
      <c r="J137" s="29">
        <v>94.498800000000003</v>
      </c>
      <c r="K137" s="29">
        <v>93.794899999999998</v>
      </c>
      <c r="L137" s="29">
        <v>94.476299999999995</v>
      </c>
      <c r="M137" s="3">
        <v>5.43</v>
      </c>
      <c r="N137" s="3">
        <v>98.52</v>
      </c>
      <c r="O137" s="3">
        <v>101.08</v>
      </c>
      <c r="P137" s="29">
        <v>94.801400000000001</v>
      </c>
      <c r="Q137" s="29">
        <v>93.159300000000002</v>
      </c>
      <c r="R137" s="6">
        <v>27187</v>
      </c>
      <c r="S137" s="6">
        <v>27332.7</v>
      </c>
      <c r="T137" s="3">
        <v>99.38</v>
      </c>
      <c r="U137" s="6">
        <v>38</v>
      </c>
      <c r="V137" s="3">
        <v>101.89</v>
      </c>
      <c r="W137" s="29" t="e">
        <v>#N/A</v>
      </c>
      <c r="X137" s="29" t="e">
        <v>#N/A</v>
      </c>
      <c r="Y137" s="29" t="e">
        <v>#N/A</v>
      </c>
      <c r="Z137" s="29" t="e">
        <v>#N/A</v>
      </c>
      <c r="AA137" s="29" t="e">
        <v>#N/A</v>
      </c>
      <c r="AB137" s="29" t="e">
        <v>#N/A</v>
      </c>
      <c r="AC137" s="29" t="e">
        <v>#N/A</v>
      </c>
      <c r="AD137" s="29" t="e">
        <v>#N/A</v>
      </c>
      <c r="AE137" s="29" t="e">
        <v>#N/A</v>
      </c>
      <c r="AF137" s="29" t="e">
        <v>#N/A</v>
      </c>
      <c r="AG137" s="29" t="e">
        <v>#N/A</v>
      </c>
      <c r="AH137" s="29" t="e">
        <v>#N/A</v>
      </c>
      <c r="AI137" s="3">
        <v>37901.81</v>
      </c>
      <c r="AJ137" s="4">
        <v>95.716999999999999</v>
      </c>
      <c r="AK137" s="4">
        <v>97.123000000000005</v>
      </c>
      <c r="AL137" s="4">
        <v>103.426</v>
      </c>
      <c r="AM137" s="4">
        <v>90.876999999999995</v>
      </c>
      <c r="AN137" s="4">
        <v>79.608999999999995</v>
      </c>
      <c r="AO137" s="5">
        <v>360496100</v>
      </c>
      <c r="AP137" s="36">
        <v>93.237080000000006</v>
      </c>
      <c r="AQ137" s="6">
        <v>92.8</v>
      </c>
      <c r="AR137" s="3">
        <v>1018942.0187320523</v>
      </c>
      <c r="AS137" s="5">
        <v>2562</v>
      </c>
      <c r="AT137" s="5">
        <v>1501</v>
      </c>
      <c r="AU137" s="6">
        <v>53.5</v>
      </c>
      <c r="AV137" s="35">
        <v>46.652942782092907</v>
      </c>
      <c r="AW137" s="6">
        <v>56</v>
      </c>
    </row>
    <row r="138" spans="1:49" x14ac:dyDescent="0.25">
      <c r="A138" t="s">
        <v>138</v>
      </c>
      <c r="B138" s="2">
        <v>40574</v>
      </c>
      <c r="C138" s="3">
        <v>4.5</v>
      </c>
      <c r="D138" s="29">
        <v>7.1790000000000003</v>
      </c>
      <c r="E138" s="35">
        <v>103.25234</v>
      </c>
      <c r="F138" s="29">
        <v>74.865300000000005</v>
      </c>
      <c r="G138" s="29">
        <v>78.465999999999994</v>
      </c>
      <c r="H138" s="29">
        <v>95.526200000000003</v>
      </c>
      <c r="I138" s="29">
        <v>98.205600000000004</v>
      </c>
      <c r="J138" s="29">
        <v>95.727699999999999</v>
      </c>
      <c r="K138" s="29">
        <v>98.743600000000001</v>
      </c>
      <c r="L138" s="29">
        <v>93.971800000000002</v>
      </c>
      <c r="M138" s="3">
        <v>5.22</v>
      </c>
      <c r="N138" s="3">
        <v>100.26</v>
      </c>
      <c r="O138" s="3">
        <v>101.17</v>
      </c>
      <c r="P138" s="29">
        <v>96.457300000000004</v>
      </c>
      <c r="Q138" s="29">
        <v>94.514799999999994</v>
      </c>
      <c r="R138" s="6">
        <v>29129.1</v>
      </c>
      <c r="S138" s="6">
        <v>27874.7</v>
      </c>
      <c r="T138" s="3">
        <v>99.46</v>
      </c>
      <c r="U138" s="6">
        <v>38.1</v>
      </c>
      <c r="V138" s="3">
        <v>101.84</v>
      </c>
      <c r="W138" s="29" t="e">
        <v>#N/A</v>
      </c>
      <c r="X138" s="29" t="e">
        <v>#N/A</v>
      </c>
      <c r="Y138" s="29" t="e">
        <v>#N/A</v>
      </c>
      <c r="Z138" s="29" t="e">
        <v>#N/A</v>
      </c>
      <c r="AA138" s="29" t="e">
        <v>#N/A</v>
      </c>
      <c r="AB138" s="29" t="e">
        <v>#N/A</v>
      </c>
      <c r="AC138" s="29" t="e">
        <v>#N/A</v>
      </c>
      <c r="AD138" s="29" t="e">
        <v>#N/A</v>
      </c>
      <c r="AE138" s="29" t="e">
        <v>#N/A</v>
      </c>
      <c r="AF138" s="29" t="e">
        <v>#N/A</v>
      </c>
      <c r="AG138" s="29" t="e">
        <v>#N/A</v>
      </c>
      <c r="AH138" s="29" t="e">
        <v>#N/A</v>
      </c>
      <c r="AI138" s="3">
        <v>37925.129999999997</v>
      </c>
      <c r="AJ138" s="4">
        <v>92.763999999999996</v>
      </c>
      <c r="AK138" s="4">
        <v>93.799000000000007</v>
      </c>
      <c r="AL138" s="4">
        <v>96.29</v>
      </c>
      <c r="AM138" s="4">
        <v>91.084999999999994</v>
      </c>
      <c r="AN138" s="4">
        <v>82.616</v>
      </c>
      <c r="AO138" s="5">
        <v>361278305</v>
      </c>
      <c r="AP138" s="36">
        <v>93.402917000000002</v>
      </c>
      <c r="AQ138" s="6">
        <v>97.3</v>
      </c>
      <c r="AR138" s="3">
        <v>961220.79867751314</v>
      </c>
      <c r="AS138" s="5">
        <v>2582</v>
      </c>
      <c r="AT138" s="5">
        <v>1444</v>
      </c>
      <c r="AU138" s="6">
        <v>53.3</v>
      </c>
      <c r="AV138" s="35">
        <v>45.584038162720709</v>
      </c>
      <c r="AW138" s="6">
        <v>56.3</v>
      </c>
    </row>
    <row r="139" spans="1:49" x14ac:dyDescent="0.25">
      <c r="A139" t="s">
        <v>139</v>
      </c>
      <c r="B139" s="2">
        <v>40602</v>
      </c>
      <c r="C139" s="3">
        <v>4.5</v>
      </c>
      <c r="D139" s="29">
        <v>7.4442000000000004</v>
      </c>
      <c r="E139" s="35">
        <v>103.31417</v>
      </c>
      <c r="F139" s="29">
        <v>75.055199999999999</v>
      </c>
      <c r="G139" s="29">
        <v>78.653199999999998</v>
      </c>
      <c r="H139" s="29">
        <v>95.361099999999993</v>
      </c>
      <c r="I139" s="29">
        <v>98.554199999999994</v>
      </c>
      <c r="J139" s="29">
        <v>96.318799999999996</v>
      </c>
      <c r="K139" s="29">
        <v>94.566500000000005</v>
      </c>
      <c r="L139" s="29">
        <v>94.565600000000003</v>
      </c>
      <c r="M139" s="3">
        <v>5.34</v>
      </c>
      <c r="N139" s="3">
        <v>99.28</v>
      </c>
      <c r="O139" s="3">
        <v>101.22</v>
      </c>
      <c r="P139" s="29">
        <v>93.293700000000001</v>
      </c>
      <c r="Q139" s="29">
        <v>93.162700000000001</v>
      </c>
      <c r="R139" s="6">
        <v>27877.8</v>
      </c>
      <c r="S139" s="6">
        <v>28250.3</v>
      </c>
      <c r="T139" s="3">
        <v>99.55</v>
      </c>
      <c r="U139" s="6">
        <v>38.799999999999997</v>
      </c>
      <c r="V139" s="3">
        <v>101.75</v>
      </c>
      <c r="W139" s="29" t="e">
        <v>#N/A</v>
      </c>
      <c r="X139" s="29" t="e">
        <v>#N/A</v>
      </c>
      <c r="Y139" s="29" t="e">
        <v>#N/A</v>
      </c>
      <c r="Z139" s="29" t="e">
        <v>#N/A</v>
      </c>
      <c r="AA139" s="29" t="e">
        <v>#N/A</v>
      </c>
      <c r="AB139" s="29" t="e">
        <v>#N/A</v>
      </c>
      <c r="AC139" s="29" t="e">
        <v>#N/A</v>
      </c>
      <c r="AD139" s="29" t="e">
        <v>#N/A</v>
      </c>
      <c r="AE139" s="29" t="e">
        <v>#N/A</v>
      </c>
      <c r="AF139" s="29" t="e">
        <v>#N/A</v>
      </c>
      <c r="AG139" s="29" t="e">
        <v>#N/A</v>
      </c>
      <c r="AH139" s="29" t="e">
        <v>#N/A</v>
      </c>
      <c r="AI139" s="3">
        <v>37135.89</v>
      </c>
      <c r="AJ139" s="4">
        <v>94.331999999999994</v>
      </c>
      <c r="AK139" s="4">
        <v>95.637</v>
      </c>
      <c r="AL139" s="4">
        <v>99.869</v>
      </c>
      <c r="AM139" s="4">
        <v>91.316000000000003</v>
      </c>
      <c r="AN139" s="4">
        <v>82.575000000000003</v>
      </c>
      <c r="AO139" s="5">
        <v>356977707</v>
      </c>
      <c r="AP139" s="36">
        <v>93.498520999999997</v>
      </c>
      <c r="AQ139" s="6">
        <v>93.4</v>
      </c>
      <c r="AR139" s="3">
        <v>927494.72477388673</v>
      </c>
      <c r="AS139" s="5">
        <v>2546</v>
      </c>
      <c r="AT139" s="5">
        <v>1234</v>
      </c>
      <c r="AU139" s="6">
        <v>54.1</v>
      </c>
      <c r="AV139" s="35">
        <v>57.237091913200999</v>
      </c>
      <c r="AW139" s="6">
        <v>55.6</v>
      </c>
    </row>
    <row r="140" spans="1:49" x14ac:dyDescent="0.25">
      <c r="A140" t="s">
        <v>140</v>
      </c>
      <c r="B140" s="2">
        <v>40633</v>
      </c>
      <c r="C140" s="3">
        <v>4.5</v>
      </c>
      <c r="D140" s="29">
        <v>7.5552000000000001</v>
      </c>
      <c r="E140" s="35">
        <v>103.11157</v>
      </c>
      <c r="F140" s="29">
        <v>75.232399999999998</v>
      </c>
      <c r="G140" s="29">
        <v>78.920199999999994</v>
      </c>
      <c r="H140" s="29">
        <v>95.6785</v>
      </c>
      <c r="I140" s="29">
        <v>99.531000000000006</v>
      </c>
      <c r="J140" s="29">
        <v>97.416600000000003</v>
      </c>
      <c r="K140" s="29">
        <v>91.96</v>
      </c>
      <c r="L140" s="29">
        <v>94.852699999999999</v>
      </c>
      <c r="M140" s="3">
        <v>5.12</v>
      </c>
      <c r="N140" s="3">
        <v>99.61</v>
      </c>
      <c r="O140" s="3">
        <v>101.23</v>
      </c>
      <c r="P140" s="29">
        <v>94.502300000000005</v>
      </c>
      <c r="Q140" s="29">
        <v>93.523700000000005</v>
      </c>
      <c r="R140" s="6">
        <v>28884.1</v>
      </c>
      <c r="S140" s="6">
        <v>28430.7</v>
      </c>
      <c r="T140" s="3">
        <v>99.63</v>
      </c>
      <c r="U140" s="6">
        <v>38.5</v>
      </c>
      <c r="V140" s="3">
        <v>101.63</v>
      </c>
      <c r="W140" s="29" t="e">
        <v>#N/A</v>
      </c>
      <c r="X140" s="29" t="e">
        <v>#N/A</v>
      </c>
      <c r="Y140" s="29" t="e">
        <v>#N/A</v>
      </c>
      <c r="Z140" s="29" t="e">
        <v>#N/A</v>
      </c>
      <c r="AA140" s="29" t="e">
        <v>#N/A</v>
      </c>
      <c r="AB140" s="29" t="e">
        <v>#N/A</v>
      </c>
      <c r="AC140" s="29" t="e">
        <v>#N/A</v>
      </c>
      <c r="AD140" s="29" t="e">
        <v>#N/A</v>
      </c>
      <c r="AE140" s="29" t="e">
        <v>#N/A</v>
      </c>
      <c r="AF140" s="29" t="e">
        <v>#N/A</v>
      </c>
      <c r="AG140" s="29" t="e">
        <v>#N/A</v>
      </c>
      <c r="AH140" s="29" t="e">
        <v>#N/A</v>
      </c>
      <c r="AI140" s="3">
        <v>36483.919999999998</v>
      </c>
      <c r="AJ140" s="4">
        <v>95.093999999999994</v>
      </c>
      <c r="AK140" s="4">
        <v>96.515000000000001</v>
      </c>
      <c r="AL140" s="4">
        <v>101.39400000000001</v>
      </c>
      <c r="AM140" s="4">
        <v>91.39</v>
      </c>
      <c r="AN140" s="4">
        <v>82.506</v>
      </c>
      <c r="AO140" s="5">
        <v>408611478</v>
      </c>
      <c r="AP140" s="36">
        <v>94.052532999999997</v>
      </c>
      <c r="AQ140" s="6">
        <v>92.9</v>
      </c>
      <c r="AR140" s="3">
        <v>969555.15241624671</v>
      </c>
      <c r="AS140" s="5">
        <v>2571</v>
      </c>
      <c r="AT140" s="5">
        <v>1424</v>
      </c>
      <c r="AU140" s="6">
        <v>53.7</v>
      </c>
      <c r="AV140" s="35">
        <v>85.532765259612944</v>
      </c>
      <c r="AW140" s="6">
        <v>55.4</v>
      </c>
    </row>
    <row r="141" spans="1:49" x14ac:dyDescent="0.25">
      <c r="A141" t="s">
        <v>141</v>
      </c>
      <c r="B141" s="2">
        <v>40663</v>
      </c>
      <c r="C141" s="3">
        <v>4.5</v>
      </c>
      <c r="D141" s="29">
        <v>7.3555999999999999</v>
      </c>
      <c r="E141" s="35">
        <v>104.40703999999999</v>
      </c>
      <c r="F141" s="29">
        <v>75.375799999999998</v>
      </c>
      <c r="G141" s="29">
        <v>78.970399999999998</v>
      </c>
      <c r="H141" s="29">
        <v>96.148899999999998</v>
      </c>
      <c r="I141" s="29">
        <v>99.746700000000004</v>
      </c>
      <c r="J141" s="29">
        <v>97.959199999999996</v>
      </c>
      <c r="K141" s="29">
        <v>97.093000000000004</v>
      </c>
      <c r="L141" s="29">
        <v>94.375100000000003</v>
      </c>
      <c r="M141" s="3">
        <v>5.18</v>
      </c>
      <c r="N141" s="3">
        <v>98.98</v>
      </c>
      <c r="O141" s="3">
        <v>101.19</v>
      </c>
      <c r="P141" s="29">
        <v>95.33</v>
      </c>
      <c r="Q141" s="29">
        <v>91.472300000000004</v>
      </c>
      <c r="R141" s="6">
        <v>28491.8</v>
      </c>
      <c r="S141" s="6">
        <v>28304.9</v>
      </c>
      <c r="T141" s="3">
        <v>99.71</v>
      </c>
      <c r="U141" s="6">
        <v>37.6</v>
      </c>
      <c r="V141" s="3">
        <v>101.49</v>
      </c>
      <c r="W141" s="29">
        <v>56.251100000000001</v>
      </c>
      <c r="X141" s="29">
        <v>56.521000000000001</v>
      </c>
      <c r="Y141" s="29">
        <v>59.252699999999997</v>
      </c>
      <c r="Z141" s="29">
        <v>56.713799999999999</v>
      </c>
      <c r="AA141" s="29">
        <v>46.800899999999999</v>
      </c>
      <c r="AB141" s="29">
        <v>50.224400000000003</v>
      </c>
      <c r="AC141" s="29">
        <v>67.532700000000006</v>
      </c>
      <c r="AD141" s="29">
        <v>55.9908</v>
      </c>
      <c r="AE141" s="29">
        <v>55.595199999999998</v>
      </c>
      <c r="AF141" s="29">
        <v>57.068300000000001</v>
      </c>
      <c r="AG141" s="29">
        <v>57.298499999999997</v>
      </c>
      <c r="AH141" s="29">
        <v>54.174900000000001</v>
      </c>
      <c r="AI141" s="3">
        <v>37183.629999999997</v>
      </c>
      <c r="AJ141" s="4">
        <v>95.366</v>
      </c>
      <c r="AK141" s="4">
        <v>96.712000000000003</v>
      </c>
      <c r="AL141" s="4">
        <v>101.124</v>
      </c>
      <c r="AM141" s="4">
        <v>92.341999999999999</v>
      </c>
      <c r="AN141" s="4">
        <v>83.013999999999996</v>
      </c>
      <c r="AO141" s="5">
        <v>373236475</v>
      </c>
      <c r="AP141" s="36">
        <v>93.595827</v>
      </c>
      <c r="AQ141" s="6">
        <v>94.9</v>
      </c>
      <c r="AR141" s="3">
        <v>1033910.955986084</v>
      </c>
      <c r="AS141" s="5">
        <v>2568</v>
      </c>
      <c r="AT141" s="5">
        <v>1223</v>
      </c>
      <c r="AU141" s="6">
        <v>53.3</v>
      </c>
      <c r="AV141" s="35">
        <v>62.086769639674564</v>
      </c>
      <c r="AW141" s="6">
        <v>55.6</v>
      </c>
    </row>
    <row r="142" spans="1:49" x14ac:dyDescent="0.25">
      <c r="A142" t="s">
        <v>142</v>
      </c>
      <c r="B142" s="2">
        <v>40694</v>
      </c>
      <c r="C142" s="3">
        <v>4.5</v>
      </c>
      <c r="D142" s="29">
        <v>7.1105999999999998</v>
      </c>
      <c r="E142" s="35">
        <v>103.78578</v>
      </c>
      <c r="F142" s="29">
        <v>75.470699999999994</v>
      </c>
      <c r="G142" s="29">
        <v>79.193200000000004</v>
      </c>
      <c r="H142" s="29">
        <v>96.962299999999999</v>
      </c>
      <c r="I142" s="29">
        <v>99.367599999999996</v>
      </c>
      <c r="J142" s="29">
        <v>97.209400000000002</v>
      </c>
      <c r="K142" s="29">
        <v>97.258099999999999</v>
      </c>
      <c r="L142" s="29">
        <v>95.421999999999997</v>
      </c>
      <c r="M142" s="3">
        <v>5.35</v>
      </c>
      <c r="N142" s="3">
        <v>99.41</v>
      </c>
      <c r="O142" s="3">
        <v>101.1</v>
      </c>
      <c r="P142" s="29">
        <v>95.507900000000006</v>
      </c>
      <c r="Q142" s="29">
        <v>92.837999999999994</v>
      </c>
      <c r="R142" s="6">
        <v>29418.3</v>
      </c>
      <c r="S142" s="6">
        <v>29354.7</v>
      </c>
      <c r="T142" s="3">
        <v>99.79</v>
      </c>
      <c r="U142" s="6">
        <v>37.700000000000003</v>
      </c>
      <c r="V142" s="3">
        <v>101.35</v>
      </c>
      <c r="W142" s="29">
        <v>54.552500000000002</v>
      </c>
      <c r="X142" s="29">
        <v>57.455300000000001</v>
      </c>
      <c r="Y142" s="29">
        <v>56.394100000000002</v>
      </c>
      <c r="Z142" s="29">
        <v>53.74</v>
      </c>
      <c r="AA142" s="29">
        <v>49.47</v>
      </c>
      <c r="AB142" s="29">
        <v>49.429200000000002</v>
      </c>
      <c r="AC142" s="29">
        <v>58.466200000000001</v>
      </c>
      <c r="AD142" s="29">
        <v>55.165900000000001</v>
      </c>
      <c r="AE142" s="29">
        <v>51.955599999999997</v>
      </c>
      <c r="AF142" s="29">
        <v>56.117100000000001</v>
      </c>
      <c r="AG142" s="29">
        <v>56.720100000000002</v>
      </c>
      <c r="AH142" s="29">
        <v>49.707599999999999</v>
      </c>
      <c r="AI142" s="3">
        <v>35467.57</v>
      </c>
      <c r="AJ142" s="4">
        <v>95.631</v>
      </c>
      <c r="AK142" s="4">
        <v>96.921999999999997</v>
      </c>
      <c r="AL142" s="4">
        <v>101.706</v>
      </c>
      <c r="AM142" s="4">
        <v>92.531999999999996</v>
      </c>
      <c r="AN142" s="4">
        <v>86.132000000000005</v>
      </c>
      <c r="AO142" s="5">
        <v>393306502</v>
      </c>
      <c r="AP142" s="36">
        <v>94.506471000000005</v>
      </c>
      <c r="AQ142" s="6">
        <v>96.9</v>
      </c>
      <c r="AR142" s="3">
        <v>979045.51500930323</v>
      </c>
      <c r="AS142" s="5">
        <v>2557</v>
      </c>
      <c r="AT142" s="5">
        <v>1368</v>
      </c>
      <c r="AU142" s="6">
        <v>54.6</v>
      </c>
      <c r="AV142" s="35">
        <v>44.460990644478485</v>
      </c>
      <c r="AW142" s="6">
        <v>55.7</v>
      </c>
    </row>
    <row r="143" spans="1:49" x14ac:dyDescent="0.25">
      <c r="A143" t="s">
        <v>143</v>
      </c>
      <c r="B143" s="2">
        <v>40724</v>
      </c>
      <c r="C143" s="3">
        <v>4.5</v>
      </c>
      <c r="D143" s="29">
        <v>6.9493</v>
      </c>
      <c r="E143" s="35">
        <v>102.19238</v>
      </c>
      <c r="F143" s="29">
        <v>75.611699999999999</v>
      </c>
      <c r="G143" s="29">
        <v>79.407899999999998</v>
      </c>
      <c r="H143" s="29">
        <v>97.878500000000003</v>
      </c>
      <c r="I143" s="29">
        <v>99.739400000000003</v>
      </c>
      <c r="J143" s="29">
        <v>97.929500000000004</v>
      </c>
      <c r="K143" s="29">
        <v>103.1896</v>
      </c>
      <c r="L143" s="29">
        <v>94.977900000000005</v>
      </c>
      <c r="M143" s="3">
        <v>5.51</v>
      </c>
      <c r="N143" s="3">
        <v>99.39</v>
      </c>
      <c r="O143" s="3">
        <v>100.95</v>
      </c>
      <c r="P143" s="29">
        <v>95.555400000000006</v>
      </c>
      <c r="Q143" s="29">
        <v>93.912899999999993</v>
      </c>
      <c r="R143" s="6">
        <v>29507.599999999999</v>
      </c>
      <c r="S143" s="6">
        <v>30199.4</v>
      </c>
      <c r="T143" s="3">
        <v>99.86</v>
      </c>
      <c r="U143" s="6">
        <v>38.5</v>
      </c>
      <c r="V143" s="3">
        <v>101.2</v>
      </c>
      <c r="W143" s="29">
        <v>55.315100000000001</v>
      </c>
      <c r="X143" s="29">
        <v>58.052399999999999</v>
      </c>
      <c r="Y143" s="29">
        <v>57.9617</v>
      </c>
      <c r="Z143" s="29">
        <v>54.878700000000002</v>
      </c>
      <c r="AA143" s="29">
        <v>50.5274</v>
      </c>
      <c r="AB143" s="29">
        <v>50.168399999999998</v>
      </c>
      <c r="AC143" s="29">
        <v>57.395699999999998</v>
      </c>
      <c r="AD143" s="29">
        <v>54.839599999999997</v>
      </c>
      <c r="AE143" s="29">
        <v>52.358600000000003</v>
      </c>
      <c r="AF143" s="29">
        <v>54.484200000000001</v>
      </c>
      <c r="AG143" s="29">
        <v>53.853099999999998</v>
      </c>
      <c r="AH143" s="29">
        <v>50.518900000000002</v>
      </c>
      <c r="AI143" s="3">
        <v>35363.35</v>
      </c>
      <c r="AJ143" s="4">
        <v>95.813000000000002</v>
      </c>
      <c r="AK143" s="4">
        <v>97.001999999999995</v>
      </c>
      <c r="AL143" s="4">
        <v>101.599</v>
      </c>
      <c r="AM143" s="4">
        <v>92.816000000000003</v>
      </c>
      <c r="AN143" s="4">
        <v>85.59</v>
      </c>
      <c r="AO143" s="5">
        <v>398938821</v>
      </c>
      <c r="AP143" s="36">
        <v>95.085528999999994</v>
      </c>
      <c r="AQ143" s="6">
        <v>101.2</v>
      </c>
      <c r="AR143" s="3">
        <v>986772.58648334723</v>
      </c>
      <c r="AS143" s="5">
        <v>2555</v>
      </c>
      <c r="AT143" s="5">
        <v>1425</v>
      </c>
      <c r="AU143" s="6">
        <v>54</v>
      </c>
      <c r="AV143" s="35">
        <v>66.077498679104124</v>
      </c>
      <c r="AW143" s="6">
        <v>56.3</v>
      </c>
    </row>
    <row r="144" spans="1:49" x14ac:dyDescent="0.25">
      <c r="A144" t="s">
        <v>144</v>
      </c>
      <c r="B144" s="2">
        <v>40755</v>
      </c>
      <c r="C144" s="3">
        <v>4.5</v>
      </c>
      <c r="D144" s="29">
        <v>6.8364000000000003</v>
      </c>
      <c r="E144" s="35">
        <v>103.35239</v>
      </c>
      <c r="F144" s="29">
        <v>75.964600000000004</v>
      </c>
      <c r="G144" s="29">
        <v>79.622900000000001</v>
      </c>
      <c r="H144" s="29">
        <v>97.835599999999999</v>
      </c>
      <c r="I144" s="29">
        <v>99.568200000000004</v>
      </c>
      <c r="J144" s="29">
        <v>97.393900000000002</v>
      </c>
      <c r="K144" s="29">
        <v>99.070899999999995</v>
      </c>
      <c r="L144" s="29">
        <v>96.0197</v>
      </c>
      <c r="M144" s="3">
        <v>5.32</v>
      </c>
      <c r="N144" s="3">
        <v>99.28</v>
      </c>
      <c r="O144" s="3">
        <v>100.76</v>
      </c>
      <c r="P144" s="29">
        <v>94.862099999999998</v>
      </c>
      <c r="Q144" s="29">
        <v>92.294200000000004</v>
      </c>
      <c r="R144" s="6">
        <v>29310.400000000001</v>
      </c>
      <c r="S144" s="6">
        <v>30009.8</v>
      </c>
      <c r="T144" s="3">
        <v>99.92</v>
      </c>
      <c r="U144" s="6">
        <v>38.9</v>
      </c>
      <c r="V144" s="3">
        <v>101.05</v>
      </c>
      <c r="W144" s="29">
        <v>54.7331</v>
      </c>
      <c r="X144" s="29">
        <v>55.9985</v>
      </c>
      <c r="Y144" s="29">
        <v>56.870800000000003</v>
      </c>
      <c r="Z144" s="29">
        <v>53.595500000000001</v>
      </c>
      <c r="AA144" s="29">
        <v>48.738900000000001</v>
      </c>
      <c r="AB144" s="29">
        <v>52.6402</v>
      </c>
      <c r="AC144" s="29">
        <v>57.235199999999999</v>
      </c>
      <c r="AD144" s="29">
        <v>55.749200000000002</v>
      </c>
      <c r="AE144" s="29">
        <v>53.374000000000002</v>
      </c>
      <c r="AF144" s="29">
        <v>52.134</v>
      </c>
      <c r="AG144" s="29">
        <v>56.000399999999999</v>
      </c>
      <c r="AH144" s="29">
        <v>50.009599999999999</v>
      </c>
      <c r="AI144" s="3">
        <v>36070.25</v>
      </c>
      <c r="AJ144" s="4">
        <v>96.460999999999999</v>
      </c>
      <c r="AK144" s="4">
        <v>97.84</v>
      </c>
      <c r="AL144" s="4">
        <v>102.23099999999999</v>
      </c>
      <c r="AM144" s="4">
        <v>93.311999999999998</v>
      </c>
      <c r="AN144" s="4">
        <v>84.823999999999998</v>
      </c>
      <c r="AO144" s="5">
        <v>389875176</v>
      </c>
      <c r="AP144" s="36">
        <v>95.494906</v>
      </c>
      <c r="AQ144" s="6">
        <v>98.8</v>
      </c>
      <c r="AR144" s="3">
        <v>986251.05608078558</v>
      </c>
      <c r="AS144" s="5">
        <v>2556</v>
      </c>
      <c r="AT144" s="5">
        <v>1223</v>
      </c>
      <c r="AU144" s="6">
        <v>53.5</v>
      </c>
      <c r="AV144" s="35">
        <v>85.261067531781478</v>
      </c>
      <c r="AW144" s="6">
        <v>55.7</v>
      </c>
    </row>
    <row r="145" spans="1:49" x14ac:dyDescent="0.25">
      <c r="A145" t="s">
        <v>145</v>
      </c>
      <c r="B145" s="2">
        <v>40786</v>
      </c>
      <c r="C145" s="3">
        <v>4.5</v>
      </c>
      <c r="D145" s="29">
        <v>6.1391</v>
      </c>
      <c r="E145" s="35">
        <v>98.348259999999996</v>
      </c>
      <c r="F145" s="29">
        <v>76.120900000000006</v>
      </c>
      <c r="G145" s="29">
        <v>79.808999999999997</v>
      </c>
      <c r="H145" s="29">
        <v>97.751099999999994</v>
      </c>
      <c r="I145" s="29">
        <v>99.696899999999999</v>
      </c>
      <c r="J145" s="29">
        <v>97.521299999999997</v>
      </c>
      <c r="K145" s="29">
        <v>100.3201</v>
      </c>
      <c r="L145" s="29">
        <v>95.644199999999998</v>
      </c>
      <c r="M145" s="3">
        <v>5.4</v>
      </c>
      <c r="N145" s="3">
        <v>100.66</v>
      </c>
      <c r="O145" s="3">
        <v>100.55</v>
      </c>
      <c r="P145" s="29">
        <v>95.461399999999998</v>
      </c>
      <c r="Q145" s="29">
        <v>96.832099999999997</v>
      </c>
      <c r="R145" s="6">
        <v>29048</v>
      </c>
      <c r="S145" s="6">
        <v>29257.5</v>
      </c>
      <c r="T145" s="3">
        <v>99.99</v>
      </c>
      <c r="U145" s="6">
        <v>38.4</v>
      </c>
      <c r="V145" s="3">
        <v>100.89</v>
      </c>
      <c r="W145" s="29">
        <v>51.741999999999997</v>
      </c>
      <c r="X145" s="29">
        <v>52.434100000000001</v>
      </c>
      <c r="Y145" s="29">
        <v>53.327199999999998</v>
      </c>
      <c r="Z145" s="29">
        <v>50.267099999999999</v>
      </c>
      <c r="AA145" s="29">
        <v>49.7151</v>
      </c>
      <c r="AB145" s="29">
        <v>50.392000000000003</v>
      </c>
      <c r="AC145" s="29">
        <v>58.105400000000003</v>
      </c>
      <c r="AD145" s="29">
        <v>52.575099999999999</v>
      </c>
      <c r="AE145" s="29">
        <v>51.884300000000003</v>
      </c>
      <c r="AF145" s="29">
        <v>49.240900000000003</v>
      </c>
      <c r="AG145" s="29">
        <v>53.639800000000001</v>
      </c>
      <c r="AH145" s="29">
        <v>49.676600000000001</v>
      </c>
      <c r="AI145" s="3">
        <v>33928.19</v>
      </c>
      <c r="AJ145" s="4">
        <v>97.063999999999993</v>
      </c>
      <c r="AK145" s="4">
        <v>98.17</v>
      </c>
      <c r="AL145" s="4">
        <v>102.53700000000001</v>
      </c>
      <c r="AM145" s="4">
        <v>93.709000000000003</v>
      </c>
      <c r="AN145" s="4">
        <v>86.224999999999994</v>
      </c>
      <c r="AO145" s="5">
        <v>411387349</v>
      </c>
      <c r="AP145" s="36">
        <v>96.086048000000005</v>
      </c>
      <c r="AQ145" s="6">
        <v>100.3</v>
      </c>
      <c r="AR145" s="3">
        <v>979365.78699480509</v>
      </c>
      <c r="AS145" s="5">
        <v>2563</v>
      </c>
      <c r="AT145" s="5">
        <v>1439</v>
      </c>
      <c r="AU145" s="6">
        <v>53.4</v>
      </c>
      <c r="AV145" s="35">
        <v>103.44681286657746</v>
      </c>
      <c r="AW145" s="6">
        <v>55</v>
      </c>
    </row>
    <row r="146" spans="1:49" x14ac:dyDescent="0.25">
      <c r="A146" t="s">
        <v>146</v>
      </c>
      <c r="B146" s="2">
        <v>40816</v>
      </c>
      <c r="C146" s="3">
        <v>4.5</v>
      </c>
      <c r="D146" s="29">
        <v>6.2332999999999998</v>
      </c>
      <c r="E146" s="35">
        <v>93.184489999999997</v>
      </c>
      <c r="F146" s="29">
        <v>76.189599999999999</v>
      </c>
      <c r="G146" s="29">
        <v>79.988299999999995</v>
      </c>
      <c r="H146" s="29">
        <v>97.186300000000003</v>
      </c>
      <c r="I146" s="29">
        <v>97.929699999999997</v>
      </c>
      <c r="J146" s="29">
        <v>97.837500000000006</v>
      </c>
      <c r="K146" s="29">
        <v>99.367999999999995</v>
      </c>
      <c r="L146" s="29">
        <v>96.203699999999998</v>
      </c>
      <c r="M146" s="3">
        <v>5.31</v>
      </c>
      <c r="N146" s="3">
        <v>100.5</v>
      </c>
      <c r="O146" s="3">
        <v>100.36</v>
      </c>
      <c r="P146" s="29">
        <v>96.504900000000006</v>
      </c>
      <c r="Q146" s="29">
        <v>99.906499999999994</v>
      </c>
      <c r="R146" s="6">
        <v>29106.7</v>
      </c>
      <c r="S146" s="6">
        <v>30157.599999999999</v>
      </c>
      <c r="T146" s="3">
        <v>100.06</v>
      </c>
      <c r="U146" s="6">
        <v>38.1</v>
      </c>
      <c r="V146" s="3">
        <v>100.76</v>
      </c>
      <c r="W146" s="29">
        <v>53.033200000000001</v>
      </c>
      <c r="X146" s="29">
        <v>54.545900000000003</v>
      </c>
      <c r="Y146" s="29">
        <v>55.04</v>
      </c>
      <c r="Z146" s="29">
        <v>50.4514</v>
      </c>
      <c r="AA146" s="29">
        <v>48.195399999999999</v>
      </c>
      <c r="AB146" s="29">
        <v>50.237200000000001</v>
      </c>
      <c r="AC146" s="29">
        <v>62.676099999999998</v>
      </c>
      <c r="AD146" s="29">
        <v>54.5002</v>
      </c>
      <c r="AE146" s="29">
        <v>52.618699999999997</v>
      </c>
      <c r="AF146" s="29">
        <v>52.489100000000001</v>
      </c>
      <c r="AG146" s="29">
        <v>55.729399999999998</v>
      </c>
      <c r="AH146" s="29">
        <v>49.379399999999997</v>
      </c>
      <c r="AI146" s="3">
        <v>34122.879999999997</v>
      </c>
      <c r="AJ146" s="4">
        <v>97.644000000000005</v>
      </c>
      <c r="AK146" s="4">
        <v>98.853999999999999</v>
      </c>
      <c r="AL146" s="4">
        <v>103.136</v>
      </c>
      <c r="AM146" s="4">
        <v>94.478999999999999</v>
      </c>
      <c r="AN146" s="4">
        <v>86.974999999999994</v>
      </c>
      <c r="AO146" s="5">
        <v>414577624</v>
      </c>
      <c r="AP146" s="36">
        <v>96.186543</v>
      </c>
      <c r="AQ146" s="6">
        <v>99.2</v>
      </c>
      <c r="AR146" s="3">
        <v>994897.17107402312</v>
      </c>
      <c r="AS146" s="5">
        <v>2488</v>
      </c>
      <c r="AT146" s="5">
        <v>1242</v>
      </c>
      <c r="AU146" s="6">
        <v>53.1</v>
      </c>
      <c r="AV146" s="35">
        <v>78.71412343976256</v>
      </c>
      <c r="AW146" s="6">
        <v>51.9</v>
      </c>
    </row>
    <row r="147" spans="1:49" x14ac:dyDescent="0.25">
      <c r="A147" t="s">
        <v>147</v>
      </c>
      <c r="B147" s="2">
        <v>40847</v>
      </c>
      <c r="C147" s="3">
        <v>4.5</v>
      </c>
      <c r="D147" s="29">
        <v>6.3552999999999997</v>
      </c>
      <c r="E147" s="35">
        <v>91.371420000000001</v>
      </c>
      <c r="F147" s="29">
        <v>76.569900000000004</v>
      </c>
      <c r="G147" s="29">
        <v>80.214299999999994</v>
      </c>
      <c r="H147" s="29">
        <v>99.094399999999993</v>
      </c>
      <c r="I147" s="29">
        <v>101.12690000000001</v>
      </c>
      <c r="J147" s="29">
        <v>97.518699999999995</v>
      </c>
      <c r="K147" s="29">
        <v>101.2516</v>
      </c>
      <c r="L147" s="29">
        <v>97.110500000000002</v>
      </c>
      <c r="M147" s="3">
        <v>4.83</v>
      </c>
      <c r="N147" s="3">
        <v>100.6</v>
      </c>
      <c r="O147" s="3">
        <v>100.25</v>
      </c>
      <c r="P147" s="29">
        <v>96.94</v>
      </c>
      <c r="Q147" s="29">
        <v>98.325199999999995</v>
      </c>
      <c r="R147" s="6">
        <v>29228.5</v>
      </c>
      <c r="S147" s="6">
        <v>29451.5</v>
      </c>
      <c r="T147" s="3">
        <v>100.14</v>
      </c>
      <c r="U147" s="6">
        <v>38.4</v>
      </c>
      <c r="V147" s="3">
        <v>100.66</v>
      </c>
      <c r="W147" s="29">
        <v>54.6616</v>
      </c>
      <c r="X147" s="29">
        <v>56.704099999999997</v>
      </c>
      <c r="Y147" s="29">
        <v>56.820700000000002</v>
      </c>
      <c r="Z147" s="29">
        <v>52.630200000000002</v>
      </c>
      <c r="AA147" s="29">
        <v>48.372900000000001</v>
      </c>
      <c r="AB147" s="29">
        <v>51.692500000000003</v>
      </c>
      <c r="AC147" s="29">
        <v>72.3583</v>
      </c>
      <c r="AD147" s="29">
        <v>55.301000000000002</v>
      </c>
      <c r="AE147" s="29">
        <v>51.224499999999999</v>
      </c>
      <c r="AF147" s="29">
        <v>51.937100000000001</v>
      </c>
      <c r="AG147" s="29">
        <v>59.362699999999997</v>
      </c>
      <c r="AH147" s="29">
        <v>52.037399999999998</v>
      </c>
      <c r="AI147" s="3">
        <v>34550.71</v>
      </c>
      <c r="AJ147" s="4">
        <v>97.480999999999995</v>
      </c>
      <c r="AK147" s="4">
        <v>98.914000000000001</v>
      </c>
      <c r="AL147" s="4">
        <v>102.575</v>
      </c>
      <c r="AM147" s="4">
        <v>94.884</v>
      </c>
      <c r="AN147" s="4">
        <v>85.766999999999996</v>
      </c>
      <c r="AO147" s="5">
        <v>431312863</v>
      </c>
      <c r="AP147" s="36">
        <v>96.224998999999997</v>
      </c>
      <c r="AQ147" s="6">
        <v>100.5</v>
      </c>
      <c r="AR147" s="3">
        <v>961602.22315612668</v>
      </c>
      <c r="AS147" s="5">
        <v>2545</v>
      </c>
      <c r="AT147" s="5">
        <v>1375</v>
      </c>
      <c r="AU147" s="6">
        <v>53.1</v>
      </c>
      <c r="AV147" s="35">
        <v>44.420548418464278</v>
      </c>
      <c r="AW147" s="6">
        <v>54.3</v>
      </c>
    </row>
    <row r="148" spans="1:49" x14ac:dyDescent="0.25">
      <c r="A148" t="s">
        <v>148</v>
      </c>
      <c r="B148" s="2">
        <v>40877</v>
      </c>
      <c r="C148" s="3">
        <v>4.5</v>
      </c>
      <c r="D148" s="29">
        <v>6.34</v>
      </c>
      <c r="E148" s="35">
        <v>90.832409999999996</v>
      </c>
      <c r="F148" s="29">
        <v>76.995199999999997</v>
      </c>
      <c r="G148" s="29">
        <v>80.548699999999997</v>
      </c>
      <c r="H148" s="29">
        <v>99.790099999999995</v>
      </c>
      <c r="I148" s="29">
        <v>100.78879999999999</v>
      </c>
      <c r="J148" s="29">
        <v>97.429599999999994</v>
      </c>
      <c r="K148" s="29">
        <v>103.11579999999999</v>
      </c>
      <c r="L148" s="29">
        <v>98.072400000000002</v>
      </c>
      <c r="M148" s="3">
        <v>5.08</v>
      </c>
      <c r="N148" s="3">
        <v>100.25</v>
      </c>
      <c r="O148" s="3">
        <v>100.21</v>
      </c>
      <c r="P148" s="29">
        <v>96.622500000000002</v>
      </c>
      <c r="Q148" s="29">
        <v>99.475099999999998</v>
      </c>
      <c r="R148" s="6">
        <v>29702.1</v>
      </c>
      <c r="S148" s="6">
        <v>29867.5</v>
      </c>
      <c r="T148" s="3">
        <v>100.22</v>
      </c>
      <c r="U148" s="6">
        <v>38.299999999999997</v>
      </c>
      <c r="V148" s="3">
        <v>100.59</v>
      </c>
      <c r="W148" s="29">
        <v>53.737499999999997</v>
      </c>
      <c r="X148" s="29">
        <v>55.7727</v>
      </c>
      <c r="Y148" s="29">
        <v>55.585900000000002</v>
      </c>
      <c r="Z148" s="29">
        <v>52.116900000000001</v>
      </c>
      <c r="AA148" s="29">
        <v>48.418100000000003</v>
      </c>
      <c r="AB148" s="29">
        <v>49.578600000000002</v>
      </c>
      <c r="AC148" s="29">
        <v>67.167299999999997</v>
      </c>
      <c r="AD148" s="29">
        <v>54.847900000000003</v>
      </c>
      <c r="AE148" s="29">
        <v>52.238399999999999</v>
      </c>
      <c r="AF148" s="29">
        <v>49.353099999999998</v>
      </c>
      <c r="AG148" s="29">
        <v>58.198300000000003</v>
      </c>
      <c r="AH148" s="29">
        <v>51.177700000000002</v>
      </c>
      <c r="AI148" s="3">
        <v>36345.82</v>
      </c>
      <c r="AJ148" s="4">
        <v>97.043999999999997</v>
      </c>
      <c r="AK148" s="4">
        <v>98.364000000000004</v>
      </c>
      <c r="AL148" s="4">
        <v>102.244</v>
      </c>
      <c r="AM148" s="4">
        <v>93.736000000000004</v>
      </c>
      <c r="AN148" s="4">
        <v>84.114000000000004</v>
      </c>
      <c r="AO148" s="5">
        <v>429796616</v>
      </c>
      <c r="AP148" s="36">
        <v>97.128788999999998</v>
      </c>
      <c r="AQ148" s="6">
        <v>102.7</v>
      </c>
      <c r="AR148" s="3">
        <v>1001616.373749795</v>
      </c>
      <c r="AS148" s="5">
        <v>2545</v>
      </c>
      <c r="AT148" s="5">
        <v>1362</v>
      </c>
      <c r="AU148" s="6">
        <v>53.8</v>
      </c>
      <c r="AV148" s="35">
        <v>89.352944739986825</v>
      </c>
      <c r="AW148" s="6">
        <v>55.7</v>
      </c>
    </row>
    <row r="149" spans="1:49" x14ac:dyDescent="0.25">
      <c r="A149" t="s">
        <v>149</v>
      </c>
      <c r="B149" s="2">
        <v>40908</v>
      </c>
      <c r="C149" s="3">
        <v>4.5</v>
      </c>
      <c r="D149" s="29">
        <v>6.4465000000000003</v>
      </c>
      <c r="E149" s="35">
        <v>91.307100000000005</v>
      </c>
      <c r="F149" s="29">
        <v>77.468900000000005</v>
      </c>
      <c r="G149" s="29">
        <v>80.820800000000006</v>
      </c>
      <c r="H149" s="29">
        <v>100.2423</v>
      </c>
      <c r="I149" s="29">
        <v>100.523</v>
      </c>
      <c r="J149" s="29">
        <v>99.953400000000002</v>
      </c>
      <c r="K149" s="29">
        <v>102.60599999999999</v>
      </c>
      <c r="L149" s="29">
        <v>98.351500000000001</v>
      </c>
      <c r="M149" s="3">
        <v>5.03</v>
      </c>
      <c r="N149" s="3">
        <v>100.3</v>
      </c>
      <c r="O149" s="3">
        <v>100.23</v>
      </c>
      <c r="P149" s="29">
        <v>98.309700000000007</v>
      </c>
      <c r="Q149" s="29">
        <v>101.6268</v>
      </c>
      <c r="R149" s="6">
        <v>30161.4</v>
      </c>
      <c r="S149" s="6">
        <v>30243.4</v>
      </c>
      <c r="T149" s="3">
        <v>100.28</v>
      </c>
      <c r="U149" s="6">
        <v>37.6</v>
      </c>
      <c r="V149" s="3">
        <v>100.54</v>
      </c>
      <c r="W149" s="29">
        <v>53.140500000000003</v>
      </c>
      <c r="X149" s="29">
        <v>54.931800000000003</v>
      </c>
      <c r="Y149" s="29">
        <v>55.325800000000001</v>
      </c>
      <c r="Z149" s="29">
        <v>51.430999999999997</v>
      </c>
      <c r="AA149" s="29">
        <v>49.532899999999998</v>
      </c>
      <c r="AB149" s="29">
        <v>49.535800000000002</v>
      </c>
      <c r="AC149" s="29">
        <v>62.287500000000001</v>
      </c>
      <c r="AD149" s="29">
        <v>52.9968</v>
      </c>
      <c r="AE149" s="29">
        <v>52.4176</v>
      </c>
      <c r="AF149" s="29">
        <v>52.240900000000003</v>
      </c>
      <c r="AG149" s="29">
        <v>55.5471</v>
      </c>
      <c r="AH149" s="29">
        <v>50.166499999999999</v>
      </c>
      <c r="AI149" s="3">
        <v>36702.269999999997</v>
      </c>
      <c r="AJ149" s="4">
        <v>98.480999999999995</v>
      </c>
      <c r="AK149" s="4">
        <v>99.301000000000002</v>
      </c>
      <c r="AL149" s="4">
        <v>102.827</v>
      </c>
      <c r="AM149" s="4">
        <v>95.974999999999994</v>
      </c>
      <c r="AN149" s="4">
        <v>89.519000000000005</v>
      </c>
      <c r="AO149" s="5">
        <v>413618941</v>
      </c>
      <c r="AP149" s="36">
        <v>96.816799000000003</v>
      </c>
      <c r="AQ149" s="6">
        <v>104.3</v>
      </c>
      <c r="AR149" s="3">
        <v>1063759.1354570994</v>
      </c>
      <c r="AS149" s="5">
        <v>2544</v>
      </c>
      <c r="AT149" s="5">
        <v>1281</v>
      </c>
      <c r="AU149" s="6">
        <v>54.2</v>
      </c>
      <c r="AV149" s="35">
        <v>49.9267302428918</v>
      </c>
      <c r="AW149" s="6">
        <v>54.2</v>
      </c>
    </row>
    <row r="150" spans="1:49" x14ac:dyDescent="0.25">
      <c r="A150" t="s">
        <v>150</v>
      </c>
      <c r="B150" s="2">
        <v>40939</v>
      </c>
      <c r="C150" s="3">
        <v>4.5</v>
      </c>
      <c r="D150" s="29">
        <v>6.2023000000000001</v>
      </c>
      <c r="E150" s="35">
        <v>94.198989999999995</v>
      </c>
      <c r="F150" s="29">
        <v>77.890699999999995</v>
      </c>
      <c r="G150" s="29">
        <v>81.096999999999994</v>
      </c>
      <c r="H150" s="29">
        <v>99.274199999999993</v>
      </c>
      <c r="I150" s="29">
        <v>98.197999999999993</v>
      </c>
      <c r="J150" s="29">
        <v>97.682500000000005</v>
      </c>
      <c r="K150" s="29">
        <v>101.8951</v>
      </c>
      <c r="L150" s="29">
        <v>98.980599999999995</v>
      </c>
      <c r="M150" s="3">
        <v>4.7</v>
      </c>
      <c r="N150" s="3">
        <v>100.31</v>
      </c>
      <c r="O150" s="3">
        <v>100.29</v>
      </c>
      <c r="P150" s="29">
        <v>98.555800000000005</v>
      </c>
      <c r="Q150" s="29">
        <v>102.93729999999999</v>
      </c>
      <c r="R150" s="6">
        <v>30977.3</v>
      </c>
      <c r="S150" s="6">
        <v>30412.9</v>
      </c>
      <c r="T150" s="3">
        <v>100.33</v>
      </c>
      <c r="U150" s="6">
        <v>39.1</v>
      </c>
      <c r="V150" s="3">
        <v>100.5</v>
      </c>
      <c r="W150" s="29">
        <v>52.182499999999997</v>
      </c>
      <c r="X150" s="29">
        <v>53.141100000000002</v>
      </c>
      <c r="Y150" s="29">
        <v>54.288899999999998</v>
      </c>
      <c r="Z150" s="29">
        <v>50.073</v>
      </c>
      <c r="AA150" s="29">
        <v>48.397599999999997</v>
      </c>
      <c r="AB150" s="29">
        <v>48.556199999999997</v>
      </c>
      <c r="AC150" s="29">
        <v>61.863199999999999</v>
      </c>
      <c r="AD150" s="29">
        <v>53.533200000000001</v>
      </c>
      <c r="AE150" s="29">
        <v>49.202500000000001</v>
      </c>
      <c r="AF150" s="29">
        <v>51.053899999999999</v>
      </c>
      <c r="AG150" s="29">
        <v>53.3249</v>
      </c>
      <c r="AH150" s="29">
        <v>49.672600000000003</v>
      </c>
      <c r="AI150" s="3">
        <v>37160.11</v>
      </c>
      <c r="AJ150" s="4">
        <v>98.478999999999999</v>
      </c>
      <c r="AK150" s="4">
        <v>99.263000000000005</v>
      </c>
      <c r="AL150" s="4">
        <v>102.38200000000001</v>
      </c>
      <c r="AM150" s="4">
        <v>95.844999999999999</v>
      </c>
      <c r="AN150" s="4">
        <v>90.207999999999998</v>
      </c>
      <c r="AO150" s="5">
        <v>426787598</v>
      </c>
      <c r="AP150" s="36">
        <v>97.305284</v>
      </c>
      <c r="AQ150" s="6">
        <v>103</v>
      </c>
      <c r="AR150" s="3">
        <v>982165.3480965643</v>
      </c>
      <c r="AS150" s="5">
        <v>2518</v>
      </c>
      <c r="AT150" s="5">
        <v>1191</v>
      </c>
      <c r="AU150" s="6">
        <v>54.8</v>
      </c>
      <c r="AV150" s="35">
        <v>54.289175805595136</v>
      </c>
      <c r="AW150" s="6">
        <v>53.5</v>
      </c>
    </row>
    <row r="151" spans="1:49" x14ac:dyDescent="0.25">
      <c r="A151" t="s">
        <v>151</v>
      </c>
      <c r="B151" s="2">
        <v>40968</v>
      </c>
      <c r="C151" s="3">
        <v>4.5</v>
      </c>
      <c r="D151" s="29">
        <v>6.2275999999999998</v>
      </c>
      <c r="E151" s="35">
        <v>97.981999999999999</v>
      </c>
      <c r="F151" s="29">
        <v>77.944400000000002</v>
      </c>
      <c r="G151" s="29">
        <v>81.293099999999995</v>
      </c>
      <c r="H151" s="29">
        <v>99.416200000000003</v>
      </c>
      <c r="I151" s="29">
        <v>99.665000000000006</v>
      </c>
      <c r="J151" s="29">
        <v>98.830299999999994</v>
      </c>
      <c r="K151" s="29">
        <v>100.1298</v>
      </c>
      <c r="L151" s="29">
        <v>99.104799999999997</v>
      </c>
      <c r="M151" s="3">
        <v>5.36</v>
      </c>
      <c r="N151" s="3">
        <v>100.41</v>
      </c>
      <c r="O151" s="3">
        <v>100.34</v>
      </c>
      <c r="P151" s="29">
        <v>99.141999999999996</v>
      </c>
      <c r="Q151" s="29">
        <v>101.2218</v>
      </c>
      <c r="R151" s="6">
        <v>31198.400000000001</v>
      </c>
      <c r="S151" s="6">
        <v>31313.200000000001</v>
      </c>
      <c r="T151" s="3">
        <v>100.36</v>
      </c>
      <c r="U151" s="6">
        <v>39.5</v>
      </c>
      <c r="V151" s="3">
        <v>100.46</v>
      </c>
      <c r="W151" s="29">
        <v>53.665300000000002</v>
      </c>
      <c r="X151" s="29">
        <v>55.233800000000002</v>
      </c>
      <c r="Y151" s="29">
        <v>55.713900000000002</v>
      </c>
      <c r="Z151" s="29">
        <v>51.588299999999997</v>
      </c>
      <c r="AA151" s="29">
        <v>47.933999999999997</v>
      </c>
      <c r="AB151" s="29">
        <v>50.151200000000003</v>
      </c>
      <c r="AC151" s="29">
        <v>65.058099999999996</v>
      </c>
      <c r="AD151" s="29">
        <v>55.848599999999998</v>
      </c>
      <c r="AE151" s="29">
        <v>47.9407</v>
      </c>
      <c r="AF151" s="29">
        <v>50.8765</v>
      </c>
      <c r="AG151" s="29">
        <v>55.141199999999998</v>
      </c>
      <c r="AH151" s="29">
        <v>49.054499999999997</v>
      </c>
      <c r="AI151" s="3">
        <v>37990.07</v>
      </c>
      <c r="AJ151" s="4">
        <v>97.858999999999995</v>
      </c>
      <c r="AK151" s="4">
        <v>99.054000000000002</v>
      </c>
      <c r="AL151" s="4">
        <v>102.33499999999999</v>
      </c>
      <c r="AM151" s="4">
        <v>95.923000000000002</v>
      </c>
      <c r="AN151" s="4">
        <v>87.286000000000001</v>
      </c>
      <c r="AO151" s="5">
        <v>422894852</v>
      </c>
      <c r="AP151" s="36">
        <v>97.607303000000002</v>
      </c>
      <c r="AQ151" s="6">
        <v>102.5</v>
      </c>
      <c r="AR151" s="3">
        <v>1054308.9715877392</v>
      </c>
      <c r="AS151" s="5">
        <v>2538</v>
      </c>
      <c r="AT151" s="5">
        <v>1229</v>
      </c>
      <c r="AU151" s="6">
        <v>57.1</v>
      </c>
      <c r="AV151" s="35">
        <v>74.493383610927026</v>
      </c>
      <c r="AW151" s="6">
        <v>51.8</v>
      </c>
    </row>
    <row r="152" spans="1:49" x14ac:dyDescent="0.25">
      <c r="A152" t="s">
        <v>152</v>
      </c>
      <c r="B152" s="2">
        <v>40999</v>
      </c>
      <c r="C152" s="3">
        <v>4.5</v>
      </c>
      <c r="D152" s="29">
        <v>6.2765000000000004</v>
      </c>
      <c r="E152" s="35">
        <v>98.282780000000002</v>
      </c>
      <c r="F152" s="29">
        <v>78.004000000000005</v>
      </c>
      <c r="G152" s="29">
        <v>81.492099999999994</v>
      </c>
      <c r="H152" s="29">
        <v>99.593199999999996</v>
      </c>
      <c r="I152" s="29">
        <v>100.1657</v>
      </c>
      <c r="J152" s="29">
        <v>98.640100000000004</v>
      </c>
      <c r="K152" s="29">
        <v>99.525599999999997</v>
      </c>
      <c r="L152" s="29">
        <v>99.068399999999997</v>
      </c>
      <c r="M152" s="3">
        <v>5.14</v>
      </c>
      <c r="N152" s="3">
        <v>100.39</v>
      </c>
      <c r="O152" s="3">
        <v>100.34</v>
      </c>
      <c r="P152" s="29">
        <v>99.633099999999999</v>
      </c>
      <c r="Q152" s="29">
        <v>100.4708</v>
      </c>
      <c r="R152" s="6">
        <v>31275.4</v>
      </c>
      <c r="S152" s="6">
        <v>30456.799999999999</v>
      </c>
      <c r="T152" s="3">
        <v>100.39</v>
      </c>
      <c r="U152" s="6">
        <v>39.1</v>
      </c>
      <c r="V152" s="3">
        <v>100.4</v>
      </c>
      <c r="W152" s="29">
        <v>53.852699999999999</v>
      </c>
      <c r="X152" s="29">
        <v>56.296500000000002</v>
      </c>
      <c r="Y152" s="29">
        <v>55.353999999999999</v>
      </c>
      <c r="Z152" s="29">
        <v>51.992800000000003</v>
      </c>
      <c r="AA152" s="29">
        <v>48.291499999999999</v>
      </c>
      <c r="AB152" s="29">
        <v>50.1753</v>
      </c>
      <c r="AC152" s="29">
        <v>60.499899999999997</v>
      </c>
      <c r="AD152" s="29">
        <v>54.861699999999999</v>
      </c>
      <c r="AE152" s="29">
        <v>50.958399999999997</v>
      </c>
      <c r="AF152" s="29">
        <v>52.030900000000003</v>
      </c>
      <c r="AG152" s="29">
        <v>53.180900000000001</v>
      </c>
      <c r="AH152" s="29">
        <v>48.199300000000001</v>
      </c>
      <c r="AI152" s="3">
        <v>38264.67</v>
      </c>
      <c r="AJ152" s="4">
        <v>97.774000000000001</v>
      </c>
      <c r="AK152" s="4">
        <v>98.92</v>
      </c>
      <c r="AL152" s="4">
        <v>101.84699999999999</v>
      </c>
      <c r="AM152" s="4">
        <v>95.887</v>
      </c>
      <c r="AN152" s="4">
        <v>87.840999999999994</v>
      </c>
      <c r="AO152" s="5">
        <v>452166450</v>
      </c>
      <c r="AP152" s="36">
        <v>97.916488000000001</v>
      </c>
      <c r="AQ152" s="6">
        <v>102.6</v>
      </c>
      <c r="AR152" s="3">
        <v>1049659.1474169441</v>
      </c>
      <c r="AS152" s="5">
        <v>2553</v>
      </c>
      <c r="AT152" s="5">
        <v>1284</v>
      </c>
      <c r="AU152" s="6">
        <v>52.7</v>
      </c>
      <c r="AV152" s="35">
        <v>57.327573910872871</v>
      </c>
      <c r="AW152" s="6">
        <v>53.9</v>
      </c>
    </row>
    <row r="153" spans="1:49" x14ac:dyDescent="0.25">
      <c r="A153" t="s">
        <v>153</v>
      </c>
      <c r="B153" s="2">
        <v>41029</v>
      </c>
      <c r="C153" s="3">
        <v>4.5</v>
      </c>
      <c r="D153" s="29">
        <v>6.1630000000000003</v>
      </c>
      <c r="E153" s="35">
        <v>95.557239999999993</v>
      </c>
      <c r="F153" s="29">
        <v>77.971100000000007</v>
      </c>
      <c r="G153" s="29">
        <v>81.6892</v>
      </c>
      <c r="H153" s="29">
        <v>100.2132</v>
      </c>
      <c r="I153" s="29">
        <v>100.08969999999999</v>
      </c>
      <c r="J153" s="29">
        <v>99.159899999999993</v>
      </c>
      <c r="K153" s="29">
        <v>101.8081</v>
      </c>
      <c r="L153" s="29">
        <v>99.975899999999996</v>
      </c>
      <c r="M153" s="3">
        <v>4.9400000000000004</v>
      </c>
      <c r="N153" s="3">
        <v>100.44</v>
      </c>
      <c r="O153" s="3">
        <v>100.28</v>
      </c>
      <c r="P153" s="29">
        <v>99.397199999999998</v>
      </c>
      <c r="Q153" s="29">
        <v>98.923299999999998</v>
      </c>
      <c r="R153" s="6">
        <v>31418.6</v>
      </c>
      <c r="S153" s="6">
        <v>31479.7</v>
      </c>
      <c r="T153" s="3">
        <v>100.4</v>
      </c>
      <c r="U153" s="6">
        <v>40.200000000000003</v>
      </c>
      <c r="V153" s="3">
        <v>100.34</v>
      </c>
      <c r="W153" s="29">
        <v>56.278799999999997</v>
      </c>
      <c r="X153" s="29">
        <v>59.417000000000002</v>
      </c>
      <c r="Y153" s="29">
        <v>58.756599999999999</v>
      </c>
      <c r="Z153" s="29">
        <v>54.220500000000001</v>
      </c>
      <c r="AA153" s="29">
        <v>49.523600000000002</v>
      </c>
      <c r="AB153" s="29">
        <v>53.8202</v>
      </c>
      <c r="AC153" s="29">
        <v>61.847200000000001</v>
      </c>
      <c r="AD153" s="29">
        <v>58.733199999999997</v>
      </c>
      <c r="AE153" s="29">
        <v>51.340400000000002</v>
      </c>
      <c r="AF153" s="29">
        <v>54.914000000000001</v>
      </c>
      <c r="AG153" s="29">
        <v>52.338500000000003</v>
      </c>
      <c r="AH153" s="29">
        <v>46.9848</v>
      </c>
      <c r="AI153" s="3">
        <v>39301.39</v>
      </c>
      <c r="AJ153" s="4">
        <v>98.08</v>
      </c>
      <c r="AK153" s="4">
        <v>98.771000000000001</v>
      </c>
      <c r="AL153" s="4">
        <v>101.54600000000001</v>
      </c>
      <c r="AM153" s="4">
        <v>96.114000000000004</v>
      </c>
      <c r="AN153" s="4">
        <v>92.075000000000003</v>
      </c>
      <c r="AO153" s="5">
        <v>422282170</v>
      </c>
      <c r="AP153" s="36">
        <v>98.348198999999994</v>
      </c>
      <c r="AQ153" s="6">
        <v>104.2</v>
      </c>
      <c r="AR153" s="3">
        <v>1036969.8093362309</v>
      </c>
      <c r="AS153" s="5">
        <v>2542</v>
      </c>
      <c r="AT153" s="5">
        <v>1243</v>
      </c>
      <c r="AU153" s="6">
        <v>54</v>
      </c>
      <c r="AV153" s="35">
        <v>44.821637236766598</v>
      </c>
      <c r="AW153" s="6">
        <v>53.4</v>
      </c>
    </row>
    <row r="154" spans="1:49" x14ac:dyDescent="0.25">
      <c r="A154" t="s">
        <v>154</v>
      </c>
      <c r="B154" s="2">
        <v>41060</v>
      </c>
      <c r="C154" s="3">
        <v>4.5</v>
      </c>
      <c r="D154" s="29">
        <v>6.1387999999999998</v>
      </c>
      <c r="E154" s="35">
        <v>92.066299999999998</v>
      </c>
      <c r="F154" s="29">
        <v>78.375799999999998</v>
      </c>
      <c r="G154" s="29">
        <v>81.953299999999999</v>
      </c>
      <c r="H154" s="29">
        <v>99.974100000000007</v>
      </c>
      <c r="I154" s="29">
        <v>100.55029999999999</v>
      </c>
      <c r="J154" s="29">
        <v>99.688599999999994</v>
      </c>
      <c r="K154" s="29">
        <v>101.44280000000001</v>
      </c>
      <c r="L154" s="29">
        <v>99.29</v>
      </c>
      <c r="M154" s="3">
        <v>4.91</v>
      </c>
      <c r="N154" s="3">
        <v>100.23</v>
      </c>
      <c r="O154" s="3">
        <v>100.21</v>
      </c>
      <c r="P154" s="29">
        <v>99.558800000000005</v>
      </c>
      <c r="Q154" s="29">
        <v>101.1841</v>
      </c>
      <c r="R154" s="6">
        <v>31008.3</v>
      </c>
      <c r="S154" s="6">
        <v>31142.400000000001</v>
      </c>
      <c r="T154" s="3">
        <v>100.42</v>
      </c>
      <c r="U154" s="6">
        <v>40</v>
      </c>
      <c r="V154" s="3">
        <v>100.3</v>
      </c>
      <c r="W154" s="29">
        <v>55.229799999999997</v>
      </c>
      <c r="X154" s="29">
        <v>55.980200000000004</v>
      </c>
      <c r="Y154" s="29">
        <v>59.0184</v>
      </c>
      <c r="Z154" s="29">
        <v>53.195300000000003</v>
      </c>
      <c r="AA154" s="29">
        <v>47.689700000000002</v>
      </c>
      <c r="AB154" s="29">
        <v>50.436500000000002</v>
      </c>
      <c r="AC154" s="29">
        <v>60.7988</v>
      </c>
      <c r="AD154" s="29">
        <v>58.101599999999998</v>
      </c>
      <c r="AE154" s="29">
        <v>50.779499999999999</v>
      </c>
      <c r="AF154" s="29">
        <v>50.747700000000002</v>
      </c>
      <c r="AG154" s="29">
        <v>52.529200000000003</v>
      </c>
      <c r="AH154" s="29">
        <v>47.273499999999999</v>
      </c>
      <c r="AI154" s="3">
        <v>38278.949999999997</v>
      </c>
      <c r="AJ154" s="4">
        <v>97.137</v>
      </c>
      <c r="AK154" s="4">
        <v>98.516000000000005</v>
      </c>
      <c r="AL154" s="4">
        <v>100.73399999999999</v>
      </c>
      <c r="AM154" s="4">
        <v>96.713999999999999</v>
      </c>
      <c r="AN154" s="4">
        <v>86.58</v>
      </c>
      <c r="AO154" s="5">
        <v>455511484</v>
      </c>
      <c r="AP154" s="36">
        <v>97.795581999999996</v>
      </c>
      <c r="AQ154" s="6">
        <v>103.5</v>
      </c>
      <c r="AR154" s="3">
        <v>1050543.2110324623</v>
      </c>
      <c r="AS154" s="5">
        <v>2547</v>
      </c>
      <c r="AT154" s="5">
        <v>1198</v>
      </c>
      <c r="AU154" s="6">
        <v>53.6</v>
      </c>
      <c r="AV154" s="35">
        <v>77.013609573569624</v>
      </c>
      <c r="AW154" s="6">
        <v>54</v>
      </c>
    </row>
    <row r="155" spans="1:49" x14ac:dyDescent="0.25">
      <c r="A155" t="s">
        <v>155</v>
      </c>
      <c r="B155" s="2">
        <v>41090</v>
      </c>
      <c r="C155" s="3">
        <v>4.5</v>
      </c>
      <c r="D155" s="29">
        <v>5.9120999999999997</v>
      </c>
      <c r="E155" s="35">
        <v>91.22345</v>
      </c>
      <c r="F155" s="29">
        <v>78.883200000000002</v>
      </c>
      <c r="G155" s="29">
        <v>82.188400000000001</v>
      </c>
      <c r="H155" s="29">
        <v>100.497</v>
      </c>
      <c r="I155" s="29">
        <v>100.7376</v>
      </c>
      <c r="J155" s="29">
        <v>100.03360000000001</v>
      </c>
      <c r="K155" s="29">
        <v>101.12860000000001</v>
      </c>
      <c r="L155" s="29">
        <v>100.4325</v>
      </c>
      <c r="M155" s="3">
        <v>4.8499999999999996</v>
      </c>
      <c r="N155" s="3">
        <v>100.25</v>
      </c>
      <c r="O155" s="3">
        <v>100.15</v>
      </c>
      <c r="P155" s="29">
        <v>99.558499999999995</v>
      </c>
      <c r="Q155" s="29">
        <v>103.2098</v>
      </c>
      <c r="R155" s="6">
        <v>29985.4</v>
      </c>
      <c r="S155" s="6">
        <v>29902.1</v>
      </c>
      <c r="T155" s="3">
        <v>100.42</v>
      </c>
      <c r="U155" s="6">
        <v>39.299999999999997</v>
      </c>
      <c r="V155" s="3">
        <v>100.31</v>
      </c>
      <c r="W155" s="29">
        <v>55.916499999999999</v>
      </c>
      <c r="X155" s="29">
        <v>57.854700000000001</v>
      </c>
      <c r="Y155" s="29">
        <v>58.516800000000003</v>
      </c>
      <c r="Z155" s="29">
        <v>54.572299999999998</v>
      </c>
      <c r="AA155" s="29">
        <v>48.783200000000001</v>
      </c>
      <c r="AB155" s="29">
        <v>53.008499999999998</v>
      </c>
      <c r="AC155" s="29">
        <v>64.109200000000001</v>
      </c>
      <c r="AD155" s="29">
        <v>59.151899999999998</v>
      </c>
      <c r="AE155" s="29">
        <v>50.555500000000002</v>
      </c>
      <c r="AF155" s="29">
        <v>51.331699999999998</v>
      </c>
      <c r="AG155" s="29">
        <v>54.119300000000003</v>
      </c>
      <c r="AH155" s="29">
        <v>47.404800000000002</v>
      </c>
      <c r="AI155" s="3">
        <v>38140.03</v>
      </c>
      <c r="AJ155" s="4">
        <v>98.147999999999996</v>
      </c>
      <c r="AK155" s="4">
        <v>99.445999999999998</v>
      </c>
      <c r="AL155" s="4">
        <v>101.95</v>
      </c>
      <c r="AM155" s="4">
        <v>97.131</v>
      </c>
      <c r="AN155" s="4">
        <v>86.525000000000006</v>
      </c>
      <c r="AO155" s="5">
        <v>464383381</v>
      </c>
      <c r="AP155" s="36">
        <v>98.684561000000002</v>
      </c>
      <c r="AQ155" s="6">
        <v>102.6</v>
      </c>
      <c r="AR155" s="3">
        <v>1057427.6009438185</v>
      </c>
      <c r="AS155" s="5">
        <v>2554</v>
      </c>
      <c r="AT155" s="5">
        <v>1201</v>
      </c>
      <c r="AU155" s="6">
        <v>55.5</v>
      </c>
      <c r="AV155" s="35">
        <v>62.531434884128352</v>
      </c>
      <c r="AW155" s="6">
        <v>54.3</v>
      </c>
    </row>
    <row r="156" spans="1:49" x14ac:dyDescent="0.25">
      <c r="A156" t="s">
        <v>156</v>
      </c>
      <c r="B156" s="2">
        <v>41121</v>
      </c>
      <c r="C156" s="3">
        <v>4.5</v>
      </c>
      <c r="D156" s="29">
        <v>5.2957000000000001</v>
      </c>
      <c r="E156" s="35">
        <v>95.590969999999999</v>
      </c>
      <c r="F156" s="29">
        <v>79.331000000000003</v>
      </c>
      <c r="G156" s="29">
        <v>82.488900000000001</v>
      </c>
      <c r="H156" s="29">
        <v>101.9635</v>
      </c>
      <c r="I156" s="29">
        <v>100.74509999999999</v>
      </c>
      <c r="J156" s="29">
        <v>99.910600000000002</v>
      </c>
      <c r="K156" s="29">
        <v>106.2889</v>
      </c>
      <c r="L156" s="29">
        <v>100.1246</v>
      </c>
      <c r="M156" s="3">
        <v>4.74</v>
      </c>
      <c r="N156" s="3">
        <v>100.17</v>
      </c>
      <c r="O156" s="3">
        <v>100.13</v>
      </c>
      <c r="P156" s="29">
        <v>98.799199999999999</v>
      </c>
      <c r="Q156" s="29">
        <v>101.1628</v>
      </c>
      <c r="R156" s="6">
        <v>30306.799999999999</v>
      </c>
      <c r="S156" s="6">
        <v>30449.599999999999</v>
      </c>
      <c r="T156" s="3">
        <v>100.42</v>
      </c>
      <c r="U156" s="6">
        <v>40.299999999999997</v>
      </c>
      <c r="V156" s="3">
        <v>100.37</v>
      </c>
      <c r="W156" s="29">
        <v>55.243400000000001</v>
      </c>
      <c r="X156" s="29">
        <v>56.778700000000001</v>
      </c>
      <c r="Y156" s="29">
        <v>58.037599999999998</v>
      </c>
      <c r="Z156" s="29">
        <v>54.891599999999997</v>
      </c>
      <c r="AA156" s="29">
        <v>48.617600000000003</v>
      </c>
      <c r="AB156" s="29">
        <v>49.517299999999999</v>
      </c>
      <c r="AC156" s="29">
        <v>58.027000000000001</v>
      </c>
      <c r="AD156" s="29">
        <v>57.545900000000003</v>
      </c>
      <c r="AE156" s="29">
        <v>46.673900000000003</v>
      </c>
      <c r="AF156" s="29">
        <v>50.322600000000001</v>
      </c>
      <c r="AG156" s="29">
        <v>53.308799999999998</v>
      </c>
      <c r="AH156" s="29">
        <v>48.9955</v>
      </c>
      <c r="AI156" s="3">
        <v>40583.42</v>
      </c>
      <c r="AJ156" s="4">
        <v>98.438000000000002</v>
      </c>
      <c r="AK156" s="4">
        <v>99.471000000000004</v>
      </c>
      <c r="AL156" s="4">
        <v>101.355</v>
      </c>
      <c r="AM156" s="4">
        <v>97.418999999999997</v>
      </c>
      <c r="AN156" s="4">
        <v>89.638000000000005</v>
      </c>
      <c r="AO156" s="5">
        <v>443657660</v>
      </c>
      <c r="AP156" s="36">
        <v>99.141352999999995</v>
      </c>
      <c r="AQ156" s="6">
        <v>106.1</v>
      </c>
      <c r="AR156" s="3">
        <v>1061127.0695920771</v>
      </c>
      <c r="AS156" s="5">
        <v>2551</v>
      </c>
      <c r="AT156" s="5">
        <v>1122</v>
      </c>
      <c r="AU156" s="6">
        <v>53.6</v>
      </c>
      <c r="AV156" s="35">
        <v>51.581417797023441</v>
      </c>
      <c r="AW156" s="6">
        <v>52.2</v>
      </c>
    </row>
    <row r="157" spans="1:49" x14ac:dyDescent="0.25">
      <c r="A157" t="s">
        <v>157</v>
      </c>
      <c r="B157" s="2">
        <v>41152</v>
      </c>
      <c r="C157" s="3">
        <v>4.5</v>
      </c>
      <c r="D157" s="29">
        <v>5.3803000000000001</v>
      </c>
      <c r="E157" s="35">
        <v>96.391379999999998</v>
      </c>
      <c r="F157" s="29">
        <v>79.600899999999996</v>
      </c>
      <c r="G157" s="29">
        <v>82.754900000000006</v>
      </c>
      <c r="H157" s="29">
        <v>100.2449</v>
      </c>
      <c r="I157" s="29">
        <v>100.64530000000001</v>
      </c>
      <c r="J157" s="29">
        <v>99.274000000000001</v>
      </c>
      <c r="K157" s="29">
        <v>102.11020000000001</v>
      </c>
      <c r="L157" s="29">
        <v>99.157799999999995</v>
      </c>
      <c r="M157" s="3">
        <v>4.99</v>
      </c>
      <c r="N157" s="3">
        <v>99.6</v>
      </c>
      <c r="O157" s="3">
        <v>100.15</v>
      </c>
      <c r="P157" s="29">
        <v>100.08629999999999</v>
      </c>
      <c r="Q157" s="29">
        <v>101.2647</v>
      </c>
      <c r="R157" s="6">
        <v>30479.5</v>
      </c>
      <c r="S157" s="6">
        <v>30137.7</v>
      </c>
      <c r="T157" s="3">
        <v>100.4</v>
      </c>
      <c r="U157" s="6">
        <v>40.4</v>
      </c>
      <c r="V157" s="3">
        <v>100.48</v>
      </c>
      <c r="W157" s="29">
        <v>55.069400000000002</v>
      </c>
      <c r="X157" s="29">
        <v>56.740099999999998</v>
      </c>
      <c r="Y157" s="29">
        <v>58.492899999999999</v>
      </c>
      <c r="Z157" s="29">
        <v>52.973700000000001</v>
      </c>
      <c r="AA157" s="29">
        <v>49.065399999999997</v>
      </c>
      <c r="AB157" s="29">
        <v>51.015999999999998</v>
      </c>
      <c r="AC157" s="29">
        <v>56.216000000000001</v>
      </c>
      <c r="AD157" s="29">
        <v>58.5184</v>
      </c>
      <c r="AE157" s="29">
        <v>49.370800000000003</v>
      </c>
      <c r="AF157" s="29">
        <v>50.387</v>
      </c>
      <c r="AG157" s="29">
        <v>50.910600000000002</v>
      </c>
      <c r="AH157" s="29">
        <v>48.225700000000003</v>
      </c>
      <c r="AI157" s="3">
        <v>40429.49</v>
      </c>
      <c r="AJ157" s="4">
        <v>98.45</v>
      </c>
      <c r="AK157" s="4">
        <v>99.403000000000006</v>
      </c>
      <c r="AL157" s="4">
        <v>100.96599999999999</v>
      </c>
      <c r="AM157" s="4">
        <v>97.918000000000006</v>
      </c>
      <c r="AN157" s="4">
        <v>90.188000000000002</v>
      </c>
      <c r="AO157" s="5">
        <v>450739644</v>
      </c>
      <c r="AP157" s="36">
        <v>98.656233999999998</v>
      </c>
      <c r="AQ157" s="6">
        <v>103.1</v>
      </c>
      <c r="AR157" s="3">
        <v>1022220.4279410488</v>
      </c>
      <c r="AS157" s="5">
        <v>2558</v>
      </c>
      <c r="AT157" s="5">
        <v>1346</v>
      </c>
      <c r="AU157" s="6">
        <v>54.4</v>
      </c>
      <c r="AV157" s="35">
        <v>45.615398348904918</v>
      </c>
      <c r="AW157" s="6">
        <v>54.7</v>
      </c>
    </row>
    <row r="158" spans="1:49" x14ac:dyDescent="0.25">
      <c r="A158" t="s">
        <v>158</v>
      </c>
      <c r="B158" s="2">
        <v>41182</v>
      </c>
      <c r="C158" s="3">
        <v>4.5</v>
      </c>
      <c r="D158" s="29">
        <v>5.4633000000000003</v>
      </c>
      <c r="E158" s="35">
        <v>97.533940000000001</v>
      </c>
      <c r="F158" s="29">
        <v>79.837000000000003</v>
      </c>
      <c r="G158" s="29">
        <v>82.865200000000002</v>
      </c>
      <c r="H158" s="29">
        <v>101.0063</v>
      </c>
      <c r="I158" s="29">
        <v>100.3334</v>
      </c>
      <c r="J158" s="29">
        <v>99.396299999999997</v>
      </c>
      <c r="K158" s="29">
        <v>103.60890000000001</v>
      </c>
      <c r="L158" s="29">
        <v>100.7894</v>
      </c>
      <c r="M158" s="3">
        <v>4.6500000000000004</v>
      </c>
      <c r="N158" s="3">
        <v>99.68</v>
      </c>
      <c r="O158" s="3">
        <v>100.2</v>
      </c>
      <c r="P158" s="29">
        <v>101.4449</v>
      </c>
      <c r="Q158" s="29">
        <v>104.2941</v>
      </c>
      <c r="R158" s="6">
        <v>30497.4</v>
      </c>
      <c r="S158" s="6">
        <v>30671.200000000001</v>
      </c>
      <c r="T158" s="3">
        <v>100.38</v>
      </c>
      <c r="U158" s="6">
        <v>39</v>
      </c>
      <c r="V158" s="3">
        <v>100.63</v>
      </c>
      <c r="W158" s="29">
        <v>54.444000000000003</v>
      </c>
      <c r="X158" s="29">
        <v>57.325000000000003</v>
      </c>
      <c r="Y158" s="29">
        <v>56.762799999999999</v>
      </c>
      <c r="Z158" s="29">
        <v>53.071100000000001</v>
      </c>
      <c r="AA158" s="29">
        <v>50</v>
      </c>
      <c r="AB158" s="29">
        <v>49.697000000000003</v>
      </c>
      <c r="AC158" s="29">
        <v>58.945700000000002</v>
      </c>
      <c r="AD158" s="29">
        <v>55.88</v>
      </c>
      <c r="AE158" s="29">
        <v>49.447800000000001</v>
      </c>
      <c r="AF158" s="29">
        <v>52.592100000000002</v>
      </c>
      <c r="AG158" s="29">
        <v>53.1633</v>
      </c>
      <c r="AH158" s="29">
        <v>45.736400000000003</v>
      </c>
      <c r="AI158" s="3">
        <v>40312.129999999997</v>
      </c>
      <c r="AJ158" s="4">
        <v>98.968000000000004</v>
      </c>
      <c r="AK158" s="4">
        <v>99.894000000000005</v>
      </c>
      <c r="AL158" s="4">
        <v>101.399</v>
      </c>
      <c r="AM158" s="4">
        <v>98.07</v>
      </c>
      <c r="AN158" s="4">
        <v>91.025999999999996</v>
      </c>
      <c r="AO158" s="5">
        <v>424704103</v>
      </c>
      <c r="AP158" s="36">
        <v>98.96284</v>
      </c>
      <c r="AQ158" s="6">
        <v>105.1</v>
      </c>
      <c r="AR158" s="3">
        <v>1086847.6485289615</v>
      </c>
      <c r="AS158" s="5">
        <v>2550</v>
      </c>
      <c r="AT158" s="5">
        <v>1339</v>
      </c>
      <c r="AU158" s="6">
        <v>52</v>
      </c>
      <c r="AV158" s="35">
        <v>47.251304692702909</v>
      </c>
      <c r="AW158" s="6">
        <v>53.6</v>
      </c>
    </row>
    <row r="159" spans="1:49" x14ac:dyDescent="0.25">
      <c r="A159" t="s">
        <v>159</v>
      </c>
      <c r="B159" s="2">
        <v>41213</v>
      </c>
      <c r="C159" s="3">
        <v>4.5</v>
      </c>
      <c r="D159" s="29">
        <v>5.3407999999999998</v>
      </c>
      <c r="E159" s="35">
        <v>97.778409999999994</v>
      </c>
      <c r="F159" s="29">
        <v>80.085499999999996</v>
      </c>
      <c r="G159" s="29">
        <v>83.071399999999997</v>
      </c>
      <c r="H159" s="29">
        <v>99.854200000000006</v>
      </c>
      <c r="I159" s="29">
        <v>100.3154</v>
      </c>
      <c r="J159" s="29">
        <v>99.978200000000001</v>
      </c>
      <c r="K159" s="29">
        <v>101.71080000000001</v>
      </c>
      <c r="L159" s="29">
        <v>98.357299999999995</v>
      </c>
      <c r="M159" s="3">
        <v>4.8899999999999997</v>
      </c>
      <c r="N159" s="3">
        <v>98.28</v>
      </c>
      <c r="O159" s="3">
        <v>100.27</v>
      </c>
      <c r="P159" s="29">
        <v>101.14100000000001</v>
      </c>
      <c r="Q159" s="29">
        <v>100.6344</v>
      </c>
      <c r="R159" s="6">
        <v>30627.5</v>
      </c>
      <c r="S159" s="6">
        <v>31787.1</v>
      </c>
      <c r="T159" s="3">
        <v>100.33</v>
      </c>
      <c r="U159" s="6">
        <v>40.1</v>
      </c>
      <c r="V159" s="3">
        <v>100.8</v>
      </c>
      <c r="W159" s="29">
        <v>55.503</v>
      </c>
      <c r="X159" s="29">
        <v>56.997</v>
      </c>
      <c r="Y159" s="29">
        <v>58.9786</v>
      </c>
      <c r="Z159" s="29">
        <v>53.780799999999999</v>
      </c>
      <c r="AA159" s="29">
        <v>49.520800000000001</v>
      </c>
      <c r="AB159" s="29">
        <v>52.321300000000001</v>
      </c>
      <c r="AC159" s="29">
        <v>54.845599999999997</v>
      </c>
      <c r="AD159" s="29">
        <v>58.433500000000002</v>
      </c>
      <c r="AE159" s="29">
        <v>51.979799999999997</v>
      </c>
      <c r="AF159" s="29">
        <v>52.642400000000002</v>
      </c>
      <c r="AG159" s="29">
        <v>52.265500000000003</v>
      </c>
      <c r="AH159" s="29">
        <v>48.028100000000002</v>
      </c>
      <c r="AI159" s="3">
        <v>41832.730000000003</v>
      </c>
      <c r="AJ159" s="4">
        <v>99.02</v>
      </c>
      <c r="AK159" s="4">
        <v>99.706999999999994</v>
      </c>
      <c r="AL159" s="4">
        <v>100.96</v>
      </c>
      <c r="AM159" s="4">
        <v>98.275000000000006</v>
      </c>
      <c r="AN159" s="4">
        <v>91.247</v>
      </c>
      <c r="AO159" s="5">
        <v>456620588</v>
      </c>
      <c r="AP159" s="36">
        <v>98.978438999999995</v>
      </c>
      <c r="AQ159" s="6">
        <v>103.9</v>
      </c>
      <c r="AR159" s="3">
        <v>1101085.6384942411</v>
      </c>
      <c r="AS159" s="5">
        <v>2530</v>
      </c>
      <c r="AT159" s="5">
        <v>1367</v>
      </c>
      <c r="AU159" s="6">
        <v>54</v>
      </c>
      <c r="AV159" s="35">
        <v>42.113485521985162</v>
      </c>
      <c r="AW159" s="6">
        <v>54.4</v>
      </c>
    </row>
    <row r="160" spans="1:49" x14ac:dyDescent="0.25">
      <c r="A160" t="s">
        <v>160</v>
      </c>
      <c r="B160" s="2">
        <v>41243</v>
      </c>
      <c r="C160" s="3">
        <v>4.5</v>
      </c>
      <c r="D160" s="29">
        <v>5.4832000000000001</v>
      </c>
      <c r="E160" s="35">
        <v>97.590620000000001</v>
      </c>
      <c r="F160" s="29">
        <v>80.209000000000003</v>
      </c>
      <c r="G160" s="29">
        <v>83.199299999999994</v>
      </c>
      <c r="H160" s="29">
        <v>100.6524</v>
      </c>
      <c r="I160" s="29">
        <v>102.6151</v>
      </c>
      <c r="J160" s="29">
        <v>100.68</v>
      </c>
      <c r="K160" s="29">
        <v>102.4409</v>
      </c>
      <c r="L160" s="29">
        <v>99.355500000000006</v>
      </c>
      <c r="M160" s="3">
        <v>5.23</v>
      </c>
      <c r="N160" s="3">
        <v>99.19</v>
      </c>
      <c r="O160" s="3">
        <v>100.37</v>
      </c>
      <c r="P160" s="29">
        <v>100.7885</v>
      </c>
      <c r="Q160" s="29">
        <v>98.797600000000003</v>
      </c>
      <c r="R160" s="6">
        <v>31188</v>
      </c>
      <c r="S160" s="6">
        <v>31619.5</v>
      </c>
      <c r="T160" s="3">
        <v>100.28</v>
      </c>
      <c r="U160" s="6">
        <v>39.9</v>
      </c>
      <c r="V160" s="3">
        <v>100.97</v>
      </c>
      <c r="W160" s="29">
        <v>55.639000000000003</v>
      </c>
      <c r="X160" s="29">
        <v>57.628999999999998</v>
      </c>
      <c r="Y160" s="29">
        <v>59.060099999999998</v>
      </c>
      <c r="Z160" s="29">
        <v>52.827399999999997</v>
      </c>
      <c r="AA160" s="29">
        <v>48.920900000000003</v>
      </c>
      <c r="AB160" s="29">
        <v>52.863399999999999</v>
      </c>
      <c r="AC160" s="29">
        <v>56.423499999999997</v>
      </c>
      <c r="AD160" s="29">
        <v>58.549199999999999</v>
      </c>
      <c r="AE160" s="29">
        <v>52.0839</v>
      </c>
      <c r="AF160" s="29">
        <v>51.639699999999998</v>
      </c>
      <c r="AG160" s="29">
        <v>52.216900000000003</v>
      </c>
      <c r="AH160" s="29">
        <v>47.683999999999997</v>
      </c>
      <c r="AI160" s="3">
        <v>41405.26</v>
      </c>
      <c r="AJ160" s="4">
        <v>99.894999999999996</v>
      </c>
      <c r="AK160" s="4">
        <v>100.203</v>
      </c>
      <c r="AL160" s="4">
        <v>101.354</v>
      </c>
      <c r="AM160" s="4">
        <v>98.64</v>
      </c>
      <c r="AN160" s="4">
        <v>96.134</v>
      </c>
      <c r="AO160" s="5">
        <v>448141776</v>
      </c>
      <c r="AP160" s="36">
        <v>100.355028</v>
      </c>
      <c r="AQ160" s="6">
        <v>104.8</v>
      </c>
      <c r="AR160" s="3">
        <v>1099532.7417723283</v>
      </c>
      <c r="AS160" s="5">
        <v>2580</v>
      </c>
      <c r="AT160" s="5">
        <v>1374</v>
      </c>
      <c r="AU160" s="6">
        <v>52.9</v>
      </c>
      <c r="AV160" s="35">
        <v>39.398227480944449</v>
      </c>
      <c r="AW160" s="6">
        <v>53.8</v>
      </c>
    </row>
    <row r="161" spans="1:49" x14ac:dyDescent="0.25">
      <c r="A161" t="s">
        <v>161</v>
      </c>
      <c r="B161" s="2">
        <v>41274</v>
      </c>
      <c r="C161" s="3">
        <v>4.5</v>
      </c>
      <c r="D161" s="29">
        <v>5.4344999999999999</v>
      </c>
      <c r="E161" s="35">
        <v>98.886279999999999</v>
      </c>
      <c r="F161" s="29">
        <v>80.239800000000002</v>
      </c>
      <c r="G161" s="29">
        <v>83.162800000000004</v>
      </c>
      <c r="H161" s="29">
        <v>99.457400000000007</v>
      </c>
      <c r="I161" s="29">
        <v>100.94589999999999</v>
      </c>
      <c r="J161" s="29">
        <v>99.534300000000002</v>
      </c>
      <c r="K161" s="29">
        <v>97.149299999999997</v>
      </c>
      <c r="L161" s="29">
        <v>99.217600000000004</v>
      </c>
      <c r="M161" s="3">
        <v>5</v>
      </c>
      <c r="N161" s="3">
        <v>99.87</v>
      </c>
      <c r="O161" s="3">
        <v>100.47</v>
      </c>
      <c r="P161" s="29">
        <v>98.023899999999998</v>
      </c>
      <c r="Q161" s="29">
        <v>99.185299999999998</v>
      </c>
      <c r="R161" s="6">
        <v>31319.1</v>
      </c>
      <c r="S161" s="6">
        <v>31161.9</v>
      </c>
      <c r="T161" s="3">
        <v>100.21</v>
      </c>
      <c r="U161" s="6">
        <v>41</v>
      </c>
      <c r="V161" s="3">
        <v>101.11</v>
      </c>
      <c r="W161" s="29">
        <v>57.133800000000001</v>
      </c>
      <c r="X161" s="29">
        <v>60.118400000000001</v>
      </c>
      <c r="Y161" s="29">
        <v>61.620600000000003</v>
      </c>
      <c r="Z161" s="29">
        <v>51.691000000000003</v>
      </c>
      <c r="AA161" s="29">
        <v>48.000300000000003</v>
      </c>
      <c r="AB161" s="29">
        <v>54.798299999999998</v>
      </c>
      <c r="AC161" s="29">
        <v>53.024799999999999</v>
      </c>
      <c r="AD161" s="29">
        <v>58.176099999999998</v>
      </c>
      <c r="AE161" s="29">
        <v>54.12</v>
      </c>
      <c r="AF161" s="29">
        <v>51.174199999999999</v>
      </c>
      <c r="AG161" s="29">
        <v>51.762799999999999</v>
      </c>
      <c r="AH161" s="29">
        <v>48.549300000000002</v>
      </c>
      <c r="AI161" s="3">
        <v>43202.04</v>
      </c>
      <c r="AJ161" s="4">
        <v>97.655000000000001</v>
      </c>
      <c r="AK161" s="4">
        <v>98.091999999999999</v>
      </c>
      <c r="AL161" s="4">
        <v>98.159000000000006</v>
      </c>
      <c r="AM161" s="4">
        <v>98.286000000000001</v>
      </c>
      <c r="AN161" s="4">
        <v>93.480999999999995</v>
      </c>
      <c r="AO161" s="5">
        <v>415476138</v>
      </c>
      <c r="AP161" s="36">
        <v>99.493429000000006</v>
      </c>
      <c r="AQ161" s="6">
        <v>99.6</v>
      </c>
      <c r="AR161" s="3">
        <v>1132022.1734231475</v>
      </c>
      <c r="AS161" s="5">
        <v>2547</v>
      </c>
      <c r="AT161" s="5">
        <v>1174</v>
      </c>
      <c r="AU161" s="6">
        <v>53.1</v>
      </c>
      <c r="AV161" s="35">
        <v>61.044827506483564</v>
      </c>
      <c r="AW161" s="6">
        <v>54.8</v>
      </c>
    </row>
    <row r="162" spans="1:49" x14ac:dyDescent="0.25">
      <c r="A162" t="s">
        <v>162</v>
      </c>
      <c r="B162" s="2">
        <v>41305</v>
      </c>
      <c r="C162" s="3">
        <v>4.5</v>
      </c>
      <c r="D162" s="29">
        <v>5.3376000000000001</v>
      </c>
      <c r="E162" s="35">
        <v>100.42977999999999</v>
      </c>
      <c r="F162" s="29">
        <v>80.421199999999999</v>
      </c>
      <c r="G162" s="29">
        <v>83.443399999999997</v>
      </c>
      <c r="H162" s="29">
        <v>100.07299999999999</v>
      </c>
      <c r="I162" s="29">
        <v>100.8205</v>
      </c>
      <c r="J162" s="29">
        <v>99.927300000000002</v>
      </c>
      <c r="K162" s="29">
        <v>100.5167</v>
      </c>
      <c r="L162" s="29">
        <v>99.547300000000007</v>
      </c>
      <c r="M162" s="3">
        <v>5.23</v>
      </c>
      <c r="N162" s="3">
        <v>101.53</v>
      </c>
      <c r="O162" s="3">
        <v>100.56</v>
      </c>
      <c r="P162" s="29">
        <v>100.4152</v>
      </c>
      <c r="Q162" s="29">
        <v>99.678799999999995</v>
      </c>
      <c r="R162" s="6">
        <v>31184.5</v>
      </c>
      <c r="S162" s="6">
        <v>32012.7</v>
      </c>
      <c r="T162" s="3">
        <v>100.15</v>
      </c>
      <c r="U162" s="6">
        <v>41.4</v>
      </c>
      <c r="V162" s="3">
        <v>101.21</v>
      </c>
      <c r="W162" s="29">
        <v>54.963900000000002</v>
      </c>
      <c r="X162" s="29">
        <v>57.147300000000001</v>
      </c>
      <c r="Y162" s="29">
        <v>57.817399999999999</v>
      </c>
      <c r="Z162" s="29">
        <v>51.070399999999999</v>
      </c>
      <c r="AA162" s="29">
        <v>47.061500000000002</v>
      </c>
      <c r="AB162" s="29">
        <v>51.77</v>
      </c>
      <c r="AC162" s="29">
        <v>54.223300000000002</v>
      </c>
      <c r="AD162" s="29">
        <v>56.012300000000003</v>
      </c>
      <c r="AE162" s="29">
        <v>52.437600000000003</v>
      </c>
      <c r="AF162" s="29">
        <v>49.050800000000002</v>
      </c>
      <c r="AG162" s="29">
        <v>51.0518</v>
      </c>
      <c r="AH162" s="29">
        <v>49.598999999999997</v>
      </c>
      <c r="AI162" s="3">
        <v>45069.11</v>
      </c>
      <c r="AJ162" s="4">
        <v>99.418999999999997</v>
      </c>
      <c r="AK162" s="4">
        <v>99.625</v>
      </c>
      <c r="AL162" s="4">
        <v>100.279</v>
      </c>
      <c r="AM162" s="4">
        <v>98.802000000000007</v>
      </c>
      <c r="AN162" s="4">
        <v>97.241</v>
      </c>
      <c r="AO162" s="5">
        <v>443990295</v>
      </c>
      <c r="AP162" s="36">
        <v>99.504756999999998</v>
      </c>
      <c r="AQ162" s="6">
        <v>100.8</v>
      </c>
      <c r="AR162" s="3">
        <v>1112840.7961981259</v>
      </c>
      <c r="AS162" s="5">
        <v>2558</v>
      </c>
      <c r="AT162" s="5">
        <v>1289</v>
      </c>
      <c r="AU162" s="6">
        <v>53.3</v>
      </c>
      <c r="AV162" s="35">
        <v>52.552995149163543</v>
      </c>
      <c r="AW162" s="6">
        <v>51.8</v>
      </c>
    </row>
    <row r="163" spans="1:49" x14ac:dyDescent="0.25">
      <c r="A163" t="s">
        <v>163</v>
      </c>
      <c r="B163" s="2">
        <v>41333</v>
      </c>
      <c r="C163" s="3">
        <v>4.5</v>
      </c>
      <c r="D163" s="29">
        <v>5.0423999999999998</v>
      </c>
      <c r="E163" s="35">
        <v>100.57198</v>
      </c>
      <c r="F163" s="29">
        <v>80.703199999999995</v>
      </c>
      <c r="G163" s="29">
        <v>83.711500000000001</v>
      </c>
      <c r="H163" s="29">
        <v>100.4892</v>
      </c>
      <c r="I163" s="29">
        <v>100.18819999999999</v>
      </c>
      <c r="J163" s="29">
        <v>99.350399999999993</v>
      </c>
      <c r="K163" s="29">
        <v>102.43040000000001</v>
      </c>
      <c r="L163" s="29">
        <v>99.892099999999999</v>
      </c>
      <c r="M163" s="3">
        <v>4.82</v>
      </c>
      <c r="N163" s="3">
        <v>99.46</v>
      </c>
      <c r="O163" s="3">
        <v>100.61</v>
      </c>
      <c r="P163" s="29">
        <v>100.3408</v>
      </c>
      <c r="Q163" s="29">
        <v>99.624499999999998</v>
      </c>
      <c r="R163" s="6">
        <v>31237.7</v>
      </c>
      <c r="S163" s="6">
        <v>32086.799999999999</v>
      </c>
      <c r="T163" s="3">
        <v>100.1</v>
      </c>
      <c r="U163" s="6">
        <v>40.4</v>
      </c>
      <c r="V163" s="3">
        <v>101.26</v>
      </c>
      <c r="W163" s="29">
        <v>53.399000000000001</v>
      </c>
      <c r="X163" s="29">
        <v>54.911099999999998</v>
      </c>
      <c r="Y163" s="29">
        <v>55.150599999999997</v>
      </c>
      <c r="Z163" s="29">
        <v>51.947200000000002</v>
      </c>
      <c r="AA163" s="29">
        <v>48.539700000000003</v>
      </c>
      <c r="AB163" s="29">
        <v>50.176000000000002</v>
      </c>
      <c r="AC163" s="29">
        <v>59.829799999999999</v>
      </c>
      <c r="AD163" s="29">
        <v>55.493000000000002</v>
      </c>
      <c r="AE163" s="29">
        <v>51.743600000000001</v>
      </c>
      <c r="AF163" s="29">
        <v>50.362900000000003</v>
      </c>
      <c r="AG163" s="29">
        <v>51.865099999999998</v>
      </c>
      <c r="AH163" s="29">
        <v>48.401499999999999</v>
      </c>
      <c r="AI163" s="3">
        <v>44482.87</v>
      </c>
      <c r="AJ163" s="4">
        <v>99.792000000000002</v>
      </c>
      <c r="AK163" s="4">
        <v>99.870999999999995</v>
      </c>
      <c r="AL163" s="4">
        <v>100.807</v>
      </c>
      <c r="AM163" s="4">
        <v>98.867999999999995</v>
      </c>
      <c r="AN163" s="4">
        <v>98.903000000000006</v>
      </c>
      <c r="AO163" s="5">
        <v>424411598</v>
      </c>
      <c r="AP163" s="36">
        <v>99.491240000000005</v>
      </c>
      <c r="AQ163" s="6">
        <v>104.3</v>
      </c>
      <c r="AR163" s="3">
        <v>1115868.7910953769</v>
      </c>
      <c r="AS163" s="5">
        <v>2549</v>
      </c>
      <c r="AT163" s="5">
        <v>1220</v>
      </c>
      <c r="AU163" s="6">
        <v>52.9</v>
      </c>
      <c r="AV163" s="35">
        <v>38.127777482444714</v>
      </c>
      <c r="AW163" s="6">
        <v>53.1</v>
      </c>
    </row>
    <row r="164" spans="1:49" x14ac:dyDescent="0.25">
      <c r="A164" t="s">
        <v>164</v>
      </c>
      <c r="B164" s="2">
        <v>41364</v>
      </c>
      <c r="C164" s="3">
        <v>4</v>
      </c>
      <c r="D164" s="29">
        <v>4.9137000000000004</v>
      </c>
      <c r="E164" s="35">
        <v>103.86109999999999</v>
      </c>
      <c r="F164" s="29">
        <v>81.229399999999998</v>
      </c>
      <c r="G164" s="29">
        <v>83.927199999999999</v>
      </c>
      <c r="H164" s="29">
        <v>100.0316</v>
      </c>
      <c r="I164" s="29">
        <v>99.628699999999995</v>
      </c>
      <c r="J164" s="29">
        <v>97.909800000000004</v>
      </c>
      <c r="K164" s="29">
        <v>100.65649999999999</v>
      </c>
      <c r="L164" s="29">
        <v>99.895200000000003</v>
      </c>
      <c r="M164" s="3">
        <v>4.97</v>
      </c>
      <c r="N164" s="3">
        <v>99.26</v>
      </c>
      <c r="O164" s="3">
        <v>100.64</v>
      </c>
      <c r="P164" s="29">
        <v>100.1626</v>
      </c>
      <c r="Q164" s="29">
        <v>101.4362</v>
      </c>
      <c r="R164" s="6">
        <v>31567.7</v>
      </c>
      <c r="S164" s="6">
        <v>32269.1</v>
      </c>
      <c r="T164" s="3">
        <v>100.04</v>
      </c>
      <c r="U164" s="6">
        <v>40.1</v>
      </c>
      <c r="V164" s="3">
        <v>101.25</v>
      </c>
      <c r="W164" s="29">
        <v>52.19</v>
      </c>
      <c r="X164" s="29">
        <v>52.437899999999999</v>
      </c>
      <c r="Y164" s="29">
        <v>54.467199999999998</v>
      </c>
      <c r="Z164" s="29">
        <v>51.582299999999996</v>
      </c>
      <c r="AA164" s="29">
        <v>50.019799999999996</v>
      </c>
      <c r="AB164" s="29">
        <v>49.268700000000003</v>
      </c>
      <c r="AC164" s="29">
        <v>54.816299999999998</v>
      </c>
      <c r="AD164" s="29">
        <v>54.275599999999997</v>
      </c>
      <c r="AE164" s="29">
        <v>49.7697</v>
      </c>
      <c r="AF164" s="29">
        <v>51.449800000000003</v>
      </c>
      <c r="AG164" s="29">
        <v>50.700699999999998</v>
      </c>
      <c r="AH164" s="29">
        <v>46.197499999999998</v>
      </c>
      <c r="AI164" s="3">
        <v>43442.46</v>
      </c>
      <c r="AJ164" s="4">
        <v>99.814999999999998</v>
      </c>
      <c r="AK164" s="4">
        <v>100.01900000000001</v>
      </c>
      <c r="AL164" s="4">
        <v>100.456</v>
      </c>
      <c r="AM164" s="4">
        <v>99.046999999999997</v>
      </c>
      <c r="AN164" s="4">
        <v>99.412000000000006</v>
      </c>
      <c r="AO164" s="5">
        <v>441749134</v>
      </c>
      <c r="AP164" s="36">
        <v>99.596914999999996</v>
      </c>
      <c r="AQ164" s="6">
        <v>102</v>
      </c>
      <c r="AR164" s="3">
        <v>1133321.7263107128</v>
      </c>
      <c r="AS164" s="5">
        <v>2521</v>
      </c>
      <c r="AT164" s="5">
        <v>1103</v>
      </c>
      <c r="AU164" s="6">
        <v>53.9</v>
      </c>
      <c r="AV164" s="35">
        <v>39.392996795909902</v>
      </c>
      <c r="AW164" s="6">
        <v>54.3</v>
      </c>
    </row>
    <row r="165" spans="1:49" x14ac:dyDescent="0.25">
      <c r="A165" t="s">
        <v>165</v>
      </c>
      <c r="B165" s="2">
        <v>41394</v>
      </c>
      <c r="C165" s="3">
        <v>4</v>
      </c>
      <c r="D165" s="29">
        <v>4.7351000000000001</v>
      </c>
      <c r="E165" s="35">
        <v>106.45292999999999</v>
      </c>
      <c r="F165" s="29">
        <v>81.705299999999994</v>
      </c>
      <c r="G165" s="29">
        <v>84.132499999999993</v>
      </c>
      <c r="H165" s="29">
        <v>99.001900000000006</v>
      </c>
      <c r="I165" s="29">
        <v>99.455600000000004</v>
      </c>
      <c r="J165" s="29">
        <v>98.326999999999998</v>
      </c>
      <c r="K165" s="29">
        <v>98.685500000000005</v>
      </c>
      <c r="L165" s="29">
        <v>99.172600000000003</v>
      </c>
      <c r="M165" s="3">
        <v>5.04</v>
      </c>
      <c r="N165" s="3">
        <v>99.39</v>
      </c>
      <c r="O165" s="3">
        <v>100.64</v>
      </c>
      <c r="P165" s="29">
        <v>99.883099999999999</v>
      </c>
      <c r="Q165" s="29">
        <v>99.055000000000007</v>
      </c>
      <c r="R165" s="6">
        <v>31629.9</v>
      </c>
      <c r="S165" s="6">
        <v>32177.599999999999</v>
      </c>
      <c r="T165" s="3">
        <v>99.98</v>
      </c>
      <c r="U165" s="6">
        <v>39.9</v>
      </c>
      <c r="V165" s="3">
        <v>101.18</v>
      </c>
      <c r="W165" s="29">
        <v>51.718400000000003</v>
      </c>
      <c r="X165" s="29">
        <v>52.381</v>
      </c>
      <c r="Y165" s="29">
        <v>53.281599999999997</v>
      </c>
      <c r="Z165" s="29">
        <v>52.023800000000001</v>
      </c>
      <c r="AA165" s="29">
        <v>51.587299999999999</v>
      </c>
      <c r="AB165" s="29">
        <v>49.720399999999998</v>
      </c>
      <c r="AC165" s="29">
        <v>53.464700000000001</v>
      </c>
      <c r="AD165" s="29">
        <v>54.351999999999997</v>
      </c>
      <c r="AE165" s="29">
        <v>48.415500000000002</v>
      </c>
      <c r="AF165" s="29">
        <v>50.3352</v>
      </c>
      <c r="AG165" s="29">
        <v>49.312199999999997</v>
      </c>
      <c r="AH165" s="29">
        <v>47.133400000000002</v>
      </c>
      <c r="AI165" s="3">
        <v>43172.76</v>
      </c>
      <c r="AJ165" s="4">
        <v>99.426000000000002</v>
      </c>
      <c r="AK165" s="4">
        <v>98.908000000000001</v>
      </c>
      <c r="AL165" s="4">
        <v>99.596999999999994</v>
      </c>
      <c r="AM165" s="4">
        <v>98.724999999999994</v>
      </c>
      <c r="AN165" s="4">
        <v>101.819</v>
      </c>
      <c r="AO165" s="5">
        <v>452399142</v>
      </c>
      <c r="AP165" s="36">
        <v>99.194654</v>
      </c>
      <c r="AQ165" s="6">
        <v>100.3</v>
      </c>
      <c r="AR165" s="3">
        <v>1095829.7890938546</v>
      </c>
      <c r="AS165" s="5">
        <v>2521</v>
      </c>
      <c r="AT165" s="5">
        <v>1275</v>
      </c>
      <c r="AU165" s="6">
        <v>50.9</v>
      </c>
      <c r="AV165" s="35">
        <v>35.445902602225978</v>
      </c>
      <c r="AW165" s="6">
        <v>53.6</v>
      </c>
    </row>
    <row r="166" spans="1:49" x14ac:dyDescent="0.25">
      <c r="A166" t="s">
        <v>166</v>
      </c>
      <c r="B166" s="2">
        <v>41425</v>
      </c>
      <c r="C166" s="3">
        <v>4</v>
      </c>
      <c r="D166" s="29">
        <v>4.7478999999999996</v>
      </c>
      <c r="E166" s="35">
        <v>105.50868</v>
      </c>
      <c r="F166" s="29">
        <v>82.010499999999993</v>
      </c>
      <c r="G166" s="29">
        <v>84.317599999999999</v>
      </c>
      <c r="H166" s="29">
        <v>99.967100000000002</v>
      </c>
      <c r="I166" s="29">
        <v>99.001400000000004</v>
      </c>
      <c r="J166" s="29">
        <v>100.0907</v>
      </c>
      <c r="K166" s="29">
        <v>102.9328</v>
      </c>
      <c r="L166" s="29">
        <v>99.459299999999999</v>
      </c>
      <c r="M166" s="3">
        <v>4.9400000000000004</v>
      </c>
      <c r="N166" s="3">
        <v>99.34</v>
      </c>
      <c r="O166" s="3">
        <v>100.6</v>
      </c>
      <c r="P166" s="29">
        <v>100.4288</v>
      </c>
      <c r="Q166" s="29">
        <v>99.143900000000002</v>
      </c>
      <c r="R166" s="6">
        <v>30939.8</v>
      </c>
      <c r="S166" s="6">
        <v>31515.200000000001</v>
      </c>
      <c r="T166" s="3">
        <v>99.94</v>
      </c>
      <c r="U166" s="6">
        <v>39.5</v>
      </c>
      <c r="V166" s="3">
        <v>101.05</v>
      </c>
      <c r="W166" s="29">
        <v>51.747999999999998</v>
      </c>
      <c r="X166" s="29">
        <v>52.616900000000001</v>
      </c>
      <c r="Y166" s="29">
        <v>53.278500000000001</v>
      </c>
      <c r="Z166" s="29">
        <v>51.787500000000001</v>
      </c>
      <c r="AA166" s="29">
        <v>50.314500000000002</v>
      </c>
      <c r="AB166" s="29">
        <v>47.998899999999999</v>
      </c>
      <c r="AC166" s="29">
        <v>54.056600000000003</v>
      </c>
      <c r="AD166" s="29">
        <v>51.883099999999999</v>
      </c>
      <c r="AE166" s="29">
        <v>49.360999999999997</v>
      </c>
      <c r="AF166" s="29">
        <v>48.642600000000002</v>
      </c>
      <c r="AG166" s="29">
        <v>49.748399999999997</v>
      </c>
      <c r="AH166" s="29">
        <v>46.870600000000003</v>
      </c>
      <c r="AI166" s="3">
        <v>41403.78</v>
      </c>
      <c r="AJ166" s="4">
        <v>99.855000000000004</v>
      </c>
      <c r="AK166" s="4">
        <v>100.089</v>
      </c>
      <c r="AL166" s="4">
        <v>100.11</v>
      </c>
      <c r="AM166" s="4">
        <v>100.69499999999999</v>
      </c>
      <c r="AN166" s="4">
        <v>99.596999999999994</v>
      </c>
      <c r="AO166" s="5">
        <v>460025301</v>
      </c>
      <c r="AP166" s="36">
        <v>99.801119</v>
      </c>
      <c r="AQ166" s="6">
        <v>101.4</v>
      </c>
      <c r="AR166" s="3">
        <v>1122151.8040205082</v>
      </c>
      <c r="AS166" s="5">
        <v>2513</v>
      </c>
      <c r="AT166" s="5">
        <v>1029</v>
      </c>
      <c r="AU166" s="6">
        <v>49.4</v>
      </c>
      <c r="AV166" s="35">
        <v>31.397550781546922</v>
      </c>
      <c r="AW166" s="6">
        <v>52.6</v>
      </c>
    </row>
    <row r="167" spans="1:49" x14ac:dyDescent="0.25">
      <c r="A167" t="s">
        <v>167</v>
      </c>
      <c r="B167" s="2">
        <v>41455</v>
      </c>
      <c r="C167" s="3">
        <v>4</v>
      </c>
      <c r="D167" s="29">
        <v>5.6212</v>
      </c>
      <c r="E167" s="35">
        <v>99.881519999999995</v>
      </c>
      <c r="F167" s="29">
        <v>82.094899999999996</v>
      </c>
      <c r="G167" s="29">
        <v>84.475999999999999</v>
      </c>
      <c r="H167" s="29">
        <v>99.122900000000001</v>
      </c>
      <c r="I167" s="29">
        <v>99.1661</v>
      </c>
      <c r="J167" s="29">
        <v>99.7971</v>
      </c>
      <c r="K167" s="29">
        <v>98.225999999999999</v>
      </c>
      <c r="L167" s="29">
        <v>99.767799999999994</v>
      </c>
      <c r="M167" s="3">
        <v>5.01</v>
      </c>
      <c r="N167" s="3">
        <v>99.63</v>
      </c>
      <c r="O167" s="3">
        <v>100.53</v>
      </c>
      <c r="P167" s="29">
        <v>100.27679999999999</v>
      </c>
      <c r="Q167" s="29">
        <v>99.090100000000007</v>
      </c>
      <c r="R167" s="6">
        <v>31581.3</v>
      </c>
      <c r="S167" s="6">
        <v>31892.9</v>
      </c>
      <c r="T167" s="3">
        <v>99.9</v>
      </c>
      <c r="U167" s="6">
        <v>38.299999999999997</v>
      </c>
      <c r="V167" s="3">
        <v>100.87</v>
      </c>
      <c r="W167" s="29">
        <v>51.254199999999997</v>
      </c>
      <c r="X167" s="29">
        <v>51.234000000000002</v>
      </c>
      <c r="Y167" s="29">
        <v>51.598700000000001</v>
      </c>
      <c r="Z167" s="29">
        <v>51.446899999999999</v>
      </c>
      <c r="AA167" s="29">
        <v>48.713799999999999</v>
      </c>
      <c r="AB167" s="29">
        <v>49.838099999999997</v>
      </c>
      <c r="AC167" s="29">
        <v>52.580599999999997</v>
      </c>
      <c r="AD167" s="29">
        <v>52.572299999999998</v>
      </c>
      <c r="AE167" s="29">
        <v>50.272500000000001</v>
      </c>
      <c r="AF167" s="29">
        <v>47.335299999999997</v>
      </c>
      <c r="AG167" s="29">
        <v>48.47</v>
      </c>
      <c r="AH167" s="29">
        <v>46.2121</v>
      </c>
      <c r="AI167" s="3">
        <v>39491.629999999997</v>
      </c>
      <c r="AJ167" s="4">
        <v>99.268000000000001</v>
      </c>
      <c r="AK167" s="4">
        <v>99.412999999999997</v>
      </c>
      <c r="AL167" s="4">
        <v>99.054000000000002</v>
      </c>
      <c r="AM167" s="4">
        <v>99.587999999999994</v>
      </c>
      <c r="AN167" s="4">
        <v>100.021</v>
      </c>
      <c r="AO167" s="5">
        <v>463344606</v>
      </c>
      <c r="AP167" s="36">
        <v>99.596928000000005</v>
      </c>
      <c r="AQ167" s="6">
        <v>98.1</v>
      </c>
      <c r="AR167" s="3">
        <v>1155156.3631469544</v>
      </c>
      <c r="AS167" s="5">
        <v>2527</v>
      </c>
      <c r="AT167" s="5">
        <v>1090</v>
      </c>
      <c r="AU167" s="6">
        <v>47.1</v>
      </c>
      <c r="AV167" s="35">
        <v>40.269257811968338</v>
      </c>
      <c r="AW167" s="6">
        <v>52.4</v>
      </c>
    </row>
    <row r="168" spans="1:49" x14ac:dyDescent="0.25">
      <c r="A168" t="s">
        <v>168</v>
      </c>
      <c r="B168" s="2">
        <v>41486</v>
      </c>
      <c r="C168" s="3">
        <v>4</v>
      </c>
      <c r="D168" s="29">
        <v>5.8506999999999998</v>
      </c>
      <c r="E168" s="35">
        <v>101.68899999999999</v>
      </c>
      <c r="F168" s="29">
        <v>82.090100000000007</v>
      </c>
      <c r="G168" s="29">
        <v>84.558599999999998</v>
      </c>
      <c r="H168" s="29">
        <v>99.649900000000002</v>
      </c>
      <c r="I168" s="29">
        <v>99.475700000000003</v>
      </c>
      <c r="J168" s="29">
        <v>100.4727</v>
      </c>
      <c r="K168" s="29">
        <v>98.081100000000006</v>
      </c>
      <c r="L168" s="29">
        <v>100.08969999999999</v>
      </c>
      <c r="M168" s="3">
        <v>4.87</v>
      </c>
      <c r="N168" s="3">
        <v>100.66</v>
      </c>
      <c r="O168" s="3">
        <v>100.47</v>
      </c>
      <c r="P168" s="29">
        <v>101.2576</v>
      </c>
      <c r="Q168" s="29">
        <v>99.472800000000007</v>
      </c>
      <c r="R168" s="6">
        <v>31791.4</v>
      </c>
      <c r="S168" s="6">
        <v>31930.1</v>
      </c>
      <c r="T168" s="3">
        <v>99.86</v>
      </c>
      <c r="U168" s="6">
        <v>39.9</v>
      </c>
      <c r="V168" s="3">
        <v>100.65</v>
      </c>
      <c r="W168" s="29">
        <v>49.7438</v>
      </c>
      <c r="X168" s="29">
        <v>49.186399999999999</v>
      </c>
      <c r="Y168" s="29">
        <v>49.9026</v>
      </c>
      <c r="Z168" s="29">
        <v>50.135800000000003</v>
      </c>
      <c r="AA168" s="29">
        <v>49.840299999999999</v>
      </c>
      <c r="AB168" s="29">
        <v>49.253500000000003</v>
      </c>
      <c r="AC168" s="29">
        <v>55.418599999999998</v>
      </c>
      <c r="AD168" s="29">
        <v>50.002299999999998</v>
      </c>
      <c r="AE168" s="29">
        <v>50.3232</v>
      </c>
      <c r="AF168" s="29">
        <v>47.864600000000003</v>
      </c>
      <c r="AG168" s="29">
        <v>49.360999999999997</v>
      </c>
      <c r="AH168" s="29">
        <v>46.000999999999998</v>
      </c>
      <c r="AI168" s="3">
        <v>40482.69</v>
      </c>
      <c r="AJ168" s="4">
        <v>100.319</v>
      </c>
      <c r="AK168" s="4">
        <v>100.244</v>
      </c>
      <c r="AL168" s="4">
        <v>100.355</v>
      </c>
      <c r="AM168" s="4">
        <v>100.161</v>
      </c>
      <c r="AN168" s="4">
        <v>101.298</v>
      </c>
      <c r="AO168" s="5">
        <v>458751050</v>
      </c>
      <c r="AP168" s="36">
        <v>99.6374</v>
      </c>
      <c r="AQ168" s="6">
        <v>99.1</v>
      </c>
      <c r="AR168" s="3">
        <v>1148649.1868144276</v>
      </c>
      <c r="AS168" s="5">
        <v>2502</v>
      </c>
      <c r="AT168" s="5">
        <v>1210</v>
      </c>
      <c r="AU168" s="6">
        <v>50.3</v>
      </c>
      <c r="AV168" s="35">
        <v>77.733070548600239</v>
      </c>
      <c r="AW168" s="6">
        <v>53</v>
      </c>
    </row>
    <row r="169" spans="1:49" x14ac:dyDescent="0.25">
      <c r="A169" t="s">
        <v>169</v>
      </c>
      <c r="B169" s="2">
        <v>41517</v>
      </c>
      <c r="C169" s="3">
        <v>4</v>
      </c>
      <c r="D169" s="29">
        <v>6.0941000000000001</v>
      </c>
      <c r="E169" s="35">
        <v>100.32702</v>
      </c>
      <c r="F169" s="29">
        <v>82.348699999999994</v>
      </c>
      <c r="G169" s="29">
        <v>84.701400000000007</v>
      </c>
      <c r="H169" s="29">
        <v>100.37050000000001</v>
      </c>
      <c r="I169" s="29">
        <v>99.807100000000005</v>
      </c>
      <c r="J169" s="29">
        <v>100.7094</v>
      </c>
      <c r="K169" s="29">
        <v>99.576400000000007</v>
      </c>
      <c r="L169" s="29">
        <v>100.9461</v>
      </c>
      <c r="M169" s="3">
        <v>4.8</v>
      </c>
      <c r="N169" s="3">
        <v>99.69</v>
      </c>
      <c r="O169" s="3">
        <v>100.42</v>
      </c>
      <c r="P169" s="29">
        <v>99.3583</v>
      </c>
      <c r="Q169" s="29">
        <v>98.442700000000002</v>
      </c>
      <c r="R169" s="6">
        <v>31832.799999999999</v>
      </c>
      <c r="S169" s="6">
        <v>31699.7</v>
      </c>
      <c r="T169" s="3">
        <v>99.83</v>
      </c>
      <c r="U169" s="6">
        <v>40.299999999999997</v>
      </c>
      <c r="V169" s="3">
        <v>100.4</v>
      </c>
      <c r="W169" s="29">
        <v>50.779600000000002</v>
      </c>
      <c r="X169" s="29">
        <v>50.945799999999998</v>
      </c>
      <c r="Y169" s="29">
        <v>51.916800000000002</v>
      </c>
      <c r="Z169" s="29">
        <v>50.800400000000003</v>
      </c>
      <c r="AA169" s="29">
        <v>49.840299999999999</v>
      </c>
      <c r="AB169" s="29">
        <v>47.8401</v>
      </c>
      <c r="AC169" s="29">
        <v>54.692500000000003</v>
      </c>
      <c r="AD169" s="29">
        <v>52.728099999999998</v>
      </c>
      <c r="AE169" s="29">
        <v>49.559199999999997</v>
      </c>
      <c r="AF169" s="29">
        <v>48.936199999999999</v>
      </c>
      <c r="AG169" s="29">
        <v>49.134599999999999</v>
      </c>
      <c r="AH169" s="29">
        <v>47.969499999999996</v>
      </c>
      <c r="AI169" s="3">
        <v>41416.43</v>
      </c>
      <c r="AJ169" s="4">
        <v>100.17400000000001</v>
      </c>
      <c r="AK169" s="4">
        <v>100.367</v>
      </c>
      <c r="AL169" s="4">
        <v>100.17</v>
      </c>
      <c r="AM169" s="4">
        <v>100.563</v>
      </c>
      <c r="AN169" s="4">
        <v>98.802000000000007</v>
      </c>
      <c r="AO169" s="5">
        <v>470857648</v>
      </c>
      <c r="AP169" s="36">
        <v>100.34546400000001</v>
      </c>
      <c r="AQ169" s="6">
        <v>98.6</v>
      </c>
      <c r="AR169" s="3">
        <v>1189757.8706928275</v>
      </c>
      <c r="AS169" s="5">
        <v>2513</v>
      </c>
      <c r="AT169" s="5">
        <v>1157</v>
      </c>
      <c r="AU169" s="6">
        <v>49.9</v>
      </c>
      <c r="AV169" s="35">
        <v>34.493728404267586</v>
      </c>
      <c r="AW169" s="6">
        <v>50.6</v>
      </c>
    </row>
    <row r="170" spans="1:49" x14ac:dyDescent="0.25">
      <c r="A170" t="s">
        <v>170</v>
      </c>
      <c r="B170" s="2">
        <v>41547</v>
      </c>
      <c r="C170" s="3">
        <v>3.75</v>
      </c>
      <c r="D170" s="29">
        <v>6.1787999999999998</v>
      </c>
      <c r="E170" s="35">
        <v>99.124949999999998</v>
      </c>
      <c r="F170" s="29">
        <v>82.545100000000005</v>
      </c>
      <c r="G170" s="29">
        <v>84.929000000000002</v>
      </c>
      <c r="H170" s="29">
        <v>99.721000000000004</v>
      </c>
      <c r="I170" s="29">
        <v>99.512</v>
      </c>
      <c r="J170" s="29">
        <v>100.005</v>
      </c>
      <c r="K170" s="29">
        <v>98.605199999999996</v>
      </c>
      <c r="L170" s="29">
        <v>100.5012</v>
      </c>
      <c r="M170" s="3">
        <v>4.9800000000000004</v>
      </c>
      <c r="N170" s="3">
        <v>99.51</v>
      </c>
      <c r="O170" s="3">
        <v>100.39</v>
      </c>
      <c r="P170" s="29">
        <v>99.7851</v>
      </c>
      <c r="Q170" s="29">
        <v>99.525599999999997</v>
      </c>
      <c r="R170" s="6">
        <v>31981.9</v>
      </c>
      <c r="S170" s="6">
        <v>31275.8</v>
      </c>
      <c r="T170" s="3">
        <v>99.79</v>
      </c>
      <c r="U170" s="6">
        <v>39</v>
      </c>
      <c r="V170" s="3">
        <v>100.15</v>
      </c>
      <c r="W170" s="29">
        <v>50.020400000000002</v>
      </c>
      <c r="X170" s="29">
        <v>49.9771</v>
      </c>
      <c r="Y170" s="29">
        <v>50.317900000000002</v>
      </c>
      <c r="Z170" s="29">
        <v>50.385899999999999</v>
      </c>
      <c r="AA170" s="29">
        <v>50.714300000000001</v>
      </c>
      <c r="AB170" s="29">
        <v>49.607399999999998</v>
      </c>
      <c r="AC170" s="29">
        <v>55.948599999999999</v>
      </c>
      <c r="AD170" s="29">
        <v>51.729900000000001</v>
      </c>
      <c r="AE170" s="29">
        <v>51.098799999999997</v>
      </c>
      <c r="AF170" s="29">
        <v>50.244799999999998</v>
      </c>
      <c r="AG170" s="29">
        <v>49.8232</v>
      </c>
      <c r="AH170" s="29">
        <v>50.028700000000001</v>
      </c>
      <c r="AI170" s="3">
        <v>40898.22</v>
      </c>
      <c r="AJ170" s="4">
        <v>99.879000000000005</v>
      </c>
      <c r="AK170" s="4">
        <v>99.641000000000005</v>
      </c>
      <c r="AL170" s="4">
        <v>98.346000000000004</v>
      </c>
      <c r="AM170" s="4">
        <v>100.66</v>
      </c>
      <c r="AN170" s="4">
        <v>100.818</v>
      </c>
      <c r="AO170" s="5">
        <v>452520149</v>
      </c>
      <c r="AP170" s="36">
        <v>100.43593199999999</v>
      </c>
      <c r="AQ170" s="6">
        <v>97.2</v>
      </c>
      <c r="AR170" s="3">
        <v>1215343.4505524484</v>
      </c>
      <c r="AS170" s="5">
        <v>2518</v>
      </c>
      <c r="AT170" s="5">
        <v>1195</v>
      </c>
      <c r="AU170" s="6">
        <v>51</v>
      </c>
      <c r="AV170" s="35">
        <v>55.531124658086071</v>
      </c>
      <c r="AW170" s="6">
        <v>51.8</v>
      </c>
    </row>
    <row r="171" spans="1:49" x14ac:dyDescent="0.25">
      <c r="A171" t="s">
        <v>171</v>
      </c>
      <c r="B171" s="2">
        <v>41578</v>
      </c>
      <c r="C171" s="3">
        <v>3.5</v>
      </c>
      <c r="D171" s="29">
        <v>5.8981000000000003</v>
      </c>
      <c r="E171" s="35">
        <v>99.415210000000002</v>
      </c>
      <c r="F171" s="29">
        <v>82.757800000000003</v>
      </c>
      <c r="G171" s="29">
        <v>85.114599999999996</v>
      </c>
      <c r="H171" s="29">
        <v>100.72</v>
      </c>
      <c r="I171" s="29">
        <v>100.9713</v>
      </c>
      <c r="J171" s="29">
        <v>100.41719999999999</v>
      </c>
      <c r="K171" s="29">
        <v>99.005700000000004</v>
      </c>
      <c r="L171" s="29">
        <v>101.09699999999999</v>
      </c>
      <c r="M171" s="3">
        <v>4.88</v>
      </c>
      <c r="N171" s="3">
        <v>99.65</v>
      </c>
      <c r="O171" s="3">
        <v>100.4</v>
      </c>
      <c r="P171" s="29">
        <v>99.479200000000006</v>
      </c>
      <c r="Q171" s="29">
        <v>100.6103</v>
      </c>
      <c r="R171" s="6">
        <v>31920.9</v>
      </c>
      <c r="S171" s="6">
        <v>31537.3</v>
      </c>
      <c r="T171" s="3">
        <v>99.75</v>
      </c>
      <c r="U171" s="6">
        <v>38.4</v>
      </c>
      <c r="V171" s="3">
        <v>99.94</v>
      </c>
      <c r="W171" s="29">
        <v>50.2059</v>
      </c>
      <c r="X171" s="29">
        <v>49.350999999999999</v>
      </c>
      <c r="Y171" s="29">
        <v>51.299900000000001</v>
      </c>
      <c r="Z171" s="29">
        <v>49.097799999999999</v>
      </c>
      <c r="AA171" s="29">
        <v>49.254100000000001</v>
      </c>
      <c r="AB171" s="29">
        <v>50.467300000000002</v>
      </c>
      <c r="AC171" s="29">
        <v>53.865400000000001</v>
      </c>
      <c r="AD171" s="29">
        <v>50.012900000000002</v>
      </c>
      <c r="AE171" s="29">
        <v>51.425800000000002</v>
      </c>
      <c r="AF171" s="29">
        <v>50.265999999999998</v>
      </c>
      <c r="AG171" s="29">
        <v>49.487200000000001</v>
      </c>
      <c r="AH171" s="29">
        <v>48.496400000000001</v>
      </c>
      <c r="AI171" s="3">
        <v>40664.449999999997</v>
      </c>
      <c r="AJ171" s="4">
        <v>100.68600000000001</v>
      </c>
      <c r="AK171" s="4">
        <v>100.41500000000001</v>
      </c>
      <c r="AL171" s="4">
        <v>100.16800000000001</v>
      </c>
      <c r="AM171" s="4">
        <v>100.533</v>
      </c>
      <c r="AN171" s="4">
        <v>101.20699999999999</v>
      </c>
      <c r="AO171" s="5">
        <v>481559141</v>
      </c>
      <c r="AP171" s="36">
        <v>100.664055</v>
      </c>
      <c r="AQ171" s="6">
        <v>99.5</v>
      </c>
      <c r="AR171" s="3">
        <v>1247655.1693109488</v>
      </c>
      <c r="AS171" s="5">
        <v>2529</v>
      </c>
      <c r="AT171" s="5">
        <v>1193</v>
      </c>
      <c r="AU171" s="6">
        <v>50.2</v>
      </c>
      <c r="AV171" s="35">
        <v>62.132498515130642</v>
      </c>
      <c r="AW171" s="6">
        <v>52.4</v>
      </c>
    </row>
    <row r="172" spans="1:49" x14ac:dyDescent="0.25">
      <c r="A172" t="s">
        <v>172</v>
      </c>
      <c r="B172" s="2">
        <v>41608</v>
      </c>
      <c r="C172" s="3">
        <v>3.5</v>
      </c>
      <c r="D172" s="29">
        <v>6.1485000000000003</v>
      </c>
      <c r="E172" s="35">
        <v>100.19298000000001</v>
      </c>
      <c r="F172" s="29">
        <v>83.108400000000003</v>
      </c>
      <c r="G172" s="29">
        <v>85.324399999999997</v>
      </c>
      <c r="H172" s="29">
        <v>100.3942</v>
      </c>
      <c r="I172" s="29">
        <v>101.56140000000001</v>
      </c>
      <c r="J172" s="29">
        <v>101.4055</v>
      </c>
      <c r="K172" s="29">
        <v>99.840100000000007</v>
      </c>
      <c r="L172" s="29">
        <v>100.5146</v>
      </c>
      <c r="M172" s="3">
        <v>4.58</v>
      </c>
      <c r="N172" s="3">
        <v>100.45</v>
      </c>
      <c r="O172" s="3">
        <v>100.43</v>
      </c>
      <c r="P172" s="29">
        <v>99.924499999999995</v>
      </c>
      <c r="Q172" s="29">
        <v>101.2788</v>
      </c>
      <c r="R172" s="6">
        <v>31543.599999999999</v>
      </c>
      <c r="S172" s="6">
        <v>31194.5</v>
      </c>
      <c r="T172" s="3">
        <v>99.71</v>
      </c>
      <c r="U172" s="6">
        <v>37.4</v>
      </c>
      <c r="V172" s="3">
        <v>99.8</v>
      </c>
      <c r="W172" s="29">
        <v>51.903300000000002</v>
      </c>
      <c r="X172" s="29">
        <v>51.505899999999997</v>
      </c>
      <c r="Y172" s="29">
        <v>53.445399999999999</v>
      </c>
      <c r="Z172" s="29">
        <v>50.7669</v>
      </c>
      <c r="AA172" s="29">
        <v>49.079799999999999</v>
      </c>
      <c r="AB172" s="29">
        <v>52.018599999999999</v>
      </c>
      <c r="AC172" s="29">
        <v>54.769199999999998</v>
      </c>
      <c r="AD172" s="29">
        <v>52.013199999999998</v>
      </c>
      <c r="AE172" s="29">
        <v>52.070099999999996</v>
      </c>
      <c r="AF172" s="29">
        <v>51.797600000000003</v>
      </c>
      <c r="AG172" s="29">
        <v>50</v>
      </c>
      <c r="AH172" s="29">
        <v>48.1633</v>
      </c>
      <c r="AI172" s="3">
        <v>40752.980000000003</v>
      </c>
      <c r="AJ172" s="4">
        <v>100.474</v>
      </c>
      <c r="AK172" s="4">
        <v>100.729</v>
      </c>
      <c r="AL172" s="4">
        <v>100.426</v>
      </c>
      <c r="AM172" s="4">
        <v>100.80500000000001</v>
      </c>
      <c r="AN172" s="4">
        <v>97.373000000000005</v>
      </c>
      <c r="AO172" s="5">
        <v>459137881</v>
      </c>
      <c r="AP172" s="36">
        <v>100.598983</v>
      </c>
      <c r="AQ172" s="6">
        <v>98.5</v>
      </c>
      <c r="AR172" s="3">
        <v>1234981.5837408092</v>
      </c>
      <c r="AS172" s="5">
        <v>2509</v>
      </c>
      <c r="AT172" s="5">
        <v>1200</v>
      </c>
      <c r="AU172" s="6">
        <v>53.6</v>
      </c>
      <c r="AV172" s="35">
        <v>47.381574205290988</v>
      </c>
      <c r="AW172" s="6">
        <v>51.9</v>
      </c>
    </row>
    <row r="173" spans="1:49" x14ac:dyDescent="0.25">
      <c r="A173" t="s">
        <v>173</v>
      </c>
      <c r="B173" s="2">
        <v>41639</v>
      </c>
      <c r="C173" s="3">
        <v>3.5</v>
      </c>
      <c r="D173" s="29">
        <v>6.4137000000000004</v>
      </c>
      <c r="E173" s="35">
        <v>100.97103</v>
      </c>
      <c r="F173" s="29">
        <v>83.436899999999994</v>
      </c>
      <c r="G173" s="29">
        <v>85.471100000000007</v>
      </c>
      <c r="H173" s="29">
        <v>100.95050000000001</v>
      </c>
      <c r="I173" s="29">
        <v>101.3781</v>
      </c>
      <c r="J173" s="29">
        <v>100.9324</v>
      </c>
      <c r="K173" s="29">
        <v>101.28740000000001</v>
      </c>
      <c r="L173" s="29">
        <v>99.604200000000006</v>
      </c>
      <c r="M173" s="3">
        <v>4.7699999999999996</v>
      </c>
      <c r="N173" s="3">
        <v>101.82</v>
      </c>
      <c r="O173" s="3">
        <v>100.45</v>
      </c>
      <c r="P173" s="29">
        <v>99.449299999999994</v>
      </c>
      <c r="Q173" s="29">
        <v>101.65089999999999</v>
      </c>
      <c r="R173" s="6">
        <v>32191.200000000001</v>
      </c>
      <c r="S173" s="6">
        <v>31140.2</v>
      </c>
      <c r="T173" s="3">
        <v>99.67</v>
      </c>
      <c r="U173" s="6">
        <v>37.200000000000003</v>
      </c>
      <c r="V173" s="3">
        <v>99.72</v>
      </c>
      <c r="W173" s="29">
        <v>52.612900000000003</v>
      </c>
      <c r="X173" s="29">
        <v>52.745100000000001</v>
      </c>
      <c r="Y173" s="29">
        <v>54.299399999999999</v>
      </c>
      <c r="Z173" s="29">
        <v>50.461500000000001</v>
      </c>
      <c r="AA173" s="29">
        <v>49.179499999999997</v>
      </c>
      <c r="AB173" s="29">
        <v>54.214500000000001</v>
      </c>
      <c r="AC173" s="29">
        <v>53.84</v>
      </c>
      <c r="AD173" s="29">
        <v>53.896700000000003</v>
      </c>
      <c r="AE173" s="29">
        <v>53.628999999999998</v>
      </c>
      <c r="AF173" s="29">
        <v>51.2346</v>
      </c>
      <c r="AG173" s="29">
        <v>49.859000000000002</v>
      </c>
      <c r="AH173" s="29">
        <v>49.1327</v>
      </c>
      <c r="AI173" s="3">
        <v>42258.55</v>
      </c>
      <c r="AJ173" s="4">
        <v>100.88800000000001</v>
      </c>
      <c r="AK173" s="4">
        <v>100.89400000000001</v>
      </c>
      <c r="AL173" s="4">
        <v>100.499</v>
      </c>
      <c r="AM173" s="4">
        <v>101.554</v>
      </c>
      <c r="AN173" s="4">
        <v>100.449</v>
      </c>
      <c r="AO173" s="5">
        <v>427672854</v>
      </c>
      <c r="AP173" s="36">
        <v>101.103318</v>
      </c>
      <c r="AQ173" s="6">
        <v>100.5</v>
      </c>
      <c r="AR173" s="3">
        <v>1212009.933084379</v>
      </c>
      <c r="AS173" s="5">
        <v>2502</v>
      </c>
      <c r="AT173" s="5">
        <v>1308</v>
      </c>
      <c r="AU173" s="6">
        <v>51.6</v>
      </c>
      <c r="AV173" s="35">
        <v>14.732900703588781</v>
      </c>
      <c r="AW173" s="6">
        <v>54.6</v>
      </c>
    </row>
    <row r="174" spans="1:49" x14ac:dyDescent="0.25">
      <c r="A174" t="s">
        <v>174</v>
      </c>
      <c r="B174" s="2">
        <v>41670</v>
      </c>
      <c r="C174" s="3">
        <v>3.5</v>
      </c>
      <c r="D174" s="29">
        <v>6.4192999999999998</v>
      </c>
      <c r="E174" s="35">
        <v>100.39549</v>
      </c>
      <c r="F174" s="29">
        <v>84.034199999999998</v>
      </c>
      <c r="G174" s="29">
        <v>86.154499999999999</v>
      </c>
      <c r="H174" s="29">
        <v>101.04859999999999</v>
      </c>
      <c r="I174" s="29">
        <v>100.23699999999999</v>
      </c>
      <c r="J174" s="29">
        <v>106.8518</v>
      </c>
      <c r="K174" s="29">
        <v>98.687200000000004</v>
      </c>
      <c r="L174" s="29">
        <v>101.6585</v>
      </c>
      <c r="M174" s="3">
        <v>4.92</v>
      </c>
      <c r="N174" s="3">
        <v>100.89</v>
      </c>
      <c r="O174" s="3">
        <v>100.46</v>
      </c>
      <c r="P174" s="29">
        <v>98.386200000000002</v>
      </c>
      <c r="Q174" s="29">
        <v>101.8549</v>
      </c>
      <c r="R174" s="6">
        <v>31585.5</v>
      </c>
      <c r="S174" s="6">
        <v>32017</v>
      </c>
      <c r="T174" s="3">
        <v>99.65</v>
      </c>
      <c r="U174" s="6">
        <v>35.5</v>
      </c>
      <c r="V174" s="3">
        <v>99.71</v>
      </c>
      <c r="W174" s="29">
        <v>53.961300000000001</v>
      </c>
      <c r="X174" s="29">
        <v>55.674799999999998</v>
      </c>
      <c r="Y174" s="29">
        <v>56.555799999999998</v>
      </c>
      <c r="Z174" s="29">
        <v>50.153399999999998</v>
      </c>
      <c r="AA174" s="29">
        <v>48.466299999999997</v>
      </c>
      <c r="AB174" s="29">
        <v>53.150599999999997</v>
      </c>
      <c r="AC174" s="29">
        <v>53.987699999999997</v>
      </c>
      <c r="AD174" s="29">
        <v>56.134999999999998</v>
      </c>
      <c r="AE174" s="29">
        <v>52.965299999999999</v>
      </c>
      <c r="AF174" s="29">
        <v>52.054200000000002</v>
      </c>
      <c r="AG174" s="29">
        <v>51.226999999999997</v>
      </c>
      <c r="AH174" s="29">
        <v>49.975900000000003</v>
      </c>
      <c r="AI174" s="3">
        <v>41672.86</v>
      </c>
      <c r="AJ174" s="4">
        <v>100.55200000000001</v>
      </c>
      <c r="AK174" s="4">
        <v>100.747</v>
      </c>
      <c r="AL174" s="4">
        <v>100.703</v>
      </c>
      <c r="AM174" s="4">
        <v>100.867</v>
      </c>
      <c r="AN174" s="4">
        <v>99.116</v>
      </c>
      <c r="AO174" s="5">
        <v>461997991</v>
      </c>
      <c r="AP174" s="36">
        <v>100.237212</v>
      </c>
      <c r="AQ174" s="6">
        <v>97.3</v>
      </c>
      <c r="AR174" s="3">
        <v>1256418.689659693</v>
      </c>
      <c r="AS174" s="5">
        <v>2503</v>
      </c>
      <c r="AT174" s="5">
        <v>1171</v>
      </c>
      <c r="AU174" s="6">
        <v>50.7</v>
      </c>
      <c r="AV174" s="35">
        <v>34.658590052344429</v>
      </c>
      <c r="AW174" s="6">
        <v>53.2</v>
      </c>
    </row>
    <row r="175" spans="1:49" x14ac:dyDescent="0.25">
      <c r="A175" t="s">
        <v>175</v>
      </c>
      <c r="B175" s="2">
        <v>41698</v>
      </c>
      <c r="C175" s="3">
        <v>3.5</v>
      </c>
      <c r="D175" s="29">
        <v>6.4147999999999996</v>
      </c>
      <c r="E175" s="35">
        <v>99.930019999999999</v>
      </c>
      <c r="F175" s="29">
        <v>84.122500000000002</v>
      </c>
      <c r="G175" s="29">
        <v>86.233500000000006</v>
      </c>
      <c r="H175" s="29">
        <v>101.5219</v>
      </c>
      <c r="I175" s="29">
        <v>99.796999999999997</v>
      </c>
      <c r="J175" s="29">
        <v>106.1259</v>
      </c>
      <c r="K175" s="29">
        <v>102.6093</v>
      </c>
      <c r="L175" s="29">
        <v>101.49339999999999</v>
      </c>
      <c r="M175" s="3">
        <v>4.76</v>
      </c>
      <c r="N175" s="3">
        <v>100.18</v>
      </c>
      <c r="O175" s="3">
        <v>100.48</v>
      </c>
      <c r="P175" s="29">
        <v>99.864599999999996</v>
      </c>
      <c r="Q175" s="29">
        <v>102.90770000000001</v>
      </c>
      <c r="R175" s="6">
        <v>32623.7</v>
      </c>
      <c r="S175" s="6">
        <v>32610.3</v>
      </c>
      <c r="T175" s="3">
        <v>99.65</v>
      </c>
      <c r="U175" s="6">
        <v>36.5</v>
      </c>
      <c r="V175" s="3">
        <v>99.73</v>
      </c>
      <c r="W175" s="29">
        <v>51.954500000000003</v>
      </c>
      <c r="X175" s="29">
        <v>52.122700000000002</v>
      </c>
      <c r="Y175" s="29">
        <v>53.733800000000002</v>
      </c>
      <c r="Z175" s="29">
        <v>50.222200000000001</v>
      </c>
      <c r="AA175" s="29">
        <v>48.908700000000003</v>
      </c>
      <c r="AB175" s="29">
        <v>50.955399999999997</v>
      </c>
      <c r="AC175" s="29">
        <v>57.936500000000002</v>
      </c>
      <c r="AD175" s="29">
        <v>52.148600000000002</v>
      </c>
      <c r="AE175" s="29">
        <v>51.634</v>
      </c>
      <c r="AF175" s="29">
        <v>49.213299999999997</v>
      </c>
      <c r="AG175" s="29">
        <v>52.403799999999997</v>
      </c>
      <c r="AH175" s="29">
        <v>48.192799999999998</v>
      </c>
      <c r="AI175" s="3">
        <v>39948.800000000003</v>
      </c>
      <c r="AJ175" s="4">
        <v>101.11</v>
      </c>
      <c r="AK175" s="4">
        <v>101.116</v>
      </c>
      <c r="AL175" s="4">
        <v>101.024</v>
      </c>
      <c r="AM175" s="4">
        <v>101.18300000000001</v>
      </c>
      <c r="AN175" s="4">
        <v>100.93600000000001</v>
      </c>
      <c r="AO175" s="5">
        <v>447218885</v>
      </c>
      <c r="AP175" s="36">
        <v>101.59563900000001</v>
      </c>
      <c r="AQ175" s="6">
        <v>102.1</v>
      </c>
      <c r="AR175" s="3">
        <v>1288893.7377468974</v>
      </c>
      <c r="AS175" s="5">
        <v>2500</v>
      </c>
      <c r="AT175" s="5">
        <v>1275</v>
      </c>
      <c r="AU175" s="6">
        <v>50.8</v>
      </c>
      <c r="AV175" s="35">
        <v>38.11089136673165</v>
      </c>
      <c r="AW175" s="6">
        <v>53.1</v>
      </c>
    </row>
    <row r="176" spans="1:49" x14ac:dyDescent="0.25">
      <c r="A176" t="s">
        <v>176</v>
      </c>
      <c r="B176" s="2">
        <v>41729</v>
      </c>
      <c r="C176" s="3">
        <v>3.5</v>
      </c>
      <c r="D176" s="29">
        <v>6.2986000000000004</v>
      </c>
      <c r="E176" s="35">
        <v>100.77767</v>
      </c>
      <c r="F176" s="29">
        <v>84.378799999999998</v>
      </c>
      <c r="G176" s="29">
        <v>86.452500000000001</v>
      </c>
      <c r="H176" s="29">
        <v>102.3155</v>
      </c>
      <c r="I176" s="29">
        <v>99.429699999999997</v>
      </c>
      <c r="J176" s="29">
        <v>107.61839999999999</v>
      </c>
      <c r="K176" s="29">
        <v>102.9649</v>
      </c>
      <c r="L176" s="29">
        <v>102.91930000000001</v>
      </c>
      <c r="M176" s="3">
        <v>5.26</v>
      </c>
      <c r="N176" s="3">
        <v>99.5</v>
      </c>
      <c r="O176" s="3">
        <v>100.55</v>
      </c>
      <c r="P176" s="29">
        <v>100.0373</v>
      </c>
      <c r="Q176" s="29">
        <v>103.3616</v>
      </c>
      <c r="R176" s="6">
        <v>32553.5</v>
      </c>
      <c r="S176" s="6">
        <v>33107.5</v>
      </c>
      <c r="T176" s="3">
        <v>99.67</v>
      </c>
      <c r="U176" s="6">
        <v>37.4</v>
      </c>
      <c r="V176" s="3">
        <v>99.78</v>
      </c>
      <c r="W176" s="29">
        <v>51.656399999999998</v>
      </c>
      <c r="X176" s="29">
        <v>51.478200000000001</v>
      </c>
      <c r="Y176" s="29">
        <v>52.984099999999998</v>
      </c>
      <c r="Z176" s="29">
        <v>51.929299999999998</v>
      </c>
      <c r="AA176" s="29">
        <v>50.160800000000002</v>
      </c>
      <c r="AB176" s="29">
        <v>50.298299999999998</v>
      </c>
      <c r="AC176" s="29">
        <v>57.899700000000003</v>
      </c>
      <c r="AD176" s="29">
        <v>52.633299999999998</v>
      </c>
      <c r="AE176" s="29">
        <v>51.837000000000003</v>
      </c>
      <c r="AF176" s="29">
        <v>51</v>
      </c>
      <c r="AG176" s="29">
        <v>52.7331</v>
      </c>
      <c r="AH176" s="29">
        <v>47.662300000000002</v>
      </c>
      <c r="AI176" s="3">
        <v>39188.74</v>
      </c>
      <c r="AJ176" s="4">
        <v>101.185</v>
      </c>
      <c r="AK176" s="4">
        <v>101.125</v>
      </c>
      <c r="AL176" s="4">
        <v>100.03400000000001</v>
      </c>
      <c r="AM176" s="4">
        <v>101.833</v>
      </c>
      <c r="AN176" s="4">
        <v>101.55500000000001</v>
      </c>
      <c r="AO176" s="5">
        <v>495340316</v>
      </c>
      <c r="AP176" s="36">
        <v>101.64910500000001</v>
      </c>
      <c r="AQ176" s="6">
        <v>102.7</v>
      </c>
      <c r="AR176" s="3">
        <v>1317268.9518505868</v>
      </c>
      <c r="AS176" s="5">
        <v>2478</v>
      </c>
      <c r="AT176" s="5">
        <v>1133</v>
      </c>
      <c r="AU176" s="6">
        <v>52.3</v>
      </c>
      <c r="AV176" s="35">
        <v>31.124931057733988</v>
      </c>
      <c r="AW176" s="6">
        <v>51.6</v>
      </c>
    </row>
    <row r="177" spans="1:49" x14ac:dyDescent="0.25">
      <c r="A177" t="s">
        <v>177</v>
      </c>
      <c r="B177" s="2">
        <v>41759</v>
      </c>
      <c r="C177" s="3">
        <v>3.5</v>
      </c>
      <c r="D177" s="29">
        <v>6.2708000000000004</v>
      </c>
      <c r="E177" s="35">
        <v>101.23724</v>
      </c>
      <c r="F177" s="29">
        <v>84.490899999999996</v>
      </c>
      <c r="G177" s="29">
        <v>86.654499999999999</v>
      </c>
      <c r="H177" s="29">
        <v>102.8426</v>
      </c>
      <c r="I177" s="29">
        <v>99.251400000000004</v>
      </c>
      <c r="J177" s="29">
        <v>108.6065</v>
      </c>
      <c r="K177" s="29">
        <v>103.819</v>
      </c>
      <c r="L177" s="29">
        <v>103.917</v>
      </c>
      <c r="M177" s="3">
        <v>4.93</v>
      </c>
      <c r="N177" s="3">
        <v>100.74</v>
      </c>
      <c r="O177" s="3">
        <v>100.65</v>
      </c>
      <c r="P177" s="29">
        <v>101.1357</v>
      </c>
      <c r="Q177" s="29">
        <v>103.3343</v>
      </c>
      <c r="R177" s="6">
        <v>33250.5</v>
      </c>
      <c r="S177" s="6">
        <v>33276.199999999997</v>
      </c>
      <c r="T177" s="3">
        <v>99.7</v>
      </c>
      <c r="U177" s="6">
        <v>37.6</v>
      </c>
      <c r="V177" s="3">
        <v>99.84</v>
      </c>
      <c r="W177" s="29">
        <v>51.841500000000003</v>
      </c>
      <c r="X177" s="29">
        <v>52.931600000000003</v>
      </c>
      <c r="Y177" s="29">
        <v>52.986699999999999</v>
      </c>
      <c r="Z177" s="29">
        <v>50.346299999999999</v>
      </c>
      <c r="AA177" s="29">
        <v>49.918799999999997</v>
      </c>
      <c r="AB177" s="29">
        <v>51.311500000000002</v>
      </c>
      <c r="AC177" s="29">
        <v>56.168799999999997</v>
      </c>
      <c r="AD177" s="29">
        <v>50.906399999999998</v>
      </c>
      <c r="AE177" s="29">
        <v>51.277700000000003</v>
      </c>
      <c r="AF177" s="29">
        <v>51.3095</v>
      </c>
      <c r="AG177" s="29">
        <v>50.6494</v>
      </c>
      <c r="AH177" s="29">
        <v>47.346899999999998</v>
      </c>
      <c r="AI177" s="3">
        <v>40564.019999999997</v>
      </c>
      <c r="AJ177" s="4">
        <v>102.458</v>
      </c>
      <c r="AK177" s="4">
        <v>102.161</v>
      </c>
      <c r="AL177" s="4">
        <v>102.86799999999999</v>
      </c>
      <c r="AM177" s="4">
        <v>101.821</v>
      </c>
      <c r="AN177" s="4">
        <v>104.381</v>
      </c>
      <c r="AO177" s="5">
        <v>475043322</v>
      </c>
      <c r="AP177" s="36">
        <v>102.33519699999999</v>
      </c>
      <c r="AQ177" s="6">
        <v>102.9</v>
      </c>
      <c r="AR177" s="3">
        <v>1322784.4752329206</v>
      </c>
      <c r="AS177" s="5">
        <v>2485</v>
      </c>
      <c r="AT177" s="5">
        <v>1051</v>
      </c>
      <c r="AU177" s="6">
        <v>51.9</v>
      </c>
      <c r="AV177" s="35">
        <v>32.589108182128591</v>
      </c>
      <c r="AW177" s="6">
        <v>53.6</v>
      </c>
    </row>
    <row r="178" spans="1:49" x14ac:dyDescent="0.25">
      <c r="A178" t="s">
        <v>178</v>
      </c>
      <c r="B178" s="2">
        <v>41790</v>
      </c>
      <c r="C178" s="3">
        <v>3.5</v>
      </c>
      <c r="D178" s="29">
        <v>6.0697999999999999</v>
      </c>
      <c r="E178" s="35">
        <v>101.74181</v>
      </c>
      <c r="F178" s="29">
        <v>84.877899999999997</v>
      </c>
      <c r="G178" s="29">
        <v>86.851200000000006</v>
      </c>
      <c r="H178" s="29">
        <v>102.88679999999999</v>
      </c>
      <c r="I178" s="29">
        <v>99.134500000000003</v>
      </c>
      <c r="J178" s="29">
        <v>107.99160000000001</v>
      </c>
      <c r="K178" s="29">
        <v>103.661</v>
      </c>
      <c r="L178" s="29">
        <v>104.37609999999999</v>
      </c>
      <c r="M178" s="3">
        <v>4.93</v>
      </c>
      <c r="N178" s="3">
        <v>100.56</v>
      </c>
      <c r="O178" s="3">
        <v>100.76</v>
      </c>
      <c r="P178" s="29">
        <v>100.8219</v>
      </c>
      <c r="Q178" s="29">
        <v>102.62739999999999</v>
      </c>
      <c r="R178" s="6">
        <v>33341.699999999997</v>
      </c>
      <c r="S178" s="6">
        <v>33718.6</v>
      </c>
      <c r="T178" s="3">
        <v>99.72</v>
      </c>
      <c r="U178" s="6">
        <v>37.700000000000003</v>
      </c>
      <c r="V178" s="3">
        <v>99.91</v>
      </c>
      <c r="W178" s="29">
        <v>51.859499999999997</v>
      </c>
      <c r="X178" s="29">
        <v>51.611400000000003</v>
      </c>
      <c r="Y178" s="29">
        <v>53.2821</v>
      </c>
      <c r="Z178" s="29">
        <v>51.069299999999998</v>
      </c>
      <c r="AA178" s="29">
        <v>48.859900000000003</v>
      </c>
      <c r="AB178" s="29">
        <v>50.872199999999999</v>
      </c>
      <c r="AC178" s="29">
        <v>55.392200000000003</v>
      </c>
      <c r="AD178" s="29">
        <v>51.124200000000002</v>
      </c>
      <c r="AE178" s="29">
        <v>50.869399999999999</v>
      </c>
      <c r="AF178" s="29">
        <v>53.183100000000003</v>
      </c>
      <c r="AG178" s="29">
        <v>51.737200000000001</v>
      </c>
      <c r="AH178" s="29">
        <v>47.522500000000001</v>
      </c>
      <c r="AI178" s="3">
        <v>41769.120000000003</v>
      </c>
      <c r="AJ178" s="4">
        <v>102.631</v>
      </c>
      <c r="AK178" s="4">
        <v>102.53</v>
      </c>
      <c r="AL178" s="4">
        <v>103.66800000000001</v>
      </c>
      <c r="AM178" s="4">
        <v>101.809</v>
      </c>
      <c r="AN178" s="4">
        <v>105.181</v>
      </c>
      <c r="AO178" s="5">
        <v>498841999</v>
      </c>
      <c r="AP178" s="36">
        <v>102.902131</v>
      </c>
      <c r="AQ178" s="6">
        <v>102.7</v>
      </c>
      <c r="AR178" s="3">
        <v>1361694.8706533629</v>
      </c>
      <c r="AS178" s="5">
        <v>2494</v>
      </c>
      <c r="AT178" s="5">
        <v>1116</v>
      </c>
      <c r="AU178" s="6">
        <v>53.4</v>
      </c>
      <c r="AV178" s="35">
        <v>37.200627166554042</v>
      </c>
      <c r="AW178" s="6">
        <v>52.7</v>
      </c>
    </row>
    <row r="179" spans="1:49" x14ac:dyDescent="0.25">
      <c r="A179" t="s">
        <v>179</v>
      </c>
      <c r="B179" s="2">
        <v>41820</v>
      </c>
      <c r="C179" s="3">
        <v>3</v>
      </c>
      <c r="D179" s="29">
        <v>5.9065000000000003</v>
      </c>
      <c r="E179" s="35">
        <v>101.3856</v>
      </c>
      <c r="F179" s="29">
        <v>85.157799999999995</v>
      </c>
      <c r="G179" s="29">
        <v>87.076999999999998</v>
      </c>
      <c r="H179" s="29">
        <v>103.131</v>
      </c>
      <c r="I179" s="29">
        <v>98.3613</v>
      </c>
      <c r="J179" s="29">
        <v>107.9571</v>
      </c>
      <c r="K179" s="29">
        <v>104.414</v>
      </c>
      <c r="L179" s="29">
        <v>104.377</v>
      </c>
      <c r="M179" s="3">
        <v>4.8099999999999996</v>
      </c>
      <c r="N179" s="3">
        <v>100.55</v>
      </c>
      <c r="O179" s="3">
        <v>100.88</v>
      </c>
      <c r="P179" s="29">
        <v>101.1635</v>
      </c>
      <c r="Q179" s="29">
        <v>102.0795</v>
      </c>
      <c r="R179" s="6">
        <v>33150.9</v>
      </c>
      <c r="S179" s="6">
        <v>33606.9</v>
      </c>
      <c r="T179" s="3">
        <v>99.73</v>
      </c>
      <c r="U179" s="6">
        <v>37.4</v>
      </c>
      <c r="V179" s="3">
        <v>99.99</v>
      </c>
      <c r="W179" s="29">
        <v>51.823500000000003</v>
      </c>
      <c r="X179" s="29">
        <v>51.967199999999998</v>
      </c>
      <c r="Y179" s="29">
        <v>53.846200000000003</v>
      </c>
      <c r="Z179" s="29">
        <v>49.344299999999997</v>
      </c>
      <c r="AA179" s="29">
        <v>49.268599999999999</v>
      </c>
      <c r="AB179" s="29">
        <v>51.993400000000001</v>
      </c>
      <c r="AC179" s="29">
        <v>57.035200000000003</v>
      </c>
      <c r="AD179" s="29">
        <v>53.292499999999997</v>
      </c>
      <c r="AE179" s="29">
        <v>51.712299999999999</v>
      </c>
      <c r="AF179" s="29">
        <v>51.984099999999998</v>
      </c>
      <c r="AG179" s="29">
        <v>50.819699999999997</v>
      </c>
      <c r="AH179" s="29">
        <v>46.859900000000003</v>
      </c>
      <c r="AI179" s="3">
        <v>42638.37</v>
      </c>
      <c r="AJ179" s="4">
        <v>102.741</v>
      </c>
      <c r="AK179" s="4">
        <v>102.792</v>
      </c>
      <c r="AL179" s="4">
        <v>103.274</v>
      </c>
      <c r="AM179" s="4">
        <v>101.911</v>
      </c>
      <c r="AN179" s="4">
        <v>103.86799999999999</v>
      </c>
      <c r="AO179" s="5">
        <v>490780340</v>
      </c>
      <c r="AP179" s="36">
        <v>102.55439800000001</v>
      </c>
      <c r="AQ179" s="6">
        <v>102.9</v>
      </c>
      <c r="AR179" s="3">
        <v>1385855.4459066929</v>
      </c>
      <c r="AS179" s="5">
        <v>2438</v>
      </c>
      <c r="AT179" s="5">
        <v>1075</v>
      </c>
      <c r="AU179" s="6">
        <v>51.2</v>
      </c>
      <c r="AV179" s="35">
        <v>27.644829508471453</v>
      </c>
      <c r="AW179" s="6">
        <v>51</v>
      </c>
    </row>
    <row r="180" spans="1:49" x14ac:dyDescent="0.25">
      <c r="A180" t="s">
        <v>180</v>
      </c>
      <c r="B180" s="2">
        <v>41851</v>
      </c>
      <c r="C180" s="3">
        <v>3</v>
      </c>
      <c r="D180" s="29">
        <v>5.8630000000000004</v>
      </c>
      <c r="E180" s="35">
        <v>101.50400999999999</v>
      </c>
      <c r="F180" s="29">
        <v>85.440299999999993</v>
      </c>
      <c r="G180" s="29">
        <v>87.3065</v>
      </c>
      <c r="H180" s="29">
        <v>102.152</v>
      </c>
      <c r="I180" s="29">
        <v>97.828100000000006</v>
      </c>
      <c r="J180" s="29">
        <v>107.792</v>
      </c>
      <c r="K180" s="29">
        <v>98.916200000000003</v>
      </c>
      <c r="L180" s="29">
        <v>104.8027</v>
      </c>
      <c r="M180" s="3">
        <v>5.23</v>
      </c>
      <c r="N180" s="3">
        <v>101.85</v>
      </c>
      <c r="O180" s="3">
        <v>100.98</v>
      </c>
      <c r="P180" s="29">
        <v>101.5455</v>
      </c>
      <c r="Q180" s="29">
        <v>103.25239999999999</v>
      </c>
      <c r="R180" s="6">
        <v>33043</v>
      </c>
      <c r="S180" s="6">
        <v>33028.400000000001</v>
      </c>
      <c r="T180" s="3">
        <v>99.74</v>
      </c>
      <c r="U180" s="6">
        <v>36.9</v>
      </c>
      <c r="V180" s="3">
        <v>100.07</v>
      </c>
      <c r="W180" s="29">
        <v>51.518099999999997</v>
      </c>
      <c r="X180" s="29">
        <v>51.754399999999997</v>
      </c>
      <c r="Y180" s="29">
        <v>53.75</v>
      </c>
      <c r="Z180" s="29">
        <v>49.2836</v>
      </c>
      <c r="AA180" s="29">
        <v>49.6479</v>
      </c>
      <c r="AB180" s="29">
        <v>50.449599999999997</v>
      </c>
      <c r="AC180" s="29">
        <v>57.702100000000002</v>
      </c>
      <c r="AD180" s="29">
        <v>52.3568</v>
      </c>
      <c r="AE180" s="29">
        <v>50.972299999999997</v>
      </c>
      <c r="AF180" s="29">
        <v>53.030299999999997</v>
      </c>
      <c r="AG180" s="29">
        <v>50.701799999999999</v>
      </c>
      <c r="AH180" s="29">
        <v>43.783799999999999</v>
      </c>
      <c r="AI180" s="3">
        <v>43891.76</v>
      </c>
      <c r="AJ180" s="4">
        <v>102.67700000000001</v>
      </c>
      <c r="AK180" s="4">
        <v>102.673</v>
      </c>
      <c r="AL180" s="4">
        <v>103.20699999999999</v>
      </c>
      <c r="AM180" s="4">
        <v>102.17400000000001</v>
      </c>
      <c r="AN180" s="4">
        <v>104.373</v>
      </c>
      <c r="AO180" s="5">
        <v>492108999</v>
      </c>
      <c r="AP180" s="36">
        <v>102.975146</v>
      </c>
      <c r="AQ180" s="6">
        <v>101.1</v>
      </c>
      <c r="AR180" s="3">
        <v>1373850.1071503847</v>
      </c>
      <c r="AS180" s="5">
        <v>2400</v>
      </c>
      <c r="AT180" s="5">
        <v>1020</v>
      </c>
      <c r="AU180" s="6">
        <v>51.8</v>
      </c>
      <c r="AV180" s="35">
        <v>14.023697610821646</v>
      </c>
      <c r="AW180" s="6">
        <v>49.3</v>
      </c>
    </row>
    <row r="181" spans="1:49" x14ac:dyDescent="0.25">
      <c r="A181" t="s">
        <v>181</v>
      </c>
      <c r="B181" s="2">
        <v>41882</v>
      </c>
      <c r="C181" s="3">
        <v>3</v>
      </c>
      <c r="D181" s="29">
        <v>5.7152000000000003</v>
      </c>
      <c r="E181" s="35">
        <v>100.93391</v>
      </c>
      <c r="F181" s="29">
        <v>85.757000000000005</v>
      </c>
      <c r="G181" s="29">
        <v>87.553200000000004</v>
      </c>
      <c r="H181" s="29">
        <v>102.2208</v>
      </c>
      <c r="I181" s="29">
        <v>98.264700000000005</v>
      </c>
      <c r="J181" s="29">
        <v>108.7056</v>
      </c>
      <c r="K181" s="29">
        <v>101.6888</v>
      </c>
      <c r="L181" s="29">
        <v>103.3356</v>
      </c>
      <c r="M181" s="3">
        <v>4.84</v>
      </c>
      <c r="N181" s="3">
        <v>100.54</v>
      </c>
      <c r="O181" s="3">
        <v>101.05</v>
      </c>
      <c r="P181" s="29">
        <v>102.014</v>
      </c>
      <c r="Q181" s="29">
        <v>103.238</v>
      </c>
      <c r="R181" s="6">
        <v>33562.1</v>
      </c>
      <c r="S181" s="6">
        <v>34495.599999999999</v>
      </c>
      <c r="T181" s="3">
        <v>99.76</v>
      </c>
      <c r="U181" s="6">
        <v>37.299999999999997</v>
      </c>
      <c r="V181" s="3">
        <v>100.13</v>
      </c>
      <c r="W181" s="29">
        <v>52.128999999999998</v>
      </c>
      <c r="X181" s="29">
        <v>52.8842</v>
      </c>
      <c r="Y181" s="29">
        <v>52.615000000000002</v>
      </c>
      <c r="Z181" s="29">
        <v>51.248600000000003</v>
      </c>
      <c r="AA181" s="29">
        <v>48.0456</v>
      </c>
      <c r="AB181" s="29">
        <v>50.805399999999999</v>
      </c>
      <c r="AC181" s="29">
        <v>55.700299999999999</v>
      </c>
      <c r="AD181" s="29">
        <v>54.348500000000001</v>
      </c>
      <c r="AE181" s="29">
        <v>52.701000000000001</v>
      </c>
      <c r="AF181" s="29">
        <v>51.178199999999997</v>
      </c>
      <c r="AG181" s="29">
        <v>50.495800000000003</v>
      </c>
      <c r="AH181" s="29">
        <v>47.946399999999997</v>
      </c>
      <c r="AI181" s="3">
        <v>44896.21</v>
      </c>
      <c r="AJ181" s="4">
        <v>102.455</v>
      </c>
      <c r="AK181" s="4">
        <v>102.342</v>
      </c>
      <c r="AL181" s="4">
        <v>102.514</v>
      </c>
      <c r="AM181" s="4">
        <v>102.217</v>
      </c>
      <c r="AN181" s="4">
        <v>104.248</v>
      </c>
      <c r="AO181" s="5">
        <v>479466061</v>
      </c>
      <c r="AP181" s="36">
        <v>102.690123</v>
      </c>
      <c r="AQ181" s="6">
        <v>102.3</v>
      </c>
      <c r="AR181" s="3">
        <v>1385111.9795459651</v>
      </c>
      <c r="AS181" s="5">
        <v>2413</v>
      </c>
      <c r="AT181" s="5">
        <v>1114</v>
      </c>
      <c r="AU181" s="6">
        <v>53.3</v>
      </c>
      <c r="AV181" s="35">
        <v>25.466440752165848</v>
      </c>
      <c r="AW181" s="6">
        <v>53.2</v>
      </c>
    </row>
    <row r="182" spans="1:49" x14ac:dyDescent="0.25">
      <c r="A182" t="s">
        <v>182</v>
      </c>
      <c r="B182" s="2">
        <v>41912</v>
      </c>
      <c r="C182" s="3">
        <v>3</v>
      </c>
      <c r="D182" s="29">
        <v>5.8541999999999996</v>
      </c>
      <c r="E182" s="35">
        <v>101.30025999999999</v>
      </c>
      <c r="F182" s="29">
        <v>86.025899999999993</v>
      </c>
      <c r="G182" s="29">
        <v>87.749700000000004</v>
      </c>
      <c r="H182" s="29">
        <v>102.6661</v>
      </c>
      <c r="I182" s="29">
        <v>97.539100000000005</v>
      </c>
      <c r="J182" s="29">
        <v>108.664</v>
      </c>
      <c r="K182" s="29">
        <v>101.7456</v>
      </c>
      <c r="L182" s="29">
        <v>104.5929</v>
      </c>
      <c r="M182" s="3">
        <v>4.78</v>
      </c>
      <c r="N182" s="3">
        <v>100.57</v>
      </c>
      <c r="O182" s="3">
        <v>101.06</v>
      </c>
      <c r="P182" s="29">
        <v>100.77370000000001</v>
      </c>
      <c r="Q182" s="29">
        <v>103.43819999999999</v>
      </c>
      <c r="R182" s="6">
        <v>33467.800000000003</v>
      </c>
      <c r="S182" s="6">
        <v>32726.5</v>
      </c>
      <c r="T182" s="3">
        <v>99.8</v>
      </c>
      <c r="U182" s="6">
        <v>38.200000000000003</v>
      </c>
      <c r="V182" s="3">
        <v>100.15</v>
      </c>
      <c r="W182" s="29">
        <v>52.641100000000002</v>
      </c>
      <c r="X182" s="29">
        <v>53.492100000000001</v>
      </c>
      <c r="Y182" s="29">
        <v>54.491300000000003</v>
      </c>
      <c r="Z182" s="29">
        <v>51.428600000000003</v>
      </c>
      <c r="AA182" s="29">
        <v>49.2089</v>
      </c>
      <c r="AB182" s="29">
        <v>50.1629</v>
      </c>
      <c r="AC182" s="29">
        <v>56.470100000000002</v>
      </c>
      <c r="AD182" s="29">
        <v>52.619</v>
      </c>
      <c r="AE182" s="29">
        <v>50.511899999999997</v>
      </c>
      <c r="AF182" s="29">
        <v>48.6111</v>
      </c>
      <c r="AG182" s="29">
        <v>49.841799999999999</v>
      </c>
      <c r="AH182" s="29">
        <v>46.8294</v>
      </c>
      <c r="AI182" s="3">
        <v>45634.07</v>
      </c>
      <c r="AJ182" s="4">
        <v>102.58499999999999</v>
      </c>
      <c r="AK182" s="4">
        <v>102.491</v>
      </c>
      <c r="AL182" s="4">
        <v>102.002</v>
      </c>
      <c r="AM182" s="4">
        <v>102.745</v>
      </c>
      <c r="AN182" s="4">
        <v>100.38800000000001</v>
      </c>
      <c r="AO182" s="5">
        <v>478158289</v>
      </c>
      <c r="AP182" s="36">
        <v>102.718852</v>
      </c>
      <c r="AQ182" s="6">
        <v>102</v>
      </c>
      <c r="AR182" s="3">
        <v>1314071.8336209236</v>
      </c>
      <c r="AS182" s="5">
        <v>2386</v>
      </c>
      <c r="AT182" s="5">
        <v>1158</v>
      </c>
      <c r="AU182" s="6">
        <v>52.6</v>
      </c>
      <c r="AV182" s="35">
        <v>15.513070662335062</v>
      </c>
      <c r="AW182" s="6">
        <v>53</v>
      </c>
    </row>
    <row r="183" spans="1:49" x14ac:dyDescent="0.25">
      <c r="A183" t="s">
        <v>183</v>
      </c>
      <c r="B183" s="2">
        <v>41943</v>
      </c>
      <c r="C183" s="3">
        <v>3</v>
      </c>
      <c r="D183" s="29">
        <v>5.8621999999999996</v>
      </c>
      <c r="E183" s="35">
        <v>100.54107</v>
      </c>
      <c r="F183" s="29">
        <v>86.307100000000005</v>
      </c>
      <c r="G183" s="29">
        <v>87.924199999999999</v>
      </c>
      <c r="H183" s="29">
        <v>103.6705</v>
      </c>
      <c r="I183" s="29">
        <v>96.530100000000004</v>
      </c>
      <c r="J183" s="29">
        <v>108.8498</v>
      </c>
      <c r="K183" s="29">
        <v>104.8434</v>
      </c>
      <c r="L183" s="29">
        <v>105.185</v>
      </c>
      <c r="M183" s="3">
        <v>4.66</v>
      </c>
      <c r="N183" s="3">
        <v>100.6</v>
      </c>
      <c r="O183" s="3">
        <v>101.03</v>
      </c>
      <c r="P183" s="29">
        <v>101.6002</v>
      </c>
      <c r="Q183" s="29">
        <v>103.9992</v>
      </c>
      <c r="R183" s="6">
        <v>33785.5</v>
      </c>
      <c r="S183" s="6">
        <v>32992.6</v>
      </c>
      <c r="T183" s="3">
        <v>99.84</v>
      </c>
      <c r="U183" s="6">
        <v>37.9</v>
      </c>
      <c r="V183" s="3">
        <v>100.11</v>
      </c>
      <c r="W183" s="29">
        <v>53.251899999999999</v>
      </c>
      <c r="X183" s="29">
        <v>53.894100000000002</v>
      </c>
      <c r="Y183" s="29">
        <v>55.501600000000003</v>
      </c>
      <c r="Z183" s="29">
        <v>51.230499999999999</v>
      </c>
      <c r="AA183" s="29">
        <v>48.746099999999998</v>
      </c>
      <c r="AB183" s="29">
        <v>51.937399999999997</v>
      </c>
      <c r="AC183" s="29">
        <v>56.074800000000003</v>
      </c>
      <c r="AD183" s="29">
        <v>54.646000000000001</v>
      </c>
      <c r="AE183" s="29">
        <v>52.218400000000003</v>
      </c>
      <c r="AF183" s="29">
        <v>49.677100000000003</v>
      </c>
      <c r="AG183" s="29">
        <v>49.218800000000002</v>
      </c>
      <c r="AH183" s="29">
        <v>46.924500000000002</v>
      </c>
      <c r="AI183" s="3">
        <v>43889.7</v>
      </c>
      <c r="AJ183" s="4">
        <v>103.459</v>
      </c>
      <c r="AK183" s="4">
        <v>103.078</v>
      </c>
      <c r="AL183" s="4">
        <v>102.91</v>
      </c>
      <c r="AM183" s="4">
        <v>103.264</v>
      </c>
      <c r="AN183" s="4">
        <v>105.249</v>
      </c>
      <c r="AO183" s="5">
        <v>522326769</v>
      </c>
      <c r="AP183" s="36">
        <v>103.79655</v>
      </c>
      <c r="AQ183" s="6">
        <v>107.4</v>
      </c>
      <c r="AR183" s="3">
        <v>1353373.9624803923</v>
      </c>
      <c r="AS183" s="5">
        <v>2353</v>
      </c>
      <c r="AT183" s="5">
        <v>1137</v>
      </c>
      <c r="AU183" s="6">
        <v>54.9</v>
      </c>
      <c r="AV183" s="35">
        <v>25.617129110390074</v>
      </c>
      <c r="AW183" s="6">
        <v>52.1</v>
      </c>
    </row>
    <row r="184" spans="1:49" x14ac:dyDescent="0.25">
      <c r="A184" t="s">
        <v>184</v>
      </c>
      <c r="B184" s="2">
        <v>41973</v>
      </c>
      <c r="C184" s="3">
        <v>3</v>
      </c>
      <c r="D184" s="29">
        <v>5.8497000000000003</v>
      </c>
      <c r="E184" s="35">
        <v>101.45788</v>
      </c>
      <c r="F184" s="29">
        <v>86.581900000000005</v>
      </c>
      <c r="G184" s="29">
        <v>88.170400000000001</v>
      </c>
      <c r="H184" s="29">
        <v>103.4264</v>
      </c>
      <c r="I184" s="29">
        <v>96.312100000000001</v>
      </c>
      <c r="J184" s="29">
        <v>108.1716</v>
      </c>
      <c r="K184" s="29">
        <v>104.4455</v>
      </c>
      <c r="L184" s="29">
        <v>106.11060000000001</v>
      </c>
      <c r="M184" s="3">
        <v>4.6399999999999997</v>
      </c>
      <c r="N184" s="3">
        <v>101.01</v>
      </c>
      <c r="O184" s="3">
        <v>100.96</v>
      </c>
      <c r="P184" s="29">
        <v>102.7578</v>
      </c>
      <c r="Q184" s="29">
        <v>105.6862</v>
      </c>
      <c r="R184" s="6">
        <v>32981.199999999997</v>
      </c>
      <c r="S184" s="6">
        <v>34857.4</v>
      </c>
      <c r="T184" s="3">
        <v>99.89</v>
      </c>
      <c r="U184" s="6">
        <v>38.700000000000003</v>
      </c>
      <c r="V184" s="3">
        <v>100.01</v>
      </c>
      <c r="W184" s="29">
        <v>54.279299999999999</v>
      </c>
      <c r="X184" s="29">
        <v>56.386299999999999</v>
      </c>
      <c r="Y184" s="29">
        <v>56.869</v>
      </c>
      <c r="Z184" s="29">
        <v>50.9375</v>
      </c>
      <c r="AA184" s="29">
        <v>48.784999999999997</v>
      </c>
      <c r="AB184" s="29">
        <v>52.523099999999999</v>
      </c>
      <c r="AC184" s="29">
        <v>55.781300000000002</v>
      </c>
      <c r="AD184" s="29">
        <v>57.320900000000002</v>
      </c>
      <c r="AE184" s="29">
        <v>51.003300000000003</v>
      </c>
      <c r="AF184" s="29">
        <v>51.818199999999997</v>
      </c>
      <c r="AG184" s="29">
        <v>50.623100000000001</v>
      </c>
      <c r="AH184" s="29">
        <v>47.208100000000002</v>
      </c>
      <c r="AI184" s="3">
        <v>44387.17</v>
      </c>
      <c r="AJ184" s="4">
        <v>103.663</v>
      </c>
      <c r="AK184" s="4">
        <v>103.483</v>
      </c>
      <c r="AL184" s="4">
        <v>103.217</v>
      </c>
      <c r="AM184" s="4">
        <v>103.44</v>
      </c>
      <c r="AN184" s="4">
        <v>106.125</v>
      </c>
      <c r="AO184" s="5">
        <v>485162297</v>
      </c>
      <c r="AP184" s="36">
        <v>103.862324</v>
      </c>
      <c r="AQ184" s="6">
        <v>106.1</v>
      </c>
      <c r="AR184" s="3">
        <v>1414676.7755930761</v>
      </c>
      <c r="AS184" s="5">
        <v>2358</v>
      </c>
      <c r="AT184" s="5">
        <v>1230</v>
      </c>
      <c r="AU184" s="6">
        <v>53.8</v>
      </c>
      <c r="AV184" s="35">
        <v>18.411048716068947</v>
      </c>
      <c r="AW184" s="6">
        <v>54.2</v>
      </c>
    </row>
    <row r="185" spans="1:49" x14ac:dyDescent="0.25">
      <c r="A185" t="s">
        <v>185</v>
      </c>
      <c r="B185" s="2">
        <v>42004</v>
      </c>
      <c r="C185" s="3">
        <v>3</v>
      </c>
      <c r="D185" s="29">
        <v>5.9343000000000004</v>
      </c>
      <c r="E185" s="35">
        <v>96.441820000000007</v>
      </c>
      <c r="F185" s="29">
        <v>86.845299999999995</v>
      </c>
      <c r="G185" s="29">
        <v>88.245400000000004</v>
      </c>
      <c r="H185" s="29">
        <v>103.3877</v>
      </c>
      <c r="I185" s="29">
        <v>95.5762</v>
      </c>
      <c r="J185" s="29">
        <v>109.5491</v>
      </c>
      <c r="K185" s="29">
        <v>104.09059999999999</v>
      </c>
      <c r="L185" s="29">
        <v>105.5959</v>
      </c>
      <c r="M185" s="3">
        <v>4.21</v>
      </c>
      <c r="N185" s="3">
        <v>100.64</v>
      </c>
      <c r="O185" s="3">
        <v>100.87</v>
      </c>
      <c r="P185" s="29">
        <v>102.5104</v>
      </c>
      <c r="Q185" s="29">
        <v>105.5201</v>
      </c>
      <c r="R185" s="6">
        <v>32918</v>
      </c>
      <c r="S185" s="6">
        <v>33229.699999999997</v>
      </c>
      <c r="T185" s="3">
        <v>99.92</v>
      </c>
      <c r="U185" s="6">
        <v>38.4</v>
      </c>
      <c r="V185" s="3">
        <v>99.86</v>
      </c>
      <c r="W185" s="29">
        <v>55.3429</v>
      </c>
      <c r="X185" s="29">
        <v>58.101399999999998</v>
      </c>
      <c r="Y185" s="29">
        <v>57.943899999999999</v>
      </c>
      <c r="Z185" s="29">
        <v>51.886099999999999</v>
      </c>
      <c r="AA185" s="29">
        <v>48.435899999999997</v>
      </c>
      <c r="AB185" s="29">
        <v>53.224800000000002</v>
      </c>
      <c r="AC185" s="29">
        <v>56.769199999999998</v>
      </c>
      <c r="AD185" s="29">
        <v>55.981900000000003</v>
      </c>
      <c r="AE185" s="29">
        <v>52.720500000000001</v>
      </c>
      <c r="AF185" s="29">
        <v>52.777799999999999</v>
      </c>
      <c r="AG185" s="29">
        <v>51.230800000000002</v>
      </c>
      <c r="AH185" s="29">
        <v>47.164900000000003</v>
      </c>
      <c r="AI185" s="3">
        <v>42469.05</v>
      </c>
      <c r="AJ185" s="4">
        <v>102.871</v>
      </c>
      <c r="AK185" s="4">
        <v>102.58799999999999</v>
      </c>
      <c r="AL185" s="4">
        <v>101.782</v>
      </c>
      <c r="AM185" s="4">
        <v>103.872</v>
      </c>
      <c r="AN185" s="4">
        <v>104.126</v>
      </c>
      <c r="AO185" s="5">
        <v>465692403</v>
      </c>
      <c r="AP185" s="36">
        <v>104.099874</v>
      </c>
      <c r="AQ185" s="6">
        <v>104.9</v>
      </c>
      <c r="AR185" s="3">
        <v>1428078.1987248317</v>
      </c>
      <c r="AS185" s="5">
        <v>2344</v>
      </c>
      <c r="AT185" s="5">
        <v>1237</v>
      </c>
      <c r="AU185" s="6">
        <v>51.2</v>
      </c>
      <c r="AV185" s="35">
        <v>24.559168359935896</v>
      </c>
      <c r="AW185" s="6">
        <v>53.9</v>
      </c>
    </row>
    <row r="186" spans="1:49" x14ac:dyDescent="0.25">
      <c r="A186" t="s">
        <v>186</v>
      </c>
      <c r="B186" s="2">
        <v>42035</v>
      </c>
      <c r="C186" s="3">
        <v>3</v>
      </c>
      <c r="D186" s="29">
        <v>5.4786000000000001</v>
      </c>
      <c r="E186" s="35">
        <v>96.632080000000002</v>
      </c>
      <c r="F186" s="29">
        <v>86.605099999999993</v>
      </c>
      <c r="G186" s="29">
        <v>88.195300000000003</v>
      </c>
      <c r="H186" s="29">
        <v>102.7283</v>
      </c>
      <c r="I186" s="29">
        <v>95.116600000000005</v>
      </c>
      <c r="J186" s="29">
        <v>109.4901</v>
      </c>
      <c r="K186" s="29">
        <v>103.11539999999999</v>
      </c>
      <c r="L186" s="29">
        <v>105.4367</v>
      </c>
      <c r="M186" s="3">
        <v>4.3899999999999997</v>
      </c>
      <c r="N186" s="3">
        <v>100.96</v>
      </c>
      <c r="O186" s="3">
        <v>100.79</v>
      </c>
      <c r="P186" s="29">
        <v>103.60980000000001</v>
      </c>
      <c r="Q186" s="29">
        <v>104.7012</v>
      </c>
      <c r="R186" s="6">
        <v>32372.1</v>
      </c>
      <c r="S186" s="6">
        <v>32821.599999999999</v>
      </c>
      <c r="T186" s="3">
        <v>99.94</v>
      </c>
      <c r="U186" s="6">
        <v>38.200000000000003</v>
      </c>
      <c r="V186" s="3">
        <v>99.7</v>
      </c>
      <c r="W186" s="29">
        <v>56.599699999999999</v>
      </c>
      <c r="X186" s="29">
        <v>59.0625</v>
      </c>
      <c r="Y186" s="29">
        <v>59.516100000000002</v>
      </c>
      <c r="Z186" s="29">
        <v>53.593800000000002</v>
      </c>
      <c r="AA186" s="29">
        <v>48.125</v>
      </c>
      <c r="AB186" s="29">
        <v>54.792299999999997</v>
      </c>
      <c r="AC186" s="29">
        <v>57.366799999999998</v>
      </c>
      <c r="AD186" s="29">
        <v>56.896599999999999</v>
      </c>
      <c r="AE186" s="29">
        <v>54.262300000000003</v>
      </c>
      <c r="AF186" s="29">
        <v>50.302999999999997</v>
      </c>
      <c r="AG186" s="29">
        <v>52.194400000000002</v>
      </c>
      <c r="AH186" s="29">
        <v>48.444699999999997</v>
      </c>
      <c r="AI186" s="3">
        <v>41877.22</v>
      </c>
      <c r="AJ186" s="4">
        <v>103.812</v>
      </c>
      <c r="AK186" s="4">
        <v>103.746</v>
      </c>
      <c r="AL186" s="4">
        <v>102.846</v>
      </c>
      <c r="AM186" s="4">
        <v>104.60899999999999</v>
      </c>
      <c r="AN186" s="4">
        <v>105.398</v>
      </c>
      <c r="AO186" s="5">
        <v>467784635</v>
      </c>
      <c r="AP186" s="36">
        <v>104.149047</v>
      </c>
      <c r="AQ186" s="6">
        <v>106</v>
      </c>
      <c r="AR186" s="3">
        <v>1444243.0359887083</v>
      </c>
      <c r="AS186" s="5">
        <v>2251</v>
      </c>
      <c r="AT186" s="5">
        <v>1261</v>
      </c>
      <c r="AU186" s="6">
        <v>52.6</v>
      </c>
      <c r="AV186" s="35">
        <v>22.428887461283722</v>
      </c>
      <c r="AW186" s="6">
        <v>51.5</v>
      </c>
    </row>
    <row r="187" spans="1:49" x14ac:dyDescent="0.25">
      <c r="A187" t="s">
        <v>187</v>
      </c>
      <c r="B187" s="2">
        <v>42063</v>
      </c>
      <c r="C187" s="3">
        <v>3</v>
      </c>
      <c r="D187" s="29">
        <v>5.53</v>
      </c>
      <c r="E187" s="35">
        <v>95.548609999999996</v>
      </c>
      <c r="F187" s="29">
        <v>86.636799999999994</v>
      </c>
      <c r="G187" s="29">
        <v>88.325400000000002</v>
      </c>
      <c r="H187" s="29">
        <v>103.1003</v>
      </c>
      <c r="I187" s="29">
        <v>96.943100000000001</v>
      </c>
      <c r="J187" s="29">
        <v>108.5313</v>
      </c>
      <c r="K187" s="29">
        <v>100.49590000000001</v>
      </c>
      <c r="L187" s="29">
        <v>106.6568</v>
      </c>
      <c r="M187" s="3">
        <v>4.4400000000000004</v>
      </c>
      <c r="N187" s="3">
        <v>101.4</v>
      </c>
      <c r="O187" s="3">
        <v>100.73</v>
      </c>
      <c r="P187" s="29">
        <v>104.49679999999999</v>
      </c>
      <c r="Q187" s="29">
        <v>105.1827</v>
      </c>
      <c r="R187" s="6">
        <v>31813.1</v>
      </c>
      <c r="S187" s="6">
        <v>32188.7</v>
      </c>
      <c r="T187" s="3">
        <v>99.96</v>
      </c>
      <c r="U187" s="6">
        <v>38.5</v>
      </c>
      <c r="V187" s="3">
        <v>99.55</v>
      </c>
      <c r="W187" s="29">
        <v>54.384300000000003</v>
      </c>
      <c r="X187" s="29">
        <v>55.817599999999999</v>
      </c>
      <c r="Y187" s="29">
        <v>57.516300000000001</v>
      </c>
      <c r="Z187" s="29">
        <v>52.681399999999996</v>
      </c>
      <c r="AA187" s="29">
        <v>50.3155</v>
      </c>
      <c r="AB187" s="29">
        <v>51.860399999999998</v>
      </c>
      <c r="AC187" s="29">
        <v>60.0518</v>
      </c>
      <c r="AD187" s="29">
        <v>53.835000000000001</v>
      </c>
      <c r="AE187" s="29">
        <v>51.7986</v>
      </c>
      <c r="AF187" s="29">
        <v>51.283099999999997</v>
      </c>
      <c r="AG187" s="29">
        <v>54.402500000000003</v>
      </c>
      <c r="AH187" s="29">
        <v>48.870100000000001</v>
      </c>
      <c r="AI187" s="3">
        <v>43052.77</v>
      </c>
      <c r="AJ187" s="4">
        <v>103.741</v>
      </c>
      <c r="AK187" s="4">
        <v>103.815</v>
      </c>
      <c r="AL187" s="4">
        <v>102.238</v>
      </c>
      <c r="AM187" s="4">
        <v>105.39400000000001</v>
      </c>
      <c r="AN187" s="4">
        <v>102.83</v>
      </c>
      <c r="AO187" s="5">
        <v>462214357</v>
      </c>
      <c r="AP187" s="36">
        <v>104.452814</v>
      </c>
      <c r="AQ187" s="6">
        <v>102.5</v>
      </c>
      <c r="AR187" s="3">
        <v>1425733.5955490291</v>
      </c>
      <c r="AS187" s="5">
        <v>2335</v>
      </c>
      <c r="AT187" s="5">
        <v>1305</v>
      </c>
      <c r="AU187" s="6">
        <v>53.4</v>
      </c>
      <c r="AV187" s="35">
        <v>21.825282479450149</v>
      </c>
      <c r="AW187" s="6">
        <v>52</v>
      </c>
    </row>
    <row r="188" spans="1:49" x14ac:dyDescent="0.25">
      <c r="A188" t="s">
        <v>188</v>
      </c>
      <c r="B188" s="2">
        <v>42094</v>
      </c>
      <c r="C188" s="3">
        <v>3</v>
      </c>
      <c r="D188" s="29">
        <v>5.8369999999999997</v>
      </c>
      <c r="E188" s="35">
        <v>94.507949999999994</v>
      </c>
      <c r="F188" s="29">
        <v>86.979699999999994</v>
      </c>
      <c r="G188" s="29">
        <v>88.513199999999998</v>
      </c>
      <c r="H188" s="29">
        <v>102.8295</v>
      </c>
      <c r="I188" s="29">
        <v>95.630499999999998</v>
      </c>
      <c r="J188" s="29">
        <v>108.98739999999999</v>
      </c>
      <c r="K188" s="29">
        <v>102.2684</v>
      </c>
      <c r="L188" s="29">
        <v>105.5878</v>
      </c>
      <c r="M188" s="3">
        <v>4.28</v>
      </c>
      <c r="N188" s="3">
        <v>101.33</v>
      </c>
      <c r="O188" s="3">
        <v>100.67</v>
      </c>
      <c r="P188" s="29">
        <v>105.18729999999999</v>
      </c>
      <c r="Q188" s="29">
        <v>105.45480000000001</v>
      </c>
      <c r="R188" s="6">
        <v>32394.1</v>
      </c>
      <c r="S188" s="6">
        <v>33095.9</v>
      </c>
      <c r="T188" s="3">
        <v>99.98</v>
      </c>
      <c r="U188" s="6">
        <v>38.799999999999997</v>
      </c>
      <c r="V188" s="3">
        <v>99.43</v>
      </c>
      <c r="W188" s="29">
        <v>53.822099999999999</v>
      </c>
      <c r="X188" s="29">
        <v>54.9679</v>
      </c>
      <c r="Y188" s="29">
        <v>56.6922</v>
      </c>
      <c r="Z188" s="29">
        <v>53.205100000000002</v>
      </c>
      <c r="AA188" s="29">
        <v>49.6785</v>
      </c>
      <c r="AB188" s="29">
        <v>48.831899999999997</v>
      </c>
      <c r="AC188" s="29">
        <v>61.734699999999997</v>
      </c>
      <c r="AD188" s="29">
        <v>53.536999999999999</v>
      </c>
      <c r="AE188" s="29">
        <v>49.692500000000003</v>
      </c>
      <c r="AF188" s="29">
        <v>51</v>
      </c>
      <c r="AG188" s="29">
        <v>54.487200000000001</v>
      </c>
      <c r="AH188" s="29">
        <v>48.351599999999998</v>
      </c>
      <c r="AI188" s="3">
        <v>43687.87</v>
      </c>
      <c r="AJ188" s="4">
        <v>104.377</v>
      </c>
      <c r="AK188" s="4">
        <v>104.116</v>
      </c>
      <c r="AL188" s="4">
        <v>101.57899999999999</v>
      </c>
      <c r="AM188" s="4">
        <v>106.26900000000001</v>
      </c>
      <c r="AN188" s="4">
        <v>105.108</v>
      </c>
      <c r="AO188" s="5">
        <v>510934942</v>
      </c>
      <c r="AP188" s="36">
        <v>104.53971799999999</v>
      </c>
      <c r="AQ188" s="6">
        <v>105.6</v>
      </c>
      <c r="AR188" s="3">
        <v>1408387.5359926189</v>
      </c>
      <c r="AS188" s="5">
        <v>2329</v>
      </c>
      <c r="AT188" s="5">
        <v>1228</v>
      </c>
      <c r="AU188" s="6">
        <v>54.9</v>
      </c>
      <c r="AV188" s="35">
        <v>43.988009872119115</v>
      </c>
      <c r="AW188" s="6">
        <v>53.2</v>
      </c>
    </row>
    <row r="189" spans="1:49" x14ac:dyDescent="0.25">
      <c r="A189" t="s">
        <v>189</v>
      </c>
      <c r="B189" s="2">
        <v>42124</v>
      </c>
      <c r="C189" s="3">
        <v>3</v>
      </c>
      <c r="D189" s="29">
        <v>5.7149000000000001</v>
      </c>
      <c r="E189" s="35">
        <v>93.977469999999997</v>
      </c>
      <c r="F189" s="29">
        <v>87.162099999999995</v>
      </c>
      <c r="G189" s="29">
        <v>88.708799999999997</v>
      </c>
      <c r="H189" s="29">
        <v>103.94029999999999</v>
      </c>
      <c r="I189" s="29">
        <v>92.655900000000003</v>
      </c>
      <c r="J189" s="29">
        <v>109.38460000000001</v>
      </c>
      <c r="K189" s="29">
        <v>107.2936</v>
      </c>
      <c r="L189" s="29">
        <v>107.8028</v>
      </c>
      <c r="M189" s="3">
        <v>4.38</v>
      </c>
      <c r="N189" s="3">
        <v>100.98</v>
      </c>
      <c r="O189" s="3">
        <v>100.6</v>
      </c>
      <c r="P189" s="29">
        <v>104.80719999999999</v>
      </c>
      <c r="Q189" s="29">
        <v>105.31180000000001</v>
      </c>
      <c r="R189" s="6">
        <v>32264.9</v>
      </c>
      <c r="S189" s="6">
        <v>33257.699999999997</v>
      </c>
      <c r="T189" s="3">
        <v>100</v>
      </c>
      <c r="U189" s="6">
        <v>37.9</v>
      </c>
      <c r="V189" s="3">
        <v>99.34</v>
      </c>
      <c r="W189" s="29">
        <v>53.809100000000001</v>
      </c>
      <c r="X189" s="29">
        <v>55.865200000000002</v>
      </c>
      <c r="Y189" s="29">
        <v>56.4846</v>
      </c>
      <c r="Z189" s="29">
        <v>51.131700000000002</v>
      </c>
      <c r="AA189" s="29">
        <v>49.424300000000002</v>
      </c>
      <c r="AB189" s="29">
        <v>50.847499999999997</v>
      </c>
      <c r="AC189" s="29">
        <v>61.147500000000001</v>
      </c>
      <c r="AD189" s="29">
        <v>55.592100000000002</v>
      </c>
      <c r="AE189" s="29">
        <v>52</v>
      </c>
      <c r="AF189" s="29">
        <v>53.284700000000001</v>
      </c>
      <c r="AG189" s="29">
        <v>53.934399999999997</v>
      </c>
      <c r="AH189" s="29">
        <v>47.366900000000001</v>
      </c>
      <c r="AI189" s="3">
        <v>45087.28</v>
      </c>
      <c r="AJ189" s="4">
        <v>104.551</v>
      </c>
      <c r="AK189" s="4">
        <v>104.202</v>
      </c>
      <c r="AL189" s="4">
        <v>102.54600000000001</v>
      </c>
      <c r="AM189" s="4">
        <v>106.20699999999999</v>
      </c>
      <c r="AN189" s="4">
        <v>108.452</v>
      </c>
      <c r="AO189" s="5">
        <v>496844517</v>
      </c>
      <c r="AP189" s="36">
        <v>106.139326</v>
      </c>
      <c r="AQ189" s="6">
        <v>108.1</v>
      </c>
      <c r="AR189" s="3">
        <v>1542253.9941823725</v>
      </c>
      <c r="AS189" s="5">
        <v>2208</v>
      </c>
      <c r="AT189" s="5">
        <v>1035</v>
      </c>
      <c r="AU189" s="6">
        <v>55.3</v>
      </c>
      <c r="AV189" s="35">
        <v>26.815911134728694</v>
      </c>
      <c r="AW189" s="6">
        <v>51</v>
      </c>
    </row>
    <row r="190" spans="1:49" x14ac:dyDescent="0.25">
      <c r="A190" t="s">
        <v>190</v>
      </c>
      <c r="B190" s="2">
        <v>42155</v>
      </c>
      <c r="C190" s="3">
        <v>3</v>
      </c>
      <c r="D190" s="29">
        <v>5.9089999999999998</v>
      </c>
      <c r="E190" s="35">
        <v>92.453999999999994</v>
      </c>
      <c r="F190" s="29">
        <v>87.318200000000004</v>
      </c>
      <c r="G190" s="29">
        <v>88.872200000000007</v>
      </c>
      <c r="H190" s="29">
        <v>102.613</v>
      </c>
      <c r="I190" s="29">
        <v>92.662199999999999</v>
      </c>
      <c r="J190" s="29">
        <v>107.72199999999999</v>
      </c>
      <c r="K190" s="29">
        <v>103.1199</v>
      </c>
      <c r="L190" s="29">
        <v>106.605</v>
      </c>
      <c r="M190" s="3">
        <v>4.41</v>
      </c>
      <c r="N190" s="3">
        <v>101.16</v>
      </c>
      <c r="O190" s="3">
        <v>100.54</v>
      </c>
      <c r="P190" s="29">
        <v>105.2119</v>
      </c>
      <c r="Q190" s="29">
        <v>105.41459999999999</v>
      </c>
      <c r="R190" s="6">
        <v>31243.9</v>
      </c>
      <c r="S190" s="6">
        <v>32999.199999999997</v>
      </c>
      <c r="T190" s="3">
        <v>100.02</v>
      </c>
      <c r="U190" s="6">
        <v>37.700000000000003</v>
      </c>
      <c r="V190" s="3">
        <v>99.3</v>
      </c>
      <c r="W190" s="29">
        <v>53.320700000000002</v>
      </c>
      <c r="X190" s="29">
        <v>53.805500000000002</v>
      </c>
      <c r="Y190" s="29">
        <v>55.164900000000003</v>
      </c>
      <c r="Z190" s="29">
        <v>52.483400000000003</v>
      </c>
      <c r="AA190" s="29">
        <v>49.5</v>
      </c>
      <c r="AB190" s="29">
        <v>52.482300000000002</v>
      </c>
      <c r="AC190" s="29">
        <v>61.036799999999999</v>
      </c>
      <c r="AD190" s="29">
        <v>53.030299999999997</v>
      </c>
      <c r="AE190" s="29">
        <v>51.524900000000002</v>
      </c>
      <c r="AF190" s="29">
        <v>53</v>
      </c>
      <c r="AG190" s="29">
        <v>52.317900000000002</v>
      </c>
      <c r="AH190" s="29">
        <v>46.060600000000001</v>
      </c>
      <c r="AI190" s="3">
        <v>45013.64</v>
      </c>
      <c r="AJ190" s="4">
        <v>104.602</v>
      </c>
      <c r="AK190" s="4">
        <v>104.015</v>
      </c>
      <c r="AL190" s="4">
        <v>101.64</v>
      </c>
      <c r="AM190" s="4">
        <v>106.61199999999999</v>
      </c>
      <c r="AN190" s="4">
        <v>111.76600000000001</v>
      </c>
      <c r="AO190" s="5">
        <v>503035911</v>
      </c>
      <c r="AP190" s="36">
        <v>105.249589</v>
      </c>
      <c r="AQ190" s="6">
        <v>105.8</v>
      </c>
      <c r="AR190" s="3">
        <v>1503410.1241178161</v>
      </c>
      <c r="AS190" s="5">
        <v>2228</v>
      </c>
      <c r="AT190" s="5">
        <v>1114</v>
      </c>
      <c r="AU190" s="6">
        <v>54.4</v>
      </c>
      <c r="AV190" s="35">
        <v>29.478364168987426</v>
      </c>
      <c r="AW190" s="6">
        <v>52.6</v>
      </c>
    </row>
    <row r="191" spans="1:49" x14ac:dyDescent="0.25">
      <c r="A191" t="s">
        <v>191</v>
      </c>
      <c r="B191" s="2">
        <v>42185</v>
      </c>
      <c r="C191" s="3">
        <v>3</v>
      </c>
      <c r="D191" s="29">
        <v>6.0951000000000004</v>
      </c>
      <c r="E191" s="35">
        <v>91.513149999999996</v>
      </c>
      <c r="F191" s="29">
        <v>87.594099999999997</v>
      </c>
      <c r="G191" s="29">
        <v>89.095500000000001</v>
      </c>
      <c r="H191" s="29">
        <v>103.1502</v>
      </c>
      <c r="I191" s="29">
        <v>93.512299999999996</v>
      </c>
      <c r="J191" s="29">
        <v>107.907</v>
      </c>
      <c r="K191" s="29">
        <v>104.2796</v>
      </c>
      <c r="L191" s="29">
        <v>106.6044</v>
      </c>
      <c r="M191" s="3">
        <v>4.41</v>
      </c>
      <c r="N191" s="3">
        <v>101.28</v>
      </c>
      <c r="O191" s="3">
        <v>100.48</v>
      </c>
      <c r="P191" s="29">
        <v>105.9567</v>
      </c>
      <c r="Q191" s="29">
        <v>105.8629</v>
      </c>
      <c r="R191" s="6">
        <v>32180.7</v>
      </c>
      <c r="S191" s="6">
        <v>33701.800000000003</v>
      </c>
      <c r="T191" s="3">
        <v>100.05</v>
      </c>
      <c r="U191" s="6">
        <v>38.5</v>
      </c>
      <c r="V191" s="3">
        <v>99.28</v>
      </c>
      <c r="W191" s="29">
        <v>51.965600000000002</v>
      </c>
      <c r="X191" s="29">
        <v>52.310200000000002</v>
      </c>
      <c r="Y191" s="29">
        <v>53.061199999999999</v>
      </c>
      <c r="Z191" s="29">
        <v>50.996699999999997</v>
      </c>
      <c r="AA191" s="29">
        <v>49.681800000000003</v>
      </c>
      <c r="AB191" s="29">
        <v>52.225999999999999</v>
      </c>
      <c r="AC191" s="29">
        <v>58.517299999999999</v>
      </c>
      <c r="AD191" s="29">
        <v>51.021000000000001</v>
      </c>
      <c r="AE191" s="29">
        <v>52.036999999999999</v>
      </c>
      <c r="AF191" s="29">
        <v>52.104599999999998</v>
      </c>
      <c r="AG191" s="29">
        <v>52.392699999999998</v>
      </c>
      <c r="AH191" s="29">
        <v>49.668900000000001</v>
      </c>
      <c r="AI191" s="3">
        <v>44878.27</v>
      </c>
      <c r="AJ191" s="4">
        <v>105.154</v>
      </c>
      <c r="AK191" s="4">
        <v>103.98</v>
      </c>
      <c r="AL191" s="4">
        <v>100.1</v>
      </c>
      <c r="AM191" s="4">
        <v>107.42</v>
      </c>
      <c r="AN191" s="4">
        <v>115.76</v>
      </c>
      <c r="AO191" s="5">
        <v>520000501</v>
      </c>
      <c r="AP191" s="36">
        <v>105.65278499999999</v>
      </c>
      <c r="AQ191" s="6">
        <v>109.3</v>
      </c>
      <c r="AR191" s="3">
        <v>1478648.1169347693</v>
      </c>
      <c r="AS191" s="5">
        <v>2244</v>
      </c>
      <c r="AT191" s="5">
        <v>1047</v>
      </c>
      <c r="AU191" s="6">
        <v>53.3</v>
      </c>
      <c r="AV191" s="35">
        <v>32.698208989849292</v>
      </c>
      <c r="AW191" s="6">
        <v>53.3</v>
      </c>
    </row>
    <row r="192" spans="1:49" x14ac:dyDescent="0.25">
      <c r="A192" t="s">
        <v>192</v>
      </c>
      <c r="B192" s="2">
        <v>42216</v>
      </c>
      <c r="C192" s="3">
        <v>3</v>
      </c>
      <c r="D192" s="29">
        <v>6.0021000000000004</v>
      </c>
      <c r="E192" s="35">
        <v>89.421300000000002</v>
      </c>
      <c r="F192" s="29">
        <v>87.780900000000003</v>
      </c>
      <c r="G192" s="29">
        <v>89.319299999999998</v>
      </c>
      <c r="H192" s="29">
        <v>104.491</v>
      </c>
      <c r="I192" s="29">
        <v>93.522999999999996</v>
      </c>
      <c r="J192" s="29">
        <v>109.25279999999999</v>
      </c>
      <c r="K192" s="29">
        <v>108.63420000000001</v>
      </c>
      <c r="L192" s="29">
        <v>106.76220000000001</v>
      </c>
      <c r="M192" s="3">
        <v>4.49</v>
      </c>
      <c r="N192" s="3">
        <v>101.65</v>
      </c>
      <c r="O192" s="3">
        <v>100.41</v>
      </c>
      <c r="P192" s="29">
        <v>106.80670000000001</v>
      </c>
      <c r="Q192" s="29">
        <v>107.9318</v>
      </c>
      <c r="R192" s="6">
        <v>32302.7</v>
      </c>
      <c r="S192" s="6">
        <v>33285.300000000003</v>
      </c>
      <c r="T192" s="3">
        <v>100.07</v>
      </c>
      <c r="U192" s="6">
        <v>37.6</v>
      </c>
      <c r="V192" s="3">
        <v>99.29</v>
      </c>
      <c r="W192" s="29">
        <v>52.941000000000003</v>
      </c>
      <c r="X192" s="29">
        <v>53.257300000000001</v>
      </c>
      <c r="Y192" s="29">
        <v>54.7879</v>
      </c>
      <c r="Z192" s="29">
        <v>52.442999999999998</v>
      </c>
      <c r="AA192" s="29">
        <v>50.162300000000002</v>
      </c>
      <c r="AB192" s="29">
        <v>52.260899999999999</v>
      </c>
      <c r="AC192" s="29">
        <v>58.279200000000003</v>
      </c>
      <c r="AD192" s="29">
        <v>54.085000000000001</v>
      </c>
      <c r="AE192" s="29">
        <v>52.196899999999999</v>
      </c>
      <c r="AF192" s="29">
        <v>55.6738</v>
      </c>
      <c r="AG192" s="29">
        <v>53.745899999999999</v>
      </c>
      <c r="AH192" s="29">
        <v>49.7059</v>
      </c>
      <c r="AI192" s="3">
        <v>44831.46</v>
      </c>
      <c r="AJ192" s="4">
        <v>104.80200000000001</v>
      </c>
      <c r="AK192" s="4">
        <v>104.369</v>
      </c>
      <c r="AL192" s="4">
        <v>101.313</v>
      </c>
      <c r="AM192" s="4">
        <v>107.72</v>
      </c>
      <c r="AN192" s="4">
        <v>110.73699999999999</v>
      </c>
      <c r="AO192" s="5">
        <v>516595372</v>
      </c>
      <c r="AP192" s="36">
        <v>106.48936999999999</v>
      </c>
      <c r="AQ192" s="6">
        <v>111.3</v>
      </c>
      <c r="AR192" s="3">
        <v>1473610.8566932457</v>
      </c>
      <c r="AS192" s="5">
        <v>2275</v>
      </c>
      <c r="AT192" s="5">
        <v>1187</v>
      </c>
      <c r="AU192" s="6">
        <v>53.6</v>
      </c>
      <c r="AV192" s="35">
        <v>51.963805064611499</v>
      </c>
      <c r="AW192" s="6">
        <v>53.1</v>
      </c>
    </row>
    <row r="193" spans="1:49" x14ac:dyDescent="0.25">
      <c r="A193" t="s">
        <v>193</v>
      </c>
      <c r="B193" s="2">
        <v>42247</v>
      </c>
      <c r="C193" s="3">
        <v>3</v>
      </c>
      <c r="D193" s="29">
        <v>5.9907000000000004</v>
      </c>
      <c r="E193" s="35">
        <v>87.099080000000001</v>
      </c>
      <c r="F193" s="29">
        <v>87.960300000000004</v>
      </c>
      <c r="G193" s="29">
        <v>89.560299999999998</v>
      </c>
      <c r="H193" s="29">
        <v>104.6148</v>
      </c>
      <c r="I193" s="29">
        <v>94.006</v>
      </c>
      <c r="J193" s="29">
        <v>110.962</v>
      </c>
      <c r="K193" s="29">
        <v>108.65300000000001</v>
      </c>
      <c r="L193" s="29">
        <v>107.05070000000001</v>
      </c>
      <c r="M193" s="3">
        <v>4.38</v>
      </c>
      <c r="N193" s="3">
        <v>101.51</v>
      </c>
      <c r="O193" s="3">
        <v>100.34</v>
      </c>
      <c r="P193" s="29">
        <v>107.9241</v>
      </c>
      <c r="Q193" s="29">
        <v>105.7621</v>
      </c>
      <c r="R193" s="6">
        <v>31685.5</v>
      </c>
      <c r="S193" s="6">
        <v>34047.1</v>
      </c>
      <c r="T193" s="3">
        <v>100.08</v>
      </c>
      <c r="U193" s="6">
        <v>37.299999999999997</v>
      </c>
      <c r="V193" s="3">
        <v>99.33</v>
      </c>
      <c r="W193" s="29">
        <v>52.372700000000002</v>
      </c>
      <c r="X193" s="29">
        <v>51.183700000000002</v>
      </c>
      <c r="Y193" s="29">
        <v>54.639200000000002</v>
      </c>
      <c r="Z193" s="29">
        <v>53.278700000000001</v>
      </c>
      <c r="AA193" s="29">
        <v>49.688099999999999</v>
      </c>
      <c r="AB193" s="29">
        <v>49.825200000000002</v>
      </c>
      <c r="AC193" s="29">
        <v>62.254899999999999</v>
      </c>
      <c r="AD193" s="29">
        <v>51.470599999999997</v>
      </c>
      <c r="AE193" s="29">
        <v>50.9328</v>
      </c>
      <c r="AF193" s="29">
        <v>54.421799999999998</v>
      </c>
      <c r="AG193" s="29">
        <v>54.590200000000003</v>
      </c>
      <c r="AH193" s="29">
        <v>46.333300000000001</v>
      </c>
      <c r="AI193" s="3">
        <v>43758.25</v>
      </c>
      <c r="AJ193" s="4">
        <v>106.655</v>
      </c>
      <c r="AK193" s="4">
        <v>105.84399999999999</v>
      </c>
      <c r="AL193" s="4">
        <v>103.209</v>
      </c>
      <c r="AM193" s="4">
        <v>108.458</v>
      </c>
      <c r="AN193" s="4">
        <v>114.693</v>
      </c>
      <c r="AO193" s="5">
        <v>531380439</v>
      </c>
      <c r="AP193" s="36">
        <v>106.643153</v>
      </c>
      <c r="AQ193" s="6">
        <v>111</v>
      </c>
      <c r="AR193" s="3">
        <v>1467156.2736726347</v>
      </c>
      <c r="AS193" s="5">
        <v>2252</v>
      </c>
      <c r="AT193" s="5">
        <v>1261</v>
      </c>
      <c r="AU193" s="6">
        <v>51.3</v>
      </c>
      <c r="AV193" s="35">
        <v>47.864978972606153</v>
      </c>
      <c r="AW193" s="6">
        <v>50.1</v>
      </c>
    </row>
    <row r="194" spans="1:49" x14ac:dyDescent="0.25">
      <c r="A194" t="s">
        <v>194</v>
      </c>
      <c r="B194" s="2">
        <v>42277</v>
      </c>
      <c r="C194" s="3">
        <v>3</v>
      </c>
      <c r="D194" s="29">
        <v>6.0498000000000003</v>
      </c>
      <c r="E194" s="35">
        <v>86.152199999999993</v>
      </c>
      <c r="F194" s="29">
        <v>88.189800000000005</v>
      </c>
      <c r="G194" s="29">
        <v>89.827600000000004</v>
      </c>
      <c r="H194" s="29">
        <v>105.97799999999999</v>
      </c>
      <c r="I194" s="29">
        <v>93.488699999999994</v>
      </c>
      <c r="J194" s="29">
        <v>111.4697</v>
      </c>
      <c r="K194" s="29">
        <v>108.8587</v>
      </c>
      <c r="L194" s="29">
        <v>108.68470000000001</v>
      </c>
      <c r="M194" s="3">
        <v>4.2</v>
      </c>
      <c r="N194" s="3">
        <v>101.25</v>
      </c>
      <c r="O194" s="3">
        <v>100.27</v>
      </c>
      <c r="P194" s="29">
        <v>106.9423</v>
      </c>
      <c r="Q194" s="29">
        <v>104.62220000000001</v>
      </c>
      <c r="R194" s="6">
        <v>31383.9</v>
      </c>
      <c r="S194" s="6">
        <v>32544.1</v>
      </c>
      <c r="T194" s="3">
        <v>100.07</v>
      </c>
      <c r="U194" s="6">
        <v>37.5</v>
      </c>
      <c r="V194" s="3">
        <v>99.39</v>
      </c>
      <c r="W194" s="29">
        <v>52.1068</v>
      </c>
      <c r="X194" s="29">
        <v>51.333799999999997</v>
      </c>
      <c r="Y194" s="29">
        <v>53.239199999999997</v>
      </c>
      <c r="Z194" s="29">
        <v>52.622999999999998</v>
      </c>
      <c r="AA194" s="29">
        <v>48.379899999999999</v>
      </c>
      <c r="AB194" s="29">
        <v>50.3401</v>
      </c>
      <c r="AC194" s="29">
        <v>64.169399999999996</v>
      </c>
      <c r="AD194" s="29">
        <v>51.815199999999997</v>
      </c>
      <c r="AE194" s="29">
        <v>52.258899999999997</v>
      </c>
      <c r="AF194" s="29">
        <v>53.453800000000001</v>
      </c>
      <c r="AG194" s="29">
        <v>53.583100000000002</v>
      </c>
      <c r="AH194" s="29">
        <v>45.8065</v>
      </c>
      <c r="AI194" s="3">
        <v>42914.13</v>
      </c>
      <c r="AJ194" s="4">
        <v>106.658</v>
      </c>
      <c r="AK194" s="4">
        <v>106.044</v>
      </c>
      <c r="AL194" s="4">
        <v>102.86</v>
      </c>
      <c r="AM194" s="4">
        <v>109.187</v>
      </c>
      <c r="AN194" s="4">
        <v>108.93</v>
      </c>
      <c r="AO194" s="5">
        <v>526255890</v>
      </c>
      <c r="AP194" s="36">
        <v>107.734667</v>
      </c>
      <c r="AQ194" s="6">
        <v>111.7</v>
      </c>
      <c r="AR194" s="3">
        <v>1472213.3358958643</v>
      </c>
      <c r="AS194" s="5">
        <v>2269</v>
      </c>
      <c r="AT194" s="5">
        <v>1169</v>
      </c>
      <c r="AU194" s="6">
        <v>52</v>
      </c>
      <c r="AV194" s="35">
        <v>74.069186321199723</v>
      </c>
      <c r="AW194" s="6">
        <v>52.3</v>
      </c>
    </row>
    <row r="195" spans="1:49" x14ac:dyDescent="0.25">
      <c r="A195" t="s">
        <v>195</v>
      </c>
      <c r="B195" s="2">
        <v>42308</v>
      </c>
      <c r="C195" s="3">
        <v>3</v>
      </c>
      <c r="D195" s="29">
        <v>5.8819999999999997</v>
      </c>
      <c r="E195" s="35">
        <v>87.603300000000004</v>
      </c>
      <c r="F195" s="29">
        <v>88.440100000000001</v>
      </c>
      <c r="G195" s="29">
        <v>90.088300000000004</v>
      </c>
      <c r="H195" s="29">
        <v>104.06659999999999</v>
      </c>
      <c r="I195" s="29">
        <v>93.273200000000003</v>
      </c>
      <c r="J195" s="29">
        <v>112.3552</v>
      </c>
      <c r="K195" s="29">
        <v>102.2893</v>
      </c>
      <c r="L195" s="29">
        <v>108.4674</v>
      </c>
      <c r="M195" s="3">
        <v>4.43</v>
      </c>
      <c r="N195" s="3">
        <v>102.2</v>
      </c>
      <c r="O195" s="3">
        <v>100.22</v>
      </c>
      <c r="P195" s="29">
        <v>106.8755</v>
      </c>
      <c r="Q195" s="29">
        <v>105.20569999999999</v>
      </c>
      <c r="R195" s="6">
        <v>32195.5</v>
      </c>
      <c r="S195" s="6">
        <v>32996.9</v>
      </c>
      <c r="T195" s="3">
        <v>100.03</v>
      </c>
      <c r="U195" s="6">
        <v>38</v>
      </c>
      <c r="V195" s="3">
        <v>99.48</v>
      </c>
      <c r="W195" s="29">
        <v>52.992800000000003</v>
      </c>
      <c r="X195" s="29">
        <v>53.627800000000001</v>
      </c>
      <c r="Y195" s="29">
        <v>54.111800000000002</v>
      </c>
      <c r="Z195" s="29">
        <v>53.7789</v>
      </c>
      <c r="AA195" s="29">
        <v>50.142000000000003</v>
      </c>
      <c r="AB195" s="29">
        <v>51.1785</v>
      </c>
      <c r="AC195" s="29">
        <v>60.995899999999999</v>
      </c>
      <c r="AD195" s="29">
        <v>52.866199999999999</v>
      </c>
      <c r="AE195" s="29">
        <v>51.238900000000001</v>
      </c>
      <c r="AF195" s="29">
        <v>52.158099999999997</v>
      </c>
      <c r="AG195" s="29">
        <v>53.9557</v>
      </c>
      <c r="AH195" s="29">
        <v>48.684199999999997</v>
      </c>
      <c r="AI195" s="3">
        <v>44222.13</v>
      </c>
      <c r="AJ195" s="4">
        <v>108.068</v>
      </c>
      <c r="AK195" s="4">
        <v>107.039</v>
      </c>
      <c r="AL195" s="4">
        <v>104.31100000000001</v>
      </c>
      <c r="AM195" s="4">
        <v>109.937</v>
      </c>
      <c r="AN195" s="4">
        <v>116.086</v>
      </c>
      <c r="AO195" s="5">
        <v>549264351</v>
      </c>
      <c r="AP195" s="36">
        <v>106.788504</v>
      </c>
      <c r="AQ195" s="6">
        <v>108.6</v>
      </c>
      <c r="AR195" s="3">
        <v>1501956.3599680678</v>
      </c>
      <c r="AS195" s="5">
        <v>2271</v>
      </c>
      <c r="AT195" s="5">
        <v>1280</v>
      </c>
      <c r="AU195" s="6">
        <v>52</v>
      </c>
      <c r="AV195" s="35">
        <v>22.609988199746944</v>
      </c>
      <c r="AW195" s="6">
        <v>55.2</v>
      </c>
    </row>
    <row r="196" spans="1:49" x14ac:dyDescent="0.25">
      <c r="A196" t="s">
        <v>196</v>
      </c>
      <c r="B196" s="2">
        <v>42338</v>
      </c>
      <c r="C196" s="3">
        <v>3</v>
      </c>
      <c r="D196" s="29">
        <v>6.0364000000000004</v>
      </c>
      <c r="E196" s="35">
        <v>88.560040000000001</v>
      </c>
      <c r="F196" s="29">
        <v>88.503399999999999</v>
      </c>
      <c r="G196" s="29">
        <v>90.221400000000003</v>
      </c>
      <c r="H196" s="29">
        <v>103.7898</v>
      </c>
      <c r="I196" s="29">
        <v>92.760499999999993</v>
      </c>
      <c r="J196" s="29">
        <v>111.6314</v>
      </c>
      <c r="K196" s="29">
        <v>105.56</v>
      </c>
      <c r="L196" s="29">
        <v>107.532</v>
      </c>
      <c r="M196" s="3">
        <v>4.0599999999999996</v>
      </c>
      <c r="N196" s="3">
        <v>102.53</v>
      </c>
      <c r="O196" s="3">
        <v>100.16</v>
      </c>
      <c r="P196" s="29">
        <v>107.0459</v>
      </c>
      <c r="Q196" s="29">
        <v>104.7097</v>
      </c>
      <c r="R196" s="6">
        <v>30931.5</v>
      </c>
      <c r="S196" s="6">
        <v>32653.599999999999</v>
      </c>
      <c r="T196" s="3">
        <v>99.98</v>
      </c>
      <c r="U196" s="6">
        <v>38.1</v>
      </c>
      <c r="V196" s="3">
        <v>99.54</v>
      </c>
      <c r="W196" s="29">
        <v>52.977600000000002</v>
      </c>
      <c r="X196" s="29">
        <v>54.092500000000001</v>
      </c>
      <c r="Y196" s="29">
        <v>54.421999999999997</v>
      </c>
      <c r="Z196" s="29">
        <v>52.188600000000001</v>
      </c>
      <c r="AA196" s="29">
        <v>49.724499999999999</v>
      </c>
      <c r="AB196" s="29">
        <v>51.487900000000003</v>
      </c>
      <c r="AC196" s="29">
        <v>57.046999999999997</v>
      </c>
      <c r="AD196" s="29">
        <v>52.434800000000003</v>
      </c>
      <c r="AE196" s="29">
        <v>50.563899999999997</v>
      </c>
      <c r="AF196" s="29">
        <v>51.196300000000001</v>
      </c>
      <c r="AG196" s="29">
        <v>50.811</v>
      </c>
      <c r="AH196" s="29">
        <v>48.275300000000001</v>
      </c>
      <c r="AI196" s="3">
        <v>44517.56</v>
      </c>
      <c r="AJ196" s="4">
        <v>107.398</v>
      </c>
      <c r="AK196" s="4">
        <v>106.379</v>
      </c>
      <c r="AL196" s="4">
        <v>102.649</v>
      </c>
      <c r="AM196" s="4">
        <v>110.145</v>
      </c>
      <c r="AN196" s="4">
        <v>116.52200000000001</v>
      </c>
      <c r="AO196" s="5">
        <v>510846088</v>
      </c>
      <c r="AP196" s="36">
        <v>106.00369999999999</v>
      </c>
      <c r="AQ196" s="6">
        <v>108.3</v>
      </c>
      <c r="AR196" s="3">
        <v>1497345.2391383881</v>
      </c>
      <c r="AS196" s="5">
        <v>2277</v>
      </c>
      <c r="AT196" s="5">
        <v>1178</v>
      </c>
      <c r="AU196" s="6">
        <v>52.3</v>
      </c>
      <c r="AV196" s="35">
        <v>12.20704319709475</v>
      </c>
      <c r="AW196" s="6">
        <v>52.8</v>
      </c>
    </row>
    <row r="197" spans="1:49" x14ac:dyDescent="0.25">
      <c r="A197" t="s">
        <v>197</v>
      </c>
      <c r="B197" s="2">
        <v>42369</v>
      </c>
      <c r="C197" s="3">
        <v>3.25</v>
      </c>
      <c r="D197" s="29">
        <v>6.2579000000000002</v>
      </c>
      <c r="E197" s="35">
        <v>86.860699999999994</v>
      </c>
      <c r="F197" s="29">
        <v>88.6922</v>
      </c>
      <c r="G197" s="29">
        <v>90.3767</v>
      </c>
      <c r="H197" s="29">
        <v>103.83669999999999</v>
      </c>
      <c r="I197" s="29">
        <v>92.775999999999996</v>
      </c>
      <c r="J197" s="29">
        <v>111.01519999999999</v>
      </c>
      <c r="K197" s="29">
        <v>104.12220000000001</v>
      </c>
      <c r="L197" s="29">
        <v>107.9751</v>
      </c>
      <c r="M197" s="3">
        <v>4.3499999999999996</v>
      </c>
      <c r="N197" s="3">
        <v>101.8</v>
      </c>
      <c r="O197" s="3">
        <v>100.07</v>
      </c>
      <c r="P197" s="29">
        <v>107.79049999999999</v>
      </c>
      <c r="Q197" s="29">
        <v>102.15219999999999</v>
      </c>
      <c r="R197" s="6">
        <v>29794.7</v>
      </c>
      <c r="S197" s="6">
        <v>31399.5</v>
      </c>
      <c r="T197" s="3">
        <v>99.94</v>
      </c>
      <c r="U197" s="6">
        <v>38.1</v>
      </c>
      <c r="V197" s="3">
        <v>99.56</v>
      </c>
      <c r="W197" s="29">
        <v>52.414999999999999</v>
      </c>
      <c r="X197" s="29">
        <v>52.252600000000001</v>
      </c>
      <c r="Y197" s="29">
        <v>54.639600000000002</v>
      </c>
      <c r="Z197" s="29">
        <v>51.877600000000001</v>
      </c>
      <c r="AA197" s="29">
        <v>50.372</v>
      </c>
      <c r="AB197" s="29">
        <v>51.402799999999999</v>
      </c>
      <c r="AC197" s="29">
        <v>57.391800000000003</v>
      </c>
      <c r="AD197" s="29">
        <v>52.092199999999998</v>
      </c>
      <c r="AE197" s="29">
        <v>51.462400000000002</v>
      </c>
      <c r="AF197" s="29">
        <v>52.547800000000002</v>
      </c>
      <c r="AG197" s="29">
        <v>51.308900000000001</v>
      </c>
      <c r="AH197" s="29">
        <v>46.357599999999998</v>
      </c>
      <c r="AI197" s="3">
        <v>43009.73</v>
      </c>
      <c r="AJ197" s="4">
        <v>107.486</v>
      </c>
      <c r="AK197" s="4">
        <v>106.875</v>
      </c>
      <c r="AL197" s="4">
        <v>103.42100000000001</v>
      </c>
      <c r="AM197" s="4">
        <v>110.77500000000001</v>
      </c>
      <c r="AN197" s="4">
        <v>112.642</v>
      </c>
      <c r="AO197" s="5">
        <v>490065806</v>
      </c>
      <c r="AP197" s="36">
        <v>106.41545600000001</v>
      </c>
      <c r="AQ197" s="6">
        <v>106</v>
      </c>
      <c r="AR197" s="3">
        <v>1528483.663810859</v>
      </c>
      <c r="AS197" s="5">
        <v>2272</v>
      </c>
      <c r="AT197" s="5">
        <v>1008</v>
      </c>
      <c r="AU197" s="6">
        <v>52.1</v>
      </c>
      <c r="AV197" s="35">
        <v>27.436875108535496</v>
      </c>
      <c r="AW197" s="6">
        <v>51.1</v>
      </c>
    </row>
    <row r="198" spans="1:49" x14ac:dyDescent="0.25">
      <c r="A198" t="s">
        <v>198</v>
      </c>
      <c r="B198" s="2">
        <v>42400</v>
      </c>
      <c r="C198" s="3">
        <v>3.25</v>
      </c>
      <c r="D198" s="29">
        <v>6.1973000000000003</v>
      </c>
      <c r="E198" s="35">
        <v>83.075029999999998</v>
      </c>
      <c r="F198" s="29">
        <v>88.863100000000003</v>
      </c>
      <c r="G198" s="29">
        <v>90.548699999999997</v>
      </c>
      <c r="H198" s="29">
        <v>104.2745</v>
      </c>
      <c r="I198" s="29">
        <v>92.123000000000005</v>
      </c>
      <c r="J198" s="29">
        <v>108.4503</v>
      </c>
      <c r="K198" s="29">
        <v>106.1734</v>
      </c>
      <c r="L198" s="29">
        <v>108.4251</v>
      </c>
      <c r="M198" s="3">
        <v>4.1500000000000004</v>
      </c>
      <c r="N198" s="3">
        <v>102.11</v>
      </c>
      <c r="O198" s="3">
        <v>99.98</v>
      </c>
      <c r="P198" s="29">
        <v>108.89449999999999</v>
      </c>
      <c r="Q198" s="29">
        <v>104.36790000000001</v>
      </c>
      <c r="R198" s="6">
        <v>31148.7</v>
      </c>
      <c r="S198" s="6">
        <v>31921.599999999999</v>
      </c>
      <c r="T198" s="3">
        <v>99.92</v>
      </c>
      <c r="U198" s="6">
        <v>38.4</v>
      </c>
      <c r="V198" s="3">
        <v>99.53</v>
      </c>
      <c r="W198" s="29">
        <v>52.227499999999999</v>
      </c>
      <c r="X198" s="29">
        <v>51.309399999999997</v>
      </c>
      <c r="Y198" s="29">
        <v>55.424500000000002</v>
      </c>
      <c r="Z198" s="29">
        <v>51.205199999999998</v>
      </c>
      <c r="AA198" s="29">
        <v>50.160800000000002</v>
      </c>
      <c r="AB198" s="29">
        <v>50.558599999999998</v>
      </c>
      <c r="AC198" s="29">
        <v>59.774000000000001</v>
      </c>
      <c r="AD198" s="29">
        <v>50.401699999999998</v>
      </c>
      <c r="AE198" s="29">
        <v>50.6083</v>
      </c>
      <c r="AF198" s="29">
        <v>53.649700000000003</v>
      </c>
      <c r="AG198" s="29">
        <v>53.611699999999999</v>
      </c>
      <c r="AH198" s="29">
        <v>47.494999999999997</v>
      </c>
      <c r="AI198" s="3">
        <v>41415.07</v>
      </c>
      <c r="AJ198" s="4">
        <v>108.20099999999999</v>
      </c>
      <c r="AK198" s="4">
        <v>108.09099999999999</v>
      </c>
      <c r="AL198" s="4">
        <v>105.279</v>
      </c>
      <c r="AM198" s="4">
        <v>110.825</v>
      </c>
      <c r="AN198" s="4">
        <v>110.95099999999999</v>
      </c>
      <c r="AO198" s="5">
        <v>510604281</v>
      </c>
      <c r="AP198" s="36">
        <v>107.017753</v>
      </c>
      <c r="AQ198" s="6">
        <v>106.3</v>
      </c>
      <c r="AR198" s="3">
        <v>1548213.3240910626</v>
      </c>
      <c r="AS198" s="5">
        <v>2262</v>
      </c>
      <c r="AT198" s="5">
        <v>1119</v>
      </c>
      <c r="AU198" s="6">
        <v>53.7</v>
      </c>
      <c r="AV198" s="35">
        <v>36.678793727432904</v>
      </c>
      <c r="AW198" s="6">
        <v>52.7</v>
      </c>
    </row>
    <row r="199" spans="1:49" x14ac:dyDescent="0.25">
      <c r="A199" t="s">
        <v>199</v>
      </c>
      <c r="B199" s="2">
        <v>42429</v>
      </c>
      <c r="C199" s="3">
        <v>3.75</v>
      </c>
      <c r="D199" s="29">
        <v>6.0773999999999999</v>
      </c>
      <c r="E199" s="35">
        <v>80.966290000000001</v>
      </c>
      <c r="F199" s="29">
        <v>89.123199999999997</v>
      </c>
      <c r="G199" s="29">
        <v>90.698099999999997</v>
      </c>
      <c r="H199" s="29">
        <v>104.51090000000001</v>
      </c>
      <c r="I199" s="29">
        <v>92.766900000000007</v>
      </c>
      <c r="J199" s="29">
        <v>109.6947</v>
      </c>
      <c r="K199" s="29">
        <v>106.952</v>
      </c>
      <c r="L199" s="29">
        <v>108.2602</v>
      </c>
      <c r="M199" s="3">
        <v>4.2699999999999996</v>
      </c>
      <c r="N199" s="3">
        <v>101.99</v>
      </c>
      <c r="O199" s="3">
        <v>99.91</v>
      </c>
      <c r="P199" s="29">
        <v>108.913</v>
      </c>
      <c r="Q199" s="29">
        <v>104.3755</v>
      </c>
      <c r="R199" s="6">
        <v>29759.7</v>
      </c>
      <c r="S199" s="6">
        <v>31591.5</v>
      </c>
      <c r="T199" s="3">
        <v>99.91</v>
      </c>
      <c r="U199" s="6">
        <v>37.700000000000003</v>
      </c>
      <c r="V199" s="3">
        <v>99.51</v>
      </c>
      <c r="W199" s="29">
        <v>53.077399999999997</v>
      </c>
      <c r="X199" s="29">
        <v>52.357500000000002</v>
      </c>
      <c r="Y199" s="29">
        <v>55.719900000000003</v>
      </c>
      <c r="Z199" s="29">
        <v>52.884700000000002</v>
      </c>
      <c r="AA199" s="29">
        <v>48.868099999999998</v>
      </c>
      <c r="AB199" s="29">
        <v>50.253</v>
      </c>
      <c r="AC199" s="29">
        <v>64.030500000000004</v>
      </c>
      <c r="AD199" s="29">
        <v>51.707900000000002</v>
      </c>
      <c r="AE199" s="29">
        <v>50.2928</v>
      </c>
      <c r="AF199" s="29">
        <v>52.972000000000001</v>
      </c>
      <c r="AG199" s="29">
        <v>53.823500000000003</v>
      </c>
      <c r="AH199" s="29">
        <v>49.005299999999998</v>
      </c>
      <c r="AI199" s="3">
        <v>43158.02</v>
      </c>
      <c r="AJ199" s="4">
        <v>108.65600000000001</v>
      </c>
      <c r="AK199" s="4">
        <v>108.321</v>
      </c>
      <c r="AL199" s="4">
        <v>104.974</v>
      </c>
      <c r="AM199" s="4">
        <v>111.98</v>
      </c>
      <c r="AN199" s="4">
        <v>111.392</v>
      </c>
      <c r="AO199" s="5">
        <v>519128424</v>
      </c>
      <c r="AP199" s="36">
        <v>107.69347</v>
      </c>
      <c r="AQ199" s="6">
        <v>108.8</v>
      </c>
      <c r="AR199" s="3">
        <v>1554051.020668474</v>
      </c>
      <c r="AS199" s="5">
        <v>2218</v>
      </c>
      <c r="AT199" s="5">
        <v>1241</v>
      </c>
      <c r="AU199" s="6">
        <v>53.4</v>
      </c>
      <c r="AV199" s="35">
        <v>38.647437378918191</v>
      </c>
      <c r="AW199" s="6">
        <v>53</v>
      </c>
    </row>
    <row r="200" spans="1:49" x14ac:dyDescent="0.25">
      <c r="A200" t="s">
        <v>200</v>
      </c>
      <c r="B200" s="2">
        <v>42460</v>
      </c>
      <c r="C200" s="3">
        <v>3.75</v>
      </c>
      <c r="D200" s="29">
        <v>6.0865</v>
      </c>
      <c r="E200" s="35">
        <v>83.943010000000001</v>
      </c>
      <c r="F200" s="29">
        <v>89.202100000000002</v>
      </c>
      <c r="G200" s="29">
        <v>90.9392</v>
      </c>
      <c r="H200" s="29">
        <v>103.7871</v>
      </c>
      <c r="I200" s="29">
        <v>92.433999999999997</v>
      </c>
      <c r="J200" s="29">
        <v>109.2932</v>
      </c>
      <c r="K200" s="29">
        <v>106.4979</v>
      </c>
      <c r="L200" s="29">
        <v>107.6691</v>
      </c>
      <c r="M200" s="3">
        <v>4.13</v>
      </c>
      <c r="N200" s="3">
        <v>102.47</v>
      </c>
      <c r="O200" s="3">
        <v>99.86</v>
      </c>
      <c r="P200" s="29">
        <v>109.6746</v>
      </c>
      <c r="Q200" s="29">
        <v>104.2689</v>
      </c>
      <c r="R200" s="6">
        <v>29163.8</v>
      </c>
      <c r="S200" s="6">
        <v>31132.3</v>
      </c>
      <c r="T200" s="3">
        <v>99.9</v>
      </c>
      <c r="U200" s="6">
        <v>37.200000000000003</v>
      </c>
      <c r="V200" s="3">
        <v>99.51</v>
      </c>
      <c r="W200" s="29">
        <v>53.165199999999999</v>
      </c>
      <c r="X200" s="29">
        <v>53.789099999999998</v>
      </c>
      <c r="Y200" s="29">
        <v>56.593699999999998</v>
      </c>
      <c r="Z200" s="29">
        <v>51.731000000000002</v>
      </c>
      <c r="AA200" s="29">
        <v>50.458300000000001</v>
      </c>
      <c r="AB200" s="29">
        <v>49.623899999999999</v>
      </c>
      <c r="AC200" s="29">
        <v>63.311399999999999</v>
      </c>
      <c r="AD200" s="29">
        <v>54.168500000000002</v>
      </c>
      <c r="AE200" s="29">
        <v>52.819000000000003</v>
      </c>
      <c r="AF200" s="29">
        <v>53.031300000000002</v>
      </c>
      <c r="AG200" s="29">
        <v>54.4146</v>
      </c>
      <c r="AH200" s="29">
        <v>49.438600000000001</v>
      </c>
      <c r="AI200" s="3">
        <v>45056.34</v>
      </c>
      <c r="AJ200" s="4">
        <v>109.31</v>
      </c>
      <c r="AK200" s="4">
        <v>108.848</v>
      </c>
      <c r="AL200" s="4">
        <v>105.39700000000001</v>
      </c>
      <c r="AM200" s="4">
        <v>111.77800000000001</v>
      </c>
      <c r="AN200" s="4">
        <v>113.027</v>
      </c>
      <c r="AO200" s="5">
        <v>533116097</v>
      </c>
      <c r="AP200" s="36">
        <v>107.368973</v>
      </c>
      <c r="AQ200" s="6">
        <v>107.8</v>
      </c>
      <c r="AR200" s="3">
        <v>1556689.8044191743</v>
      </c>
      <c r="AS200" s="5">
        <v>2226</v>
      </c>
      <c r="AT200" s="5">
        <v>1062</v>
      </c>
      <c r="AU200" s="6">
        <v>51.9</v>
      </c>
      <c r="AV200" s="35">
        <v>45.26770360276052</v>
      </c>
      <c r="AW200" s="6">
        <v>51</v>
      </c>
    </row>
    <row r="201" spans="1:49" x14ac:dyDescent="0.25">
      <c r="A201" t="s">
        <v>201</v>
      </c>
      <c r="B201" s="2">
        <v>42490</v>
      </c>
      <c r="C201" s="3">
        <v>3.75</v>
      </c>
      <c r="D201" s="29">
        <v>5.8719999999999999</v>
      </c>
      <c r="E201" s="35">
        <v>83.427030000000002</v>
      </c>
      <c r="F201" s="29">
        <v>89.456699999999998</v>
      </c>
      <c r="G201" s="29">
        <v>91.2316</v>
      </c>
      <c r="H201" s="29">
        <v>103.5026</v>
      </c>
      <c r="I201" s="29">
        <v>90.458600000000004</v>
      </c>
      <c r="J201" s="29">
        <v>109.27889999999999</v>
      </c>
      <c r="K201" s="29">
        <v>106.65689999999999</v>
      </c>
      <c r="L201" s="29">
        <v>107.2462</v>
      </c>
      <c r="M201" s="3">
        <v>3.86</v>
      </c>
      <c r="N201" s="3">
        <v>103.83</v>
      </c>
      <c r="O201" s="3">
        <v>99.83</v>
      </c>
      <c r="P201" s="29">
        <v>109.9778</v>
      </c>
      <c r="Q201" s="29">
        <v>105.3563</v>
      </c>
      <c r="R201" s="6">
        <v>30235.5</v>
      </c>
      <c r="S201" s="6">
        <v>32345.599999999999</v>
      </c>
      <c r="T201" s="3">
        <v>99.91</v>
      </c>
      <c r="U201" s="6">
        <v>36.799999999999997</v>
      </c>
      <c r="V201" s="3">
        <v>99.55</v>
      </c>
      <c r="W201" s="29">
        <v>52.354100000000003</v>
      </c>
      <c r="X201" s="29">
        <v>51.381700000000002</v>
      </c>
      <c r="Y201" s="29">
        <v>54.338299999999997</v>
      </c>
      <c r="Z201" s="29">
        <v>52.466999999999999</v>
      </c>
      <c r="AA201" s="29">
        <v>49.603200000000001</v>
      </c>
      <c r="AB201" s="29">
        <v>51.542499999999997</v>
      </c>
      <c r="AC201" s="29">
        <v>60.174900000000001</v>
      </c>
      <c r="AD201" s="29">
        <v>54.208599999999997</v>
      </c>
      <c r="AE201" s="29">
        <v>51.615499999999997</v>
      </c>
      <c r="AF201" s="29">
        <v>52.0715</v>
      </c>
      <c r="AG201" s="29">
        <v>52.796700000000001</v>
      </c>
      <c r="AH201" s="29">
        <v>47.4938</v>
      </c>
      <c r="AI201" s="3">
        <v>45438.080000000002</v>
      </c>
      <c r="AJ201" s="4">
        <v>107.666</v>
      </c>
      <c r="AK201" s="4">
        <v>107.467</v>
      </c>
      <c r="AL201" s="4">
        <v>103.764</v>
      </c>
      <c r="AM201" s="4">
        <v>111.80500000000001</v>
      </c>
      <c r="AN201" s="4">
        <v>108.42400000000001</v>
      </c>
      <c r="AO201" s="5">
        <v>529408777</v>
      </c>
      <c r="AP201" s="36">
        <v>107.376087</v>
      </c>
      <c r="AQ201" s="6">
        <v>107.8</v>
      </c>
      <c r="AR201" s="3">
        <v>1607643.3375670535</v>
      </c>
      <c r="AS201" s="5">
        <v>2182</v>
      </c>
      <c r="AT201" s="5">
        <v>1081</v>
      </c>
      <c r="AU201" s="6">
        <v>54.1</v>
      </c>
      <c r="AV201" s="35">
        <v>41.308808069167</v>
      </c>
      <c r="AW201" s="6">
        <v>53.3</v>
      </c>
    </row>
    <row r="202" spans="1:49" x14ac:dyDescent="0.25">
      <c r="A202" t="s">
        <v>202</v>
      </c>
      <c r="B202" s="2">
        <v>42521</v>
      </c>
      <c r="C202" s="3">
        <v>3.75</v>
      </c>
      <c r="D202" s="29">
        <v>5.9911000000000003</v>
      </c>
      <c r="E202" s="35">
        <v>80.281009999999995</v>
      </c>
      <c r="F202" s="29">
        <v>89.583699999999993</v>
      </c>
      <c r="G202" s="29">
        <v>91.4679</v>
      </c>
      <c r="H202" s="29">
        <v>103.8586</v>
      </c>
      <c r="I202" s="29">
        <v>89.860500000000002</v>
      </c>
      <c r="J202" s="29">
        <v>110.5771</v>
      </c>
      <c r="K202" s="29">
        <v>107.7358</v>
      </c>
      <c r="L202" s="29">
        <v>107.8571</v>
      </c>
      <c r="M202" s="3">
        <v>3.96</v>
      </c>
      <c r="N202" s="3">
        <v>103.57</v>
      </c>
      <c r="O202" s="3">
        <v>99.81</v>
      </c>
      <c r="P202" s="29">
        <v>110.33320000000001</v>
      </c>
      <c r="Q202" s="29">
        <v>106.3036</v>
      </c>
      <c r="R202" s="6">
        <v>30394.3</v>
      </c>
      <c r="S202" s="6">
        <v>31437.8</v>
      </c>
      <c r="T202" s="3">
        <v>99.92</v>
      </c>
      <c r="U202" s="6">
        <v>37.1</v>
      </c>
      <c r="V202" s="3">
        <v>99.58</v>
      </c>
      <c r="W202" s="29">
        <v>53.556199999999997</v>
      </c>
      <c r="X202" s="29">
        <v>53.820700000000002</v>
      </c>
      <c r="Y202" s="29">
        <v>56.005600000000001</v>
      </c>
      <c r="Z202" s="29">
        <v>51.884300000000003</v>
      </c>
      <c r="AA202" s="29">
        <v>49.067100000000003</v>
      </c>
      <c r="AB202" s="29">
        <v>52.825000000000003</v>
      </c>
      <c r="AC202" s="29">
        <v>61.935200000000002</v>
      </c>
      <c r="AD202" s="29">
        <v>54.300600000000003</v>
      </c>
      <c r="AE202" s="29">
        <v>52.515300000000003</v>
      </c>
      <c r="AF202" s="29">
        <v>52.494300000000003</v>
      </c>
      <c r="AG202" s="29">
        <v>51.233499999999999</v>
      </c>
      <c r="AH202" s="29">
        <v>50.544800000000002</v>
      </c>
      <c r="AI202" s="3">
        <v>45551.96</v>
      </c>
      <c r="AJ202" s="4">
        <v>108.773</v>
      </c>
      <c r="AK202" s="4">
        <v>108.742</v>
      </c>
      <c r="AL202" s="4">
        <v>104.94799999999999</v>
      </c>
      <c r="AM202" s="4">
        <v>112.489</v>
      </c>
      <c r="AN202" s="4">
        <v>108.748</v>
      </c>
      <c r="AO202" s="5">
        <v>549282867</v>
      </c>
      <c r="AP202" s="36">
        <v>107.719748</v>
      </c>
      <c r="AQ202" s="6">
        <v>108.1</v>
      </c>
      <c r="AR202" s="3">
        <v>1641135.6701422213</v>
      </c>
      <c r="AS202" s="5">
        <v>2173</v>
      </c>
      <c r="AT202" s="5">
        <v>1204</v>
      </c>
      <c r="AU202" s="6">
        <v>51.4</v>
      </c>
      <c r="AV202" s="35">
        <v>27.069757164309269</v>
      </c>
      <c r="AW202" s="6">
        <v>52</v>
      </c>
    </row>
    <row r="203" spans="1:49" x14ac:dyDescent="0.25">
      <c r="A203" t="s">
        <v>203</v>
      </c>
      <c r="B203" s="2">
        <v>42551</v>
      </c>
      <c r="C203" s="3">
        <v>4.25</v>
      </c>
      <c r="D203" s="29">
        <v>6.0492999999999997</v>
      </c>
      <c r="E203" s="35">
        <v>77.952709999999996</v>
      </c>
      <c r="F203" s="29">
        <v>89.816000000000003</v>
      </c>
      <c r="G203" s="29">
        <v>91.736699999999999</v>
      </c>
      <c r="H203" s="29">
        <v>103.373</v>
      </c>
      <c r="I203" s="29">
        <v>89.431899999999999</v>
      </c>
      <c r="J203" s="29">
        <v>110.7791</v>
      </c>
      <c r="K203" s="29">
        <v>105.81310000000001</v>
      </c>
      <c r="L203" s="29">
        <v>108.0724</v>
      </c>
      <c r="M203" s="3">
        <v>3.93</v>
      </c>
      <c r="N203" s="3">
        <v>103.77</v>
      </c>
      <c r="O203" s="3">
        <v>99.78</v>
      </c>
      <c r="P203" s="29">
        <v>111.93129999999999</v>
      </c>
      <c r="Q203" s="29">
        <v>106.2602</v>
      </c>
      <c r="R203" s="6">
        <v>30660.6</v>
      </c>
      <c r="S203" s="6">
        <v>31857.200000000001</v>
      </c>
      <c r="T203" s="3">
        <v>99.95</v>
      </c>
      <c r="U203" s="6">
        <v>37.799999999999997</v>
      </c>
      <c r="V203" s="3">
        <v>99.58</v>
      </c>
      <c r="W203" s="29">
        <v>51.125399999999999</v>
      </c>
      <c r="X203" s="29">
        <v>49.819699999999997</v>
      </c>
      <c r="Y203" s="29">
        <v>52.3142</v>
      </c>
      <c r="Z203" s="29">
        <v>50.823700000000002</v>
      </c>
      <c r="AA203" s="29">
        <v>48.102699999999999</v>
      </c>
      <c r="AB203" s="29">
        <v>50.268999999999998</v>
      </c>
      <c r="AC203" s="29">
        <v>60.9283</v>
      </c>
      <c r="AD203" s="29">
        <v>51.406199999999998</v>
      </c>
      <c r="AE203" s="29">
        <v>51.544499999999999</v>
      </c>
      <c r="AF203" s="29">
        <v>50.426000000000002</v>
      </c>
      <c r="AG203" s="29">
        <v>51.892000000000003</v>
      </c>
      <c r="AH203" s="29">
        <v>49.095999999999997</v>
      </c>
      <c r="AI203" s="3">
        <v>45448.94</v>
      </c>
      <c r="AJ203" s="4">
        <v>109.58199999999999</v>
      </c>
      <c r="AK203" s="4">
        <v>109.685</v>
      </c>
      <c r="AL203" s="4">
        <v>105.85</v>
      </c>
      <c r="AM203" s="4">
        <v>113.054</v>
      </c>
      <c r="AN203" s="4">
        <v>109.871</v>
      </c>
      <c r="AO203" s="5">
        <v>580255885</v>
      </c>
      <c r="AP203" s="36">
        <v>108.220378</v>
      </c>
      <c r="AQ203" s="6">
        <v>109</v>
      </c>
      <c r="AR203" s="3">
        <v>1664269.8538030926</v>
      </c>
      <c r="AS203" s="5">
        <v>2171</v>
      </c>
      <c r="AT203" s="5">
        <v>1098</v>
      </c>
      <c r="AU203" s="6">
        <v>48</v>
      </c>
      <c r="AV203" s="35">
        <v>51.281747724053382</v>
      </c>
      <c r="AW203" s="6">
        <v>51.6</v>
      </c>
    </row>
    <row r="204" spans="1:49" x14ac:dyDescent="0.25">
      <c r="A204" t="s">
        <v>204</v>
      </c>
      <c r="B204" s="2">
        <v>42582</v>
      </c>
      <c r="C204" s="3">
        <v>4.25</v>
      </c>
      <c r="D204" s="29">
        <v>5.8958000000000004</v>
      </c>
      <c r="E204" s="35">
        <v>78.597840000000005</v>
      </c>
      <c r="F204" s="29">
        <v>90.100700000000003</v>
      </c>
      <c r="G204" s="29">
        <v>91.9636</v>
      </c>
      <c r="H204" s="29">
        <v>103.7183</v>
      </c>
      <c r="I204" s="29">
        <v>89.880399999999995</v>
      </c>
      <c r="J204" s="29">
        <v>111.4413</v>
      </c>
      <c r="K204" s="29">
        <v>105.1802</v>
      </c>
      <c r="L204" s="29">
        <v>108.4406</v>
      </c>
      <c r="M204" s="3">
        <v>3.8</v>
      </c>
      <c r="N204" s="3">
        <v>103.95</v>
      </c>
      <c r="O204" s="3">
        <v>99.73</v>
      </c>
      <c r="P204" s="29">
        <v>111.2651</v>
      </c>
      <c r="Q204" s="29">
        <v>105.80419999999999</v>
      </c>
      <c r="R204" s="6">
        <v>31208.2</v>
      </c>
      <c r="S204" s="6">
        <v>32297.7</v>
      </c>
      <c r="T204" s="3">
        <v>99.99</v>
      </c>
      <c r="U204" s="6">
        <v>36.1</v>
      </c>
      <c r="V204" s="3">
        <v>99.55</v>
      </c>
      <c r="W204" s="29">
        <v>50.6235</v>
      </c>
      <c r="X204" s="29">
        <v>50.127099999999999</v>
      </c>
      <c r="Y204" s="29">
        <v>50.956400000000002</v>
      </c>
      <c r="Z204" s="29">
        <v>50.6449</v>
      </c>
      <c r="AA204" s="29">
        <v>49.105600000000003</v>
      </c>
      <c r="AB204" s="29">
        <v>50.416899999999998</v>
      </c>
      <c r="AC204" s="29">
        <v>59.296399999999998</v>
      </c>
      <c r="AD204" s="29">
        <v>51.646000000000001</v>
      </c>
      <c r="AE204" s="29">
        <v>51.526899999999998</v>
      </c>
      <c r="AF204" s="29">
        <v>47.219900000000003</v>
      </c>
      <c r="AG204" s="29">
        <v>50.959499999999998</v>
      </c>
      <c r="AH204" s="29">
        <v>49.497700000000002</v>
      </c>
      <c r="AI204" s="3">
        <v>46550.720000000001</v>
      </c>
      <c r="AJ204" s="4">
        <v>109.702</v>
      </c>
      <c r="AK204" s="4">
        <v>109.95699999999999</v>
      </c>
      <c r="AL204" s="4">
        <v>106.59099999999999</v>
      </c>
      <c r="AM204" s="4">
        <v>113.337</v>
      </c>
      <c r="AN204" s="4">
        <v>109.97</v>
      </c>
      <c r="AO204" s="5">
        <v>555719035</v>
      </c>
      <c r="AP204" s="36">
        <v>108.243352</v>
      </c>
      <c r="AQ204" s="6">
        <v>106.3</v>
      </c>
      <c r="AR204" s="3">
        <v>1709180.9211804031</v>
      </c>
      <c r="AS204" s="5">
        <v>2151</v>
      </c>
      <c r="AT204" s="5">
        <v>1146</v>
      </c>
      <c r="AU204" s="6">
        <v>49</v>
      </c>
      <c r="AV204" s="35">
        <v>46.700062142637918</v>
      </c>
      <c r="AW204" s="6">
        <v>51.3</v>
      </c>
    </row>
    <row r="205" spans="1:49" x14ac:dyDescent="0.25">
      <c r="A205" t="s">
        <v>205</v>
      </c>
      <c r="B205" s="2">
        <v>42613</v>
      </c>
      <c r="C205" s="3">
        <v>4.25</v>
      </c>
      <c r="D205" s="29">
        <v>5.8716999999999997</v>
      </c>
      <c r="E205" s="35">
        <v>78.844719999999995</v>
      </c>
      <c r="F205" s="29">
        <v>90.340800000000002</v>
      </c>
      <c r="G205" s="29">
        <v>92.206400000000002</v>
      </c>
      <c r="H205" s="29">
        <v>103.5825</v>
      </c>
      <c r="I205" s="29">
        <v>88.242999999999995</v>
      </c>
      <c r="J205" s="29">
        <v>110.44</v>
      </c>
      <c r="K205" s="29">
        <v>104.976</v>
      </c>
      <c r="L205" s="29">
        <v>108.871</v>
      </c>
      <c r="M205" s="3">
        <v>3.75</v>
      </c>
      <c r="N205" s="3">
        <v>103.64</v>
      </c>
      <c r="O205" s="3">
        <v>99.67</v>
      </c>
      <c r="P205" s="29">
        <v>112.5204</v>
      </c>
      <c r="Q205" s="29">
        <v>106.15089999999999</v>
      </c>
      <c r="R205" s="6">
        <v>31002.1</v>
      </c>
      <c r="S205" s="6">
        <v>31825.4</v>
      </c>
      <c r="T205" s="3">
        <v>100.03</v>
      </c>
      <c r="U205" s="6">
        <v>35.700000000000003</v>
      </c>
      <c r="V205" s="3">
        <v>99.47</v>
      </c>
      <c r="W205" s="29">
        <v>50.883200000000002</v>
      </c>
      <c r="X205" s="29">
        <v>49.811199999999999</v>
      </c>
      <c r="Y205" s="29">
        <v>52.591299999999997</v>
      </c>
      <c r="Z205" s="29">
        <v>51.171700000000001</v>
      </c>
      <c r="AA205" s="29">
        <v>49.779499999999999</v>
      </c>
      <c r="AB205" s="29">
        <v>48.855699999999999</v>
      </c>
      <c r="AC205" s="29">
        <v>60.098500000000001</v>
      </c>
      <c r="AD205" s="29">
        <v>50.440899999999999</v>
      </c>
      <c r="AE205" s="29">
        <v>51.439900000000002</v>
      </c>
      <c r="AF205" s="29">
        <v>50.808300000000003</v>
      </c>
      <c r="AG205" s="29">
        <v>52.396700000000003</v>
      </c>
      <c r="AH205" s="29">
        <v>45.296500000000002</v>
      </c>
      <c r="AI205" s="3">
        <v>47716.81</v>
      </c>
      <c r="AJ205" s="4">
        <v>110.34699999999999</v>
      </c>
      <c r="AK205" s="4">
        <v>110.274</v>
      </c>
      <c r="AL205" s="4">
        <v>107.15</v>
      </c>
      <c r="AM205" s="4">
        <v>113.556</v>
      </c>
      <c r="AN205" s="4">
        <v>109.268</v>
      </c>
      <c r="AO205" s="5">
        <v>587297519</v>
      </c>
      <c r="AP205" s="36">
        <v>108.25633500000001</v>
      </c>
      <c r="AQ205" s="6">
        <v>109</v>
      </c>
      <c r="AR205" s="3">
        <v>1633370.832210771</v>
      </c>
      <c r="AS205" s="5">
        <v>2141</v>
      </c>
      <c r="AT205" s="5">
        <v>1261</v>
      </c>
      <c r="AU205" s="6">
        <v>49.2</v>
      </c>
      <c r="AV205" s="35">
        <v>25.199765547165153</v>
      </c>
      <c r="AW205" s="6">
        <v>51.2</v>
      </c>
    </row>
    <row r="206" spans="1:49" x14ac:dyDescent="0.25">
      <c r="A206" t="s">
        <v>206</v>
      </c>
      <c r="B206" s="2">
        <v>42643</v>
      </c>
      <c r="C206" s="3">
        <v>4.75</v>
      </c>
      <c r="D206" s="29">
        <v>5.9794</v>
      </c>
      <c r="E206" s="35">
        <v>76.047309999999996</v>
      </c>
      <c r="F206" s="29">
        <v>90.810900000000004</v>
      </c>
      <c r="G206" s="29">
        <v>92.588300000000004</v>
      </c>
      <c r="H206" s="29">
        <v>103.6708</v>
      </c>
      <c r="I206" s="29">
        <v>88.039100000000005</v>
      </c>
      <c r="J206" s="29">
        <v>109.535</v>
      </c>
      <c r="K206" s="29">
        <v>105.477</v>
      </c>
      <c r="L206" s="29">
        <v>108.5536</v>
      </c>
      <c r="M206" s="3">
        <v>3.81</v>
      </c>
      <c r="N206" s="3">
        <v>105.17</v>
      </c>
      <c r="O206" s="3">
        <v>99.59</v>
      </c>
      <c r="P206" s="29">
        <v>112.4474</v>
      </c>
      <c r="Q206" s="29">
        <v>106.7645</v>
      </c>
      <c r="R206" s="6">
        <v>32317.599999999999</v>
      </c>
      <c r="S206" s="6">
        <v>33028.300000000003</v>
      </c>
      <c r="T206" s="3">
        <v>100.09</v>
      </c>
      <c r="U206" s="6">
        <v>34.9</v>
      </c>
      <c r="V206" s="3">
        <v>99.36</v>
      </c>
      <c r="W206" s="29">
        <v>51.883899999999997</v>
      </c>
      <c r="X206" s="29">
        <v>51.704300000000003</v>
      </c>
      <c r="Y206" s="29">
        <v>53.440199999999997</v>
      </c>
      <c r="Z206" s="29">
        <v>51.872399999999999</v>
      </c>
      <c r="AA206" s="29">
        <v>50.170499999999997</v>
      </c>
      <c r="AB206" s="29">
        <v>50.768599999999999</v>
      </c>
      <c r="AC206" s="29">
        <v>59.787799999999997</v>
      </c>
      <c r="AD206" s="29">
        <v>52.116100000000003</v>
      </c>
      <c r="AE206" s="29">
        <v>54.137999999999998</v>
      </c>
      <c r="AF206" s="29">
        <v>51.5779</v>
      </c>
      <c r="AG206" s="29">
        <v>53.023299999999999</v>
      </c>
      <c r="AH206" s="29">
        <v>47.529800000000002</v>
      </c>
      <c r="AI206" s="3">
        <v>47119.28</v>
      </c>
      <c r="AJ206" s="4">
        <v>110.616</v>
      </c>
      <c r="AK206" s="4">
        <v>110.58799999999999</v>
      </c>
      <c r="AL206" s="4">
        <v>107.514</v>
      </c>
      <c r="AM206" s="4">
        <v>113.938</v>
      </c>
      <c r="AN206" s="4">
        <v>109.675</v>
      </c>
      <c r="AO206" s="5">
        <v>572217425</v>
      </c>
      <c r="AP206" s="36">
        <v>108.959322</v>
      </c>
      <c r="AQ206" s="6">
        <v>109.9</v>
      </c>
      <c r="AR206" s="3">
        <v>1659118.9892847878</v>
      </c>
      <c r="AS206" s="5">
        <v>2111</v>
      </c>
      <c r="AT206" s="5">
        <v>1425</v>
      </c>
      <c r="AU206" s="6">
        <v>51</v>
      </c>
      <c r="AV206" s="35">
        <v>66.926448312996214</v>
      </c>
      <c r="AW206" s="6">
        <v>50.6</v>
      </c>
    </row>
    <row r="207" spans="1:49" x14ac:dyDescent="0.25">
      <c r="A207" t="s">
        <v>207</v>
      </c>
      <c r="B207" s="2">
        <v>42674</v>
      </c>
      <c r="C207" s="3">
        <v>4.75</v>
      </c>
      <c r="D207" s="29">
        <v>6.0945</v>
      </c>
      <c r="E207" s="35">
        <v>78.318250000000006</v>
      </c>
      <c r="F207" s="29">
        <v>91.153199999999998</v>
      </c>
      <c r="G207" s="29">
        <v>92.883499999999998</v>
      </c>
      <c r="H207" s="29">
        <v>103.96210000000001</v>
      </c>
      <c r="I207" s="29">
        <v>88.407399999999996</v>
      </c>
      <c r="J207" s="29">
        <v>110.6729</v>
      </c>
      <c r="K207" s="29">
        <v>106.30419999999999</v>
      </c>
      <c r="L207" s="29">
        <v>109.0474</v>
      </c>
      <c r="M207" s="3">
        <v>3.58</v>
      </c>
      <c r="N207" s="3">
        <v>104.7</v>
      </c>
      <c r="O207" s="3">
        <v>99.49</v>
      </c>
      <c r="P207" s="29">
        <v>114.4709</v>
      </c>
      <c r="Q207" s="29">
        <v>106.3449</v>
      </c>
      <c r="R207" s="6">
        <v>31980</v>
      </c>
      <c r="S207" s="6">
        <v>32402.3</v>
      </c>
      <c r="T207" s="3">
        <v>100.16</v>
      </c>
      <c r="U207" s="6">
        <v>35.1</v>
      </c>
      <c r="V207" s="3">
        <v>99.21</v>
      </c>
      <c r="W207" s="29">
        <v>51.801000000000002</v>
      </c>
      <c r="X207" s="29">
        <v>52.991</v>
      </c>
      <c r="Y207" s="29">
        <v>52.694299999999998</v>
      </c>
      <c r="Z207" s="29">
        <v>51.502800000000001</v>
      </c>
      <c r="AA207" s="29">
        <v>50.033700000000003</v>
      </c>
      <c r="AB207" s="29">
        <v>49.494799999999998</v>
      </c>
      <c r="AC207" s="29">
        <v>62.8718</v>
      </c>
      <c r="AD207" s="29">
        <v>51.328000000000003</v>
      </c>
      <c r="AE207" s="29">
        <v>52.0336</v>
      </c>
      <c r="AF207" s="29">
        <v>53.000500000000002</v>
      </c>
      <c r="AG207" s="29">
        <v>53.437199999999997</v>
      </c>
      <c r="AH207" s="29">
        <v>45.850700000000003</v>
      </c>
      <c r="AI207" s="3">
        <v>48011.5</v>
      </c>
      <c r="AJ207" s="4">
        <v>111.374</v>
      </c>
      <c r="AK207" s="4">
        <v>111.723</v>
      </c>
      <c r="AL207" s="4">
        <v>109.35299999999999</v>
      </c>
      <c r="AM207" s="4">
        <v>114.14</v>
      </c>
      <c r="AN207" s="4">
        <v>109.122</v>
      </c>
      <c r="AO207" s="5">
        <v>593722733</v>
      </c>
      <c r="AP207" s="36">
        <v>109.345589</v>
      </c>
      <c r="AQ207" s="6">
        <v>109.7</v>
      </c>
      <c r="AR207" s="3">
        <v>1716277.1236498719</v>
      </c>
      <c r="AS207" s="5">
        <v>2099</v>
      </c>
      <c r="AT207" s="5">
        <v>1312</v>
      </c>
      <c r="AU207" s="6">
        <v>49.5</v>
      </c>
      <c r="AV207" s="35">
        <v>42.421554427268923</v>
      </c>
      <c r="AW207" s="6">
        <v>50</v>
      </c>
    </row>
    <row r="208" spans="1:49" x14ac:dyDescent="0.25">
      <c r="A208" t="s">
        <v>208</v>
      </c>
      <c r="B208" s="2">
        <v>42704</v>
      </c>
      <c r="C208" s="3">
        <v>5.25</v>
      </c>
      <c r="D208" s="29">
        <v>6.9539</v>
      </c>
      <c r="E208" s="35">
        <v>75.1571</v>
      </c>
      <c r="F208" s="29">
        <v>91.428100000000001</v>
      </c>
      <c r="G208" s="29">
        <v>93.184799999999996</v>
      </c>
      <c r="H208" s="29">
        <v>105.2878</v>
      </c>
      <c r="I208" s="29">
        <v>86.878200000000007</v>
      </c>
      <c r="J208" s="29">
        <v>109.4221</v>
      </c>
      <c r="K208" s="29">
        <v>111.5149</v>
      </c>
      <c r="L208" s="29">
        <v>110.03100000000001</v>
      </c>
      <c r="M208" s="3">
        <v>3.6</v>
      </c>
      <c r="N208" s="3">
        <v>103.56</v>
      </c>
      <c r="O208" s="3">
        <v>99.41</v>
      </c>
      <c r="P208" s="29">
        <v>113.2784</v>
      </c>
      <c r="Q208" s="29">
        <v>104.8069</v>
      </c>
      <c r="R208" s="6">
        <v>32743.599999999999</v>
      </c>
      <c r="S208" s="6">
        <v>32957</v>
      </c>
      <c r="T208" s="3">
        <v>100.23</v>
      </c>
      <c r="U208" s="6">
        <v>34.700000000000003</v>
      </c>
      <c r="V208" s="3">
        <v>99.04</v>
      </c>
      <c r="W208" s="29">
        <v>51.136200000000002</v>
      </c>
      <c r="X208" s="29">
        <v>50.943800000000003</v>
      </c>
      <c r="Y208" s="29">
        <v>52.388199999999998</v>
      </c>
      <c r="Z208" s="29">
        <v>51.666899999999998</v>
      </c>
      <c r="AA208" s="29">
        <v>50.866700000000002</v>
      </c>
      <c r="AB208" s="29">
        <v>49.804600000000001</v>
      </c>
      <c r="AC208" s="29">
        <v>61.868899999999996</v>
      </c>
      <c r="AD208" s="29">
        <v>49.017600000000002</v>
      </c>
      <c r="AE208" s="29">
        <v>53.380699999999997</v>
      </c>
      <c r="AF208" s="29">
        <v>51.467300000000002</v>
      </c>
      <c r="AG208" s="29">
        <v>52.844099999999997</v>
      </c>
      <c r="AH208" s="29">
        <v>49.080100000000002</v>
      </c>
      <c r="AI208" s="3">
        <v>45807.37</v>
      </c>
      <c r="AJ208" s="4">
        <v>111.15</v>
      </c>
      <c r="AK208" s="4">
        <v>111.55</v>
      </c>
      <c r="AL208" s="4">
        <v>109.309</v>
      </c>
      <c r="AM208" s="4">
        <v>113.8</v>
      </c>
      <c r="AN208" s="4">
        <v>106.78700000000001</v>
      </c>
      <c r="AO208" s="5">
        <v>601157424</v>
      </c>
      <c r="AP208" s="36">
        <v>109.48898</v>
      </c>
      <c r="AQ208" s="6">
        <v>110.6</v>
      </c>
      <c r="AR208" s="3">
        <v>1683854.7696892109</v>
      </c>
      <c r="AS208" s="5">
        <v>2078</v>
      </c>
      <c r="AT208" s="5">
        <v>1273</v>
      </c>
      <c r="AU208" s="6">
        <v>50.1</v>
      </c>
      <c r="AV208" s="35">
        <v>75.492996194601261</v>
      </c>
      <c r="AW208" s="6">
        <v>49.1</v>
      </c>
    </row>
    <row r="209" spans="1:49" x14ac:dyDescent="0.25">
      <c r="A209" t="s">
        <v>209</v>
      </c>
      <c r="B209" s="2">
        <v>42735</v>
      </c>
      <c r="C209" s="3">
        <v>5.75</v>
      </c>
      <c r="D209" s="29">
        <v>7.3367000000000004</v>
      </c>
      <c r="E209" s="35">
        <v>74.355140000000006</v>
      </c>
      <c r="F209" s="29">
        <v>91.651799999999994</v>
      </c>
      <c r="G209" s="29">
        <v>93.486800000000002</v>
      </c>
      <c r="H209" s="29">
        <v>104.20489999999999</v>
      </c>
      <c r="I209" s="29">
        <v>85.960400000000007</v>
      </c>
      <c r="J209" s="29">
        <v>110.5843</v>
      </c>
      <c r="K209" s="29">
        <v>106.01739999999999</v>
      </c>
      <c r="L209" s="29">
        <v>111.1237</v>
      </c>
      <c r="M209" s="3">
        <v>3.7</v>
      </c>
      <c r="N209" s="3">
        <v>104.28</v>
      </c>
      <c r="O209" s="3">
        <v>99.36</v>
      </c>
      <c r="P209" s="29">
        <v>113.2299</v>
      </c>
      <c r="Q209" s="29">
        <v>107.33410000000001</v>
      </c>
      <c r="R209" s="6">
        <v>32885.300000000003</v>
      </c>
      <c r="S209" s="6">
        <v>33798.6</v>
      </c>
      <c r="T209" s="3">
        <v>100.28</v>
      </c>
      <c r="U209" s="6">
        <v>35.200000000000003</v>
      </c>
      <c r="V209" s="3">
        <v>98.87</v>
      </c>
      <c r="W209" s="29">
        <v>50.179299999999998</v>
      </c>
      <c r="X209" s="29">
        <v>49.506700000000002</v>
      </c>
      <c r="Y209" s="29">
        <v>50.373800000000003</v>
      </c>
      <c r="Z209" s="29">
        <v>51.546700000000001</v>
      </c>
      <c r="AA209" s="29">
        <v>50.874200000000002</v>
      </c>
      <c r="AB209" s="29">
        <v>50.122799999999998</v>
      </c>
      <c r="AC209" s="29">
        <v>62.671199999999999</v>
      </c>
      <c r="AD209" s="29">
        <v>50.417000000000002</v>
      </c>
      <c r="AE209" s="29">
        <v>52.529299999999999</v>
      </c>
      <c r="AF209" s="29">
        <v>51.771299999999997</v>
      </c>
      <c r="AG209" s="29">
        <v>53.516599999999997</v>
      </c>
      <c r="AH209" s="29">
        <v>48.515900000000002</v>
      </c>
      <c r="AI209" s="3">
        <v>45468.73</v>
      </c>
      <c r="AJ209" s="4">
        <v>113.803</v>
      </c>
      <c r="AK209" s="4">
        <v>114.148</v>
      </c>
      <c r="AL209" s="4">
        <v>113.251</v>
      </c>
      <c r="AM209" s="4">
        <v>115.575</v>
      </c>
      <c r="AN209" s="4">
        <v>111.095</v>
      </c>
      <c r="AO209" s="5">
        <v>572926753</v>
      </c>
      <c r="AP209" s="36">
        <v>110.175112</v>
      </c>
      <c r="AQ209" s="6">
        <v>110</v>
      </c>
      <c r="AR209" s="3">
        <v>1697064.2833550593</v>
      </c>
      <c r="AS209" s="5">
        <v>2036</v>
      </c>
      <c r="AT209" s="5">
        <v>1115</v>
      </c>
      <c r="AU209" s="6">
        <v>49.1</v>
      </c>
      <c r="AV209" s="35">
        <v>100.82712114018145</v>
      </c>
      <c r="AW209" s="6">
        <v>48.2</v>
      </c>
    </row>
    <row r="210" spans="1:49" x14ac:dyDescent="0.25">
      <c r="A210" t="s">
        <v>210</v>
      </c>
      <c r="B210" s="2">
        <v>42766</v>
      </c>
      <c r="C210" s="3">
        <v>5.75</v>
      </c>
      <c r="D210" s="29">
        <v>7.6117999999999997</v>
      </c>
      <c r="E210" s="35">
        <v>71.871189999999999</v>
      </c>
      <c r="F210" s="29">
        <v>93.043499999999995</v>
      </c>
      <c r="G210" s="29">
        <v>94.031999999999996</v>
      </c>
      <c r="H210" s="29">
        <v>104.4207</v>
      </c>
      <c r="I210" s="29">
        <v>85.816100000000006</v>
      </c>
      <c r="J210" s="29">
        <v>110.2595</v>
      </c>
      <c r="K210" s="29">
        <v>105.8121</v>
      </c>
      <c r="L210" s="29">
        <v>111.8518</v>
      </c>
      <c r="M210" s="3">
        <v>3.53</v>
      </c>
      <c r="N210" s="3">
        <v>104.14</v>
      </c>
      <c r="O210" s="3">
        <v>99.38</v>
      </c>
      <c r="P210" s="29">
        <v>112.34480000000001</v>
      </c>
      <c r="Q210" s="29">
        <v>107.9559</v>
      </c>
      <c r="R210" s="6">
        <v>33191.699999999997</v>
      </c>
      <c r="S210" s="6">
        <v>33698.400000000001</v>
      </c>
      <c r="T210" s="3">
        <v>100.32</v>
      </c>
      <c r="U210" s="6">
        <v>28.8</v>
      </c>
      <c r="V210" s="3">
        <v>98.75</v>
      </c>
      <c r="W210" s="29">
        <v>50.808999999999997</v>
      </c>
      <c r="X210" s="29">
        <v>51.3172</v>
      </c>
      <c r="Y210" s="29">
        <v>51.056100000000001</v>
      </c>
      <c r="Z210" s="29">
        <v>51.685200000000002</v>
      </c>
      <c r="AA210" s="29">
        <v>50.173900000000003</v>
      </c>
      <c r="AB210" s="29">
        <v>48.5197</v>
      </c>
      <c r="AC210" s="29">
        <v>68.102599999999995</v>
      </c>
      <c r="AD210" s="29">
        <v>51.276899999999998</v>
      </c>
      <c r="AE210" s="29">
        <v>53.292000000000002</v>
      </c>
      <c r="AF210" s="29">
        <v>52.785600000000002</v>
      </c>
      <c r="AG210" s="29">
        <v>53.7547</v>
      </c>
      <c r="AH210" s="29">
        <v>50.811399999999999</v>
      </c>
      <c r="AI210" s="3">
        <v>46553.73</v>
      </c>
      <c r="AJ210" s="4">
        <v>113.06699999999999</v>
      </c>
      <c r="AK210" s="4">
        <v>113.428</v>
      </c>
      <c r="AL210" s="4">
        <v>111</v>
      </c>
      <c r="AM210" s="4">
        <v>115.53</v>
      </c>
      <c r="AN210" s="4">
        <v>110.411</v>
      </c>
      <c r="AO210" s="5">
        <v>615579485</v>
      </c>
      <c r="AP210" s="36">
        <v>110.38346300000001</v>
      </c>
      <c r="AQ210" s="6">
        <v>108.3</v>
      </c>
      <c r="AR210" s="3">
        <v>1722014.0547341381</v>
      </c>
      <c r="AS210" s="5">
        <v>2025</v>
      </c>
      <c r="AT210" s="5">
        <v>1085</v>
      </c>
      <c r="AU210" s="6">
        <v>49.8</v>
      </c>
      <c r="AV210" s="35">
        <v>113.81676836604724</v>
      </c>
      <c r="AW210" s="6">
        <v>49.3</v>
      </c>
    </row>
    <row r="211" spans="1:49" x14ac:dyDescent="0.25">
      <c r="A211" t="s">
        <v>211</v>
      </c>
      <c r="B211" s="2">
        <v>42794</v>
      </c>
      <c r="C211" s="3">
        <v>6.25</v>
      </c>
      <c r="D211" s="29">
        <v>7.3723000000000001</v>
      </c>
      <c r="E211" s="35">
        <v>75.778149999999997</v>
      </c>
      <c r="F211" s="29">
        <v>93.466899999999995</v>
      </c>
      <c r="G211" s="29">
        <v>94.572400000000002</v>
      </c>
      <c r="H211" s="29">
        <v>103.9426</v>
      </c>
      <c r="I211" s="29">
        <v>83.796400000000006</v>
      </c>
      <c r="J211" s="29">
        <v>109.19070000000001</v>
      </c>
      <c r="K211" s="29">
        <v>104.8689</v>
      </c>
      <c r="L211" s="29">
        <v>111.6703</v>
      </c>
      <c r="M211" s="3">
        <v>3.48</v>
      </c>
      <c r="N211" s="3">
        <v>103.62</v>
      </c>
      <c r="O211" s="3">
        <v>99.48</v>
      </c>
      <c r="P211" s="29">
        <v>112.1647</v>
      </c>
      <c r="Q211" s="29">
        <v>107.62050000000001</v>
      </c>
      <c r="R211" s="6">
        <v>33334.699999999997</v>
      </c>
      <c r="S211" s="6">
        <v>33778.300000000003</v>
      </c>
      <c r="T211" s="3">
        <v>100.34</v>
      </c>
      <c r="U211" s="6">
        <v>32.200000000000003</v>
      </c>
      <c r="V211" s="3">
        <v>98.75</v>
      </c>
      <c r="W211" s="29">
        <v>50.593899999999998</v>
      </c>
      <c r="X211" s="29">
        <v>49.7667</v>
      </c>
      <c r="Y211" s="29">
        <v>50.933</v>
      </c>
      <c r="Z211" s="29">
        <v>51.285400000000003</v>
      </c>
      <c r="AA211" s="29">
        <v>48.060299999999998</v>
      </c>
      <c r="AB211" s="29">
        <v>48.242400000000004</v>
      </c>
      <c r="AC211" s="29">
        <v>66.898300000000006</v>
      </c>
      <c r="AD211" s="29">
        <v>49.602699999999999</v>
      </c>
      <c r="AE211" s="29">
        <v>51.376399999999997</v>
      </c>
      <c r="AF211" s="29">
        <v>53.162300000000002</v>
      </c>
      <c r="AG211" s="29">
        <v>54.974400000000003</v>
      </c>
      <c r="AH211" s="29">
        <v>49.874099999999999</v>
      </c>
      <c r="AI211" s="3">
        <v>47212.49</v>
      </c>
      <c r="AJ211" s="4">
        <v>112.80800000000001</v>
      </c>
      <c r="AK211" s="4">
        <v>112.505</v>
      </c>
      <c r="AL211" s="4">
        <v>109.721</v>
      </c>
      <c r="AM211" s="4">
        <v>115.562</v>
      </c>
      <c r="AN211" s="4">
        <v>114.959</v>
      </c>
      <c r="AO211" s="5">
        <v>597881696</v>
      </c>
      <c r="AP211" s="36">
        <v>109.862786</v>
      </c>
      <c r="AQ211" s="6">
        <v>105.5</v>
      </c>
      <c r="AR211" s="3">
        <v>1695880.3304610946</v>
      </c>
      <c r="AS211" s="5">
        <v>2020</v>
      </c>
      <c r="AT211" s="5">
        <v>1217</v>
      </c>
      <c r="AU211" s="6">
        <v>45.2</v>
      </c>
      <c r="AV211" s="35">
        <v>88.16299808039328</v>
      </c>
      <c r="AW211" s="6">
        <v>48.6</v>
      </c>
    </row>
    <row r="212" spans="1:49" x14ac:dyDescent="0.25">
      <c r="A212" t="s">
        <v>212</v>
      </c>
      <c r="B212" s="2">
        <v>42825</v>
      </c>
      <c r="C212" s="3">
        <v>6.5</v>
      </c>
      <c r="D212" s="29">
        <v>7.2492000000000001</v>
      </c>
      <c r="E212" s="35">
        <v>80.307699999999997</v>
      </c>
      <c r="F212" s="29">
        <v>94.1083</v>
      </c>
      <c r="G212" s="29">
        <v>95.109499999999997</v>
      </c>
      <c r="H212" s="29">
        <v>104.8009</v>
      </c>
      <c r="I212" s="29">
        <v>84.668700000000001</v>
      </c>
      <c r="J212" s="29">
        <v>111.52979999999999</v>
      </c>
      <c r="K212" s="29">
        <v>106.3807</v>
      </c>
      <c r="L212" s="29">
        <v>112.5402</v>
      </c>
      <c r="M212" s="3">
        <v>3.55</v>
      </c>
      <c r="N212" s="3">
        <v>103.58</v>
      </c>
      <c r="O212" s="3">
        <v>99.65</v>
      </c>
      <c r="P212" s="29">
        <v>111.6769</v>
      </c>
      <c r="Q212" s="29">
        <v>107.20820000000001</v>
      </c>
      <c r="R212" s="6">
        <v>33228.9</v>
      </c>
      <c r="S212" s="6">
        <v>34108.800000000003</v>
      </c>
      <c r="T212" s="3">
        <v>100.32</v>
      </c>
      <c r="U212" s="6">
        <v>34.200000000000003</v>
      </c>
      <c r="V212" s="3">
        <v>98.89</v>
      </c>
      <c r="W212" s="29">
        <v>51.513300000000001</v>
      </c>
      <c r="X212" s="29">
        <v>51.053199999999997</v>
      </c>
      <c r="Y212" s="29">
        <v>52.755800000000001</v>
      </c>
      <c r="Z212" s="29">
        <v>50.371000000000002</v>
      </c>
      <c r="AA212" s="29">
        <v>48.351399999999998</v>
      </c>
      <c r="AB212" s="29">
        <v>51.017600000000002</v>
      </c>
      <c r="AC212" s="29">
        <v>61.117800000000003</v>
      </c>
      <c r="AD212" s="29">
        <v>52.222200000000001</v>
      </c>
      <c r="AE212" s="29">
        <v>51.896900000000002</v>
      </c>
      <c r="AF212" s="29">
        <v>51.019100000000002</v>
      </c>
      <c r="AG212" s="29">
        <v>54.019500000000001</v>
      </c>
      <c r="AH212" s="29">
        <v>50.3065</v>
      </c>
      <c r="AI212" s="3">
        <v>48072.99</v>
      </c>
      <c r="AJ212" s="4">
        <v>112.724</v>
      </c>
      <c r="AK212" s="4">
        <v>112.015</v>
      </c>
      <c r="AL212" s="4">
        <v>108.702</v>
      </c>
      <c r="AM212" s="4">
        <v>115.494</v>
      </c>
      <c r="AN212" s="4">
        <v>117.35299999999999</v>
      </c>
      <c r="AO212" s="5">
        <v>663999781</v>
      </c>
      <c r="AP212" s="36">
        <v>110.526202</v>
      </c>
      <c r="AQ212" s="6">
        <v>108.4</v>
      </c>
      <c r="AR212" s="3">
        <v>1703530.0858249858</v>
      </c>
      <c r="AS212" s="5">
        <v>2024</v>
      </c>
      <c r="AT212" s="5">
        <v>1002</v>
      </c>
      <c r="AU212" s="6">
        <v>45.9</v>
      </c>
      <c r="AV212" s="35">
        <v>75.293981697048736</v>
      </c>
      <c r="AW212" s="6">
        <v>47.5</v>
      </c>
    </row>
    <row r="213" spans="1:49" x14ac:dyDescent="0.25">
      <c r="A213" t="s">
        <v>213</v>
      </c>
      <c r="B213" s="2">
        <v>42855</v>
      </c>
      <c r="C213" s="3">
        <v>6.5</v>
      </c>
      <c r="D213" s="29">
        <v>7.1473000000000004</v>
      </c>
      <c r="E213" s="35">
        <v>82.255859999999998</v>
      </c>
      <c r="F213" s="29">
        <v>94.582999999999998</v>
      </c>
      <c r="G213" s="29">
        <v>95.436999999999998</v>
      </c>
      <c r="H213" s="29">
        <v>103.9182</v>
      </c>
      <c r="I213" s="29">
        <v>84.630300000000005</v>
      </c>
      <c r="J213" s="29">
        <v>108.81910000000001</v>
      </c>
      <c r="K213" s="29">
        <v>103.8497</v>
      </c>
      <c r="L213" s="29">
        <v>112.2373</v>
      </c>
      <c r="M213" s="3">
        <v>3.52</v>
      </c>
      <c r="N213" s="3">
        <v>103.61</v>
      </c>
      <c r="O213" s="3">
        <v>99.83</v>
      </c>
      <c r="P213" s="29">
        <v>111.73909999999999</v>
      </c>
      <c r="Q213" s="29">
        <v>107.1874</v>
      </c>
      <c r="R213" s="6">
        <v>33276.1</v>
      </c>
      <c r="S213" s="6">
        <v>33945.1</v>
      </c>
      <c r="T213" s="3">
        <v>100.29</v>
      </c>
      <c r="U213" s="6">
        <v>35</v>
      </c>
      <c r="V213" s="3">
        <v>99.11</v>
      </c>
      <c r="W213" s="29">
        <v>50.733400000000003</v>
      </c>
      <c r="X213" s="29">
        <v>49.675899999999999</v>
      </c>
      <c r="Y213" s="29">
        <v>51.829599999999999</v>
      </c>
      <c r="Z213" s="29">
        <v>50.631300000000003</v>
      </c>
      <c r="AA213" s="29">
        <v>49.0291</v>
      </c>
      <c r="AB213" s="29">
        <v>49.936999999999998</v>
      </c>
      <c r="AC213" s="29">
        <v>58.090299999999999</v>
      </c>
      <c r="AD213" s="29">
        <v>49.493400000000001</v>
      </c>
      <c r="AE213" s="29">
        <v>48.877499999999998</v>
      </c>
      <c r="AF213" s="29">
        <v>51.787500000000001</v>
      </c>
      <c r="AG213" s="29">
        <v>53.522799999999997</v>
      </c>
      <c r="AH213" s="29">
        <v>51.745100000000001</v>
      </c>
      <c r="AI213" s="3">
        <v>49228.28</v>
      </c>
      <c r="AJ213" s="4">
        <v>113.33199999999999</v>
      </c>
      <c r="AK213" s="4">
        <v>113.17</v>
      </c>
      <c r="AL213" s="4">
        <v>110.051</v>
      </c>
      <c r="AM213" s="4">
        <v>115.93</v>
      </c>
      <c r="AN213" s="4">
        <v>116.899</v>
      </c>
      <c r="AO213" s="5">
        <v>590611494</v>
      </c>
      <c r="AP213" s="36">
        <v>110.51447</v>
      </c>
      <c r="AQ213" s="6">
        <v>104</v>
      </c>
      <c r="AR213" s="3">
        <v>1823909.7395360009</v>
      </c>
      <c r="AS213" s="5">
        <v>2014</v>
      </c>
      <c r="AT213" s="5">
        <v>1017</v>
      </c>
      <c r="AU213" s="6">
        <v>45.8</v>
      </c>
      <c r="AV213" s="35">
        <v>64.21017474189803</v>
      </c>
      <c r="AW213" s="6">
        <v>49.3</v>
      </c>
    </row>
    <row r="214" spans="1:49" x14ac:dyDescent="0.25">
      <c r="A214" t="s">
        <v>214</v>
      </c>
      <c r="B214" s="2">
        <v>42886</v>
      </c>
      <c r="C214" s="3">
        <v>6.75</v>
      </c>
      <c r="D214" s="29">
        <v>7.2523</v>
      </c>
      <c r="E214" s="35">
        <v>81.940899999999999</v>
      </c>
      <c r="F214" s="29">
        <v>95.116200000000006</v>
      </c>
      <c r="G214" s="29">
        <v>95.835700000000003</v>
      </c>
      <c r="H214" s="29">
        <v>103.47320000000001</v>
      </c>
      <c r="I214" s="29">
        <v>84.649699999999996</v>
      </c>
      <c r="J214" s="29">
        <v>111.11279999999999</v>
      </c>
      <c r="K214" s="29">
        <v>103.39149999999999</v>
      </c>
      <c r="L214" s="29">
        <v>111.4008</v>
      </c>
      <c r="M214" s="3">
        <v>3.53</v>
      </c>
      <c r="N214" s="3">
        <v>103.79</v>
      </c>
      <c r="O214" s="3">
        <v>100.01</v>
      </c>
      <c r="P214" s="29">
        <v>111.6198</v>
      </c>
      <c r="Q214" s="29">
        <v>106.4747</v>
      </c>
      <c r="R214" s="6">
        <v>33099.4</v>
      </c>
      <c r="S214" s="6">
        <v>34624</v>
      </c>
      <c r="T214" s="3">
        <v>100.25</v>
      </c>
      <c r="U214" s="6">
        <v>35.5</v>
      </c>
      <c r="V214" s="3">
        <v>99.37</v>
      </c>
      <c r="W214" s="29">
        <v>51.234200000000001</v>
      </c>
      <c r="X214" s="29">
        <v>50.717700000000001</v>
      </c>
      <c r="Y214" s="29">
        <v>52.052100000000003</v>
      </c>
      <c r="Z214" s="29">
        <v>51.3309</v>
      </c>
      <c r="AA214" s="29">
        <v>49.1083</v>
      </c>
      <c r="AB214" s="29">
        <v>50.392400000000002</v>
      </c>
      <c r="AC214" s="29">
        <v>60.723199999999999</v>
      </c>
      <c r="AD214" s="29">
        <v>51.505200000000002</v>
      </c>
      <c r="AE214" s="29">
        <v>51.175600000000003</v>
      </c>
      <c r="AF214" s="29">
        <v>52.699599999999997</v>
      </c>
      <c r="AG214" s="29">
        <v>54.270800000000001</v>
      </c>
      <c r="AH214" s="29">
        <v>49.948900000000002</v>
      </c>
      <c r="AI214" s="3">
        <v>49312.63</v>
      </c>
      <c r="AJ214" s="4">
        <v>113.246</v>
      </c>
      <c r="AK214" s="4">
        <v>112.398</v>
      </c>
      <c r="AL214" s="4">
        <v>108.98</v>
      </c>
      <c r="AM214" s="4">
        <v>115.80800000000001</v>
      </c>
      <c r="AN214" s="4">
        <v>119.374</v>
      </c>
      <c r="AO214" s="5">
        <v>638279756</v>
      </c>
      <c r="AP214" s="36">
        <v>109.952203</v>
      </c>
      <c r="AQ214" s="6">
        <v>107.6</v>
      </c>
      <c r="AR214" s="3">
        <v>1812646.1672890007</v>
      </c>
      <c r="AS214" s="5">
        <v>2017</v>
      </c>
      <c r="AT214" s="5">
        <v>958</v>
      </c>
      <c r="AU214" s="6">
        <v>50.1</v>
      </c>
      <c r="AV214" s="35">
        <v>66.554986731014566</v>
      </c>
      <c r="AW214" s="6">
        <v>52.6</v>
      </c>
    </row>
    <row r="215" spans="1:49" x14ac:dyDescent="0.25">
      <c r="A215" t="s">
        <v>215</v>
      </c>
      <c r="B215" s="2">
        <v>42916</v>
      </c>
      <c r="C215" s="3">
        <v>7</v>
      </c>
      <c r="D215" s="29">
        <v>6.9518000000000004</v>
      </c>
      <c r="E215" s="35">
        <v>84.492940000000004</v>
      </c>
      <c r="F215" s="29">
        <v>95.489800000000002</v>
      </c>
      <c r="G215" s="29">
        <v>96.165599999999998</v>
      </c>
      <c r="H215" s="29">
        <v>104.03019999999999</v>
      </c>
      <c r="I215" s="29">
        <v>84.184600000000003</v>
      </c>
      <c r="J215" s="29">
        <v>110.8182</v>
      </c>
      <c r="K215" s="29">
        <v>106.1361</v>
      </c>
      <c r="L215" s="29">
        <v>111.4106</v>
      </c>
      <c r="M215" s="3">
        <v>3.26</v>
      </c>
      <c r="N215" s="3">
        <v>104.03</v>
      </c>
      <c r="O215" s="3">
        <v>100.15</v>
      </c>
      <c r="P215" s="29">
        <v>111.06270000000001</v>
      </c>
      <c r="Q215" s="29">
        <v>106.4633</v>
      </c>
      <c r="R215" s="6">
        <v>34163.300000000003</v>
      </c>
      <c r="S215" s="6">
        <v>34819.699999999997</v>
      </c>
      <c r="T215" s="3">
        <v>100.21</v>
      </c>
      <c r="U215" s="6">
        <v>35.6</v>
      </c>
      <c r="V215" s="3">
        <v>99.61</v>
      </c>
      <c r="W215" s="29">
        <v>52.338000000000001</v>
      </c>
      <c r="X215" s="29">
        <v>52.6417</v>
      </c>
      <c r="Y215" s="29">
        <v>53.554099999999998</v>
      </c>
      <c r="Z215" s="29">
        <v>52.421999999999997</v>
      </c>
      <c r="AA215" s="29">
        <v>49.643599999999999</v>
      </c>
      <c r="AB215" s="29">
        <v>50.734999999999999</v>
      </c>
      <c r="AC215" s="29">
        <v>58.788499999999999</v>
      </c>
      <c r="AD215" s="29">
        <v>51.9251</v>
      </c>
      <c r="AE215" s="29">
        <v>50.754399999999997</v>
      </c>
      <c r="AF215" s="29">
        <v>51.524799999999999</v>
      </c>
      <c r="AG215" s="29">
        <v>53.868000000000002</v>
      </c>
      <c r="AH215" s="29">
        <v>48.1982</v>
      </c>
      <c r="AI215" s="3">
        <v>49196.14</v>
      </c>
      <c r="AJ215" s="4">
        <v>113.718</v>
      </c>
      <c r="AK215" s="4">
        <v>112.88200000000001</v>
      </c>
      <c r="AL215" s="4">
        <v>109.62</v>
      </c>
      <c r="AM215" s="4">
        <v>115.83499999999999</v>
      </c>
      <c r="AN215" s="4">
        <v>121.667</v>
      </c>
      <c r="AO215" s="5">
        <v>633110786</v>
      </c>
      <c r="AP215" s="36">
        <v>110.923845</v>
      </c>
      <c r="AQ215" s="6">
        <v>108.4</v>
      </c>
      <c r="AR215" s="3">
        <v>1804763.4275585827</v>
      </c>
      <c r="AS215" s="5">
        <v>2000</v>
      </c>
      <c r="AT215" s="5">
        <v>1156</v>
      </c>
      <c r="AU215" s="6">
        <v>53.7</v>
      </c>
      <c r="AV215" s="35">
        <v>42.586934559507647</v>
      </c>
      <c r="AW215" s="6">
        <v>55</v>
      </c>
    </row>
    <row r="216" spans="1:49" x14ac:dyDescent="0.25">
      <c r="A216" t="s">
        <v>216</v>
      </c>
      <c r="B216" s="2">
        <v>42947</v>
      </c>
      <c r="C216" s="3">
        <v>7</v>
      </c>
      <c r="D216" s="29">
        <v>6.8144</v>
      </c>
      <c r="E216" s="35">
        <v>85.844570000000004</v>
      </c>
      <c r="F216" s="29">
        <v>95.874799999999993</v>
      </c>
      <c r="G216" s="29">
        <v>96.487899999999996</v>
      </c>
      <c r="H216" s="29">
        <v>103.2891</v>
      </c>
      <c r="I216" s="29">
        <v>83.457899999999995</v>
      </c>
      <c r="J216" s="29">
        <v>108.4969</v>
      </c>
      <c r="K216" s="29">
        <v>104.7825</v>
      </c>
      <c r="L216" s="29">
        <v>111.46420000000001</v>
      </c>
      <c r="M216" s="3">
        <v>3.23</v>
      </c>
      <c r="N216" s="3">
        <v>103.86</v>
      </c>
      <c r="O216" s="3">
        <v>100.24</v>
      </c>
      <c r="P216" s="29">
        <v>111.5915</v>
      </c>
      <c r="Q216" s="29">
        <v>107.53149999999999</v>
      </c>
      <c r="R216" s="6">
        <v>33848.800000000003</v>
      </c>
      <c r="S216" s="6">
        <v>34630.699999999997</v>
      </c>
      <c r="T216" s="3">
        <v>100.18</v>
      </c>
      <c r="U216" s="6">
        <v>36.200000000000003</v>
      </c>
      <c r="V216" s="3">
        <v>99.81</v>
      </c>
      <c r="W216" s="29">
        <v>51.215499999999999</v>
      </c>
      <c r="X216" s="29">
        <v>50.671500000000002</v>
      </c>
      <c r="Y216" s="29">
        <v>52.282800000000002</v>
      </c>
      <c r="Z216" s="29">
        <v>52.875700000000002</v>
      </c>
      <c r="AA216" s="29">
        <v>50.878700000000002</v>
      </c>
      <c r="AB216" s="29">
        <v>49.195</v>
      </c>
      <c r="AC216" s="29">
        <v>56.757399999999997</v>
      </c>
      <c r="AD216" s="29">
        <v>50.697699999999998</v>
      </c>
      <c r="AE216" s="29">
        <v>50.433399999999999</v>
      </c>
      <c r="AF216" s="29">
        <v>48.306199999999997</v>
      </c>
      <c r="AG216" s="29">
        <v>52.375100000000003</v>
      </c>
      <c r="AH216" s="29">
        <v>48.428600000000003</v>
      </c>
      <c r="AI216" s="3">
        <v>50918.28</v>
      </c>
      <c r="AJ216" s="4">
        <v>113.569</v>
      </c>
      <c r="AK216" s="4">
        <v>113.114</v>
      </c>
      <c r="AL216" s="4">
        <v>110.191</v>
      </c>
      <c r="AM216" s="4">
        <v>115.95099999999999</v>
      </c>
      <c r="AN216" s="4">
        <v>119.758</v>
      </c>
      <c r="AO216" s="5">
        <v>592468272</v>
      </c>
      <c r="AP216" s="36">
        <v>110.046224</v>
      </c>
      <c r="AQ216" s="6">
        <v>107.4</v>
      </c>
      <c r="AR216" s="3">
        <v>1842297.6620705063</v>
      </c>
      <c r="AS216" s="5">
        <v>1976</v>
      </c>
      <c r="AT216" s="5">
        <v>1255</v>
      </c>
      <c r="AU216" s="6">
        <v>53.4</v>
      </c>
      <c r="AV216" s="35">
        <v>33.636892176891308</v>
      </c>
      <c r="AW216" s="6">
        <v>52.7</v>
      </c>
    </row>
    <row r="217" spans="1:49" x14ac:dyDescent="0.25">
      <c r="A217" t="s">
        <v>217</v>
      </c>
      <c r="B217" s="2">
        <v>42978</v>
      </c>
      <c r="C217" s="3">
        <v>7</v>
      </c>
      <c r="D217" s="29">
        <v>6.8127000000000004</v>
      </c>
      <c r="E217" s="35">
        <v>85.329859999999996</v>
      </c>
      <c r="F217" s="29">
        <v>96.339399999999998</v>
      </c>
      <c r="G217" s="29">
        <v>96.810599999999994</v>
      </c>
      <c r="H217" s="29">
        <v>103.7495</v>
      </c>
      <c r="I217" s="29">
        <v>81.237200000000001</v>
      </c>
      <c r="J217" s="29">
        <v>108.3604</v>
      </c>
      <c r="K217" s="29">
        <v>106.158</v>
      </c>
      <c r="L217" s="29">
        <v>112.0668</v>
      </c>
      <c r="M217" s="3">
        <v>3.31</v>
      </c>
      <c r="N217" s="3">
        <v>103.31</v>
      </c>
      <c r="O217" s="3">
        <v>100.28</v>
      </c>
      <c r="P217" s="29">
        <v>111.12569999999999</v>
      </c>
      <c r="Q217" s="29">
        <v>108.09229999999999</v>
      </c>
      <c r="R217" s="6">
        <v>34256.6</v>
      </c>
      <c r="S217" s="6">
        <v>35863.9</v>
      </c>
      <c r="T217" s="3">
        <v>100.15</v>
      </c>
      <c r="U217" s="6">
        <v>36.5</v>
      </c>
      <c r="V217" s="3">
        <v>99.97</v>
      </c>
      <c r="W217" s="29">
        <v>52.1663</v>
      </c>
      <c r="X217" s="29">
        <v>51.947299999999998</v>
      </c>
      <c r="Y217" s="29">
        <v>52.985199999999999</v>
      </c>
      <c r="Z217" s="29">
        <v>52.8277</v>
      </c>
      <c r="AA217" s="29">
        <v>49.499699999999997</v>
      </c>
      <c r="AB217" s="29">
        <v>51.433300000000003</v>
      </c>
      <c r="AC217" s="29">
        <v>55.523099999999999</v>
      </c>
      <c r="AD217" s="29">
        <v>53.4056</v>
      </c>
      <c r="AE217" s="29">
        <v>52.682000000000002</v>
      </c>
      <c r="AF217" s="29">
        <v>52.013500000000001</v>
      </c>
      <c r="AG217" s="29">
        <v>51.369</v>
      </c>
      <c r="AH217" s="29">
        <v>50.505400000000002</v>
      </c>
      <c r="AI217" s="3">
        <v>51214.74</v>
      </c>
      <c r="AJ217" s="4">
        <v>113.724</v>
      </c>
      <c r="AK217" s="4">
        <v>113.321</v>
      </c>
      <c r="AL217" s="4">
        <v>110.416</v>
      </c>
      <c r="AM217" s="4">
        <v>116.21599999999999</v>
      </c>
      <c r="AN217" s="4">
        <v>116.574</v>
      </c>
      <c r="AO217" s="5">
        <v>636728345</v>
      </c>
      <c r="AP217" s="36">
        <v>110.940786</v>
      </c>
      <c r="AQ217" s="6">
        <v>108.5</v>
      </c>
      <c r="AR217" s="3">
        <v>1776823.3197856236</v>
      </c>
      <c r="AS217" s="5">
        <v>1926</v>
      </c>
      <c r="AT217" s="5">
        <v>1114</v>
      </c>
      <c r="AU217" s="6">
        <v>54.2</v>
      </c>
      <c r="AV217" s="35">
        <v>50.018737506756104</v>
      </c>
      <c r="AW217" s="6">
        <v>52.5</v>
      </c>
    </row>
    <row r="218" spans="1:49" x14ac:dyDescent="0.25">
      <c r="A218" t="s">
        <v>218</v>
      </c>
      <c r="B218" s="2">
        <v>43008</v>
      </c>
      <c r="C218" s="3">
        <v>7</v>
      </c>
      <c r="D218" s="29">
        <v>6.7930999999999999</v>
      </c>
      <c r="E218" s="35">
        <v>84.671019999999999</v>
      </c>
      <c r="F218" s="29">
        <v>96.570700000000002</v>
      </c>
      <c r="G218" s="29">
        <v>97.041799999999995</v>
      </c>
      <c r="H218" s="29">
        <v>101.917</v>
      </c>
      <c r="I218" s="29">
        <v>75.174300000000002</v>
      </c>
      <c r="J218" s="29">
        <v>109.5205</v>
      </c>
      <c r="K218" s="29">
        <v>107.9293</v>
      </c>
      <c r="L218" s="29">
        <v>109.86279999999999</v>
      </c>
      <c r="M218" s="3">
        <v>3.32</v>
      </c>
      <c r="N218" s="3">
        <v>104.67</v>
      </c>
      <c r="O218" s="3">
        <v>100.28</v>
      </c>
      <c r="P218" s="29">
        <v>110.4526</v>
      </c>
      <c r="Q218" s="29">
        <v>107.18170000000001</v>
      </c>
      <c r="R218" s="6">
        <v>34196.800000000003</v>
      </c>
      <c r="S218" s="6">
        <v>35475.800000000003</v>
      </c>
      <c r="T218" s="3">
        <v>100.15</v>
      </c>
      <c r="U218" s="6">
        <v>37</v>
      </c>
      <c r="V218" s="3">
        <v>100.08</v>
      </c>
      <c r="W218" s="29">
        <v>52.841500000000003</v>
      </c>
      <c r="X218" s="29">
        <v>53.363599999999998</v>
      </c>
      <c r="Y218" s="29">
        <v>54.0623</v>
      </c>
      <c r="Z218" s="29">
        <v>51.975499999999997</v>
      </c>
      <c r="AA218" s="29">
        <v>48.855600000000003</v>
      </c>
      <c r="AB218" s="29">
        <v>52.151499999999999</v>
      </c>
      <c r="AC218" s="29">
        <v>56.497100000000003</v>
      </c>
      <c r="AD218" s="29">
        <v>53.145699999999998</v>
      </c>
      <c r="AE218" s="29">
        <v>51.1586</v>
      </c>
      <c r="AF218" s="29">
        <v>52.146900000000002</v>
      </c>
      <c r="AG218" s="29">
        <v>51.517899999999997</v>
      </c>
      <c r="AH218" s="29">
        <v>51.267099999999999</v>
      </c>
      <c r="AI218" s="3">
        <v>50343.73</v>
      </c>
      <c r="AJ218" s="4">
        <v>113.60899999999999</v>
      </c>
      <c r="AK218" s="4">
        <v>113.236</v>
      </c>
      <c r="AL218" s="4">
        <v>111.062</v>
      </c>
      <c r="AM218" s="4">
        <v>115.774</v>
      </c>
      <c r="AN218" s="4">
        <v>115.72799999999999</v>
      </c>
      <c r="AO218" s="5">
        <v>602319866</v>
      </c>
      <c r="AP218" s="36">
        <v>109.633066</v>
      </c>
      <c r="AQ218" s="6">
        <v>108.4</v>
      </c>
      <c r="AR218" s="3">
        <v>1791989.8171995506</v>
      </c>
      <c r="AS218" s="5">
        <v>1728</v>
      </c>
      <c r="AT218" s="5">
        <v>1159</v>
      </c>
      <c r="AU218" s="6">
        <v>50.5</v>
      </c>
      <c r="AV218" s="35">
        <v>39.553653564493708</v>
      </c>
      <c r="AW218" s="6">
        <v>51.8</v>
      </c>
    </row>
    <row r="219" spans="1:49" x14ac:dyDescent="0.25">
      <c r="A219" t="s">
        <v>219</v>
      </c>
      <c r="B219" s="2">
        <v>43039</v>
      </c>
      <c r="C219" s="3">
        <v>7</v>
      </c>
      <c r="D219" s="29">
        <v>7.1218000000000004</v>
      </c>
      <c r="E219" s="35">
        <v>81.11703</v>
      </c>
      <c r="F219" s="29">
        <v>96.959599999999995</v>
      </c>
      <c r="G219" s="29">
        <v>97.322800000000001</v>
      </c>
      <c r="H219" s="29">
        <v>104.0022</v>
      </c>
      <c r="I219" s="29">
        <v>80.010900000000007</v>
      </c>
      <c r="J219" s="29">
        <v>106.36320000000001</v>
      </c>
      <c r="K219" s="29">
        <v>107.50369999999999</v>
      </c>
      <c r="L219" s="29">
        <v>112.59229999999999</v>
      </c>
      <c r="M219" s="3">
        <v>3.39</v>
      </c>
      <c r="N219" s="3">
        <v>104.11</v>
      </c>
      <c r="O219" s="3">
        <v>100.26</v>
      </c>
      <c r="P219" s="29">
        <v>111.6397</v>
      </c>
      <c r="Q219" s="29">
        <v>107.56100000000001</v>
      </c>
      <c r="R219" s="6">
        <v>34809.599999999999</v>
      </c>
      <c r="S219" s="6">
        <v>36236.300000000003</v>
      </c>
      <c r="T219" s="3">
        <v>100.2</v>
      </c>
      <c r="U219" s="6">
        <v>36.5</v>
      </c>
      <c r="V219" s="3">
        <v>100.17</v>
      </c>
      <c r="W219" s="29">
        <v>49.192399999999999</v>
      </c>
      <c r="X219" s="29">
        <v>47.770600000000002</v>
      </c>
      <c r="Y219" s="29">
        <v>49.322299999999998</v>
      </c>
      <c r="Z219" s="29">
        <v>49.6387</v>
      </c>
      <c r="AA219" s="29">
        <v>48.678899999999999</v>
      </c>
      <c r="AB219" s="29">
        <v>48.271900000000002</v>
      </c>
      <c r="AC219" s="29">
        <v>57.574199999999998</v>
      </c>
      <c r="AD219" s="29">
        <v>49.388100000000001</v>
      </c>
      <c r="AE219" s="29">
        <v>50.615299999999998</v>
      </c>
      <c r="AF219" s="29">
        <v>49.991300000000003</v>
      </c>
      <c r="AG219" s="29">
        <v>52.346499999999999</v>
      </c>
      <c r="AH219" s="29">
        <v>49.757899999999999</v>
      </c>
      <c r="AI219" s="3">
        <v>49847.88</v>
      </c>
      <c r="AJ219" s="4">
        <v>114.014</v>
      </c>
      <c r="AK219" s="4">
        <v>113.82599999999999</v>
      </c>
      <c r="AL219" s="4">
        <v>111.923</v>
      </c>
      <c r="AM219" s="4">
        <v>115.746</v>
      </c>
      <c r="AN219" s="4">
        <v>115.303</v>
      </c>
      <c r="AO219" s="5">
        <v>654189558</v>
      </c>
      <c r="AP219" s="36">
        <v>110.986796</v>
      </c>
      <c r="AQ219" s="6">
        <v>107.3</v>
      </c>
      <c r="AR219" s="3">
        <v>1756359.6202039104</v>
      </c>
      <c r="AS219" s="5">
        <v>1902</v>
      </c>
      <c r="AT219" s="5">
        <v>1342</v>
      </c>
      <c r="AU219" s="6">
        <v>53.7</v>
      </c>
      <c r="AV219" s="35">
        <v>61.439427520325538</v>
      </c>
      <c r="AW219" s="6">
        <v>52.2</v>
      </c>
    </row>
    <row r="220" spans="1:49" x14ac:dyDescent="0.25">
      <c r="A220" t="s">
        <v>220</v>
      </c>
      <c r="B220" s="2">
        <v>43069</v>
      </c>
      <c r="C220" s="3">
        <v>7</v>
      </c>
      <c r="D220" s="29">
        <v>7.2439999999999998</v>
      </c>
      <c r="E220" s="35">
        <v>81.314779999999999</v>
      </c>
      <c r="F220" s="29">
        <v>97.487200000000001</v>
      </c>
      <c r="G220" s="29">
        <v>97.743700000000004</v>
      </c>
      <c r="H220" s="29">
        <v>104.36750000000001</v>
      </c>
      <c r="I220" s="29">
        <v>80.207400000000007</v>
      </c>
      <c r="J220" s="29">
        <v>111.7266</v>
      </c>
      <c r="K220" s="29">
        <v>108.0157</v>
      </c>
      <c r="L220" s="29">
        <v>112.6965</v>
      </c>
      <c r="M220" s="3">
        <v>3.49</v>
      </c>
      <c r="N220" s="3">
        <v>104.37</v>
      </c>
      <c r="O220" s="3">
        <v>100.25</v>
      </c>
      <c r="P220" s="29">
        <v>110.8991</v>
      </c>
      <c r="Q220" s="29">
        <v>108.0196</v>
      </c>
      <c r="R220" s="6">
        <v>36200</v>
      </c>
      <c r="S220" s="6">
        <v>35992.199999999997</v>
      </c>
      <c r="T220" s="3">
        <v>100.26</v>
      </c>
      <c r="U220" s="6">
        <v>36.5</v>
      </c>
      <c r="V220" s="3">
        <v>100.23</v>
      </c>
      <c r="W220" s="29">
        <v>52.409399999999998</v>
      </c>
      <c r="X220" s="29">
        <v>51.4452</v>
      </c>
      <c r="Y220" s="29">
        <v>54.895000000000003</v>
      </c>
      <c r="Z220" s="29">
        <v>51.794899999999998</v>
      </c>
      <c r="AA220" s="29">
        <v>48.994500000000002</v>
      </c>
      <c r="AB220" s="29">
        <v>50.698099999999997</v>
      </c>
      <c r="AC220" s="29">
        <v>58.499400000000001</v>
      </c>
      <c r="AD220" s="29">
        <v>52.692100000000003</v>
      </c>
      <c r="AE220" s="29">
        <v>52.154899999999998</v>
      </c>
      <c r="AF220" s="29">
        <v>52.609000000000002</v>
      </c>
      <c r="AG220" s="29">
        <v>52.512599999999999</v>
      </c>
      <c r="AH220" s="29">
        <v>50.586799999999997</v>
      </c>
      <c r="AI220" s="3">
        <v>48063.53</v>
      </c>
      <c r="AJ220" s="4">
        <v>114.116</v>
      </c>
      <c r="AK220" s="4">
        <v>113.947</v>
      </c>
      <c r="AL220" s="4">
        <v>111.68600000000001</v>
      </c>
      <c r="AM220" s="4">
        <v>116.267</v>
      </c>
      <c r="AN220" s="4">
        <v>115.93899999999999</v>
      </c>
      <c r="AO220" s="5">
        <v>650747893</v>
      </c>
      <c r="AP220" s="36">
        <v>111.64112299999999</v>
      </c>
      <c r="AQ220" s="6">
        <v>106.6</v>
      </c>
      <c r="AR220" s="3">
        <v>1826394.5775591049</v>
      </c>
      <c r="AS220" s="5">
        <v>1877</v>
      </c>
      <c r="AT220" s="5">
        <v>1387</v>
      </c>
      <c r="AU220" s="6">
        <v>53</v>
      </c>
      <c r="AV220" s="35">
        <v>51.504880099079571</v>
      </c>
      <c r="AW220" s="6">
        <v>51.8</v>
      </c>
    </row>
    <row r="221" spans="1:49" x14ac:dyDescent="0.25">
      <c r="A221" t="s">
        <v>221</v>
      </c>
      <c r="B221" s="2">
        <v>43100</v>
      </c>
      <c r="C221" s="3">
        <v>7.25</v>
      </c>
      <c r="D221" s="29">
        <v>7.4889000000000001</v>
      </c>
      <c r="E221" s="35">
        <v>80.305009999999996</v>
      </c>
      <c r="F221" s="29">
        <v>97.840699999999998</v>
      </c>
      <c r="G221" s="29">
        <v>98.043700000000001</v>
      </c>
      <c r="H221" s="29">
        <v>104.8912</v>
      </c>
      <c r="I221" s="29">
        <v>80.122</v>
      </c>
      <c r="J221" s="29">
        <v>109.30710000000001</v>
      </c>
      <c r="K221" s="29">
        <v>110.17149999999999</v>
      </c>
      <c r="L221" s="29">
        <v>112.8314</v>
      </c>
      <c r="M221" s="3">
        <v>3.42</v>
      </c>
      <c r="N221" s="3">
        <v>104.16</v>
      </c>
      <c r="O221" s="3">
        <v>100.27</v>
      </c>
      <c r="P221" s="29">
        <v>111.834</v>
      </c>
      <c r="Q221" s="29">
        <v>108.72620000000001</v>
      </c>
      <c r="R221" s="6">
        <v>36530.800000000003</v>
      </c>
      <c r="S221" s="6">
        <v>37911</v>
      </c>
      <c r="T221" s="3">
        <v>100.34</v>
      </c>
      <c r="U221" s="6">
        <v>36.1</v>
      </c>
      <c r="V221" s="3">
        <v>100.3</v>
      </c>
      <c r="W221" s="29">
        <v>51.715499999999999</v>
      </c>
      <c r="X221" s="29">
        <v>50.886899999999997</v>
      </c>
      <c r="Y221" s="29">
        <v>53.019100000000002</v>
      </c>
      <c r="Z221" s="29">
        <v>51.287300000000002</v>
      </c>
      <c r="AA221" s="29">
        <v>49.264000000000003</v>
      </c>
      <c r="AB221" s="29">
        <v>52.201500000000003</v>
      </c>
      <c r="AC221" s="29">
        <v>56.945399999999999</v>
      </c>
      <c r="AD221" s="29">
        <v>50.962899999999998</v>
      </c>
      <c r="AE221" s="29">
        <v>51.209400000000002</v>
      </c>
      <c r="AF221" s="29">
        <v>51.656199999999998</v>
      </c>
      <c r="AG221" s="29">
        <v>52.005800000000001</v>
      </c>
      <c r="AH221" s="29">
        <v>50.653100000000002</v>
      </c>
      <c r="AI221" s="3">
        <v>48070.62</v>
      </c>
      <c r="AJ221" s="4">
        <v>115.56399999999999</v>
      </c>
      <c r="AK221" s="4">
        <v>114.81399999999999</v>
      </c>
      <c r="AL221" s="4">
        <v>113.20699999999999</v>
      </c>
      <c r="AM221" s="4">
        <v>116.84699999999999</v>
      </c>
      <c r="AN221" s="4">
        <v>123.542</v>
      </c>
      <c r="AO221" s="5">
        <v>592221455</v>
      </c>
      <c r="AP221" s="36">
        <v>112.610793</v>
      </c>
      <c r="AQ221" s="6">
        <v>110.5</v>
      </c>
      <c r="AR221" s="3">
        <v>1787949.6846348937</v>
      </c>
      <c r="AS221" s="5">
        <v>1876</v>
      </c>
      <c r="AT221" s="5">
        <v>1400</v>
      </c>
      <c r="AU221" s="6">
        <v>54.3</v>
      </c>
      <c r="AV221" s="35">
        <v>55.12843836536468</v>
      </c>
      <c r="AW221" s="6">
        <v>52.5</v>
      </c>
    </row>
    <row r="222" spans="1:49" x14ac:dyDescent="0.25">
      <c r="A222" t="s">
        <v>222</v>
      </c>
      <c r="B222" s="2">
        <v>43131</v>
      </c>
      <c r="C222" s="3">
        <v>7.25</v>
      </c>
      <c r="D222" s="29">
        <v>7.5461999999999998</v>
      </c>
      <c r="E222" s="35">
        <v>80.587879999999998</v>
      </c>
      <c r="F222" s="29">
        <v>98.198800000000006</v>
      </c>
      <c r="G222" s="29">
        <v>98.329899999999995</v>
      </c>
      <c r="H222" s="29">
        <v>104.521</v>
      </c>
      <c r="I222" s="29">
        <v>81.170900000000003</v>
      </c>
      <c r="J222" s="29">
        <v>117.76</v>
      </c>
      <c r="K222" s="29">
        <v>108.53660000000001</v>
      </c>
      <c r="L222" s="29">
        <v>112.3633</v>
      </c>
      <c r="M222" s="3">
        <v>3.33</v>
      </c>
      <c r="N222" s="3">
        <v>103.49</v>
      </c>
      <c r="O222" s="3">
        <v>100.3</v>
      </c>
      <c r="P222" s="29">
        <v>111.89960000000001</v>
      </c>
      <c r="Q222" s="29">
        <v>107.1182</v>
      </c>
      <c r="R222" s="6">
        <v>35921.9</v>
      </c>
      <c r="S222" s="6">
        <v>36670.800000000003</v>
      </c>
      <c r="T222" s="3">
        <v>100.42</v>
      </c>
      <c r="U222" s="6">
        <v>34.9</v>
      </c>
      <c r="V222" s="3">
        <v>100.36</v>
      </c>
      <c r="W222" s="29">
        <v>52.616</v>
      </c>
      <c r="X222" s="29">
        <v>52.274500000000003</v>
      </c>
      <c r="Y222" s="29">
        <v>53.813000000000002</v>
      </c>
      <c r="Z222" s="29">
        <v>52.567700000000002</v>
      </c>
      <c r="AA222" s="29">
        <v>49.186</v>
      </c>
      <c r="AB222" s="29">
        <v>52.678100000000001</v>
      </c>
      <c r="AC222" s="29">
        <v>58.329500000000003</v>
      </c>
      <c r="AD222" s="29">
        <v>52.609000000000002</v>
      </c>
      <c r="AE222" s="29">
        <v>54.362900000000003</v>
      </c>
      <c r="AF222" s="29">
        <v>51.990099999999998</v>
      </c>
      <c r="AG222" s="29">
        <v>53.330500000000001</v>
      </c>
      <c r="AH222" s="29">
        <v>50.415599999999998</v>
      </c>
      <c r="AI222" s="3">
        <v>49926.6</v>
      </c>
      <c r="AJ222" s="4">
        <v>114.64</v>
      </c>
      <c r="AK222" s="4">
        <v>114.229</v>
      </c>
      <c r="AL222" s="4">
        <v>110.76</v>
      </c>
      <c r="AM222" s="4">
        <v>117.75</v>
      </c>
      <c r="AN222" s="4">
        <v>119.66800000000001</v>
      </c>
      <c r="AO222" s="5">
        <v>620775731</v>
      </c>
      <c r="AP222" s="36">
        <v>111.814503</v>
      </c>
      <c r="AQ222" s="6">
        <v>109.5</v>
      </c>
      <c r="AR222" s="3">
        <v>1722523.7013192535</v>
      </c>
      <c r="AS222" s="5">
        <v>1917</v>
      </c>
      <c r="AT222" s="5">
        <v>1106</v>
      </c>
      <c r="AU222" s="6">
        <v>51.8</v>
      </c>
      <c r="AV222" s="35">
        <v>48.135591892373114</v>
      </c>
      <c r="AW222" s="6">
        <v>52.5</v>
      </c>
    </row>
    <row r="223" spans="1:49" x14ac:dyDescent="0.25">
      <c r="A223" t="s">
        <v>223</v>
      </c>
      <c r="B223" s="2">
        <v>43159</v>
      </c>
      <c r="C223" s="3">
        <v>7.5</v>
      </c>
      <c r="D223" s="29">
        <v>7.6661999999999999</v>
      </c>
      <c r="E223" s="35">
        <v>81.262619999999998</v>
      </c>
      <c r="F223" s="29">
        <v>98.494299999999996</v>
      </c>
      <c r="G223" s="29">
        <v>98.623199999999997</v>
      </c>
      <c r="H223" s="29">
        <v>104.82259999999999</v>
      </c>
      <c r="I223" s="29">
        <v>78.366100000000003</v>
      </c>
      <c r="J223" s="29">
        <v>118.79649999999999</v>
      </c>
      <c r="K223" s="29">
        <v>108.9567</v>
      </c>
      <c r="L223" s="29">
        <v>112.7754</v>
      </c>
      <c r="M223" s="3">
        <v>3.33</v>
      </c>
      <c r="N223" s="3">
        <v>104.31</v>
      </c>
      <c r="O223" s="3">
        <v>100.33</v>
      </c>
      <c r="P223" s="29">
        <v>111.99769999999999</v>
      </c>
      <c r="Q223" s="29">
        <v>108.5008</v>
      </c>
      <c r="R223" s="6">
        <v>37085.4</v>
      </c>
      <c r="S223" s="6">
        <v>37551.9</v>
      </c>
      <c r="T223" s="3">
        <v>100.48</v>
      </c>
      <c r="U223" s="6">
        <v>34.799999999999997</v>
      </c>
      <c r="V223" s="3">
        <v>100.43</v>
      </c>
      <c r="W223" s="29">
        <v>51.636099999999999</v>
      </c>
      <c r="X223" s="29">
        <v>51.221600000000002</v>
      </c>
      <c r="Y223" s="29">
        <v>52.046700000000001</v>
      </c>
      <c r="Z223" s="29">
        <v>51.718899999999998</v>
      </c>
      <c r="AA223" s="29">
        <v>48.622599999999998</v>
      </c>
      <c r="AB223" s="29">
        <v>51.6631</v>
      </c>
      <c r="AC223" s="29">
        <v>57.209699999999998</v>
      </c>
      <c r="AD223" s="29">
        <v>53.28</v>
      </c>
      <c r="AE223" s="29">
        <v>51.811100000000003</v>
      </c>
      <c r="AF223" s="29">
        <v>49.7667</v>
      </c>
      <c r="AG223" s="29">
        <v>52.538600000000002</v>
      </c>
      <c r="AH223" s="29">
        <v>48.064799999999998</v>
      </c>
      <c r="AI223" s="3">
        <v>48653.29</v>
      </c>
      <c r="AJ223" s="4">
        <v>115.015</v>
      </c>
      <c r="AK223" s="4">
        <v>114.709</v>
      </c>
      <c r="AL223" s="4">
        <v>111.813</v>
      </c>
      <c r="AM223" s="4">
        <v>118.107</v>
      </c>
      <c r="AN223" s="4">
        <v>116.848</v>
      </c>
      <c r="AO223" s="5">
        <v>619919402</v>
      </c>
      <c r="AP223" s="36">
        <v>112.264139</v>
      </c>
      <c r="AQ223" s="6">
        <v>110</v>
      </c>
      <c r="AR223" s="3">
        <v>1796962.7744387209</v>
      </c>
      <c r="AS223" s="5">
        <v>1878</v>
      </c>
      <c r="AT223" s="5">
        <v>1451</v>
      </c>
      <c r="AU223" s="6">
        <v>52.3</v>
      </c>
      <c r="AV223" s="35">
        <v>46.879441362783076</v>
      </c>
      <c r="AW223" s="6">
        <v>52.7</v>
      </c>
    </row>
    <row r="224" spans="1:49" x14ac:dyDescent="0.25">
      <c r="A224" t="s">
        <v>224</v>
      </c>
      <c r="B224" s="2">
        <v>43190</v>
      </c>
      <c r="C224" s="3">
        <v>7.5</v>
      </c>
      <c r="D224" s="29">
        <v>7.508</v>
      </c>
      <c r="E224" s="35">
        <v>81.883579999999995</v>
      </c>
      <c r="F224" s="29">
        <v>98.761200000000002</v>
      </c>
      <c r="G224" s="29">
        <v>98.838399999999993</v>
      </c>
      <c r="H224" s="29">
        <v>105.12730000000001</v>
      </c>
      <c r="I224" s="29">
        <v>78.686700000000002</v>
      </c>
      <c r="J224" s="29">
        <v>116.10639999999999</v>
      </c>
      <c r="K224" s="29">
        <v>108.8951</v>
      </c>
      <c r="L224" s="29">
        <v>115.31789999999999</v>
      </c>
      <c r="M224" s="3">
        <v>3.27</v>
      </c>
      <c r="N224" s="3">
        <v>105.12</v>
      </c>
      <c r="O224" s="3">
        <v>100.35</v>
      </c>
      <c r="P224" s="29">
        <v>114.0245</v>
      </c>
      <c r="Q224" s="29">
        <v>111.25839999999999</v>
      </c>
      <c r="R224" s="6">
        <v>38333.5</v>
      </c>
      <c r="S224" s="6">
        <v>38894.800000000003</v>
      </c>
      <c r="T224" s="3">
        <v>100.54</v>
      </c>
      <c r="U224" s="6">
        <v>34.799999999999997</v>
      </c>
      <c r="V224" s="3">
        <v>100.51</v>
      </c>
      <c r="W224" s="29">
        <v>52.420200000000001</v>
      </c>
      <c r="X224" s="29">
        <v>51.688200000000002</v>
      </c>
      <c r="Y224" s="29">
        <v>53.894399999999997</v>
      </c>
      <c r="Z224" s="29">
        <v>52.445399999999999</v>
      </c>
      <c r="AA224" s="29">
        <v>48.780700000000003</v>
      </c>
      <c r="AB224" s="29">
        <v>51.578899999999997</v>
      </c>
      <c r="AC224" s="29">
        <v>59.966500000000003</v>
      </c>
      <c r="AD224" s="29">
        <v>50.950299999999999</v>
      </c>
      <c r="AE224" s="29">
        <v>53.111899999999999</v>
      </c>
      <c r="AF224" s="29">
        <v>51.509500000000003</v>
      </c>
      <c r="AG224" s="29">
        <v>53.317900000000002</v>
      </c>
      <c r="AH224" s="29">
        <v>48.194200000000002</v>
      </c>
      <c r="AI224" s="3">
        <v>47586.49</v>
      </c>
      <c r="AJ224" s="4">
        <v>117.723</v>
      </c>
      <c r="AK224" s="4">
        <v>116.81699999999999</v>
      </c>
      <c r="AL224" s="4">
        <v>115.294</v>
      </c>
      <c r="AM224" s="4">
        <v>117.84</v>
      </c>
      <c r="AN224" s="4">
        <v>126.267</v>
      </c>
      <c r="AO224" s="5">
        <v>675480864</v>
      </c>
      <c r="AP224" s="36">
        <v>113.597145</v>
      </c>
      <c r="AQ224" s="6">
        <v>111.4</v>
      </c>
      <c r="AR224" s="3">
        <v>1957258.4340290055</v>
      </c>
      <c r="AS224" s="5">
        <v>1849</v>
      </c>
      <c r="AT224" s="5">
        <v>1176</v>
      </c>
      <c r="AU224" s="6">
        <v>54.6</v>
      </c>
      <c r="AV224" s="35">
        <v>48.048861133756311</v>
      </c>
      <c r="AW224" s="6">
        <v>53.5</v>
      </c>
    </row>
    <row r="225" spans="1:49" x14ac:dyDescent="0.25">
      <c r="A225" t="s">
        <v>225</v>
      </c>
      <c r="B225" s="2">
        <v>43220</v>
      </c>
      <c r="C225" s="3">
        <v>7.5</v>
      </c>
      <c r="D225" s="29">
        <v>7.3917999999999999</v>
      </c>
      <c r="E225" s="35">
        <v>82.494560000000007</v>
      </c>
      <c r="F225" s="29">
        <v>99.019000000000005</v>
      </c>
      <c r="G225" s="29">
        <v>99.072800000000001</v>
      </c>
      <c r="H225" s="29">
        <v>104.8156</v>
      </c>
      <c r="I225" s="29">
        <v>79.599199999999996</v>
      </c>
      <c r="J225" s="29">
        <v>119.2701</v>
      </c>
      <c r="K225" s="29">
        <v>108.02760000000001</v>
      </c>
      <c r="L225" s="29">
        <v>112.2873</v>
      </c>
      <c r="M225" s="3">
        <v>3.45</v>
      </c>
      <c r="N225" s="3">
        <v>104.84</v>
      </c>
      <c r="O225" s="3">
        <v>100.38</v>
      </c>
      <c r="P225" s="29">
        <v>112.7895</v>
      </c>
      <c r="Q225" s="29">
        <v>110.37</v>
      </c>
      <c r="R225" s="6">
        <v>37433.699999999997</v>
      </c>
      <c r="S225" s="6">
        <v>38064.300000000003</v>
      </c>
      <c r="T225" s="3">
        <v>100.58</v>
      </c>
      <c r="U225" s="6">
        <v>35.700000000000003</v>
      </c>
      <c r="V225" s="3">
        <v>100.58</v>
      </c>
      <c r="W225" s="29">
        <v>51.597200000000001</v>
      </c>
      <c r="X225" s="29">
        <v>50.518999999999998</v>
      </c>
      <c r="Y225" s="29">
        <v>52.596400000000003</v>
      </c>
      <c r="Z225" s="29">
        <v>52.847900000000003</v>
      </c>
      <c r="AA225" s="29">
        <v>49.0642</v>
      </c>
      <c r="AB225" s="29">
        <v>49.785699999999999</v>
      </c>
      <c r="AC225" s="29">
        <v>59.1967</v>
      </c>
      <c r="AD225" s="29">
        <v>51.203000000000003</v>
      </c>
      <c r="AE225" s="29">
        <v>49.210900000000002</v>
      </c>
      <c r="AF225" s="29">
        <v>51.571399999999997</v>
      </c>
      <c r="AG225" s="29">
        <v>52.405000000000001</v>
      </c>
      <c r="AH225" s="29">
        <v>49.247</v>
      </c>
      <c r="AI225" s="3">
        <v>48163.94</v>
      </c>
      <c r="AJ225" s="4">
        <v>115.925</v>
      </c>
      <c r="AK225" s="4">
        <v>115.378</v>
      </c>
      <c r="AL225" s="4">
        <v>111.60899999999999</v>
      </c>
      <c r="AM225" s="4">
        <v>119.13800000000001</v>
      </c>
      <c r="AN225" s="4">
        <v>120.97</v>
      </c>
      <c r="AO225" s="5">
        <v>654901856</v>
      </c>
      <c r="AP225" s="36">
        <v>112.833584</v>
      </c>
      <c r="AQ225" s="6">
        <v>109.6</v>
      </c>
      <c r="AR225" s="3">
        <v>1792525.9353359211</v>
      </c>
      <c r="AS225" s="5">
        <v>1867</v>
      </c>
      <c r="AT225" s="5">
        <v>1265</v>
      </c>
      <c r="AU225" s="6">
        <v>52.4</v>
      </c>
      <c r="AV225" s="35">
        <v>72.947234057880323</v>
      </c>
      <c r="AW225" s="6">
        <v>52.7</v>
      </c>
    </row>
    <row r="226" spans="1:49" x14ac:dyDescent="0.25">
      <c r="A226" t="s">
        <v>226</v>
      </c>
      <c r="B226" s="2">
        <v>43251</v>
      </c>
      <c r="C226" s="3">
        <v>7.5</v>
      </c>
      <c r="D226" s="29">
        <v>7.6768999999999998</v>
      </c>
      <c r="E226" s="35">
        <v>78.274000000000001</v>
      </c>
      <c r="F226" s="29">
        <v>99.3964</v>
      </c>
      <c r="G226" s="29">
        <v>99.367400000000004</v>
      </c>
      <c r="H226" s="29">
        <v>105.35420000000001</v>
      </c>
      <c r="I226" s="29">
        <v>79.257099999999994</v>
      </c>
      <c r="J226" s="29">
        <v>115.14060000000001</v>
      </c>
      <c r="K226" s="29">
        <v>109.2406</v>
      </c>
      <c r="L226" s="29">
        <v>114.5064</v>
      </c>
      <c r="M226" s="3">
        <v>3.21</v>
      </c>
      <c r="N226" s="3">
        <v>104.93</v>
      </c>
      <c r="O226" s="3">
        <v>100.39</v>
      </c>
      <c r="P226" s="29">
        <v>113.1221</v>
      </c>
      <c r="Q226" s="29">
        <v>111.33199999999999</v>
      </c>
      <c r="R226" s="6">
        <v>36661.5</v>
      </c>
      <c r="S226" s="6">
        <v>38943.4</v>
      </c>
      <c r="T226" s="3">
        <v>100.59</v>
      </c>
      <c r="U226" s="6">
        <v>36.299999999999997</v>
      </c>
      <c r="V226" s="3">
        <v>100.64</v>
      </c>
      <c r="W226" s="29">
        <v>51.004199999999997</v>
      </c>
      <c r="X226" s="29">
        <v>49.831000000000003</v>
      </c>
      <c r="Y226" s="29">
        <v>51.390999999999998</v>
      </c>
      <c r="Z226" s="29">
        <v>53.055199999999999</v>
      </c>
      <c r="AA226" s="29">
        <v>48.953099999999999</v>
      </c>
      <c r="AB226" s="29">
        <v>48.610700000000001</v>
      </c>
      <c r="AC226" s="29">
        <v>62.7881</v>
      </c>
      <c r="AD226" s="29">
        <v>49.555199999999999</v>
      </c>
      <c r="AE226" s="29">
        <v>51.567799999999998</v>
      </c>
      <c r="AF226" s="29">
        <v>51.268300000000004</v>
      </c>
      <c r="AG226" s="29">
        <v>52.514600000000002</v>
      </c>
      <c r="AH226" s="29">
        <v>48.714500000000001</v>
      </c>
      <c r="AI226" s="3">
        <v>45972.85</v>
      </c>
      <c r="AJ226" s="4">
        <v>116.78400000000001</v>
      </c>
      <c r="AK226" s="4">
        <v>116.372</v>
      </c>
      <c r="AL226" s="4">
        <v>113.03700000000001</v>
      </c>
      <c r="AM226" s="4">
        <v>119.533</v>
      </c>
      <c r="AN226" s="4">
        <v>120.227</v>
      </c>
      <c r="AO226" s="5">
        <v>698309037</v>
      </c>
      <c r="AP226" s="36">
        <v>113.354584</v>
      </c>
      <c r="AQ226" s="6">
        <v>111.6</v>
      </c>
      <c r="AR226" s="3">
        <v>1929958.9927747517</v>
      </c>
      <c r="AS226" s="5">
        <v>1846</v>
      </c>
      <c r="AT226" s="5">
        <v>1222</v>
      </c>
      <c r="AU226" s="6">
        <v>52.7</v>
      </c>
      <c r="AV226" s="35">
        <v>90.052717940192679</v>
      </c>
      <c r="AW226" s="6">
        <v>52.3</v>
      </c>
    </row>
    <row r="227" spans="1:49" x14ac:dyDescent="0.25">
      <c r="A227" t="s">
        <v>227</v>
      </c>
      <c r="B227" s="2">
        <v>43281</v>
      </c>
      <c r="C227" s="3">
        <v>7.75</v>
      </c>
      <c r="D227" s="29">
        <v>7.8193000000000001</v>
      </c>
      <c r="E227" s="35">
        <v>76.126220000000004</v>
      </c>
      <c r="F227" s="29">
        <v>99.9255</v>
      </c>
      <c r="G227" s="29">
        <v>99.636300000000006</v>
      </c>
      <c r="H227" s="29">
        <v>105.01860000000001</v>
      </c>
      <c r="I227" s="29">
        <v>77.993499999999997</v>
      </c>
      <c r="J227" s="29">
        <v>118.1216</v>
      </c>
      <c r="K227" s="29">
        <v>107.9734</v>
      </c>
      <c r="L227" s="29">
        <v>114.4903</v>
      </c>
      <c r="M227" s="3">
        <v>3.39</v>
      </c>
      <c r="N227" s="3">
        <v>105.21</v>
      </c>
      <c r="O227" s="3">
        <v>100.42</v>
      </c>
      <c r="P227" s="29">
        <v>113.5275</v>
      </c>
      <c r="Q227" s="29">
        <v>110.6497</v>
      </c>
      <c r="R227" s="6">
        <v>37089.800000000003</v>
      </c>
      <c r="S227" s="6">
        <v>38970.6</v>
      </c>
      <c r="T227" s="3">
        <v>100.58</v>
      </c>
      <c r="U227" s="6">
        <v>36.9</v>
      </c>
      <c r="V227" s="3">
        <v>100.71</v>
      </c>
      <c r="W227" s="29">
        <v>52.074100000000001</v>
      </c>
      <c r="X227" s="29">
        <v>50.353099999999998</v>
      </c>
      <c r="Y227" s="29">
        <v>53.043799999999997</v>
      </c>
      <c r="Z227" s="29">
        <v>53.305399999999999</v>
      </c>
      <c r="AA227" s="29">
        <v>48.169499999999999</v>
      </c>
      <c r="AB227" s="29">
        <v>51.370199999999997</v>
      </c>
      <c r="AC227" s="29">
        <v>65.817499999999995</v>
      </c>
      <c r="AD227" s="29">
        <v>51.950800000000001</v>
      </c>
      <c r="AE227" s="29">
        <v>52.307499999999997</v>
      </c>
      <c r="AF227" s="29">
        <v>51.7044</v>
      </c>
      <c r="AG227" s="29">
        <v>54.913899999999998</v>
      </c>
      <c r="AH227" s="29">
        <v>49.326799999999999</v>
      </c>
      <c r="AI227" s="3">
        <v>46389.2</v>
      </c>
      <c r="AJ227" s="4">
        <v>116.214</v>
      </c>
      <c r="AK227" s="4">
        <v>115.72199999999999</v>
      </c>
      <c r="AL227" s="4">
        <v>112.426</v>
      </c>
      <c r="AM227" s="4">
        <v>118.783</v>
      </c>
      <c r="AN227" s="4">
        <v>119.913</v>
      </c>
      <c r="AO227" s="5">
        <v>706166503</v>
      </c>
      <c r="AP227" s="36">
        <v>113.116004</v>
      </c>
      <c r="AQ227" s="6">
        <v>110.9</v>
      </c>
      <c r="AR227" s="3">
        <v>1846514.7961943198</v>
      </c>
      <c r="AS227" s="5">
        <v>1819</v>
      </c>
      <c r="AT227" s="5">
        <v>1110</v>
      </c>
      <c r="AU227" s="6">
        <v>53</v>
      </c>
      <c r="AV227" s="35">
        <v>79.775236176918014</v>
      </c>
      <c r="AW227" s="6">
        <v>52.3</v>
      </c>
    </row>
    <row r="228" spans="1:49" x14ac:dyDescent="0.25">
      <c r="A228" t="s">
        <v>228</v>
      </c>
      <c r="B228" s="2">
        <v>43312</v>
      </c>
      <c r="C228" s="3">
        <v>7.75</v>
      </c>
      <c r="D228" s="29">
        <v>7.7055999999999996</v>
      </c>
      <c r="E228" s="35">
        <v>82.506910000000005</v>
      </c>
      <c r="F228" s="29">
        <v>100.4624</v>
      </c>
      <c r="G228" s="29">
        <v>99.982600000000005</v>
      </c>
      <c r="H228" s="29">
        <v>104.99290000000001</v>
      </c>
      <c r="I228" s="29">
        <v>77.397099999999995</v>
      </c>
      <c r="J228" s="29">
        <v>120.5438</v>
      </c>
      <c r="K228" s="29">
        <v>109.12569999999999</v>
      </c>
      <c r="L228" s="29">
        <v>113.9367</v>
      </c>
      <c r="M228" s="3">
        <v>3.32</v>
      </c>
      <c r="N228" s="3">
        <v>104.81</v>
      </c>
      <c r="O228" s="3">
        <v>100.46</v>
      </c>
      <c r="P228" s="29">
        <v>113.65600000000001</v>
      </c>
      <c r="Q228" s="29">
        <v>109.6939</v>
      </c>
      <c r="R228" s="6">
        <v>37224.800000000003</v>
      </c>
      <c r="S228" s="6">
        <v>39095</v>
      </c>
      <c r="T228" s="3">
        <v>100.55</v>
      </c>
      <c r="U228" s="6">
        <v>43.1</v>
      </c>
      <c r="V228" s="3">
        <v>100.81</v>
      </c>
      <c r="W228" s="29">
        <v>52.067</v>
      </c>
      <c r="X228" s="29">
        <v>51.237200000000001</v>
      </c>
      <c r="Y228" s="29">
        <v>53.612099999999998</v>
      </c>
      <c r="Z228" s="29">
        <v>52.110500000000002</v>
      </c>
      <c r="AA228" s="29">
        <v>48.426900000000003</v>
      </c>
      <c r="AB228" s="29">
        <v>50.1599</v>
      </c>
      <c r="AC228" s="29">
        <v>63.773699999999998</v>
      </c>
      <c r="AD228" s="29">
        <v>50.882599999999996</v>
      </c>
      <c r="AE228" s="29">
        <v>51.931199999999997</v>
      </c>
      <c r="AF228" s="29">
        <v>52.304000000000002</v>
      </c>
      <c r="AG228" s="29">
        <v>54.119300000000003</v>
      </c>
      <c r="AH228" s="29">
        <v>47.642099999999999</v>
      </c>
      <c r="AI228" s="3">
        <v>48779.3</v>
      </c>
      <c r="AJ228" s="4">
        <v>116.818</v>
      </c>
      <c r="AK228" s="4">
        <v>116.629</v>
      </c>
      <c r="AL228" s="4">
        <v>112.962</v>
      </c>
      <c r="AM228" s="4">
        <v>120.149</v>
      </c>
      <c r="AN228" s="4">
        <v>118.64400000000001</v>
      </c>
      <c r="AO228" s="5">
        <v>660116281</v>
      </c>
      <c r="AP228" s="36">
        <v>113.422285</v>
      </c>
      <c r="AQ228" s="6">
        <v>111.8</v>
      </c>
      <c r="AR228" s="3">
        <v>1808093.4723430565</v>
      </c>
      <c r="AS228" s="5">
        <v>1813</v>
      </c>
      <c r="AT228" s="5">
        <v>1156</v>
      </c>
      <c r="AU228" s="6">
        <v>50.1</v>
      </c>
      <c r="AV228" s="35">
        <v>63.521071747265637</v>
      </c>
      <c r="AW228" s="6">
        <v>51</v>
      </c>
    </row>
    <row r="229" spans="1:49" x14ac:dyDescent="0.25">
      <c r="A229" t="s">
        <v>229</v>
      </c>
      <c r="B229" s="2">
        <v>43343</v>
      </c>
      <c r="C229" s="3">
        <v>7.75</v>
      </c>
      <c r="D229" s="29">
        <v>7.7961</v>
      </c>
      <c r="E229" s="35">
        <v>83.83305</v>
      </c>
      <c r="F229" s="29">
        <v>101.04300000000001</v>
      </c>
      <c r="G229" s="29">
        <v>100.31359999999999</v>
      </c>
      <c r="H229" s="29">
        <v>104.1318</v>
      </c>
      <c r="I229" s="29">
        <v>77.729399999999998</v>
      </c>
      <c r="J229" s="29">
        <v>118.4406</v>
      </c>
      <c r="K229" s="29">
        <v>104.1001</v>
      </c>
      <c r="L229" s="29">
        <v>114.32859999999999</v>
      </c>
      <c r="M229" s="3">
        <v>3.27</v>
      </c>
      <c r="N229" s="3">
        <v>105.27</v>
      </c>
      <c r="O229" s="3">
        <v>100.48</v>
      </c>
      <c r="P229" s="29">
        <v>113.06740000000001</v>
      </c>
      <c r="Q229" s="29">
        <v>109.61239999999999</v>
      </c>
      <c r="R229" s="6">
        <v>37918.1</v>
      </c>
      <c r="S229" s="6">
        <v>39050.800000000003</v>
      </c>
      <c r="T229" s="3">
        <v>100.5</v>
      </c>
      <c r="U229" s="6">
        <v>42.9</v>
      </c>
      <c r="V229" s="3">
        <v>100.9</v>
      </c>
      <c r="W229" s="29">
        <v>50.703699999999998</v>
      </c>
      <c r="X229" s="29">
        <v>49.539200000000001</v>
      </c>
      <c r="Y229" s="29">
        <v>50.875300000000003</v>
      </c>
      <c r="Z229" s="29">
        <v>51.820900000000002</v>
      </c>
      <c r="AA229" s="29">
        <v>49.036799999999999</v>
      </c>
      <c r="AB229" s="29">
        <v>50.476700000000001</v>
      </c>
      <c r="AC229" s="29">
        <v>59.5901</v>
      </c>
      <c r="AD229" s="29">
        <v>51.4803</v>
      </c>
      <c r="AE229" s="29">
        <v>51.654400000000003</v>
      </c>
      <c r="AF229" s="29">
        <v>51.075400000000002</v>
      </c>
      <c r="AG229" s="29">
        <v>53.539299999999997</v>
      </c>
      <c r="AH229" s="29">
        <v>50.471800000000002</v>
      </c>
      <c r="AI229" s="3">
        <v>49329.56</v>
      </c>
      <c r="AJ229" s="4">
        <v>116.911</v>
      </c>
      <c r="AK229" s="4">
        <v>116.19799999999999</v>
      </c>
      <c r="AL229" s="4">
        <v>111.93899999999999</v>
      </c>
      <c r="AM229" s="4">
        <v>120.655</v>
      </c>
      <c r="AN229" s="4">
        <v>122.911</v>
      </c>
      <c r="AO229" s="5">
        <v>705427820</v>
      </c>
      <c r="AP229" s="36">
        <v>113.480587</v>
      </c>
      <c r="AQ229" s="6">
        <v>106.5</v>
      </c>
      <c r="AR229" s="3">
        <v>1921812.0915634369</v>
      </c>
      <c r="AS229" s="5">
        <v>1795</v>
      </c>
      <c r="AT229" s="5">
        <v>1181</v>
      </c>
      <c r="AU229" s="6">
        <v>52.4</v>
      </c>
      <c r="AV229" s="35">
        <v>71.124842293415441</v>
      </c>
      <c r="AW229" s="6">
        <v>51.4</v>
      </c>
    </row>
    <row r="230" spans="1:49" x14ac:dyDescent="0.25">
      <c r="A230" t="s">
        <v>230</v>
      </c>
      <c r="B230" s="2">
        <v>43373</v>
      </c>
      <c r="C230" s="3">
        <v>7.75</v>
      </c>
      <c r="D230" s="29">
        <v>8.0169999999999995</v>
      </c>
      <c r="E230" s="35">
        <v>83.414990000000003</v>
      </c>
      <c r="F230" s="29">
        <v>101.4216</v>
      </c>
      <c r="G230" s="29">
        <v>100.61409999999999</v>
      </c>
      <c r="H230" s="29">
        <v>104.4503</v>
      </c>
      <c r="I230" s="29">
        <v>77.123000000000005</v>
      </c>
      <c r="J230" s="29">
        <v>119.35420000000001</v>
      </c>
      <c r="K230" s="29">
        <v>106.30880000000001</v>
      </c>
      <c r="L230" s="29">
        <v>114.7914</v>
      </c>
      <c r="M230" s="3">
        <v>3.32</v>
      </c>
      <c r="N230" s="3">
        <v>104.59</v>
      </c>
      <c r="O230" s="3">
        <v>100.46</v>
      </c>
      <c r="P230" s="29">
        <v>114.36069999999999</v>
      </c>
      <c r="Q230" s="29">
        <v>110.22750000000001</v>
      </c>
      <c r="R230" s="6">
        <v>39272.6</v>
      </c>
      <c r="S230" s="6">
        <v>39560.800000000003</v>
      </c>
      <c r="T230" s="3">
        <v>100.43</v>
      </c>
      <c r="U230" s="6">
        <v>42.3</v>
      </c>
      <c r="V230" s="3">
        <v>100.96</v>
      </c>
      <c r="W230" s="29">
        <v>51.686900000000001</v>
      </c>
      <c r="X230" s="29">
        <v>51.798200000000001</v>
      </c>
      <c r="Y230" s="29">
        <v>51.603999999999999</v>
      </c>
      <c r="Z230" s="29">
        <v>52.523800000000001</v>
      </c>
      <c r="AA230" s="29">
        <v>48.2943</v>
      </c>
      <c r="AB230" s="29">
        <v>49.955599999999997</v>
      </c>
      <c r="AC230" s="29">
        <v>59.4191</v>
      </c>
      <c r="AD230" s="29">
        <v>51.9039</v>
      </c>
      <c r="AE230" s="29">
        <v>52.934800000000003</v>
      </c>
      <c r="AF230" s="29">
        <v>54.543100000000003</v>
      </c>
      <c r="AG230" s="29">
        <v>52.935499999999998</v>
      </c>
      <c r="AH230" s="29">
        <v>50.367600000000003</v>
      </c>
      <c r="AI230" s="3">
        <v>49313.75</v>
      </c>
      <c r="AJ230" s="4">
        <v>116.971</v>
      </c>
      <c r="AK230" s="4">
        <v>116.584</v>
      </c>
      <c r="AL230" s="4">
        <v>113.10299999999999</v>
      </c>
      <c r="AM230" s="4">
        <v>120.175</v>
      </c>
      <c r="AN230" s="4">
        <v>121.127</v>
      </c>
      <c r="AO230" s="5">
        <v>671144743</v>
      </c>
      <c r="AP230" s="36">
        <v>113.202933</v>
      </c>
      <c r="AQ230" s="6">
        <v>108.7</v>
      </c>
      <c r="AR230" s="3">
        <v>1989061.1514749234</v>
      </c>
      <c r="AS230" s="5">
        <v>1806</v>
      </c>
      <c r="AT230" s="5">
        <v>1206</v>
      </c>
      <c r="AU230" s="6">
        <v>53.1</v>
      </c>
      <c r="AV230" s="35">
        <v>72.284229180312593</v>
      </c>
      <c r="AW230" s="6">
        <v>52.7</v>
      </c>
    </row>
    <row r="231" spans="1:49" x14ac:dyDescent="0.25">
      <c r="A231" t="s">
        <v>231</v>
      </c>
      <c r="B231" s="2">
        <v>43404</v>
      </c>
      <c r="C231" s="3">
        <v>7.75</v>
      </c>
      <c r="D231" s="29">
        <v>8.2212999999999994</v>
      </c>
      <c r="E231" s="35">
        <v>83.072010000000006</v>
      </c>
      <c r="F231" s="29">
        <v>101.7191</v>
      </c>
      <c r="G231" s="29">
        <v>100.9622</v>
      </c>
      <c r="H231" s="29">
        <v>103.8518</v>
      </c>
      <c r="I231" s="29">
        <v>76.0488</v>
      </c>
      <c r="J231" s="29">
        <v>117.28740000000001</v>
      </c>
      <c r="K231" s="29">
        <v>106.0121</v>
      </c>
      <c r="L231" s="29">
        <v>113.93170000000001</v>
      </c>
      <c r="M231" s="3">
        <v>3.12</v>
      </c>
      <c r="N231" s="3">
        <v>104.88</v>
      </c>
      <c r="O231" s="3">
        <v>100.4</v>
      </c>
      <c r="P231" s="29">
        <v>113.8986</v>
      </c>
      <c r="Q231" s="29">
        <v>112.10380000000001</v>
      </c>
      <c r="R231" s="6">
        <v>38088.1</v>
      </c>
      <c r="S231" s="6">
        <v>39460.800000000003</v>
      </c>
      <c r="T231" s="3">
        <v>100.35</v>
      </c>
      <c r="U231" s="6">
        <v>42.6</v>
      </c>
      <c r="V231" s="3">
        <v>101.02</v>
      </c>
      <c r="W231" s="29">
        <v>50.6584</v>
      </c>
      <c r="X231" s="29">
        <v>50.381700000000002</v>
      </c>
      <c r="Y231" s="29">
        <v>50.936900000000001</v>
      </c>
      <c r="Z231" s="29">
        <v>50.576000000000001</v>
      </c>
      <c r="AA231" s="29">
        <v>49.150199999999998</v>
      </c>
      <c r="AB231" s="29">
        <v>50.392200000000003</v>
      </c>
      <c r="AC231" s="29">
        <v>56.711199999999998</v>
      </c>
      <c r="AD231" s="29">
        <v>51.847900000000003</v>
      </c>
      <c r="AE231" s="29">
        <v>53.537799999999997</v>
      </c>
      <c r="AF231" s="29">
        <v>53.493400000000001</v>
      </c>
      <c r="AG231" s="29">
        <v>50.217500000000001</v>
      </c>
      <c r="AH231" s="29">
        <v>48.360100000000003</v>
      </c>
      <c r="AI231" s="3">
        <v>47208.1</v>
      </c>
      <c r="AJ231" s="4">
        <v>115.789</v>
      </c>
      <c r="AK231" s="4">
        <v>115.33</v>
      </c>
      <c r="AL231" s="4">
        <v>110.54900000000001</v>
      </c>
      <c r="AM231" s="4">
        <v>120.431</v>
      </c>
      <c r="AN231" s="4">
        <v>118.56</v>
      </c>
      <c r="AO231" s="5">
        <v>697747219</v>
      </c>
      <c r="AP231" s="36">
        <v>112.93446400000001</v>
      </c>
      <c r="AQ231" s="6">
        <v>109.3</v>
      </c>
      <c r="AR231" s="3">
        <v>1974794.537624025</v>
      </c>
      <c r="AS231" s="5">
        <v>1750</v>
      </c>
      <c r="AT231" s="5">
        <v>1027</v>
      </c>
      <c r="AU231" s="6">
        <v>53.3</v>
      </c>
      <c r="AV231" s="35">
        <v>77.546417459129501</v>
      </c>
      <c r="AW231" s="6">
        <v>51.9</v>
      </c>
    </row>
    <row r="232" spans="1:49" x14ac:dyDescent="0.25">
      <c r="A232" t="s">
        <v>232</v>
      </c>
      <c r="B232" s="2">
        <v>43434</v>
      </c>
      <c r="C232" s="3">
        <v>8</v>
      </c>
      <c r="D232" s="29">
        <v>8.9718</v>
      </c>
      <c r="E232" s="35">
        <v>79.781829999999999</v>
      </c>
      <c r="F232" s="29">
        <v>102.0706</v>
      </c>
      <c r="G232" s="29">
        <v>101.29430000000001</v>
      </c>
      <c r="H232" s="29">
        <v>103.2449</v>
      </c>
      <c r="I232" s="29">
        <v>74.660799999999995</v>
      </c>
      <c r="J232" s="29">
        <v>118.5301</v>
      </c>
      <c r="K232" s="29">
        <v>101.5085</v>
      </c>
      <c r="L232" s="29">
        <v>114.83629999999999</v>
      </c>
      <c r="M232" s="3">
        <v>3.31</v>
      </c>
      <c r="N232" s="3">
        <v>105.2</v>
      </c>
      <c r="O232" s="3">
        <v>100.32</v>
      </c>
      <c r="P232" s="29">
        <v>114.1451</v>
      </c>
      <c r="Q232" s="29">
        <v>109.178</v>
      </c>
      <c r="R232" s="6">
        <v>37357.9</v>
      </c>
      <c r="S232" s="6">
        <v>39617.300000000003</v>
      </c>
      <c r="T232" s="3">
        <v>100.25</v>
      </c>
      <c r="U232" s="6">
        <v>41.4</v>
      </c>
      <c r="V232" s="3">
        <v>101.08</v>
      </c>
      <c r="W232" s="29">
        <v>49.713000000000001</v>
      </c>
      <c r="X232" s="29">
        <v>48.24</v>
      </c>
      <c r="Y232" s="29">
        <v>50.451900000000002</v>
      </c>
      <c r="Z232" s="29">
        <v>50.103000000000002</v>
      </c>
      <c r="AA232" s="29">
        <v>50.190600000000003</v>
      </c>
      <c r="AB232" s="29">
        <v>50.254100000000001</v>
      </c>
      <c r="AC232" s="29">
        <v>57.872199999999999</v>
      </c>
      <c r="AD232" s="29">
        <v>48.890300000000003</v>
      </c>
      <c r="AE232" s="29">
        <v>52.797400000000003</v>
      </c>
      <c r="AF232" s="29">
        <v>53.224600000000002</v>
      </c>
      <c r="AG232" s="29">
        <v>50.832599999999999</v>
      </c>
      <c r="AH232" s="29">
        <v>48.706800000000001</v>
      </c>
      <c r="AI232" s="3">
        <v>42769.61</v>
      </c>
      <c r="AJ232" s="4">
        <v>116.367</v>
      </c>
      <c r="AK232" s="4">
        <v>115.816</v>
      </c>
      <c r="AL232" s="4">
        <v>111.43300000000001</v>
      </c>
      <c r="AM232" s="4">
        <v>120.453</v>
      </c>
      <c r="AN232" s="4">
        <v>120.90900000000001</v>
      </c>
      <c r="AO232" s="5">
        <v>692740628</v>
      </c>
      <c r="AP232" s="36">
        <v>112.986504</v>
      </c>
      <c r="AQ232" s="6">
        <v>103.1</v>
      </c>
      <c r="AR232" s="3">
        <v>1909760.8677547721</v>
      </c>
      <c r="AS232" s="5">
        <v>1709</v>
      </c>
      <c r="AT232" s="5">
        <v>1135</v>
      </c>
      <c r="AU232" s="6">
        <v>50.2</v>
      </c>
      <c r="AV232" s="35">
        <v>101.61136275224047</v>
      </c>
      <c r="AW232" s="6">
        <v>50</v>
      </c>
    </row>
    <row r="233" spans="1:49" x14ac:dyDescent="0.25">
      <c r="A233" t="s">
        <v>233</v>
      </c>
      <c r="B233" s="2">
        <v>43465</v>
      </c>
      <c r="C233" s="3">
        <v>8.25</v>
      </c>
      <c r="D233" s="29">
        <v>8.9108999999999998</v>
      </c>
      <c r="E233" s="35">
        <v>80.789709999999999</v>
      </c>
      <c r="F233" s="29">
        <v>102.54559999999999</v>
      </c>
      <c r="G233" s="29">
        <v>101.6568</v>
      </c>
      <c r="H233" s="29">
        <v>101.9311</v>
      </c>
      <c r="I233" s="29">
        <v>74.282499999999999</v>
      </c>
      <c r="J233" s="29">
        <v>114.6917</v>
      </c>
      <c r="K233" s="29">
        <v>102.65</v>
      </c>
      <c r="L233" s="29">
        <v>113.1264</v>
      </c>
      <c r="M233" s="3">
        <v>3.62</v>
      </c>
      <c r="N233" s="3">
        <v>105.62</v>
      </c>
      <c r="O233" s="3">
        <v>100.25</v>
      </c>
      <c r="P233" s="29">
        <v>111.83759999999999</v>
      </c>
      <c r="Q233" s="29">
        <v>106.5911</v>
      </c>
      <c r="R233" s="6">
        <v>38226.5</v>
      </c>
      <c r="S233" s="6">
        <v>37943.300000000003</v>
      </c>
      <c r="T233" s="3">
        <v>100.16</v>
      </c>
      <c r="U233" s="6">
        <v>44.6</v>
      </c>
      <c r="V233" s="3">
        <v>101.15</v>
      </c>
      <c r="W233" s="29">
        <v>49.747900000000001</v>
      </c>
      <c r="X233" s="29">
        <v>48.648099999999999</v>
      </c>
      <c r="Y233" s="29">
        <v>50.6158</v>
      </c>
      <c r="Z233" s="29">
        <v>49.917200000000001</v>
      </c>
      <c r="AA233" s="29">
        <v>49.520699999999998</v>
      </c>
      <c r="AB233" s="29">
        <v>48.458199999999998</v>
      </c>
      <c r="AC233" s="29">
        <v>56.549500000000002</v>
      </c>
      <c r="AD233" s="29">
        <v>49.6843</v>
      </c>
      <c r="AE233" s="29">
        <v>50.275399999999998</v>
      </c>
      <c r="AF233" s="29">
        <v>51.204700000000003</v>
      </c>
      <c r="AG233" s="29">
        <v>50.687899999999999</v>
      </c>
      <c r="AH233" s="29">
        <v>48.583500000000001</v>
      </c>
      <c r="AI233" s="3">
        <v>41476.160000000003</v>
      </c>
      <c r="AJ233" s="4">
        <v>116.21</v>
      </c>
      <c r="AK233" s="4">
        <v>115.83799999999999</v>
      </c>
      <c r="AL233" s="4">
        <v>111.7</v>
      </c>
      <c r="AM233" s="4">
        <v>120.36199999999999</v>
      </c>
      <c r="AN233" s="4">
        <v>120.274</v>
      </c>
      <c r="AO233" s="5">
        <v>623143720</v>
      </c>
      <c r="AP233" s="36">
        <v>112.066024</v>
      </c>
      <c r="AQ233" s="6">
        <v>101.9</v>
      </c>
      <c r="AR233" s="3">
        <v>1923829.7391978337</v>
      </c>
      <c r="AS233" s="5">
        <v>1713</v>
      </c>
      <c r="AT233" s="5">
        <v>1198</v>
      </c>
      <c r="AU233" s="6">
        <v>50.2</v>
      </c>
      <c r="AV233" s="35">
        <v>56.541196299897955</v>
      </c>
      <c r="AW233" s="6">
        <v>50.8</v>
      </c>
    </row>
    <row r="234" spans="1:49" x14ac:dyDescent="0.25">
      <c r="A234" t="s">
        <v>234</v>
      </c>
      <c r="B234" s="2">
        <v>43496</v>
      </c>
      <c r="C234" s="3">
        <v>8.25</v>
      </c>
      <c r="D234" s="29">
        <v>8.6103000000000005</v>
      </c>
      <c r="E234" s="35">
        <v>84.37679</v>
      </c>
      <c r="F234" s="29">
        <v>102.4765</v>
      </c>
      <c r="G234" s="29">
        <v>101.8652</v>
      </c>
      <c r="H234" s="29">
        <v>103.47750000000001</v>
      </c>
      <c r="I234" s="29">
        <v>72.084100000000007</v>
      </c>
      <c r="J234" s="29">
        <v>117.1545</v>
      </c>
      <c r="K234" s="29">
        <v>108.4147</v>
      </c>
      <c r="L234" s="29">
        <v>114.6129</v>
      </c>
      <c r="M234" s="3">
        <v>3.51</v>
      </c>
      <c r="N234" s="3">
        <v>106.07</v>
      </c>
      <c r="O234" s="3">
        <v>100.23</v>
      </c>
      <c r="P234" s="29">
        <v>112.8009</v>
      </c>
      <c r="Q234" s="29">
        <v>107.85760000000001</v>
      </c>
      <c r="R234" s="6">
        <v>37955.1</v>
      </c>
      <c r="S234" s="6">
        <v>38883.699999999997</v>
      </c>
      <c r="T234" s="3">
        <v>100.11</v>
      </c>
      <c r="U234" s="6">
        <v>45.9</v>
      </c>
      <c r="V234" s="3">
        <v>101.24</v>
      </c>
      <c r="W234" s="29">
        <v>50.874000000000002</v>
      </c>
      <c r="X234" s="29">
        <v>49.813400000000001</v>
      </c>
      <c r="Y234" s="29">
        <v>51.3994</v>
      </c>
      <c r="Z234" s="29">
        <v>51.665300000000002</v>
      </c>
      <c r="AA234" s="29">
        <v>48.422499999999999</v>
      </c>
      <c r="AB234" s="29">
        <v>49.311100000000003</v>
      </c>
      <c r="AC234" s="29">
        <v>55.4163</v>
      </c>
      <c r="AD234" s="29">
        <v>49.982300000000002</v>
      </c>
      <c r="AE234" s="29">
        <v>51.625799999999998</v>
      </c>
      <c r="AF234" s="29">
        <v>50.009</v>
      </c>
      <c r="AG234" s="29">
        <v>50.168799999999997</v>
      </c>
      <c r="AH234" s="29">
        <v>48.943600000000004</v>
      </c>
      <c r="AI234" s="3">
        <v>43483.75</v>
      </c>
      <c r="AJ234" s="4">
        <v>116.774</v>
      </c>
      <c r="AK234" s="4">
        <v>115.989</v>
      </c>
      <c r="AL234" s="4">
        <v>112.01900000000001</v>
      </c>
      <c r="AM234" s="4">
        <v>120.23</v>
      </c>
      <c r="AN234" s="4">
        <v>127.217</v>
      </c>
      <c r="AO234" s="5">
        <v>649107004</v>
      </c>
      <c r="AP234" s="36">
        <v>112.78201900000001</v>
      </c>
      <c r="AQ234" s="6">
        <v>110.1</v>
      </c>
      <c r="AR234" s="3">
        <v>2012897.7902721632</v>
      </c>
      <c r="AS234" s="5">
        <v>1631</v>
      </c>
      <c r="AT234" s="5">
        <v>1071</v>
      </c>
      <c r="AU234" s="6">
        <v>49.1</v>
      </c>
      <c r="AV234" s="35">
        <v>64.002312822112202</v>
      </c>
      <c r="AW234" s="6">
        <v>51.1</v>
      </c>
    </row>
    <row r="235" spans="1:49" x14ac:dyDescent="0.25">
      <c r="A235" t="s">
        <v>235</v>
      </c>
      <c r="B235" s="2">
        <v>43524</v>
      </c>
      <c r="C235" s="3">
        <v>8.25</v>
      </c>
      <c r="D235" s="29">
        <v>8.3925999999999998</v>
      </c>
      <c r="E235" s="35">
        <v>83.802400000000006</v>
      </c>
      <c r="F235" s="29">
        <v>102.4173</v>
      </c>
      <c r="G235" s="29">
        <v>102.1135</v>
      </c>
      <c r="H235" s="29">
        <v>104.8098</v>
      </c>
      <c r="I235" s="29">
        <v>73.703299999999999</v>
      </c>
      <c r="J235" s="29">
        <v>117.4662</v>
      </c>
      <c r="K235" s="29">
        <v>108.00700000000001</v>
      </c>
      <c r="L235" s="29">
        <v>115.1632</v>
      </c>
      <c r="M235" s="3">
        <v>3.43</v>
      </c>
      <c r="N235" s="3">
        <v>107.12</v>
      </c>
      <c r="O235" s="3">
        <v>100.25</v>
      </c>
      <c r="P235" s="29">
        <v>114.9654</v>
      </c>
      <c r="Q235" s="29">
        <v>107.95869999999999</v>
      </c>
      <c r="R235" s="6">
        <v>38341</v>
      </c>
      <c r="S235" s="6">
        <v>38354.800000000003</v>
      </c>
      <c r="T235" s="3">
        <v>100.07</v>
      </c>
      <c r="U235" s="6">
        <v>48.5</v>
      </c>
      <c r="V235" s="3">
        <v>101.33</v>
      </c>
      <c r="W235" s="29">
        <v>52.638800000000003</v>
      </c>
      <c r="X235" s="29">
        <v>52.082099999999997</v>
      </c>
      <c r="Y235" s="29">
        <v>54.488700000000001</v>
      </c>
      <c r="Z235" s="29">
        <v>52.402700000000003</v>
      </c>
      <c r="AA235" s="29">
        <v>49.090800000000002</v>
      </c>
      <c r="AB235" s="29">
        <v>51.547800000000002</v>
      </c>
      <c r="AC235" s="29">
        <v>54.918799999999997</v>
      </c>
      <c r="AD235" s="29">
        <v>52.398699999999998</v>
      </c>
      <c r="AE235" s="29">
        <v>52.42</v>
      </c>
      <c r="AF235" s="29">
        <v>53.354700000000001</v>
      </c>
      <c r="AG235" s="29">
        <v>50.366199999999999</v>
      </c>
      <c r="AH235" s="29">
        <v>48.063600000000001</v>
      </c>
      <c r="AI235" s="3">
        <v>43314.78</v>
      </c>
      <c r="AJ235" s="4">
        <v>116.884</v>
      </c>
      <c r="AK235" s="4">
        <v>116.19499999999999</v>
      </c>
      <c r="AL235" s="4">
        <v>113.151</v>
      </c>
      <c r="AM235" s="4">
        <v>120.003</v>
      </c>
      <c r="AN235" s="4">
        <v>121.925</v>
      </c>
      <c r="AO235" s="5">
        <v>638101060</v>
      </c>
      <c r="AP235" s="36">
        <v>113.125484</v>
      </c>
      <c r="AQ235" s="6">
        <v>108.5</v>
      </c>
      <c r="AR235" s="3">
        <v>2062278.527670891</v>
      </c>
      <c r="AS235" s="5">
        <v>1701</v>
      </c>
      <c r="AT235" s="5">
        <v>1475</v>
      </c>
      <c r="AU235" s="6">
        <v>54.5</v>
      </c>
      <c r="AV235" s="35">
        <v>89.067667680908471</v>
      </c>
      <c r="AW235" s="6">
        <v>52.2</v>
      </c>
    </row>
    <row r="236" spans="1:49" x14ac:dyDescent="0.25">
      <c r="A236" t="s">
        <v>236</v>
      </c>
      <c r="B236" s="2">
        <v>43555</v>
      </c>
      <c r="C236" s="3">
        <v>8.25</v>
      </c>
      <c r="D236" s="29">
        <v>8.0949000000000009</v>
      </c>
      <c r="E236" s="35">
        <v>83.806030000000007</v>
      </c>
      <c r="F236" s="29">
        <v>102.8601</v>
      </c>
      <c r="G236" s="29">
        <v>102.45050000000001</v>
      </c>
      <c r="H236" s="29">
        <v>102.76309999999999</v>
      </c>
      <c r="I236" s="29">
        <v>73.276200000000003</v>
      </c>
      <c r="J236" s="29">
        <v>117.62390000000001</v>
      </c>
      <c r="K236" s="29">
        <v>103.47880000000001</v>
      </c>
      <c r="L236" s="29">
        <v>114.4199</v>
      </c>
      <c r="M236" s="3">
        <v>3.57</v>
      </c>
      <c r="N236" s="3">
        <v>107.9</v>
      </c>
      <c r="O236" s="3">
        <v>100.29</v>
      </c>
      <c r="P236" s="29">
        <v>114.9876</v>
      </c>
      <c r="Q236" s="29">
        <v>107.9671</v>
      </c>
      <c r="R236" s="6">
        <v>38463.5</v>
      </c>
      <c r="S236" s="6">
        <v>38336.300000000003</v>
      </c>
      <c r="T236" s="3">
        <v>100.04</v>
      </c>
      <c r="U236" s="6">
        <v>47</v>
      </c>
      <c r="V236" s="3">
        <v>101.38</v>
      </c>
      <c r="W236" s="29">
        <v>49.750500000000002</v>
      </c>
      <c r="X236" s="29">
        <v>49.070900000000002</v>
      </c>
      <c r="Y236" s="29">
        <v>50.012900000000002</v>
      </c>
      <c r="Z236" s="29">
        <v>49.818100000000001</v>
      </c>
      <c r="AA236" s="29">
        <v>49.1661</v>
      </c>
      <c r="AB236" s="29">
        <v>48.902200000000001</v>
      </c>
      <c r="AC236" s="29">
        <v>53.711799999999997</v>
      </c>
      <c r="AD236" s="29">
        <v>49.923000000000002</v>
      </c>
      <c r="AE236" s="29">
        <v>48.773400000000002</v>
      </c>
      <c r="AF236" s="29">
        <v>50.682699999999997</v>
      </c>
      <c r="AG236" s="29">
        <v>49.745399999999997</v>
      </c>
      <c r="AH236" s="29">
        <v>48.904000000000003</v>
      </c>
      <c r="AI236" s="3">
        <v>42380.99</v>
      </c>
      <c r="AJ236" s="4">
        <v>116.494</v>
      </c>
      <c r="AK236" s="4">
        <v>115.979</v>
      </c>
      <c r="AL236" s="4">
        <v>111.38800000000001</v>
      </c>
      <c r="AM236" s="4">
        <v>119.943</v>
      </c>
      <c r="AN236" s="4">
        <v>120.072</v>
      </c>
      <c r="AO236" s="5">
        <v>696829099</v>
      </c>
      <c r="AP236" s="36">
        <v>112.71225</v>
      </c>
      <c r="AQ236" s="6">
        <v>105.7</v>
      </c>
      <c r="AR236" s="3">
        <v>2098084.1097384291</v>
      </c>
      <c r="AS236" s="5">
        <v>1693</v>
      </c>
      <c r="AT236" s="5">
        <v>1150</v>
      </c>
      <c r="AU236" s="6">
        <v>51.7</v>
      </c>
      <c r="AV236" s="35">
        <v>87.365260164506623</v>
      </c>
      <c r="AW236" s="6">
        <v>52.8</v>
      </c>
    </row>
    <row r="237" spans="1:49" x14ac:dyDescent="0.25">
      <c r="A237" t="s">
        <v>237</v>
      </c>
      <c r="B237" s="2">
        <v>43585</v>
      </c>
      <c r="C237" s="3">
        <v>8.25</v>
      </c>
      <c r="D237" s="29">
        <v>8.0679999999999996</v>
      </c>
      <c r="E237" s="35">
        <v>84.946219999999997</v>
      </c>
      <c r="F237" s="29">
        <v>103.291</v>
      </c>
      <c r="G237" s="29">
        <v>102.80970000000001</v>
      </c>
      <c r="H237" s="29">
        <v>104.0277</v>
      </c>
      <c r="I237" s="29">
        <v>73.085400000000007</v>
      </c>
      <c r="J237" s="29">
        <v>119.89530000000001</v>
      </c>
      <c r="K237" s="29">
        <v>104.977</v>
      </c>
      <c r="L237" s="29">
        <v>115.38930000000001</v>
      </c>
      <c r="M237" s="3">
        <v>3.54</v>
      </c>
      <c r="N237" s="3">
        <v>107</v>
      </c>
      <c r="O237" s="3">
        <v>100.33</v>
      </c>
      <c r="P237" s="29">
        <v>115.4425</v>
      </c>
      <c r="Q237" s="29">
        <v>107.78959999999999</v>
      </c>
      <c r="R237" s="6">
        <v>38953.5</v>
      </c>
      <c r="S237" s="6">
        <v>38904.5</v>
      </c>
      <c r="T237" s="3">
        <v>100</v>
      </c>
      <c r="U237" s="6">
        <v>45.5</v>
      </c>
      <c r="V237" s="3">
        <v>101.38</v>
      </c>
      <c r="W237" s="29">
        <v>50.064500000000002</v>
      </c>
      <c r="X237" s="29">
        <v>49.652099999999997</v>
      </c>
      <c r="Y237" s="29">
        <v>50.2746</v>
      </c>
      <c r="Z237" s="29">
        <v>49.507399999999997</v>
      </c>
      <c r="AA237" s="29">
        <v>49.046199999999999</v>
      </c>
      <c r="AB237" s="29">
        <v>50.245600000000003</v>
      </c>
      <c r="AC237" s="29">
        <v>54.880400000000002</v>
      </c>
      <c r="AD237" s="29">
        <v>49.104799999999997</v>
      </c>
      <c r="AE237" s="29">
        <v>50.195700000000002</v>
      </c>
      <c r="AF237" s="29">
        <v>49.368899999999996</v>
      </c>
      <c r="AG237" s="29">
        <v>50.195999999999998</v>
      </c>
      <c r="AH237" s="29">
        <v>50.756</v>
      </c>
      <c r="AI237" s="3">
        <v>44715.89</v>
      </c>
      <c r="AJ237" s="4">
        <v>117.121</v>
      </c>
      <c r="AK237" s="4">
        <v>116.33199999999999</v>
      </c>
      <c r="AL237" s="4">
        <v>112.89100000000001</v>
      </c>
      <c r="AM237" s="4">
        <v>119.29300000000001</v>
      </c>
      <c r="AN237" s="4">
        <v>124.404</v>
      </c>
      <c r="AO237" s="5">
        <v>664342250</v>
      </c>
      <c r="AP237" s="36">
        <v>112.95581799999999</v>
      </c>
      <c r="AQ237" s="6">
        <v>106.3</v>
      </c>
      <c r="AR237" s="3">
        <v>2121320.7755309315</v>
      </c>
      <c r="AS237" s="5">
        <v>1672</v>
      </c>
      <c r="AT237" s="5">
        <v>1023</v>
      </c>
      <c r="AU237" s="6">
        <v>56.3</v>
      </c>
      <c r="AV237" s="35">
        <v>61.905851623009141</v>
      </c>
      <c r="AW237" s="6">
        <v>52.9</v>
      </c>
    </row>
    <row r="238" spans="1:49" x14ac:dyDescent="0.25">
      <c r="A238" t="s">
        <v>238</v>
      </c>
      <c r="B238" s="2">
        <v>43616</v>
      </c>
      <c r="C238" s="3">
        <v>8.25</v>
      </c>
      <c r="D238" s="29">
        <v>8.1212</v>
      </c>
      <c r="E238" s="35">
        <v>84.545339999999996</v>
      </c>
      <c r="F238" s="29">
        <v>103.651</v>
      </c>
      <c r="G238" s="29">
        <v>103.1177</v>
      </c>
      <c r="H238" s="29">
        <v>102.09869999999999</v>
      </c>
      <c r="I238" s="29">
        <v>72.340599999999995</v>
      </c>
      <c r="J238" s="29">
        <v>119.5072</v>
      </c>
      <c r="K238" s="29">
        <v>99.498999999999995</v>
      </c>
      <c r="L238" s="29">
        <v>114.9478</v>
      </c>
      <c r="M238" s="3">
        <v>3.52</v>
      </c>
      <c r="N238" s="3">
        <v>107.39</v>
      </c>
      <c r="O238" s="3">
        <v>100.36</v>
      </c>
      <c r="P238" s="29">
        <v>115.9177</v>
      </c>
      <c r="Q238" s="29">
        <v>107.1674</v>
      </c>
      <c r="R238" s="6">
        <v>39402</v>
      </c>
      <c r="S238" s="6">
        <v>38886.300000000003</v>
      </c>
      <c r="T238" s="3">
        <v>99.96</v>
      </c>
      <c r="U238" s="6">
        <v>44</v>
      </c>
      <c r="V238" s="3">
        <v>101.32</v>
      </c>
      <c r="W238" s="29">
        <v>50.045099999999998</v>
      </c>
      <c r="X238" s="29">
        <v>50.199300000000001</v>
      </c>
      <c r="Y238" s="29">
        <v>50.433399999999999</v>
      </c>
      <c r="Z238" s="29">
        <v>48.889800000000001</v>
      </c>
      <c r="AA238" s="29">
        <v>49.122300000000003</v>
      </c>
      <c r="AB238" s="29">
        <v>49.5563</v>
      </c>
      <c r="AC238" s="29">
        <v>54.255400000000002</v>
      </c>
      <c r="AD238" s="29">
        <v>48.4726</v>
      </c>
      <c r="AE238" s="29">
        <v>51.942500000000003</v>
      </c>
      <c r="AF238" s="29">
        <v>50.656300000000002</v>
      </c>
      <c r="AG238" s="29">
        <v>51.351900000000001</v>
      </c>
      <c r="AH238" s="29">
        <v>48.854100000000003</v>
      </c>
      <c r="AI238" s="3">
        <v>43264</v>
      </c>
      <c r="AJ238" s="4">
        <v>117.123</v>
      </c>
      <c r="AK238" s="4">
        <v>116.63200000000001</v>
      </c>
      <c r="AL238" s="4">
        <v>113.13500000000001</v>
      </c>
      <c r="AM238" s="4">
        <v>120.117</v>
      </c>
      <c r="AN238" s="4">
        <v>121.902</v>
      </c>
      <c r="AO238" s="5">
        <v>708156019</v>
      </c>
      <c r="AP238" s="36">
        <v>112.838094</v>
      </c>
      <c r="AQ238" s="6">
        <v>103.6</v>
      </c>
      <c r="AR238" s="3">
        <v>2279505.1210226482</v>
      </c>
      <c r="AS238" s="5">
        <v>1658</v>
      </c>
      <c r="AT238" s="5">
        <v>1205</v>
      </c>
      <c r="AU238" s="6">
        <v>51.4</v>
      </c>
      <c r="AV238" s="35">
        <v>73.412607422321017</v>
      </c>
      <c r="AW238" s="6">
        <v>51.1</v>
      </c>
    </row>
    <row r="239" spans="1:49" x14ac:dyDescent="0.25">
      <c r="A239" t="s">
        <v>384</v>
      </c>
      <c r="B239" s="2">
        <v>43646</v>
      </c>
      <c r="C239" s="3">
        <v>8.25</v>
      </c>
      <c r="D239" s="29">
        <v>7.7492999999999999</v>
      </c>
      <c r="E239" s="35">
        <v>83.539150000000006</v>
      </c>
      <c r="F239" s="29">
        <v>103.8674</v>
      </c>
      <c r="G239" s="29">
        <v>103.4705</v>
      </c>
      <c r="H239" s="29">
        <v>102.71420000000001</v>
      </c>
      <c r="I239" s="29">
        <v>73.646100000000004</v>
      </c>
      <c r="J239" s="29">
        <v>121.19840000000001</v>
      </c>
      <c r="K239" s="29">
        <v>100.72499999999999</v>
      </c>
      <c r="L239" s="29">
        <v>115.0557</v>
      </c>
      <c r="M239" s="3">
        <v>3.57</v>
      </c>
      <c r="N239" s="3">
        <v>106.93</v>
      </c>
      <c r="O239" s="3">
        <v>100.4</v>
      </c>
      <c r="P239" s="29">
        <v>115.598</v>
      </c>
      <c r="Q239" s="29">
        <v>107.36750000000001</v>
      </c>
      <c r="R239" s="6">
        <v>38794.400000000001</v>
      </c>
      <c r="S239" s="6">
        <v>37688.9</v>
      </c>
      <c r="T239" s="3">
        <v>99.9</v>
      </c>
      <c r="U239" s="6">
        <v>43.5</v>
      </c>
      <c r="V239" s="3">
        <v>101.21</v>
      </c>
      <c r="W239" s="29">
        <v>49.173000000000002</v>
      </c>
      <c r="X239" s="29">
        <v>49.4</v>
      </c>
      <c r="Y239" s="29">
        <v>48.0364</v>
      </c>
      <c r="Z239" s="29">
        <v>50.006900000000002</v>
      </c>
      <c r="AA239" s="29">
        <v>49.478499999999997</v>
      </c>
      <c r="AB239" s="29">
        <v>48.324599999999997</v>
      </c>
      <c r="AC239" s="29">
        <v>55.313899999999997</v>
      </c>
      <c r="AD239" s="29">
        <v>47.870600000000003</v>
      </c>
      <c r="AE239" s="29">
        <v>50.402000000000001</v>
      </c>
      <c r="AF239" s="29">
        <v>49.296199999999999</v>
      </c>
      <c r="AG239" s="29">
        <v>49.8476</v>
      </c>
      <c r="AH239" s="29">
        <v>48.659500000000001</v>
      </c>
      <c r="AI239" s="3">
        <v>43421.279999999999</v>
      </c>
      <c r="AJ239" s="4">
        <v>117.622</v>
      </c>
      <c r="AK239" s="4">
        <v>117.34699999999999</v>
      </c>
      <c r="AL239" s="4">
        <v>113.72799999999999</v>
      </c>
      <c r="AM239" s="4">
        <v>120.529</v>
      </c>
      <c r="AN239" s="4">
        <v>119.629</v>
      </c>
      <c r="AO239" s="5">
        <v>695425067</v>
      </c>
      <c r="AP239" s="36">
        <v>112.718288</v>
      </c>
      <c r="AQ239" s="6">
        <v>101.9</v>
      </c>
      <c r="AR239" s="3">
        <v>1949548.737196509</v>
      </c>
      <c r="AS239" s="5">
        <v>1663</v>
      </c>
      <c r="AT239" s="5">
        <v>995</v>
      </c>
      <c r="AU239" s="6">
        <v>48.8</v>
      </c>
      <c r="AV239" s="35">
        <v>72.010035894771434</v>
      </c>
      <c r="AW239" s="6">
        <v>50.1</v>
      </c>
    </row>
    <row r="240" spans="1:49" x14ac:dyDescent="0.25">
      <c r="A240" t="s">
        <v>390</v>
      </c>
      <c r="B240" s="2">
        <v>43677</v>
      </c>
      <c r="C240" s="3">
        <v>8.25</v>
      </c>
      <c r="D240" s="29">
        <v>7.4980000000000002</v>
      </c>
      <c r="E240" s="35">
        <v>84.595269999999999</v>
      </c>
      <c r="F240" s="29">
        <v>104.23520000000001</v>
      </c>
      <c r="G240" s="29">
        <v>103.79430000000001</v>
      </c>
      <c r="H240" s="29">
        <v>102.476</v>
      </c>
      <c r="I240" s="29">
        <v>72.996399999999994</v>
      </c>
      <c r="J240" s="29">
        <v>120.71550000000001</v>
      </c>
      <c r="K240" s="29">
        <v>99.147300000000001</v>
      </c>
      <c r="L240" s="29">
        <v>115.3788</v>
      </c>
      <c r="M240" s="3">
        <v>3.55</v>
      </c>
      <c r="N240" s="3">
        <v>107.51</v>
      </c>
      <c r="O240" s="3">
        <v>100.44</v>
      </c>
      <c r="P240" s="29">
        <v>115.62309999999999</v>
      </c>
      <c r="Q240" s="29">
        <v>107.2103</v>
      </c>
      <c r="R240" s="6">
        <v>38547.5</v>
      </c>
      <c r="S240" s="6">
        <v>38273.300000000003</v>
      </c>
      <c r="T240" s="3">
        <v>99.83</v>
      </c>
      <c r="U240" s="6">
        <v>43.2</v>
      </c>
      <c r="V240" s="3">
        <v>101.09</v>
      </c>
      <c r="W240" s="29">
        <v>49.759799999999998</v>
      </c>
      <c r="X240" s="29">
        <v>49.585500000000003</v>
      </c>
      <c r="Y240" s="29">
        <v>49.576000000000001</v>
      </c>
      <c r="Z240" s="29">
        <v>50.008000000000003</v>
      </c>
      <c r="AA240" s="29">
        <v>50.147300000000001</v>
      </c>
      <c r="AB240" s="29">
        <v>50.110500000000002</v>
      </c>
      <c r="AC240" s="29">
        <v>54.088299999999997</v>
      </c>
      <c r="AD240" s="29">
        <v>48.753300000000003</v>
      </c>
      <c r="AE240" s="29">
        <v>52.604700000000001</v>
      </c>
      <c r="AF240" s="29">
        <v>49.807499999999997</v>
      </c>
      <c r="AG240" s="29">
        <v>51.794899999999998</v>
      </c>
      <c r="AH240" s="29">
        <v>49.7117</v>
      </c>
      <c r="AI240" s="3">
        <v>42261.59</v>
      </c>
      <c r="AJ240" s="4">
        <v>117.413</v>
      </c>
      <c r="AK240" s="4">
        <v>116.422</v>
      </c>
      <c r="AL240" s="4">
        <v>112.874</v>
      </c>
      <c r="AM240" s="4">
        <v>120.07</v>
      </c>
      <c r="AN240" s="4">
        <v>124.895</v>
      </c>
      <c r="AO240" s="5">
        <v>692366432</v>
      </c>
      <c r="AP240" s="36">
        <v>112.790481</v>
      </c>
      <c r="AQ240" s="6">
        <v>101.1</v>
      </c>
      <c r="AR240" s="3">
        <v>2007850.5058363429</v>
      </c>
      <c r="AS240" s="5">
        <v>1663</v>
      </c>
      <c r="AT240" s="5">
        <v>1079</v>
      </c>
      <c r="AU240" s="6">
        <v>51.8</v>
      </c>
      <c r="AV240" s="35">
        <v>111.35142217393022</v>
      </c>
      <c r="AW240" s="6">
        <v>47.1</v>
      </c>
    </row>
    <row r="241" spans="1:49" x14ac:dyDescent="0.25">
      <c r="A241" t="s">
        <v>394</v>
      </c>
      <c r="B241" s="2">
        <v>43708</v>
      </c>
      <c r="C241" s="3">
        <v>8</v>
      </c>
      <c r="D241" s="29">
        <v>7.1409000000000002</v>
      </c>
      <c r="E241" s="35">
        <v>82.488650000000007</v>
      </c>
      <c r="F241" s="29">
        <v>104.2223</v>
      </c>
      <c r="G241" s="29">
        <v>104.0947</v>
      </c>
      <c r="H241" s="29">
        <v>103.0493</v>
      </c>
      <c r="I241" s="29">
        <v>74.787400000000005</v>
      </c>
      <c r="J241" s="29">
        <v>123.0671</v>
      </c>
      <c r="K241" s="29">
        <v>101.4635</v>
      </c>
      <c r="L241" s="29">
        <v>114.7991</v>
      </c>
      <c r="M241" s="3">
        <v>3.55</v>
      </c>
      <c r="N241" s="3">
        <v>108.51</v>
      </c>
      <c r="O241" s="3">
        <v>100.5</v>
      </c>
      <c r="P241" s="29">
        <v>116.0121</v>
      </c>
      <c r="Q241" s="29">
        <v>107.02460000000001</v>
      </c>
      <c r="R241" s="6">
        <v>39421.699999999997</v>
      </c>
      <c r="S241" s="6">
        <v>38152</v>
      </c>
      <c r="T241" s="3">
        <v>99.76</v>
      </c>
      <c r="U241" s="6">
        <v>43.7</v>
      </c>
      <c r="V241" s="3">
        <v>100.98</v>
      </c>
      <c r="W241" s="29">
        <v>49.019500000000001</v>
      </c>
      <c r="X241" s="29">
        <v>48.625799999999998</v>
      </c>
      <c r="Y241" s="29">
        <v>48.419400000000003</v>
      </c>
      <c r="Z241" s="29">
        <v>49.718499999999999</v>
      </c>
      <c r="AA241" s="29">
        <v>49.883699999999997</v>
      </c>
      <c r="AB241" s="29">
        <v>48.761099999999999</v>
      </c>
      <c r="AC241" s="29">
        <v>55.3855</v>
      </c>
      <c r="AD241" s="29">
        <v>48.281500000000001</v>
      </c>
      <c r="AE241" s="29">
        <v>51.277099999999997</v>
      </c>
      <c r="AF241" s="29">
        <v>50.470399999999998</v>
      </c>
      <c r="AG241" s="29">
        <v>50.888399999999997</v>
      </c>
      <c r="AH241" s="29">
        <v>49.2258</v>
      </c>
      <c r="AI241" s="3">
        <v>40102.81</v>
      </c>
      <c r="AJ241" s="4">
        <v>117.134</v>
      </c>
      <c r="AK241" s="4">
        <v>116.54300000000001</v>
      </c>
      <c r="AL241" s="4">
        <v>113.36</v>
      </c>
      <c r="AM241" s="4">
        <v>119.81699999999999</v>
      </c>
      <c r="AN241" s="4">
        <v>122.874</v>
      </c>
      <c r="AO241" s="5">
        <v>711154963</v>
      </c>
      <c r="AP241" s="36">
        <v>112.744919</v>
      </c>
      <c r="AQ241" s="6">
        <v>102.2</v>
      </c>
      <c r="AR241" s="3">
        <v>2120132.7996496344</v>
      </c>
      <c r="AS241" s="5">
        <v>1679</v>
      </c>
      <c r="AT241" s="5">
        <v>1081</v>
      </c>
      <c r="AU241" s="6">
        <v>48.1</v>
      </c>
      <c r="AV241" s="35">
        <v>88.947993719710496</v>
      </c>
      <c r="AW241" s="6">
        <v>51</v>
      </c>
    </row>
    <row r="242" spans="1:49" x14ac:dyDescent="0.25">
      <c r="A242" t="s">
        <v>396</v>
      </c>
      <c r="B242" s="2">
        <v>43738</v>
      </c>
      <c r="C242" s="3">
        <v>7.75</v>
      </c>
      <c r="D242" s="29">
        <v>7.0050999999999997</v>
      </c>
      <c r="E242" s="35">
        <v>83.281750000000002</v>
      </c>
      <c r="F242" s="29">
        <v>104.45910000000001</v>
      </c>
      <c r="G242" s="29">
        <v>104.39279999999999</v>
      </c>
      <c r="H242" s="29">
        <v>102.5008</v>
      </c>
      <c r="I242" s="29">
        <v>74.706999999999994</v>
      </c>
      <c r="J242" s="29">
        <v>122.87050000000001</v>
      </c>
      <c r="K242" s="29">
        <v>98.370599999999996</v>
      </c>
      <c r="L242" s="29">
        <v>115.5676</v>
      </c>
      <c r="M242" s="3">
        <v>3.52</v>
      </c>
      <c r="N242" s="3">
        <v>108.38</v>
      </c>
      <c r="O242" s="3">
        <v>100.56</v>
      </c>
      <c r="P242" s="29">
        <v>117.08759999999999</v>
      </c>
      <c r="Q242" s="29">
        <v>106.6434</v>
      </c>
      <c r="R242" s="6">
        <v>37879.300000000003</v>
      </c>
      <c r="S242" s="6">
        <v>37418.800000000003</v>
      </c>
      <c r="T242" s="3">
        <v>99.66</v>
      </c>
      <c r="U242" s="6">
        <v>45.4</v>
      </c>
      <c r="V242" s="3">
        <v>100.89</v>
      </c>
      <c r="W242" s="29">
        <v>49.077300000000001</v>
      </c>
      <c r="X242" s="29">
        <v>47.690600000000003</v>
      </c>
      <c r="Y242" s="29">
        <v>50.072200000000002</v>
      </c>
      <c r="Z242" s="29">
        <v>49.344799999999999</v>
      </c>
      <c r="AA242" s="29">
        <v>51.049700000000001</v>
      </c>
      <c r="AB242" s="29">
        <v>49.215400000000002</v>
      </c>
      <c r="AC242" s="29">
        <v>55.895099999999999</v>
      </c>
      <c r="AD242" s="29">
        <v>47.927100000000003</v>
      </c>
      <c r="AE242" s="29">
        <v>52.228900000000003</v>
      </c>
      <c r="AF242" s="29">
        <v>49.738199999999999</v>
      </c>
      <c r="AG242" s="29">
        <v>49.850999999999999</v>
      </c>
      <c r="AH242" s="29">
        <v>49.449599999999997</v>
      </c>
      <c r="AI242" s="3">
        <v>42838.85</v>
      </c>
      <c r="AJ242" s="4">
        <v>117.765</v>
      </c>
      <c r="AK242" s="4">
        <v>116.527</v>
      </c>
      <c r="AL242" s="4">
        <v>112.971</v>
      </c>
      <c r="AM242" s="4">
        <v>120.251</v>
      </c>
      <c r="AN242" s="4">
        <v>127.623</v>
      </c>
      <c r="AO242" s="5">
        <v>676095872</v>
      </c>
      <c r="AP242" s="36">
        <v>112.682986</v>
      </c>
      <c r="AQ242" s="6">
        <v>100.5</v>
      </c>
      <c r="AR242" s="3">
        <v>1999554.7096371579</v>
      </c>
      <c r="AS242" s="5">
        <v>1702</v>
      </c>
      <c r="AT242" s="5">
        <v>995</v>
      </c>
      <c r="AU242" s="6">
        <v>48.5</v>
      </c>
      <c r="AV242" s="35">
        <v>88.084533829122577</v>
      </c>
      <c r="AW242" s="6">
        <v>50.9</v>
      </c>
    </row>
    <row r="243" spans="1:49" x14ac:dyDescent="0.25">
      <c r="A243" t="s">
        <v>397</v>
      </c>
      <c r="B243" s="2">
        <v>43769</v>
      </c>
      <c r="C243" s="3">
        <v>7.75</v>
      </c>
      <c r="D243" s="29">
        <v>6.79</v>
      </c>
      <c r="E243" s="35">
        <v>84.237859999999998</v>
      </c>
      <c r="F243" s="29">
        <v>104.7915</v>
      </c>
      <c r="G243" s="29">
        <v>104.6876</v>
      </c>
      <c r="H243" s="29">
        <v>100.79640000000001</v>
      </c>
      <c r="I243" s="29">
        <v>74.47</v>
      </c>
      <c r="J243" s="29">
        <v>122.6092</v>
      </c>
      <c r="K243" s="29">
        <v>96.274299999999997</v>
      </c>
      <c r="L243" s="29">
        <v>112.6039</v>
      </c>
      <c r="M243" s="3">
        <v>3.53</v>
      </c>
      <c r="N243" s="3">
        <v>108.31</v>
      </c>
      <c r="O243" s="3">
        <v>100.6</v>
      </c>
      <c r="P243" s="29">
        <v>114.35939999999999</v>
      </c>
      <c r="Q243" s="29">
        <v>105.3436</v>
      </c>
      <c r="R243" s="6">
        <v>37496.5</v>
      </c>
      <c r="S243" s="6">
        <v>37066.6</v>
      </c>
      <c r="T243" s="3">
        <v>99.55</v>
      </c>
      <c r="U243" s="6">
        <v>44.1</v>
      </c>
      <c r="V243" s="3">
        <v>100.77</v>
      </c>
      <c r="W243" s="29">
        <v>50.387300000000003</v>
      </c>
      <c r="X243" s="29">
        <v>49.701300000000003</v>
      </c>
      <c r="Y243" s="29">
        <v>50.5349</v>
      </c>
      <c r="Z243" s="29">
        <v>50.846400000000003</v>
      </c>
      <c r="AA243" s="29">
        <v>49.651800000000001</v>
      </c>
      <c r="AB243" s="29">
        <v>50.800199999999997</v>
      </c>
      <c r="AC243" s="29">
        <v>52.514899999999997</v>
      </c>
      <c r="AD243" s="29">
        <v>48.8078</v>
      </c>
      <c r="AE243" s="29">
        <v>52.552599999999998</v>
      </c>
      <c r="AF243" s="29">
        <v>50.079300000000003</v>
      </c>
      <c r="AG243" s="29">
        <v>49.973399999999998</v>
      </c>
      <c r="AH243" s="29">
        <v>49.795999999999999</v>
      </c>
      <c r="AI243" s="3">
        <v>43220.52</v>
      </c>
      <c r="AJ243" s="4">
        <v>117.227</v>
      </c>
      <c r="AK243" s="4">
        <v>116.004</v>
      </c>
      <c r="AL243" s="4">
        <v>111.773</v>
      </c>
      <c r="AM243" s="4">
        <v>120.333</v>
      </c>
      <c r="AN243" s="4">
        <v>128.041</v>
      </c>
      <c r="AO243" s="5">
        <v>682477760</v>
      </c>
      <c r="AP243" s="36">
        <v>112.16914</v>
      </c>
      <c r="AQ243" s="6">
        <v>99.4</v>
      </c>
      <c r="AR243" s="3">
        <v>1996337.4093380123</v>
      </c>
      <c r="AS243" s="5">
        <v>1660</v>
      </c>
      <c r="AT243" s="5">
        <v>963</v>
      </c>
      <c r="AU243" s="6">
        <v>45.8</v>
      </c>
      <c r="AV243" s="35">
        <v>79.965150962753498</v>
      </c>
      <c r="AW243" s="6">
        <v>50.5</v>
      </c>
    </row>
    <row r="244" spans="1:49" x14ac:dyDescent="0.25">
      <c r="A244" t="s">
        <v>399</v>
      </c>
      <c r="B244" s="2">
        <v>43799</v>
      </c>
      <c r="C244" s="3">
        <v>7.5</v>
      </c>
      <c r="D244" s="29">
        <v>6.9336000000000002</v>
      </c>
      <c r="E244" s="35">
        <v>84.678150000000002</v>
      </c>
      <c r="F244" s="29">
        <v>105.0903</v>
      </c>
      <c r="G244" s="29">
        <v>104.9923</v>
      </c>
      <c r="H244" s="29">
        <v>101.626</v>
      </c>
      <c r="I244" s="29">
        <v>75.345399999999998</v>
      </c>
      <c r="J244" s="29">
        <v>122.2627</v>
      </c>
      <c r="K244" s="29">
        <v>98.049700000000001</v>
      </c>
      <c r="L244" s="29">
        <v>112.72799999999999</v>
      </c>
      <c r="M244" s="3">
        <v>3.48</v>
      </c>
      <c r="N244" s="3">
        <v>108.78</v>
      </c>
      <c r="O244" s="3">
        <v>100.59</v>
      </c>
      <c r="P244" s="29">
        <v>116.2688</v>
      </c>
      <c r="Q244" s="29">
        <v>105.628</v>
      </c>
      <c r="R244" s="6">
        <v>37404.5</v>
      </c>
      <c r="S244" s="6">
        <v>36637.599999999999</v>
      </c>
      <c r="T244" s="3">
        <v>99.42</v>
      </c>
      <c r="U244" s="6">
        <v>43.6</v>
      </c>
      <c r="V244" s="3">
        <v>100.58</v>
      </c>
      <c r="W244" s="29">
        <v>47.951599999999999</v>
      </c>
      <c r="X244" s="29">
        <v>46.705599999999997</v>
      </c>
      <c r="Y244" s="29">
        <v>48.060099999999998</v>
      </c>
      <c r="Z244" s="29">
        <v>47.888599999999997</v>
      </c>
      <c r="AA244" s="29">
        <v>49.88</v>
      </c>
      <c r="AB244" s="29">
        <v>47.614199999999997</v>
      </c>
      <c r="AC244" s="29">
        <v>51.735999999999997</v>
      </c>
      <c r="AD244" s="29">
        <v>47.544400000000003</v>
      </c>
      <c r="AE244" s="29">
        <v>50.427700000000002</v>
      </c>
      <c r="AF244" s="29">
        <v>47.644100000000002</v>
      </c>
      <c r="AG244" s="29">
        <v>49.451300000000003</v>
      </c>
      <c r="AH244" s="29">
        <v>48.535699999999999</v>
      </c>
      <c r="AI244" s="3">
        <v>43429.35</v>
      </c>
      <c r="AJ244" s="4">
        <v>117.327</v>
      </c>
      <c r="AK244" s="4">
        <v>116.423</v>
      </c>
      <c r="AL244" s="4">
        <v>112.675</v>
      </c>
      <c r="AM244" s="4">
        <v>120.328</v>
      </c>
      <c r="AN244" s="4">
        <v>124.57899999999999</v>
      </c>
      <c r="AO244" s="5">
        <v>671558949</v>
      </c>
      <c r="AP244" s="36">
        <v>111.91221899999999</v>
      </c>
      <c r="AQ244" s="6">
        <v>99.6</v>
      </c>
      <c r="AR244" s="3">
        <v>1998441.3210095942</v>
      </c>
      <c r="AS244" s="5">
        <v>1710</v>
      </c>
      <c r="AT244" s="5">
        <v>1114</v>
      </c>
      <c r="AU244" s="6">
        <v>47.9</v>
      </c>
      <c r="AV244" s="35">
        <v>58.052548071811977</v>
      </c>
      <c r="AW244" s="6">
        <v>50.4</v>
      </c>
    </row>
    <row r="245" spans="1:49" x14ac:dyDescent="0.25">
      <c r="A245" t="s">
        <v>400</v>
      </c>
      <c r="B245" s="2">
        <v>43830</v>
      </c>
      <c r="C245" s="3">
        <v>7.25</v>
      </c>
      <c r="D245" s="29">
        <v>6.8985000000000003</v>
      </c>
      <c r="E245" s="35">
        <v>85.665469999999999</v>
      </c>
      <c r="F245" s="29">
        <v>105.43049999999999</v>
      </c>
      <c r="G245" s="29">
        <v>105.3096</v>
      </c>
      <c r="H245" s="29">
        <v>101.2287</v>
      </c>
      <c r="I245" s="29">
        <v>74.797300000000007</v>
      </c>
      <c r="J245" s="29">
        <v>122.2954</v>
      </c>
      <c r="K245" s="29">
        <v>98.288399999999996</v>
      </c>
      <c r="L245" s="29">
        <v>112.4606</v>
      </c>
      <c r="M245" s="3">
        <v>3.18</v>
      </c>
      <c r="N245" s="3">
        <v>109.35</v>
      </c>
      <c r="O245" s="3">
        <v>100.49</v>
      </c>
      <c r="P245" s="29">
        <v>115.5231</v>
      </c>
      <c r="Q245" s="29">
        <v>105.77379999999999</v>
      </c>
      <c r="R245" s="6">
        <v>37835</v>
      </c>
      <c r="S245" s="6">
        <v>36469.699999999997</v>
      </c>
      <c r="T245" s="3">
        <v>99.26</v>
      </c>
      <c r="U245" s="6">
        <v>43.6</v>
      </c>
      <c r="V245" s="3">
        <v>100.28</v>
      </c>
      <c r="W245" s="29">
        <v>47.139099999999999</v>
      </c>
      <c r="X245" s="29">
        <v>44.472999999999999</v>
      </c>
      <c r="Y245" s="29">
        <v>46.289099999999998</v>
      </c>
      <c r="Z245" s="29">
        <v>49.118000000000002</v>
      </c>
      <c r="AA245" s="29">
        <v>49.2256</v>
      </c>
      <c r="AB245" s="29">
        <v>46.943800000000003</v>
      </c>
      <c r="AC245" s="29">
        <v>52.816099999999999</v>
      </c>
      <c r="AD245" s="29">
        <v>46.005800000000001</v>
      </c>
      <c r="AE245" s="29">
        <v>49.058799999999998</v>
      </c>
      <c r="AF245" s="29">
        <v>46.3491</v>
      </c>
      <c r="AG245" s="29">
        <v>49.842799999999997</v>
      </c>
      <c r="AH245" s="29">
        <v>50.093000000000004</v>
      </c>
      <c r="AI245" s="3">
        <v>43521.68</v>
      </c>
      <c r="AJ245" s="4">
        <v>116.342</v>
      </c>
      <c r="AK245" s="4">
        <v>115.461</v>
      </c>
      <c r="AL245" s="4">
        <v>111.264</v>
      </c>
      <c r="AM245" s="4">
        <v>120.08</v>
      </c>
      <c r="AN245" s="4">
        <v>123.76300000000001</v>
      </c>
      <c r="AO245" s="5">
        <v>602613941</v>
      </c>
      <c r="AP245" s="36">
        <v>111.76521099999999</v>
      </c>
      <c r="AQ245" s="6">
        <v>98.3</v>
      </c>
      <c r="AR245" s="3">
        <v>1950071.4538326743</v>
      </c>
      <c r="AS245" s="5">
        <v>1708</v>
      </c>
      <c r="AT245" s="5">
        <v>1115</v>
      </c>
      <c r="AU245" s="6">
        <v>46.5</v>
      </c>
      <c r="AV245" s="35">
        <v>87.841642528451885</v>
      </c>
      <c r="AW245" s="6">
        <v>48.6</v>
      </c>
    </row>
    <row r="246" spans="1:49" x14ac:dyDescent="0.25">
      <c r="A246" t="s">
        <v>401</v>
      </c>
      <c r="B246" s="2">
        <v>43861</v>
      </c>
      <c r="C246" s="3">
        <v>7.25</v>
      </c>
      <c r="D246" s="29">
        <v>6.7826000000000004</v>
      </c>
      <c r="E246" s="35">
        <v>87.019890000000004</v>
      </c>
      <c r="F246" s="29">
        <v>105.7931</v>
      </c>
      <c r="G246" s="29">
        <v>105.6579</v>
      </c>
      <c r="H246" s="29">
        <v>101.5971</v>
      </c>
      <c r="I246" s="29">
        <v>75.866</v>
      </c>
      <c r="J246" s="29">
        <v>117.5039</v>
      </c>
      <c r="K246" s="29">
        <v>98.886799999999994</v>
      </c>
      <c r="L246" s="29">
        <v>113.006</v>
      </c>
      <c r="M246" s="3">
        <v>3.72</v>
      </c>
      <c r="N246" s="3">
        <v>108.99</v>
      </c>
      <c r="O246" s="3">
        <v>100.25</v>
      </c>
      <c r="P246" s="29">
        <v>115.604</v>
      </c>
      <c r="Q246" s="29">
        <v>106.027</v>
      </c>
      <c r="R246" s="6">
        <v>39294.800000000003</v>
      </c>
      <c r="S246" s="6">
        <v>37440.6</v>
      </c>
      <c r="T246" s="3">
        <v>99.07</v>
      </c>
      <c r="U246" s="6">
        <v>44</v>
      </c>
      <c r="V246" s="3">
        <v>99.87</v>
      </c>
      <c r="W246" s="29">
        <v>48.989400000000003</v>
      </c>
      <c r="X246" s="29">
        <v>47.806699999999999</v>
      </c>
      <c r="Y246" s="29">
        <v>48.4651</v>
      </c>
      <c r="Z246" s="29">
        <v>50.2928</v>
      </c>
      <c r="AA246" s="29">
        <v>49.632300000000001</v>
      </c>
      <c r="AB246" s="29">
        <v>48.844999999999999</v>
      </c>
      <c r="AC246" s="29">
        <v>52.065100000000001</v>
      </c>
      <c r="AD246" s="29">
        <v>49.411799999999999</v>
      </c>
      <c r="AE246" s="29">
        <v>50.214199999999998</v>
      </c>
      <c r="AF246" s="29">
        <v>48.523800000000001</v>
      </c>
      <c r="AG246" s="29">
        <v>49.527900000000002</v>
      </c>
      <c r="AH246" s="29">
        <v>49.633800000000001</v>
      </c>
      <c r="AI246" s="3">
        <v>44878.73</v>
      </c>
      <c r="AJ246" s="4">
        <v>116.596</v>
      </c>
      <c r="AK246" s="4">
        <v>115.688</v>
      </c>
      <c r="AL246" s="4">
        <v>112.367</v>
      </c>
      <c r="AM246" s="4">
        <v>119.687</v>
      </c>
      <c r="AN246" s="4">
        <v>129.047</v>
      </c>
      <c r="AO246" s="5">
        <v>647907429</v>
      </c>
      <c r="AP246" s="36">
        <v>111.91956</v>
      </c>
      <c r="AQ246" s="6">
        <v>100.7</v>
      </c>
      <c r="AR246" s="3">
        <v>2003764.6932812489</v>
      </c>
      <c r="AS246" s="5">
        <v>1733</v>
      </c>
      <c r="AT246" s="5">
        <v>1260</v>
      </c>
      <c r="AU246" s="6">
        <v>49</v>
      </c>
      <c r="AV246" s="35">
        <v>45.682241857690443</v>
      </c>
      <c r="AW246" s="6">
        <v>49.9</v>
      </c>
    </row>
    <row r="247" spans="1:49" x14ac:dyDescent="0.25">
      <c r="A247" t="s">
        <v>402</v>
      </c>
      <c r="B247" s="2">
        <v>43890</v>
      </c>
      <c r="C247" s="3">
        <v>7</v>
      </c>
      <c r="D247" s="29">
        <v>6.5673000000000004</v>
      </c>
      <c r="E247" s="35">
        <v>87.687430000000006</v>
      </c>
      <c r="F247" s="29">
        <v>106.245</v>
      </c>
      <c r="G247" s="29">
        <v>105.8507</v>
      </c>
      <c r="H247" s="29">
        <v>101.1168</v>
      </c>
      <c r="I247" s="29">
        <v>75.126599999999996</v>
      </c>
      <c r="J247" s="29">
        <v>119.1293</v>
      </c>
      <c r="K247" s="29">
        <v>97.612799999999993</v>
      </c>
      <c r="L247" s="29">
        <v>112.39830000000001</v>
      </c>
      <c r="M247" s="3">
        <v>3.71</v>
      </c>
      <c r="N247" s="3">
        <v>109.09</v>
      </c>
      <c r="O247" s="3">
        <v>99.86</v>
      </c>
      <c r="P247" s="29">
        <v>114.6651</v>
      </c>
      <c r="Q247" s="29">
        <v>105.7684</v>
      </c>
      <c r="R247" s="6">
        <v>38000.9</v>
      </c>
      <c r="S247" s="6">
        <v>36616.5</v>
      </c>
      <c r="T247" s="3">
        <v>98.85</v>
      </c>
      <c r="U247" s="6">
        <v>43.8</v>
      </c>
      <c r="V247" s="3">
        <v>99.35</v>
      </c>
      <c r="W247" s="29">
        <v>49.966799999999999</v>
      </c>
      <c r="X247" s="29">
        <v>50.331899999999997</v>
      </c>
      <c r="Y247" s="29">
        <v>50.683399999999999</v>
      </c>
      <c r="Z247" s="29">
        <v>49.3889</v>
      </c>
      <c r="AA247" s="29">
        <v>50.724899999999998</v>
      </c>
      <c r="AB247" s="29">
        <v>49.0976</v>
      </c>
      <c r="AC247" s="29">
        <v>51.385300000000001</v>
      </c>
      <c r="AD247" s="29">
        <v>50.567900000000002</v>
      </c>
      <c r="AE247" s="29">
        <v>49.990299999999998</v>
      </c>
      <c r="AF247" s="29">
        <v>51.046199999999999</v>
      </c>
      <c r="AG247" s="29">
        <v>49.679299999999998</v>
      </c>
      <c r="AH247" s="29">
        <v>50.754199999999997</v>
      </c>
      <c r="AI247" s="3">
        <v>44230.84</v>
      </c>
      <c r="AJ247" s="4">
        <v>116.032</v>
      </c>
      <c r="AK247" s="4">
        <v>115.455</v>
      </c>
      <c r="AL247" s="4">
        <v>112.17</v>
      </c>
      <c r="AM247" s="4">
        <v>119.833</v>
      </c>
      <c r="AN247" s="4">
        <v>120.544</v>
      </c>
      <c r="AO247" s="5">
        <v>639710494</v>
      </c>
      <c r="AP247" s="36">
        <v>111.13733499999999</v>
      </c>
      <c r="AQ247" s="6">
        <v>97</v>
      </c>
      <c r="AR247" s="3">
        <v>2186350.0158567587</v>
      </c>
      <c r="AS247" s="5">
        <v>1727</v>
      </c>
      <c r="AT247" s="5">
        <v>1093</v>
      </c>
      <c r="AU247" s="6">
        <v>48.4</v>
      </c>
      <c r="AV247" s="35">
        <v>35.502217605091275</v>
      </c>
      <c r="AW247" s="6">
        <v>49.4</v>
      </c>
    </row>
    <row r="248" spans="1:49" x14ac:dyDescent="0.25">
      <c r="A248" t="s">
        <v>406</v>
      </c>
      <c r="B248" s="2">
        <v>43921</v>
      </c>
      <c r="C248" s="3">
        <v>6.5</v>
      </c>
      <c r="D248" s="29">
        <v>7.3023999999999996</v>
      </c>
      <c r="E248" s="35">
        <v>74.559179999999998</v>
      </c>
      <c r="F248" s="29">
        <v>106.22450000000001</v>
      </c>
      <c r="G248" s="29">
        <v>106.1174</v>
      </c>
      <c r="H248" s="29">
        <v>97.790499999999994</v>
      </c>
      <c r="I248" s="29">
        <v>74.659700000000001</v>
      </c>
      <c r="J248" s="29">
        <v>116.94759999999999</v>
      </c>
      <c r="K248" s="29">
        <v>96.184399999999997</v>
      </c>
      <c r="L248" s="29">
        <v>107.0733</v>
      </c>
      <c r="M248" s="3">
        <v>3.26</v>
      </c>
      <c r="N248" s="3">
        <v>108.41</v>
      </c>
      <c r="O248" s="3">
        <v>99.34</v>
      </c>
      <c r="P248" s="29">
        <v>113.7764</v>
      </c>
      <c r="Q248" s="29">
        <v>105.1238</v>
      </c>
      <c r="R248" s="6">
        <v>36535.599999999999</v>
      </c>
      <c r="S248" s="6">
        <v>34598.6</v>
      </c>
      <c r="T248" s="3">
        <v>98.59</v>
      </c>
      <c r="U248" s="6">
        <v>42.6</v>
      </c>
      <c r="V248" s="3">
        <v>98.75</v>
      </c>
      <c r="W248" s="29">
        <v>47.917000000000002</v>
      </c>
      <c r="X248" s="29">
        <v>46.948700000000002</v>
      </c>
      <c r="Y248" s="29">
        <v>45.460799999999999</v>
      </c>
      <c r="Z248" s="29">
        <v>49.162700000000001</v>
      </c>
      <c r="AA248" s="29">
        <v>47.563499999999998</v>
      </c>
      <c r="AB248" s="29">
        <v>48.435899999999997</v>
      </c>
      <c r="AC248" s="29">
        <v>52.022100000000002</v>
      </c>
      <c r="AD248" s="29">
        <v>49.638800000000003</v>
      </c>
      <c r="AE248" s="29">
        <v>49.6633</v>
      </c>
      <c r="AF248" s="29">
        <v>48.964599999999997</v>
      </c>
      <c r="AG248" s="29">
        <v>49.851300000000002</v>
      </c>
      <c r="AH248" s="29">
        <v>50.018799999999999</v>
      </c>
      <c r="AI248" s="3">
        <v>37457.620000000003</v>
      </c>
      <c r="AJ248" s="4">
        <v>113.304</v>
      </c>
      <c r="AK248" s="4">
        <v>113.399</v>
      </c>
      <c r="AL248" s="4">
        <v>112.63500000000001</v>
      </c>
      <c r="AM248" s="4">
        <v>113.291</v>
      </c>
      <c r="AN248" s="4">
        <v>109.69799999999999</v>
      </c>
      <c r="AO248" s="5">
        <v>687506319</v>
      </c>
      <c r="AP248" s="36">
        <v>109.736181</v>
      </c>
      <c r="AQ248" s="6">
        <v>94</v>
      </c>
      <c r="AR248" s="3">
        <v>1141929.3569973421</v>
      </c>
      <c r="AS248" s="5">
        <v>1747</v>
      </c>
      <c r="AT248" s="5">
        <v>1144</v>
      </c>
      <c r="AU248" s="6">
        <v>46</v>
      </c>
      <c r="AV248" s="35">
        <v>245.43390500635138</v>
      </c>
      <c r="AW248" s="6">
        <v>41.5</v>
      </c>
    </row>
    <row r="249" spans="1:49" x14ac:dyDescent="0.25">
      <c r="A249" t="s">
        <v>431</v>
      </c>
      <c r="B249" s="2">
        <v>43951</v>
      </c>
      <c r="C249" s="3">
        <v>6</v>
      </c>
      <c r="D249" s="29">
        <v>6.9939</v>
      </c>
      <c r="E249" s="35">
        <v>69.181790000000007</v>
      </c>
      <c r="F249" s="29">
        <v>105.5198</v>
      </c>
      <c r="G249" s="29">
        <v>106.4422</v>
      </c>
      <c r="H249" s="29">
        <v>73.139899999999997</v>
      </c>
      <c r="I249" s="29">
        <v>70.281800000000004</v>
      </c>
      <c r="J249" s="29">
        <v>115.8271</v>
      </c>
      <c r="K249" s="29">
        <v>64.680800000000005</v>
      </c>
      <c r="L249" s="29">
        <v>74.315700000000007</v>
      </c>
      <c r="M249" s="3">
        <v>4.72</v>
      </c>
      <c r="N249" s="3">
        <v>106.09</v>
      </c>
      <c r="O249" s="3">
        <v>98.82</v>
      </c>
      <c r="P249" s="29">
        <v>88.126900000000006</v>
      </c>
      <c r="Q249" s="29">
        <v>86.031899999999993</v>
      </c>
      <c r="R249" s="6">
        <v>23051.8</v>
      </c>
      <c r="S249" s="6">
        <v>27227.3</v>
      </c>
      <c r="T249" s="3">
        <v>90.83</v>
      </c>
      <c r="U249" s="6"/>
      <c r="V249" s="3">
        <v>98.15</v>
      </c>
      <c r="W249" s="29">
        <v>35.033099999999997</v>
      </c>
      <c r="X249" s="29">
        <v>29.671199999999999</v>
      </c>
      <c r="Y249" s="29">
        <v>27.699000000000002</v>
      </c>
      <c r="Z249" s="29">
        <v>34.190399999999997</v>
      </c>
      <c r="AA249" s="29">
        <v>37.136699999999998</v>
      </c>
      <c r="AB249" s="29">
        <v>30.3797</v>
      </c>
      <c r="AC249" s="29">
        <v>45.805900000000001</v>
      </c>
      <c r="AD249" s="29">
        <v>29.182500000000001</v>
      </c>
      <c r="AE249" s="29">
        <v>47.040599999999998</v>
      </c>
      <c r="AF249" s="29">
        <v>30.798999999999999</v>
      </c>
      <c r="AG249" s="29">
        <v>43.712899999999998</v>
      </c>
      <c r="AH249" s="29">
        <v>36.846699999999998</v>
      </c>
      <c r="AI249" s="3">
        <v>34555.57</v>
      </c>
      <c r="AJ249" s="4">
        <v>91.004000000000005</v>
      </c>
      <c r="AK249" s="4">
        <v>91.712999999999994</v>
      </c>
      <c r="AL249" s="4">
        <v>90.007000000000005</v>
      </c>
      <c r="AM249" s="4">
        <v>93.091999999999999</v>
      </c>
      <c r="AN249" s="4">
        <v>86.281000000000006</v>
      </c>
      <c r="AO249" s="5">
        <v>389872464</v>
      </c>
      <c r="AP249" s="36">
        <v>90.793462000000005</v>
      </c>
      <c r="AQ249" s="6">
        <v>66.8</v>
      </c>
      <c r="AR249" s="3">
        <v>133420.18409597297</v>
      </c>
      <c r="AS249" s="5">
        <v>1716</v>
      </c>
      <c r="AT249" s="5">
        <v>1178</v>
      </c>
      <c r="AU249" s="6">
        <v>41.5</v>
      </c>
      <c r="AV249" s="35">
        <v>182.68365398343687</v>
      </c>
      <c r="AW249" s="6">
        <v>39.4</v>
      </c>
    </row>
    <row r="250" spans="1:49" x14ac:dyDescent="0.25">
      <c r="A250" t="s">
        <v>432</v>
      </c>
      <c r="B250" s="2">
        <v>43982</v>
      </c>
      <c r="C250" s="3">
        <v>5.5</v>
      </c>
      <c r="D250" s="29">
        <v>6.1372</v>
      </c>
      <c r="E250" s="35">
        <v>71.568160000000006</v>
      </c>
      <c r="F250" s="29">
        <v>106.58669999999999</v>
      </c>
      <c r="G250" s="29">
        <v>106.87739999999999</v>
      </c>
      <c r="H250" s="29">
        <v>71.789199999999994</v>
      </c>
      <c r="I250" s="29">
        <v>68.180199999999999</v>
      </c>
      <c r="J250" s="29">
        <v>104.0667</v>
      </c>
      <c r="K250" s="29">
        <v>63.811799999999998</v>
      </c>
      <c r="L250" s="29">
        <v>74.076400000000007</v>
      </c>
      <c r="M250" s="3">
        <v>4.22</v>
      </c>
      <c r="N250" s="3">
        <v>103.77</v>
      </c>
      <c r="O250" s="3">
        <v>98.39</v>
      </c>
      <c r="P250" s="29">
        <v>88.808499999999995</v>
      </c>
      <c r="Q250" s="29">
        <v>81.619799999999998</v>
      </c>
      <c r="R250" s="6">
        <v>18042.099999999999</v>
      </c>
      <c r="S250" s="6">
        <v>22136.1</v>
      </c>
      <c r="T250" s="3"/>
      <c r="U250" s="6"/>
      <c r="V250" s="3">
        <v>97.67</v>
      </c>
      <c r="W250" s="29">
        <v>38.314</v>
      </c>
      <c r="X250" s="29">
        <v>34.247700000000002</v>
      </c>
      <c r="Y250" s="29">
        <v>32.824300000000001</v>
      </c>
      <c r="Z250" s="29">
        <v>35.690899999999999</v>
      </c>
      <c r="AA250" s="29">
        <v>37.546199999999999</v>
      </c>
      <c r="AB250" s="29">
        <v>33.985300000000002</v>
      </c>
      <c r="AC250" s="29">
        <v>47.639200000000002</v>
      </c>
      <c r="AD250" s="29">
        <v>34.989400000000003</v>
      </c>
      <c r="AE250" s="29">
        <v>42.978700000000003</v>
      </c>
      <c r="AF250" s="29">
        <v>34.201599999999999</v>
      </c>
      <c r="AG250" s="29">
        <v>44.2622</v>
      </c>
      <c r="AH250" s="29">
        <v>37.223399999999998</v>
      </c>
      <c r="AI250" s="3">
        <v>36478.54</v>
      </c>
      <c r="AO250" s="5">
        <v>393582130</v>
      </c>
      <c r="AP250" s="36">
        <v>88.414124999999999</v>
      </c>
      <c r="AR250" s="3">
        <v>183837.10074400686</v>
      </c>
      <c r="AS250" s="5">
        <v>1628</v>
      </c>
      <c r="AT250" s="5">
        <v>1062</v>
      </c>
      <c r="AU250" s="6">
        <v>39.1</v>
      </c>
      <c r="AV250" s="35">
        <v>139.4180060266774</v>
      </c>
      <c r="AW250" s="6">
        <v>39.4</v>
      </c>
    </row>
    <row r="251" spans="1:49" x14ac:dyDescent="0.25">
      <c r="A251" t="s">
        <v>433</v>
      </c>
      <c r="B251" s="2">
        <v>44012</v>
      </c>
      <c r="C251" s="3">
        <v>5</v>
      </c>
      <c r="D251" s="29">
        <v>6.0030000000000001</v>
      </c>
      <c r="E251" s="35">
        <v>75.033010000000004</v>
      </c>
      <c r="F251" s="29">
        <v>107.3229</v>
      </c>
      <c r="G251" s="29">
        <v>107.3086</v>
      </c>
      <c r="R251" s="6">
        <v>31677.1</v>
      </c>
      <c r="S251" s="6">
        <v>27058.3</v>
      </c>
      <c r="T251" s="3"/>
      <c r="V251" s="3">
        <v>97.31</v>
      </c>
      <c r="W251" s="29">
        <v>38.564599999999999</v>
      </c>
      <c r="X251" s="29">
        <v>34.111600000000003</v>
      </c>
      <c r="Y251" s="29">
        <v>33.874200000000002</v>
      </c>
      <c r="Z251" s="29">
        <v>36.792000000000002</v>
      </c>
      <c r="AA251" s="29">
        <v>40.166800000000002</v>
      </c>
      <c r="AB251" s="29">
        <v>35.410800000000002</v>
      </c>
      <c r="AC251" s="29">
        <v>47.574100000000001</v>
      </c>
      <c r="AD251" s="29">
        <v>33.971899999999998</v>
      </c>
      <c r="AE251" s="29">
        <v>40.090899999999998</v>
      </c>
      <c r="AF251" s="29">
        <v>36.122700000000002</v>
      </c>
      <c r="AG251" s="29">
        <v>44.1267</v>
      </c>
      <c r="AH251" s="29">
        <v>39.304699999999997</v>
      </c>
      <c r="AI251" s="3">
        <v>37982.400000000001</v>
      </c>
      <c r="AU251" s="6">
        <v>46.2</v>
      </c>
      <c r="AW251" s="6">
        <v>44.2</v>
      </c>
    </row>
  </sheetData>
  <hyperlinks>
    <hyperlink ref="Y2" r:id="rId1" display="S542M@MKTPMI" xr:uid="{C2169CCB-9337-4578-BD56-D446C409CE06}"/>
    <hyperlink ref="N2" r:id="rId2" display="H542EM@EMERGEPR" xr:uid="{9CC5C1C5-27D3-4A3B-A0C2-1B22AB1F3AC0}"/>
    <hyperlink ref="R2" r:id="rId3" display="H542IX@EMERGEPR" xr:uid="{385E7281-F949-4602-A183-3EBD80410569}"/>
    <hyperlink ref="S2" r:id="rId4" display="H542IM@EMERGEPR" xr:uid="{43F154BC-C7F4-4E95-88A1-167B5B87D791}"/>
    <hyperlink ref="AE2" r:id="rId5" display="S542TS26@EMERGEPR" xr:uid="{3F9E4F65-0272-427F-AEBE-E38A31C681BB}"/>
    <hyperlink ref="AD2" r:id="rId6" display="S542TSM@EMERGEPR" xr:uid="{C51BD480-FD44-4C25-AB06-82C2D771BA60}"/>
    <hyperlink ref="AF2" r:id="rId7" display="S542S26S@EMERGEPR" xr:uid="{F033739F-6D56-41C9-9497-B19CCE30AEE3}"/>
    <hyperlink ref="AG2" r:id="rId8" display="H542VLD@EMERGEPR" xr:uid="{D840E8C1-8BF6-4E43-90E2-564C4D2EDBBA}"/>
    <hyperlink ref="AH2" r:id="rId9" display="H542VLCC@EMERGEPR" xr:uid="{ABE81472-350C-4477-92E9-0595F8BB4A0F}"/>
    <hyperlink ref="V2" r:id="rId10" display="JPEWSSC@JAPAN" xr:uid="{E89C8985-4748-4613-817B-2805EC7E9847}"/>
    <hyperlink ref="O2" r:id="rId11" display="JPEWSSF@JAPAN" xr:uid="{B780A8CE-FAD8-430F-A372-8BF93814B01E}"/>
    <hyperlink ref="AI2" r:id="rId12" display="SM225@JAPAN" xr:uid="{5FEE672C-B00A-48D2-A466-7A2CB285E9F3}"/>
    <hyperlink ref="G2" r:id="rId13" display="H542PCXG@EMERGEPR" xr:uid="{CB711CA3-921D-4146-9E79-163E86665380}"/>
    <hyperlink ref="E2" r:id="rId14" display="N542XJCB@EMERGEPR" xr:uid="{307D28AD-9148-4D49-8EBF-AA8F0AF86EBC}"/>
    <hyperlink ref="F2" r:id="rId15" display="H542PC@EMERGEPR" xr:uid="{1F8B2DEC-5FC1-4CBF-91E4-03A2F62849F4}"/>
    <hyperlink ref="J2" r:id="rId16" xr:uid="{CA9469EF-3EB1-43B0-A90C-99B8B7E2FA8D}"/>
  </hyperlinks>
  <pageMargins left="0.7" right="0.7" top="0.75" bottom="0.75" header="0.3" footer="0.3"/>
  <pageSetup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157D-E9A8-43EB-9400-32490265A7AD}">
  <sheetPr codeName="Sheet3">
    <tabColor rgb="FFFFC000"/>
  </sheetPr>
  <dimension ref="A1:Q89"/>
  <sheetViews>
    <sheetView workbookViewId="0">
      <pane xSplit="2" ySplit="5" topLeftCell="C77" activePane="bottomRight" state="frozen"/>
      <selection pane="topRight" activeCell="C1" sqref="C1"/>
      <selection pane="bottomLeft" activeCell="A6" sqref="A6"/>
      <selection pane="bottomRight" activeCell="J91" sqref="J91"/>
    </sheetView>
  </sheetViews>
  <sheetFormatPr defaultRowHeight="15" x14ac:dyDescent="0.25"/>
  <cols>
    <col min="3" max="10" width="12.7109375" customWidth="1"/>
    <col min="11" max="11" width="12.7109375" style="3" customWidth="1"/>
  </cols>
  <sheetData>
    <row r="1" spans="1:17" x14ac:dyDescent="0.25">
      <c r="C1" t="s">
        <v>361</v>
      </c>
      <c r="E1" t="s">
        <v>379</v>
      </c>
      <c r="F1" t="s">
        <v>380</v>
      </c>
      <c r="H1" t="s">
        <v>381</v>
      </c>
      <c r="I1" t="s">
        <v>382</v>
      </c>
      <c r="J1" t="s">
        <v>383</v>
      </c>
      <c r="K1" s="3" t="s">
        <v>378</v>
      </c>
    </row>
    <row r="2" spans="1:17" x14ac:dyDescent="0.25">
      <c r="A2" s="1" t="s">
        <v>283</v>
      </c>
      <c r="B2" s="1" t="s">
        <v>1</v>
      </c>
      <c r="C2" s="33" t="s">
        <v>533</v>
      </c>
      <c r="D2" s="8" t="s">
        <v>535</v>
      </c>
      <c r="E2" s="8" t="s">
        <v>536</v>
      </c>
      <c r="F2" s="8" t="s">
        <v>537</v>
      </c>
      <c r="G2" s="8" t="s">
        <v>538</v>
      </c>
      <c r="H2" s="8" t="s">
        <v>539</v>
      </c>
      <c r="I2" s="8" t="s">
        <v>540</v>
      </c>
      <c r="J2" s="8" t="s">
        <v>541</v>
      </c>
      <c r="M2" s="34"/>
      <c r="N2" s="34"/>
      <c r="O2" s="34"/>
      <c r="P2" s="34"/>
      <c r="Q2" s="34"/>
    </row>
    <row r="3" spans="1:17" ht="102.75" x14ac:dyDescent="0.25">
      <c r="A3" t="s">
        <v>5</v>
      </c>
      <c r="C3" s="27" t="s">
        <v>534</v>
      </c>
      <c r="D3" s="27" t="s">
        <v>542</v>
      </c>
      <c r="E3" s="27" t="s">
        <v>543</v>
      </c>
      <c r="F3" s="27" t="s">
        <v>544</v>
      </c>
      <c r="G3" s="27" t="s">
        <v>545</v>
      </c>
      <c r="H3" s="27" t="s">
        <v>546</v>
      </c>
      <c r="I3" s="27" t="s">
        <v>547</v>
      </c>
      <c r="J3" s="27" t="s">
        <v>548</v>
      </c>
      <c r="L3" s="27"/>
      <c r="M3" s="27"/>
      <c r="N3" s="27"/>
      <c r="O3" s="27"/>
      <c r="P3" s="27"/>
    </row>
    <row r="4" spans="1:17" x14ac:dyDescent="0.25">
      <c r="A4" t="s">
        <v>4</v>
      </c>
      <c r="C4" t="s">
        <v>391</v>
      </c>
      <c r="D4" t="s">
        <v>532</v>
      </c>
      <c r="E4" t="s">
        <v>532</v>
      </c>
      <c r="F4" t="s">
        <v>532</v>
      </c>
      <c r="G4" t="s">
        <v>532</v>
      </c>
      <c r="H4" t="s">
        <v>532</v>
      </c>
      <c r="I4" t="s">
        <v>532</v>
      </c>
      <c r="J4" t="s">
        <v>532</v>
      </c>
    </row>
    <row r="5" spans="1:17" x14ac:dyDescent="0.25">
      <c r="A5" t="s">
        <v>3</v>
      </c>
      <c r="C5" t="s">
        <v>403</v>
      </c>
      <c r="D5" t="s">
        <v>403</v>
      </c>
      <c r="E5" t="s">
        <v>403</v>
      </c>
      <c r="F5" t="s">
        <v>403</v>
      </c>
      <c r="G5" t="s">
        <v>403</v>
      </c>
      <c r="H5" t="s">
        <v>403</v>
      </c>
      <c r="I5" t="s">
        <v>403</v>
      </c>
      <c r="J5" t="s">
        <v>403</v>
      </c>
    </row>
    <row r="6" spans="1:17" x14ac:dyDescent="0.25">
      <c r="A6" t="s">
        <v>284</v>
      </c>
      <c r="B6" s="2">
        <v>36616</v>
      </c>
      <c r="C6" s="7">
        <v>7.8908208342084007E-2</v>
      </c>
      <c r="D6" s="7">
        <v>9.6133268252002413E-2</v>
      </c>
      <c r="E6" s="7">
        <v>0.12149991758068367</v>
      </c>
      <c r="F6" s="7">
        <v>9.6004587958696805E-2</v>
      </c>
      <c r="G6" s="7">
        <v>4.4602790624702626E-2</v>
      </c>
      <c r="H6" s="7">
        <v>0.1407991602476133</v>
      </c>
      <c r="I6" s="7">
        <v>0.17042392346403701</v>
      </c>
      <c r="J6" s="7">
        <v>0.27546330239491734</v>
      </c>
      <c r="K6" s="3">
        <v>5.3384294616773893</v>
      </c>
      <c r="L6" s="5"/>
      <c r="M6" s="6"/>
      <c r="N6" s="6"/>
      <c r="O6" s="3"/>
      <c r="P6" s="3"/>
    </row>
    <row r="7" spans="1:17" x14ac:dyDescent="0.25">
      <c r="A7" t="s">
        <v>285</v>
      </c>
      <c r="B7" s="2">
        <v>36707</v>
      </c>
      <c r="C7" s="7">
        <v>6.2703482785712028E-2</v>
      </c>
      <c r="D7" s="7">
        <v>7.3046383886484323E-2</v>
      </c>
      <c r="E7" s="7">
        <v>-2.0346867472851859E-2</v>
      </c>
      <c r="F7" s="7">
        <v>8.8398814353045196E-2</v>
      </c>
      <c r="G7" s="7">
        <v>3.6853634860352313E-2</v>
      </c>
      <c r="H7" s="7">
        <v>5.769600478942194E-2</v>
      </c>
      <c r="I7" s="7">
        <v>0.12937206705230619</v>
      </c>
      <c r="J7" s="7">
        <v>0.12211141016630966</v>
      </c>
      <c r="K7" s="3">
        <v>5.0314880030240685</v>
      </c>
      <c r="L7" s="5"/>
      <c r="M7" s="6"/>
      <c r="N7" s="6"/>
      <c r="O7" s="3"/>
      <c r="P7" s="3"/>
    </row>
    <row r="8" spans="1:17" x14ac:dyDescent="0.25">
      <c r="A8" t="s">
        <v>286</v>
      </c>
      <c r="B8" s="2">
        <v>36799</v>
      </c>
      <c r="C8" s="7">
        <v>3.1479804442387627E-2</v>
      </c>
      <c r="D8" s="7">
        <v>6.065706735741716E-2</v>
      </c>
      <c r="E8" s="7">
        <v>2.6588306564025999E-3</v>
      </c>
      <c r="F8" s="7">
        <v>7.2302863000684781E-2</v>
      </c>
      <c r="G8" s="7">
        <v>-0.61591444588890643</v>
      </c>
      <c r="H8" s="7">
        <v>-1.6482028820336336E-2</v>
      </c>
      <c r="I8" s="7">
        <v>0.12589966478604042</v>
      </c>
      <c r="J8" s="7">
        <v>0.3063463683060752</v>
      </c>
      <c r="K8" s="3">
        <v>3.1388242329642608</v>
      </c>
      <c r="L8" s="5"/>
      <c r="M8" s="6"/>
      <c r="N8" s="6"/>
      <c r="O8" s="3"/>
      <c r="P8" s="3"/>
    </row>
    <row r="9" spans="1:17" x14ac:dyDescent="0.25">
      <c r="A9" t="s">
        <v>287</v>
      </c>
      <c r="B9" s="2">
        <v>36891</v>
      </c>
      <c r="C9" s="7">
        <v>-2.6232725504108378E-2</v>
      </c>
      <c r="D9" s="7">
        <v>3.3403462600487988E-2</v>
      </c>
      <c r="E9" s="7">
        <v>-2.4271569736637799E-2</v>
      </c>
      <c r="F9" s="7">
        <v>4.4443038414261116E-2</v>
      </c>
      <c r="G9" s="7">
        <v>-0.69108115463855468</v>
      </c>
      <c r="H9" s="7">
        <v>-9.1565593718547542E-2</v>
      </c>
      <c r="I9" s="7">
        <v>5.4053264494375641E-2</v>
      </c>
      <c r="J9" s="7">
        <v>3.7157616434889462E-2</v>
      </c>
      <c r="K9" s="3">
        <v>2.8316189682368607</v>
      </c>
      <c r="L9" s="5"/>
      <c r="M9" s="6"/>
      <c r="N9" s="6"/>
      <c r="O9" s="3"/>
      <c r="P9" s="3"/>
    </row>
    <row r="10" spans="1:17" x14ac:dyDescent="0.25">
      <c r="A10" t="s">
        <v>288</v>
      </c>
      <c r="B10" s="2">
        <v>36981</v>
      </c>
      <c r="C10" s="7">
        <v>2.7616649816875061E-3</v>
      </c>
      <c r="D10" s="7">
        <v>-1.6846107044887315E-2</v>
      </c>
      <c r="E10" s="7">
        <v>-9.1291940038500594E-2</v>
      </c>
      <c r="F10" s="7">
        <v>2.0262782892135345E-3</v>
      </c>
      <c r="G10" s="7">
        <v>1.598197317835818</v>
      </c>
      <c r="H10" s="7">
        <v>-0.15457790999630483</v>
      </c>
      <c r="I10" s="7">
        <v>-6.2618243969648768E-2</v>
      </c>
      <c r="J10" s="7">
        <v>-8.9709199737056058E-2</v>
      </c>
      <c r="K10" s="3">
        <v>1.8286258170815333</v>
      </c>
      <c r="L10" s="5"/>
      <c r="M10" s="6"/>
      <c r="N10" s="6"/>
      <c r="O10" s="3"/>
      <c r="P10" s="3"/>
    </row>
    <row r="11" spans="1:17" x14ac:dyDescent="0.25">
      <c r="A11" t="s">
        <v>289</v>
      </c>
      <c r="B11" s="2">
        <v>37072</v>
      </c>
      <c r="C11" s="7">
        <v>-2.1975884833202564E-2</v>
      </c>
      <c r="D11" s="7">
        <v>6.4594971048108629E-3</v>
      </c>
      <c r="E11" s="7">
        <v>-7.1002921046450229E-3</v>
      </c>
      <c r="F11" s="7">
        <v>5.9673562166868699E-3</v>
      </c>
      <c r="G11" s="7">
        <v>-0.67361092078125684</v>
      </c>
      <c r="H11" s="7">
        <v>-0.12513230244736062</v>
      </c>
      <c r="I11" s="7">
        <v>-1.8460077302131506E-2</v>
      </c>
      <c r="J11" s="7">
        <v>-8.156603041130206E-2</v>
      </c>
      <c r="K11" s="3">
        <v>1.9835864009062227</v>
      </c>
      <c r="L11" s="5"/>
      <c r="M11" s="6"/>
      <c r="N11" s="6"/>
      <c r="O11" s="3"/>
      <c r="P11" s="3"/>
    </row>
    <row r="12" spans="1:17" x14ac:dyDescent="0.25">
      <c r="A12" t="s">
        <v>290</v>
      </c>
      <c r="B12" s="2">
        <v>37164</v>
      </c>
      <c r="C12" s="7">
        <v>1.0251254169375557E-3</v>
      </c>
      <c r="D12" s="7">
        <v>1.4354558754647861E-2</v>
      </c>
      <c r="E12" s="7">
        <v>2.6648864221695767E-2</v>
      </c>
      <c r="F12" s="7">
        <v>1.0978292072658657E-2</v>
      </c>
      <c r="G12" s="7">
        <v>-0.17817913654237791</v>
      </c>
      <c r="H12" s="7">
        <v>9.5745719726284761E-2</v>
      </c>
      <c r="I12" s="7">
        <v>-0.11416182680370192</v>
      </c>
      <c r="J12" s="7">
        <v>-8.4257529625062833E-2</v>
      </c>
      <c r="K12" s="3">
        <v>0.8884061635676046</v>
      </c>
      <c r="L12" s="5"/>
      <c r="M12" s="6"/>
      <c r="N12" s="6"/>
      <c r="O12" s="3"/>
      <c r="P12" s="3"/>
    </row>
    <row r="13" spans="1:17" x14ac:dyDescent="0.25">
      <c r="A13" t="s">
        <v>291</v>
      </c>
      <c r="B13" s="2">
        <v>37256</v>
      </c>
      <c r="C13" s="7">
        <v>-1.8571057826851423E-2</v>
      </c>
      <c r="D13" s="7">
        <v>2.4150839985674688E-2</v>
      </c>
      <c r="E13" s="7">
        <v>-1.2273664954420838E-3</v>
      </c>
      <c r="F13" s="7">
        <v>2.938399419998583E-2</v>
      </c>
      <c r="G13" s="7">
        <v>-0.74355977846700028</v>
      </c>
      <c r="H13" s="7">
        <v>-4.9084195200509322E-2</v>
      </c>
      <c r="I13" s="7">
        <v>-3.3634966602026806E-2</v>
      </c>
      <c r="J13" s="7">
        <v>1.7544009603792432E-2</v>
      </c>
      <c r="K13" s="3">
        <v>1.8425459081979245</v>
      </c>
      <c r="L13" s="5"/>
      <c r="M13" s="6"/>
      <c r="N13" s="6"/>
      <c r="O13" s="3"/>
      <c r="P13" s="3"/>
    </row>
    <row r="14" spans="1:17" x14ac:dyDescent="0.25">
      <c r="A14" t="s">
        <v>292</v>
      </c>
      <c r="B14" s="2">
        <v>37346</v>
      </c>
      <c r="C14" s="7">
        <v>-2.6226080394816775E-2</v>
      </c>
      <c r="D14" s="7">
        <v>6.0969933826138245E-3</v>
      </c>
      <c r="E14" s="7">
        <v>-2.7802237888967518E-3</v>
      </c>
      <c r="F14" s="7">
        <v>1.096482340874827E-2</v>
      </c>
      <c r="G14" s="7">
        <v>-0.76102295355942118</v>
      </c>
      <c r="H14" s="7">
        <v>-0.1053326668507417</v>
      </c>
      <c r="I14" s="7">
        <v>4.0465530111774894E-2</v>
      </c>
      <c r="J14" s="7">
        <v>8.4662852195556138E-2</v>
      </c>
      <c r="K14" s="3">
        <v>3.3692313686919055</v>
      </c>
      <c r="L14" s="5"/>
      <c r="M14" s="6"/>
      <c r="N14" s="6"/>
      <c r="O14" s="3"/>
      <c r="P14" s="3"/>
    </row>
    <row r="15" spans="1:17" x14ac:dyDescent="0.25">
      <c r="A15" t="s">
        <v>293</v>
      </c>
      <c r="B15" s="2">
        <v>37437</v>
      </c>
      <c r="C15" s="7">
        <v>3.6368635816856232E-2</v>
      </c>
      <c r="D15" s="7">
        <v>3.3474101883238516E-2</v>
      </c>
      <c r="E15" s="7">
        <v>-1.8608150322604211E-2</v>
      </c>
      <c r="F15" s="7">
        <v>4.0853518118378673E-2</v>
      </c>
      <c r="G15" s="7">
        <v>136.15934028954308</v>
      </c>
      <c r="H15" s="7">
        <v>3.4664388665504475E-2</v>
      </c>
      <c r="I15" s="7">
        <v>5.6535939048586448E-2</v>
      </c>
      <c r="J15" s="7">
        <v>0.10651387330790918</v>
      </c>
      <c r="K15" s="3">
        <v>4.3446295570929898</v>
      </c>
      <c r="L15" s="5"/>
      <c r="M15" s="6"/>
      <c r="N15" s="6"/>
      <c r="O15" s="3"/>
      <c r="P15" s="3"/>
    </row>
    <row r="16" spans="1:17" x14ac:dyDescent="0.25">
      <c r="A16" t="s">
        <v>294</v>
      </c>
      <c r="B16" s="2">
        <v>37529</v>
      </c>
      <c r="C16" s="7">
        <v>2.7976815814278799E-2</v>
      </c>
      <c r="D16" s="7">
        <v>1.1859252602234305E-2</v>
      </c>
      <c r="E16" s="7">
        <v>4.9431331088257702E-2</v>
      </c>
      <c r="F16" s="7">
        <v>3.6862306882630147E-3</v>
      </c>
      <c r="G16" s="7">
        <v>1.3022546248917997</v>
      </c>
      <c r="H16" s="7">
        <v>4.9917225412050126E-2</v>
      </c>
      <c r="I16" s="7">
        <v>4.9356051398758316E-2</v>
      </c>
      <c r="J16" s="7">
        <v>1.0177188115283897E-2</v>
      </c>
      <c r="K16" s="3">
        <v>3.4716420664565795</v>
      </c>
      <c r="L16" s="5"/>
      <c r="M16" s="6"/>
      <c r="N16" s="6"/>
      <c r="O16" s="3"/>
      <c r="P16" s="3"/>
    </row>
    <row r="17" spans="1:16" x14ac:dyDescent="0.25">
      <c r="A17" t="s">
        <v>295</v>
      </c>
      <c r="B17" s="2">
        <v>37621</v>
      </c>
      <c r="C17" s="7">
        <v>1.2533260203029251E-2</v>
      </c>
      <c r="D17" s="7">
        <v>-1.8626536422711726E-2</v>
      </c>
      <c r="E17" s="7">
        <v>-1.5509685360172498E-2</v>
      </c>
      <c r="F17" s="7">
        <v>-1.7693341121183703E-2</v>
      </c>
      <c r="G17" s="7">
        <v>-0.75578781088703195</v>
      </c>
      <c r="H17" s="7">
        <v>-5.0157728013836556E-3</v>
      </c>
      <c r="I17" s="7">
        <v>6.9513694720848562E-3</v>
      </c>
      <c r="J17" s="7">
        <v>-0.22869353288895911</v>
      </c>
      <c r="K17" s="3">
        <v>2.4451578194654009</v>
      </c>
      <c r="L17" s="5"/>
      <c r="M17" s="6"/>
      <c r="N17" s="6"/>
      <c r="O17" s="3"/>
      <c r="P17" s="3"/>
    </row>
    <row r="18" spans="1:16" x14ac:dyDescent="0.25">
      <c r="A18" t="s">
        <v>296</v>
      </c>
      <c r="B18" s="2">
        <v>37711</v>
      </c>
      <c r="C18" s="7">
        <v>8.5577979142970051E-3</v>
      </c>
      <c r="D18" s="7">
        <v>5.743390030099027E-2</v>
      </c>
      <c r="E18" s="7">
        <v>1.2483729076002037E-2</v>
      </c>
      <c r="F18" s="7">
        <v>6.7851106610389289E-2</v>
      </c>
      <c r="G18" s="7">
        <v>7.0086690920869703</v>
      </c>
      <c r="H18" s="7">
        <v>2.5068334101223888E-2</v>
      </c>
      <c r="I18" s="7">
        <v>-6.3373701570467844E-2</v>
      </c>
      <c r="J18" s="7">
        <v>0.62327795125592833</v>
      </c>
      <c r="K18" s="3">
        <v>2.9898158398715742</v>
      </c>
      <c r="L18" s="5"/>
      <c r="M18" s="6"/>
      <c r="N18" s="6"/>
      <c r="O18" s="3"/>
      <c r="P18" s="3"/>
    </row>
    <row r="19" spans="1:16" x14ac:dyDescent="0.25">
      <c r="A19" t="s">
        <v>297</v>
      </c>
      <c r="B19" s="2">
        <v>37802</v>
      </c>
      <c r="C19" s="7">
        <v>9.9502606882264644E-3</v>
      </c>
      <c r="D19" s="7">
        <v>2.9903585862030013E-3</v>
      </c>
      <c r="E19" s="7">
        <v>2.7935094705248797E-2</v>
      </c>
      <c r="F19" s="7">
        <v>-3.6480916880016201E-3</v>
      </c>
      <c r="G19" s="7">
        <v>-0.89360542828751166</v>
      </c>
      <c r="H19" s="7">
        <v>-1.8512555537164577E-3</v>
      </c>
      <c r="I19" s="7">
        <v>-1.9864146951938388E-2</v>
      </c>
      <c r="J19" s="7">
        <v>-0.23294279017093744</v>
      </c>
      <c r="K19" s="3">
        <v>2.7005226841632526</v>
      </c>
      <c r="L19" s="5"/>
      <c r="M19" s="6"/>
      <c r="N19" s="6"/>
      <c r="O19" s="3"/>
      <c r="P19" s="3"/>
    </row>
    <row r="20" spans="1:16" x14ac:dyDescent="0.25">
      <c r="A20" t="s">
        <v>298</v>
      </c>
      <c r="B20" s="2">
        <v>37894</v>
      </c>
      <c r="C20" s="7">
        <v>-2.1860671535078868E-4</v>
      </c>
      <c r="D20" s="7">
        <v>9.0021704699019267E-3</v>
      </c>
      <c r="E20" s="7">
        <v>-9.0393230478833519E-2</v>
      </c>
      <c r="F20" s="7">
        <v>2.6484979346363069E-2</v>
      </c>
      <c r="G20" s="7">
        <v>-0.68317100806171704</v>
      </c>
      <c r="H20" s="7">
        <v>-2.9877614158485666E-2</v>
      </c>
      <c r="I20" s="7">
        <v>0.19248857237791839</v>
      </c>
      <c r="J20" s="7">
        <v>-1.7492611168808292E-2</v>
      </c>
      <c r="K20" s="3">
        <v>6.3961061004274287</v>
      </c>
      <c r="L20" s="5"/>
      <c r="M20" s="6"/>
      <c r="N20" s="6"/>
      <c r="O20" s="3"/>
      <c r="P20" s="3"/>
    </row>
    <row r="21" spans="1:16" x14ac:dyDescent="0.25">
      <c r="A21" t="s">
        <v>299</v>
      </c>
      <c r="B21" s="2">
        <v>37986</v>
      </c>
      <c r="C21" s="7">
        <v>4.2529079112158419E-2</v>
      </c>
      <c r="D21" s="7">
        <v>4.7445556695183244E-2</v>
      </c>
      <c r="E21" s="7">
        <v>-1.5832335185890223E-3</v>
      </c>
      <c r="F21" s="7">
        <v>5.8488371153960106E-2</v>
      </c>
      <c r="G21" s="7">
        <v>4.7471535846862638</v>
      </c>
      <c r="H21" s="7">
        <v>1.6111657105109201E-2</v>
      </c>
      <c r="I21" s="7">
        <v>9.7737671478219004E-2</v>
      </c>
      <c r="J21" s="7">
        <v>-3.7723282981212636E-2</v>
      </c>
      <c r="K21" s="3">
        <v>6.1926394791764041</v>
      </c>
      <c r="L21" s="5"/>
      <c r="M21" s="6"/>
      <c r="N21" s="6"/>
      <c r="O21" s="3"/>
      <c r="P21" s="3"/>
    </row>
    <row r="22" spans="1:16" x14ac:dyDescent="0.25">
      <c r="A22" t="s">
        <v>300</v>
      </c>
      <c r="B22" s="2">
        <v>38077</v>
      </c>
      <c r="C22" s="7">
        <v>5.5091797657793151E-2</v>
      </c>
      <c r="D22" s="7">
        <v>2.718653371413593E-2</v>
      </c>
      <c r="E22" s="7">
        <v>1.1743094167108614E-2</v>
      </c>
      <c r="F22" s="7">
        <v>3.3028679134544658E-2</v>
      </c>
      <c r="G22" s="7">
        <v>0.67204774207984386</v>
      </c>
      <c r="H22" s="7">
        <v>0.21930751121548256</v>
      </c>
      <c r="I22" s="7">
        <v>0.13719500491776637</v>
      </c>
      <c r="J22" s="7">
        <v>0.12166751779827421</v>
      </c>
      <c r="K22" s="3">
        <v>4.1882745849781395</v>
      </c>
      <c r="L22" s="5"/>
      <c r="M22" s="6"/>
      <c r="N22" s="6"/>
      <c r="O22" s="3"/>
      <c r="P22" s="3"/>
    </row>
    <row r="23" spans="1:16" x14ac:dyDescent="0.25">
      <c r="A23" t="s">
        <v>301</v>
      </c>
      <c r="B23" s="2">
        <v>38168</v>
      </c>
      <c r="C23" s="7">
        <v>6.608767001922522E-2</v>
      </c>
      <c r="D23" s="7">
        <v>6.2888470671875973E-2</v>
      </c>
      <c r="E23" s="7">
        <v>9.7019265465894122E-3</v>
      </c>
      <c r="F23" s="7">
        <v>6.9433473005523494E-2</v>
      </c>
      <c r="G23" s="7">
        <v>2.2628320110305129</v>
      </c>
      <c r="H23" s="7">
        <v>8.4885580042347572E-2</v>
      </c>
      <c r="I23" s="7">
        <v>9.7088699013443858E-2</v>
      </c>
      <c r="J23" s="7">
        <v>0.20568033200775873</v>
      </c>
      <c r="K23" s="3">
        <v>4.2812152353266804</v>
      </c>
      <c r="L23" s="5"/>
      <c r="M23" s="6"/>
      <c r="N23" s="6"/>
      <c r="O23" s="3"/>
      <c r="P23" s="3"/>
    </row>
    <row r="24" spans="1:16" x14ac:dyDescent="0.25">
      <c r="A24" t="s">
        <v>302</v>
      </c>
      <c r="B24" s="2">
        <v>38260</v>
      </c>
      <c r="C24" s="7">
        <v>-5.3896173186829266E-3</v>
      </c>
      <c r="D24" s="7">
        <v>4.4331888535780184E-2</v>
      </c>
      <c r="E24" s="7">
        <v>-5.4889233429159301E-2</v>
      </c>
      <c r="F24" s="7">
        <v>5.9161746890440847E-2</v>
      </c>
      <c r="G24" s="7">
        <v>-0.19327241314718216</v>
      </c>
      <c r="H24" s="7">
        <v>-2.7045778534849352E-2</v>
      </c>
      <c r="I24" s="7">
        <v>3.3477452698929877E-2</v>
      </c>
      <c r="J24" s="7">
        <v>9.5885391202096049E-2</v>
      </c>
      <c r="K24" s="3">
        <v>4.3521383320630518</v>
      </c>
      <c r="L24" s="5"/>
      <c r="M24" s="6"/>
      <c r="N24" s="6"/>
      <c r="O24" s="3"/>
      <c r="P24" s="3"/>
    </row>
    <row r="25" spans="1:16" x14ac:dyDescent="0.25">
      <c r="A25" t="s">
        <v>303</v>
      </c>
      <c r="B25" s="2">
        <v>38352</v>
      </c>
      <c r="C25" s="7">
        <v>4.9896246472752592E-2</v>
      </c>
      <c r="D25" s="7">
        <v>4.6141770567678986E-2</v>
      </c>
      <c r="E25" s="7">
        <v>4.8709948972600614E-2</v>
      </c>
      <c r="F25" s="7">
        <v>4.855622834041351E-2</v>
      </c>
      <c r="G25" s="7">
        <v>-0.64301430129603854</v>
      </c>
      <c r="H25" s="7">
        <v>0.11549811855965796</v>
      </c>
      <c r="I25" s="7">
        <v>4.3872521148520693E-2</v>
      </c>
      <c r="J25" s="7">
        <v>0.11873971101646831</v>
      </c>
      <c r="K25" s="3">
        <v>3.8515878041264604</v>
      </c>
      <c r="L25" s="5"/>
      <c r="M25" s="6"/>
      <c r="N25" s="6"/>
      <c r="O25" s="3"/>
      <c r="P25" s="3"/>
    </row>
    <row r="26" spans="1:16" x14ac:dyDescent="0.25">
      <c r="A26" t="s">
        <v>304</v>
      </c>
      <c r="B26" s="2">
        <v>38442</v>
      </c>
      <c r="C26" s="7">
        <v>6.1158503129232766E-3</v>
      </c>
      <c r="D26" s="7">
        <v>8.3750923571306313E-3</v>
      </c>
      <c r="E26" s="7">
        <v>2.1050549317055411E-2</v>
      </c>
      <c r="F26" s="7">
        <v>7.8877194779891635E-3</v>
      </c>
      <c r="G26" s="7">
        <v>-0.56684838782756142</v>
      </c>
      <c r="H26" s="7">
        <v>8.3174897229016498E-2</v>
      </c>
      <c r="I26" s="7">
        <v>4.1983094526730103E-2</v>
      </c>
      <c r="J26" s="7">
        <v>-4.6887430725816692E-2</v>
      </c>
      <c r="K26" s="3">
        <v>5.0662018255773376</v>
      </c>
      <c r="L26" s="5"/>
      <c r="M26" s="6"/>
      <c r="N26" s="6"/>
      <c r="O26" s="3"/>
      <c r="P26" s="3"/>
    </row>
    <row r="27" spans="1:16" x14ac:dyDescent="0.25">
      <c r="A27" t="s">
        <v>305</v>
      </c>
      <c r="B27" s="2">
        <v>38533</v>
      </c>
      <c r="C27" s="7">
        <v>1.2123228274402598E-2</v>
      </c>
      <c r="D27" s="7">
        <v>4.9018842086698822E-3</v>
      </c>
      <c r="E27" s="7">
        <v>1.5892534668675351E-2</v>
      </c>
      <c r="F27" s="7">
        <v>1.971537139953794E-3</v>
      </c>
      <c r="G27" s="7">
        <v>-0.93249086617547439</v>
      </c>
      <c r="H27" s="7">
        <v>2.7031809454158839E-4</v>
      </c>
      <c r="I27" s="7">
        <v>0.10626892011689847</v>
      </c>
      <c r="J27" s="7">
        <v>-1.4660544666383113E-2</v>
      </c>
      <c r="K27" s="3">
        <v>4.6437110046771126</v>
      </c>
      <c r="L27" s="5"/>
      <c r="M27" s="6"/>
      <c r="N27" s="6"/>
      <c r="O27" s="3"/>
      <c r="P27" s="3"/>
    </row>
    <row r="28" spans="1:16" x14ac:dyDescent="0.25">
      <c r="A28" t="s">
        <v>306</v>
      </c>
      <c r="B28" s="2">
        <v>38625</v>
      </c>
      <c r="C28" s="7">
        <v>3.7851632180737171E-2</v>
      </c>
      <c r="D28" s="7">
        <v>5.5377329778529383E-2</v>
      </c>
      <c r="E28" s="7">
        <v>6.5850697884958231E-2</v>
      </c>
      <c r="F28" s="7">
        <v>5.0463312111314496E-2</v>
      </c>
      <c r="G28" s="7">
        <v>4.0981400340023661</v>
      </c>
      <c r="H28" s="7">
        <v>6.8706983775365549E-2</v>
      </c>
      <c r="I28" s="7">
        <v>-2.2209815525764842E-2</v>
      </c>
      <c r="J28" s="7">
        <v>0.11497350221462209</v>
      </c>
      <c r="K28" s="3">
        <v>4.9417302780752026</v>
      </c>
      <c r="L28" s="5"/>
      <c r="M28" s="6"/>
      <c r="N28" s="6"/>
      <c r="O28" s="3"/>
      <c r="P28" s="3"/>
    </row>
    <row r="29" spans="1:16" x14ac:dyDescent="0.25">
      <c r="A29" t="s">
        <v>307</v>
      </c>
      <c r="B29" s="2">
        <v>38717</v>
      </c>
      <c r="C29" s="7">
        <v>6.4637624503624869E-2</v>
      </c>
      <c r="D29" s="7">
        <v>1.2667393657076031E-2</v>
      </c>
      <c r="E29" s="7">
        <v>5.779856917611359E-2</v>
      </c>
      <c r="F29" s="7">
        <v>7.6328794406672618E-3</v>
      </c>
      <c r="G29" s="7">
        <v>2.2959887267256849</v>
      </c>
      <c r="H29" s="7">
        <v>0.14617188250341107</v>
      </c>
      <c r="I29" s="7">
        <v>0.28850155227848351</v>
      </c>
      <c r="J29" s="7">
        <v>0.24628716992594391</v>
      </c>
      <c r="K29" s="3">
        <v>5.4978259436570251</v>
      </c>
      <c r="L29" s="5"/>
      <c r="M29" s="6"/>
      <c r="N29" s="6"/>
      <c r="O29" s="3"/>
      <c r="P29" s="3"/>
    </row>
    <row r="30" spans="1:16" x14ac:dyDescent="0.25">
      <c r="A30" t="s">
        <v>308</v>
      </c>
      <c r="B30" s="2">
        <v>38807</v>
      </c>
      <c r="C30" s="7">
        <v>7.1634860903104114E-2</v>
      </c>
      <c r="D30" s="7">
        <v>8.6361161209664625E-2</v>
      </c>
      <c r="E30" s="7">
        <v>5.5952335693856936E-2</v>
      </c>
      <c r="F30" s="7">
        <v>9.3726707437375989E-2</v>
      </c>
      <c r="G30" s="7">
        <v>0.50218038775333218</v>
      </c>
      <c r="H30" s="7">
        <v>9.9716429046063038E-2</v>
      </c>
      <c r="I30" s="7">
        <v>0.17052696008759871</v>
      </c>
      <c r="J30" s="7">
        <v>9.0366737305643388E-2</v>
      </c>
      <c r="K30" s="3">
        <v>6.337796311460882</v>
      </c>
      <c r="L30" s="5"/>
      <c r="M30" s="6"/>
      <c r="N30" s="6"/>
      <c r="O30" s="3"/>
      <c r="P30" s="3"/>
    </row>
    <row r="31" spans="1:16" x14ac:dyDescent="0.25">
      <c r="A31" t="s">
        <v>309</v>
      </c>
      <c r="B31" s="2">
        <v>38898</v>
      </c>
      <c r="C31" s="7">
        <v>4.0812739798495645E-2</v>
      </c>
      <c r="D31" s="7">
        <v>4.0810177071481935E-2</v>
      </c>
      <c r="E31" s="7">
        <v>-9.8693037413277729E-4</v>
      </c>
      <c r="F31" s="7">
        <v>4.6357255619799975E-2</v>
      </c>
      <c r="G31" s="7">
        <v>2.2696048447083887</v>
      </c>
      <c r="H31" s="7">
        <v>0.12190550176151739</v>
      </c>
      <c r="I31" s="7">
        <v>-1.0796034771748397E-2</v>
      </c>
      <c r="J31" s="7">
        <v>5.5252149323458122E-2</v>
      </c>
      <c r="K31" s="3">
        <v>4.10360134274414</v>
      </c>
      <c r="L31" s="5"/>
      <c r="M31" s="6"/>
      <c r="N31" s="6"/>
      <c r="O31" s="3"/>
      <c r="P31" s="3"/>
    </row>
    <row r="32" spans="1:16" x14ac:dyDescent="0.25">
      <c r="A32" t="s">
        <v>310</v>
      </c>
      <c r="B32" s="2">
        <v>38990</v>
      </c>
      <c r="C32" s="7">
        <v>1.2457417021657147E-2</v>
      </c>
      <c r="D32" s="7">
        <v>-4.041064565620367E-3</v>
      </c>
      <c r="E32" s="7">
        <v>-4.1658820595024897E-2</v>
      </c>
      <c r="F32" s="7">
        <v>-3.6532132373856552E-4</v>
      </c>
      <c r="G32" s="7">
        <v>-0.46903758351428787</v>
      </c>
      <c r="H32" s="7">
        <v>7.2886402291510555E-2</v>
      </c>
      <c r="I32" s="7">
        <v>-9.4137346060222171E-2</v>
      </c>
      <c r="J32" s="7">
        <v>3.2147552822233916E-2</v>
      </c>
      <c r="K32" s="3">
        <v>4.2690384444887473</v>
      </c>
      <c r="L32" s="5"/>
      <c r="M32" s="6"/>
      <c r="N32" s="6"/>
      <c r="O32" s="3"/>
      <c r="P32" s="3"/>
    </row>
    <row r="33" spans="1:16" x14ac:dyDescent="0.25">
      <c r="A33" t="s">
        <v>311</v>
      </c>
      <c r="B33" s="2">
        <v>39082</v>
      </c>
      <c r="C33" s="7">
        <v>8.3178753863868415E-3</v>
      </c>
      <c r="D33" s="7">
        <v>1.297510047273831E-2</v>
      </c>
      <c r="E33" s="7">
        <v>-1.5067056872688611E-2</v>
      </c>
      <c r="F33" s="7">
        <v>1.9218339729493605E-2</v>
      </c>
      <c r="G33" s="7">
        <v>-0.89766275867613632</v>
      </c>
      <c r="H33" s="7">
        <v>1.8528117010124356E-2</v>
      </c>
      <c r="I33" s="7">
        <v>7.0005497602334543E-3</v>
      </c>
      <c r="J33" s="7">
        <v>-6.90821430384434E-2</v>
      </c>
      <c r="K33" s="3">
        <v>6.3659467043571025</v>
      </c>
      <c r="L33" s="5"/>
      <c r="M33" s="6"/>
      <c r="N33" s="6"/>
      <c r="O33" s="3"/>
      <c r="P33" s="3"/>
    </row>
    <row r="34" spans="1:16" x14ac:dyDescent="0.25">
      <c r="A34" t="s">
        <v>312</v>
      </c>
      <c r="B34" s="2">
        <v>39172</v>
      </c>
      <c r="C34" s="7">
        <v>2.8568838936230634E-2</v>
      </c>
      <c r="D34" s="7">
        <v>4.9907975830678852E-2</v>
      </c>
      <c r="E34" s="7">
        <v>3.9245594387227634E-2</v>
      </c>
      <c r="F34" s="7">
        <v>5.6151791159407161E-2</v>
      </c>
      <c r="G34" s="7">
        <v>4.9333862911111783</v>
      </c>
      <c r="H34" s="7">
        <v>-1.6155144372353214E-2</v>
      </c>
      <c r="I34" s="7">
        <v>3.7964811994131598E-2</v>
      </c>
      <c r="J34" s="7">
        <v>8.0121967641612724E-2</v>
      </c>
      <c r="K34" s="3">
        <v>6.3839834254509444</v>
      </c>
      <c r="L34" s="5"/>
      <c r="M34" s="6"/>
      <c r="N34" s="6"/>
      <c r="O34" s="3"/>
      <c r="P34" s="3"/>
    </row>
    <row r="35" spans="1:16" x14ac:dyDescent="0.25">
      <c r="A35" t="s">
        <v>313</v>
      </c>
      <c r="B35" s="2">
        <v>39263</v>
      </c>
      <c r="C35" s="7">
        <v>3.1427173774626116E-2</v>
      </c>
      <c r="D35" s="7">
        <v>4.532740925509593E-2</v>
      </c>
      <c r="E35" s="7">
        <v>5.6281526983630981E-2</v>
      </c>
      <c r="F35" s="7">
        <v>4.0243756630867322E-2</v>
      </c>
      <c r="G35" s="7">
        <v>-0.11585144904419442</v>
      </c>
      <c r="H35" s="7">
        <v>8.5067084606885293E-2</v>
      </c>
      <c r="I35" s="7">
        <v>0.10668582261824856</v>
      </c>
      <c r="J35" s="7">
        <v>0.12420515739011929</v>
      </c>
      <c r="K35" s="3">
        <v>4.9310156149125079</v>
      </c>
      <c r="L35" s="5"/>
      <c r="M35" s="6"/>
      <c r="N35" s="6"/>
      <c r="O35" s="3"/>
      <c r="P35" s="3"/>
    </row>
    <row r="36" spans="1:16" x14ac:dyDescent="0.25">
      <c r="A36" t="s">
        <v>314</v>
      </c>
      <c r="B36" s="2">
        <v>39355</v>
      </c>
      <c r="C36" s="7">
        <v>2.5311176464268392E-2</v>
      </c>
      <c r="D36" s="7">
        <v>-9.6280544082744113E-3</v>
      </c>
      <c r="E36" s="7">
        <v>3.453290226521788E-2</v>
      </c>
      <c r="F36" s="7">
        <v>-1.9002095378482631E-2</v>
      </c>
      <c r="G36" s="7">
        <v>-0.31080205977831044</v>
      </c>
      <c r="H36" s="7">
        <v>0.13498552763975269</v>
      </c>
      <c r="I36" s="7">
        <v>4.4987344235792648E-2</v>
      </c>
      <c r="J36" s="7">
        <v>9.3816343744280939E-2</v>
      </c>
      <c r="K36" s="3">
        <v>3.9829937795524146</v>
      </c>
      <c r="L36" s="5"/>
      <c r="M36" s="6"/>
      <c r="N36" s="6"/>
      <c r="O36" s="3"/>
      <c r="P36" s="3"/>
    </row>
    <row r="37" spans="1:16" x14ac:dyDescent="0.25">
      <c r="A37" t="s">
        <v>315</v>
      </c>
      <c r="B37" s="2">
        <v>39447</v>
      </c>
      <c r="C37" s="7">
        <v>1.580424632965971E-2</v>
      </c>
      <c r="D37" s="7">
        <v>1.0785251453253597E-3</v>
      </c>
      <c r="E37" s="7">
        <v>3.4154764264482385E-2</v>
      </c>
      <c r="F37" s="7">
        <v>-4.1455359332970287E-3</v>
      </c>
      <c r="G37" s="7">
        <v>0.13105909940453531</v>
      </c>
      <c r="H37" s="7">
        <v>0.17094962176954542</v>
      </c>
      <c r="I37" s="7">
        <v>-4.5188331162473672E-2</v>
      </c>
      <c r="J37" s="7">
        <v>4.0332853716407158E-3</v>
      </c>
      <c r="K37" s="3">
        <v>6.2649672606026776</v>
      </c>
      <c r="L37" s="5"/>
      <c r="M37" s="6"/>
      <c r="N37" s="6"/>
      <c r="O37" s="3"/>
      <c r="P37" s="3"/>
    </row>
    <row r="38" spans="1:16" x14ac:dyDescent="0.25">
      <c r="A38" t="s">
        <v>316</v>
      </c>
      <c r="B38" s="2">
        <v>39538</v>
      </c>
      <c r="C38" s="7">
        <v>-7.524073304854384E-3</v>
      </c>
      <c r="D38" s="7">
        <v>3.8623371372423776E-2</v>
      </c>
      <c r="E38" s="7">
        <v>-2.4587116170785128E-2</v>
      </c>
      <c r="F38" s="7">
        <v>5.7779393704365578E-2</v>
      </c>
      <c r="G38" s="7">
        <v>-0.92989550132312671</v>
      </c>
      <c r="H38" s="7">
        <v>5.443029865121507E-2</v>
      </c>
      <c r="I38" s="7">
        <v>4.1014164941679754E-2</v>
      </c>
      <c r="J38" s="7">
        <v>2.3444961566614575E-2</v>
      </c>
      <c r="K38" s="3">
        <v>3.3572284817453424</v>
      </c>
      <c r="L38" s="5"/>
      <c r="M38" s="6"/>
      <c r="N38" s="6"/>
      <c r="O38" s="3"/>
      <c r="P38" s="3"/>
    </row>
    <row r="39" spans="1:16" x14ac:dyDescent="0.25">
      <c r="A39" t="s">
        <v>317</v>
      </c>
      <c r="B39" s="2">
        <v>39629</v>
      </c>
      <c r="C39" s="7">
        <v>2.9960775280571506E-2</v>
      </c>
      <c r="D39" s="7">
        <v>4.4346893196059334E-2</v>
      </c>
      <c r="E39" s="7">
        <v>8.5285282734939502E-2</v>
      </c>
      <c r="F39" s="7">
        <v>3.0770540572470528E-2</v>
      </c>
      <c r="G39" s="7">
        <v>8.1777976954410878</v>
      </c>
      <c r="H39" s="7">
        <v>5.9537657135127375E-2</v>
      </c>
      <c r="I39" s="7">
        <v>5.2976250783702827E-3</v>
      </c>
      <c r="J39" s="7">
        <v>4.5720347409507811E-2</v>
      </c>
      <c r="K39" s="3">
        <v>2.1671685012006665</v>
      </c>
      <c r="L39" s="5"/>
      <c r="M39" s="6"/>
      <c r="N39" s="6"/>
      <c r="O39" s="3"/>
      <c r="P39" s="3"/>
    </row>
    <row r="40" spans="1:16" x14ac:dyDescent="0.25">
      <c r="A40" t="s">
        <v>318</v>
      </c>
      <c r="B40" s="2">
        <v>39721</v>
      </c>
      <c r="C40" s="7">
        <v>1.2394990884983192E-2</v>
      </c>
      <c r="D40" s="7">
        <v>-2.4859925716238518E-2</v>
      </c>
      <c r="E40" s="7">
        <v>2.095891612135703E-2</v>
      </c>
      <c r="F40" s="7">
        <v>-3.3332727355505964E-2</v>
      </c>
      <c r="G40" s="7">
        <v>-0.13811004568714735</v>
      </c>
      <c r="H40" s="7">
        <v>-8.3645954427140623E-3</v>
      </c>
      <c r="I40" s="7">
        <v>-4.8663500626836775E-2</v>
      </c>
      <c r="J40" s="7">
        <v>0.1989953122950876</v>
      </c>
      <c r="K40" s="3">
        <v>-0.27144356067218411</v>
      </c>
      <c r="L40" s="5"/>
      <c r="M40" s="6"/>
      <c r="N40" s="6"/>
      <c r="O40" s="3"/>
      <c r="P40" s="3"/>
    </row>
    <row r="41" spans="1:16" x14ac:dyDescent="0.25">
      <c r="A41" t="s">
        <v>319</v>
      </c>
      <c r="B41" s="2">
        <v>39813</v>
      </c>
      <c r="C41" s="7">
        <v>-6.2474403936169869E-2</v>
      </c>
      <c r="D41" s="7">
        <v>-0.11605032758600098</v>
      </c>
      <c r="E41" s="7">
        <v>5.0201290720402136E-2</v>
      </c>
      <c r="F41" s="7">
        <v>-0.14232133290450899</v>
      </c>
      <c r="G41" s="7">
        <v>0.28716432802492742</v>
      </c>
      <c r="H41" s="7">
        <v>-0.12808039942280891</v>
      </c>
      <c r="I41" s="7">
        <v>-0.24704199844609362</v>
      </c>
      <c r="J41" s="7">
        <v>-0.36169274737700285</v>
      </c>
      <c r="K41" s="3">
        <v>-6.0701786858911522</v>
      </c>
      <c r="L41" s="5"/>
      <c r="M41" s="6"/>
      <c r="N41" s="6"/>
      <c r="O41" s="3"/>
      <c r="P41" s="3"/>
    </row>
    <row r="42" spans="1:16" x14ac:dyDescent="0.25">
      <c r="A42" t="s">
        <v>320</v>
      </c>
      <c r="B42" s="2">
        <v>39903</v>
      </c>
      <c r="C42" s="7">
        <v>-0.1887653869339655</v>
      </c>
      <c r="D42" s="7">
        <v>-0.1376478858379081</v>
      </c>
      <c r="E42" s="7">
        <v>3.3255296947169999E-3</v>
      </c>
      <c r="F42" s="7">
        <v>-0.15621787224265193</v>
      </c>
      <c r="G42" s="7">
        <v>-0.94521538431511043</v>
      </c>
      <c r="H42" s="7">
        <v>-0.34671897185622391</v>
      </c>
      <c r="I42" s="7">
        <v>-0.30915004122479484</v>
      </c>
      <c r="J42" s="7">
        <v>-0.42380137581037258</v>
      </c>
      <c r="K42" s="3">
        <v>-5.6577464845767818</v>
      </c>
      <c r="L42" s="5"/>
      <c r="M42" s="6"/>
      <c r="N42" s="6"/>
      <c r="O42" s="3"/>
      <c r="P42" s="3"/>
    </row>
    <row r="43" spans="1:16" x14ac:dyDescent="0.25">
      <c r="A43" t="s">
        <v>321</v>
      </c>
      <c r="B43" s="2">
        <v>39994</v>
      </c>
      <c r="C43" s="7">
        <v>-5.9192359605893315E-2</v>
      </c>
      <c r="D43" s="7">
        <v>-2.3642350100725351E-2</v>
      </c>
      <c r="E43" s="7">
        <v>3.9998182791926018E-2</v>
      </c>
      <c r="F43" s="7">
        <v>-4.0919720317815218E-2</v>
      </c>
      <c r="G43" s="7">
        <v>-0.72716083449422808</v>
      </c>
      <c r="H43" s="7">
        <v>1.813760010615173E-3</v>
      </c>
      <c r="I43" s="7">
        <v>-0.10610135002135701</v>
      </c>
      <c r="J43" s="7">
        <v>-0.26013230226101136</v>
      </c>
      <c r="K43" s="3">
        <v>4.8825149377798951</v>
      </c>
      <c r="L43" s="5"/>
      <c r="M43" s="6"/>
      <c r="N43" s="6"/>
      <c r="O43" s="3"/>
      <c r="P43" s="3"/>
    </row>
    <row r="44" spans="1:16" x14ac:dyDescent="0.25">
      <c r="A44" t="s">
        <v>322</v>
      </c>
      <c r="B44" s="2">
        <v>40086</v>
      </c>
      <c r="C44" s="7">
        <v>0.13646486782578182</v>
      </c>
      <c r="D44" s="7">
        <v>9.6015745767108029E-2</v>
      </c>
      <c r="E44" s="7">
        <v>3.1765514818213436E-2</v>
      </c>
      <c r="F44" s="7">
        <v>0.11028230671551631</v>
      </c>
      <c r="G44" s="7">
        <v>61.0419200932145</v>
      </c>
      <c r="H44" s="7">
        <v>4.1940110267878916E-2</v>
      </c>
      <c r="I44" s="7">
        <v>0.30020693946957522</v>
      </c>
      <c r="J44" s="7">
        <v>0.74343276556969529</v>
      </c>
      <c r="K44" s="3">
        <v>5.8453204387106945</v>
      </c>
      <c r="L44" s="5"/>
      <c r="M44" s="6"/>
      <c r="N44" s="6"/>
      <c r="O44" s="3"/>
      <c r="P44" s="3"/>
    </row>
    <row r="45" spans="1:16" x14ac:dyDescent="0.25">
      <c r="A45" t="s">
        <v>323</v>
      </c>
      <c r="B45" s="2">
        <v>40178</v>
      </c>
      <c r="C45" s="7">
        <v>7.0746725936529309E-2</v>
      </c>
      <c r="D45" s="7">
        <v>7.6557711407641893E-2</v>
      </c>
      <c r="E45" s="7">
        <v>4.7296775026983706E-3</v>
      </c>
      <c r="F45" s="7">
        <v>8.8504195359495164E-2</v>
      </c>
      <c r="G45" s="7">
        <v>0.4088940354236057</v>
      </c>
      <c r="H45" s="7">
        <v>-4.4126048175998633E-3</v>
      </c>
      <c r="I45" s="7">
        <v>0.42782513723903248</v>
      </c>
      <c r="J45" s="7">
        <v>0.20160326005547957</v>
      </c>
      <c r="K45" s="3">
        <v>5.659692526913223</v>
      </c>
      <c r="L45" s="5"/>
      <c r="M45" s="6"/>
      <c r="N45" s="6"/>
      <c r="O45" s="3"/>
      <c r="P45" s="3"/>
    </row>
    <row r="46" spans="1:16" x14ac:dyDescent="0.25">
      <c r="A46" t="s">
        <v>324</v>
      </c>
      <c r="B46" s="2">
        <v>40268</v>
      </c>
      <c r="C46" s="7">
        <v>4.3259774769206061E-2</v>
      </c>
      <c r="D46" s="7">
        <v>-1.652458743754337E-2</v>
      </c>
      <c r="E46" s="7">
        <v>-2.5801095640549665E-3</v>
      </c>
      <c r="F46" s="7">
        <v>-1.2767871072693393E-2</v>
      </c>
      <c r="G46" s="7">
        <v>1.0304393314618037</v>
      </c>
      <c r="H46" s="7">
        <v>0.14649309110123165</v>
      </c>
      <c r="I46" s="7">
        <v>0.25575882147617413</v>
      </c>
      <c r="J46" s="7">
        <v>0.17598177300325513</v>
      </c>
      <c r="K46" s="3">
        <v>5.3587045885478046</v>
      </c>
      <c r="L46" s="5"/>
      <c r="M46" s="6"/>
      <c r="N46" s="6"/>
      <c r="O46" s="3"/>
      <c r="P46" s="3"/>
    </row>
    <row r="47" spans="1:16" x14ac:dyDescent="0.25">
      <c r="A47" t="s">
        <v>325</v>
      </c>
      <c r="B47" s="2">
        <v>40359</v>
      </c>
      <c r="C47" s="7">
        <v>4.325706913864491E-2</v>
      </c>
      <c r="D47" s="7">
        <v>4.775378984128098E-2</v>
      </c>
      <c r="E47" s="7">
        <v>7.4570257454055655E-2</v>
      </c>
      <c r="F47" s="7">
        <v>3.7226059619350549E-2</v>
      </c>
      <c r="G47" s="7">
        <v>-0.32618087728929834</v>
      </c>
      <c r="H47" s="7">
        <v>1.616806181682473E-2</v>
      </c>
      <c r="I47" s="7">
        <v>0.21851792238036793</v>
      </c>
      <c r="J47" s="7">
        <v>0.13493423910333235</v>
      </c>
      <c r="K47" s="3">
        <v>6.0376504674532212</v>
      </c>
      <c r="L47" s="5"/>
      <c r="M47" s="6"/>
      <c r="N47" s="6"/>
      <c r="O47" s="3"/>
      <c r="P47" s="3"/>
    </row>
    <row r="48" spans="1:16" x14ac:dyDescent="0.25">
      <c r="A48" t="s">
        <v>326</v>
      </c>
      <c r="B48" s="2">
        <v>40451</v>
      </c>
      <c r="C48" s="7">
        <v>3.7137366828362328E-2</v>
      </c>
      <c r="D48" s="7">
        <v>1.6033888466195245E-2</v>
      </c>
      <c r="E48" s="7">
        <v>2.5501259276506261E-2</v>
      </c>
      <c r="F48" s="7">
        <v>1.4849495203240304E-2</v>
      </c>
      <c r="G48" s="7">
        <v>-0.26396305453253488</v>
      </c>
      <c r="H48" s="7">
        <v>-1.8785418439857704E-2</v>
      </c>
      <c r="I48" s="7">
        <v>9.0466266745772503E-2</v>
      </c>
      <c r="J48" s="7">
        <v>6.2437377248704351E-2</v>
      </c>
      <c r="K48" s="3">
        <v>4.8679329635956501</v>
      </c>
      <c r="L48" s="5"/>
      <c r="M48" s="6"/>
      <c r="N48" s="6"/>
      <c r="O48" s="3"/>
      <c r="P48" s="3"/>
    </row>
    <row r="49" spans="1:16" x14ac:dyDescent="0.25">
      <c r="A49" t="s">
        <v>327</v>
      </c>
      <c r="B49" s="2">
        <v>40543</v>
      </c>
      <c r="C49" s="7">
        <v>3.3215808959496496E-2</v>
      </c>
      <c r="D49" s="7">
        <v>5.0871628080334963E-2</v>
      </c>
      <c r="E49" s="7">
        <v>-9.3587312516391075E-3</v>
      </c>
      <c r="F49" s="7">
        <v>6.1124051673007829E-2</v>
      </c>
      <c r="G49" s="7">
        <v>1.3694221881525375</v>
      </c>
      <c r="H49" s="7">
        <v>0.10489396362134817</v>
      </c>
      <c r="I49" s="7">
        <v>9.802536474266145E-2</v>
      </c>
      <c r="J49" s="7">
        <v>5.2037154286068699E-2</v>
      </c>
      <c r="K49" s="3">
        <v>4.8324770606724732</v>
      </c>
      <c r="L49" s="5"/>
      <c r="M49" s="6"/>
      <c r="N49" s="6"/>
      <c r="O49" s="3"/>
      <c r="P49" s="3"/>
    </row>
    <row r="50" spans="1:16" x14ac:dyDescent="0.25">
      <c r="A50" t="s">
        <v>328</v>
      </c>
      <c r="B50" s="2">
        <v>40633</v>
      </c>
      <c r="C50" s="7">
        <v>3.1370090773496839E-2</v>
      </c>
      <c r="D50" s="7">
        <v>4.5929932259092254E-4</v>
      </c>
      <c r="E50" s="7">
        <v>2.5453284344581606E-2</v>
      </c>
      <c r="F50" s="7">
        <v>4.9599070362615905E-4</v>
      </c>
      <c r="G50" s="7">
        <v>-0.29472936150111029</v>
      </c>
      <c r="H50" s="7">
        <v>1.8502070656674086E-2</v>
      </c>
      <c r="I50" s="7">
        <v>0.1496778099600824</v>
      </c>
      <c r="J50" s="7">
        <v>8.4904975204276312E-2</v>
      </c>
      <c r="K50" s="3">
        <v>4.1425235881197819</v>
      </c>
      <c r="L50" s="5"/>
      <c r="M50" s="6"/>
      <c r="N50" s="6"/>
      <c r="O50" s="3"/>
      <c r="P50" s="3"/>
    </row>
    <row r="51" spans="1:16" x14ac:dyDescent="0.25">
      <c r="A51" t="s">
        <v>329</v>
      </c>
      <c r="B51" s="2">
        <v>40724</v>
      </c>
      <c r="C51" s="7">
        <v>1.9767200005266883E-2</v>
      </c>
      <c r="D51" s="7">
        <v>5.9470835366353558E-2</v>
      </c>
      <c r="E51" s="7">
        <v>3.0609592545110642E-2</v>
      </c>
      <c r="F51" s="7">
        <v>6.2182958809168243E-2</v>
      </c>
      <c r="G51" s="7">
        <v>-0.63412591072702029</v>
      </c>
      <c r="H51" s="7">
        <v>0.19866619182776923</v>
      </c>
      <c r="I51" s="7">
        <v>-1.7623300894490934E-2</v>
      </c>
      <c r="J51" s="7">
        <v>1.8053157585071755E-3</v>
      </c>
      <c r="K51" s="3">
        <v>3.2539486140839839</v>
      </c>
      <c r="L51" s="5"/>
      <c r="M51" s="6"/>
      <c r="N51" s="6"/>
      <c r="O51" s="3"/>
      <c r="P51" s="3"/>
    </row>
    <row r="52" spans="1:16" x14ac:dyDescent="0.25">
      <c r="A52" t="s">
        <v>330</v>
      </c>
      <c r="B52" s="2">
        <v>40816</v>
      </c>
      <c r="C52" s="7">
        <v>7.9265095597188751E-2</v>
      </c>
      <c r="D52" s="7">
        <v>5.7897520622836041E-2</v>
      </c>
      <c r="E52" s="7">
        <v>8.1852507947546282E-2</v>
      </c>
      <c r="F52" s="7">
        <v>5.2447762565865252E-2</v>
      </c>
      <c r="G52" s="7">
        <v>-0.26741713903378839</v>
      </c>
      <c r="H52" s="7">
        <v>0.10143899522609857</v>
      </c>
      <c r="I52" s="7">
        <v>2.9565221149584486E-2</v>
      </c>
      <c r="J52" s="7">
        <v>9.9003922488651211E-2</v>
      </c>
      <c r="K52" s="3">
        <v>3.2996466764784707</v>
      </c>
      <c r="L52" s="5"/>
      <c r="M52" s="6"/>
      <c r="N52" s="6"/>
      <c r="O52" s="3"/>
      <c r="P52" s="3"/>
    </row>
    <row r="53" spans="1:16" x14ac:dyDescent="0.25">
      <c r="A53" t="s">
        <v>331</v>
      </c>
      <c r="B53" s="2">
        <v>40908</v>
      </c>
      <c r="C53" s="7">
        <v>2.8673964862774293E-2</v>
      </c>
      <c r="D53" s="7">
        <v>7.628587121543573E-3</v>
      </c>
      <c r="E53" s="7">
        <v>3.8525543143446583E-2</v>
      </c>
      <c r="F53" s="7">
        <v>1.4357134107725322E-3</v>
      </c>
      <c r="G53" s="7">
        <v>2.2688981464925373E-2</v>
      </c>
      <c r="H53" s="7">
        <v>0.10942960149389712</v>
      </c>
      <c r="I53" s="7">
        <v>-3.3865047481841382E-3</v>
      </c>
      <c r="J53" s="7">
        <v>-3.627402310590766E-2</v>
      </c>
      <c r="K53" s="3">
        <v>3.4300128047765317</v>
      </c>
      <c r="L53" s="5"/>
      <c r="M53" s="6"/>
      <c r="N53" s="6"/>
      <c r="O53" s="3"/>
      <c r="P53" s="3"/>
    </row>
    <row r="54" spans="1:16" x14ac:dyDescent="0.25">
      <c r="A54" t="s">
        <v>332</v>
      </c>
      <c r="B54" s="2">
        <v>40999</v>
      </c>
      <c r="C54" s="7">
        <v>2.5417326295588794E-2</v>
      </c>
      <c r="D54" s="7">
        <v>3.613857674859533E-2</v>
      </c>
      <c r="E54" s="7">
        <v>4.7593903290287676E-2</v>
      </c>
      <c r="F54" s="7">
        <v>3.7930466830252696E-2</v>
      </c>
      <c r="G54" s="7">
        <v>2.4069242779896727</v>
      </c>
      <c r="H54" s="7">
        <v>-5.3246944965028575E-3</v>
      </c>
      <c r="I54" s="7">
        <v>0.26688914269807618</v>
      </c>
      <c r="J54" s="7">
        <v>0.12116863054303796</v>
      </c>
      <c r="K54" s="3">
        <v>4.2483498788164873</v>
      </c>
      <c r="L54" s="5"/>
      <c r="M54" s="6"/>
      <c r="N54" s="6"/>
      <c r="O54" s="3"/>
      <c r="P54" s="3"/>
    </row>
    <row r="55" spans="1:16" x14ac:dyDescent="0.25">
      <c r="A55" t="s">
        <v>333</v>
      </c>
      <c r="B55" s="2">
        <v>41090</v>
      </c>
      <c r="C55" s="7">
        <v>3.3829161769292959E-2</v>
      </c>
      <c r="D55" s="7">
        <v>-1.1841450391508745E-3</v>
      </c>
      <c r="E55" s="7">
        <v>3.4155632185271845E-2</v>
      </c>
      <c r="F55" s="7">
        <v>-8.6970467679933217E-3</v>
      </c>
      <c r="G55" s="7">
        <v>0.45829315294865497</v>
      </c>
      <c r="H55" s="7">
        <v>3.7169479927540383E-2</v>
      </c>
      <c r="I55" s="7">
        <v>4.8176511818201373E-2</v>
      </c>
      <c r="J55" s="7">
        <v>4.8807403508591696E-2</v>
      </c>
      <c r="K55" s="3">
        <v>2.3173451083879262</v>
      </c>
      <c r="L55" s="5"/>
      <c r="M55" s="6"/>
      <c r="N55" s="6"/>
      <c r="O55" s="3"/>
      <c r="P55" s="3"/>
    </row>
    <row r="56" spans="1:16" x14ac:dyDescent="0.25">
      <c r="A56" t="s">
        <v>334</v>
      </c>
      <c r="B56" s="2">
        <v>41182</v>
      </c>
      <c r="C56" s="7">
        <v>2.4767382204295751E-2</v>
      </c>
      <c r="D56" s="7">
        <v>1.1050088269840774E-2</v>
      </c>
      <c r="E56" s="7">
        <v>-3.1565535922231325E-2</v>
      </c>
      <c r="F56" s="7">
        <v>1.7273764723860996E-2</v>
      </c>
      <c r="G56" s="7">
        <v>-0.84254665713533006</v>
      </c>
      <c r="H56" s="7">
        <v>5.4744082024474006E-2</v>
      </c>
      <c r="I56" s="7">
        <v>-6.3328945866614639E-2</v>
      </c>
      <c r="J56" s="7">
        <v>-2.1642061003359747E-2</v>
      </c>
      <c r="K56" s="3">
        <v>2.9352427218452912</v>
      </c>
      <c r="L56" s="5"/>
      <c r="M56" s="6"/>
      <c r="N56" s="6"/>
      <c r="O56" s="3"/>
      <c r="P56" s="3"/>
    </row>
    <row r="57" spans="1:16" x14ac:dyDescent="0.25">
      <c r="A57" t="s">
        <v>335</v>
      </c>
      <c r="B57" s="2">
        <v>41274</v>
      </c>
      <c r="C57" s="7">
        <v>3.4454226176859226E-2</v>
      </c>
      <c r="D57" s="7">
        <v>1.9769316761074629E-2</v>
      </c>
      <c r="E57" s="7">
        <v>9.9503276479011582E-3</v>
      </c>
      <c r="F57" s="7">
        <v>2.1232913099901163E-2</v>
      </c>
      <c r="G57" s="7">
        <v>3.1585561239662199</v>
      </c>
      <c r="H57" s="7">
        <v>-8.1044459358886489E-2</v>
      </c>
      <c r="I57" s="7">
        <v>2.4667337054496974E-2</v>
      </c>
      <c r="J57" s="7">
        <v>0.14207220534382925</v>
      </c>
      <c r="K57" s="3">
        <v>2.8000030370659932</v>
      </c>
      <c r="L57" s="5"/>
      <c r="M57" s="6"/>
      <c r="N57" s="6"/>
      <c r="O57" s="3"/>
      <c r="P57" s="3"/>
    </row>
    <row r="58" spans="1:16" x14ac:dyDescent="0.25">
      <c r="A58" t="s">
        <v>336</v>
      </c>
      <c r="B58" s="2">
        <v>41364</v>
      </c>
      <c r="C58" s="7">
        <v>1.1209112601169524E-2</v>
      </c>
      <c r="D58" s="7">
        <v>4.1557652272064427E-2</v>
      </c>
      <c r="E58" s="7">
        <v>-2.7534143770531538E-2</v>
      </c>
      <c r="F58" s="7">
        <v>5.4563970352095259E-2</v>
      </c>
      <c r="G58" s="7">
        <v>-0.96298678465631848</v>
      </c>
      <c r="H58" s="7">
        <v>-3.4745769006232496E-3</v>
      </c>
      <c r="I58" s="7">
        <v>-3.0615598777560815E-2</v>
      </c>
      <c r="J58" s="7">
        <v>-2.6971421601188483E-3</v>
      </c>
      <c r="K58" s="3">
        <v>3.7144309861498188</v>
      </c>
      <c r="L58" s="5"/>
      <c r="M58" s="6"/>
      <c r="N58" s="6"/>
      <c r="O58" s="3"/>
      <c r="P58" s="3"/>
    </row>
    <row r="59" spans="1:16" x14ac:dyDescent="0.25">
      <c r="A59" t="s">
        <v>337</v>
      </c>
      <c r="B59" s="2">
        <v>41455</v>
      </c>
      <c r="C59" s="7">
        <v>-2.5344824440341474E-2</v>
      </c>
      <c r="D59" s="7">
        <v>-2.0621077164929225E-2</v>
      </c>
      <c r="E59" s="7">
        <v>-6.6437969812339626E-3</v>
      </c>
      <c r="F59" s="7">
        <v>-1.8823731432703217E-2</v>
      </c>
      <c r="G59" s="7">
        <v>212.85484228761462</v>
      </c>
      <c r="H59" s="7">
        <v>-0.11963830108099671</v>
      </c>
      <c r="I59" s="7">
        <v>6.0839315716368692E-2</v>
      </c>
      <c r="J59" s="7">
        <v>6.961624967118496E-3</v>
      </c>
      <c r="K59" s="3">
        <v>3.6774311222064804</v>
      </c>
      <c r="L59" s="5"/>
      <c r="M59" s="6"/>
      <c r="N59" s="6"/>
      <c r="O59" s="3"/>
      <c r="P59" s="3"/>
    </row>
    <row r="60" spans="1:16" x14ac:dyDescent="0.25">
      <c r="A60" t="s">
        <v>338</v>
      </c>
      <c r="B60" s="2">
        <v>41547</v>
      </c>
      <c r="C60" s="7">
        <v>3.9156176820418942E-2</v>
      </c>
      <c r="D60" s="7">
        <v>3.363560215425454E-2</v>
      </c>
      <c r="E60" s="7">
        <v>9.0553084857136312E-2</v>
      </c>
      <c r="F60" s="7">
        <v>1.9665587240845106E-2</v>
      </c>
      <c r="G60" s="7">
        <v>-0.17173513712723476</v>
      </c>
      <c r="H60" s="7">
        <v>-3.5345643467391108E-2</v>
      </c>
      <c r="I60" s="7">
        <v>9.0926403608168282E-2</v>
      </c>
      <c r="J60" s="7">
        <v>6.9512774135678246E-3</v>
      </c>
      <c r="K60" s="3">
        <v>4.2666243873699852</v>
      </c>
      <c r="L60" s="5"/>
      <c r="M60" s="6"/>
      <c r="N60" s="6"/>
      <c r="O60" s="3"/>
      <c r="P60" s="3"/>
    </row>
    <row r="61" spans="1:16" x14ac:dyDescent="0.25">
      <c r="A61" t="s">
        <v>339</v>
      </c>
      <c r="B61" s="2">
        <v>41639</v>
      </c>
      <c r="C61" s="7">
        <v>2.3879797612484266E-2</v>
      </c>
      <c r="D61" s="7">
        <v>2.9606004318356138E-2</v>
      </c>
      <c r="E61" s="7">
        <v>4.6134751418275943E-2</v>
      </c>
      <c r="F61" s="7">
        <v>2.588956133597442E-2</v>
      </c>
      <c r="G61" s="7">
        <v>-0.8008294054710805</v>
      </c>
      <c r="H61" s="7">
        <v>4.2129886905314162E-2</v>
      </c>
      <c r="I61" s="7">
        <v>-4.2588252820113803E-3</v>
      </c>
      <c r="J61" s="7">
        <v>-1.981251831111186E-2</v>
      </c>
      <c r="K61" s="3">
        <v>3.6445539412656318</v>
      </c>
      <c r="L61" s="5"/>
      <c r="M61" s="6"/>
      <c r="N61" s="6"/>
      <c r="O61" s="3"/>
      <c r="P61" s="3"/>
    </row>
    <row r="62" spans="1:16" x14ac:dyDescent="0.25">
      <c r="A62" t="s">
        <v>340</v>
      </c>
      <c r="B62" s="2">
        <v>41729</v>
      </c>
      <c r="C62" s="7">
        <v>2.8370219219217452E-2</v>
      </c>
      <c r="D62" s="7">
        <v>4.541286292980562E-4</v>
      </c>
      <c r="E62" s="7">
        <v>-2.2994849112809024E-2</v>
      </c>
      <c r="F62" s="7">
        <v>3.9645243313828349E-3</v>
      </c>
      <c r="G62" s="7">
        <v>-0.94908865365963901</v>
      </c>
      <c r="H62" s="7">
        <v>3.9219227654698097E-2</v>
      </c>
      <c r="I62" s="7">
        <v>-9.099586875897181E-3</v>
      </c>
      <c r="J62" s="7">
        <v>0.10276052979413318</v>
      </c>
      <c r="K62" s="3">
        <v>2.7904610046009757</v>
      </c>
      <c r="L62" s="5"/>
      <c r="M62" s="6"/>
      <c r="N62" s="6"/>
      <c r="O62" s="3"/>
      <c r="P62" s="3"/>
    </row>
    <row r="63" spans="1:16" x14ac:dyDescent="0.25">
      <c r="A63" t="s">
        <v>341</v>
      </c>
      <c r="B63" s="2">
        <v>41820</v>
      </c>
      <c r="C63" s="7">
        <v>4.9585102959094574E-2</v>
      </c>
      <c r="D63" s="7">
        <v>5.7239491054085212E-2</v>
      </c>
      <c r="E63" s="7">
        <v>5.5199332796984635E-3</v>
      </c>
      <c r="F63" s="7">
        <v>7.3226414160731723E-2</v>
      </c>
      <c r="G63" s="7">
        <v>0.56166661045613031</v>
      </c>
      <c r="H63" s="7">
        <v>9.2025182266008976E-2</v>
      </c>
      <c r="I63" s="7">
        <v>0.18413046873375216</v>
      </c>
      <c r="J63" s="7">
        <v>0.13380091136490324</v>
      </c>
      <c r="K63" s="3">
        <v>3.9615564688765925</v>
      </c>
      <c r="L63" s="5"/>
      <c r="M63" s="6"/>
      <c r="N63" s="6"/>
      <c r="O63" s="3"/>
      <c r="P63" s="3"/>
    </row>
    <row r="64" spans="1:16" x14ac:dyDescent="0.25">
      <c r="A64" t="s">
        <v>342</v>
      </c>
      <c r="B64" s="2">
        <v>41912</v>
      </c>
      <c r="C64" s="7">
        <v>1.3920028794232486E-2</v>
      </c>
      <c r="D64" s="7">
        <v>1.4632817570371826E-2</v>
      </c>
      <c r="E64" s="7">
        <v>0.10578116974743956</v>
      </c>
      <c r="F64" s="7">
        <v>-5.1859090272466934E-3</v>
      </c>
      <c r="G64" s="7">
        <v>11.482701134279784</v>
      </c>
      <c r="H64" s="7">
        <v>-1.8761805321225067E-2</v>
      </c>
      <c r="I64" s="7">
        <v>0.13101671208468924</v>
      </c>
      <c r="J64" s="7">
        <v>3.2026553077004971E-2</v>
      </c>
      <c r="K64" s="3">
        <v>4.2095702887931186</v>
      </c>
      <c r="L64" s="5"/>
      <c r="M64" s="6"/>
      <c r="N64" s="6"/>
      <c r="O64" s="3"/>
      <c r="P64" s="3"/>
    </row>
    <row r="65" spans="1:16" x14ac:dyDescent="0.25">
      <c r="A65" t="s">
        <v>343</v>
      </c>
      <c r="B65" s="2">
        <v>42004</v>
      </c>
      <c r="C65" s="7">
        <v>4.4409020088104212E-2</v>
      </c>
      <c r="D65" s="7">
        <v>1.9923948147620774E-2</v>
      </c>
      <c r="E65" s="7">
        <v>-1.0927289547353225E-2</v>
      </c>
      <c r="F65" s="7">
        <v>2.4675828264865807E-2</v>
      </c>
      <c r="G65" s="7">
        <v>3.9661506982687031</v>
      </c>
      <c r="H65" s="7">
        <v>0.15624044177471808</v>
      </c>
      <c r="I65" s="7">
        <v>0.13604463263031707</v>
      </c>
      <c r="J65" s="7">
        <v>0.12708704992297926</v>
      </c>
      <c r="K65" s="3">
        <v>3.6929338604900774</v>
      </c>
      <c r="L65" s="5"/>
      <c r="M65" s="6"/>
      <c r="N65" s="6"/>
      <c r="O65" s="3"/>
      <c r="P65" s="3"/>
    </row>
    <row r="66" spans="1:16" x14ac:dyDescent="0.25">
      <c r="A66" t="s">
        <v>344</v>
      </c>
      <c r="B66" s="2">
        <v>42094</v>
      </c>
      <c r="C66" s="7">
        <v>2.2835793022600415E-2</v>
      </c>
      <c r="D66" s="7">
        <v>2.4661840332423912E-2</v>
      </c>
      <c r="E66" s="7">
        <v>5.4433574889730885E-2</v>
      </c>
      <c r="F66" s="7">
        <v>1.7598994608424068E-2</v>
      </c>
      <c r="G66" s="7">
        <v>-0.28603829628039668</v>
      </c>
      <c r="H66" s="7">
        <v>-5.7795907679931154E-2</v>
      </c>
      <c r="I66" s="7">
        <v>3.7411742503537848E-2</v>
      </c>
      <c r="J66" s="7">
        <v>-7.1624399863224886E-3</v>
      </c>
      <c r="K66" s="3">
        <v>3.7225542250464372</v>
      </c>
      <c r="L66" s="5"/>
      <c r="M66" s="6"/>
      <c r="N66" s="6"/>
      <c r="O66" s="3"/>
      <c r="P66" s="3"/>
    </row>
    <row r="67" spans="1:16" x14ac:dyDescent="0.25">
      <c r="A67" t="s">
        <v>345</v>
      </c>
      <c r="B67" s="2">
        <v>42185</v>
      </c>
      <c r="C67" s="7">
        <v>4.6955341841715459E-2</v>
      </c>
      <c r="D67" s="7">
        <v>1.4928962681103775E-2</v>
      </c>
      <c r="E67" s="7">
        <v>-3.0075201324126666E-2</v>
      </c>
      <c r="F67" s="7">
        <v>3.0255218913177728E-2</v>
      </c>
      <c r="G67" s="7">
        <v>-0.8511947251598001</v>
      </c>
      <c r="H67" s="7">
        <v>0.146466879432815</v>
      </c>
      <c r="I67" s="7">
        <v>0.11591048835002325</v>
      </c>
      <c r="J67" s="7">
        <v>0.10644510866039859</v>
      </c>
      <c r="K67" s="3">
        <v>3.749404220372754</v>
      </c>
      <c r="L67" s="5"/>
      <c r="M67" s="6"/>
      <c r="N67" s="6"/>
      <c r="O67" s="3"/>
      <c r="P67" s="3"/>
    </row>
    <row r="68" spans="1:16" x14ac:dyDescent="0.25">
      <c r="A68" t="s">
        <v>346</v>
      </c>
      <c r="B68" s="2">
        <v>42277</v>
      </c>
      <c r="C68" s="7">
        <v>4.8808696960678688E-2</v>
      </c>
      <c r="D68" s="7">
        <v>3.4818254734605425E-2</v>
      </c>
      <c r="E68" s="7">
        <v>-9.4397670871604333E-4</v>
      </c>
      <c r="F68" s="7">
        <v>3.737889133269201E-2</v>
      </c>
      <c r="G68" s="7">
        <v>-0.79397942025859147</v>
      </c>
      <c r="H68" s="7">
        <v>0.13306137009193231</v>
      </c>
      <c r="I68" s="7">
        <v>-3.3458339888953192E-3</v>
      </c>
      <c r="J68" s="7">
        <v>6.8911050077081093E-2</v>
      </c>
      <c r="K68" s="3">
        <v>3.4666353992788945</v>
      </c>
      <c r="L68" s="5"/>
      <c r="M68" s="6"/>
      <c r="N68" s="6"/>
      <c r="O68" s="3"/>
      <c r="P68" s="3"/>
    </row>
    <row r="69" spans="1:16" x14ac:dyDescent="0.25">
      <c r="A69" t="s">
        <v>347</v>
      </c>
      <c r="B69" s="2">
        <v>42369</v>
      </c>
      <c r="C69" s="7">
        <v>-8.6345097510929225E-3</v>
      </c>
      <c r="D69" s="7">
        <v>5.178880902836247E-2</v>
      </c>
      <c r="E69" s="7">
        <v>1.218758563938116E-2</v>
      </c>
      <c r="F69" s="7">
        <v>5.7862180636005567E-2</v>
      </c>
      <c r="G69" s="7">
        <v>0.7769647618443698</v>
      </c>
      <c r="H69" s="7">
        <v>-0.13625012396671887</v>
      </c>
      <c r="I69" s="7">
        <v>4.8907263294784453E-2</v>
      </c>
      <c r="J69" s="7">
        <v>-2.9073014547130738E-2</v>
      </c>
      <c r="K69" s="3">
        <v>2.7711883371334345</v>
      </c>
      <c r="L69" s="5"/>
      <c r="M69" s="6"/>
      <c r="N69" s="6"/>
      <c r="O69" s="3"/>
      <c r="P69" s="3"/>
    </row>
    <row r="70" spans="1:16" x14ac:dyDescent="0.25">
      <c r="A70" t="s">
        <v>348</v>
      </c>
      <c r="B70" s="2">
        <v>42460</v>
      </c>
      <c r="C70" s="7">
        <v>2.3841820867841035E-2</v>
      </c>
      <c r="D70" s="7">
        <v>2.7325974500950423E-2</v>
      </c>
      <c r="E70" s="7">
        <v>3.2979395083306606E-2</v>
      </c>
      <c r="F70" s="7">
        <v>2.653772266630039E-2</v>
      </c>
      <c r="G70" s="7">
        <v>4.1121924086868997</v>
      </c>
      <c r="H70" s="7">
        <v>6.0872031372513513E-2</v>
      </c>
      <c r="I70" s="7">
        <v>-1.3603477214516602E-3</v>
      </c>
      <c r="J70" s="7">
        <v>-2.2339888121712503E-2</v>
      </c>
      <c r="K70" s="3">
        <v>4.0979582458981589</v>
      </c>
      <c r="L70" s="5"/>
      <c r="M70" s="6"/>
      <c r="N70" s="6"/>
      <c r="O70" s="3"/>
      <c r="P70" s="3"/>
    </row>
    <row r="71" spans="1:16" x14ac:dyDescent="0.25">
      <c r="A71" t="s">
        <v>349</v>
      </c>
      <c r="B71" s="2">
        <v>42551</v>
      </c>
      <c r="C71" s="7">
        <v>1.5651009801665117E-2</v>
      </c>
      <c r="D71" s="7">
        <v>1.5076666755589052E-3</v>
      </c>
      <c r="E71" s="7">
        <v>5.1030310373930909E-2</v>
      </c>
      <c r="F71" s="7">
        <v>-2.8455869674675061E-3</v>
      </c>
      <c r="G71" s="7">
        <v>-0.19802675889630739</v>
      </c>
      <c r="H71" s="7">
        <v>-4.7362814672491919E-2</v>
      </c>
      <c r="I71" s="7">
        <v>-1.8703756420799689E-2</v>
      </c>
      <c r="J71" s="7">
        <v>3.7734746911996186E-2</v>
      </c>
      <c r="K71" s="3">
        <v>3.6700242708192832</v>
      </c>
      <c r="L71" s="5"/>
      <c r="M71" s="6"/>
      <c r="N71" s="6"/>
      <c r="O71" s="3"/>
      <c r="P71" s="3"/>
    </row>
    <row r="72" spans="1:16" x14ac:dyDescent="0.25">
      <c r="A72" t="s">
        <v>350</v>
      </c>
      <c r="B72" s="2">
        <v>42643</v>
      </c>
      <c r="C72" s="7">
        <v>3.9346774495075065E-2</v>
      </c>
      <c r="D72" s="7">
        <v>6.7062649502478866E-2</v>
      </c>
      <c r="E72" s="7">
        <v>6.1976281083544915E-2</v>
      </c>
      <c r="F72" s="7">
        <v>6.494527592122501E-2</v>
      </c>
      <c r="G72" s="7">
        <v>-0.71485795729848389</v>
      </c>
      <c r="H72" s="7">
        <v>2.1189748632372218E-2</v>
      </c>
      <c r="I72" s="7">
        <v>0.20032782804832608</v>
      </c>
      <c r="J72" s="7">
        <v>9.8110194290793581E-2</v>
      </c>
      <c r="K72" s="3">
        <v>3.6174156707559524</v>
      </c>
      <c r="L72" s="5"/>
      <c r="M72" s="6"/>
      <c r="N72" s="6"/>
      <c r="O72" s="3"/>
      <c r="P72" s="3"/>
    </row>
    <row r="73" spans="1:16" x14ac:dyDescent="0.25">
      <c r="A73" t="s">
        <v>351</v>
      </c>
      <c r="B73" s="2">
        <v>42735</v>
      </c>
      <c r="C73" s="7">
        <v>4.5796313268360533E-2</v>
      </c>
      <c r="D73" s="7">
        <v>4.5855296963497771E-2</v>
      </c>
      <c r="E73" s="7">
        <v>6.4723114187386077E-3</v>
      </c>
      <c r="F73" s="7">
        <v>5.1646607960515123E-2</v>
      </c>
      <c r="G73" s="7">
        <v>-0.42232052107391493</v>
      </c>
      <c r="H73" s="7">
        <v>6.1923724943913072E-2</v>
      </c>
      <c r="I73" s="7">
        <v>1.4796622600111498E-2</v>
      </c>
      <c r="J73" s="7">
        <v>2.2153452730157452E-2</v>
      </c>
      <c r="K73" s="3">
        <v>4.1765519058043044</v>
      </c>
      <c r="L73" s="5"/>
      <c r="M73" s="6"/>
      <c r="N73" s="6"/>
      <c r="O73" s="3"/>
      <c r="P73" s="3"/>
    </row>
    <row r="74" spans="1:16" x14ac:dyDescent="0.25">
      <c r="A74" t="s">
        <v>352</v>
      </c>
      <c r="B74" s="2">
        <v>42825</v>
      </c>
      <c r="C74" s="7">
        <v>2.1466694457014768E-2</v>
      </c>
      <c r="D74" s="7">
        <v>2.7567257292796965E-2</v>
      </c>
      <c r="E74" s="7">
        <v>-3.7050996338205744E-2</v>
      </c>
      <c r="F74" s="7">
        <v>3.8134314414068449E-2</v>
      </c>
      <c r="G74" s="7">
        <v>3.9083183656345155</v>
      </c>
      <c r="H74" s="7">
        <v>-9.1886507063652201E-2</v>
      </c>
      <c r="I74" s="7">
        <v>0.13983646958039264</v>
      </c>
      <c r="J74" s="7">
        <v>0.16402570661104465</v>
      </c>
      <c r="K74" s="3">
        <v>3.6282714028363028</v>
      </c>
      <c r="L74" s="5"/>
      <c r="M74" s="6"/>
      <c r="N74" s="6"/>
      <c r="O74" s="3"/>
      <c r="P74" s="3"/>
    </row>
    <row r="75" spans="1:16" x14ac:dyDescent="0.25">
      <c r="A75" t="s">
        <v>353</v>
      </c>
      <c r="B75" s="2">
        <v>42916</v>
      </c>
      <c r="C75" s="7">
        <v>1.1828141766731415E-2</v>
      </c>
      <c r="D75" s="7">
        <v>1.7736199164965383E-2</v>
      </c>
      <c r="E75" s="7">
        <v>-1.1530590780329142E-2</v>
      </c>
      <c r="F75" s="7">
        <v>2.8528609260438431E-2</v>
      </c>
      <c r="G75" s="7">
        <v>7.5110899280891985E-2</v>
      </c>
      <c r="H75" s="7">
        <v>-1.3484198654958646E-2</v>
      </c>
      <c r="I75" s="7">
        <v>-0.11725566990879754</v>
      </c>
      <c r="J75" s="7">
        <v>2.0666131281390498E-2</v>
      </c>
      <c r="K75" s="3">
        <v>4.3837468733485263</v>
      </c>
      <c r="L75" s="5"/>
      <c r="M75" s="6"/>
      <c r="N75" s="6"/>
      <c r="O75" s="3"/>
      <c r="P75" s="3"/>
    </row>
    <row r="76" spans="1:16" x14ac:dyDescent="0.25">
      <c r="A76" t="s">
        <v>354</v>
      </c>
      <c r="B76" s="2">
        <v>43008</v>
      </c>
      <c r="C76" s="7">
        <v>-1.4932278516185504E-2</v>
      </c>
      <c r="D76" s="7">
        <v>7.9882302031375474E-3</v>
      </c>
      <c r="E76" s="7">
        <v>2.0953024236697315E-2</v>
      </c>
      <c r="F76" s="7">
        <v>3.0590162977928159E-3</v>
      </c>
      <c r="G76" s="7">
        <v>-0.63500822763314435</v>
      </c>
      <c r="H76" s="7">
        <v>3.0380882406607412E-2</v>
      </c>
      <c r="I76" s="7">
        <v>-3.5566010462799058E-2</v>
      </c>
      <c r="J76" s="7">
        <v>9.3421833532401077E-3</v>
      </c>
      <c r="K76" s="3">
        <v>4.7809555837545981</v>
      </c>
      <c r="L76" s="5"/>
      <c r="M76" s="6"/>
      <c r="N76" s="6"/>
      <c r="O76" s="3"/>
      <c r="P76" s="3"/>
    </row>
    <row r="77" spans="1:16" x14ac:dyDescent="0.25">
      <c r="A77" t="s">
        <v>355</v>
      </c>
      <c r="B77" s="2">
        <v>43100</v>
      </c>
      <c r="C77" s="7">
        <v>5.4492639993390046E-2</v>
      </c>
      <c r="D77" s="7">
        <v>2.8166603861882411E-2</v>
      </c>
      <c r="E77" s="7">
        <v>6.3007222119111361E-2</v>
      </c>
      <c r="F77" s="7">
        <v>2.0880478315529416E-2</v>
      </c>
      <c r="G77" s="7">
        <v>-0.38413077067446799</v>
      </c>
      <c r="H77" s="7">
        <v>1.0900974693331289E-2</v>
      </c>
      <c r="I77" s="7">
        <v>0.21193200587543592</v>
      </c>
      <c r="J77" s="7">
        <v>9.0795434710500889E-2</v>
      </c>
      <c r="K77" s="3">
        <v>4.3335544120641556</v>
      </c>
      <c r="L77" s="5"/>
      <c r="M77" s="6"/>
      <c r="N77" s="6"/>
      <c r="O77" s="3"/>
      <c r="P77" s="3"/>
    </row>
    <row r="78" spans="1:16" x14ac:dyDescent="0.25">
      <c r="A78" t="s">
        <v>356</v>
      </c>
      <c r="B78" s="2">
        <v>43190</v>
      </c>
      <c r="C78" s="7">
        <v>5.262419998206247E-2</v>
      </c>
      <c r="D78" s="7">
        <v>7.9977270942742651E-2</v>
      </c>
      <c r="E78" s="7">
        <v>6.2748856570243206E-2</v>
      </c>
      <c r="F78" s="7">
        <v>8.137703876800885E-2</v>
      </c>
      <c r="G78" s="7">
        <v>1.3372182970159487</v>
      </c>
      <c r="H78" s="7">
        <v>0.10164643581632005</v>
      </c>
      <c r="I78" s="7">
        <v>7.558774357710174E-2</v>
      </c>
      <c r="J78" s="7">
        <v>0.16793992337363206</v>
      </c>
      <c r="K78" s="3">
        <v>3.4500096047045625</v>
      </c>
      <c r="L78" s="5"/>
      <c r="M78" s="6"/>
      <c r="N78" s="6"/>
      <c r="O78" s="3"/>
      <c r="P78" s="3"/>
    </row>
    <row r="79" spans="1:16" x14ac:dyDescent="0.25">
      <c r="A79" t="s">
        <v>357</v>
      </c>
      <c r="B79" s="2">
        <v>43281</v>
      </c>
      <c r="C79" s="7">
        <v>-2.478257482728341E-3</v>
      </c>
      <c r="D79" s="7">
        <v>-3.2920944659953211E-3</v>
      </c>
      <c r="E79" s="7">
        <v>3.1372306202888556E-2</v>
      </c>
      <c r="F79" s="7">
        <v>-5.0317709876595007E-3</v>
      </c>
      <c r="G79" s="7">
        <v>-0.72859726836457217</v>
      </c>
      <c r="H79" s="7">
        <v>-2.1999263802309321E-2</v>
      </c>
      <c r="I79" s="7">
        <v>7.2094424832598758E-2</v>
      </c>
      <c r="J79" s="7">
        <v>-5.2385693659966141E-2</v>
      </c>
      <c r="K79" s="3">
        <v>3.6450356750515667</v>
      </c>
      <c r="L79" s="5"/>
      <c r="M79" s="6"/>
      <c r="N79" s="6"/>
      <c r="O79" s="3"/>
      <c r="P79" s="3"/>
    </row>
    <row r="80" spans="1:16" x14ac:dyDescent="0.25">
      <c r="A80" t="s">
        <v>358</v>
      </c>
      <c r="B80" s="2">
        <v>43373</v>
      </c>
      <c r="C80" s="7">
        <v>8.8658037412248092E-3</v>
      </c>
      <c r="D80" s="7">
        <v>-2.2253542770755974E-4</v>
      </c>
      <c r="E80" s="7">
        <v>-4.2844840300933162E-2</v>
      </c>
      <c r="F80" s="7">
        <v>6.6207448050674689E-3</v>
      </c>
      <c r="G80" s="7">
        <v>2.2348952907909214</v>
      </c>
      <c r="H80" s="7">
        <v>-5.1627631996616581E-2</v>
      </c>
      <c r="I80" s="7">
        <v>-1.3821676373733105E-3</v>
      </c>
      <c r="J80" s="7">
        <v>4.3324077369172542E-2</v>
      </c>
      <c r="K80" s="3">
        <v>2.9995798731003331</v>
      </c>
      <c r="L80" s="5"/>
      <c r="M80" s="6"/>
      <c r="N80" s="6"/>
      <c r="O80" s="3"/>
      <c r="P80" s="3"/>
    </row>
    <row r="81" spans="1:16" x14ac:dyDescent="0.25">
      <c r="A81" t="s">
        <v>359</v>
      </c>
      <c r="B81" s="2">
        <v>43465</v>
      </c>
      <c r="C81" s="7">
        <v>-9.7446868532167219E-3</v>
      </c>
      <c r="D81" s="7">
        <v>-2.3113696385285598E-2</v>
      </c>
      <c r="E81" s="7">
        <v>-2.2729784506228201E-2</v>
      </c>
      <c r="F81" s="7">
        <v>-2.4730962339508222E-2</v>
      </c>
      <c r="G81" s="7">
        <v>-0.15774381334192045</v>
      </c>
      <c r="H81" s="7">
        <v>-0.13032102855560657</v>
      </c>
      <c r="I81" s="7">
        <v>3.9897413277342642E-2</v>
      </c>
      <c r="J81" s="7">
        <v>6.8516210150747714E-2</v>
      </c>
      <c r="K81" s="3">
        <v>2.8421520960892455</v>
      </c>
      <c r="L81" s="5"/>
      <c r="M81" s="6"/>
      <c r="N81" s="6"/>
      <c r="O81" s="3"/>
      <c r="P81" s="3"/>
    </row>
    <row r="82" spans="1:16" x14ac:dyDescent="0.25">
      <c r="A82" t="s">
        <v>360</v>
      </c>
      <c r="B82" s="2">
        <v>43555</v>
      </c>
      <c r="C82" s="7">
        <v>6.419316753836446E-3</v>
      </c>
      <c r="D82" s="7">
        <v>1.6026606578539937E-2</v>
      </c>
      <c r="E82" s="7">
        <v>-1.6170604598581995E-2</v>
      </c>
      <c r="F82" s="7">
        <v>1.9837489674724207E-2</v>
      </c>
      <c r="G82" s="7">
        <v>-0.95075446836185895</v>
      </c>
      <c r="H82" s="7">
        <v>0.10931250960710193</v>
      </c>
      <c r="I82" s="7">
        <v>-2.9935679330830189E-2</v>
      </c>
      <c r="J82" s="7">
        <v>-4.3156865594649825E-2</v>
      </c>
      <c r="K82" s="3">
        <v>3.002344805132795</v>
      </c>
      <c r="L82" s="5"/>
      <c r="M82" s="6"/>
      <c r="N82" s="6"/>
      <c r="O82" s="3"/>
      <c r="P82" s="3"/>
    </row>
    <row r="83" spans="1:16" x14ac:dyDescent="0.25">
      <c r="A83" t="s">
        <v>385</v>
      </c>
      <c r="B83" s="2">
        <v>43646</v>
      </c>
      <c r="C83" s="7">
        <v>-6.2779347118910866E-3</v>
      </c>
      <c r="D83" s="7">
        <v>9.0597320869727493E-3</v>
      </c>
      <c r="E83" s="7">
        <v>-1.3550758893205561E-2</v>
      </c>
      <c r="F83" s="7">
        <v>1.7390358590261945E-2</v>
      </c>
      <c r="G83" s="7">
        <v>3.6787746392091107</v>
      </c>
      <c r="H83" s="7">
        <v>-0.13805634644211651</v>
      </c>
      <c r="I83" s="7">
        <v>0.11803421954715552</v>
      </c>
      <c r="J83" s="7">
        <v>-3.3615446027590479E-2</v>
      </c>
      <c r="K83" s="3">
        <v>3.4013271283909852</v>
      </c>
      <c r="L83" s="5"/>
      <c r="M83" s="6"/>
      <c r="N83" s="6"/>
      <c r="O83" s="3"/>
      <c r="P83" s="3"/>
    </row>
    <row r="84" spans="1:16" x14ac:dyDescent="0.25">
      <c r="A84" t="s">
        <v>393</v>
      </c>
      <c r="B84" s="2">
        <v>43738</v>
      </c>
      <c r="C84" s="7">
        <v>-8.6871766607550249E-3</v>
      </c>
      <c r="D84" s="7">
        <v>5.9703967948128156E-3</v>
      </c>
      <c r="E84" s="7">
        <v>-9.3497732997444016E-3</v>
      </c>
      <c r="F84" s="7">
        <v>7.9732118915765149E-3</v>
      </c>
      <c r="G84" s="7">
        <v>2.0837133118895781</v>
      </c>
      <c r="H84" s="7">
        <v>-9.1935698850378098E-2</v>
      </c>
      <c r="I84" s="7">
        <v>-4.792295148151493E-3</v>
      </c>
      <c r="J84" s="7">
        <v>6.4071416084652277E-3</v>
      </c>
      <c r="K84" s="3">
        <v>3.0027110527812484</v>
      </c>
      <c r="L84" s="5"/>
      <c r="M84" s="6"/>
      <c r="N84" s="6"/>
      <c r="O84" s="3"/>
      <c r="P84" s="3"/>
    </row>
    <row r="85" spans="1:16" x14ac:dyDescent="0.25">
      <c r="A85" t="s">
        <v>398</v>
      </c>
      <c r="B85" s="2">
        <v>43830</v>
      </c>
      <c r="C85" s="7">
        <v>-2.2543674152791571E-2</v>
      </c>
      <c r="D85" s="7">
        <v>-7.4105784519943319E-3</v>
      </c>
      <c r="E85" s="7">
        <v>2.801808230089331E-2</v>
      </c>
      <c r="F85" s="7">
        <v>-1.5155554402965232E-2</v>
      </c>
      <c r="G85" s="7">
        <v>-0.44635392116340955</v>
      </c>
      <c r="H85" s="7">
        <v>-6.5926735252538893E-2</v>
      </c>
      <c r="I85" s="7">
        <v>-0.14793566782689316</v>
      </c>
      <c r="J85" s="7">
        <v>-0.10175142968417707</v>
      </c>
      <c r="K85" s="3">
        <v>2.6073256805054568</v>
      </c>
      <c r="L85" s="5"/>
      <c r="M85" s="6"/>
      <c r="N85" s="6"/>
      <c r="P85" s="3"/>
    </row>
    <row r="86" spans="1:16" x14ac:dyDescent="0.25">
      <c r="A86" t="s">
        <v>404</v>
      </c>
      <c r="B86" s="2">
        <v>43921</v>
      </c>
      <c r="C86" s="7">
        <v>-4.8722731089481108E-2</v>
      </c>
      <c r="D86" s="7">
        <v>-2.9057320793272834E-2</v>
      </c>
      <c r="E86" s="7">
        <v>0.13430904182463288</v>
      </c>
      <c r="F86" s="7">
        <v>-5.6732310975717404E-2</v>
      </c>
      <c r="G86" s="7">
        <v>-0.98890473072250007</v>
      </c>
      <c r="H86" s="7">
        <v>-8.3393376904349448E-2</v>
      </c>
      <c r="I86" s="7">
        <v>0.130262394001879</v>
      </c>
      <c r="J86" s="7">
        <v>-7.3409822157547433E-2</v>
      </c>
      <c r="L86" s="5"/>
      <c r="M86" s="6"/>
      <c r="P86" s="3"/>
    </row>
    <row r="87" spans="1:16" x14ac:dyDescent="0.25">
      <c r="A87" t="s">
        <v>509</v>
      </c>
      <c r="B87" s="2">
        <v>44012</v>
      </c>
      <c r="L87" s="5"/>
      <c r="M87" s="6"/>
      <c r="P87" s="3"/>
    </row>
    <row r="88" spans="1:16" x14ac:dyDescent="0.25">
      <c r="P88" s="3"/>
    </row>
    <row r="89" spans="1:16" x14ac:dyDescent="0.25">
      <c r="J89" t="s">
        <v>510</v>
      </c>
      <c r="P89" s="3"/>
    </row>
  </sheetData>
  <hyperlinks>
    <hyperlink ref="C2" r:id="rId1" display="REDPC2@JAPAN" xr:uid="{C65D9CEF-72DE-463F-97CB-2B48B9D0E31F}"/>
    <hyperlink ref="D2" r:id="rId2" display="S542NCC@EMERGEPR" xr:uid="{1B3946BA-B469-4EEF-955F-A35D389DCC1B}"/>
    <hyperlink ref="E2" r:id="rId3" display="S542NCGC@EMERGEPR" xr:uid="{8B6499C3-1CA0-49D9-9607-78EA8C61FE5B}"/>
    <hyperlink ref="F2" r:id="rId4" display="S542NCPC@EMERGEPR" xr:uid="{A5959CD9-96E4-474A-8185-472F9E070774}"/>
    <hyperlink ref="G2" r:id="rId5" display="S542NKC@EMERGEPR" xr:uid="{66788C31-821A-4DF4-88CA-7DD4D40A2B06}"/>
    <hyperlink ref="H2" r:id="rId6" display="S542NFC@EMERGEPR" xr:uid="{2641D5AA-AA53-4901-B766-3495CEE0B764}"/>
    <hyperlink ref="I2" r:id="rId7" display="S542NXC@EMERGEPR" xr:uid="{D08CE097-0235-457F-8949-0B1F75AD8C9B}"/>
    <hyperlink ref="J2" r:id="rId8" display="S542NMC@EMERGEPR" xr:uid="{CA897713-4C0F-4355-AF8C-B115F4C4B90B}"/>
  </hyperlinks>
  <pageMargins left="0.7" right="0.7" top="0.75" bottom="0.75" header="0.3" footer="0.3"/>
  <pageSetup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6216-4EA9-44FA-90F7-C33A5251B3C3}">
  <sheetPr codeName="Sheet4">
    <tabColor rgb="FF00B050"/>
  </sheetPr>
  <dimension ref="A1:L9623"/>
  <sheetViews>
    <sheetView workbookViewId="0">
      <pane xSplit="2" ySplit="3" topLeftCell="C242" activePane="bottomRight" state="frozen"/>
      <selection pane="topRight" activeCell="C1" sqref="C1"/>
      <selection pane="bottomLeft" activeCell="A3" sqref="A3"/>
      <selection pane="bottomRight" activeCell="E268" sqref="E268"/>
    </sheetView>
  </sheetViews>
  <sheetFormatPr defaultColWidth="9.140625" defaultRowHeight="12.75" x14ac:dyDescent="0.2"/>
  <cols>
    <col min="1" max="1" width="5.7109375" style="9" customWidth="1"/>
    <col min="2" max="2" width="10.140625" style="9" bestFit="1" customWidth="1"/>
    <col min="3" max="11" width="13.7109375" style="10" customWidth="1"/>
    <col min="12" max="16384" width="9.140625" style="9"/>
  </cols>
  <sheetData>
    <row r="1" spans="1:12" x14ac:dyDescent="0.2">
      <c r="C1" s="10" t="s">
        <v>374</v>
      </c>
      <c r="D1" s="10" t="s">
        <v>375</v>
      </c>
      <c r="E1" s="10" t="s">
        <v>376</v>
      </c>
      <c r="F1" s="10" t="s">
        <v>377</v>
      </c>
      <c r="L1" s="38" t="s">
        <v>550</v>
      </c>
    </row>
    <row r="2" spans="1:12" ht="33" customHeight="1" x14ac:dyDescent="0.2">
      <c r="C2" s="26" t="s">
        <v>282</v>
      </c>
      <c r="D2" s="26" t="s">
        <v>281</v>
      </c>
      <c r="E2" s="26" t="s">
        <v>280</v>
      </c>
      <c r="F2" s="26" t="s">
        <v>279</v>
      </c>
      <c r="G2" s="26" t="s">
        <v>278</v>
      </c>
      <c r="H2" s="26" t="s">
        <v>277</v>
      </c>
      <c r="I2" s="26" t="s">
        <v>276</v>
      </c>
      <c r="J2" s="26" t="s">
        <v>266</v>
      </c>
      <c r="K2" s="26" t="s">
        <v>275</v>
      </c>
      <c r="L2" s="39" t="s">
        <v>551</v>
      </c>
    </row>
    <row r="3" spans="1:12" ht="25.5" x14ac:dyDescent="0.25">
      <c r="A3" s="22">
        <v>0</v>
      </c>
      <c r="B3" s="21" t="s">
        <v>274</v>
      </c>
      <c r="C3" s="25" t="s">
        <v>273</v>
      </c>
      <c r="D3" s="25" t="s">
        <v>272</v>
      </c>
      <c r="E3" s="25" t="s">
        <v>271</v>
      </c>
      <c r="F3" s="25" t="s">
        <v>270</v>
      </c>
      <c r="G3" s="25" t="s">
        <v>269</v>
      </c>
      <c r="H3" s="25" t="s">
        <v>268</v>
      </c>
      <c r="I3" s="25" t="s">
        <v>267</v>
      </c>
      <c r="J3" s="25" t="s">
        <v>266</v>
      </c>
      <c r="K3" s="25" t="s">
        <v>265</v>
      </c>
      <c r="L3" s="37" t="s">
        <v>549</v>
      </c>
    </row>
    <row r="4" spans="1:12" ht="15" x14ac:dyDescent="0.25">
      <c r="A4" s="22">
        <v>2</v>
      </c>
      <c r="B4" s="21" t="s">
        <v>264</v>
      </c>
      <c r="C4" s="20" t="s">
        <v>263</v>
      </c>
      <c r="D4" s="20" t="str">
        <f t="shared" ref="D4:L4" si="0">C4</f>
        <v>px_last</v>
      </c>
      <c r="E4" s="20" t="str">
        <f t="shared" si="0"/>
        <v>px_last</v>
      </c>
      <c r="F4" s="20" t="str">
        <f t="shared" si="0"/>
        <v>px_last</v>
      </c>
      <c r="G4" s="20" t="str">
        <f t="shared" si="0"/>
        <v>px_last</v>
      </c>
      <c r="H4" s="20" t="str">
        <f t="shared" si="0"/>
        <v>px_last</v>
      </c>
      <c r="I4" s="20" t="str">
        <f t="shared" si="0"/>
        <v>px_last</v>
      </c>
      <c r="J4" s="20" t="str">
        <f t="shared" si="0"/>
        <v>px_last</v>
      </c>
      <c r="K4" s="20" t="str">
        <f t="shared" si="0"/>
        <v>px_last</v>
      </c>
      <c r="L4" s="20" t="str">
        <f t="shared" si="0"/>
        <v>px_last</v>
      </c>
    </row>
    <row r="5" spans="1:12" ht="15" x14ac:dyDescent="0.25">
      <c r="A5" s="22">
        <v>3</v>
      </c>
      <c r="B5" s="21" t="s">
        <v>262</v>
      </c>
      <c r="C5" s="24">
        <v>36523</v>
      </c>
      <c r="D5" s="23">
        <f t="shared" ref="D5:L5" si="1">$C$5</f>
        <v>36523</v>
      </c>
      <c r="E5" s="23">
        <f t="shared" si="1"/>
        <v>36523</v>
      </c>
      <c r="F5" s="23">
        <f t="shared" si="1"/>
        <v>36523</v>
      </c>
      <c r="G5" s="23">
        <f t="shared" si="1"/>
        <v>36523</v>
      </c>
      <c r="H5" s="23">
        <f t="shared" si="1"/>
        <v>36523</v>
      </c>
      <c r="I5" s="23">
        <f t="shared" si="1"/>
        <v>36523</v>
      </c>
      <c r="J5" s="23">
        <f t="shared" si="1"/>
        <v>36523</v>
      </c>
      <c r="K5" s="23">
        <f t="shared" si="1"/>
        <v>36523</v>
      </c>
      <c r="L5" s="23">
        <f t="shared" si="1"/>
        <v>36523</v>
      </c>
    </row>
    <row r="6" spans="1:12" ht="15" x14ac:dyDescent="0.25">
      <c r="A6" s="22">
        <v>4</v>
      </c>
      <c r="B6" s="21" t="s">
        <v>261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ht="15" x14ac:dyDescent="0.25">
      <c r="A7" s="18" t="s">
        <v>260</v>
      </c>
      <c r="B7" s="18" t="s">
        <v>259</v>
      </c>
      <c r="C7" s="19" t="s">
        <v>258</v>
      </c>
      <c r="D7" s="19" t="str">
        <f t="shared" ref="D7:L7" si="2">$C$7</f>
        <v>m</v>
      </c>
      <c r="E7" s="19" t="str">
        <f t="shared" si="2"/>
        <v>m</v>
      </c>
      <c r="F7" s="19" t="str">
        <f t="shared" si="2"/>
        <v>m</v>
      </c>
      <c r="G7" s="19" t="str">
        <f t="shared" si="2"/>
        <v>m</v>
      </c>
      <c r="H7" s="19" t="str">
        <f t="shared" si="2"/>
        <v>m</v>
      </c>
      <c r="I7" s="19" t="str">
        <f t="shared" si="2"/>
        <v>m</v>
      </c>
      <c r="J7" s="19" t="str">
        <f t="shared" si="2"/>
        <v>m</v>
      </c>
      <c r="K7" s="19" t="str">
        <f t="shared" si="2"/>
        <v>m</v>
      </c>
      <c r="L7" s="19" t="str">
        <f t="shared" si="2"/>
        <v>m</v>
      </c>
    </row>
    <row r="8" spans="1:12" ht="15" x14ac:dyDescent="0.25">
      <c r="A8" s="18" t="s">
        <v>257</v>
      </c>
      <c r="B8" s="18" t="s">
        <v>256</v>
      </c>
      <c r="C8" s="19" t="s">
        <v>255</v>
      </c>
      <c r="D8" s="19" t="str">
        <f t="shared" ref="D8:L8" si="3">$C$8</f>
        <v>N</v>
      </c>
      <c r="E8" s="19" t="str">
        <f t="shared" si="3"/>
        <v>N</v>
      </c>
      <c r="F8" s="19" t="str">
        <f t="shared" si="3"/>
        <v>N</v>
      </c>
      <c r="G8" s="19" t="str">
        <f t="shared" si="3"/>
        <v>N</v>
      </c>
      <c r="H8" s="19" t="str">
        <f t="shared" si="3"/>
        <v>N</v>
      </c>
      <c r="I8" s="19" t="str">
        <f t="shared" si="3"/>
        <v>N</v>
      </c>
      <c r="J8" s="19" t="str">
        <f t="shared" si="3"/>
        <v>N</v>
      </c>
      <c r="K8" s="19" t="str">
        <f t="shared" si="3"/>
        <v>N</v>
      </c>
      <c r="L8" s="19" t="str">
        <f t="shared" si="3"/>
        <v>N</v>
      </c>
    </row>
    <row r="9" spans="1:12" ht="15" x14ac:dyDescent="0.25">
      <c r="A9" s="18" t="s">
        <v>254</v>
      </c>
      <c r="B9" s="18" t="s">
        <v>253</v>
      </c>
      <c r="C9" s="19" t="s">
        <v>252</v>
      </c>
      <c r="D9" s="19" t="str">
        <f t="shared" ref="D9:L9" si="4">$C$9</f>
        <v>B</v>
      </c>
      <c r="E9" s="19" t="str">
        <f t="shared" si="4"/>
        <v>B</v>
      </c>
      <c r="F9" s="19" t="str">
        <f t="shared" si="4"/>
        <v>B</v>
      </c>
      <c r="G9" s="19" t="str">
        <f t="shared" si="4"/>
        <v>B</v>
      </c>
      <c r="H9" s="19" t="str">
        <f t="shared" si="4"/>
        <v>B</v>
      </c>
      <c r="I9" s="19" t="str">
        <f t="shared" si="4"/>
        <v>B</v>
      </c>
      <c r="J9" s="19" t="str">
        <f t="shared" si="4"/>
        <v>B</v>
      </c>
      <c r="K9" s="19" t="str">
        <f t="shared" si="4"/>
        <v>B</v>
      </c>
      <c r="L9" s="19" t="str">
        <f t="shared" si="4"/>
        <v>B</v>
      </c>
    </row>
    <row r="10" spans="1:12" x14ac:dyDescent="0.2">
      <c r="A10" s="18" t="s">
        <v>251</v>
      </c>
      <c r="B10" s="18" t="s">
        <v>250</v>
      </c>
      <c r="C10" s="17" t="b">
        <v>1</v>
      </c>
      <c r="D10" s="17" t="b">
        <v>0</v>
      </c>
      <c r="E10" s="17" t="b">
        <v>0</v>
      </c>
      <c r="F10" s="17" t="b">
        <v>0</v>
      </c>
      <c r="G10" s="17" t="b">
        <v>0</v>
      </c>
      <c r="H10" s="17" t="b">
        <v>0</v>
      </c>
      <c r="I10" s="17" t="b">
        <v>0</v>
      </c>
      <c r="J10" s="17" t="b">
        <v>0</v>
      </c>
      <c r="K10" s="17" t="b">
        <v>0</v>
      </c>
      <c r="L10" s="17" t="b">
        <v>0</v>
      </c>
    </row>
    <row r="11" spans="1:12" x14ac:dyDescent="0.2">
      <c r="A11" s="18" t="s">
        <v>249</v>
      </c>
      <c r="B11" s="18" t="s">
        <v>248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x14ac:dyDescent="0.2">
      <c r="A12" s="18" t="s">
        <v>247</v>
      </c>
      <c r="B12" s="18" t="s">
        <v>246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x14ac:dyDescent="0.2">
      <c r="A13" s="18" t="s">
        <v>245</v>
      </c>
      <c r="B13" s="18" t="s">
        <v>244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 x14ac:dyDescent="0.2">
      <c r="A14" s="18" t="s">
        <v>243</v>
      </c>
      <c r="B14" s="18" t="s">
        <v>242</v>
      </c>
      <c r="C14" s="17" t="s">
        <v>241</v>
      </c>
      <c r="D14" s="17" t="str">
        <f t="shared" ref="D14:L14" si="5">$C$14</f>
        <v>G</v>
      </c>
      <c r="E14" s="17" t="str">
        <f t="shared" si="5"/>
        <v>G</v>
      </c>
      <c r="F14" s="17" t="str">
        <f t="shared" si="5"/>
        <v>G</v>
      </c>
      <c r="G14" s="17" t="str">
        <f t="shared" si="5"/>
        <v>G</v>
      </c>
      <c r="H14" s="17" t="str">
        <f t="shared" si="5"/>
        <v>G</v>
      </c>
      <c r="I14" s="17" t="str">
        <f t="shared" si="5"/>
        <v>G</v>
      </c>
      <c r="J14" s="17" t="str">
        <f t="shared" si="5"/>
        <v>G</v>
      </c>
      <c r="K14" s="17" t="str">
        <f t="shared" si="5"/>
        <v>G</v>
      </c>
      <c r="L14" s="17" t="str">
        <f t="shared" si="5"/>
        <v>G</v>
      </c>
    </row>
    <row r="15" spans="1:12" ht="25.5" x14ac:dyDescent="0.2">
      <c r="A15" s="16" t="s">
        <v>240</v>
      </c>
      <c r="B15" s="16"/>
      <c r="C15" s="16" t="str">
        <f>_xll.BDP(C3,"indx_units")</f>
        <v>#N/A Connection</v>
      </c>
      <c r="D15" s="16" t="str">
        <f>_xll.BDP(D3,"indx_units")</f>
        <v>#N/A Connection</v>
      </c>
      <c r="E15" s="16" t="str">
        <f>_xll.BDP(E3,"indx_units")</f>
        <v>#N/A Connection</v>
      </c>
      <c r="F15" s="16" t="str">
        <f>_xll.BDP(F3,"indx_units")</f>
        <v>#N/A Connection</v>
      </c>
      <c r="G15" s="16" t="str">
        <f>_xll.BDP(G3,"indx_units")</f>
        <v>#N/A Connection</v>
      </c>
      <c r="H15" s="16" t="str">
        <f>_xll.BDP(H3,"indx_units")</f>
        <v>#N/A Connection</v>
      </c>
      <c r="I15" s="16" t="str">
        <f>_xll.BDP(I3,"indx_units")</f>
        <v>#N/A Connection</v>
      </c>
      <c r="J15" s="16" t="str">
        <f>_xll.BDP(J3,"indx_units")</f>
        <v>#N/A Connection</v>
      </c>
      <c r="K15" s="16" t="str">
        <f>_xll.BDP(K3,"indx_units")</f>
        <v>#N/A Connection</v>
      </c>
      <c r="L15" s="16" t="str">
        <f>_xll.BDP(L3,"indx_units")</f>
        <v>#N/A Connection</v>
      </c>
    </row>
    <row r="16" spans="1:12" ht="89.25" x14ac:dyDescent="0.2">
      <c r="A16" s="16" t="s">
        <v>239</v>
      </c>
      <c r="B16" s="16"/>
      <c r="C16" s="15" t="str">
        <f>_xll.BDP(C3,"long_comp_name")</f>
        <v>#N/A Connection</v>
      </c>
      <c r="D16" s="15" t="str">
        <f>_xll.BDP(D3,"long_comp_name")</f>
        <v>#N/A Connection</v>
      </c>
      <c r="E16" s="15" t="str">
        <f>_xll.BDP(E3,"long_comp_name")</f>
        <v>#N/A Connection</v>
      </c>
      <c r="F16" s="15" t="str">
        <f>_xll.BDP(F3,"long_comp_name")</f>
        <v>#N/A Connection</v>
      </c>
      <c r="G16" s="15" t="str">
        <f>_xll.BDP(G3,"long_comp_name")</f>
        <v>#N/A Connection</v>
      </c>
      <c r="H16" s="15" t="str">
        <f>_xll.BDP(H3,"long_comp_name")</f>
        <v>#N/A Connection</v>
      </c>
      <c r="I16" s="15" t="str">
        <f>_xll.BDP(I3,"long_comp_name")</f>
        <v>#N/A Connection</v>
      </c>
      <c r="J16" s="15" t="str">
        <f>_xll.BDP(J3,"long_comp_name")</f>
        <v>#N/A Connection</v>
      </c>
      <c r="K16" s="15" t="str">
        <f>_xll.BDP(K3,"long_comp_name")</f>
        <v>#N/A Connection</v>
      </c>
      <c r="L16" s="15" t="str">
        <f>_xll.BDP(L3,"long_comp_name")</f>
        <v>#N/A Connection</v>
      </c>
    </row>
    <row r="17" spans="1:12" x14ac:dyDescent="0.2">
      <c r="A17" s="14"/>
      <c r="B17" s="13">
        <f>_xll.BDH(C3,C4,C5,C6,$B$7&amp;C7,$B$8&amp;C8,$B$9&amp;C9,$B$10&amp;C10,$B$11&amp;C11,$B$12&amp;C12,$B$13&amp;C13,$B$14&amp;C14,"cols=2;rows=247")</f>
        <v>36525</v>
      </c>
      <c r="C17" s="12">
        <v>1343</v>
      </c>
      <c r="D17" s="12" t="str">
        <f>_xll.BDH(D3,D4,D5,D6,$B$7&amp;D7,$B$8&amp;D8,$B$9&amp;D9,$B$10&amp;D10,$B$11&amp;D11,$B$12&amp;D12,$B$13&amp;D13,$B$14&amp;D14,"cols=1;rows=247")</f>
        <v/>
      </c>
      <c r="E17" s="12" t="str">
        <f>_xll.BDH(E3,E4,E5,E6,$B$7&amp;E7,$B$8&amp;E8,$B$9&amp;E9,$B$10&amp;E10,$B$11&amp;E11,$B$12&amp;E12,$B$13&amp;E13,$B$14&amp;E14,"cols=1;rows=247")</f>
        <v/>
      </c>
      <c r="F17" s="12" t="str">
        <f>_xll.BDH(F3,F4,F5,F6,$B$7&amp;F7,$B$8&amp;F8,$B$9&amp;F9,$B$10&amp;F10,$B$11&amp;F11,$B$12&amp;F12,$B$13&amp;F13,$B$14&amp;F14,"cols=1;rows=247")</f>
        <v/>
      </c>
      <c r="G17" s="12" t="str">
        <f>_xll.BDH(G3,G4,G5,G6,$B$7&amp;G7,$B$8&amp;G8,$B$9&amp;G9,$B$10&amp;G10,$B$11&amp;G11,$B$12&amp;G12,$B$13&amp;G13,$B$14&amp;G14,"cols=1;rows=247")</f>
        <v/>
      </c>
      <c r="H17" s="12" t="str">
        <f>_xll.BDH(H3,H4,H5,H6,$B$7&amp;H7,$B$8&amp;H8,$B$9&amp;H9,$B$10&amp;H10,$B$11&amp;H11,$B$12&amp;H12,$B$13&amp;H13,$B$14&amp;H14,"cols=1;rows=247")</f>
        <v/>
      </c>
      <c r="I17" s="12" t="str">
        <f>_xll.BDH(I3,I4,I5,I6,$B$7&amp;I7,$B$8&amp;I8,$B$9&amp;I9,$B$10&amp;I10,$B$11&amp;I11,$B$12&amp;I12,$B$13&amp;I13,$B$14&amp;I14,"cols=1;rows=247")</f>
        <v/>
      </c>
      <c r="J17" s="12" t="str">
        <f>_xll.BDH(J3,J4,J5,J6,$B$7&amp;J7,$B$8&amp;J8,$B$9&amp;J9,$B$10&amp;J10,$B$11&amp;J11,$B$12&amp;J12,$B$13&amp;J13,$B$14&amp;J14,"cols=1;rows=247")</f>
        <v/>
      </c>
      <c r="K17" s="12" t="str">
        <f>_xll.BDH(K3,K4,K5,K6,$B$7&amp;K7,$B$8&amp;K8,$B$9&amp;K9,$B$10&amp;K10,$B$11&amp;K11,$B$12&amp;K12,$B$13&amp;K13,$B$14&amp;K14,"cols=1;rows=247")</f>
        <v/>
      </c>
      <c r="L17" s="12">
        <f>_xll.BDH(L3,L4,L5,L6,$B$7&amp;L7,$B$8&amp;L8,$B$9&amp;L9,$B$10&amp;L10,$B$11&amp;L11,$B$12&amp;L12,$B$13&amp;L13,$B$14&amp;L14,"cols=1;rows=247")</f>
        <v>26.08</v>
      </c>
    </row>
    <row r="18" spans="1:12" x14ac:dyDescent="0.2">
      <c r="A18" s="14"/>
      <c r="B18" s="13">
        <v>36556</v>
      </c>
      <c r="C18" s="12">
        <v>1371</v>
      </c>
      <c r="D18" s="12"/>
      <c r="E18" s="12"/>
      <c r="F18" s="12"/>
      <c r="G18" s="12"/>
      <c r="H18" s="12"/>
      <c r="I18" s="12"/>
      <c r="J18" s="12"/>
      <c r="K18" s="12"/>
      <c r="L18" s="9">
        <v>27.27</v>
      </c>
    </row>
    <row r="19" spans="1:12" x14ac:dyDescent="0.2">
      <c r="A19" s="14"/>
      <c r="B19" s="13">
        <v>36585</v>
      </c>
      <c r="C19" s="12">
        <v>1393</v>
      </c>
      <c r="D19" s="12"/>
      <c r="E19" s="12"/>
      <c r="F19" s="12"/>
      <c r="G19" s="12"/>
      <c r="H19" s="12"/>
      <c r="I19" s="12"/>
      <c r="J19" s="12"/>
      <c r="K19" s="12"/>
      <c r="L19" s="9">
        <v>29.35</v>
      </c>
    </row>
    <row r="20" spans="1:12" x14ac:dyDescent="0.2">
      <c r="A20" s="14"/>
      <c r="B20" s="13">
        <v>36616</v>
      </c>
      <c r="C20" s="12">
        <v>1621</v>
      </c>
      <c r="D20" s="12"/>
      <c r="E20" s="12"/>
      <c r="F20" s="12"/>
      <c r="G20" s="12"/>
      <c r="H20" s="12"/>
      <c r="I20" s="12"/>
      <c r="J20" s="12"/>
      <c r="K20" s="12"/>
      <c r="L20" s="9">
        <v>29.89</v>
      </c>
    </row>
    <row r="21" spans="1:12" x14ac:dyDescent="0.2">
      <c r="A21" s="14"/>
      <c r="B21" s="13">
        <v>36644</v>
      </c>
      <c r="C21" s="12">
        <v>1667</v>
      </c>
      <c r="D21" s="12"/>
      <c r="E21" s="12"/>
      <c r="F21" s="12"/>
      <c r="G21" s="12"/>
      <c r="H21" s="12"/>
      <c r="I21" s="12"/>
      <c r="J21" s="12"/>
      <c r="K21" s="12"/>
      <c r="L21" s="9">
        <v>25.78</v>
      </c>
    </row>
    <row r="22" spans="1:12" x14ac:dyDescent="0.2">
      <c r="A22" s="14"/>
      <c r="B22" s="13">
        <v>36677</v>
      </c>
      <c r="C22" s="12">
        <v>1602</v>
      </c>
      <c r="D22" s="12"/>
      <c r="E22" s="12"/>
      <c r="F22" s="12"/>
      <c r="G22" s="12"/>
      <c r="H22" s="12"/>
      <c r="I22" s="12"/>
      <c r="J22" s="12"/>
      <c r="K22" s="12"/>
      <c r="L22" s="9">
        <v>28.78</v>
      </c>
    </row>
    <row r="23" spans="1:12" x14ac:dyDescent="0.2">
      <c r="A23" s="14"/>
      <c r="B23" s="13">
        <v>36707</v>
      </c>
      <c r="C23" s="12">
        <v>1589</v>
      </c>
      <c r="D23" s="12"/>
      <c r="E23" s="12"/>
      <c r="F23" s="12"/>
      <c r="G23" s="12"/>
      <c r="H23" s="12"/>
      <c r="I23" s="12"/>
      <c r="J23" s="12"/>
      <c r="K23" s="12"/>
      <c r="L23" s="9">
        <v>31.86</v>
      </c>
    </row>
    <row r="24" spans="1:12" x14ac:dyDescent="0.2">
      <c r="A24" s="14"/>
      <c r="B24" s="13">
        <v>36738</v>
      </c>
      <c r="C24" s="12">
        <v>1618</v>
      </c>
      <c r="D24" s="12"/>
      <c r="E24" s="12"/>
      <c r="F24" s="12"/>
      <c r="G24" s="12"/>
      <c r="H24" s="12"/>
      <c r="I24" s="12"/>
      <c r="J24" s="12"/>
      <c r="K24" s="12"/>
      <c r="L24" s="9">
        <v>29.7</v>
      </c>
    </row>
    <row r="25" spans="1:12" x14ac:dyDescent="0.2">
      <c r="A25" s="14"/>
      <c r="B25" s="13">
        <v>36769</v>
      </c>
      <c r="C25" s="12">
        <v>1639</v>
      </c>
      <c r="D25" s="12"/>
      <c r="E25" s="12"/>
      <c r="F25" s="12"/>
      <c r="G25" s="12"/>
      <c r="H25" s="12"/>
      <c r="I25" s="12"/>
      <c r="J25" s="12"/>
      <c r="K25" s="12"/>
      <c r="L25" s="9">
        <v>31.31</v>
      </c>
    </row>
    <row r="26" spans="1:12" x14ac:dyDescent="0.2">
      <c r="A26" s="14"/>
      <c r="B26" s="13">
        <v>36798</v>
      </c>
      <c r="C26" s="12">
        <v>1712</v>
      </c>
      <c r="D26" s="12"/>
      <c r="E26" s="12"/>
      <c r="F26" s="12"/>
      <c r="G26" s="12"/>
      <c r="H26" s="12"/>
      <c r="I26" s="12"/>
      <c r="J26" s="12"/>
      <c r="K26" s="12"/>
      <c r="L26" s="9">
        <v>33.89</v>
      </c>
    </row>
    <row r="27" spans="1:12" x14ac:dyDescent="0.2">
      <c r="A27" s="14"/>
      <c r="B27" s="13">
        <v>36830</v>
      </c>
      <c r="C27" s="12">
        <v>1734</v>
      </c>
      <c r="D27" s="12"/>
      <c r="E27" s="12"/>
      <c r="F27" s="12"/>
      <c r="G27" s="12"/>
      <c r="H27" s="12"/>
      <c r="I27" s="12"/>
      <c r="J27" s="12"/>
      <c r="K27" s="12"/>
      <c r="L27" s="9">
        <v>33.049999999999997</v>
      </c>
    </row>
    <row r="28" spans="1:12" x14ac:dyDescent="0.2">
      <c r="A28" s="14"/>
      <c r="B28" s="13">
        <v>36860</v>
      </c>
      <c r="C28" s="12">
        <v>1722</v>
      </c>
      <c r="D28" s="12"/>
      <c r="E28" s="12"/>
      <c r="F28" s="12"/>
      <c r="G28" s="12"/>
      <c r="H28" s="12"/>
      <c r="I28" s="12"/>
      <c r="J28" s="12"/>
      <c r="K28" s="12"/>
      <c r="L28" s="9">
        <v>34.369999999999997</v>
      </c>
    </row>
    <row r="29" spans="1:12" x14ac:dyDescent="0.2">
      <c r="A29" s="14"/>
      <c r="B29" s="13">
        <v>36889</v>
      </c>
      <c r="C29" s="12">
        <v>1609</v>
      </c>
      <c r="D29" s="12"/>
      <c r="E29" s="12"/>
      <c r="F29" s="12"/>
      <c r="G29" s="12"/>
      <c r="H29" s="12"/>
      <c r="I29" s="12"/>
      <c r="J29" s="12"/>
      <c r="K29" s="12"/>
      <c r="L29" s="9">
        <v>28.4</v>
      </c>
    </row>
    <row r="30" spans="1:12" x14ac:dyDescent="0.2">
      <c r="A30" s="14"/>
      <c r="B30" s="13">
        <v>36922</v>
      </c>
      <c r="C30" s="12">
        <v>1566</v>
      </c>
      <c r="D30" s="12"/>
      <c r="E30" s="12"/>
      <c r="F30" s="12"/>
      <c r="G30" s="12"/>
      <c r="H30" s="12"/>
      <c r="I30" s="12"/>
      <c r="J30" s="12"/>
      <c r="K30" s="12"/>
      <c r="L30" s="9">
        <v>29.52</v>
      </c>
    </row>
    <row r="31" spans="1:12" x14ac:dyDescent="0.2">
      <c r="A31" s="14"/>
      <c r="B31" s="13">
        <v>36950</v>
      </c>
      <c r="C31" s="12">
        <v>1479</v>
      </c>
      <c r="D31" s="12"/>
      <c r="E31" s="12"/>
      <c r="F31" s="12"/>
      <c r="G31" s="12"/>
      <c r="H31" s="12"/>
      <c r="I31" s="12"/>
      <c r="J31" s="12"/>
      <c r="K31" s="12"/>
      <c r="L31" s="9">
        <v>29.62</v>
      </c>
    </row>
    <row r="32" spans="1:12" x14ac:dyDescent="0.2">
      <c r="A32" s="14"/>
      <c r="B32" s="13">
        <v>36980</v>
      </c>
      <c r="C32" s="12">
        <v>1502</v>
      </c>
      <c r="D32" s="12"/>
      <c r="E32" s="12"/>
      <c r="F32" s="12"/>
      <c r="G32" s="12"/>
      <c r="H32" s="12"/>
      <c r="I32" s="12"/>
      <c r="J32" s="12"/>
      <c r="K32" s="12"/>
      <c r="L32" s="9">
        <v>27.24</v>
      </c>
    </row>
    <row r="33" spans="1:12" x14ac:dyDescent="0.2">
      <c r="A33" s="14"/>
      <c r="B33" s="13">
        <v>37011</v>
      </c>
      <c r="C33" s="12">
        <v>1440</v>
      </c>
      <c r="D33" s="12"/>
      <c r="E33" s="12"/>
      <c r="F33" s="12"/>
      <c r="G33" s="12"/>
      <c r="H33" s="12"/>
      <c r="I33" s="12"/>
      <c r="J33" s="12"/>
      <c r="K33" s="12"/>
      <c r="L33" s="9">
        <v>27.42</v>
      </c>
    </row>
    <row r="34" spans="1:12" x14ac:dyDescent="0.2">
      <c r="A34" s="14"/>
      <c r="B34" s="13">
        <v>37042</v>
      </c>
      <c r="C34" s="12">
        <v>1448</v>
      </c>
      <c r="D34" s="12"/>
      <c r="E34" s="12"/>
      <c r="F34" s="12"/>
      <c r="G34" s="12"/>
      <c r="H34" s="12"/>
      <c r="I34" s="12"/>
      <c r="J34" s="12"/>
      <c r="K34" s="12"/>
      <c r="L34" s="9">
        <v>28.61</v>
      </c>
    </row>
    <row r="35" spans="1:12" x14ac:dyDescent="0.2">
      <c r="A35" s="14"/>
      <c r="B35" s="13">
        <v>37071</v>
      </c>
      <c r="C35" s="12">
        <v>1377</v>
      </c>
      <c r="D35" s="12"/>
      <c r="E35" s="12"/>
      <c r="F35" s="12"/>
      <c r="G35" s="12"/>
      <c r="H35" s="12"/>
      <c r="I35" s="12"/>
      <c r="J35" s="12"/>
      <c r="K35" s="12"/>
      <c r="L35" s="9">
        <v>27.56</v>
      </c>
    </row>
    <row r="36" spans="1:12" x14ac:dyDescent="0.2">
      <c r="A36" s="14"/>
      <c r="B36" s="13">
        <v>37103</v>
      </c>
      <c r="C36" s="12">
        <v>1221</v>
      </c>
      <c r="D36" s="12"/>
      <c r="E36" s="12"/>
      <c r="F36" s="12"/>
      <c r="G36" s="12"/>
      <c r="H36" s="12"/>
      <c r="I36" s="12"/>
      <c r="J36" s="12"/>
      <c r="K36" s="12"/>
      <c r="L36" s="9">
        <v>26.44</v>
      </c>
    </row>
    <row r="37" spans="1:12" x14ac:dyDescent="0.2">
      <c r="A37" s="14"/>
      <c r="B37" s="13">
        <v>37134</v>
      </c>
      <c r="C37" s="12">
        <v>980</v>
      </c>
      <c r="D37" s="12"/>
      <c r="E37" s="12"/>
      <c r="F37" s="12"/>
      <c r="G37" s="12"/>
      <c r="H37" s="12"/>
      <c r="I37" s="12"/>
      <c r="J37" s="12"/>
      <c r="K37" s="12"/>
      <c r="L37" s="9">
        <v>27.45</v>
      </c>
    </row>
    <row r="38" spans="1:12" x14ac:dyDescent="0.2">
      <c r="A38" s="14"/>
      <c r="B38" s="13">
        <v>37162</v>
      </c>
      <c r="C38" s="12">
        <v>945</v>
      </c>
      <c r="D38" s="12"/>
      <c r="E38" s="12"/>
      <c r="F38" s="12"/>
      <c r="G38" s="12"/>
      <c r="H38" s="12"/>
      <c r="I38" s="12"/>
      <c r="J38" s="12"/>
      <c r="K38" s="12"/>
      <c r="L38" s="9">
        <v>26.16</v>
      </c>
    </row>
    <row r="39" spans="1:12" x14ac:dyDescent="0.2">
      <c r="A39" s="14"/>
      <c r="B39" s="13">
        <v>37195</v>
      </c>
      <c r="C39" s="12">
        <v>898</v>
      </c>
      <c r="D39" s="12"/>
      <c r="E39" s="12"/>
      <c r="F39" s="12"/>
      <c r="G39" s="12"/>
      <c r="H39" s="12"/>
      <c r="I39" s="12"/>
      <c r="J39" s="12"/>
      <c r="K39" s="12"/>
      <c r="L39" s="9">
        <v>22.18</v>
      </c>
    </row>
    <row r="40" spans="1:12" x14ac:dyDescent="0.2">
      <c r="A40" s="14"/>
      <c r="B40" s="13">
        <v>37225</v>
      </c>
      <c r="C40" s="12">
        <v>855</v>
      </c>
      <c r="D40" s="12"/>
      <c r="E40" s="12"/>
      <c r="F40" s="12"/>
      <c r="G40" s="12"/>
      <c r="H40" s="12"/>
      <c r="I40" s="12"/>
      <c r="J40" s="12"/>
      <c r="K40" s="12"/>
      <c r="L40" s="9">
        <v>19.59</v>
      </c>
    </row>
    <row r="41" spans="1:12" x14ac:dyDescent="0.2">
      <c r="A41" s="14"/>
      <c r="B41" s="13">
        <v>37256</v>
      </c>
      <c r="C41" s="12">
        <v>870</v>
      </c>
      <c r="D41" s="12"/>
      <c r="E41" s="12"/>
      <c r="F41" s="12"/>
      <c r="G41" s="12"/>
      <c r="H41" s="12"/>
      <c r="I41" s="12"/>
      <c r="J41" s="12"/>
      <c r="K41" s="12"/>
      <c r="L41" s="9">
        <v>19.309999999999999</v>
      </c>
    </row>
    <row r="42" spans="1:12" x14ac:dyDescent="0.2">
      <c r="A42" s="14"/>
      <c r="B42" s="13">
        <v>37287</v>
      </c>
      <c r="C42" s="12">
        <v>931</v>
      </c>
      <c r="D42" s="12"/>
      <c r="E42" s="12"/>
      <c r="F42" s="12"/>
      <c r="G42" s="12"/>
      <c r="H42" s="12"/>
      <c r="I42" s="12"/>
      <c r="J42" s="12"/>
      <c r="K42" s="12"/>
      <c r="L42" s="9">
        <v>19.690000000000001</v>
      </c>
    </row>
    <row r="43" spans="1:12" x14ac:dyDescent="0.2">
      <c r="A43" s="14"/>
      <c r="B43" s="13">
        <v>37315</v>
      </c>
      <c r="C43" s="12">
        <v>960</v>
      </c>
      <c r="D43" s="12"/>
      <c r="E43" s="12"/>
      <c r="F43" s="12"/>
      <c r="G43" s="12"/>
      <c r="H43" s="12"/>
      <c r="I43" s="12"/>
      <c r="J43" s="12"/>
      <c r="K43" s="12"/>
      <c r="L43" s="9">
        <v>20.72</v>
      </c>
    </row>
    <row r="44" spans="1:12" x14ac:dyDescent="0.2">
      <c r="A44" s="14"/>
      <c r="B44" s="13">
        <v>37344</v>
      </c>
      <c r="C44" s="12">
        <v>1065</v>
      </c>
      <c r="D44" s="12"/>
      <c r="E44" s="12"/>
      <c r="F44" s="12"/>
      <c r="G44" s="12"/>
      <c r="H44" s="12"/>
      <c r="I44" s="12"/>
      <c r="J44" s="12"/>
      <c r="K44" s="12"/>
      <c r="L44" s="9">
        <v>24.38</v>
      </c>
    </row>
    <row r="45" spans="1:12" x14ac:dyDescent="0.2">
      <c r="A45" s="14"/>
      <c r="B45" s="13">
        <v>37376</v>
      </c>
      <c r="C45" s="12">
        <v>1077</v>
      </c>
      <c r="D45" s="12"/>
      <c r="E45" s="12"/>
      <c r="F45" s="12"/>
      <c r="G45" s="12"/>
      <c r="H45" s="12"/>
      <c r="I45" s="12"/>
      <c r="J45" s="12"/>
      <c r="K45" s="12"/>
      <c r="L45" s="9">
        <v>26.24</v>
      </c>
    </row>
    <row r="46" spans="1:12" x14ac:dyDescent="0.2">
      <c r="A46" s="14"/>
      <c r="B46" s="13">
        <v>37407</v>
      </c>
      <c r="C46" s="12">
        <v>1033</v>
      </c>
      <c r="D46" s="12"/>
      <c r="E46" s="12"/>
      <c r="F46" s="12"/>
      <c r="G46" s="12"/>
      <c r="H46" s="12"/>
      <c r="I46" s="12"/>
      <c r="J46" s="12"/>
      <c r="K46" s="12"/>
      <c r="L46" s="9">
        <v>27.04</v>
      </c>
    </row>
    <row r="47" spans="1:12" x14ac:dyDescent="0.2">
      <c r="A47" s="14"/>
      <c r="B47" s="13">
        <v>37435</v>
      </c>
      <c r="C47" s="12">
        <v>995</v>
      </c>
      <c r="D47" s="12"/>
      <c r="E47" s="12"/>
      <c r="F47" s="12"/>
      <c r="G47" s="12"/>
      <c r="H47" s="12"/>
      <c r="I47" s="12"/>
      <c r="J47" s="12"/>
      <c r="K47" s="12"/>
      <c r="L47" s="9">
        <v>25.51</v>
      </c>
    </row>
    <row r="48" spans="1:12" x14ac:dyDescent="0.2">
      <c r="A48" s="14"/>
      <c r="B48" s="13">
        <v>37468</v>
      </c>
      <c r="C48" s="12">
        <v>989</v>
      </c>
      <c r="D48" s="12"/>
      <c r="E48" s="12"/>
      <c r="F48" s="12"/>
      <c r="G48" s="12"/>
      <c r="H48" s="12"/>
      <c r="I48" s="12"/>
      <c r="J48" s="12"/>
      <c r="K48" s="12"/>
      <c r="L48" s="9">
        <v>26.92</v>
      </c>
    </row>
    <row r="49" spans="1:12" x14ac:dyDescent="0.2">
      <c r="A49" s="14"/>
      <c r="B49" s="13">
        <v>37498</v>
      </c>
      <c r="C49" s="12">
        <v>1002</v>
      </c>
      <c r="D49" s="12"/>
      <c r="E49" s="12"/>
      <c r="F49" s="12"/>
      <c r="G49" s="12"/>
      <c r="H49" s="12"/>
      <c r="I49" s="12"/>
      <c r="J49" s="12"/>
      <c r="K49" s="12"/>
      <c r="L49" s="9">
        <v>28.37</v>
      </c>
    </row>
    <row r="50" spans="1:12" x14ac:dyDescent="0.2">
      <c r="A50" s="14"/>
      <c r="B50" s="13">
        <v>37529</v>
      </c>
      <c r="C50" s="12">
        <v>1182</v>
      </c>
      <c r="D50" s="12"/>
      <c r="E50" s="12"/>
      <c r="F50" s="12"/>
      <c r="G50" s="12"/>
      <c r="H50" s="12"/>
      <c r="I50" s="12"/>
      <c r="J50" s="12"/>
      <c r="K50" s="12"/>
      <c r="L50" s="9">
        <v>29.67</v>
      </c>
    </row>
    <row r="51" spans="1:12" x14ac:dyDescent="0.2">
      <c r="A51" s="14"/>
      <c r="B51" s="13">
        <v>37560</v>
      </c>
      <c r="C51" s="12">
        <v>1365</v>
      </c>
      <c r="D51" s="12"/>
      <c r="E51" s="12"/>
      <c r="F51" s="12"/>
      <c r="G51" s="12"/>
      <c r="H51" s="12"/>
      <c r="I51" s="12"/>
      <c r="J51" s="12"/>
      <c r="K51" s="12"/>
      <c r="L51" s="9">
        <v>28.85</v>
      </c>
    </row>
    <row r="52" spans="1:12" x14ac:dyDescent="0.2">
      <c r="A52" s="14"/>
      <c r="B52" s="13">
        <v>37589</v>
      </c>
      <c r="C52" s="12">
        <v>1460</v>
      </c>
      <c r="D52" s="12"/>
      <c r="E52" s="12"/>
      <c r="F52" s="12"/>
      <c r="G52" s="12"/>
      <c r="H52" s="12"/>
      <c r="I52" s="12"/>
      <c r="J52" s="12"/>
      <c r="K52" s="12"/>
      <c r="L52" s="9">
        <v>26.28</v>
      </c>
    </row>
    <row r="53" spans="1:12" x14ac:dyDescent="0.2">
      <c r="A53" s="14"/>
      <c r="B53" s="13">
        <v>37621</v>
      </c>
      <c r="C53" s="12">
        <v>1666</v>
      </c>
      <c r="D53" s="12"/>
      <c r="E53" s="12"/>
      <c r="F53" s="12"/>
      <c r="G53" s="12"/>
      <c r="H53" s="12"/>
      <c r="I53" s="12"/>
      <c r="J53" s="12"/>
      <c r="K53" s="12"/>
      <c r="L53" s="9">
        <v>29.44</v>
      </c>
    </row>
    <row r="54" spans="1:12" x14ac:dyDescent="0.2">
      <c r="A54" s="14"/>
      <c r="B54" s="13">
        <v>37652</v>
      </c>
      <c r="C54" s="12">
        <v>1694</v>
      </c>
      <c r="D54" s="12"/>
      <c r="E54" s="12"/>
      <c r="F54" s="12"/>
      <c r="G54" s="12"/>
      <c r="H54" s="12"/>
      <c r="I54" s="12"/>
      <c r="J54" s="12"/>
      <c r="K54" s="12"/>
      <c r="L54" s="9">
        <v>32.950000000000003</v>
      </c>
    </row>
    <row r="55" spans="1:12" x14ac:dyDescent="0.2">
      <c r="A55" s="14"/>
      <c r="B55" s="13">
        <v>37680</v>
      </c>
      <c r="C55" s="12">
        <v>1674</v>
      </c>
      <c r="D55" s="12"/>
      <c r="E55" s="12"/>
      <c r="F55" s="12"/>
      <c r="G55" s="12"/>
      <c r="H55" s="12"/>
      <c r="I55" s="12"/>
      <c r="J55" s="12"/>
      <c r="K55" s="12"/>
      <c r="L55" s="9">
        <v>35.799999999999997</v>
      </c>
    </row>
    <row r="56" spans="1:12" x14ac:dyDescent="0.2">
      <c r="A56" s="14"/>
      <c r="B56" s="13">
        <v>37711</v>
      </c>
      <c r="C56" s="12">
        <v>1850</v>
      </c>
      <c r="D56" s="12"/>
      <c r="E56" s="12"/>
      <c r="F56" s="12"/>
      <c r="G56" s="12"/>
      <c r="H56" s="12"/>
      <c r="I56" s="12"/>
      <c r="J56" s="12"/>
      <c r="K56" s="12"/>
      <c r="L56" s="9">
        <v>33.32</v>
      </c>
    </row>
    <row r="57" spans="1:12" x14ac:dyDescent="0.2">
      <c r="A57" s="14"/>
      <c r="B57" s="13">
        <v>37741</v>
      </c>
      <c r="C57" s="12">
        <v>2064</v>
      </c>
      <c r="D57" s="12"/>
      <c r="E57" s="12"/>
      <c r="F57" s="12"/>
      <c r="G57" s="12"/>
      <c r="H57" s="12"/>
      <c r="I57" s="12"/>
      <c r="J57" s="12"/>
      <c r="K57" s="12"/>
      <c r="L57" s="9">
        <v>28.22</v>
      </c>
    </row>
    <row r="58" spans="1:12" x14ac:dyDescent="0.2">
      <c r="A58" s="14"/>
      <c r="B58" s="13">
        <v>37771</v>
      </c>
      <c r="C58" s="12">
        <v>2231</v>
      </c>
      <c r="D58" s="12"/>
      <c r="E58" s="12"/>
      <c r="F58" s="12"/>
      <c r="G58" s="12"/>
      <c r="H58" s="12"/>
      <c r="I58" s="12"/>
      <c r="J58" s="12"/>
      <c r="K58" s="12"/>
      <c r="L58" s="9">
        <v>28.13</v>
      </c>
    </row>
    <row r="59" spans="1:12" x14ac:dyDescent="0.2">
      <c r="A59" s="14"/>
      <c r="B59" s="13">
        <v>37802</v>
      </c>
      <c r="C59" s="12">
        <v>2136</v>
      </c>
      <c r="D59" s="12"/>
      <c r="E59" s="12"/>
      <c r="F59" s="12"/>
      <c r="G59" s="12"/>
      <c r="H59" s="12"/>
      <c r="I59" s="12"/>
      <c r="J59" s="12"/>
      <c r="K59" s="12"/>
      <c r="L59" s="9">
        <v>30.71</v>
      </c>
    </row>
    <row r="60" spans="1:12" x14ac:dyDescent="0.2">
      <c r="A60" s="14"/>
      <c r="B60" s="13">
        <v>37833</v>
      </c>
      <c r="C60" s="12">
        <v>2192</v>
      </c>
      <c r="D60" s="12"/>
      <c r="E60" s="12"/>
      <c r="F60" s="12"/>
      <c r="G60" s="12"/>
      <c r="H60" s="12"/>
      <c r="I60" s="12"/>
      <c r="J60" s="12"/>
      <c r="K60" s="12"/>
      <c r="L60" s="9">
        <v>30.75</v>
      </c>
    </row>
    <row r="61" spans="1:12" x14ac:dyDescent="0.2">
      <c r="A61" s="14"/>
      <c r="B61" s="13">
        <v>37862</v>
      </c>
      <c r="C61" s="12">
        <v>2286</v>
      </c>
      <c r="D61" s="12"/>
      <c r="E61" s="12"/>
      <c r="F61" s="12"/>
      <c r="G61" s="12"/>
      <c r="H61" s="12"/>
      <c r="I61" s="12"/>
      <c r="J61" s="12"/>
      <c r="K61" s="12"/>
      <c r="L61" s="9">
        <v>31.58</v>
      </c>
    </row>
    <row r="62" spans="1:12" x14ac:dyDescent="0.2">
      <c r="A62" s="14"/>
      <c r="B62" s="13">
        <v>37894</v>
      </c>
      <c r="C62" s="12">
        <v>2463</v>
      </c>
      <c r="D62" s="12"/>
      <c r="E62" s="12"/>
      <c r="F62" s="12"/>
      <c r="G62" s="12"/>
      <c r="H62" s="12"/>
      <c r="I62" s="12"/>
      <c r="J62" s="12"/>
      <c r="K62" s="12"/>
      <c r="L62" s="9">
        <v>28.28</v>
      </c>
    </row>
    <row r="63" spans="1:12" x14ac:dyDescent="0.2">
      <c r="A63" s="14"/>
      <c r="B63" s="13">
        <v>37925</v>
      </c>
      <c r="C63" s="12">
        <v>4163</v>
      </c>
      <c r="D63" s="12"/>
      <c r="E63" s="12"/>
      <c r="F63" s="12"/>
      <c r="G63" s="12"/>
      <c r="H63" s="12"/>
      <c r="I63" s="12"/>
      <c r="J63" s="12"/>
      <c r="K63" s="12"/>
      <c r="L63" s="9">
        <v>30.32</v>
      </c>
    </row>
    <row r="64" spans="1:12" x14ac:dyDescent="0.2">
      <c r="A64" s="14"/>
      <c r="B64" s="13">
        <v>37953</v>
      </c>
      <c r="C64" s="12">
        <v>4250</v>
      </c>
      <c r="D64" s="12"/>
      <c r="E64" s="12"/>
      <c r="F64" s="12"/>
      <c r="G64" s="12"/>
      <c r="H64" s="12"/>
      <c r="I64" s="12"/>
      <c r="J64" s="12"/>
      <c r="K64" s="12"/>
      <c r="L64" s="9">
        <v>31.09</v>
      </c>
    </row>
    <row r="65" spans="1:12" x14ac:dyDescent="0.2">
      <c r="A65" s="14"/>
      <c r="B65" s="13">
        <v>37986</v>
      </c>
      <c r="C65" s="12">
        <v>4609</v>
      </c>
      <c r="D65" s="12"/>
      <c r="E65" s="12"/>
      <c r="F65" s="12"/>
      <c r="G65" s="12"/>
      <c r="H65" s="12"/>
      <c r="I65" s="12"/>
      <c r="J65" s="12"/>
      <c r="K65" s="12"/>
      <c r="L65" s="9">
        <v>32.119999999999997</v>
      </c>
    </row>
    <row r="66" spans="1:12" x14ac:dyDescent="0.2">
      <c r="A66" s="14"/>
      <c r="B66" s="13">
        <v>38016</v>
      </c>
      <c r="C66" s="12">
        <v>5229</v>
      </c>
      <c r="D66" s="12"/>
      <c r="E66" s="12"/>
      <c r="F66" s="12"/>
      <c r="G66" s="12"/>
      <c r="H66" s="12"/>
      <c r="I66" s="12"/>
      <c r="J66" s="12"/>
      <c r="K66" s="12"/>
      <c r="L66" s="9">
        <v>34.24</v>
      </c>
    </row>
    <row r="67" spans="1:12" x14ac:dyDescent="0.2">
      <c r="A67" s="14"/>
      <c r="B67" s="13">
        <v>38044</v>
      </c>
      <c r="C67" s="12">
        <v>5450</v>
      </c>
      <c r="D67" s="12"/>
      <c r="E67" s="12"/>
      <c r="F67" s="12"/>
      <c r="G67" s="12"/>
      <c r="H67" s="12"/>
      <c r="I67" s="12"/>
      <c r="J67" s="12"/>
      <c r="K67" s="12"/>
      <c r="L67" s="9">
        <v>34.729999999999997</v>
      </c>
    </row>
    <row r="68" spans="1:12" x14ac:dyDescent="0.2">
      <c r="A68" s="14"/>
      <c r="B68" s="13">
        <v>38077</v>
      </c>
      <c r="C68" s="12">
        <v>5131</v>
      </c>
      <c r="D68" s="12"/>
      <c r="E68" s="12"/>
      <c r="F68" s="12"/>
      <c r="G68" s="12"/>
      <c r="H68" s="12"/>
      <c r="I68" s="12"/>
      <c r="J68" s="12"/>
      <c r="K68" s="12"/>
      <c r="L68" s="9">
        <v>36.729999999999997</v>
      </c>
    </row>
    <row r="69" spans="1:12" x14ac:dyDescent="0.2">
      <c r="A69" s="14"/>
      <c r="B69" s="13">
        <v>38107</v>
      </c>
      <c r="C69" s="12">
        <v>4489</v>
      </c>
      <c r="D69" s="12"/>
      <c r="E69" s="12"/>
      <c r="F69" s="12"/>
      <c r="G69" s="12"/>
      <c r="H69" s="12"/>
      <c r="I69" s="12"/>
      <c r="J69" s="12"/>
      <c r="K69" s="12"/>
      <c r="L69" s="9">
        <v>36.72</v>
      </c>
    </row>
    <row r="70" spans="1:12" x14ac:dyDescent="0.2">
      <c r="A70" s="14"/>
      <c r="B70" s="13">
        <v>38138</v>
      </c>
      <c r="C70" s="12">
        <v>3596</v>
      </c>
      <c r="D70" s="12"/>
      <c r="E70" s="12"/>
      <c r="F70" s="12"/>
      <c r="G70" s="12"/>
      <c r="H70" s="12"/>
      <c r="I70" s="12"/>
      <c r="J70" s="12"/>
      <c r="K70" s="12"/>
      <c r="L70" s="9">
        <v>40.29</v>
      </c>
    </row>
    <row r="71" spans="1:12" x14ac:dyDescent="0.2">
      <c r="A71" s="14"/>
      <c r="B71" s="13">
        <v>38168</v>
      </c>
      <c r="C71" s="12">
        <v>2902</v>
      </c>
      <c r="D71" s="12"/>
      <c r="E71" s="12"/>
      <c r="F71" s="12"/>
      <c r="G71" s="12"/>
      <c r="H71" s="12"/>
      <c r="I71" s="12"/>
      <c r="J71" s="12"/>
      <c r="K71" s="12"/>
      <c r="L71" s="9">
        <v>38.03</v>
      </c>
    </row>
    <row r="72" spans="1:12" x14ac:dyDescent="0.2">
      <c r="A72" s="14"/>
      <c r="B72" s="13">
        <v>38198</v>
      </c>
      <c r="C72" s="12">
        <v>3778</v>
      </c>
      <c r="D72" s="12"/>
      <c r="E72" s="12"/>
      <c r="F72" s="12"/>
      <c r="G72" s="12"/>
      <c r="H72" s="12"/>
      <c r="I72" s="12"/>
      <c r="J72" s="12"/>
      <c r="K72" s="12"/>
      <c r="L72" s="9">
        <v>40.82</v>
      </c>
    </row>
    <row r="73" spans="1:12" x14ac:dyDescent="0.2">
      <c r="A73" s="14"/>
      <c r="B73" s="13">
        <v>38230</v>
      </c>
      <c r="C73" s="12">
        <v>4169</v>
      </c>
      <c r="D73" s="12"/>
      <c r="E73" s="12"/>
      <c r="F73" s="12"/>
      <c r="G73" s="12"/>
      <c r="H73" s="12"/>
      <c r="I73" s="12"/>
      <c r="J73" s="12"/>
      <c r="K73" s="12"/>
      <c r="L73" s="9">
        <v>44.92</v>
      </c>
    </row>
    <row r="74" spans="1:12" x14ac:dyDescent="0.2">
      <c r="A74" s="14"/>
      <c r="B74" s="13">
        <v>38260</v>
      </c>
      <c r="C74" s="12">
        <v>4141</v>
      </c>
      <c r="D74" s="12"/>
      <c r="E74" s="12"/>
      <c r="F74" s="12"/>
      <c r="G74" s="12"/>
      <c r="H74" s="12"/>
      <c r="I74" s="12"/>
      <c r="J74" s="12"/>
      <c r="K74" s="12"/>
      <c r="L74" s="9">
        <v>45.93</v>
      </c>
    </row>
    <row r="75" spans="1:12" x14ac:dyDescent="0.2">
      <c r="A75" s="14"/>
      <c r="B75" s="13">
        <v>38289</v>
      </c>
      <c r="C75" s="12">
        <v>4542</v>
      </c>
      <c r="D75" s="12"/>
      <c r="E75" s="12"/>
      <c r="F75" s="12"/>
      <c r="G75" s="12"/>
      <c r="H75" s="12"/>
      <c r="I75" s="12"/>
      <c r="J75" s="12"/>
      <c r="K75" s="12"/>
      <c r="L75" s="9">
        <v>53.25</v>
      </c>
    </row>
    <row r="76" spans="1:12" x14ac:dyDescent="0.2">
      <c r="A76" s="14"/>
      <c r="B76" s="13">
        <v>38321</v>
      </c>
      <c r="C76" s="12">
        <v>5310</v>
      </c>
      <c r="D76" s="12"/>
      <c r="E76" s="12"/>
      <c r="F76" s="12"/>
      <c r="G76" s="12"/>
      <c r="H76" s="12"/>
      <c r="I76" s="12"/>
      <c r="J76" s="12"/>
      <c r="K76" s="12"/>
      <c r="L76" s="9">
        <v>48.45</v>
      </c>
    </row>
    <row r="77" spans="1:12" x14ac:dyDescent="0.2">
      <c r="A77" s="14"/>
      <c r="B77" s="13">
        <v>38352</v>
      </c>
      <c r="C77" s="12">
        <v>5519</v>
      </c>
      <c r="D77" s="12"/>
      <c r="E77" s="12"/>
      <c r="F77" s="12"/>
      <c r="G77" s="12"/>
      <c r="H77" s="12"/>
      <c r="I77" s="12"/>
      <c r="J77" s="12"/>
      <c r="K77" s="12"/>
      <c r="L77" s="9">
        <v>43.23</v>
      </c>
    </row>
    <row r="78" spans="1:12" x14ac:dyDescent="0.2">
      <c r="A78" s="14"/>
      <c r="B78" s="13">
        <v>38383</v>
      </c>
      <c r="C78" s="12">
        <v>4502</v>
      </c>
      <c r="D78" s="12"/>
      <c r="E78" s="12"/>
      <c r="F78" s="12"/>
      <c r="G78" s="12"/>
      <c r="H78" s="12"/>
      <c r="I78" s="12"/>
      <c r="J78" s="12"/>
      <c r="K78" s="12"/>
      <c r="L78" s="9">
        <v>46.82</v>
      </c>
    </row>
    <row r="79" spans="1:12" x14ac:dyDescent="0.2">
      <c r="A79" s="14"/>
      <c r="B79" s="13">
        <v>38411</v>
      </c>
      <c r="C79" s="12">
        <v>4532</v>
      </c>
      <c r="D79" s="12"/>
      <c r="E79" s="12"/>
      <c r="F79" s="12"/>
      <c r="G79" s="12"/>
      <c r="H79" s="12"/>
      <c r="I79" s="12"/>
      <c r="J79" s="12"/>
      <c r="K79" s="12"/>
      <c r="L79" s="9">
        <v>47.96</v>
      </c>
    </row>
    <row r="80" spans="1:12" x14ac:dyDescent="0.2">
      <c r="A80" s="14"/>
      <c r="B80" s="13">
        <v>38442</v>
      </c>
      <c r="C80" s="12">
        <v>4678</v>
      </c>
      <c r="D80" s="12"/>
      <c r="E80" s="12"/>
      <c r="F80" s="12"/>
      <c r="G80" s="12"/>
      <c r="H80" s="12"/>
      <c r="I80" s="12"/>
      <c r="J80" s="12"/>
      <c r="K80" s="12"/>
      <c r="L80" s="9">
        <v>54.17</v>
      </c>
    </row>
    <row r="81" spans="1:12" x14ac:dyDescent="0.2">
      <c r="A81" s="14"/>
      <c r="B81" s="13">
        <v>38471</v>
      </c>
      <c r="C81" s="12">
        <v>4532</v>
      </c>
      <c r="D81" s="12"/>
      <c r="E81" s="12"/>
      <c r="F81" s="12"/>
      <c r="G81" s="12"/>
      <c r="H81" s="12"/>
      <c r="I81" s="12"/>
      <c r="J81" s="12"/>
      <c r="K81" s="12"/>
      <c r="L81" s="9">
        <v>52.96</v>
      </c>
    </row>
    <row r="82" spans="1:12" x14ac:dyDescent="0.2">
      <c r="A82" s="14"/>
      <c r="B82" s="13">
        <v>38503</v>
      </c>
      <c r="C82" s="12">
        <v>3667</v>
      </c>
      <c r="D82" s="12"/>
      <c r="E82" s="12"/>
      <c r="F82" s="12"/>
      <c r="G82" s="12"/>
      <c r="H82" s="12"/>
      <c r="I82" s="12"/>
      <c r="J82" s="12"/>
      <c r="K82" s="12"/>
      <c r="L82" s="9">
        <v>49.81</v>
      </c>
    </row>
    <row r="83" spans="1:12" x14ac:dyDescent="0.2">
      <c r="A83" s="14"/>
      <c r="B83" s="13">
        <v>38533</v>
      </c>
      <c r="C83" s="12">
        <v>2746</v>
      </c>
      <c r="D83" s="12"/>
      <c r="E83" s="12"/>
      <c r="F83" s="12"/>
      <c r="G83" s="12"/>
      <c r="H83" s="12"/>
      <c r="I83" s="12"/>
      <c r="J83" s="12"/>
      <c r="K83" s="12"/>
      <c r="L83" s="9">
        <v>56.39</v>
      </c>
    </row>
    <row r="84" spans="1:12" x14ac:dyDescent="0.2">
      <c r="A84" s="14"/>
      <c r="B84" s="13">
        <v>38562</v>
      </c>
      <c r="C84" s="12">
        <v>2220</v>
      </c>
      <c r="D84" s="12"/>
      <c r="E84" s="12"/>
      <c r="F84" s="12"/>
      <c r="G84" s="12"/>
      <c r="H84" s="12"/>
      <c r="I84" s="12"/>
      <c r="J84" s="12"/>
      <c r="K84" s="12"/>
      <c r="L84" s="9">
        <v>58.67</v>
      </c>
    </row>
    <row r="85" spans="1:12" x14ac:dyDescent="0.2">
      <c r="A85" s="14"/>
      <c r="B85" s="13">
        <v>38595</v>
      </c>
      <c r="C85" s="12">
        <v>2207</v>
      </c>
      <c r="D85" s="12"/>
      <c r="E85" s="12"/>
      <c r="F85" s="12"/>
      <c r="G85" s="12"/>
      <c r="H85" s="12"/>
      <c r="I85" s="12"/>
      <c r="J85" s="12"/>
      <c r="K85" s="12"/>
      <c r="L85" s="9">
        <v>64.959999999999994</v>
      </c>
    </row>
    <row r="86" spans="1:12" x14ac:dyDescent="0.2">
      <c r="A86" s="14"/>
      <c r="B86" s="13">
        <v>38625</v>
      </c>
      <c r="C86" s="12">
        <v>2804</v>
      </c>
      <c r="D86" s="12"/>
      <c r="E86" s="12"/>
      <c r="F86" s="12"/>
      <c r="G86" s="12"/>
      <c r="H86" s="12"/>
      <c r="I86" s="12"/>
      <c r="J86" s="12"/>
      <c r="K86" s="12"/>
      <c r="L86" s="9">
        <v>65.540000000000006</v>
      </c>
    </row>
    <row r="87" spans="1:12" x14ac:dyDescent="0.2">
      <c r="A87" s="14"/>
      <c r="B87" s="13">
        <v>38656</v>
      </c>
      <c r="C87" s="12">
        <v>3161</v>
      </c>
      <c r="D87" s="12"/>
      <c r="E87" s="12"/>
      <c r="F87" s="12"/>
      <c r="G87" s="12"/>
      <c r="H87" s="12"/>
      <c r="I87" s="12"/>
      <c r="J87" s="12"/>
      <c r="K87" s="12"/>
      <c r="L87" s="9">
        <v>62.36</v>
      </c>
    </row>
    <row r="88" spans="1:12" x14ac:dyDescent="0.2">
      <c r="A88" s="14"/>
      <c r="B88" s="13">
        <v>38686</v>
      </c>
      <c r="C88" s="12">
        <v>2916</v>
      </c>
      <c r="D88" s="12"/>
      <c r="E88" s="12"/>
      <c r="F88" s="12"/>
      <c r="G88" s="12"/>
      <c r="H88" s="12"/>
      <c r="I88" s="12"/>
      <c r="J88" s="12"/>
      <c r="K88" s="12"/>
      <c r="L88" s="9">
        <v>58.28</v>
      </c>
    </row>
    <row r="89" spans="1:12" x14ac:dyDescent="0.2">
      <c r="A89" s="14"/>
      <c r="B89" s="13">
        <v>38716</v>
      </c>
      <c r="C89" s="12">
        <v>2600</v>
      </c>
      <c r="D89" s="12"/>
      <c r="E89" s="12"/>
      <c r="F89" s="12"/>
      <c r="G89" s="12"/>
      <c r="H89" s="12">
        <v>1000</v>
      </c>
      <c r="I89" s="12"/>
      <c r="J89" s="12"/>
      <c r="K89" s="12"/>
      <c r="L89" s="9">
        <v>59.41</v>
      </c>
    </row>
    <row r="90" spans="1:12" x14ac:dyDescent="0.2">
      <c r="A90" s="14"/>
      <c r="B90" s="13">
        <v>38748</v>
      </c>
      <c r="C90" s="12">
        <v>2262</v>
      </c>
      <c r="D90" s="12"/>
      <c r="E90" s="12"/>
      <c r="F90" s="12"/>
      <c r="G90" s="12"/>
      <c r="H90" s="12">
        <v>1020.48</v>
      </c>
      <c r="I90" s="12"/>
      <c r="J90" s="12"/>
      <c r="K90" s="12"/>
      <c r="L90" s="9">
        <v>65.48</v>
      </c>
    </row>
    <row r="91" spans="1:12" x14ac:dyDescent="0.2">
      <c r="A91" s="14"/>
      <c r="B91" s="13">
        <v>38776</v>
      </c>
      <c r="C91" s="12">
        <v>2444</v>
      </c>
      <c r="D91" s="12"/>
      <c r="E91" s="12"/>
      <c r="F91" s="12"/>
      <c r="G91" s="12"/>
      <c r="H91" s="12">
        <v>1025.57</v>
      </c>
      <c r="I91" s="12"/>
      <c r="J91" s="12"/>
      <c r="K91" s="12"/>
      <c r="L91" s="9">
        <v>61.62</v>
      </c>
    </row>
    <row r="92" spans="1:12" x14ac:dyDescent="0.2">
      <c r="A92" s="14"/>
      <c r="B92" s="13">
        <v>38807</v>
      </c>
      <c r="C92" s="12">
        <v>2599</v>
      </c>
      <c r="D92" s="12"/>
      <c r="E92" s="12"/>
      <c r="F92" s="12"/>
      <c r="G92" s="12"/>
      <c r="H92" s="12">
        <v>1003.46</v>
      </c>
      <c r="I92" s="12"/>
      <c r="J92" s="12"/>
      <c r="K92" s="12"/>
      <c r="L92" s="9">
        <v>62.89</v>
      </c>
    </row>
    <row r="93" spans="1:12" x14ac:dyDescent="0.2">
      <c r="A93" s="14"/>
      <c r="B93" s="13">
        <v>38835</v>
      </c>
      <c r="C93" s="12">
        <v>2465</v>
      </c>
      <c r="D93" s="12"/>
      <c r="E93" s="12"/>
      <c r="F93" s="12"/>
      <c r="G93" s="12"/>
      <c r="H93" s="12">
        <v>1007.59</v>
      </c>
      <c r="I93" s="12"/>
      <c r="J93" s="12"/>
      <c r="K93" s="12"/>
      <c r="L93" s="9">
        <v>69.540000000000006</v>
      </c>
    </row>
    <row r="94" spans="1:12" x14ac:dyDescent="0.2">
      <c r="A94" s="14"/>
      <c r="B94" s="13">
        <v>38868</v>
      </c>
      <c r="C94" s="12">
        <v>2442</v>
      </c>
      <c r="D94" s="12"/>
      <c r="E94" s="12"/>
      <c r="F94" s="12"/>
      <c r="G94" s="12"/>
      <c r="H94" s="12">
        <v>984.88</v>
      </c>
      <c r="I94" s="12"/>
      <c r="J94" s="12"/>
      <c r="K94" s="12"/>
      <c r="L94" s="9">
        <v>70.930000000000007</v>
      </c>
    </row>
    <row r="95" spans="1:12" x14ac:dyDescent="0.2">
      <c r="A95" s="14"/>
      <c r="B95" s="13">
        <v>38898</v>
      </c>
      <c r="C95" s="12">
        <v>2718</v>
      </c>
      <c r="D95" s="12"/>
      <c r="E95" s="12"/>
      <c r="F95" s="12"/>
      <c r="G95" s="12"/>
      <c r="H95" s="12">
        <v>940.01</v>
      </c>
      <c r="I95" s="12"/>
      <c r="J95" s="12"/>
      <c r="K95" s="12"/>
      <c r="L95" s="9">
        <v>70.930000000000007</v>
      </c>
    </row>
    <row r="96" spans="1:12" x14ac:dyDescent="0.2">
      <c r="A96" s="14"/>
      <c r="B96" s="13">
        <v>38929</v>
      </c>
      <c r="C96" s="12">
        <v>3050</v>
      </c>
      <c r="D96" s="12"/>
      <c r="E96" s="12"/>
      <c r="F96" s="12"/>
      <c r="G96" s="12"/>
      <c r="H96" s="12">
        <v>1019.9</v>
      </c>
      <c r="I96" s="12"/>
      <c r="J96" s="12"/>
      <c r="K96" s="12"/>
      <c r="L96" s="9">
        <v>74.400000000000006</v>
      </c>
    </row>
    <row r="97" spans="1:12" x14ac:dyDescent="0.2">
      <c r="A97" s="14"/>
      <c r="B97" s="13">
        <v>38960</v>
      </c>
      <c r="C97" s="12">
        <v>3687</v>
      </c>
      <c r="D97" s="12"/>
      <c r="E97" s="12"/>
      <c r="F97" s="12"/>
      <c r="G97" s="12"/>
      <c r="H97" s="12">
        <v>1088.73</v>
      </c>
      <c r="I97" s="12"/>
      <c r="J97" s="12"/>
      <c r="K97" s="12"/>
      <c r="L97" s="9">
        <v>73.040000000000006</v>
      </c>
    </row>
    <row r="98" spans="1:12" x14ac:dyDescent="0.2">
      <c r="A98" s="14"/>
      <c r="B98" s="13">
        <v>38989</v>
      </c>
      <c r="C98" s="12">
        <v>4039</v>
      </c>
      <c r="D98" s="12"/>
      <c r="E98" s="12"/>
      <c r="F98" s="12"/>
      <c r="G98" s="12"/>
      <c r="H98" s="12">
        <v>1066.98</v>
      </c>
      <c r="I98" s="12"/>
      <c r="J98" s="12"/>
      <c r="K98" s="12"/>
      <c r="L98" s="9">
        <v>63.82</v>
      </c>
    </row>
    <row r="99" spans="1:12" x14ac:dyDescent="0.2">
      <c r="A99" s="14"/>
      <c r="B99" s="13">
        <v>39021</v>
      </c>
      <c r="C99" s="12">
        <v>4028</v>
      </c>
      <c r="D99" s="12"/>
      <c r="E99" s="12"/>
      <c r="F99" s="12"/>
      <c r="G99" s="12"/>
      <c r="H99" s="12">
        <v>1076.18</v>
      </c>
      <c r="I99" s="12"/>
      <c r="J99" s="12"/>
      <c r="K99" s="12"/>
      <c r="L99" s="9">
        <v>58.85</v>
      </c>
    </row>
    <row r="100" spans="1:12" x14ac:dyDescent="0.2">
      <c r="A100" s="14"/>
      <c r="B100" s="13">
        <v>39051</v>
      </c>
      <c r="C100" s="12">
        <v>4190</v>
      </c>
      <c r="D100" s="12"/>
      <c r="E100" s="12"/>
      <c r="F100" s="12"/>
      <c r="G100" s="12"/>
      <c r="H100" s="12">
        <v>1120.74</v>
      </c>
      <c r="I100" s="12"/>
      <c r="J100" s="12"/>
      <c r="K100" s="12"/>
      <c r="L100" s="9">
        <v>59.13</v>
      </c>
    </row>
    <row r="101" spans="1:12" x14ac:dyDescent="0.2">
      <c r="A101" s="14"/>
      <c r="B101" s="13">
        <v>39080</v>
      </c>
      <c r="C101" s="12">
        <v>4336</v>
      </c>
      <c r="D101" s="12"/>
      <c r="E101" s="12"/>
      <c r="F101" s="12"/>
      <c r="G101" s="12"/>
      <c r="H101" s="12">
        <v>1159.1099999999999</v>
      </c>
      <c r="I101" s="12"/>
      <c r="J101" s="12"/>
      <c r="K101" s="12"/>
      <c r="L101" s="9">
        <v>62</v>
      </c>
    </row>
    <row r="102" spans="1:12" x14ac:dyDescent="0.2">
      <c r="A102" s="14"/>
      <c r="B102" s="13">
        <v>39113</v>
      </c>
      <c r="C102" s="12">
        <v>4462</v>
      </c>
      <c r="D102" s="12"/>
      <c r="E102" s="12"/>
      <c r="F102" s="12"/>
      <c r="G102" s="12"/>
      <c r="H102" s="12">
        <v>1201.71</v>
      </c>
      <c r="I102" s="12"/>
      <c r="J102" s="12"/>
      <c r="K102" s="12"/>
      <c r="L102" s="9">
        <v>54.24</v>
      </c>
    </row>
    <row r="103" spans="1:12" x14ac:dyDescent="0.2">
      <c r="A103" s="14"/>
      <c r="B103" s="13">
        <v>39141</v>
      </c>
      <c r="C103" s="12">
        <v>4398</v>
      </c>
      <c r="D103" s="12"/>
      <c r="E103" s="12"/>
      <c r="F103" s="12"/>
      <c r="G103" s="12"/>
      <c r="H103" s="12">
        <v>1314.07</v>
      </c>
      <c r="I103" s="12"/>
      <c r="J103" s="12"/>
      <c r="K103" s="12"/>
      <c r="L103" s="9">
        <v>59.25</v>
      </c>
    </row>
    <row r="104" spans="1:12" x14ac:dyDescent="0.2">
      <c r="A104" s="14"/>
      <c r="B104" s="13">
        <v>39171</v>
      </c>
      <c r="C104" s="12">
        <v>5123</v>
      </c>
      <c r="D104" s="12"/>
      <c r="E104" s="12"/>
      <c r="F104" s="12"/>
      <c r="G104" s="12"/>
      <c r="H104" s="12">
        <v>1338.32</v>
      </c>
      <c r="I104" s="12">
        <v>256.58</v>
      </c>
      <c r="J104" s="12"/>
      <c r="K104" s="12"/>
      <c r="L104" s="9">
        <v>60.6</v>
      </c>
    </row>
    <row r="105" spans="1:12" x14ac:dyDescent="0.2">
      <c r="A105" s="14"/>
      <c r="B105" s="13">
        <v>39202</v>
      </c>
      <c r="C105" s="12">
        <v>5754</v>
      </c>
      <c r="D105" s="12"/>
      <c r="E105" s="12"/>
      <c r="F105" s="12"/>
      <c r="G105" s="12"/>
      <c r="H105" s="12">
        <v>1449.97</v>
      </c>
      <c r="I105" s="12">
        <v>276.55</v>
      </c>
      <c r="J105" s="12"/>
      <c r="K105" s="12"/>
      <c r="L105" s="9">
        <v>63.94</v>
      </c>
    </row>
    <row r="106" spans="1:12" x14ac:dyDescent="0.2">
      <c r="A106" s="14"/>
      <c r="B106" s="13">
        <v>39233</v>
      </c>
      <c r="C106" s="12">
        <v>6402</v>
      </c>
      <c r="D106" s="12"/>
      <c r="E106" s="12"/>
      <c r="F106" s="12"/>
      <c r="G106" s="12"/>
      <c r="H106" s="12">
        <v>1589.63</v>
      </c>
      <c r="I106" s="12">
        <v>300.33999999999997</v>
      </c>
      <c r="J106" s="12"/>
      <c r="K106" s="12"/>
      <c r="L106" s="9">
        <v>63.45</v>
      </c>
    </row>
    <row r="107" spans="1:12" x14ac:dyDescent="0.2">
      <c r="A107" s="14"/>
      <c r="B107" s="13">
        <v>39262</v>
      </c>
      <c r="C107" s="12">
        <v>5772</v>
      </c>
      <c r="D107" s="12"/>
      <c r="E107" s="12"/>
      <c r="F107" s="12"/>
      <c r="G107" s="12"/>
      <c r="H107" s="12">
        <v>1675.17</v>
      </c>
      <c r="I107" s="12">
        <v>304.43</v>
      </c>
      <c r="J107" s="12"/>
      <c r="K107" s="12"/>
      <c r="L107" s="9">
        <v>67.489999999999995</v>
      </c>
    </row>
    <row r="108" spans="1:12" x14ac:dyDescent="0.2">
      <c r="A108" s="14"/>
      <c r="B108" s="13">
        <v>39294</v>
      </c>
      <c r="C108" s="12">
        <v>6572</v>
      </c>
      <c r="D108" s="12"/>
      <c r="E108" s="12"/>
      <c r="F108" s="12"/>
      <c r="G108" s="12"/>
      <c r="H108" s="12">
        <v>1882.93</v>
      </c>
      <c r="I108" s="12">
        <v>338.79</v>
      </c>
      <c r="J108" s="12"/>
      <c r="K108" s="12"/>
      <c r="L108" s="9">
        <v>74.14</v>
      </c>
    </row>
    <row r="109" spans="1:12" x14ac:dyDescent="0.2">
      <c r="A109" s="14"/>
      <c r="B109" s="13">
        <v>39325</v>
      </c>
      <c r="C109" s="12">
        <v>7195</v>
      </c>
      <c r="D109" s="12"/>
      <c r="E109" s="12"/>
      <c r="F109" s="12"/>
      <c r="G109" s="12"/>
      <c r="H109" s="12">
        <v>1810.69</v>
      </c>
      <c r="I109" s="12">
        <v>323.14</v>
      </c>
      <c r="J109" s="12"/>
      <c r="K109" s="12"/>
      <c r="L109" s="9">
        <v>72.38</v>
      </c>
    </row>
    <row r="110" spans="1:12" x14ac:dyDescent="0.2">
      <c r="A110" s="14"/>
      <c r="B110" s="13">
        <v>39353</v>
      </c>
      <c r="C110" s="12">
        <v>8574</v>
      </c>
      <c r="D110" s="12"/>
      <c r="E110" s="12"/>
      <c r="F110" s="12"/>
      <c r="G110" s="12"/>
      <c r="H110" s="12">
        <v>1993.3</v>
      </c>
      <c r="I110" s="12">
        <v>356.49</v>
      </c>
      <c r="J110" s="12"/>
      <c r="K110" s="12"/>
      <c r="L110" s="9">
        <v>79.91</v>
      </c>
    </row>
    <row r="111" spans="1:12" x14ac:dyDescent="0.2">
      <c r="A111" s="14"/>
      <c r="B111" s="13">
        <v>39386</v>
      </c>
      <c r="C111" s="12">
        <v>10426</v>
      </c>
      <c r="D111" s="12"/>
      <c r="E111" s="12"/>
      <c r="F111" s="12"/>
      <c r="G111" s="12"/>
      <c r="H111" s="12">
        <v>2208.19</v>
      </c>
      <c r="I111" s="12">
        <v>410.51</v>
      </c>
      <c r="J111" s="12"/>
      <c r="K111" s="12"/>
      <c r="L111" s="9">
        <v>85.9</v>
      </c>
    </row>
    <row r="112" spans="1:12" x14ac:dyDescent="0.2">
      <c r="A112" s="14"/>
      <c r="B112" s="13">
        <v>39416</v>
      </c>
      <c r="C112" s="12">
        <v>10543</v>
      </c>
      <c r="D112" s="12"/>
      <c r="E112" s="12"/>
      <c r="F112" s="12"/>
      <c r="G112" s="12"/>
      <c r="H112" s="12">
        <v>1995.53</v>
      </c>
      <c r="I112" s="12">
        <v>377.85</v>
      </c>
      <c r="J112" s="12"/>
      <c r="K112" s="12"/>
      <c r="L112" s="9">
        <v>94.76</v>
      </c>
    </row>
    <row r="113" spans="1:12" x14ac:dyDescent="0.2">
      <c r="A113" s="14"/>
      <c r="B113" s="13">
        <v>39447</v>
      </c>
      <c r="C113" s="12">
        <v>9854</v>
      </c>
      <c r="D113" s="12"/>
      <c r="E113" s="12"/>
      <c r="F113" s="12"/>
      <c r="G113" s="12"/>
      <c r="H113" s="12">
        <v>1872.86</v>
      </c>
      <c r="I113" s="12">
        <v>386.17</v>
      </c>
      <c r="J113" s="12"/>
      <c r="K113" s="12"/>
      <c r="L113" s="9">
        <v>91.36</v>
      </c>
    </row>
    <row r="114" spans="1:12" x14ac:dyDescent="0.2">
      <c r="A114" s="14"/>
      <c r="B114" s="13">
        <v>39478</v>
      </c>
      <c r="C114" s="12">
        <v>7170</v>
      </c>
      <c r="D114" s="12"/>
      <c r="E114" s="12"/>
      <c r="F114" s="12"/>
      <c r="G114" s="12"/>
      <c r="H114" s="12">
        <v>1612.47</v>
      </c>
      <c r="I114" s="12">
        <v>341.27</v>
      </c>
      <c r="J114" s="12"/>
      <c r="K114" s="12"/>
      <c r="L114" s="9">
        <v>92.98</v>
      </c>
    </row>
    <row r="115" spans="1:12" x14ac:dyDescent="0.2">
      <c r="A115" s="14"/>
      <c r="B115" s="13">
        <v>39507</v>
      </c>
      <c r="C115" s="12">
        <v>6874</v>
      </c>
      <c r="D115" s="12"/>
      <c r="E115" s="12"/>
      <c r="F115" s="12"/>
      <c r="G115" s="12"/>
      <c r="H115" s="12">
        <v>1691.39</v>
      </c>
      <c r="I115" s="12">
        <v>370.89</v>
      </c>
      <c r="J115" s="12"/>
      <c r="K115" s="12"/>
      <c r="L115" s="9">
        <v>95.38</v>
      </c>
    </row>
    <row r="116" spans="1:12" x14ac:dyDescent="0.2">
      <c r="A116" s="14"/>
      <c r="B116" s="13">
        <v>39538</v>
      </c>
      <c r="C116" s="12">
        <v>8063</v>
      </c>
      <c r="D116" s="12"/>
      <c r="E116" s="12"/>
      <c r="F116" s="12"/>
      <c r="G116" s="12"/>
      <c r="H116" s="12">
        <v>1615.05</v>
      </c>
      <c r="I116" s="12">
        <v>342.67</v>
      </c>
      <c r="J116" s="12"/>
      <c r="K116" s="12"/>
      <c r="L116" s="9">
        <v>105.47</v>
      </c>
    </row>
    <row r="117" spans="1:12" x14ac:dyDescent="0.2">
      <c r="A117" s="14"/>
      <c r="B117" s="13">
        <v>39568</v>
      </c>
      <c r="C117" s="12">
        <v>8287</v>
      </c>
      <c r="D117" s="12"/>
      <c r="E117" s="12"/>
      <c r="F117" s="12"/>
      <c r="G117" s="12"/>
      <c r="H117" s="12">
        <v>1738.92</v>
      </c>
      <c r="I117" s="12">
        <v>378.75</v>
      </c>
      <c r="J117" s="12"/>
      <c r="K117" s="12"/>
      <c r="L117" s="9">
        <v>112.62</v>
      </c>
    </row>
    <row r="118" spans="1:12" x14ac:dyDescent="0.2">
      <c r="A118" s="14"/>
      <c r="B118" s="13">
        <v>39598</v>
      </c>
      <c r="C118" s="12">
        <v>10844</v>
      </c>
      <c r="D118" s="12"/>
      <c r="E118" s="12"/>
      <c r="F118" s="12"/>
      <c r="G118" s="12"/>
      <c r="H118" s="12">
        <v>1937.54</v>
      </c>
      <c r="I118" s="12">
        <v>430.93</v>
      </c>
      <c r="J118" s="12"/>
      <c r="K118" s="12"/>
      <c r="L118" s="9">
        <v>125.37</v>
      </c>
    </row>
    <row r="119" spans="1:12" x14ac:dyDescent="0.2">
      <c r="A119" s="14"/>
      <c r="B119" s="13">
        <v>39629</v>
      </c>
      <c r="C119" s="12">
        <v>10245</v>
      </c>
      <c r="D119" s="12"/>
      <c r="E119" s="12"/>
      <c r="F119" s="12"/>
      <c r="G119" s="12"/>
      <c r="H119" s="12">
        <v>1828.75</v>
      </c>
      <c r="I119" s="12">
        <v>408.45</v>
      </c>
      <c r="J119" s="12"/>
      <c r="K119" s="12"/>
      <c r="L119" s="9">
        <v>133.93</v>
      </c>
    </row>
    <row r="120" spans="1:12" x14ac:dyDescent="0.2">
      <c r="A120" s="14"/>
      <c r="B120" s="13">
        <v>39660</v>
      </c>
      <c r="C120" s="12">
        <v>8936</v>
      </c>
      <c r="D120" s="12"/>
      <c r="E120" s="12"/>
      <c r="F120" s="12"/>
      <c r="G120" s="12"/>
      <c r="H120" s="12">
        <v>1745.96</v>
      </c>
      <c r="I120" s="12">
        <v>379.82</v>
      </c>
      <c r="J120" s="12"/>
      <c r="K120" s="12"/>
      <c r="L120" s="9">
        <v>133.38</v>
      </c>
    </row>
    <row r="121" spans="1:12" x14ac:dyDescent="0.2">
      <c r="A121" s="14"/>
      <c r="B121" s="13">
        <v>39689</v>
      </c>
      <c r="C121" s="12">
        <v>7403</v>
      </c>
      <c r="D121" s="12"/>
      <c r="E121" s="12"/>
      <c r="F121" s="12"/>
      <c r="G121" s="12"/>
      <c r="H121" s="12">
        <v>1596.47</v>
      </c>
      <c r="I121" s="12">
        <v>365.97</v>
      </c>
      <c r="J121" s="12"/>
      <c r="K121" s="12"/>
      <c r="L121" s="9">
        <v>116.64</v>
      </c>
    </row>
    <row r="122" spans="1:12" x14ac:dyDescent="0.2">
      <c r="A122" s="14"/>
      <c r="B122" s="13">
        <v>39721</v>
      </c>
      <c r="C122" s="12">
        <v>4975</v>
      </c>
      <c r="D122" s="12"/>
      <c r="E122" s="12"/>
      <c r="F122" s="12"/>
      <c r="G122" s="12"/>
      <c r="H122" s="12">
        <v>1297.52</v>
      </c>
      <c r="I122" s="12">
        <v>317.64</v>
      </c>
      <c r="J122" s="12"/>
      <c r="K122" s="12"/>
      <c r="L122" s="9">
        <v>103.94</v>
      </c>
    </row>
    <row r="123" spans="1:12" x14ac:dyDescent="0.2">
      <c r="A123" s="14"/>
      <c r="B123" s="13">
        <v>39752</v>
      </c>
      <c r="C123" s="12">
        <v>1808</v>
      </c>
      <c r="D123" s="12"/>
      <c r="E123" s="12"/>
      <c r="F123" s="12"/>
      <c r="G123" s="12"/>
      <c r="H123" s="12">
        <v>784.11</v>
      </c>
      <c r="I123" s="12">
        <v>210.71</v>
      </c>
      <c r="J123" s="12"/>
      <c r="K123" s="12"/>
      <c r="L123" s="9">
        <v>76.61</v>
      </c>
    </row>
    <row r="124" spans="1:12" x14ac:dyDescent="0.2">
      <c r="A124" s="14"/>
      <c r="B124" s="13">
        <v>39780</v>
      </c>
      <c r="C124" s="12">
        <v>819</v>
      </c>
      <c r="D124" s="12"/>
      <c r="E124" s="12"/>
      <c r="F124" s="12"/>
      <c r="G124" s="12"/>
      <c r="H124" s="12">
        <v>661.91</v>
      </c>
      <c r="I124" s="12">
        <v>171.07</v>
      </c>
      <c r="J124" s="12"/>
      <c r="K124" s="12"/>
      <c r="L124" s="9">
        <v>57.29</v>
      </c>
    </row>
    <row r="125" spans="1:12" x14ac:dyDescent="0.2">
      <c r="A125" s="14"/>
      <c r="B125" s="13">
        <v>39813</v>
      </c>
      <c r="C125" s="12">
        <v>743</v>
      </c>
      <c r="D125" s="12"/>
      <c r="E125" s="12"/>
      <c r="F125" s="12"/>
      <c r="G125" s="12"/>
      <c r="H125" s="12">
        <v>668.34</v>
      </c>
      <c r="I125" s="12">
        <v>157.38</v>
      </c>
      <c r="J125" s="12"/>
      <c r="K125" s="12"/>
      <c r="L125" s="9">
        <v>41.44</v>
      </c>
    </row>
    <row r="126" spans="1:12" x14ac:dyDescent="0.2">
      <c r="A126" s="14"/>
      <c r="B126" s="13">
        <v>39843</v>
      </c>
      <c r="C126" s="12">
        <v>905</v>
      </c>
      <c r="D126" s="12"/>
      <c r="E126" s="12"/>
      <c r="F126" s="12"/>
      <c r="G126" s="12"/>
      <c r="H126" s="12">
        <v>740.61</v>
      </c>
      <c r="I126" s="12">
        <v>170.44</v>
      </c>
      <c r="J126" s="12"/>
      <c r="K126" s="12"/>
      <c r="L126" s="9">
        <v>41.74</v>
      </c>
    </row>
    <row r="127" spans="1:12" x14ac:dyDescent="0.2">
      <c r="A127" s="14"/>
      <c r="B127" s="13">
        <v>39871</v>
      </c>
      <c r="C127" s="12">
        <v>1816</v>
      </c>
      <c r="D127" s="12"/>
      <c r="E127" s="12"/>
      <c r="F127" s="12"/>
      <c r="G127" s="12"/>
      <c r="H127" s="12">
        <v>704.69</v>
      </c>
      <c r="I127" s="12">
        <v>148.26</v>
      </c>
      <c r="J127" s="12"/>
      <c r="K127" s="12"/>
      <c r="L127" s="9">
        <v>39.15</v>
      </c>
    </row>
    <row r="128" spans="1:12" x14ac:dyDescent="0.2">
      <c r="A128" s="14"/>
      <c r="B128" s="13">
        <v>39903</v>
      </c>
      <c r="C128" s="12">
        <v>1958</v>
      </c>
      <c r="D128" s="12"/>
      <c r="E128" s="12"/>
      <c r="F128" s="12"/>
      <c r="G128" s="12"/>
      <c r="H128" s="12">
        <v>594.08000000000004</v>
      </c>
      <c r="I128" s="12">
        <v>120.82</v>
      </c>
      <c r="J128" s="12"/>
      <c r="K128" s="12"/>
      <c r="L128" s="9">
        <v>47.98</v>
      </c>
    </row>
    <row r="129" spans="1:12" x14ac:dyDescent="0.2">
      <c r="A129" s="14"/>
      <c r="B129" s="13">
        <v>39933</v>
      </c>
      <c r="C129" s="12">
        <v>1659</v>
      </c>
      <c r="D129" s="12"/>
      <c r="E129" s="12"/>
      <c r="F129" s="12"/>
      <c r="G129" s="12"/>
      <c r="H129" s="12">
        <v>699.87</v>
      </c>
      <c r="I129" s="12">
        <v>143.44999999999999</v>
      </c>
      <c r="J129" s="12"/>
      <c r="K129" s="12"/>
      <c r="L129" s="9">
        <v>49.81</v>
      </c>
    </row>
    <row r="130" spans="1:12" x14ac:dyDescent="0.2">
      <c r="A130" s="14"/>
      <c r="B130" s="13">
        <v>39962</v>
      </c>
      <c r="C130" s="12">
        <v>2540</v>
      </c>
      <c r="D130" s="12"/>
      <c r="E130" s="12"/>
      <c r="F130" s="12"/>
      <c r="G130" s="12"/>
      <c r="H130" s="12">
        <v>836.2</v>
      </c>
      <c r="I130" s="12">
        <v>167.14</v>
      </c>
      <c r="J130" s="12"/>
      <c r="K130" s="12"/>
      <c r="L130" s="9">
        <v>59.12</v>
      </c>
    </row>
    <row r="131" spans="1:12" x14ac:dyDescent="0.2">
      <c r="A131" s="14"/>
      <c r="B131" s="13">
        <v>39994</v>
      </c>
      <c r="C131" s="12">
        <v>3823</v>
      </c>
      <c r="D131" s="12"/>
      <c r="E131" s="12"/>
      <c r="F131" s="12">
        <v>485.11</v>
      </c>
      <c r="G131" s="12"/>
      <c r="H131" s="12">
        <v>877.27</v>
      </c>
      <c r="I131" s="12">
        <v>166.9</v>
      </c>
      <c r="J131" s="12">
        <v>457.45</v>
      </c>
      <c r="K131" s="12"/>
      <c r="L131" s="9">
        <v>69.62</v>
      </c>
    </row>
    <row r="132" spans="1:12" x14ac:dyDescent="0.2">
      <c r="A132" s="14"/>
      <c r="B132" s="13">
        <v>40025</v>
      </c>
      <c r="C132" s="12">
        <v>3362</v>
      </c>
      <c r="D132" s="12"/>
      <c r="E132" s="12"/>
      <c r="F132" s="12">
        <v>466.9</v>
      </c>
      <c r="G132" s="12"/>
      <c r="H132" s="12">
        <v>824.43</v>
      </c>
      <c r="I132" s="12">
        <v>154.12</v>
      </c>
      <c r="J132" s="12">
        <v>437.94</v>
      </c>
      <c r="K132" s="12"/>
      <c r="L132" s="9">
        <v>64.12</v>
      </c>
    </row>
    <row r="133" spans="1:12" x14ac:dyDescent="0.2">
      <c r="A133" s="14"/>
      <c r="B133" s="13">
        <v>40056</v>
      </c>
      <c r="C133" s="12">
        <v>2685</v>
      </c>
      <c r="D133" s="12"/>
      <c r="E133" s="12"/>
      <c r="F133" s="12">
        <v>491.41</v>
      </c>
      <c r="G133" s="12"/>
      <c r="H133" s="12">
        <v>866.55</v>
      </c>
      <c r="I133" s="12">
        <v>162.19999999999999</v>
      </c>
      <c r="J133" s="12">
        <v>454.16</v>
      </c>
      <c r="K133" s="12"/>
      <c r="L133" s="9">
        <v>71.06</v>
      </c>
    </row>
    <row r="134" spans="1:12" x14ac:dyDescent="0.2">
      <c r="A134" s="14"/>
      <c r="B134" s="13">
        <v>40086</v>
      </c>
      <c r="C134" s="12">
        <v>2351</v>
      </c>
      <c r="D134" s="12"/>
      <c r="E134" s="12"/>
      <c r="F134" s="12">
        <v>505.77</v>
      </c>
      <c r="G134" s="12"/>
      <c r="H134" s="12">
        <v>876.4</v>
      </c>
      <c r="I134" s="12">
        <v>171.48</v>
      </c>
      <c r="J134" s="12">
        <v>451.96</v>
      </c>
      <c r="K134" s="12"/>
      <c r="L134" s="9">
        <v>69.44</v>
      </c>
    </row>
    <row r="135" spans="1:12" x14ac:dyDescent="0.2">
      <c r="A135" s="14"/>
      <c r="B135" s="13">
        <v>40116</v>
      </c>
      <c r="C135" s="12">
        <v>2746</v>
      </c>
      <c r="D135" s="12"/>
      <c r="E135" s="12"/>
      <c r="F135" s="12">
        <v>513.73</v>
      </c>
      <c r="G135" s="12"/>
      <c r="H135" s="12">
        <v>907.71</v>
      </c>
      <c r="I135" s="12">
        <v>174.69</v>
      </c>
      <c r="J135" s="12">
        <v>461.63</v>
      </c>
      <c r="K135" s="12"/>
      <c r="L135" s="9">
        <v>75.77</v>
      </c>
    </row>
    <row r="136" spans="1:12" x14ac:dyDescent="0.2">
      <c r="A136" s="14"/>
      <c r="B136" s="13">
        <v>40147</v>
      </c>
      <c r="C136" s="12">
        <v>3941</v>
      </c>
      <c r="D136" s="12"/>
      <c r="E136" s="12"/>
      <c r="F136" s="12">
        <v>504.19</v>
      </c>
      <c r="G136" s="12"/>
      <c r="H136" s="12">
        <v>900.7</v>
      </c>
      <c r="I136" s="12">
        <v>170.89</v>
      </c>
      <c r="J136" s="12">
        <v>453.1</v>
      </c>
      <c r="K136" s="12"/>
      <c r="L136" s="9">
        <v>78</v>
      </c>
    </row>
    <row r="137" spans="1:12" x14ac:dyDescent="0.2">
      <c r="A137" s="14"/>
      <c r="B137" s="13">
        <v>40178</v>
      </c>
      <c r="C137" s="12">
        <v>3572</v>
      </c>
      <c r="D137" s="12"/>
      <c r="E137" s="12"/>
      <c r="F137" s="12">
        <v>523.78</v>
      </c>
      <c r="G137" s="12"/>
      <c r="H137" s="12">
        <v>906.33</v>
      </c>
      <c r="I137" s="12">
        <v>174.9</v>
      </c>
      <c r="J137" s="12">
        <v>454.16</v>
      </c>
      <c r="K137" s="12"/>
      <c r="L137" s="9">
        <v>74.489999999999995</v>
      </c>
    </row>
    <row r="138" spans="1:12" x14ac:dyDescent="0.2">
      <c r="A138" s="14"/>
      <c r="B138" s="13">
        <v>40207</v>
      </c>
      <c r="C138" s="12">
        <v>3168</v>
      </c>
      <c r="D138" s="12"/>
      <c r="E138" s="12"/>
      <c r="F138" s="12">
        <v>547.76</v>
      </c>
      <c r="G138" s="12"/>
      <c r="H138" s="12">
        <v>1001.01</v>
      </c>
      <c r="I138" s="12">
        <v>184.58</v>
      </c>
      <c r="J138" s="12">
        <v>471.03</v>
      </c>
      <c r="K138" s="12"/>
      <c r="L138" s="9">
        <v>78.36</v>
      </c>
    </row>
    <row r="139" spans="1:12" x14ac:dyDescent="0.2">
      <c r="A139" s="14"/>
      <c r="B139" s="13">
        <v>40235</v>
      </c>
      <c r="C139" s="12">
        <v>2678</v>
      </c>
      <c r="D139" s="12"/>
      <c r="E139" s="12"/>
      <c r="F139" s="12">
        <v>504.92</v>
      </c>
      <c r="G139" s="12"/>
      <c r="H139" s="12">
        <v>946.3</v>
      </c>
      <c r="I139" s="12">
        <v>173.46</v>
      </c>
      <c r="J139" s="12">
        <v>432.88</v>
      </c>
      <c r="K139" s="12"/>
      <c r="L139" s="9">
        <v>76.41</v>
      </c>
    </row>
    <row r="140" spans="1:12" x14ac:dyDescent="0.2">
      <c r="A140" s="14"/>
      <c r="B140" s="13">
        <v>40268</v>
      </c>
      <c r="C140" s="12">
        <v>3207</v>
      </c>
      <c r="D140" s="12"/>
      <c r="E140" s="12"/>
      <c r="F140" s="12">
        <v>546.26</v>
      </c>
      <c r="G140" s="12"/>
      <c r="H140" s="12">
        <v>1018.57</v>
      </c>
      <c r="I140" s="12">
        <v>186.83</v>
      </c>
      <c r="J140" s="12">
        <v>476.32</v>
      </c>
      <c r="K140" s="12"/>
      <c r="L140" s="9">
        <v>81.25</v>
      </c>
    </row>
    <row r="141" spans="1:12" x14ac:dyDescent="0.2">
      <c r="A141" s="14"/>
      <c r="B141" s="13">
        <v>40298</v>
      </c>
      <c r="C141" s="12">
        <v>3043</v>
      </c>
      <c r="D141" s="12"/>
      <c r="E141" s="12"/>
      <c r="F141" s="12">
        <v>585.88</v>
      </c>
      <c r="G141" s="12"/>
      <c r="H141" s="12">
        <v>1074.69</v>
      </c>
      <c r="I141" s="12">
        <v>197.87</v>
      </c>
      <c r="J141" s="12">
        <v>504.03</v>
      </c>
      <c r="K141" s="12"/>
      <c r="L141" s="9">
        <v>84.48</v>
      </c>
    </row>
    <row r="142" spans="1:12" x14ac:dyDescent="0.2">
      <c r="A142" s="14"/>
      <c r="B142" s="13">
        <v>40329</v>
      </c>
      <c r="C142" s="12">
        <v>3838</v>
      </c>
      <c r="D142" s="12"/>
      <c r="E142" s="12"/>
      <c r="F142" s="12">
        <v>551.27</v>
      </c>
      <c r="G142" s="12"/>
      <c r="H142" s="12">
        <v>988.99</v>
      </c>
      <c r="I142" s="12">
        <v>182.9</v>
      </c>
      <c r="J142" s="12">
        <v>470.82</v>
      </c>
      <c r="K142" s="12"/>
      <c r="L142" s="9">
        <v>73.73</v>
      </c>
    </row>
    <row r="143" spans="1:12" x14ac:dyDescent="0.2">
      <c r="A143" s="14"/>
      <c r="B143" s="13">
        <v>40359</v>
      </c>
      <c r="C143" s="12">
        <v>3088</v>
      </c>
      <c r="D143" s="12"/>
      <c r="E143" s="12"/>
      <c r="F143" s="12">
        <v>525.30999999999995</v>
      </c>
      <c r="G143" s="12"/>
      <c r="H143" s="12">
        <v>978.12</v>
      </c>
      <c r="I143" s="12">
        <v>177.37</v>
      </c>
      <c r="J143" s="12">
        <v>440.5</v>
      </c>
      <c r="K143" s="12">
        <v>84.63</v>
      </c>
      <c r="L143" s="9">
        <v>75.349999999999994</v>
      </c>
    </row>
    <row r="144" spans="1:12" x14ac:dyDescent="0.2">
      <c r="A144" s="14"/>
      <c r="B144" s="13">
        <v>40389</v>
      </c>
      <c r="C144" s="12">
        <v>1910</v>
      </c>
      <c r="D144" s="12"/>
      <c r="E144" s="12"/>
      <c r="F144" s="12">
        <v>517.17999999999995</v>
      </c>
      <c r="G144" s="12"/>
      <c r="H144" s="12">
        <v>975.65</v>
      </c>
      <c r="I144" s="12">
        <v>175.11</v>
      </c>
      <c r="J144" s="12">
        <v>432.13</v>
      </c>
      <c r="K144" s="12">
        <v>86.74</v>
      </c>
      <c r="L144" s="9">
        <v>76.349999999999994</v>
      </c>
    </row>
    <row r="145" spans="1:12" x14ac:dyDescent="0.2">
      <c r="A145" s="14"/>
      <c r="B145" s="13">
        <v>40421</v>
      </c>
      <c r="C145" s="12">
        <v>2432</v>
      </c>
      <c r="D145" s="12"/>
      <c r="E145" s="12"/>
      <c r="F145" s="12">
        <v>512.34</v>
      </c>
      <c r="G145" s="12"/>
      <c r="H145" s="12">
        <v>994.75</v>
      </c>
      <c r="I145" s="12">
        <v>176.06</v>
      </c>
      <c r="J145" s="12">
        <v>429.07</v>
      </c>
      <c r="K145" s="12">
        <v>86.78</v>
      </c>
      <c r="L145" s="9">
        <v>76.599999999999994</v>
      </c>
    </row>
    <row r="146" spans="1:12" x14ac:dyDescent="0.2">
      <c r="A146" s="14"/>
      <c r="B146" s="13">
        <v>40451</v>
      </c>
      <c r="C146" s="12">
        <v>2719</v>
      </c>
      <c r="D146" s="12"/>
      <c r="E146" s="12"/>
      <c r="F146" s="12">
        <v>521.58000000000004</v>
      </c>
      <c r="G146" s="12"/>
      <c r="H146" s="12">
        <v>995.7</v>
      </c>
      <c r="I146" s="12">
        <v>176.7</v>
      </c>
      <c r="J146" s="12">
        <v>427.56</v>
      </c>
      <c r="K146" s="12">
        <v>88.19</v>
      </c>
      <c r="L146" s="9">
        <v>75.290000000000006</v>
      </c>
    </row>
    <row r="147" spans="1:12" x14ac:dyDescent="0.2">
      <c r="A147" s="14"/>
      <c r="B147" s="13">
        <v>40480</v>
      </c>
      <c r="C147" s="12">
        <v>2693</v>
      </c>
      <c r="D147" s="12"/>
      <c r="E147" s="12"/>
      <c r="F147" s="12">
        <v>543.80999999999995</v>
      </c>
      <c r="G147" s="12"/>
      <c r="H147" s="12">
        <v>1021.71</v>
      </c>
      <c r="I147" s="12">
        <v>183.62</v>
      </c>
      <c r="J147" s="12">
        <v>437.65</v>
      </c>
      <c r="K147" s="12">
        <v>93.32</v>
      </c>
      <c r="L147" s="9">
        <v>81.900000000000006</v>
      </c>
    </row>
    <row r="148" spans="1:12" x14ac:dyDescent="0.2">
      <c r="A148" s="14"/>
      <c r="B148" s="13">
        <v>40512</v>
      </c>
      <c r="C148" s="12">
        <v>2321</v>
      </c>
      <c r="D148" s="12"/>
      <c r="E148" s="12">
        <v>1202.68</v>
      </c>
      <c r="F148" s="12">
        <v>572.92999999999995</v>
      </c>
      <c r="G148" s="12">
        <v>1103.22</v>
      </c>
      <c r="H148" s="12">
        <v>1063.74</v>
      </c>
      <c r="I148" s="12">
        <v>190.62</v>
      </c>
      <c r="J148" s="12">
        <v>450.75</v>
      </c>
      <c r="K148" s="12">
        <v>106.04</v>
      </c>
      <c r="L148" s="9">
        <v>84.24</v>
      </c>
    </row>
    <row r="149" spans="1:12" x14ac:dyDescent="0.2">
      <c r="A149" s="14"/>
      <c r="B149" s="13">
        <v>40543</v>
      </c>
      <c r="C149" s="12">
        <v>2031</v>
      </c>
      <c r="D149" s="12"/>
      <c r="E149" s="12">
        <v>1103.6600000000001</v>
      </c>
      <c r="F149" s="12">
        <v>575.19000000000005</v>
      </c>
      <c r="G149" s="12">
        <v>1064.43</v>
      </c>
      <c r="H149" s="12">
        <v>1068.6600000000001</v>
      </c>
      <c r="I149" s="12">
        <v>188.06</v>
      </c>
      <c r="J149" s="12">
        <v>440.07</v>
      </c>
      <c r="K149" s="12">
        <v>113.85</v>
      </c>
      <c r="L149" s="9">
        <v>89.15</v>
      </c>
    </row>
    <row r="150" spans="1:12" x14ac:dyDescent="0.2">
      <c r="A150" s="14"/>
      <c r="B150" s="13">
        <v>40574</v>
      </c>
      <c r="C150" s="12">
        <v>1401</v>
      </c>
      <c r="D150" s="12"/>
      <c r="E150" s="12">
        <v>1112.82</v>
      </c>
      <c r="F150" s="12">
        <v>591.16999999999996</v>
      </c>
      <c r="G150" s="12">
        <v>1060.6099999999999</v>
      </c>
      <c r="H150" s="12">
        <v>1093.04</v>
      </c>
      <c r="I150" s="12">
        <v>186</v>
      </c>
      <c r="J150" s="12">
        <v>438.67</v>
      </c>
      <c r="K150" s="12">
        <v>121.71</v>
      </c>
      <c r="L150" s="9">
        <v>89.41</v>
      </c>
    </row>
    <row r="151" spans="1:12" x14ac:dyDescent="0.2">
      <c r="A151" s="14"/>
      <c r="B151" s="13">
        <v>40602</v>
      </c>
      <c r="C151" s="12">
        <v>1181</v>
      </c>
      <c r="D151" s="12"/>
      <c r="E151" s="12">
        <v>1062.77</v>
      </c>
      <c r="F151" s="12">
        <v>604.79999999999995</v>
      </c>
      <c r="G151" s="12">
        <v>1053.24</v>
      </c>
      <c r="H151" s="12">
        <v>1090.6600000000001</v>
      </c>
      <c r="I151" s="12">
        <v>185.21</v>
      </c>
      <c r="J151" s="12">
        <v>429.6</v>
      </c>
      <c r="K151" s="12">
        <v>122.21</v>
      </c>
      <c r="L151" s="9">
        <v>89.53</v>
      </c>
    </row>
    <row r="152" spans="1:12" x14ac:dyDescent="0.2">
      <c r="A152" s="14"/>
      <c r="B152" s="13">
        <v>40633</v>
      </c>
      <c r="C152" s="12">
        <v>1493</v>
      </c>
      <c r="D152" s="12"/>
      <c r="E152" s="12">
        <v>999.1</v>
      </c>
      <c r="F152" s="12">
        <v>603.69000000000005</v>
      </c>
      <c r="G152" s="12">
        <v>1029.75</v>
      </c>
      <c r="H152" s="12">
        <v>1060.1199999999999</v>
      </c>
      <c r="I152" s="12">
        <v>182.74</v>
      </c>
      <c r="J152" s="12">
        <v>420.82</v>
      </c>
      <c r="K152" s="12">
        <v>117.82</v>
      </c>
      <c r="L152" s="9">
        <v>102.92</v>
      </c>
    </row>
    <row r="153" spans="1:12" x14ac:dyDescent="0.2">
      <c r="A153" s="14"/>
      <c r="B153" s="13">
        <v>40662</v>
      </c>
      <c r="C153" s="12">
        <v>1343</v>
      </c>
      <c r="D153" s="12"/>
      <c r="E153" s="12">
        <v>1023.63</v>
      </c>
      <c r="F153" s="12">
        <v>606.07000000000005</v>
      </c>
      <c r="G153" s="12">
        <v>1008.08</v>
      </c>
      <c r="H153" s="12">
        <v>1050.1400000000001</v>
      </c>
      <c r="I153" s="12">
        <v>182.63</v>
      </c>
      <c r="J153" s="12">
        <v>397.61</v>
      </c>
      <c r="K153" s="12">
        <v>117.68</v>
      </c>
      <c r="L153" s="9">
        <v>109.96</v>
      </c>
    </row>
    <row r="154" spans="1:12" x14ac:dyDescent="0.2">
      <c r="A154" s="14"/>
      <c r="B154" s="13">
        <v>40694</v>
      </c>
      <c r="C154" s="12">
        <v>1352</v>
      </c>
      <c r="D154" s="12"/>
      <c r="E154" s="12">
        <v>1072.48</v>
      </c>
      <c r="F154" s="12">
        <v>578.65</v>
      </c>
      <c r="G154" s="12">
        <v>1011.93</v>
      </c>
      <c r="H154" s="12">
        <v>1015.74</v>
      </c>
      <c r="I154" s="12">
        <v>169.35</v>
      </c>
      <c r="J154" s="12">
        <v>373.84</v>
      </c>
      <c r="K154" s="12">
        <v>116.09</v>
      </c>
      <c r="L154" s="9">
        <v>101.28</v>
      </c>
    </row>
    <row r="155" spans="1:12" x14ac:dyDescent="0.2">
      <c r="A155" s="14"/>
      <c r="B155" s="13">
        <v>40724</v>
      </c>
      <c r="C155" s="12">
        <v>1433</v>
      </c>
      <c r="D155" s="12">
        <v>1599.44</v>
      </c>
      <c r="E155" s="12">
        <v>1039.4100000000001</v>
      </c>
      <c r="F155" s="12">
        <v>542.88</v>
      </c>
      <c r="G155" s="12">
        <v>996.88</v>
      </c>
      <c r="H155" s="12">
        <v>954.34</v>
      </c>
      <c r="I155" s="12">
        <v>155.19999999999999</v>
      </c>
      <c r="J155" s="12">
        <v>350.78</v>
      </c>
      <c r="K155" s="12">
        <v>108.78</v>
      </c>
      <c r="L155" s="9">
        <v>96.25</v>
      </c>
    </row>
    <row r="156" spans="1:12" x14ac:dyDescent="0.2">
      <c r="A156" s="14"/>
      <c r="B156" s="13">
        <v>40753</v>
      </c>
      <c r="C156" s="12">
        <v>1366</v>
      </c>
      <c r="D156" s="12">
        <v>1611.89</v>
      </c>
      <c r="E156" s="12">
        <v>1020.14</v>
      </c>
      <c r="F156" s="12">
        <v>539.58000000000004</v>
      </c>
      <c r="G156" s="12">
        <v>982.44</v>
      </c>
      <c r="H156" s="12">
        <v>951.17</v>
      </c>
      <c r="I156" s="12">
        <v>149.53</v>
      </c>
      <c r="J156" s="12">
        <v>340.57</v>
      </c>
      <c r="K156" s="12">
        <v>115.22</v>
      </c>
      <c r="L156" s="9">
        <v>97.31</v>
      </c>
    </row>
    <row r="157" spans="1:12" x14ac:dyDescent="0.2">
      <c r="A157" s="14"/>
      <c r="B157" s="13">
        <v>40786</v>
      </c>
      <c r="C157" s="12">
        <v>1387</v>
      </c>
      <c r="D157" s="12">
        <v>1703.82</v>
      </c>
      <c r="E157" s="12">
        <v>1045.19</v>
      </c>
      <c r="F157" s="12">
        <v>450.62</v>
      </c>
      <c r="G157" s="12">
        <v>987.06</v>
      </c>
      <c r="H157" s="12">
        <v>772.53</v>
      </c>
      <c r="I157" s="12">
        <v>113.91</v>
      </c>
      <c r="J157" s="12">
        <v>263.77999999999997</v>
      </c>
      <c r="K157" s="12">
        <v>93.35</v>
      </c>
      <c r="L157" s="9">
        <v>86.32</v>
      </c>
    </row>
    <row r="158" spans="1:12" x14ac:dyDescent="0.2">
      <c r="A158" s="14"/>
      <c r="B158" s="13">
        <v>40816</v>
      </c>
      <c r="C158" s="12">
        <v>1840</v>
      </c>
      <c r="D158" s="12">
        <v>1653.65</v>
      </c>
      <c r="E158" s="12">
        <v>1016.76</v>
      </c>
      <c r="F158" s="12">
        <v>440.16</v>
      </c>
      <c r="G158" s="12">
        <v>991.24</v>
      </c>
      <c r="H158" s="12">
        <v>715.75</v>
      </c>
      <c r="I158" s="12">
        <v>107.78</v>
      </c>
      <c r="J158" s="12">
        <v>246.98</v>
      </c>
      <c r="K158" s="12">
        <v>91.64</v>
      </c>
      <c r="L158" s="9">
        <v>85.58</v>
      </c>
    </row>
    <row r="159" spans="1:12" x14ac:dyDescent="0.2">
      <c r="A159" s="14"/>
      <c r="B159" s="13">
        <v>40847</v>
      </c>
      <c r="C159" s="12">
        <v>2072</v>
      </c>
      <c r="D159" s="12">
        <v>1487.56</v>
      </c>
      <c r="E159" s="12">
        <v>939.77</v>
      </c>
      <c r="F159" s="12">
        <v>429.75</v>
      </c>
      <c r="G159" s="12">
        <v>956.77</v>
      </c>
      <c r="H159" s="12">
        <v>685.44</v>
      </c>
      <c r="I159" s="12">
        <v>103.22</v>
      </c>
      <c r="J159" s="12">
        <v>234.68</v>
      </c>
      <c r="K159" s="12">
        <v>94.27</v>
      </c>
      <c r="L159" s="9">
        <v>86.41</v>
      </c>
    </row>
    <row r="160" spans="1:12" x14ac:dyDescent="0.2">
      <c r="A160" s="14"/>
      <c r="B160" s="13">
        <v>40877</v>
      </c>
      <c r="C160" s="12">
        <v>1835</v>
      </c>
      <c r="D160" s="12">
        <v>1365.08</v>
      </c>
      <c r="E160" s="12">
        <v>895.51</v>
      </c>
      <c r="F160" s="12">
        <v>443.84</v>
      </c>
      <c r="G160" s="12">
        <v>936.33</v>
      </c>
      <c r="H160" s="12">
        <v>650.46</v>
      </c>
      <c r="I160" s="12">
        <v>98.93</v>
      </c>
      <c r="J160" s="12">
        <v>225.99</v>
      </c>
      <c r="K160" s="12">
        <v>100.34</v>
      </c>
      <c r="L160" s="9">
        <v>97.12</v>
      </c>
    </row>
    <row r="161" spans="1:12" x14ac:dyDescent="0.2">
      <c r="A161" s="14"/>
      <c r="B161" s="13">
        <v>40907</v>
      </c>
      <c r="C161" s="12">
        <v>1869</v>
      </c>
      <c r="D161" s="12">
        <v>1215.69</v>
      </c>
      <c r="E161" s="12">
        <v>876.34</v>
      </c>
      <c r="F161" s="12">
        <v>435.62</v>
      </c>
      <c r="G161" s="12">
        <v>902.64</v>
      </c>
      <c r="H161" s="12">
        <v>646.94000000000005</v>
      </c>
      <c r="I161" s="12">
        <v>89.09</v>
      </c>
      <c r="J161" s="12">
        <v>199.25</v>
      </c>
      <c r="K161" s="12">
        <v>105.24</v>
      </c>
      <c r="L161" s="9">
        <v>98.56</v>
      </c>
    </row>
    <row r="162" spans="1:12" x14ac:dyDescent="0.2">
      <c r="A162" s="14"/>
      <c r="B162" s="13">
        <v>40939</v>
      </c>
      <c r="C162" s="12">
        <v>1039</v>
      </c>
      <c r="D162" s="12">
        <v>1495.43</v>
      </c>
      <c r="E162" s="12">
        <v>979.64</v>
      </c>
      <c r="F162" s="12">
        <v>464.71</v>
      </c>
      <c r="G162" s="12">
        <v>913.62</v>
      </c>
      <c r="H162" s="12">
        <v>694.4</v>
      </c>
      <c r="I162" s="12">
        <v>97.04</v>
      </c>
      <c r="J162" s="12">
        <v>216.48</v>
      </c>
      <c r="K162" s="12">
        <v>110.49</v>
      </c>
      <c r="L162" s="9">
        <v>100.29</v>
      </c>
    </row>
    <row r="163" spans="1:12" x14ac:dyDescent="0.2">
      <c r="A163" s="14"/>
      <c r="B163" s="13">
        <v>40968</v>
      </c>
      <c r="C163" s="12">
        <v>703</v>
      </c>
      <c r="D163" s="12">
        <v>1460.67</v>
      </c>
      <c r="E163" s="12">
        <v>965.59</v>
      </c>
      <c r="F163" s="12">
        <v>493.56</v>
      </c>
      <c r="G163" s="12">
        <v>943.53</v>
      </c>
      <c r="H163" s="12">
        <v>780.86</v>
      </c>
      <c r="I163" s="12">
        <v>108.88</v>
      </c>
      <c r="J163" s="12">
        <v>234.34</v>
      </c>
      <c r="K163" s="12">
        <v>114.43</v>
      </c>
      <c r="L163" s="9">
        <v>102.21</v>
      </c>
    </row>
    <row r="164" spans="1:12" x14ac:dyDescent="0.2">
      <c r="A164" s="14"/>
      <c r="B164" s="13">
        <v>40998</v>
      </c>
      <c r="C164" s="12">
        <v>859</v>
      </c>
      <c r="D164" s="12">
        <v>2051.34</v>
      </c>
      <c r="E164" s="12">
        <v>1227.0899999999999</v>
      </c>
      <c r="F164" s="12">
        <v>500.39</v>
      </c>
      <c r="G164" s="12">
        <v>1040.06</v>
      </c>
      <c r="H164" s="12">
        <v>802.94</v>
      </c>
      <c r="I164" s="12">
        <v>114.46</v>
      </c>
      <c r="J164" s="12">
        <v>237.38</v>
      </c>
      <c r="K164" s="12">
        <v>111.14</v>
      </c>
      <c r="L164" s="9">
        <v>106.15</v>
      </c>
    </row>
    <row r="165" spans="1:12" x14ac:dyDescent="0.2">
      <c r="A165" s="14"/>
      <c r="B165" s="13">
        <v>41029</v>
      </c>
      <c r="C165" s="12">
        <v>1021</v>
      </c>
      <c r="D165" s="12">
        <v>2411.67</v>
      </c>
      <c r="E165" s="12">
        <v>1426.54</v>
      </c>
      <c r="F165" s="12">
        <v>500.74</v>
      </c>
      <c r="G165" s="12">
        <v>1213.0899999999999</v>
      </c>
      <c r="H165" s="12">
        <v>794.45</v>
      </c>
      <c r="I165" s="12">
        <v>113.28</v>
      </c>
      <c r="J165" s="12">
        <v>233.21</v>
      </c>
      <c r="K165" s="12">
        <v>106.08</v>
      </c>
      <c r="L165" s="9">
        <v>103.28</v>
      </c>
    </row>
    <row r="166" spans="1:12" x14ac:dyDescent="0.2">
      <c r="A166" s="14"/>
      <c r="B166" s="13">
        <v>41060</v>
      </c>
      <c r="C166" s="12">
        <v>1101</v>
      </c>
      <c r="D166" s="12">
        <v>2609.48</v>
      </c>
      <c r="E166" s="12">
        <v>1450.27</v>
      </c>
      <c r="F166" s="12">
        <v>462.12</v>
      </c>
      <c r="G166" s="12">
        <v>1313.3</v>
      </c>
      <c r="H166" s="12">
        <v>719.76</v>
      </c>
      <c r="I166" s="12">
        <v>98.96</v>
      </c>
      <c r="J166" s="12">
        <v>203.1</v>
      </c>
      <c r="K166" s="12">
        <v>103.18</v>
      </c>
      <c r="L166" s="9">
        <v>94.68</v>
      </c>
    </row>
    <row r="167" spans="1:12" x14ac:dyDescent="0.2">
      <c r="A167" s="14"/>
      <c r="B167" s="13">
        <v>41089</v>
      </c>
      <c r="C167" s="12">
        <v>937</v>
      </c>
      <c r="D167" s="12">
        <v>2526.37</v>
      </c>
      <c r="E167" s="12">
        <v>1427.61</v>
      </c>
      <c r="F167" s="12">
        <v>423.3</v>
      </c>
      <c r="G167" s="12">
        <v>1317.22</v>
      </c>
      <c r="H167" s="12">
        <v>683.34</v>
      </c>
      <c r="I167" s="12">
        <v>87.15</v>
      </c>
      <c r="J167" s="12">
        <v>184.85</v>
      </c>
      <c r="K167" s="12">
        <v>100.88</v>
      </c>
      <c r="L167" s="9">
        <v>82.36</v>
      </c>
    </row>
    <row r="168" spans="1:12" x14ac:dyDescent="0.2">
      <c r="A168" s="14"/>
      <c r="B168" s="13">
        <v>41121</v>
      </c>
      <c r="C168" s="12">
        <v>1056</v>
      </c>
      <c r="D168" s="12">
        <v>2592.67</v>
      </c>
      <c r="E168" s="12">
        <v>1362.25</v>
      </c>
      <c r="F168" s="12">
        <v>399.47</v>
      </c>
      <c r="G168" s="12">
        <v>1304.97</v>
      </c>
      <c r="H168" s="12">
        <v>692.62</v>
      </c>
      <c r="I168" s="12">
        <v>85.37</v>
      </c>
      <c r="J168" s="12">
        <v>185.47</v>
      </c>
      <c r="K168" s="12">
        <v>105.24</v>
      </c>
      <c r="L168" s="9">
        <v>87.9</v>
      </c>
    </row>
    <row r="169" spans="1:12" x14ac:dyDescent="0.2">
      <c r="A169" s="14"/>
      <c r="B169" s="13">
        <v>41152</v>
      </c>
      <c r="C169" s="12">
        <v>761</v>
      </c>
      <c r="D169" s="12">
        <v>2532.84</v>
      </c>
      <c r="E169" s="12">
        <v>1346.28</v>
      </c>
      <c r="F169" s="12">
        <v>408.7</v>
      </c>
      <c r="G169" s="12">
        <v>1263.72</v>
      </c>
      <c r="H169" s="12">
        <v>688.61</v>
      </c>
      <c r="I169" s="12">
        <v>84.79</v>
      </c>
      <c r="J169" s="12">
        <v>179.99</v>
      </c>
      <c r="K169" s="12">
        <v>109.07</v>
      </c>
      <c r="L169" s="9">
        <v>94.11</v>
      </c>
    </row>
    <row r="170" spans="1:12" x14ac:dyDescent="0.2">
      <c r="A170" s="14"/>
      <c r="B170" s="13">
        <v>41180</v>
      </c>
      <c r="C170" s="12">
        <v>707</v>
      </c>
      <c r="D170" s="12">
        <v>2251.1799999999998</v>
      </c>
      <c r="E170" s="12">
        <v>1265.1300000000001</v>
      </c>
      <c r="F170" s="12">
        <v>409.75</v>
      </c>
      <c r="G170" s="12">
        <v>1225.72</v>
      </c>
      <c r="H170" s="12">
        <v>681.25</v>
      </c>
      <c r="I170" s="12">
        <v>86.3</v>
      </c>
      <c r="J170" s="12">
        <v>177.73</v>
      </c>
      <c r="K170" s="12">
        <v>106.66</v>
      </c>
      <c r="L170" s="9">
        <v>94.51</v>
      </c>
    </row>
    <row r="171" spans="1:12" x14ac:dyDescent="0.2">
      <c r="A171" s="14"/>
      <c r="B171" s="13">
        <v>41213</v>
      </c>
      <c r="C171" s="12">
        <v>952</v>
      </c>
      <c r="D171" s="12">
        <v>2094.16</v>
      </c>
      <c r="E171" s="12">
        <v>1202.6300000000001</v>
      </c>
      <c r="F171" s="12">
        <v>401.14</v>
      </c>
      <c r="G171" s="12">
        <v>1177.1600000000001</v>
      </c>
      <c r="H171" s="12">
        <v>674.94</v>
      </c>
      <c r="I171" s="12">
        <v>78.83</v>
      </c>
      <c r="J171" s="12">
        <v>163.66</v>
      </c>
      <c r="K171" s="12">
        <v>104.59</v>
      </c>
      <c r="L171" s="9">
        <v>89.52</v>
      </c>
    </row>
    <row r="172" spans="1:12" x14ac:dyDescent="0.2">
      <c r="A172" s="14"/>
      <c r="B172" s="13">
        <v>41243</v>
      </c>
      <c r="C172" s="12">
        <v>1025</v>
      </c>
      <c r="D172" s="12">
        <v>2040.1</v>
      </c>
      <c r="E172" s="12">
        <v>1148</v>
      </c>
      <c r="F172" s="12">
        <v>386.85</v>
      </c>
      <c r="G172" s="12">
        <v>1147.25</v>
      </c>
      <c r="H172" s="12">
        <v>660.58</v>
      </c>
      <c r="I172" s="12">
        <v>70.209999999999994</v>
      </c>
      <c r="J172" s="12">
        <v>151.38</v>
      </c>
      <c r="K172" s="12">
        <v>106.51</v>
      </c>
      <c r="L172" s="9">
        <v>86.68</v>
      </c>
    </row>
    <row r="173" spans="1:12" x14ac:dyDescent="0.2">
      <c r="A173" s="14"/>
      <c r="B173" s="13">
        <v>41274</v>
      </c>
      <c r="C173" s="12">
        <v>856</v>
      </c>
      <c r="D173" s="12">
        <v>1915.01</v>
      </c>
      <c r="E173" s="12">
        <v>1127.06</v>
      </c>
      <c r="F173" s="12">
        <v>398.23</v>
      </c>
      <c r="G173" s="12">
        <v>1107.22</v>
      </c>
      <c r="H173" s="12">
        <v>684.2</v>
      </c>
      <c r="I173" s="12">
        <v>67.61</v>
      </c>
      <c r="J173" s="12">
        <v>158.69</v>
      </c>
      <c r="K173" s="12">
        <v>111.83</v>
      </c>
      <c r="L173" s="9">
        <v>88.19</v>
      </c>
    </row>
    <row r="174" spans="1:12" x14ac:dyDescent="0.2">
      <c r="A174" s="14"/>
      <c r="B174" s="13">
        <v>41305</v>
      </c>
      <c r="C174" s="12">
        <v>771</v>
      </c>
      <c r="D174" s="12">
        <v>2196.0300000000002</v>
      </c>
      <c r="E174" s="12">
        <v>1200.44</v>
      </c>
      <c r="F174" s="12">
        <v>428.09</v>
      </c>
      <c r="G174" s="12">
        <v>1119.92</v>
      </c>
      <c r="H174" s="12">
        <v>746.89</v>
      </c>
      <c r="I174" s="12">
        <v>76.37</v>
      </c>
      <c r="J174" s="12">
        <v>169.76</v>
      </c>
      <c r="K174" s="12">
        <v>124.12</v>
      </c>
      <c r="L174" s="9">
        <v>94.74</v>
      </c>
    </row>
    <row r="175" spans="1:12" x14ac:dyDescent="0.2">
      <c r="A175" s="14"/>
      <c r="B175" s="13">
        <v>41333</v>
      </c>
      <c r="C175" s="12">
        <v>745</v>
      </c>
      <c r="D175" s="12">
        <v>2129.15</v>
      </c>
      <c r="E175" s="12">
        <v>1197.7</v>
      </c>
      <c r="F175" s="12">
        <v>447.11</v>
      </c>
      <c r="G175" s="12">
        <v>1146.47</v>
      </c>
      <c r="H175" s="12">
        <v>744.83</v>
      </c>
      <c r="I175" s="12">
        <v>75.56</v>
      </c>
      <c r="J175" s="12">
        <v>171.29</v>
      </c>
      <c r="K175" s="12">
        <v>123.2</v>
      </c>
      <c r="L175" s="9">
        <v>95.27</v>
      </c>
    </row>
    <row r="176" spans="1:12" x14ac:dyDescent="0.2">
      <c r="A176" s="14"/>
      <c r="B176" s="13">
        <v>41362</v>
      </c>
      <c r="C176" s="12">
        <v>876</v>
      </c>
      <c r="D176" s="12">
        <v>1993.33</v>
      </c>
      <c r="E176" s="12">
        <v>1142.25</v>
      </c>
      <c r="F176" s="12">
        <v>457.19</v>
      </c>
      <c r="G176" s="12">
        <v>1110.46</v>
      </c>
      <c r="H176" s="12">
        <v>752.61</v>
      </c>
      <c r="I176" s="12">
        <v>79.790000000000006</v>
      </c>
      <c r="J176" s="12">
        <v>170.98</v>
      </c>
      <c r="K176" s="12">
        <v>120.94</v>
      </c>
      <c r="L176" s="9">
        <v>92.91</v>
      </c>
    </row>
    <row r="177" spans="1:12" x14ac:dyDescent="0.2">
      <c r="A177" s="14"/>
      <c r="B177" s="13">
        <v>41394</v>
      </c>
      <c r="C177" s="12">
        <v>874</v>
      </c>
      <c r="D177" s="12">
        <v>1939.28</v>
      </c>
      <c r="E177" s="12">
        <v>1094.1600000000001</v>
      </c>
      <c r="F177" s="12">
        <v>452.81</v>
      </c>
      <c r="G177" s="12">
        <v>1103.1199999999999</v>
      </c>
      <c r="H177" s="12">
        <v>728.37</v>
      </c>
      <c r="I177" s="12">
        <v>78.72</v>
      </c>
      <c r="J177" s="12">
        <v>166.87</v>
      </c>
      <c r="K177" s="12">
        <v>120.05</v>
      </c>
      <c r="L177" s="9">
        <v>92.02</v>
      </c>
    </row>
    <row r="178" spans="1:12" x14ac:dyDescent="0.2">
      <c r="A178" s="14"/>
      <c r="B178" s="13">
        <v>41425</v>
      </c>
      <c r="C178" s="12">
        <v>851</v>
      </c>
      <c r="D178" s="12">
        <v>1644.49</v>
      </c>
      <c r="E178" s="12">
        <v>1006.41</v>
      </c>
      <c r="F178" s="12">
        <v>484.03</v>
      </c>
      <c r="G178" s="12">
        <v>1069.46</v>
      </c>
      <c r="H178" s="12">
        <v>758.22</v>
      </c>
      <c r="I178" s="12">
        <v>81.98</v>
      </c>
      <c r="J178" s="12">
        <v>178.56</v>
      </c>
      <c r="K178" s="12">
        <v>125.88</v>
      </c>
      <c r="L178" s="9">
        <v>94.76</v>
      </c>
    </row>
    <row r="179" spans="1:12" x14ac:dyDescent="0.2">
      <c r="A179" s="14"/>
      <c r="B179" s="13">
        <v>41453</v>
      </c>
      <c r="C179" s="12">
        <v>941</v>
      </c>
      <c r="D179" s="12">
        <v>1596.83</v>
      </c>
      <c r="E179" s="12">
        <v>999.3</v>
      </c>
      <c r="F179" s="12">
        <v>483.42</v>
      </c>
      <c r="G179" s="12">
        <v>1025.0999999999999</v>
      </c>
      <c r="H179" s="12">
        <v>748.47</v>
      </c>
      <c r="I179" s="12">
        <v>79.41</v>
      </c>
      <c r="J179" s="12">
        <v>172.46</v>
      </c>
      <c r="K179" s="12">
        <v>125.73</v>
      </c>
      <c r="L179" s="9">
        <v>95.79</v>
      </c>
    </row>
    <row r="180" spans="1:12" x14ac:dyDescent="0.2">
      <c r="A180" s="14"/>
      <c r="B180" s="13">
        <v>41486</v>
      </c>
      <c r="C180" s="12">
        <v>1123</v>
      </c>
      <c r="D180" s="12">
        <v>2058.9899999999998</v>
      </c>
      <c r="E180" s="12">
        <v>1090.52</v>
      </c>
      <c r="F180" s="12">
        <v>515.41999999999996</v>
      </c>
      <c r="G180" s="12">
        <v>1061.03</v>
      </c>
      <c r="H180" s="12">
        <v>776.67</v>
      </c>
      <c r="I180" s="12">
        <v>83.02</v>
      </c>
      <c r="J180" s="12">
        <v>182.11</v>
      </c>
      <c r="K180" s="12">
        <v>131.24</v>
      </c>
      <c r="L180" s="9">
        <v>104.7</v>
      </c>
    </row>
    <row r="181" spans="1:12" x14ac:dyDescent="0.2">
      <c r="A181" s="14"/>
      <c r="B181" s="13">
        <v>41516</v>
      </c>
      <c r="C181" s="12">
        <v>1088</v>
      </c>
      <c r="D181" s="12">
        <v>2072.23</v>
      </c>
      <c r="E181" s="12">
        <v>1122.94</v>
      </c>
      <c r="F181" s="12">
        <v>518.12</v>
      </c>
      <c r="G181" s="12">
        <v>1099.73</v>
      </c>
      <c r="H181" s="12">
        <v>796.74</v>
      </c>
      <c r="I181" s="12">
        <v>86.45</v>
      </c>
      <c r="J181" s="12">
        <v>184.18</v>
      </c>
      <c r="K181" s="12">
        <v>139.22999999999999</v>
      </c>
      <c r="L181" s="9">
        <v>106.55</v>
      </c>
    </row>
    <row r="182" spans="1:12" x14ac:dyDescent="0.2">
      <c r="A182" s="14"/>
      <c r="B182" s="13">
        <v>41547</v>
      </c>
      <c r="C182" s="12">
        <v>1681</v>
      </c>
      <c r="D182" s="12">
        <v>1876.71</v>
      </c>
      <c r="E182" s="12">
        <v>1023.94</v>
      </c>
      <c r="F182" s="12">
        <v>525.19000000000005</v>
      </c>
      <c r="G182" s="12">
        <v>1108.3</v>
      </c>
      <c r="H182" s="12">
        <v>838.73</v>
      </c>
      <c r="I182" s="12">
        <v>97.1</v>
      </c>
      <c r="J182" s="12">
        <v>182.04</v>
      </c>
      <c r="K182" s="12">
        <v>148.96</v>
      </c>
      <c r="L182" s="9">
        <v>106.25</v>
      </c>
    </row>
    <row r="183" spans="1:12" x14ac:dyDescent="0.2">
      <c r="A183" s="14"/>
      <c r="B183" s="13">
        <v>41578</v>
      </c>
      <c r="C183" s="12">
        <v>1883</v>
      </c>
      <c r="D183" s="12">
        <v>1534.77</v>
      </c>
      <c r="E183" s="12">
        <v>889.54</v>
      </c>
      <c r="F183" s="12">
        <v>542.26</v>
      </c>
      <c r="G183" s="12">
        <v>1008.6</v>
      </c>
      <c r="H183" s="12">
        <v>855.25</v>
      </c>
      <c r="I183" s="12">
        <v>98.31</v>
      </c>
      <c r="J183" s="12">
        <v>185.83</v>
      </c>
      <c r="K183" s="12">
        <v>151.11000000000001</v>
      </c>
      <c r="L183" s="9">
        <v>100.5</v>
      </c>
    </row>
    <row r="184" spans="1:12" x14ac:dyDescent="0.2">
      <c r="A184" s="14"/>
      <c r="B184" s="13">
        <v>41607</v>
      </c>
      <c r="C184" s="12">
        <v>1559</v>
      </c>
      <c r="D184" s="12">
        <v>1952.04</v>
      </c>
      <c r="E184" s="12">
        <v>1068.8599999999999</v>
      </c>
      <c r="F184" s="12">
        <v>564.08000000000004</v>
      </c>
      <c r="G184" s="12">
        <v>1040.08</v>
      </c>
      <c r="H184" s="12">
        <v>851.56</v>
      </c>
      <c r="I184" s="12">
        <v>94.56</v>
      </c>
      <c r="J184" s="12">
        <v>189.11</v>
      </c>
      <c r="K184" s="12">
        <v>159.15</v>
      </c>
      <c r="L184" s="9">
        <v>93.89</v>
      </c>
    </row>
    <row r="185" spans="1:12" x14ac:dyDescent="0.2">
      <c r="A185" s="14"/>
      <c r="B185" s="13">
        <v>41639</v>
      </c>
      <c r="C185" s="12">
        <v>2178</v>
      </c>
      <c r="D185" s="12">
        <v>1851.3</v>
      </c>
      <c r="E185" s="12">
        <v>1079.29</v>
      </c>
      <c r="F185" s="12">
        <v>574.6</v>
      </c>
      <c r="G185" s="12">
        <v>1063.1300000000001</v>
      </c>
      <c r="H185" s="12">
        <v>872</v>
      </c>
      <c r="I185" s="12">
        <v>101.08</v>
      </c>
      <c r="J185" s="12">
        <v>191.36</v>
      </c>
      <c r="K185" s="12">
        <v>167.89</v>
      </c>
      <c r="L185" s="9">
        <v>97.85</v>
      </c>
    </row>
    <row r="186" spans="1:12" x14ac:dyDescent="0.2">
      <c r="A186" s="14"/>
      <c r="B186" s="13">
        <v>41670</v>
      </c>
      <c r="C186" s="12">
        <v>1472</v>
      </c>
      <c r="D186" s="12">
        <v>2304.0100000000002</v>
      </c>
      <c r="E186" s="12">
        <v>1174.8699999999999</v>
      </c>
      <c r="F186" s="12">
        <v>602.37</v>
      </c>
      <c r="G186" s="12">
        <v>1129.8399999999999</v>
      </c>
      <c r="H186" s="12">
        <v>926.78</v>
      </c>
      <c r="I186" s="12">
        <v>112.62</v>
      </c>
      <c r="J186" s="12">
        <v>197.08</v>
      </c>
      <c r="K186" s="12">
        <v>184.7</v>
      </c>
      <c r="L186" s="9">
        <v>94.86</v>
      </c>
    </row>
    <row r="187" spans="1:12" x14ac:dyDescent="0.2">
      <c r="A187" s="14"/>
      <c r="B187" s="13">
        <v>41698</v>
      </c>
      <c r="C187" s="12">
        <v>1140</v>
      </c>
      <c r="D187" s="12">
        <v>2199.16</v>
      </c>
      <c r="E187" s="12">
        <v>1069.3599999999999</v>
      </c>
      <c r="F187" s="12">
        <v>590.70000000000005</v>
      </c>
      <c r="G187" s="12">
        <v>1146.17</v>
      </c>
      <c r="H187" s="12">
        <v>924.68</v>
      </c>
      <c r="I187" s="12">
        <v>110.72</v>
      </c>
      <c r="J187" s="12">
        <v>184.17</v>
      </c>
      <c r="K187" s="12">
        <v>187.43</v>
      </c>
      <c r="L187" s="9">
        <v>100.73</v>
      </c>
    </row>
    <row r="188" spans="1:12" x14ac:dyDescent="0.2">
      <c r="A188" s="14"/>
      <c r="B188" s="13">
        <v>41729</v>
      </c>
      <c r="C188" s="12">
        <v>1484</v>
      </c>
      <c r="D188" s="12">
        <v>1817.14</v>
      </c>
      <c r="E188" s="12">
        <v>969.14</v>
      </c>
      <c r="F188" s="12">
        <v>603.23</v>
      </c>
      <c r="G188" s="12">
        <v>1070.31</v>
      </c>
      <c r="H188" s="12">
        <v>937.42</v>
      </c>
      <c r="I188" s="12">
        <v>116.74</v>
      </c>
      <c r="J188" s="12">
        <v>187.31</v>
      </c>
      <c r="K188" s="12">
        <v>183.24</v>
      </c>
      <c r="L188" s="9">
        <v>100.57</v>
      </c>
    </row>
    <row r="189" spans="1:12" x14ac:dyDescent="0.2">
      <c r="A189" s="14"/>
      <c r="B189" s="13">
        <v>41759</v>
      </c>
      <c r="C189" s="12">
        <v>1045</v>
      </c>
      <c r="D189" s="12">
        <v>1952.88</v>
      </c>
      <c r="E189" s="12">
        <v>1078.46</v>
      </c>
      <c r="F189" s="12">
        <v>587.54</v>
      </c>
      <c r="G189" s="12">
        <v>1068.76</v>
      </c>
      <c r="H189" s="12">
        <v>931.72</v>
      </c>
      <c r="I189" s="12">
        <v>110.84</v>
      </c>
      <c r="J189" s="12">
        <v>177.58</v>
      </c>
      <c r="K189" s="12">
        <v>181.02</v>
      </c>
      <c r="L189" s="9">
        <v>102.08</v>
      </c>
    </row>
    <row r="190" spans="1:12" x14ac:dyDescent="0.2">
      <c r="A190" s="14"/>
      <c r="B190" s="13">
        <v>41789</v>
      </c>
      <c r="C190" s="12">
        <v>991</v>
      </c>
      <c r="D190" s="12">
        <v>2015.24</v>
      </c>
      <c r="E190" s="12">
        <v>1137.1099999999999</v>
      </c>
      <c r="F190" s="12">
        <v>590.4</v>
      </c>
      <c r="G190" s="12">
        <v>1095.99</v>
      </c>
      <c r="H190" s="12">
        <v>941.86</v>
      </c>
      <c r="I190" s="12">
        <v>107.25</v>
      </c>
      <c r="J190" s="12">
        <v>171.78</v>
      </c>
      <c r="K190" s="12">
        <v>181.8</v>
      </c>
      <c r="L190" s="9">
        <v>101.86</v>
      </c>
    </row>
    <row r="191" spans="1:12" x14ac:dyDescent="0.2">
      <c r="A191" s="14"/>
      <c r="B191" s="13">
        <v>41820</v>
      </c>
      <c r="C191" s="12">
        <v>912</v>
      </c>
      <c r="D191" s="12">
        <v>2024.09</v>
      </c>
      <c r="E191" s="12">
        <v>1070.3</v>
      </c>
      <c r="F191" s="12">
        <v>616.04999999999995</v>
      </c>
      <c r="G191" s="12">
        <v>1099.06</v>
      </c>
      <c r="H191" s="12">
        <v>973.83</v>
      </c>
      <c r="I191" s="12">
        <v>111.97</v>
      </c>
      <c r="J191" s="12">
        <v>179.38</v>
      </c>
      <c r="K191" s="12">
        <v>187.41</v>
      </c>
      <c r="L191" s="9">
        <v>105.24</v>
      </c>
    </row>
    <row r="192" spans="1:12" x14ac:dyDescent="0.2">
      <c r="A192" s="14"/>
      <c r="B192" s="13">
        <v>41851</v>
      </c>
      <c r="C192" s="12">
        <v>796</v>
      </c>
      <c r="D192" s="12">
        <v>2067.3200000000002</v>
      </c>
      <c r="E192" s="12">
        <v>1092.5999999999999</v>
      </c>
      <c r="F192" s="12">
        <v>604.54</v>
      </c>
      <c r="G192" s="12">
        <v>1092.3900000000001</v>
      </c>
      <c r="H192" s="12">
        <v>957.63</v>
      </c>
      <c r="I192" s="12">
        <v>106.4</v>
      </c>
      <c r="J192" s="12">
        <v>178.15</v>
      </c>
      <c r="K192" s="12">
        <v>187.86</v>
      </c>
      <c r="L192" s="9">
        <v>102.94</v>
      </c>
    </row>
    <row r="193" spans="1:12" x14ac:dyDescent="0.2">
      <c r="A193" s="14"/>
      <c r="B193" s="13">
        <v>41880</v>
      </c>
      <c r="C193" s="12">
        <v>937</v>
      </c>
      <c r="D193" s="12">
        <v>2221.0300000000002</v>
      </c>
      <c r="E193" s="12">
        <v>1134.29</v>
      </c>
      <c r="F193" s="12">
        <v>600.17999999999995</v>
      </c>
      <c r="G193" s="12">
        <v>1107.8499999999999</v>
      </c>
      <c r="H193" s="12">
        <v>948.12</v>
      </c>
      <c r="I193" s="12">
        <v>102.17</v>
      </c>
      <c r="J193" s="12">
        <v>171.51</v>
      </c>
      <c r="K193" s="12">
        <v>188.89</v>
      </c>
      <c r="L193" s="9">
        <v>96.38</v>
      </c>
    </row>
    <row r="194" spans="1:12" x14ac:dyDescent="0.2">
      <c r="A194" s="14"/>
      <c r="B194" s="13">
        <v>41912</v>
      </c>
      <c r="C194" s="12">
        <v>1123</v>
      </c>
      <c r="D194" s="12">
        <v>2102.9499999999998</v>
      </c>
      <c r="E194" s="12">
        <v>1033.76</v>
      </c>
      <c r="F194" s="12">
        <v>595.66</v>
      </c>
      <c r="G194" s="12">
        <v>1107.1099999999999</v>
      </c>
      <c r="H194" s="12">
        <v>936.97</v>
      </c>
      <c r="I194" s="12">
        <v>95.91</v>
      </c>
      <c r="J194" s="12">
        <v>165.13</v>
      </c>
      <c r="K194" s="12">
        <v>192.72</v>
      </c>
      <c r="L194" s="9">
        <v>93.22</v>
      </c>
    </row>
    <row r="195" spans="1:12" x14ac:dyDescent="0.2">
      <c r="A195" s="14"/>
      <c r="B195" s="13">
        <v>41943</v>
      </c>
      <c r="C195" s="12">
        <v>1101</v>
      </c>
      <c r="D195" s="12">
        <v>1730.61</v>
      </c>
      <c r="E195" s="12">
        <v>988.26</v>
      </c>
      <c r="F195" s="12">
        <v>531.16</v>
      </c>
      <c r="G195" s="12">
        <v>1029.76</v>
      </c>
      <c r="H195" s="12">
        <v>833.43</v>
      </c>
      <c r="I195" s="12">
        <v>82.98</v>
      </c>
      <c r="J195" s="12">
        <v>140.87</v>
      </c>
      <c r="K195" s="12">
        <v>176.98</v>
      </c>
      <c r="L195" s="9">
        <v>84.4</v>
      </c>
    </row>
    <row r="196" spans="1:12" x14ac:dyDescent="0.2">
      <c r="A196" s="14"/>
      <c r="B196" s="13">
        <v>41971</v>
      </c>
      <c r="C196" s="12">
        <v>1332</v>
      </c>
      <c r="D196" s="12">
        <v>1963.29</v>
      </c>
      <c r="E196" s="12">
        <v>1018.88</v>
      </c>
      <c r="F196" s="12">
        <v>537.79999999999995</v>
      </c>
      <c r="G196" s="12">
        <v>1046.6199999999999</v>
      </c>
      <c r="H196" s="12">
        <v>827.2</v>
      </c>
      <c r="I196" s="12">
        <v>82.03</v>
      </c>
      <c r="J196" s="12">
        <v>146.07</v>
      </c>
      <c r="K196" s="12">
        <v>184.77</v>
      </c>
      <c r="L196" s="9">
        <v>75.81</v>
      </c>
    </row>
    <row r="197" spans="1:12" x14ac:dyDescent="0.2">
      <c r="A197" s="14"/>
      <c r="B197" s="13">
        <v>42004</v>
      </c>
      <c r="C197" s="12">
        <v>910</v>
      </c>
      <c r="D197" s="12">
        <v>1841.72</v>
      </c>
      <c r="E197" s="12">
        <v>1060.08</v>
      </c>
      <c r="F197" s="12">
        <v>495.23</v>
      </c>
      <c r="G197" s="12">
        <v>1038.49</v>
      </c>
      <c r="H197" s="12">
        <v>782.18</v>
      </c>
      <c r="I197" s="12">
        <v>76.34</v>
      </c>
      <c r="J197" s="12">
        <v>138.26</v>
      </c>
      <c r="K197" s="12">
        <v>185.21</v>
      </c>
      <c r="L197" s="9">
        <v>59.26</v>
      </c>
    </row>
    <row r="198" spans="1:12" x14ac:dyDescent="0.2">
      <c r="A198" s="14"/>
      <c r="B198" s="13">
        <v>42034</v>
      </c>
      <c r="C198" s="12">
        <v>725</v>
      </c>
      <c r="D198" s="12">
        <v>2032.7</v>
      </c>
      <c r="E198" s="12">
        <v>1051.76</v>
      </c>
      <c r="F198" s="12">
        <v>492.94</v>
      </c>
      <c r="G198" s="12">
        <v>1060.57</v>
      </c>
      <c r="H198" s="12">
        <v>785.7</v>
      </c>
      <c r="I198" s="12"/>
      <c r="J198" s="12">
        <v>142.03</v>
      </c>
      <c r="K198" s="12">
        <v>197.81</v>
      </c>
      <c r="L198" s="9">
        <v>47.27</v>
      </c>
    </row>
    <row r="199" spans="1:12" x14ac:dyDescent="0.2">
      <c r="A199" s="14"/>
      <c r="B199" s="13">
        <v>42062</v>
      </c>
      <c r="C199" s="12">
        <v>539</v>
      </c>
      <c r="D199" s="12">
        <v>2101.27</v>
      </c>
      <c r="E199" s="12">
        <v>1066.21</v>
      </c>
      <c r="F199" s="12">
        <v>507.89</v>
      </c>
      <c r="G199" s="12">
        <v>1073.53</v>
      </c>
      <c r="H199" s="12">
        <v>802.48</v>
      </c>
      <c r="I199" s="12"/>
      <c r="J199" s="12">
        <v>141.77000000000001</v>
      </c>
      <c r="K199" s="12">
        <v>191.37</v>
      </c>
      <c r="L199" s="9">
        <v>50.61</v>
      </c>
    </row>
    <row r="200" spans="1:12" x14ac:dyDescent="0.2">
      <c r="A200" s="14"/>
      <c r="B200" s="13">
        <v>42094</v>
      </c>
      <c r="C200" s="12">
        <v>576</v>
      </c>
      <c r="D200" s="12">
        <v>1752.16</v>
      </c>
      <c r="E200" s="12">
        <v>868.47</v>
      </c>
      <c r="F200" s="12">
        <v>527.47</v>
      </c>
      <c r="G200" s="12">
        <v>1044.21</v>
      </c>
      <c r="H200" s="12">
        <v>811.25</v>
      </c>
      <c r="I200" s="12"/>
      <c r="J200" s="12">
        <v>144.04</v>
      </c>
      <c r="K200" s="12">
        <v>203.02</v>
      </c>
      <c r="L200" s="9">
        <v>47.78</v>
      </c>
    </row>
    <row r="201" spans="1:12" x14ac:dyDescent="0.2">
      <c r="A201" s="14"/>
      <c r="B201" s="13">
        <v>42124</v>
      </c>
      <c r="C201" s="12">
        <v>591</v>
      </c>
      <c r="D201" s="12">
        <v>1404.28</v>
      </c>
      <c r="E201" s="12">
        <v>748.39</v>
      </c>
      <c r="F201" s="12">
        <v>562.83000000000004</v>
      </c>
      <c r="G201" s="12">
        <v>948.25</v>
      </c>
      <c r="H201" s="12">
        <v>843</v>
      </c>
      <c r="I201" s="12"/>
      <c r="J201" s="12">
        <v>147.38</v>
      </c>
      <c r="K201" s="12">
        <v>209.46</v>
      </c>
      <c r="L201" s="9">
        <v>54.44</v>
      </c>
    </row>
    <row r="202" spans="1:12" x14ac:dyDescent="0.2">
      <c r="A202" s="14"/>
      <c r="B202" s="13">
        <v>42153</v>
      </c>
      <c r="C202" s="12">
        <v>597</v>
      </c>
      <c r="D202" s="12">
        <v>1438.01</v>
      </c>
      <c r="E202" s="12">
        <v>731.35</v>
      </c>
      <c r="F202" s="12">
        <v>549.07000000000005</v>
      </c>
      <c r="G202" s="12">
        <v>886.39</v>
      </c>
      <c r="H202" s="12">
        <v>838.56</v>
      </c>
      <c r="I202" s="12"/>
      <c r="J202" s="12">
        <v>147.01</v>
      </c>
      <c r="K202" s="12">
        <v>209.64</v>
      </c>
      <c r="L202" s="9">
        <v>59.27</v>
      </c>
    </row>
    <row r="203" spans="1:12" x14ac:dyDescent="0.2">
      <c r="A203" s="14"/>
      <c r="B203" s="13">
        <v>42185</v>
      </c>
      <c r="C203" s="12">
        <v>699</v>
      </c>
      <c r="D203" s="12">
        <v>1109.27</v>
      </c>
      <c r="E203" s="12">
        <v>600.52</v>
      </c>
      <c r="F203" s="12">
        <v>535.26</v>
      </c>
      <c r="G203" s="12">
        <v>837.64</v>
      </c>
      <c r="H203" s="12">
        <v>807.35</v>
      </c>
      <c r="I203" s="12"/>
      <c r="J203" s="12">
        <v>149.47999999999999</v>
      </c>
      <c r="K203" s="12">
        <v>217.24</v>
      </c>
      <c r="L203" s="9">
        <v>59.8</v>
      </c>
    </row>
    <row r="204" spans="1:12" x14ac:dyDescent="0.2">
      <c r="A204" s="14"/>
      <c r="B204" s="13">
        <v>42216</v>
      </c>
      <c r="C204" s="12">
        <v>975</v>
      </c>
      <c r="D204" s="12">
        <v>1313.86</v>
      </c>
      <c r="E204" s="12">
        <v>675.17</v>
      </c>
      <c r="F204" s="12">
        <v>523.44000000000005</v>
      </c>
      <c r="G204" s="12">
        <v>819.18</v>
      </c>
      <c r="H204" s="12">
        <v>763.59</v>
      </c>
      <c r="I204" s="12"/>
      <c r="J204" s="12">
        <v>148.99</v>
      </c>
      <c r="K204" s="12">
        <v>226.96</v>
      </c>
      <c r="L204" s="9">
        <v>50.9</v>
      </c>
    </row>
    <row r="205" spans="1:12" x14ac:dyDescent="0.2">
      <c r="A205" s="14"/>
      <c r="B205" s="13">
        <v>42247</v>
      </c>
      <c r="C205" s="12">
        <v>1066</v>
      </c>
      <c r="D205" s="12">
        <v>1461.46</v>
      </c>
      <c r="E205" s="12">
        <v>715.04</v>
      </c>
      <c r="F205" s="12">
        <v>485.63</v>
      </c>
      <c r="G205" s="12">
        <v>824.04</v>
      </c>
      <c r="H205" s="12">
        <v>713.93</v>
      </c>
      <c r="I205" s="12"/>
      <c r="J205" s="12">
        <v>135.22999999999999</v>
      </c>
      <c r="K205" s="12">
        <v>225.18</v>
      </c>
      <c r="L205" s="9">
        <v>42.86</v>
      </c>
    </row>
    <row r="206" spans="1:12" x14ac:dyDescent="0.2">
      <c r="A206" s="14"/>
      <c r="B206" s="13">
        <v>42277</v>
      </c>
      <c r="C206" s="12">
        <v>889</v>
      </c>
      <c r="D206" s="12">
        <v>1261.01</v>
      </c>
      <c r="E206" s="12">
        <v>646.69000000000005</v>
      </c>
      <c r="F206" s="12">
        <v>463.08</v>
      </c>
      <c r="G206" s="12">
        <v>820.51</v>
      </c>
      <c r="H206" s="12">
        <v>670.85</v>
      </c>
      <c r="I206" s="12"/>
      <c r="J206" s="12">
        <v>127.51</v>
      </c>
      <c r="K206" s="12">
        <v>220.51</v>
      </c>
      <c r="L206" s="9">
        <v>45.45</v>
      </c>
    </row>
    <row r="207" spans="1:12" x14ac:dyDescent="0.2">
      <c r="A207" s="14"/>
      <c r="B207" s="13">
        <v>42307</v>
      </c>
      <c r="C207" s="12">
        <v>793</v>
      </c>
      <c r="D207" s="12">
        <v>959.45</v>
      </c>
      <c r="E207" s="12">
        <v>599.84</v>
      </c>
      <c r="F207" s="12">
        <v>471.94</v>
      </c>
      <c r="G207" s="12">
        <v>761.06</v>
      </c>
      <c r="H207" s="12">
        <v>682.62</v>
      </c>
      <c r="I207" s="12"/>
      <c r="J207" s="12">
        <v>134.5</v>
      </c>
      <c r="K207" s="12">
        <v>218.57</v>
      </c>
      <c r="L207" s="9">
        <v>46.2</v>
      </c>
    </row>
    <row r="208" spans="1:12" x14ac:dyDescent="0.2">
      <c r="A208" s="14"/>
      <c r="B208" s="13">
        <v>42338</v>
      </c>
      <c r="C208" s="12">
        <v>582</v>
      </c>
      <c r="D208" s="12">
        <v>1021.45</v>
      </c>
      <c r="E208" s="12">
        <v>551.29999999999995</v>
      </c>
      <c r="F208" s="12">
        <v>475.8</v>
      </c>
      <c r="G208" s="12">
        <v>757.72</v>
      </c>
      <c r="H208" s="12">
        <v>641.71</v>
      </c>
      <c r="I208" s="12"/>
      <c r="J208" s="12">
        <v>127.98</v>
      </c>
      <c r="K208" s="12">
        <v>225.24</v>
      </c>
      <c r="L208" s="9">
        <v>42.7</v>
      </c>
    </row>
    <row r="209" spans="1:12" x14ac:dyDescent="0.2">
      <c r="A209" s="14"/>
      <c r="B209" s="13">
        <v>42369</v>
      </c>
      <c r="C209" s="12">
        <v>519</v>
      </c>
      <c r="D209" s="12">
        <v>891.94</v>
      </c>
      <c r="E209" s="12">
        <v>566.83000000000004</v>
      </c>
      <c r="F209" s="12">
        <v>431.45</v>
      </c>
      <c r="G209" s="12">
        <v>719.55</v>
      </c>
      <c r="H209" s="12">
        <v>566.26</v>
      </c>
      <c r="I209" s="12"/>
      <c r="J209" s="12">
        <v>116.99</v>
      </c>
      <c r="K209" s="12">
        <v>222.31</v>
      </c>
      <c r="L209" s="9">
        <v>37.229999999999997</v>
      </c>
    </row>
    <row r="210" spans="1:12" x14ac:dyDescent="0.2">
      <c r="A210" s="14"/>
      <c r="B210" s="13">
        <v>42398</v>
      </c>
      <c r="C210" s="12">
        <v>386</v>
      </c>
      <c r="D210" s="12">
        <v>1393.37</v>
      </c>
      <c r="E210" s="12">
        <v>658.35</v>
      </c>
      <c r="F210" s="12">
        <v>366.8</v>
      </c>
      <c r="G210" s="12">
        <v>767.43</v>
      </c>
      <c r="H210" s="12">
        <v>478.72</v>
      </c>
      <c r="I210" s="12"/>
      <c r="J210" s="12">
        <v>94.25</v>
      </c>
      <c r="K210" s="12">
        <v>202.2</v>
      </c>
      <c r="L210" s="9">
        <v>31.54</v>
      </c>
    </row>
    <row r="211" spans="1:12" x14ac:dyDescent="0.2">
      <c r="A211" s="14"/>
      <c r="B211" s="13">
        <v>42429</v>
      </c>
      <c r="C211" s="12">
        <v>307</v>
      </c>
      <c r="D211" s="12">
        <v>1013.25</v>
      </c>
      <c r="E211" s="12">
        <v>507.05</v>
      </c>
      <c r="F211" s="12">
        <v>365.82</v>
      </c>
      <c r="G211" s="12">
        <v>762.11</v>
      </c>
      <c r="H211" s="12">
        <v>459.37</v>
      </c>
      <c r="I211" s="12"/>
      <c r="J211" s="12">
        <v>87.36</v>
      </c>
      <c r="K211" s="12">
        <v>175.97</v>
      </c>
      <c r="L211" s="9">
        <v>30.39</v>
      </c>
    </row>
    <row r="212" spans="1:12" x14ac:dyDescent="0.2">
      <c r="A212" s="14"/>
      <c r="B212" s="13">
        <v>42460</v>
      </c>
      <c r="C212" s="12">
        <v>383</v>
      </c>
      <c r="D212" s="12">
        <v>723.69</v>
      </c>
      <c r="E212" s="12">
        <v>414.13</v>
      </c>
      <c r="F212" s="12">
        <v>392.66</v>
      </c>
      <c r="G212" s="12">
        <v>692.64</v>
      </c>
      <c r="H212" s="12">
        <v>504.27</v>
      </c>
      <c r="I212" s="12"/>
      <c r="J212" s="12">
        <v>94.24</v>
      </c>
      <c r="K212" s="12">
        <v>179.69</v>
      </c>
      <c r="L212" s="9">
        <v>37.770000000000003</v>
      </c>
    </row>
    <row r="213" spans="1:12" x14ac:dyDescent="0.2">
      <c r="A213" s="14"/>
      <c r="B213" s="13">
        <v>42489</v>
      </c>
      <c r="C213" s="12">
        <v>607</v>
      </c>
      <c r="D213" s="12">
        <v>794.28</v>
      </c>
      <c r="E213" s="12">
        <v>507.02</v>
      </c>
      <c r="F213" s="12">
        <v>404.99</v>
      </c>
      <c r="G213" s="12">
        <v>641.5</v>
      </c>
      <c r="H213" s="12">
        <v>525.17999999999995</v>
      </c>
      <c r="I213" s="12"/>
      <c r="J213" s="12">
        <v>94.91</v>
      </c>
      <c r="K213" s="12">
        <v>180.72</v>
      </c>
      <c r="L213" s="9">
        <v>40.96</v>
      </c>
    </row>
    <row r="214" spans="1:12" x14ac:dyDescent="0.2">
      <c r="A214" s="14"/>
      <c r="B214" s="13">
        <v>42521</v>
      </c>
      <c r="C214" s="12">
        <v>620</v>
      </c>
      <c r="D214" s="12">
        <v>1064.6500000000001</v>
      </c>
      <c r="E214" s="12">
        <v>561.76</v>
      </c>
      <c r="F214" s="12">
        <v>413.95</v>
      </c>
      <c r="G214" s="12">
        <v>655.62</v>
      </c>
      <c r="H214" s="12">
        <v>503.53</v>
      </c>
      <c r="I214" s="12"/>
      <c r="J214" s="12">
        <v>91.16</v>
      </c>
      <c r="K214" s="12">
        <v>177.61</v>
      </c>
      <c r="L214" s="9">
        <v>46.73</v>
      </c>
    </row>
    <row r="215" spans="1:12" x14ac:dyDescent="0.2">
      <c r="A215" s="14"/>
      <c r="B215" s="13">
        <v>42551</v>
      </c>
      <c r="C215" s="12">
        <v>608</v>
      </c>
      <c r="D215" s="12">
        <v>1117.52</v>
      </c>
      <c r="E215" s="12">
        <v>554.61</v>
      </c>
      <c r="F215" s="12">
        <v>415.85</v>
      </c>
      <c r="G215" s="12">
        <v>656.34</v>
      </c>
      <c r="H215" s="12">
        <v>488.59</v>
      </c>
      <c r="I215" s="12"/>
      <c r="J215" s="12">
        <v>87.52</v>
      </c>
      <c r="K215" s="12">
        <v>171.33</v>
      </c>
      <c r="L215" s="9">
        <v>48.75</v>
      </c>
    </row>
    <row r="216" spans="1:12" x14ac:dyDescent="0.2">
      <c r="A216" s="14"/>
      <c r="B216" s="13">
        <v>42580</v>
      </c>
      <c r="C216" s="12">
        <v>707</v>
      </c>
      <c r="D216" s="12">
        <v>1296.54</v>
      </c>
      <c r="E216" s="12">
        <v>694.89</v>
      </c>
      <c r="F216" s="12">
        <v>409.61</v>
      </c>
      <c r="G216" s="12">
        <v>675.55</v>
      </c>
      <c r="H216" s="12">
        <v>481.59</v>
      </c>
      <c r="I216" s="12"/>
      <c r="J216" s="12">
        <v>83.28</v>
      </c>
      <c r="K216" s="12">
        <v>166.16</v>
      </c>
      <c r="L216" s="9">
        <v>44.69</v>
      </c>
    </row>
    <row r="217" spans="1:12" x14ac:dyDescent="0.2">
      <c r="A217" s="14"/>
      <c r="B217" s="13">
        <v>42613</v>
      </c>
      <c r="C217" s="12">
        <v>673</v>
      </c>
      <c r="D217" s="12">
        <v>1245.9000000000001</v>
      </c>
      <c r="E217" s="12">
        <v>627.23</v>
      </c>
      <c r="F217" s="12">
        <v>397.18</v>
      </c>
      <c r="G217" s="12">
        <v>705.4</v>
      </c>
      <c r="H217" s="12">
        <v>489.59</v>
      </c>
      <c r="I217" s="12"/>
      <c r="J217" s="12">
        <v>82.71</v>
      </c>
      <c r="K217" s="12">
        <v>167.27</v>
      </c>
      <c r="L217" s="9">
        <v>44.75</v>
      </c>
    </row>
    <row r="218" spans="1:12" x14ac:dyDescent="0.2">
      <c r="A218" s="14"/>
      <c r="B218" s="13">
        <v>42643</v>
      </c>
      <c r="C218" s="12">
        <v>828</v>
      </c>
      <c r="D218" s="12">
        <v>1419.62</v>
      </c>
      <c r="E218" s="12">
        <v>755.92</v>
      </c>
      <c r="F218" s="12">
        <v>386.58</v>
      </c>
      <c r="G218" s="12">
        <v>717.33</v>
      </c>
      <c r="H218" s="12">
        <v>496.92</v>
      </c>
      <c r="I218" s="12"/>
      <c r="J218" s="12">
        <v>80.31</v>
      </c>
      <c r="K218" s="12">
        <v>165.15</v>
      </c>
      <c r="L218" s="9">
        <v>45.2</v>
      </c>
    </row>
    <row r="219" spans="1:12" x14ac:dyDescent="0.2">
      <c r="A219" s="14"/>
      <c r="B219" s="13">
        <v>42674</v>
      </c>
      <c r="C219" s="12">
        <v>868</v>
      </c>
      <c r="D219" s="12">
        <v>1307.1500000000001</v>
      </c>
      <c r="E219" s="12">
        <v>819.01</v>
      </c>
      <c r="F219" s="12">
        <v>385.72</v>
      </c>
      <c r="G219" s="12">
        <v>731.96</v>
      </c>
      <c r="H219" s="12">
        <v>502.52</v>
      </c>
      <c r="I219" s="12"/>
      <c r="J219" s="12">
        <v>79.45</v>
      </c>
      <c r="K219" s="12">
        <v>168.83</v>
      </c>
      <c r="L219" s="9">
        <v>49.89</v>
      </c>
    </row>
    <row r="220" spans="1:12" x14ac:dyDescent="0.2">
      <c r="A220" s="14"/>
      <c r="B220" s="13">
        <v>42704</v>
      </c>
      <c r="C220" s="12">
        <v>1072</v>
      </c>
      <c r="D220" s="12">
        <v>1475.17</v>
      </c>
      <c r="E220" s="12">
        <v>820.42</v>
      </c>
      <c r="F220" s="12">
        <v>392.18</v>
      </c>
      <c r="G220" s="12">
        <v>767.1</v>
      </c>
      <c r="H220" s="12">
        <v>466.06</v>
      </c>
      <c r="I220" s="12"/>
      <c r="J220" s="12">
        <v>74.680000000000007</v>
      </c>
      <c r="K220" s="12">
        <v>171.43</v>
      </c>
      <c r="L220" s="9">
        <v>45.57</v>
      </c>
    </row>
    <row r="221" spans="1:12" x14ac:dyDescent="0.2">
      <c r="A221" s="14"/>
      <c r="B221" s="13">
        <v>42734</v>
      </c>
      <c r="C221" s="12">
        <v>1050</v>
      </c>
      <c r="D221" s="12">
        <v>1471.45</v>
      </c>
      <c r="E221" s="12">
        <v>838.53</v>
      </c>
      <c r="F221" s="12">
        <v>415.86</v>
      </c>
      <c r="G221" s="12">
        <v>780.67</v>
      </c>
      <c r="H221" s="12">
        <v>498.12</v>
      </c>
      <c r="I221" s="12"/>
      <c r="J221" s="12">
        <v>77.739999999999995</v>
      </c>
      <c r="K221" s="12">
        <v>183.87</v>
      </c>
      <c r="L221" s="9">
        <v>52.01</v>
      </c>
    </row>
    <row r="222" spans="1:12" x14ac:dyDescent="0.2">
      <c r="A222" s="14"/>
      <c r="B222" s="13">
        <v>42766</v>
      </c>
      <c r="C222" s="12">
        <v>907</v>
      </c>
      <c r="D222" s="12">
        <v>1821.32</v>
      </c>
      <c r="E222" s="12">
        <v>971.14</v>
      </c>
      <c r="F222" s="12">
        <v>431.49</v>
      </c>
      <c r="G222" s="12">
        <v>846.9</v>
      </c>
      <c r="H222" s="12">
        <v>528.52</v>
      </c>
      <c r="I222" s="12"/>
      <c r="J222" s="12">
        <v>81.290000000000006</v>
      </c>
      <c r="K222" s="12">
        <v>204.32</v>
      </c>
      <c r="L222" s="9">
        <v>52.51</v>
      </c>
    </row>
    <row r="223" spans="1:12" x14ac:dyDescent="0.2">
      <c r="A223" s="14"/>
      <c r="B223" s="13">
        <v>42794</v>
      </c>
      <c r="C223" s="12">
        <v>759</v>
      </c>
      <c r="D223" s="12">
        <v>1676.16</v>
      </c>
      <c r="E223" s="12">
        <v>869.98</v>
      </c>
      <c r="F223" s="12">
        <v>445.95</v>
      </c>
      <c r="G223" s="12">
        <v>853.13</v>
      </c>
      <c r="H223" s="12">
        <v>532.87</v>
      </c>
      <c r="I223" s="12"/>
      <c r="J223" s="12">
        <v>79.86</v>
      </c>
      <c r="K223" s="12">
        <v>205.84</v>
      </c>
      <c r="L223" s="9">
        <v>53.4</v>
      </c>
    </row>
    <row r="224" spans="1:12" x14ac:dyDescent="0.2">
      <c r="A224" s="14"/>
      <c r="B224" s="13">
        <v>42825</v>
      </c>
      <c r="C224" s="12">
        <v>1141</v>
      </c>
      <c r="D224" s="12">
        <v>1443.6</v>
      </c>
      <c r="E224" s="12">
        <v>775.17</v>
      </c>
      <c r="F224" s="12">
        <v>444.95</v>
      </c>
      <c r="G224" s="12">
        <v>784.24</v>
      </c>
      <c r="H224" s="12">
        <v>533.20000000000005</v>
      </c>
      <c r="I224" s="12"/>
      <c r="J224" s="12">
        <v>77.98</v>
      </c>
      <c r="K224" s="12">
        <v>215.83</v>
      </c>
      <c r="L224" s="9">
        <v>49.58</v>
      </c>
    </row>
    <row r="225" spans="1:12" x14ac:dyDescent="0.2">
      <c r="A225" s="14"/>
      <c r="B225" s="13">
        <v>42853</v>
      </c>
      <c r="C225" s="12">
        <v>1222</v>
      </c>
      <c r="D225" s="12">
        <v>1464.42</v>
      </c>
      <c r="E225" s="12">
        <v>834.06</v>
      </c>
      <c r="F225" s="12">
        <v>435.16</v>
      </c>
      <c r="G225" s="12">
        <v>804.24</v>
      </c>
      <c r="H225" s="12">
        <v>524.94000000000005</v>
      </c>
      <c r="I225" s="12"/>
      <c r="J225" s="12">
        <v>76.61</v>
      </c>
      <c r="K225" s="12">
        <v>219.69</v>
      </c>
      <c r="L225" s="9">
        <v>51.06</v>
      </c>
    </row>
    <row r="226" spans="1:12" x14ac:dyDescent="0.2">
      <c r="A226" s="14"/>
      <c r="B226" s="13">
        <v>42886</v>
      </c>
      <c r="C226" s="12">
        <v>973</v>
      </c>
      <c r="D226" s="12">
        <v>1529.47</v>
      </c>
      <c r="E226" s="12">
        <v>860.92</v>
      </c>
      <c r="F226" s="12">
        <v>415.83</v>
      </c>
      <c r="G226" s="12">
        <v>837.72</v>
      </c>
      <c r="H226" s="12">
        <v>509.62</v>
      </c>
      <c r="I226" s="12"/>
      <c r="J226" s="12">
        <v>71.48</v>
      </c>
      <c r="K226" s="12">
        <v>215.69</v>
      </c>
      <c r="L226" s="9">
        <v>48.5</v>
      </c>
    </row>
    <row r="227" spans="1:12" x14ac:dyDescent="0.2">
      <c r="A227" s="14"/>
      <c r="B227" s="13">
        <v>42916</v>
      </c>
      <c r="C227" s="12">
        <v>860</v>
      </c>
      <c r="D227" s="12">
        <v>1434.75</v>
      </c>
      <c r="E227" s="12">
        <v>869.76</v>
      </c>
      <c r="F227" s="12">
        <v>400.11</v>
      </c>
      <c r="G227" s="12">
        <v>846.02</v>
      </c>
      <c r="H227" s="12">
        <v>496.82</v>
      </c>
      <c r="I227" s="12"/>
      <c r="J227" s="12">
        <v>67.37</v>
      </c>
      <c r="K227" s="12">
        <v>212.69</v>
      </c>
      <c r="L227" s="9">
        <v>45.17</v>
      </c>
    </row>
    <row r="228" spans="1:12" x14ac:dyDescent="0.2">
      <c r="A228" s="14"/>
      <c r="B228" s="13">
        <v>42947</v>
      </c>
      <c r="C228" s="12">
        <v>906</v>
      </c>
      <c r="D228" s="12">
        <v>1473.72</v>
      </c>
      <c r="E228" s="12">
        <v>878.54</v>
      </c>
      <c r="F228" s="12">
        <v>412.92</v>
      </c>
      <c r="G228" s="12">
        <v>865.8</v>
      </c>
      <c r="H228" s="12">
        <v>531.69000000000005</v>
      </c>
      <c r="I228" s="12"/>
      <c r="J228" s="12">
        <v>70.5</v>
      </c>
      <c r="K228" s="12">
        <v>213.83</v>
      </c>
      <c r="L228" s="9">
        <v>46.65</v>
      </c>
    </row>
    <row r="229" spans="1:12" x14ac:dyDescent="0.2">
      <c r="A229" s="14"/>
      <c r="B229" s="13">
        <v>42978</v>
      </c>
      <c r="C229" s="12">
        <v>1142</v>
      </c>
      <c r="D229" s="12">
        <v>1552.85</v>
      </c>
      <c r="E229" s="12">
        <v>864.2</v>
      </c>
      <c r="F229" s="12">
        <v>413.86</v>
      </c>
      <c r="G229" s="12">
        <v>855.63</v>
      </c>
      <c r="H229" s="12">
        <v>517.17999999999995</v>
      </c>
      <c r="I229" s="12"/>
      <c r="J229" s="12">
        <v>67.709999999999994</v>
      </c>
      <c r="K229" s="12">
        <v>219.23</v>
      </c>
      <c r="L229" s="9">
        <v>48.03</v>
      </c>
    </row>
    <row r="230" spans="1:12" x14ac:dyDescent="0.2">
      <c r="A230" s="14"/>
      <c r="B230" s="13">
        <v>43007</v>
      </c>
      <c r="C230" s="12">
        <v>1364</v>
      </c>
      <c r="D230" s="12">
        <v>1383.75</v>
      </c>
      <c r="E230" s="12">
        <v>760.54</v>
      </c>
      <c r="F230" s="12">
        <v>423.76</v>
      </c>
      <c r="G230" s="12">
        <v>822.57</v>
      </c>
      <c r="H230" s="12">
        <v>509.73</v>
      </c>
      <c r="I230" s="12"/>
      <c r="J230" s="12">
        <v>68.64</v>
      </c>
      <c r="K230" s="12">
        <v>219.49</v>
      </c>
      <c r="L230" s="9">
        <v>49.83</v>
      </c>
    </row>
    <row r="231" spans="1:12" x14ac:dyDescent="0.2">
      <c r="A231" s="14"/>
      <c r="B231" s="13">
        <v>43039</v>
      </c>
      <c r="C231" s="12">
        <v>1484</v>
      </c>
      <c r="D231" s="12">
        <v>1251</v>
      </c>
      <c r="E231" s="12">
        <v>759.71</v>
      </c>
      <c r="F231" s="12">
        <v>447.18</v>
      </c>
      <c r="G231" s="12">
        <v>773.49</v>
      </c>
      <c r="H231" s="12">
        <v>514.26</v>
      </c>
      <c r="I231" s="12"/>
      <c r="J231" s="12">
        <v>70.83</v>
      </c>
      <c r="K231" s="12">
        <v>214.16</v>
      </c>
      <c r="L231" s="9">
        <v>51.56</v>
      </c>
    </row>
    <row r="232" spans="1:12" x14ac:dyDescent="0.2">
      <c r="A232" s="14"/>
      <c r="B232" s="13">
        <v>43069</v>
      </c>
      <c r="C232" s="12">
        <v>1454</v>
      </c>
      <c r="D232" s="12">
        <v>1295.48</v>
      </c>
      <c r="E232" s="12">
        <v>760.08</v>
      </c>
      <c r="F232" s="12">
        <v>444.53</v>
      </c>
      <c r="G232" s="12">
        <v>785.86</v>
      </c>
      <c r="H232" s="12">
        <v>497.85</v>
      </c>
      <c r="I232" s="12"/>
      <c r="J232" s="12">
        <v>69.47</v>
      </c>
      <c r="K232" s="12">
        <v>220</v>
      </c>
      <c r="L232" s="9">
        <v>56.65</v>
      </c>
    </row>
    <row r="233" spans="1:12" x14ac:dyDescent="0.2">
      <c r="A233" s="14"/>
      <c r="B233" s="13">
        <v>43098</v>
      </c>
      <c r="C233" s="12">
        <v>1619</v>
      </c>
      <c r="D233" s="12">
        <v>1174.42</v>
      </c>
      <c r="E233" s="12">
        <v>742.05</v>
      </c>
      <c r="F233" s="12">
        <v>440.96</v>
      </c>
      <c r="G233" s="12">
        <v>766.95</v>
      </c>
      <c r="H233" s="12">
        <v>496.59</v>
      </c>
      <c r="I233" s="12"/>
      <c r="J233" s="12">
        <v>67.91</v>
      </c>
      <c r="K233" s="12">
        <v>222.08</v>
      </c>
      <c r="L233" s="9">
        <v>57.94</v>
      </c>
    </row>
    <row r="234" spans="1:12" x14ac:dyDescent="0.2">
      <c r="A234" s="14"/>
      <c r="B234" s="13">
        <v>43131</v>
      </c>
      <c r="C234" s="12">
        <v>1242</v>
      </c>
      <c r="D234" s="12">
        <v>1431.07</v>
      </c>
      <c r="E234" s="12">
        <v>838.82</v>
      </c>
      <c r="F234" s="12">
        <v>457.96</v>
      </c>
      <c r="G234" s="12">
        <v>799.31</v>
      </c>
      <c r="H234" s="12">
        <v>529.62</v>
      </c>
      <c r="I234" s="12"/>
      <c r="J234" s="12">
        <v>70.56</v>
      </c>
      <c r="K234" s="12">
        <v>233.84</v>
      </c>
      <c r="L234" s="9">
        <v>63.67</v>
      </c>
    </row>
    <row r="235" spans="1:12" x14ac:dyDescent="0.2">
      <c r="A235" s="14"/>
      <c r="B235" s="13">
        <v>43159</v>
      </c>
      <c r="C235" s="12">
        <v>1125</v>
      </c>
      <c r="D235" s="12">
        <v>1513.88</v>
      </c>
      <c r="E235" s="12">
        <v>869.17</v>
      </c>
      <c r="F235" s="12">
        <v>454.56</v>
      </c>
      <c r="G235" s="12">
        <v>839.63</v>
      </c>
      <c r="H235" s="12">
        <v>493.78</v>
      </c>
      <c r="I235" s="12"/>
      <c r="J235" s="12">
        <v>64.78</v>
      </c>
      <c r="K235" s="12">
        <v>225.07</v>
      </c>
      <c r="L235" s="9">
        <v>62.17</v>
      </c>
    </row>
    <row r="236" spans="1:12" x14ac:dyDescent="0.2">
      <c r="A236" s="14"/>
      <c r="B236" s="13">
        <v>43189</v>
      </c>
      <c r="C236" s="12">
        <v>1154</v>
      </c>
      <c r="D236" s="12">
        <v>1322.83</v>
      </c>
      <c r="E236" s="12">
        <v>696.53</v>
      </c>
      <c r="F236" s="12">
        <v>459.81</v>
      </c>
      <c r="G236" s="12">
        <v>808.9</v>
      </c>
      <c r="H236" s="12">
        <v>470.37</v>
      </c>
      <c r="I236" s="12"/>
      <c r="J236" s="12">
        <v>64.19</v>
      </c>
      <c r="K236" s="12">
        <v>216.38</v>
      </c>
      <c r="L236" s="9">
        <v>62.76</v>
      </c>
    </row>
    <row r="237" spans="1:12" x14ac:dyDescent="0.2">
      <c r="A237" s="14"/>
      <c r="B237" s="13">
        <v>43220</v>
      </c>
      <c r="C237" s="12">
        <v>1129</v>
      </c>
      <c r="D237" s="12">
        <v>1186.67</v>
      </c>
      <c r="E237" s="12">
        <v>687.29</v>
      </c>
      <c r="F237" s="12">
        <v>471.92</v>
      </c>
      <c r="G237" s="12">
        <v>750.06</v>
      </c>
      <c r="H237" s="12">
        <v>473.32</v>
      </c>
      <c r="I237" s="12"/>
      <c r="J237" s="12">
        <v>65.72</v>
      </c>
      <c r="K237" s="12">
        <v>212.53</v>
      </c>
      <c r="L237" s="9">
        <v>66.319999999999993</v>
      </c>
    </row>
    <row r="238" spans="1:12" x14ac:dyDescent="0.2">
      <c r="A238" s="14"/>
      <c r="B238" s="13">
        <v>43251</v>
      </c>
      <c r="C238" s="12">
        <v>1293</v>
      </c>
      <c r="D238" s="12">
        <v>1380.73</v>
      </c>
      <c r="E238" s="12">
        <v>768.47</v>
      </c>
      <c r="F238" s="12">
        <v>454.89</v>
      </c>
      <c r="G238" s="12">
        <v>770.56</v>
      </c>
      <c r="H238" s="12">
        <v>487.96</v>
      </c>
      <c r="I238" s="12"/>
      <c r="J238" s="12">
        <v>68.739999999999995</v>
      </c>
      <c r="K238" s="12">
        <v>206.27</v>
      </c>
      <c r="L238" s="9">
        <v>69.98</v>
      </c>
    </row>
    <row r="239" spans="1:12" x14ac:dyDescent="0.2">
      <c r="A239" s="14"/>
      <c r="B239" s="13">
        <v>43280</v>
      </c>
      <c r="C239" s="12">
        <v>1352</v>
      </c>
      <c r="D239" s="12">
        <v>1402.42</v>
      </c>
      <c r="E239" s="12">
        <v>797.03</v>
      </c>
      <c r="F239" s="12">
        <v>462.69</v>
      </c>
      <c r="G239" s="12">
        <v>805.67</v>
      </c>
      <c r="H239" s="12">
        <v>471.05</v>
      </c>
      <c r="I239" s="12"/>
      <c r="J239" s="12">
        <v>73.63</v>
      </c>
      <c r="K239" s="12">
        <v>207.65</v>
      </c>
      <c r="L239" s="9">
        <v>67.52</v>
      </c>
    </row>
    <row r="240" spans="1:12" x14ac:dyDescent="0.2">
      <c r="A240" s="14"/>
      <c r="B240" s="13">
        <v>43312</v>
      </c>
      <c r="C240" s="12">
        <v>1650</v>
      </c>
      <c r="D240" s="12">
        <v>1472.3</v>
      </c>
      <c r="E240" s="12">
        <v>825.08</v>
      </c>
      <c r="F240" s="12">
        <v>460.59</v>
      </c>
      <c r="G240" s="12">
        <v>820.92</v>
      </c>
      <c r="H240" s="12">
        <v>437.06</v>
      </c>
      <c r="I240" s="12"/>
      <c r="J240" s="12">
        <v>72.150000000000006</v>
      </c>
      <c r="K240" s="12">
        <v>203.21</v>
      </c>
      <c r="L240" s="9">
        <v>70.84</v>
      </c>
    </row>
    <row r="241" spans="1:12" x14ac:dyDescent="0.2">
      <c r="A241" s="14"/>
      <c r="B241" s="13">
        <v>43343</v>
      </c>
      <c r="C241" s="12">
        <v>1710</v>
      </c>
      <c r="D241" s="12">
        <v>1731.35</v>
      </c>
      <c r="E241" s="12">
        <v>903.47</v>
      </c>
      <c r="F241" s="12">
        <v>466.07</v>
      </c>
      <c r="G241" s="12">
        <v>832.95</v>
      </c>
      <c r="H241" s="12">
        <v>439.93</v>
      </c>
      <c r="I241" s="12"/>
      <c r="J241" s="12">
        <v>68.56</v>
      </c>
      <c r="K241" s="12">
        <v>199.48</v>
      </c>
      <c r="L241" s="9">
        <v>67.989999999999995</v>
      </c>
    </row>
    <row r="242" spans="1:12" x14ac:dyDescent="0.2">
      <c r="A242" s="14"/>
      <c r="B242" s="13">
        <v>43371</v>
      </c>
      <c r="C242" s="12">
        <v>1447</v>
      </c>
      <c r="D242" s="12">
        <v>1743.23</v>
      </c>
      <c r="E242" s="12">
        <v>897.97</v>
      </c>
      <c r="F242" s="12">
        <v>464.61</v>
      </c>
      <c r="G242" s="12">
        <v>854.65</v>
      </c>
      <c r="H242" s="12">
        <v>441.55</v>
      </c>
      <c r="I242" s="12"/>
      <c r="J242" s="12">
        <v>67.61</v>
      </c>
      <c r="K242" s="12">
        <v>195.07</v>
      </c>
      <c r="L242" s="9">
        <v>70.209999999999994</v>
      </c>
    </row>
    <row r="243" spans="1:12" x14ac:dyDescent="0.2">
      <c r="A243" s="14"/>
      <c r="B243" s="13">
        <v>43404</v>
      </c>
      <c r="C243" s="12">
        <v>1545</v>
      </c>
      <c r="D243" s="12">
        <v>1659.15</v>
      </c>
      <c r="E243" s="12">
        <v>929.13</v>
      </c>
      <c r="F243" s="12">
        <v>451.84</v>
      </c>
      <c r="G243" s="12">
        <v>830.49</v>
      </c>
      <c r="H243" s="12">
        <v>425.21</v>
      </c>
      <c r="I243" s="12"/>
      <c r="J243" s="12">
        <v>67.959999999999994</v>
      </c>
      <c r="K243" s="12">
        <v>195.19</v>
      </c>
      <c r="L243" s="9">
        <v>70.75</v>
      </c>
    </row>
    <row r="244" spans="1:12" x14ac:dyDescent="0.2">
      <c r="A244" s="14"/>
      <c r="B244" s="13">
        <v>43434</v>
      </c>
      <c r="C244" s="12">
        <v>1192</v>
      </c>
      <c r="D244" s="12">
        <v>1745.23</v>
      </c>
      <c r="E244" s="12">
        <v>936.86</v>
      </c>
      <c r="F244" s="12">
        <v>425.91</v>
      </c>
      <c r="G244" s="12">
        <v>856.58</v>
      </c>
      <c r="H244" s="12">
        <v>414.13</v>
      </c>
      <c r="I244" s="12"/>
      <c r="J244" s="12">
        <v>65.7</v>
      </c>
      <c r="K244" s="12">
        <v>185.78</v>
      </c>
      <c r="L244" s="9">
        <v>56.67</v>
      </c>
    </row>
    <row r="245" spans="1:12" x14ac:dyDescent="0.2">
      <c r="A245" s="14"/>
      <c r="B245" s="13">
        <v>43465</v>
      </c>
      <c r="C245" s="12">
        <v>1335</v>
      </c>
      <c r="D245" s="12">
        <v>1616.01</v>
      </c>
      <c r="E245" s="12">
        <v>863.71</v>
      </c>
      <c r="F245" s="12">
        <v>381.79</v>
      </c>
      <c r="G245" s="12">
        <v>846.87</v>
      </c>
      <c r="H245" s="12">
        <v>383.29</v>
      </c>
      <c r="I245" s="12"/>
      <c r="J245" s="12">
        <v>57.94</v>
      </c>
      <c r="K245" s="12">
        <v>174.83</v>
      </c>
      <c r="L245" s="9">
        <v>48.95</v>
      </c>
    </row>
    <row r="246" spans="1:12" x14ac:dyDescent="0.2">
      <c r="A246" s="14"/>
      <c r="B246" s="13">
        <v>43496</v>
      </c>
      <c r="C246" s="12">
        <v>1063</v>
      </c>
      <c r="D246" s="12">
        <v>1744.21</v>
      </c>
      <c r="E246" s="12">
        <v>948.61</v>
      </c>
      <c r="F246" s="12">
        <v>383.92</v>
      </c>
      <c r="G246" s="12">
        <v>862.1</v>
      </c>
      <c r="H246" s="12">
        <v>386.19</v>
      </c>
      <c r="I246" s="12"/>
      <c r="J246" s="12">
        <v>57.72</v>
      </c>
      <c r="K246" s="12">
        <v>167.93</v>
      </c>
      <c r="L246" s="9">
        <v>51.52</v>
      </c>
    </row>
    <row r="247" spans="1:12" x14ac:dyDescent="0.2">
      <c r="A247" s="14"/>
      <c r="B247" s="13">
        <v>43524</v>
      </c>
      <c r="C247" s="12">
        <v>629</v>
      </c>
      <c r="D247" s="12">
        <v>1607.64</v>
      </c>
      <c r="E247" s="12">
        <v>890.16</v>
      </c>
      <c r="F247" s="12">
        <v>404.04</v>
      </c>
      <c r="G247" s="12">
        <v>886.31</v>
      </c>
      <c r="H247" s="12">
        <v>391.75</v>
      </c>
      <c r="I247" s="12"/>
      <c r="J247" s="12">
        <v>57.85</v>
      </c>
      <c r="K247" s="12">
        <v>165.06</v>
      </c>
      <c r="L247" s="9">
        <v>54.95</v>
      </c>
    </row>
    <row r="248" spans="1:12" x14ac:dyDescent="0.2">
      <c r="A248" s="14"/>
      <c r="B248" s="13">
        <v>43553</v>
      </c>
      <c r="C248" s="12">
        <v>680</v>
      </c>
      <c r="D248" s="12">
        <v>1344.95</v>
      </c>
      <c r="E248" s="12">
        <v>766.82</v>
      </c>
      <c r="F248" s="12">
        <v>398.09</v>
      </c>
      <c r="G248" s="12">
        <v>822.78</v>
      </c>
      <c r="H248" s="12">
        <v>382.4</v>
      </c>
      <c r="I248" s="12"/>
      <c r="J248" s="12">
        <v>58.73</v>
      </c>
      <c r="K248" s="12">
        <v>167.94</v>
      </c>
      <c r="L248" s="9">
        <v>58.15</v>
      </c>
    </row>
    <row r="249" spans="1:12" x14ac:dyDescent="0.2">
      <c r="A249" s="14"/>
      <c r="B249" s="13">
        <v>43585</v>
      </c>
      <c r="C249" s="12">
        <v>773</v>
      </c>
      <c r="D249" s="12">
        <v>1350.31</v>
      </c>
      <c r="E249" s="12">
        <v>778.61</v>
      </c>
      <c r="F249" s="12">
        <v>425.39</v>
      </c>
      <c r="G249" s="12">
        <v>800.12</v>
      </c>
      <c r="H249" s="12">
        <v>410.16</v>
      </c>
      <c r="I249" s="12"/>
      <c r="J249" s="12">
        <v>63.45</v>
      </c>
      <c r="K249" s="12">
        <v>178.94</v>
      </c>
      <c r="L249" s="9">
        <v>63.87</v>
      </c>
    </row>
    <row r="250" spans="1:12" x14ac:dyDescent="0.2">
      <c r="A250" s="14"/>
      <c r="B250" s="13">
        <v>43616</v>
      </c>
      <c r="C250" s="12">
        <v>1036</v>
      </c>
      <c r="D250" s="12">
        <v>1347.48</v>
      </c>
      <c r="E250" s="12">
        <v>747.29</v>
      </c>
      <c r="F250" s="12">
        <v>426.92</v>
      </c>
      <c r="G250" s="12">
        <v>799.41</v>
      </c>
      <c r="H250" s="12">
        <v>392.75</v>
      </c>
      <c r="I250" s="12"/>
      <c r="J250" s="12">
        <v>65.31</v>
      </c>
      <c r="K250" s="12">
        <v>182.12</v>
      </c>
      <c r="L250" s="9">
        <v>60.84</v>
      </c>
    </row>
    <row r="251" spans="1:12" x14ac:dyDescent="0.2">
      <c r="A251" s="14"/>
      <c r="B251" s="13">
        <v>43644</v>
      </c>
      <c r="C251" s="12">
        <v>1174</v>
      </c>
      <c r="D251" s="12">
        <v>1351.29</v>
      </c>
      <c r="E251" s="12">
        <v>789.08</v>
      </c>
      <c r="F251" s="12">
        <v>423.53</v>
      </c>
      <c r="G251" s="12">
        <v>811.2</v>
      </c>
      <c r="H251" s="12">
        <v>378.02</v>
      </c>
      <c r="I251" s="12"/>
      <c r="J251" s="12">
        <v>62.32</v>
      </c>
      <c r="K251" s="12">
        <v>172.01</v>
      </c>
      <c r="L251" s="9">
        <v>54.68</v>
      </c>
    </row>
    <row r="252" spans="1:12" x14ac:dyDescent="0.2">
      <c r="A252" s="14"/>
      <c r="B252" s="13">
        <v>43677</v>
      </c>
      <c r="C252" s="12">
        <v>1870</v>
      </c>
      <c r="D252" s="12">
        <v>1344.05</v>
      </c>
      <c r="E252" s="12">
        <v>802.01</v>
      </c>
      <c r="F252" s="12">
        <v>444.74</v>
      </c>
      <c r="G252" s="12">
        <v>817.32</v>
      </c>
      <c r="H252" s="12">
        <v>403.68</v>
      </c>
      <c r="I252" s="12"/>
      <c r="J252" s="12">
        <v>67.510000000000005</v>
      </c>
      <c r="K252" s="12">
        <v>179.6</v>
      </c>
      <c r="L252" s="9">
        <v>57.52</v>
      </c>
    </row>
    <row r="253" spans="1:12" x14ac:dyDescent="0.2">
      <c r="A253" s="14"/>
      <c r="B253" s="13">
        <v>43707</v>
      </c>
      <c r="C253" s="12">
        <v>1982</v>
      </c>
      <c r="D253" s="12">
        <v>1437.34</v>
      </c>
      <c r="E253" s="12">
        <v>810.22</v>
      </c>
      <c r="F253" s="12">
        <v>403.97</v>
      </c>
      <c r="G253" s="12">
        <v>827.53</v>
      </c>
      <c r="H253" s="12">
        <v>366.2</v>
      </c>
      <c r="I253" s="12"/>
      <c r="J253" s="12">
        <v>60.77</v>
      </c>
      <c r="K253" s="12">
        <v>169.27</v>
      </c>
      <c r="L253" s="9">
        <v>54.84</v>
      </c>
    </row>
    <row r="254" spans="1:12" x14ac:dyDescent="0.2">
      <c r="A254" s="14"/>
      <c r="B254" s="13">
        <v>43738</v>
      </c>
      <c r="C254" s="12">
        <v>2255</v>
      </c>
      <c r="D254" s="12">
        <v>1347.06</v>
      </c>
      <c r="E254" s="12">
        <v>754.46</v>
      </c>
      <c r="F254" s="12">
        <v>431.13</v>
      </c>
      <c r="G254" s="12">
        <v>818.44</v>
      </c>
      <c r="H254" s="12">
        <v>394.65</v>
      </c>
      <c r="I254" s="12"/>
      <c r="J254" s="12">
        <v>65.77</v>
      </c>
      <c r="K254" s="12">
        <v>181.3</v>
      </c>
      <c r="L254" s="9">
        <v>56.95</v>
      </c>
    </row>
    <row r="255" spans="1:12" x14ac:dyDescent="0.2">
      <c r="A255" s="14"/>
      <c r="B255" s="13">
        <v>43769</v>
      </c>
      <c r="C255" s="12">
        <v>1826</v>
      </c>
      <c r="D255" s="12">
        <v>1262.01</v>
      </c>
      <c r="E255" s="12">
        <v>745.62</v>
      </c>
      <c r="F255" s="12">
        <v>448.35</v>
      </c>
      <c r="G255" s="12">
        <v>779.14</v>
      </c>
      <c r="H255" s="12">
        <v>412.28</v>
      </c>
      <c r="I255" s="12"/>
      <c r="J255" s="12">
        <v>72.38</v>
      </c>
      <c r="K255" s="12">
        <v>194.27</v>
      </c>
      <c r="L255" s="9">
        <v>53.98</v>
      </c>
    </row>
    <row r="256" spans="1:12" x14ac:dyDescent="0.2">
      <c r="A256" s="14"/>
      <c r="B256" s="13">
        <v>43798</v>
      </c>
      <c r="C256" s="12">
        <v>1419</v>
      </c>
      <c r="D256" s="12">
        <v>1390.06</v>
      </c>
      <c r="E256" s="12">
        <v>813.6</v>
      </c>
      <c r="F256" s="12">
        <v>478.61</v>
      </c>
      <c r="G256" s="12">
        <v>820.09</v>
      </c>
      <c r="H256" s="12">
        <v>424.96</v>
      </c>
      <c r="I256" s="12"/>
      <c r="J256" s="12">
        <v>72.28</v>
      </c>
      <c r="K256" s="12">
        <v>199.94</v>
      </c>
      <c r="L256" s="9">
        <v>57.06</v>
      </c>
    </row>
    <row r="257" spans="1:12" x14ac:dyDescent="0.2">
      <c r="A257" s="14"/>
      <c r="B257" s="13">
        <v>43830</v>
      </c>
      <c r="C257" s="12">
        <v>1381</v>
      </c>
      <c r="D257" s="12">
        <v>1516.16</v>
      </c>
      <c r="E257" s="12">
        <v>898.53</v>
      </c>
      <c r="F257" s="12">
        <v>496.1</v>
      </c>
      <c r="G257" s="12">
        <v>848.13</v>
      </c>
      <c r="H257" s="12">
        <v>441.06</v>
      </c>
      <c r="I257" s="12"/>
      <c r="J257" s="12">
        <v>77.05</v>
      </c>
      <c r="K257" s="12">
        <v>206.31</v>
      </c>
      <c r="L257" s="9">
        <v>59.8</v>
      </c>
    </row>
    <row r="258" spans="1:12" x14ac:dyDescent="0.2">
      <c r="A258" s="14"/>
      <c r="B258" s="13">
        <v>43861</v>
      </c>
      <c r="C258" s="12">
        <v>701</v>
      </c>
      <c r="D258" s="12">
        <v>1772.49</v>
      </c>
      <c r="E258" s="12">
        <v>999.29</v>
      </c>
      <c r="F258" s="12">
        <v>503.66</v>
      </c>
      <c r="G258" s="12">
        <v>938.71</v>
      </c>
      <c r="H258" s="12">
        <v>423.63</v>
      </c>
      <c r="I258" s="12"/>
      <c r="J258" s="12">
        <v>73.94</v>
      </c>
      <c r="K258" s="12">
        <v>215.97</v>
      </c>
      <c r="L258" s="9">
        <v>57.52</v>
      </c>
    </row>
    <row r="259" spans="1:12" x14ac:dyDescent="0.2">
      <c r="A259" s="14"/>
      <c r="B259" s="13">
        <v>43889</v>
      </c>
      <c r="C259" s="12">
        <v>461</v>
      </c>
      <c r="D259" s="12">
        <v>1632.98</v>
      </c>
      <c r="E259" s="12">
        <v>891.35</v>
      </c>
      <c r="F259" s="12">
        <v>430.14</v>
      </c>
      <c r="G259" s="12">
        <v>920.7</v>
      </c>
      <c r="H259" s="12">
        <v>362.08</v>
      </c>
      <c r="I259" s="12"/>
      <c r="J259" s="12">
        <v>59.9</v>
      </c>
      <c r="K259" s="12">
        <v>183.23</v>
      </c>
      <c r="L259" s="9">
        <v>50.53</v>
      </c>
    </row>
    <row r="260" spans="1:12" x14ac:dyDescent="0.2">
      <c r="A260" s="14"/>
      <c r="B260" s="13">
        <v>43921</v>
      </c>
      <c r="C260" s="12">
        <v>601</v>
      </c>
      <c r="D260" s="12">
        <v>1519.78</v>
      </c>
      <c r="E260" s="12">
        <v>892.71</v>
      </c>
      <c r="F260" s="12">
        <v>326.02999999999997</v>
      </c>
      <c r="G260" s="12">
        <v>898.65</v>
      </c>
      <c r="H260" s="12">
        <v>288.25</v>
      </c>
      <c r="I260" s="12"/>
      <c r="J260" s="12">
        <v>49.27</v>
      </c>
      <c r="K260" s="12">
        <v>141.71</v>
      </c>
      <c r="L260" s="9">
        <v>29.88</v>
      </c>
    </row>
    <row r="261" spans="1:12" x14ac:dyDescent="0.2">
      <c r="A261" s="14"/>
      <c r="B261" s="13">
        <v>43951</v>
      </c>
      <c r="C261" s="12">
        <v>664</v>
      </c>
      <c r="D261" s="12">
        <v>1500.39</v>
      </c>
      <c r="E261" s="12">
        <v>851.58</v>
      </c>
      <c r="F261" s="12">
        <v>339.24</v>
      </c>
      <c r="G261" s="12">
        <v>877.59</v>
      </c>
      <c r="H261" s="12">
        <v>294.27999999999997</v>
      </c>
      <c r="I261" s="12"/>
      <c r="J261" s="12">
        <v>52.36</v>
      </c>
      <c r="K261" s="12">
        <v>150.97999999999999</v>
      </c>
      <c r="L261" s="9">
        <v>16.52</v>
      </c>
    </row>
    <row r="262" spans="1:12" x14ac:dyDescent="0.2">
      <c r="A262" s="14"/>
      <c r="B262" s="13">
        <v>43980</v>
      </c>
      <c r="C262" s="12">
        <v>489</v>
      </c>
      <c r="D262" s="12">
        <v>1549.31</v>
      </c>
      <c r="E262" s="12">
        <v>869.29</v>
      </c>
      <c r="F262" s="12">
        <v>327.71</v>
      </c>
      <c r="G262" s="12">
        <v>836.26</v>
      </c>
      <c r="H262" s="12">
        <v>295.43</v>
      </c>
      <c r="I262" s="12"/>
      <c r="J262" s="12">
        <v>49.07</v>
      </c>
      <c r="K262" s="12">
        <v>148.51</v>
      </c>
      <c r="L262" s="9">
        <v>28.56</v>
      </c>
    </row>
    <row r="263" spans="1:12" x14ac:dyDescent="0.2">
      <c r="A263" s="14"/>
      <c r="B263" s="13">
        <v>44012</v>
      </c>
      <c r="C263" s="12">
        <v>1146</v>
      </c>
      <c r="D263" s="12">
        <v>1788.16</v>
      </c>
      <c r="E263" s="12">
        <v>982.75</v>
      </c>
      <c r="F263" s="12">
        <v>331.61</v>
      </c>
      <c r="G263" s="12">
        <v>841.2</v>
      </c>
      <c r="H263" s="12">
        <v>319.95</v>
      </c>
      <c r="I263" s="12"/>
      <c r="J263" s="12">
        <v>47.61</v>
      </c>
      <c r="K263" s="12">
        <v>149.4</v>
      </c>
      <c r="L263" s="9">
        <v>38.299999999999997</v>
      </c>
    </row>
    <row r="264" spans="1:12" x14ac:dyDescent="0.2">
      <c r="A264" s="14"/>
      <c r="B264" s="13"/>
      <c r="C264" s="12"/>
      <c r="D264" s="12"/>
      <c r="E264" s="12"/>
      <c r="F264" s="12"/>
      <c r="G264" s="12"/>
      <c r="H264" s="12"/>
      <c r="I264" s="12"/>
      <c r="J264" s="12"/>
      <c r="K264" s="12"/>
    </row>
    <row r="265" spans="1:12" x14ac:dyDescent="0.2">
      <c r="A265" s="14"/>
      <c r="B265" s="13"/>
      <c r="C265" s="12"/>
      <c r="D265" s="12"/>
      <c r="E265" s="12"/>
      <c r="F265" s="12"/>
      <c r="G265" s="12"/>
      <c r="H265" s="12"/>
      <c r="I265" s="12"/>
      <c r="J265" s="12"/>
      <c r="K265" s="12"/>
    </row>
    <row r="266" spans="1:12" x14ac:dyDescent="0.2">
      <c r="A266" s="14"/>
      <c r="B266" s="13"/>
      <c r="C266" s="12"/>
      <c r="D266" s="12"/>
      <c r="E266" s="12"/>
      <c r="F266" s="12"/>
      <c r="G266" s="12"/>
      <c r="H266" s="12"/>
      <c r="I266" s="12"/>
      <c r="J266" s="12"/>
      <c r="K266" s="12"/>
    </row>
    <row r="267" spans="1:12" x14ac:dyDescent="0.2">
      <c r="A267" s="14"/>
      <c r="B267" s="13"/>
      <c r="C267" s="12"/>
      <c r="D267" s="12"/>
      <c r="E267" s="12"/>
      <c r="F267" s="12"/>
      <c r="G267" s="12"/>
      <c r="H267" s="12"/>
      <c r="I267" s="12"/>
      <c r="J267" s="12"/>
      <c r="K267" s="12"/>
    </row>
    <row r="268" spans="1:12" x14ac:dyDescent="0.2">
      <c r="A268" s="14"/>
      <c r="B268" s="13"/>
      <c r="C268" s="12"/>
      <c r="D268" s="12"/>
      <c r="E268" s="12"/>
      <c r="F268" s="12"/>
      <c r="G268" s="12"/>
      <c r="H268" s="12"/>
      <c r="I268" s="12"/>
      <c r="J268" s="12"/>
      <c r="K268" s="12"/>
    </row>
    <row r="269" spans="1:12" x14ac:dyDescent="0.2">
      <c r="A269" s="14"/>
      <c r="B269" s="13"/>
      <c r="C269" s="12"/>
      <c r="D269" s="12"/>
      <c r="E269" s="12"/>
      <c r="F269" s="12"/>
      <c r="G269" s="12"/>
      <c r="H269" s="12"/>
      <c r="I269" s="12"/>
      <c r="J269" s="12"/>
      <c r="K269" s="12"/>
    </row>
    <row r="270" spans="1:12" x14ac:dyDescent="0.2">
      <c r="A270" s="14"/>
      <c r="B270" s="13"/>
      <c r="C270" s="12"/>
      <c r="D270" s="12"/>
      <c r="E270" s="12"/>
      <c r="F270" s="12"/>
      <c r="G270" s="12"/>
      <c r="H270" s="12"/>
      <c r="I270" s="12"/>
      <c r="J270" s="12"/>
      <c r="K270" s="12"/>
    </row>
    <row r="271" spans="1:12" x14ac:dyDescent="0.2">
      <c r="A271" s="14"/>
      <c r="B271" s="13"/>
      <c r="C271" s="12"/>
      <c r="D271" s="12"/>
      <c r="E271" s="12"/>
      <c r="F271" s="12"/>
      <c r="G271" s="12"/>
      <c r="H271" s="12"/>
      <c r="I271" s="12"/>
      <c r="J271" s="12"/>
      <c r="K271" s="12"/>
    </row>
    <row r="272" spans="1:12" x14ac:dyDescent="0.2">
      <c r="A272" s="14"/>
      <c r="B272" s="13"/>
      <c r="C272" s="12"/>
      <c r="D272" s="12"/>
      <c r="E272" s="12"/>
      <c r="F272" s="12"/>
      <c r="G272" s="12"/>
      <c r="H272" s="12"/>
      <c r="I272" s="12"/>
      <c r="J272" s="12"/>
      <c r="K272" s="12"/>
    </row>
    <row r="273" spans="1:11" x14ac:dyDescent="0.2">
      <c r="A273" s="14"/>
      <c r="B273" s="13"/>
      <c r="C273" s="12"/>
      <c r="D273" s="12"/>
      <c r="E273" s="12"/>
      <c r="F273" s="12"/>
      <c r="G273" s="12"/>
      <c r="H273" s="12"/>
      <c r="I273" s="12"/>
      <c r="J273" s="12"/>
      <c r="K273" s="12"/>
    </row>
    <row r="274" spans="1:11" x14ac:dyDescent="0.2">
      <c r="A274" s="14"/>
      <c r="B274" s="13"/>
      <c r="C274" s="12"/>
      <c r="D274" s="12"/>
      <c r="E274" s="12"/>
      <c r="F274" s="12"/>
      <c r="G274" s="12"/>
      <c r="H274" s="12"/>
      <c r="I274" s="12"/>
      <c r="J274" s="12"/>
      <c r="K274" s="12"/>
    </row>
    <row r="275" spans="1:11" x14ac:dyDescent="0.2">
      <c r="A275" s="14"/>
      <c r="B275" s="13"/>
      <c r="C275" s="12"/>
      <c r="D275" s="12"/>
      <c r="E275" s="12"/>
      <c r="F275" s="12"/>
      <c r="G275" s="12"/>
      <c r="H275" s="12"/>
      <c r="I275" s="12"/>
      <c r="J275" s="12"/>
      <c r="K275" s="12"/>
    </row>
    <row r="276" spans="1:11" x14ac:dyDescent="0.2">
      <c r="A276" s="14"/>
      <c r="B276" s="13"/>
      <c r="C276" s="12"/>
      <c r="D276" s="12"/>
      <c r="E276" s="12"/>
      <c r="F276" s="12"/>
      <c r="G276" s="12"/>
      <c r="H276" s="12"/>
      <c r="I276" s="12"/>
      <c r="J276" s="12"/>
      <c r="K276" s="12"/>
    </row>
    <row r="277" spans="1:11" x14ac:dyDescent="0.2">
      <c r="A277" s="14"/>
      <c r="B277" s="13"/>
      <c r="C277" s="12"/>
      <c r="D277" s="12"/>
      <c r="E277" s="12"/>
      <c r="F277" s="12"/>
      <c r="G277" s="12"/>
      <c r="H277" s="12"/>
      <c r="I277" s="12"/>
      <c r="J277" s="12"/>
      <c r="K277" s="12"/>
    </row>
    <row r="278" spans="1:11" x14ac:dyDescent="0.2">
      <c r="A278" s="14"/>
      <c r="B278" s="13"/>
      <c r="C278" s="12"/>
      <c r="D278" s="12"/>
      <c r="E278" s="12"/>
      <c r="F278" s="12"/>
      <c r="G278" s="12"/>
      <c r="H278" s="12"/>
      <c r="I278" s="12"/>
      <c r="J278" s="12"/>
      <c r="K278" s="12"/>
    </row>
    <row r="279" spans="1:11" x14ac:dyDescent="0.2">
      <c r="A279" s="14"/>
      <c r="B279" s="13"/>
      <c r="C279" s="12"/>
      <c r="D279" s="12"/>
      <c r="E279" s="12"/>
      <c r="F279" s="12"/>
      <c r="G279" s="12"/>
      <c r="H279" s="12"/>
      <c r="I279" s="12"/>
      <c r="J279" s="12"/>
      <c r="K279" s="12"/>
    </row>
    <row r="280" spans="1:11" x14ac:dyDescent="0.2">
      <c r="A280" s="14"/>
      <c r="B280" s="13"/>
      <c r="C280" s="12"/>
      <c r="D280" s="12"/>
      <c r="E280" s="12"/>
      <c r="F280" s="12"/>
      <c r="G280" s="12"/>
      <c r="H280" s="12"/>
      <c r="I280" s="12"/>
      <c r="J280" s="12"/>
      <c r="K280" s="12"/>
    </row>
    <row r="281" spans="1:11" x14ac:dyDescent="0.2">
      <c r="A281" s="14"/>
      <c r="B281" s="13"/>
      <c r="C281" s="12"/>
      <c r="D281" s="12"/>
      <c r="E281" s="12"/>
      <c r="F281" s="12"/>
      <c r="G281" s="12"/>
      <c r="H281" s="12"/>
      <c r="I281" s="12"/>
      <c r="J281" s="12"/>
      <c r="K281" s="12"/>
    </row>
    <row r="282" spans="1:11" x14ac:dyDescent="0.2">
      <c r="A282" s="14"/>
      <c r="B282" s="13"/>
      <c r="C282" s="12"/>
      <c r="D282" s="12"/>
      <c r="E282" s="12"/>
      <c r="F282" s="12"/>
      <c r="G282" s="12"/>
      <c r="H282" s="12"/>
      <c r="I282" s="12"/>
      <c r="J282" s="12"/>
      <c r="K282" s="12"/>
    </row>
    <row r="283" spans="1:11" x14ac:dyDescent="0.2">
      <c r="A283" s="14"/>
      <c r="B283" s="13"/>
      <c r="C283" s="12"/>
      <c r="D283" s="12"/>
      <c r="E283" s="12"/>
      <c r="F283" s="12"/>
      <c r="G283" s="12"/>
      <c r="H283" s="12"/>
      <c r="I283" s="12"/>
      <c r="J283" s="12"/>
      <c r="K283" s="12"/>
    </row>
    <row r="284" spans="1:11" x14ac:dyDescent="0.2">
      <c r="A284" s="14"/>
      <c r="B284" s="13"/>
      <c r="C284" s="12"/>
      <c r="D284" s="12"/>
      <c r="E284" s="12"/>
      <c r="F284" s="12"/>
      <c r="G284" s="12"/>
      <c r="H284" s="12"/>
      <c r="I284" s="12"/>
      <c r="J284" s="12"/>
      <c r="K284" s="12"/>
    </row>
    <row r="285" spans="1:11" x14ac:dyDescent="0.2">
      <c r="A285" s="14"/>
      <c r="B285" s="13"/>
      <c r="C285" s="12"/>
      <c r="D285" s="12"/>
      <c r="E285" s="12"/>
      <c r="F285" s="12"/>
      <c r="G285" s="12"/>
      <c r="H285" s="12"/>
      <c r="I285" s="12"/>
      <c r="J285" s="12"/>
      <c r="K285" s="12"/>
    </row>
    <row r="286" spans="1:11" x14ac:dyDescent="0.2">
      <c r="A286" s="14"/>
      <c r="B286" s="13"/>
      <c r="C286" s="12"/>
      <c r="D286" s="12"/>
      <c r="E286" s="12"/>
      <c r="F286" s="12"/>
      <c r="G286" s="12"/>
      <c r="H286" s="12"/>
      <c r="I286" s="12"/>
      <c r="J286" s="12"/>
      <c r="K286" s="12"/>
    </row>
    <row r="287" spans="1:11" x14ac:dyDescent="0.2">
      <c r="A287" s="14"/>
      <c r="B287" s="13"/>
      <c r="C287" s="12"/>
      <c r="D287" s="12"/>
      <c r="E287" s="12"/>
      <c r="F287" s="12"/>
      <c r="G287" s="12"/>
      <c r="H287" s="12"/>
      <c r="I287" s="12"/>
      <c r="J287" s="12"/>
      <c r="K287" s="12"/>
    </row>
    <row r="288" spans="1:11" x14ac:dyDescent="0.2">
      <c r="A288" s="14"/>
      <c r="B288" s="13"/>
      <c r="C288" s="12"/>
      <c r="D288" s="12"/>
      <c r="E288" s="12"/>
      <c r="F288" s="12"/>
      <c r="G288" s="12"/>
      <c r="H288" s="12"/>
      <c r="I288" s="12"/>
      <c r="J288" s="12"/>
      <c r="K288" s="12"/>
    </row>
    <row r="289" spans="1:11" x14ac:dyDescent="0.2">
      <c r="A289" s="14"/>
      <c r="B289" s="13"/>
      <c r="C289" s="12"/>
      <c r="D289" s="12"/>
      <c r="E289" s="12"/>
      <c r="F289" s="12"/>
      <c r="G289" s="12"/>
      <c r="H289" s="12"/>
      <c r="I289" s="12"/>
      <c r="J289" s="12"/>
      <c r="K289" s="12"/>
    </row>
    <row r="290" spans="1:11" x14ac:dyDescent="0.2">
      <c r="A290" s="14"/>
      <c r="B290" s="13"/>
      <c r="C290" s="12"/>
      <c r="D290" s="12"/>
      <c r="E290" s="12"/>
      <c r="F290" s="12"/>
      <c r="G290" s="12"/>
      <c r="H290" s="12"/>
      <c r="I290" s="12"/>
      <c r="J290" s="12"/>
      <c r="K290" s="12"/>
    </row>
    <row r="291" spans="1:11" x14ac:dyDescent="0.2">
      <c r="A291" s="14"/>
      <c r="B291" s="13"/>
      <c r="C291" s="12"/>
      <c r="D291" s="12"/>
      <c r="E291" s="12"/>
      <c r="F291" s="12"/>
      <c r="G291" s="12"/>
      <c r="H291" s="12"/>
      <c r="I291" s="12"/>
      <c r="J291" s="12"/>
      <c r="K291" s="12"/>
    </row>
    <row r="292" spans="1:11" x14ac:dyDescent="0.2">
      <c r="A292" s="14"/>
      <c r="B292" s="13"/>
      <c r="C292" s="12"/>
      <c r="D292" s="12"/>
      <c r="E292" s="12"/>
      <c r="F292" s="12"/>
      <c r="G292" s="12"/>
      <c r="H292" s="12"/>
      <c r="I292" s="12"/>
      <c r="J292" s="12"/>
      <c r="K292" s="12"/>
    </row>
    <row r="293" spans="1:11" x14ac:dyDescent="0.2">
      <c r="A293" s="14"/>
      <c r="B293" s="13"/>
      <c r="C293" s="12"/>
      <c r="D293" s="12"/>
      <c r="E293" s="12"/>
      <c r="F293" s="12"/>
      <c r="G293" s="12"/>
      <c r="H293" s="12"/>
      <c r="I293" s="12"/>
      <c r="J293" s="12"/>
      <c r="K293" s="12"/>
    </row>
    <row r="294" spans="1:11" x14ac:dyDescent="0.2">
      <c r="A294" s="14"/>
      <c r="B294" s="13"/>
      <c r="C294" s="12"/>
      <c r="D294" s="12"/>
      <c r="E294" s="12"/>
      <c r="F294" s="12"/>
      <c r="G294" s="12"/>
      <c r="H294" s="12"/>
      <c r="I294" s="12"/>
      <c r="J294" s="12"/>
      <c r="K294" s="12"/>
    </row>
    <row r="295" spans="1:11" x14ac:dyDescent="0.2">
      <c r="A295" s="14"/>
      <c r="B295" s="13"/>
      <c r="C295" s="12"/>
      <c r="D295" s="12"/>
      <c r="E295" s="12"/>
      <c r="F295" s="12"/>
      <c r="G295" s="12"/>
      <c r="H295" s="12"/>
      <c r="I295" s="12"/>
      <c r="J295" s="12"/>
      <c r="K295" s="12"/>
    </row>
    <row r="296" spans="1:11" x14ac:dyDescent="0.2">
      <c r="A296" s="14"/>
      <c r="B296" s="13"/>
      <c r="C296" s="12"/>
      <c r="D296" s="12"/>
      <c r="E296" s="12"/>
      <c r="F296" s="12"/>
      <c r="G296" s="12"/>
      <c r="H296" s="12"/>
      <c r="I296" s="12"/>
      <c r="J296" s="12"/>
      <c r="K296" s="12"/>
    </row>
    <row r="297" spans="1:11" x14ac:dyDescent="0.2">
      <c r="A297" s="14"/>
      <c r="B297" s="13"/>
      <c r="C297" s="12"/>
      <c r="D297" s="12"/>
      <c r="E297" s="12"/>
      <c r="F297" s="12"/>
      <c r="G297" s="12"/>
      <c r="H297" s="12"/>
      <c r="I297" s="12"/>
      <c r="J297" s="12"/>
      <c r="K297" s="12"/>
    </row>
    <row r="298" spans="1:11" x14ac:dyDescent="0.2">
      <c r="A298" s="14"/>
      <c r="B298" s="13"/>
      <c r="C298" s="12"/>
      <c r="D298" s="12"/>
      <c r="E298" s="12"/>
      <c r="F298" s="12"/>
      <c r="G298" s="12"/>
      <c r="H298" s="12"/>
      <c r="I298" s="12"/>
      <c r="J298" s="12"/>
      <c r="K298" s="12"/>
    </row>
    <row r="299" spans="1:11" x14ac:dyDescent="0.2">
      <c r="A299" s="14"/>
      <c r="B299" s="13"/>
      <c r="C299" s="12"/>
      <c r="D299" s="12"/>
      <c r="E299" s="12"/>
      <c r="F299" s="12"/>
      <c r="G299" s="12"/>
      <c r="H299" s="12"/>
      <c r="I299" s="12"/>
      <c r="J299" s="12"/>
      <c r="K299" s="12"/>
    </row>
    <row r="300" spans="1:11" x14ac:dyDescent="0.2">
      <c r="A300" s="14"/>
      <c r="B300" s="13"/>
      <c r="C300" s="12"/>
      <c r="D300" s="12"/>
      <c r="E300" s="12"/>
      <c r="F300" s="12"/>
      <c r="G300" s="12"/>
      <c r="H300" s="12"/>
      <c r="I300" s="12"/>
      <c r="J300" s="12"/>
      <c r="K300" s="12"/>
    </row>
    <row r="301" spans="1:11" x14ac:dyDescent="0.2">
      <c r="A301" s="14"/>
      <c r="B301" s="13"/>
      <c r="C301" s="12"/>
      <c r="D301" s="12"/>
      <c r="E301" s="12"/>
      <c r="F301" s="12"/>
      <c r="G301" s="12"/>
      <c r="H301" s="12"/>
      <c r="I301" s="12"/>
      <c r="J301" s="12"/>
      <c r="K301" s="12"/>
    </row>
    <row r="302" spans="1:11" x14ac:dyDescent="0.2">
      <c r="A302" s="14"/>
      <c r="B302" s="13"/>
      <c r="C302" s="12"/>
      <c r="D302" s="12"/>
      <c r="E302" s="12"/>
      <c r="F302" s="12"/>
      <c r="G302" s="12"/>
      <c r="H302" s="12"/>
      <c r="I302" s="12"/>
      <c r="J302" s="12"/>
      <c r="K302" s="12"/>
    </row>
    <row r="303" spans="1:11" x14ac:dyDescent="0.2">
      <c r="A303" s="14"/>
      <c r="B303" s="13"/>
      <c r="C303" s="12"/>
      <c r="D303" s="12"/>
      <c r="E303" s="12"/>
      <c r="F303" s="12"/>
      <c r="G303" s="12"/>
      <c r="H303" s="12"/>
      <c r="I303" s="12"/>
      <c r="J303" s="12"/>
      <c r="K303" s="12"/>
    </row>
    <row r="304" spans="1:11" x14ac:dyDescent="0.2">
      <c r="A304" s="14"/>
      <c r="B304" s="13"/>
      <c r="C304" s="12"/>
      <c r="D304" s="12"/>
      <c r="E304" s="12"/>
      <c r="F304" s="12"/>
      <c r="G304" s="12"/>
      <c r="H304" s="12"/>
      <c r="I304" s="12"/>
      <c r="J304" s="12"/>
      <c r="K304" s="12"/>
    </row>
    <row r="305" spans="1:11" x14ac:dyDescent="0.2">
      <c r="A305" s="14"/>
      <c r="B305" s="13"/>
      <c r="C305" s="12"/>
      <c r="D305" s="12"/>
      <c r="E305" s="12"/>
      <c r="F305" s="12"/>
      <c r="G305" s="12"/>
      <c r="H305" s="12"/>
      <c r="I305" s="12"/>
      <c r="J305" s="12"/>
      <c r="K305" s="12"/>
    </row>
    <row r="306" spans="1:11" x14ac:dyDescent="0.2">
      <c r="A306" s="14"/>
      <c r="B306" s="13"/>
      <c r="C306" s="12"/>
      <c r="D306" s="12"/>
      <c r="E306" s="12"/>
      <c r="F306" s="12"/>
      <c r="G306" s="12"/>
      <c r="H306" s="12"/>
      <c r="I306" s="12"/>
      <c r="J306" s="12"/>
      <c r="K306" s="12"/>
    </row>
    <row r="307" spans="1:11" x14ac:dyDescent="0.2">
      <c r="A307" s="14"/>
      <c r="B307" s="13"/>
      <c r="C307" s="12"/>
      <c r="D307" s="12"/>
      <c r="E307" s="12"/>
      <c r="F307" s="12"/>
      <c r="G307" s="12"/>
      <c r="H307" s="12"/>
      <c r="I307" s="12"/>
      <c r="J307" s="12"/>
      <c r="K307" s="12"/>
    </row>
    <row r="308" spans="1:11" x14ac:dyDescent="0.2">
      <c r="A308" s="14"/>
      <c r="B308" s="13"/>
      <c r="C308" s="12"/>
      <c r="D308" s="12"/>
      <c r="E308" s="12"/>
      <c r="F308" s="12"/>
      <c r="G308" s="12"/>
      <c r="H308" s="12"/>
      <c r="I308" s="12"/>
      <c r="J308" s="12"/>
      <c r="K308" s="12"/>
    </row>
    <row r="309" spans="1:11" x14ac:dyDescent="0.2">
      <c r="A309" s="14"/>
      <c r="B309" s="13"/>
      <c r="C309" s="12"/>
      <c r="D309" s="12"/>
      <c r="E309" s="12"/>
      <c r="F309" s="12"/>
      <c r="G309" s="12"/>
      <c r="H309" s="12"/>
      <c r="I309" s="12"/>
      <c r="J309" s="12"/>
      <c r="K309" s="12"/>
    </row>
    <row r="310" spans="1:11" x14ac:dyDescent="0.2">
      <c r="A310" s="14"/>
      <c r="B310" s="13"/>
      <c r="C310" s="12"/>
      <c r="D310" s="12"/>
      <c r="E310" s="12"/>
      <c r="F310" s="12"/>
      <c r="G310" s="12"/>
      <c r="H310" s="12"/>
      <c r="I310" s="12"/>
      <c r="J310" s="12"/>
      <c r="K310" s="12"/>
    </row>
    <row r="311" spans="1:11" x14ac:dyDescent="0.2">
      <c r="A311" s="14"/>
      <c r="B311" s="13"/>
      <c r="C311" s="12"/>
      <c r="D311" s="12"/>
      <c r="E311" s="12"/>
      <c r="F311" s="12"/>
      <c r="G311" s="12"/>
      <c r="H311" s="12"/>
      <c r="I311" s="12"/>
      <c r="J311" s="12"/>
      <c r="K311" s="12"/>
    </row>
    <row r="312" spans="1:11" x14ac:dyDescent="0.2">
      <c r="A312" s="14"/>
      <c r="B312" s="13"/>
      <c r="C312" s="12"/>
      <c r="D312" s="12"/>
      <c r="E312" s="12"/>
      <c r="F312" s="12"/>
      <c r="G312" s="12"/>
      <c r="H312" s="12"/>
      <c r="I312" s="12"/>
      <c r="J312" s="12"/>
      <c r="K312" s="12"/>
    </row>
    <row r="313" spans="1:11" x14ac:dyDescent="0.2">
      <c r="A313" s="14"/>
      <c r="B313" s="13"/>
      <c r="C313" s="12"/>
      <c r="D313" s="12"/>
      <c r="E313" s="12"/>
      <c r="F313" s="12"/>
      <c r="G313" s="12"/>
      <c r="H313" s="12"/>
      <c r="I313" s="12"/>
      <c r="J313" s="12"/>
      <c r="K313" s="12"/>
    </row>
    <row r="314" spans="1:11" x14ac:dyDescent="0.2">
      <c r="A314" s="14"/>
      <c r="B314" s="13"/>
      <c r="C314" s="12"/>
      <c r="D314" s="12"/>
      <c r="E314" s="12"/>
      <c r="F314" s="12"/>
      <c r="G314" s="12"/>
      <c r="H314" s="12"/>
      <c r="I314" s="12"/>
      <c r="J314" s="12"/>
      <c r="K314" s="12"/>
    </row>
    <row r="315" spans="1:11" x14ac:dyDescent="0.2">
      <c r="A315" s="14"/>
      <c r="B315" s="13"/>
      <c r="C315" s="12"/>
      <c r="D315" s="12"/>
      <c r="E315" s="12"/>
      <c r="F315" s="12"/>
      <c r="G315" s="12"/>
      <c r="H315" s="12"/>
      <c r="I315" s="12"/>
      <c r="J315" s="12"/>
      <c r="K315" s="12"/>
    </row>
    <row r="316" spans="1:11" x14ac:dyDescent="0.2">
      <c r="A316" s="14"/>
      <c r="B316" s="13"/>
      <c r="C316" s="12"/>
      <c r="D316" s="12"/>
      <c r="E316" s="12"/>
      <c r="F316" s="12"/>
      <c r="G316" s="12"/>
      <c r="H316" s="12"/>
      <c r="I316" s="12"/>
      <c r="J316" s="12"/>
      <c r="K316" s="12"/>
    </row>
    <row r="317" spans="1:11" x14ac:dyDescent="0.2">
      <c r="A317" s="14"/>
      <c r="B317" s="13"/>
      <c r="C317" s="12"/>
      <c r="D317" s="12"/>
      <c r="E317" s="12"/>
      <c r="F317" s="12"/>
      <c r="G317" s="12"/>
      <c r="H317" s="12"/>
      <c r="I317" s="12"/>
      <c r="J317" s="12"/>
      <c r="K317" s="12"/>
    </row>
    <row r="318" spans="1:11" x14ac:dyDescent="0.2">
      <c r="A318" s="14"/>
      <c r="B318" s="13"/>
      <c r="C318" s="12"/>
      <c r="D318" s="12"/>
      <c r="E318" s="12"/>
      <c r="F318" s="12"/>
      <c r="G318" s="12"/>
      <c r="H318" s="12"/>
      <c r="I318" s="12"/>
      <c r="J318" s="12"/>
      <c r="K318" s="12"/>
    </row>
    <row r="319" spans="1:11" x14ac:dyDescent="0.2">
      <c r="A319" s="14"/>
      <c r="B319" s="13"/>
      <c r="C319" s="12"/>
      <c r="D319" s="12"/>
      <c r="E319" s="12"/>
      <c r="F319" s="12"/>
      <c r="G319" s="12"/>
      <c r="H319" s="12"/>
      <c r="I319" s="12"/>
      <c r="J319" s="12"/>
      <c r="K319" s="12"/>
    </row>
    <row r="320" spans="1:11" x14ac:dyDescent="0.2">
      <c r="A320" s="14"/>
      <c r="B320" s="13"/>
      <c r="C320" s="12"/>
      <c r="D320" s="12"/>
      <c r="E320" s="12"/>
      <c r="F320" s="12"/>
      <c r="G320" s="12"/>
      <c r="H320" s="12"/>
      <c r="I320" s="12"/>
      <c r="J320" s="12"/>
      <c r="K320" s="12"/>
    </row>
    <row r="321" spans="1:11" x14ac:dyDescent="0.2">
      <c r="A321" s="14"/>
      <c r="B321" s="13"/>
      <c r="C321" s="12"/>
      <c r="D321" s="12"/>
      <c r="E321" s="12"/>
      <c r="F321" s="12"/>
      <c r="G321" s="12"/>
      <c r="H321" s="12"/>
      <c r="I321" s="12"/>
      <c r="J321" s="12"/>
      <c r="K321" s="12"/>
    </row>
    <row r="322" spans="1:11" x14ac:dyDescent="0.2">
      <c r="A322" s="14"/>
      <c r="B322" s="13"/>
      <c r="C322" s="12"/>
      <c r="D322" s="12"/>
      <c r="E322" s="12"/>
      <c r="F322" s="12"/>
      <c r="G322" s="12"/>
      <c r="H322" s="12"/>
      <c r="I322" s="12"/>
      <c r="J322" s="12"/>
      <c r="K322" s="12"/>
    </row>
    <row r="323" spans="1:11" x14ac:dyDescent="0.2">
      <c r="A323" s="14"/>
      <c r="B323" s="13"/>
      <c r="C323" s="12"/>
      <c r="D323" s="12"/>
      <c r="E323" s="12"/>
      <c r="F323" s="12"/>
      <c r="G323" s="12"/>
      <c r="H323" s="12"/>
      <c r="I323" s="12"/>
      <c r="J323" s="12"/>
      <c r="K323" s="12"/>
    </row>
    <row r="324" spans="1:11" x14ac:dyDescent="0.2">
      <c r="A324" s="14"/>
      <c r="B324" s="13"/>
      <c r="C324" s="12"/>
      <c r="D324" s="12"/>
      <c r="E324" s="12"/>
      <c r="F324" s="12"/>
      <c r="G324" s="12"/>
      <c r="H324" s="12"/>
      <c r="I324" s="12"/>
      <c r="J324" s="12"/>
      <c r="K324" s="12"/>
    </row>
    <row r="325" spans="1:11" x14ac:dyDescent="0.2">
      <c r="A325" s="14"/>
      <c r="B325" s="13"/>
      <c r="C325" s="12"/>
      <c r="D325" s="12"/>
      <c r="E325" s="12"/>
      <c r="F325" s="12"/>
      <c r="G325" s="12"/>
      <c r="H325" s="12"/>
      <c r="I325" s="12"/>
      <c r="J325" s="12"/>
      <c r="K325" s="12"/>
    </row>
    <row r="326" spans="1:11" x14ac:dyDescent="0.2">
      <c r="A326" s="14"/>
      <c r="B326" s="13"/>
      <c r="C326" s="12"/>
      <c r="D326" s="12"/>
      <c r="E326" s="12"/>
      <c r="F326" s="12"/>
      <c r="G326" s="12"/>
      <c r="H326" s="12"/>
      <c r="I326" s="12"/>
      <c r="J326" s="12"/>
      <c r="K326" s="12"/>
    </row>
    <row r="327" spans="1:11" x14ac:dyDescent="0.2">
      <c r="A327" s="14"/>
      <c r="B327" s="13"/>
      <c r="C327" s="12"/>
      <c r="D327" s="12"/>
      <c r="E327" s="12"/>
      <c r="F327" s="12"/>
      <c r="G327" s="12"/>
      <c r="H327" s="12"/>
      <c r="I327" s="12"/>
      <c r="J327" s="12"/>
      <c r="K327" s="12"/>
    </row>
    <row r="328" spans="1:11" x14ac:dyDescent="0.2">
      <c r="A328" s="14"/>
      <c r="B328" s="13"/>
      <c r="C328" s="12"/>
      <c r="D328" s="12"/>
      <c r="E328" s="12"/>
      <c r="F328" s="12"/>
      <c r="G328" s="12"/>
      <c r="H328" s="12"/>
      <c r="I328" s="12"/>
      <c r="J328" s="12"/>
      <c r="K328" s="12"/>
    </row>
    <row r="329" spans="1:11" x14ac:dyDescent="0.2">
      <c r="A329" s="14"/>
      <c r="B329" s="13"/>
      <c r="C329" s="12"/>
      <c r="D329" s="12"/>
      <c r="E329" s="12"/>
      <c r="F329" s="12"/>
      <c r="G329" s="12"/>
      <c r="H329" s="12"/>
      <c r="I329" s="12"/>
      <c r="J329" s="12"/>
      <c r="K329" s="12"/>
    </row>
    <row r="330" spans="1:11" x14ac:dyDescent="0.2">
      <c r="A330" s="14"/>
      <c r="B330" s="13"/>
      <c r="C330" s="12"/>
      <c r="D330" s="12"/>
      <c r="E330" s="12"/>
      <c r="F330" s="12"/>
      <c r="G330" s="12"/>
      <c r="H330" s="12"/>
      <c r="I330" s="12"/>
      <c r="J330" s="12"/>
      <c r="K330" s="12"/>
    </row>
    <row r="331" spans="1:11" x14ac:dyDescent="0.2">
      <c r="A331" s="14"/>
      <c r="B331" s="13"/>
      <c r="C331" s="12"/>
      <c r="D331" s="12"/>
      <c r="E331" s="12"/>
      <c r="F331" s="12"/>
      <c r="G331" s="12"/>
      <c r="H331" s="12"/>
      <c r="I331" s="12"/>
      <c r="J331" s="12"/>
      <c r="K331" s="12"/>
    </row>
    <row r="332" spans="1:11" x14ac:dyDescent="0.2">
      <c r="A332" s="14"/>
      <c r="B332" s="13"/>
      <c r="C332" s="12"/>
      <c r="D332" s="12"/>
      <c r="E332" s="12"/>
      <c r="F332" s="12"/>
      <c r="G332" s="12"/>
      <c r="H332" s="12"/>
      <c r="I332" s="12"/>
      <c r="J332" s="12"/>
      <c r="K332" s="12"/>
    </row>
    <row r="333" spans="1:11" x14ac:dyDescent="0.2">
      <c r="A333" s="14"/>
      <c r="B333" s="13"/>
      <c r="C333" s="12"/>
      <c r="D333" s="12"/>
      <c r="E333" s="12"/>
      <c r="F333" s="12"/>
      <c r="G333" s="12"/>
      <c r="H333" s="12"/>
      <c r="I333" s="12"/>
      <c r="J333" s="12"/>
      <c r="K333" s="12"/>
    </row>
    <row r="334" spans="1:11" x14ac:dyDescent="0.2">
      <c r="A334" s="14"/>
      <c r="B334" s="13"/>
      <c r="C334" s="12"/>
      <c r="D334" s="12"/>
      <c r="E334" s="12"/>
      <c r="F334" s="12"/>
      <c r="G334" s="12"/>
      <c r="H334" s="12"/>
      <c r="I334" s="12"/>
      <c r="J334" s="12"/>
      <c r="K334" s="12"/>
    </row>
    <row r="335" spans="1:11" x14ac:dyDescent="0.2">
      <c r="A335" s="14"/>
      <c r="B335" s="13"/>
      <c r="C335" s="12"/>
      <c r="D335" s="12"/>
      <c r="E335" s="12"/>
      <c r="F335" s="12"/>
      <c r="G335" s="12"/>
      <c r="H335" s="12"/>
      <c r="I335" s="12"/>
      <c r="J335" s="12"/>
      <c r="K335" s="12"/>
    </row>
    <row r="336" spans="1:11" x14ac:dyDescent="0.2">
      <c r="A336" s="14"/>
      <c r="B336" s="13"/>
      <c r="C336" s="12"/>
      <c r="D336" s="12"/>
      <c r="E336" s="12"/>
      <c r="F336" s="12"/>
      <c r="G336" s="12"/>
      <c r="H336" s="12"/>
      <c r="I336" s="12"/>
      <c r="J336" s="12"/>
      <c r="K336" s="12"/>
    </row>
    <row r="337" spans="1:11" x14ac:dyDescent="0.2">
      <c r="A337" s="14"/>
      <c r="B337" s="13"/>
      <c r="C337" s="12"/>
      <c r="D337" s="12"/>
      <c r="E337" s="12"/>
      <c r="F337" s="12"/>
      <c r="G337" s="12"/>
      <c r="H337" s="12"/>
      <c r="I337" s="12"/>
      <c r="J337" s="12"/>
      <c r="K337" s="12"/>
    </row>
    <row r="338" spans="1:11" x14ac:dyDescent="0.2">
      <c r="A338" s="14"/>
      <c r="B338" s="13"/>
      <c r="C338" s="12"/>
      <c r="D338" s="12"/>
      <c r="E338" s="12"/>
      <c r="F338" s="12"/>
      <c r="G338" s="12"/>
      <c r="H338" s="12"/>
      <c r="I338" s="12"/>
      <c r="J338" s="12"/>
      <c r="K338" s="12"/>
    </row>
    <row r="339" spans="1:11" x14ac:dyDescent="0.2">
      <c r="A339" s="14"/>
      <c r="B339" s="13"/>
      <c r="C339" s="12"/>
      <c r="D339" s="12"/>
      <c r="E339" s="12"/>
      <c r="F339" s="12"/>
      <c r="G339" s="12"/>
      <c r="H339" s="12"/>
      <c r="I339" s="12"/>
      <c r="J339" s="12"/>
      <c r="K339" s="12"/>
    </row>
    <row r="340" spans="1:11" x14ac:dyDescent="0.2">
      <c r="A340" s="14"/>
      <c r="B340" s="13"/>
      <c r="C340" s="12"/>
      <c r="D340" s="12"/>
      <c r="E340" s="12"/>
      <c r="F340" s="12"/>
      <c r="G340" s="12"/>
      <c r="H340" s="12"/>
      <c r="I340" s="12"/>
      <c r="J340" s="12"/>
      <c r="K340" s="12"/>
    </row>
    <row r="341" spans="1:11" x14ac:dyDescent="0.2">
      <c r="A341" s="14"/>
      <c r="B341" s="13"/>
      <c r="C341" s="12"/>
      <c r="D341" s="12"/>
      <c r="E341" s="12"/>
      <c r="F341" s="12"/>
      <c r="G341" s="12"/>
      <c r="H341" s="12"/>
      <c r="I341" s="12"/>
      <c r="J341" s="12"/>
      <c r="K341" s="12"/>
    </row>
    <row r="342" spans="1:11" x14ac:dyDescent="0.2">
      <c r="A342" s="14"/>
      <c r="B342" s="13"/>
      <c r="C342" s="12"/>
      <c r="D342" s="12"/>
      <c r="E342" s="12"/>
      <c r="F342" s="12"/>
      <c r="G342" s="12"/>
      <c r="H342" s="12"/>
      <c r="I342" s="12"/>
      <c r="J342" s="12"/>
      <c r="K342" s="12"/>
    </row>
    <row r="343" spans="1:11" x14ac:dyDescent="0.2">
      <c r="A343" s="14"/>
      <c r="B343" s="13"/>
      <c r="C343" s="12"/>
      <c r="D343" s="12"/>
      <c r="E343" s="12"/>
      <c r="F343" s="12"/>
      <c r="G343" s="12"/>
      <c r="H343" s="12"/>
      <c r="I343" s="12"/>
      <c r="J343" s="12"/>
      <c r="K343" s="12"/>
    </row>
    <row r="344" spans="1:11" x14ac:dyDescent="0.2">
      <c r="A344" s="14"/>
      <c r="B344" s="13"/>
      <c r="C344" s="12"/>
      <c r="D344" s="12"/>
      <c r="E344" s="12"/>
      <c r="F344" s="12"/>
      <c r="G344" s="12"/>
      <c r="H344" s="12"/>
      <c r="I344" s="12"/>
      <c r="J344" s="12"/>
      <c r="K344" s="12"/>
    </row>
    <row r="345" spans="1:11" x14ac:dyDescent="0.2">
      <c r="A345" s="14"/>
      <c r="B345" s="13"/>
      <c r="C345" s="12"/>
      <c r="D345" s="12"/>
      <c r="E345" s="12"/>
      <c r="F345" s="12"/>
      <c r="G345" s="12"/>
      <c r="H345" s="12"/>
      <c r="I345" s="12"/>
      <c r="J345" s="12"/>
      <c r="K345" s="12"/>
    </row>
    <row r="346" spans="1:11" x14ac:dyDescent="0.2">
      <c r="A346" s="14"/>
      <c r="B346" s="13"/>
      <c r="C346" s="12"/>
      <c r="D346" s="12"/>
      <c r="E346" s="12"/>
      <c r="F346" s="12"/>
      <c r="G346" s="12"/>
      <c r="H346" s="12"/>
      <c r="I346" s="12"/>
      <c r="J346" s="12"/>
      <c r="K346" s="12"/>
    </row>
    <row r="347" spans="1:11" x14ac:dyDescent="0.2">
      <c r="A347" s="14"/>
      <c r="B347" s="13"/>
      <c r="C347" s="12"/>
      <c r="D347" s="12"/>
      <c r="E347" s="12"/>
      <c r="F347" s="12"/>
      <c r="G347" s="12"/>
      <c r="H347" s="12"/>
      <c r="I347" s="12"/>
      <c r="J347" s="12"/>
      <c r="K347" s="12"/>
    </row>
    <row r="348" spans="1:11" x14ac:dyDescent="0.2">
      <c r="A348" s="14"/>
      <c r="B348" s="13"/>
      <c r="C348" s="12"/>
      <c r="D348" s="12"/>
      <c r="E348" s="12"/>
      <c r="F348" s="12"/>
      <c r="G348" s="12"/>
      <c r="H348" s="12"/>
      <c r="I348" s="12"/>
      <c r="J348" s="12"/>
      <c r="K348" s="12"/>
    </row>
    <row r="349" spans="1:11" x14ac:dyDescent="0.2">
      <c r="A349" s="14"/>
      <c r="B349" s="13"/>
      <c r="C349" s="12"/>
      <c r="D349" s="12"/>
      <c r="E349" s="12"/>
      <c r="F349" s="12"/>
      <c r="G349" s="12"/>
      <c r="H349" s="12"/>
      <c r="I349" s="12"/>
      <c r="J349" s="12"/>
      <c r="K349" s="12"/>
    </row>
    <row r="350" spans="1:11" x14ac:dyDescent="0.2">
      <c r="A350" s="14"/>
      <c r="B350" s="13"/>
      <c r="C350" s="12"/>
      <c r="D350" s="12"/>
      <c r="E350" s="12"/>
      <c r="F350" s="12"/>
      <c r="G350" s="12"/>
      <c r="H350" s="12"/>
      <c r="I350" s="12"/>
      <c r="J350" s="12"/>
      <c r="K350" s="12"/>
    </row>
    <row r="351" spans="1:11" x14ac:dyDescent="0.2">
      <c r="A351" s="14"/>
      <c r="B351" s="13"/>
      <c r="C351" s="12"/>
      <c r="D351" s="12"/>
      <c r="E351" s="12"/>
      <c r="F351" s="12"/>
      <c r="G351" s="12"/>
      <c r="H351" s="12"/>
      <c r="I351" s="12"/>
      <c r="J351" s="12"/>
      <c r="K351" s="12"/>
    </row>
    <row r="352" spans="1:11" x14ac:dyDescent="0.2">
      <c r="A352" s="14"/>
      <c r="B352" s="13"/>
      <c r="C352" s="12"/>
      <c r="D352" s="12"/>
      <c r="E352" s="12"/>
      <c r="F352" s="12"/>
      <c r="G352" s="12"/>
      <c r="H352" s="12"/>
      <c r="I352" s="12"/>
      <c r="J352" s="12"/>
      <c r="K352" s="12"/>
    </row>
    <row r="353" spans="1:11" x14ac:dyDescent="0.2">
      <c r="A353" s="14"/>
      <c r="B353" s="13"/>
      <c r="C353" s="12"/>
      <c r="D353" s="12"/>
      <c r="E353" s="12"/>
      <c r="F353" s="12"/>
      <c r="G353" s="12"/>
      <c r="H353" s="12"/>
      <c r="I353" s="12"/>
      <c r="J353" s="12"/>
      <c r="K353" s="12"/>
    </row>
    <row r="354" spans="1:11" x14ac:dyDescent="0.2">
      <c r="A354" s="14"/>
      <c r="B354" s="13"/>
      <c r="C354" s="12"/>
      <c r="D354" s="12"/>
      <c r="E354" s="12"/>
      <c r="F354" s="12"/>
      <c r="G354" s="12"/>
      <c r="H354" s="12"/>
      <c r="I354" s="12"/>
      <c r="J354" s="12"/>
      <c r="K354" s="12"/>
    </row>
    <row r="355" spans="1:11" x14ac:dyDescent="0.2">
      <c r="A355" s="14"/>
      <c r="B355" s="13"/>
      <c r="C355" s="12"/>
      <c r="D355" s="12"/>
      <c r="E355" s="12"/>
      <c r="F355" s="12"/>
      <c r="G355" s="12"/>
      <c r="H355" s="12"/>
      <c r="I355" s="12"/>
      <c r="J355" s="12"/>
      <c r="K355" s="12"/>
    </row>
    <row r="356" spans="1:11" x14ac:dyDescent="0.2">
      <c r="A356" s="14"/>
      <c r="B356" s="13"/>
      <c r="C356" s="12"/>
      <c r="D356" s="12"/>
      <c r="E356" s="12"/>
      <c r="F356" s="12"/>
      <c r="G356" s="12"/>
      <c r="H356" s="12"/>
      <c r="I356" s="12"/>
      <c r="J356" s="12"/>
      <c r="K356" s="12"/>
    </row>
    <row r="357" spans="1:11" x14ac:dyDescent="0.2">
      <c r="A357" s="14"/>
      <c r="B357" s="13"/>
      <c r="C357" s="12"/>
      <c r="D357" s="12"/>
      <c r="E357" s="12"/>
      <c r="F357" s="12"/>
      <c r="G357" s="12"/>
      <c r="H357" s="12"/>
      <c r="I357" s="12"/>
      <c r="J357" s="12"/>
      <c r="K357" s="12"/>
    </row>
    <row r="358" spans="1:11" x14ac:dyDescent="0.2">
      <c r="A358" s="14"/>
      <c r="B358" s="13"/>
      <c r="C358" s="12"/>
      <c r="D358" s="12"/>
      <c r="E358" s="12"/>
      <c r="F358" s="12"/>
      <c r="G358" s="12"/>
      <c r="H358" s="12"/>
      <c r="I358" s="12"/>
      <c r="J358" s="12"/>
      <c r="K358" s="12"/>
    </row>
    <row r="359" spans="1:11" x14ac:dyDescent="0.2">
      <c r="A359" s="14"/>
      <c r="B359" s="13"/>
      <c r="C359" s="12"/>
      <c r="D359" s="12"/>
      <c r="E359" s="12"/>
      <c r="F359" s="12"/>
      <c r="G359" s="12"/>
      <c r="H359" s="12"/>
      <c r="I359" s="12"/>
      <c r="J359" s="12"/>
      <c r="K359" s="12"/>
    </row>
    <row r="360" spans="1:11" x14ac:dyDescent="0.2">
      <c r="A360" s="14"/>
      <c r="B360" s="13"/>
      <c r="C360" s="12"/>
      <c r="D360" s="12"/>
      <c r="E360" s="12"/>
      <c r="F360" s="12"/>
      <c r="G360" s="12"/>
      <c r="H360" s="12"/>
      <c r="I360" s="12"/>
      <c r="J360" s="12"/>
      <c r="K360" s="12"/>
    </row>
    <row r="361" spans="1:11" x14ac:dyDescent="0.2">
      <c r="A361" s="14"/>
      <c r="B361" s="13"/>
      <c r="C361" s="12"/>
      <c r="D361" s="12"/>
      <c r="E361" s="12"/>
      <c r="F361" s="12"/>
      <c r="G361" s="12"/>
      <c r="H361" s="12"/>
      <c r="I361" s="12"/>
      <c r="J361" s="12"/>
      <c r="K361" s="12"/>
    </row>
    <row r="362" spans="1:11" x14ac:dyDescent="0.2">
      <c r="A362" s="14"/>
      <c r="B362" s="13"/>
      <c r="C362" s="12"/>
      <c r="D362" s="12"/>
      <c r="E362" s="12"/>
      <c r="F362" s="12"/>
      <c r="G362" s="12"/>
      <c r="H362" s="12"/>
      <c r="I362" s="12"/>
      <c r="J362" s="12"/>
      <c r="K362" s="12"/>
    </row>
    <row r="363" spans="1:11" x14ac:dyDescent="0.2">
      <c r="A363" s="14"/>
      <c r="B363" s="13"/>
      <c r="C363" s="12"/>
      <c r="D363" s="12"/>
      <c r="E363" s="12"/>
      <c r="F363" s="12"/>
      <c r="G363" s="12"/>
      <c r="H363" s="12"/>
      <c r="I363" s="12"/>
      <c r="J363" s="12"/>
      <c r="K363" s="12"/>
    </row>
    <row r="364" spans="1:11" x14ac:dyDescent="0.2">
      <c r="A364" s="14"/>
      <c r="B364" s="13"/>
      <c r="C364" s="12"/>
      <c r="D364" s="12"/>
      <c r="E364" s="12"/>
      <c r="F364" s="12"/>
      <c r="G364" s="12"/>
      <c r="H364" s="12"/>
      <c r="I364" s="12"/>
      <c r="J364" s="12"/>
      <c r="K364" s="12"/>
    </row>
    <row r="365" spans="1:11" x14ac:dyDescent="0.2">
      <c r="A365" s="14"/>
      <c r="B365" s="13"/>
      <c r="C365" s="12"/>
      <c r="D365" s="12"/>
      <c r="E365" s="12"/>
      <c r="F365" s="12"/>
      <c r="G365" s="12"/>
      <c r="H365" s="12"/>
      <c r="I365" s="12"/>
      <c r="J365" s="12"/>
      <c r="K365" s="12"/>
    </row>
    <row r="366" spans="1:11" x14ac:dyDescent="0.2">
      <c r="A366" s="14"/>
      <c r="B366" s="13"/>
      <c r="C366" s="12"/>
      <c r="D366" s="12"/>
      <c r="E366" s="12"/>
      <c r="F366" s="12"/>
      <c r="G366" s="12"/>
      <c r="H366" s="12"/>
      <c r="I366" s="12"/>
      <c r="J366" s="12"/>
      <c r="K366" s="12"/>
    </row>
    <row r="367" spans="1:11" x14ac:dyDescent="0.2">
      <c r="A367" s="14"/>
      <c r="B367" s="13"/>
      <c r="C367" s="12"/>
      <c r="D367" s="12"/>
      <c r="E367" s="12"/>
      <c r="F367" s="12"/>
      <c r="G367" s="12"/>
      <c r="H367" s="12"/>
      <c r="I367" s="12"/>
      <c r="J367" s="12"/>
      <c r="K367" s="12"/>
    </row>
    <row r="368" spans="1:11" x14ac:dyDescent="0.2">
      <c r="A368" s="14"/>
      <c r="B368" s="13"/>
      <c r="C368" s="12"/>
      <c r="D368" s="12"/>
      <c r="E368" s="12"/>
      <c r="F368" s="12"/>
      <c r="G368" s="12"/>
      <c r="H368" s="12"/>
      <c r="I368" s="12"/>
      <c r="J368" s="12"/>
      <c r="K368" s="12"/>
    </row>
    <row r="369" spans="1:11" x14ac:dyDescent="0.2">
      <c r="A369" s="14"/>
      <c r="B369" s="13"/>
      <c r="C369" s="12"/>
      <c r="D369" s="12"/>
      <c r="E369" s="12"/>
      <c r="F369" s="12"/>
      <c r="G369" s="12"/>
      <c r="H369" s="12"/>
      <c r="I369" s="12"/>
      <c r="J369" s="12"/>
      <c r="K369" s="12"/>
    </row>
    <row r="370" spans="1:11" x14ac:dyDescent="0.2">
      <c r="A370" s="14"/>
      <c r="B370" s="13"/>
      <c r="C370" s="12"/>
      <c r="D370" s="12"/>
      <c r="E370" s="12"/>
      <c r="F370" s="12"/>
      <c r="G370" s="12"/>
      <c r="H370" s="12"/>
      <c r="I370" s="12"/>
      <c r="J370" s="12"/>
      <c r="K370" s="12"/>
    </row>
    <row r="371" spans="1:11" x14ac:dyDescent="0.2">
      <c r="A371" s="14"/>
      <c r="B371" s="13"/>
      <c r="C371" s="12"/>
      <c r="D371" s="12"/>
      <c r="E371" s="12"/>
      <c r="F371" s="12"/>
      <c r="G371" s="12"/>
      <c r="H371" s="12"/>
      <c r="I371" s="12"/>
      <c r="J371" s="12"/>
      <c r="K371" s="12"/>
    </row>
    <row r="372" spans="1:11" x14ac:dyDescent="0.2">
      <c r="A372" s="14"/>
      <c r="B372" s="13"/>
      <c r="C372" s="12"/>
      <c r="D372" s="12"/>
      <c r="E372" s="12"/>
      <c r="F372" s="12"/>
      <c r="G372" s="12"/>
      <c r="H372" s="12"/>
      <c r="I372" s="12"/>
      <c r="J372" s="12"/>
      <c r="K372" s="12"/>
    </row>
    <row r="373" spans="1:11" x14ac:dyDescent="0.2">
      <c r="A373" s="14"/>
      <c r="B373" s="13"/>
      <c r="C373" s="12"/>
      <c r="D373" s="12"/>
      <c r="E373" s="12"/>
      <c r="F373" s="12"/>
      <c r="G373" s="12"/>
      <c r="H373" s="12"/>
      <c r="I373" s="12"/>
      <c r="J373" s="12"/>
      <c r="K373" s="12"/>
    </row>
    <row r="374" spans="1:11" x14ac:dyDescent="0.2">
      <c r="A374" s="14"/>
      <c r="B374" s="13"/>
      <c r="C374" s="12"/>
      <c r="D374" s="12"/>
      <c r="E374" s="12"/>
      <c r="F374" s="12"/>
      <c r="G374" s="12"/>
      <c r="H374" s="12"/>
      <c r="I374" s="12"/>
      <c r="J374" s="12"/>
      <c r="K374" s="12"/>
    </row>
    <row r="375" spans="1:11" x14ac:dyDescent="0.2">
      <c r="A375" s="14"/>
      <c r="B375" s="13"/>
      <c r="C375" s="12"/>
      <c r="D375" s="12"/>
      <c r="E375" s="12"/>
      <c r="F375" s="12"/>
      <c r="G375" s="12"/>
      <c r="H375" s="12"/>
      <c r="I375" s="12"/>
      <c r="J375" s="12"/>
      <c r="K375" s="12"/>
    </row>
    <row r="376" spans="1:11" x14ac:dyDescent="0.2">
      <c r="A376" s="14"/>
      <c r="B376" s="13"/>
      <c r="C376" s="12"/>
      <c r="D376" s="12"/>
      <c r="E376" s="12"/>
      <c r="F376" s="12"/>
      <c r="G376" s="12"/>
      <c r="H376" s="12"/>
      <c r="I376" s="12"/>
      <c r="J376" s="12"/>
      <c r="K376" s="12"/>
    </row>
    <row r="377" spans="1:11" x14ac:dyDescent="0.2">
      <c r="A377" s="14"/>
      <c r="B377" s="13"/>
      <c r="C377" s="12"/>
      <c r="D377" s="12"/>
      <c r="E377" s="12"/>
      <c r="F377" s="12"/>
      <c r="G377" s="12"/>
      <c r="H377" s="12"/>
      <c r="I377" s="12"/>
      <c r="J377" s="12"/>
      <c r="K377" s="12"/>
    </row>
    <row r="378" spans="1:11" x14ac:dyDescent="0.2">
      <c r="A378" s="14"/>
      <c r="B378" s="13"/>
      <c r="C378" s="12"/>
      <c r="D378" s="12"/>
      <c r="E378" s="12"/>
      <c r="F378" s="12"/>
      <c r="G378" s="12"/>
      <c r="H378" s="12"/>
      <c r="I378" s="12"/>
      <c r="J378" s="12"/>
      <c r="K378" s="12"/>
    </row>
    <row r="379" spans="1:11" x14ac:dyDescent="0.2">
      <c r="A379" s="14"/>
      <c r="B379" s="13"/>
      <c r="C379" s="12"/>
      <c r="D379" s="12"/>
      <c r="E379" s="12"/>
      <c r="F379" s="12"/>
      <c r="G379" s="12"/>
      <c r="H379" s="12"/>
      <c r="I379" s="12"/>
      <c r="J379" s="12"/>
      <c r="K379" s="12"/>
    </row>
    <row r="380" spans="1:11" x14ac:dyDescent="0.2">
      <c r="A380" s="14"/>
      <c r="B380" s="13"/>
      <c r="C380" s="12"/>
      <c r="D380" s="12"/>
      <c r="E380" s="12"/>
      <c r="F380" s="12"/>
      <c r="G380" s="12"/>
      <c r="H380" s="12"/>
      <c r="I380" s="12"/>
      <c r="J380" s="12"/>
      <c r="K380" s="12"/>
    </row>
    <row r="381" spans="1:11" x14ac:dyDescent="0.2">
      <c r="A381" s="14"/>
      <c r="B381" s="13"/>
      <c r="C381" s="12"/>
      <c r="D381" s="12"/>
      <c r="E381" s="12"/>
      <c r="F381" s="12"/>
      <c r="G381" s="12"/>
      <c r="H381" s="12"/>
      <c r="I381" s="12"/>
      <c r="J381" s="12"/>
      <c r="K381" s="12"/>
    </row>
    <row r="382" spans="1:11" x14ac:dyDescent="0.2">
      <c r="A382" s="14"/>
      <c r="B382" s="13"/>
      <c r="C382" s="12"/>
      <c r="D382" s="12"/>
      <c r="E382" s="12"/>
      <c r="F382" s="12"/>
      <c r="G382" s="12"/>
      <c r="H382" s="12"/>
      <c r="I382" s="12"/>
      <c r="J382" s="12"/>
      <c r="K382" s="12"/>
    </row>
    <row r="383" spans="1:11" x14ac:dyDescent="0.2">
      <c r="A383" s="14"/>
      <c r="B383" s="13"/>
      <c r="C383" s="12"/>
      <c r="D383" s="12"/>
      <c r="E383" s="12"/>
      <c r="F383" s="12"/>
      <c r="G383" s="12"/>
      <c r="H383" s="12"/>
      <c r="I383" s="12"/>
      <c r="J383" s="12"/>
      <c r="K383" s="12"/>
    </row>
    <row r="384" spans="1:11" x14ac:dyDescent="0.2">
      <c r="A384" s="14"/>
      <c r="B384" s="13"/>
      <c r="C384" s="12"/>
      <c r="D384" s="12"/>
      <c r="E384" s="12"/>
      <c r="F384" s="12"/>
      <c r="G384" s="12"/>
      <c r="H384" s="12"/>
      <c r="I384" s="12"/>
      <c r="J384" s="12"/>
      <c r="K384" s="12"/>
    </row>
    <row r="385" spans="1:11" x14ac:dyDescent="0.2">
      <c r="A385" s="14"/>
      <c r="B385" s="13"/>
      <c r="C385" s="12"/>
      <c r="D385" s="12"/>
      <c r="E385" s="12"/>
      <c r="F385" s="12"/>
      <c r="G385" s="12"/>
      <c r="H385" s="12"/>
      <c r="I385" s="12"/>
      <c r="J385" s="12"/>
      <c r="K385" s="12"/>
    </row>
    <row r="386" spans="1:11" x14ac:dyDescent="0.2">
      <c r="A386" s="14"/>
      <c r="B386" s="13"/>
      <c r="C386" s="12"/>
      <c r="D386" s="12"/>
      <c r="E386" s="12"/>
      <c r="F386" s="12"/>
      <c r="G386" s="12"/>
      <c r="H386" s="12"/>
      <c r="I386" s="12"/>
      <c r="J386" s="12"/>
      <c r="K386" s="12"/>
    </row>
    <row r="387" spans="1:11" x14ac:dyDescent="0.2">
      <c r="A387" s="14"/>
      <c r="B387" s="13"/>
      <c r="C387" s="12"/>
      <c r="D387" s="12"/>
      <c r="E387" s="12"/>
      <c r="F387" s="12"/>
      <c r="G387" s="12"/>
      <c r="H387" s="12"/>
      <c r="I387" s="12"/>
      <c r="J387" s="12"/>
      <c r="K387" s="12"/>
    </row>
    <row r="388" spans="1:11" x14ac:dyDescent="0.2">
      <c r="A388" s="14"/>
      <c r="B388" s="13"/>
      <c r="C388" s="12"/>
      <c r="D388" s="12"/>
      <c r="E388" s="12"/>
      <c r="F388" s="12"/>
      <c r="G388" s="12"/>
      <c r="H388" s="12"/>
      <c r="I388" s="12"/>
      <c r="J388" s="12"/>
      <c r="K388" s="12"/>
    </row>
    <row r="389" spans="1:11" x14ac:dyDescent="0.2">
      <c r="A389" s="14"/>
      <c r="B389" s="13"/>
      <c r="C389" s="12"/>
      <c r="D389" s="12"/>
      <c r="E389" s="12"/>
      <c r="F389" s="12"/>
      <c r="G389" s="12"/>
      <c r="H389" s="12"/>
      <c r="I389" s="12"/>
      <c r="J389" s="12"/>
      <c r="K389" s="12"/>
    </row>
    <row r="390" spans="1:11" x14ac:dyDescent="0.2">
      <c r="A390" s="14"/>
      <c r="B390" s="13"/>
      <c r="C390" s="12"/>
      <c r="D390" s="12"/>
      <c r="E390" s="12"/>
      <c r="F390" s="12"/>
      <c r="G390" s="12"/>
      <c r="H390" s="12"/>
      <c r="I390" s="12"/>
      <c r="J390" s="12"/>
      <c r="K390" s="12"/>
    </row>
    <row r="391" spans="1:11" x14ac:dyDescent="0.2">
      <c r="A391" s="14"/>
      <c r="B391" s="13"/>
      <c r="C391" s="12"/>
      <c r="D391" s="12"/>
      <c r="E391" s="12"/>
      <c r="F391" s="12"/>
      <c r="G391" s="12"/>
      <c r="H391" s="12"/>
      <c r="I391" s="12"/>
      <c r="J391" s="12"/>
      <c r="K391" s="12"/>
    </row>
    <row r="392" spans="1:11" x14ac:dyDescent="0.2">
      <c r="A392" s="14"/>
      <c r="B392" s="13"/>
      <c r="C392" s="12"/>
      <c r="D392" s="12"/>
      <c r="E392" s="12"/>
      <c r="F392" s="12"/>
      <c r="G392" s="12"/>
      <c r="H392" s="12"/>
      <c r="I392" s="12"/>
      <c r="J392" s="12"/>
      <c r="K392" s="12"/>
    </row>
    <row r="393" spans="1:11" x14ac:dyDescent="0.2">
      <c r="A393" s="14"/>
      <c r="B393" s="13"/>
      <c r="C393" s="12"/>
      <c r="D393" s="12"/>
      <c r="E393" s="12"/>
      <c r="F393" s="12"/>
      <c r="G393" s="12"/>
      <c r="H393" s="12"/>
      <c r="I393" s="12"/>
      <c r="J393" s="12"/>
      <c r="K393" s="12"/>
    </row>
    <row r="394" spans="1:11" x14ac:dyDescent="0.2">
      <c r="A394" s="14"/>
      <c r="B394" s="13"/>
      <c r="C394" s="12"/>
      <c r="D394" s="12"/>
      <c r="E394" s="12"/>
      <c r="F394" s="12"/>
      <c r="G394" s="12"/>
      <c r="H394" s="12"/>
      <c r="I394" s="12"/>
      <c r="J394" s="12"/>
      <c r="K394" s="12"/>
    </row>
    <row r="395" spans="1:11" x14ac:dyDescent="0.2">
      <c r="A395" s="14"/>
      <c r="B395" s="13"/>
      <c r="C395" s="12"/>
      <c r="D395" s="12"/>
      <c r="E395" s="12"/>
      <c r="F395" s="12"/>
      <c r="G395" s="12"/>
      <c r="H395" s="12"/>
      <c r="I395" s="12"/>
      <c r="J395" s="12"/>
      <c r="K395" s="12"/>
    </row>
    <row r="396" spans="1:11" x14ac:dyDescent="0.2">
      <c r="A396" s="14"/>
      <c r="B396" s="13"/>
      <c r="C396" s="12"/>
      <c r="D396" s="12"/>
      <c r="E396" s="12"/>
      <c r="F396" s="12"/>
      <c r="G396" s="12"/>
      <c r="H396" s="12"/>
      <c r="I396" s="12"/>
      <c r="J396" s="12"/>
      <c r="K396" s="12"/>
    </row>
    <row r="397" spans="1:11" x14ac:dyDescent="0.2">
      <c r="A397" s="14"/>
      <c r="B397" s="13"/>
      <c r="C397" s="12"/>
      <c r="D397" s="12"/>
      <c r="E397" s="12"/>
      <c r="F397" s="12"/>
      <c r="G397" s="12"/>
      <c r="H397" s="12"/>
      <c r="I397" s="12"/>
      <c r="J397" s="12"/>
      <c r="K397" s="12"/>
    </row>
    <row r="398" spans="1:11" x14ac:dyDescent="0.2">
      <c r="A398" s="14"/>
      <c r="B398" s="13"/>
      <c r="C398" s="12"/>
      <c r="D398" s="12"/>
      <c r="E398" s="12"/>
      <c r="F398" s="12"/>
      <c r="G398" s="12"/>
      <c r="H398" s="12"/>
      <c r="I398" s="12"/>
      <c r="J398" s="12"/>
      <c r="K398" s="12"/>
    </row>
    <row r="399" spans="1:11" x14ac:dyDescent="0.2">
      <c r="A399" s="14"/>
      <c r="B399" s="13"/>
      <c r="C399" s="12"/>
      <c r="D399" s="12"/>
      <c r="E399" s="12"/>
      <c r="F399" s="12"/>
      <c r="G399" s="12"/>
      <c r="H399" s="12"/>
      <c r="I399" s="12"/>
      <c r="J399" s="12"/>
      <c r="K399" s="12"/>
    </row>
    <row r="400" spans="1:11" x14ac:dyDescent="0.2">
      <c r="A400" s="14"/>
      <c r="B400" s="13"/>
      <c r="C400" s="12"/>
      <c r="D400" s="12"/>
      <c r="E400" s="12"/>
      <c r="F400" s="12"/>
      <c r="G400" s="12"/>
      <c r="H400" s="12"/>
      <c r="I400" s="12"/>
      <c r="J400" s="12"/>
      <c r="K400" s="12"/>
    </row>
    <row r="401" spans="1:11" x14ac:dyDescent="0.2">
      <c r="A401" s="14"/>
      <c r="B401" s="13"/>
      <c r="C401" s="12"/>
      <c r="D401" s="12"/>
      <c r="E401" s="12"/>
      <c r="F401" s="12"/>
      <c r="G401" s="12"/>
      <c r="H401" s="12"/>
      <c r="I401" s="12"/>
      <c r="J401" s="12"/>
      <c r="K401" s="12"/>
    </row>
    <row r="402" spans="1:11" x14ac:dyDescent="0.2">
      <c r="A402" s="14"/>
      <c r="B402" s="13"/>
      <c r="C402" s="12"/>
      <c r="D402" s="12"/>
      <c r="E402" s="12"/>
      <c r="F402" s="12"/>
      <c r="G402" s="12"/>
      <c r="H402" s="12"/>
      <c r="I402" s="12"/>
      <c r="J402" s="12"/>
      <c r="K402" s="12"/>
    </row>
    <row r="403" spans="1:11" x14ac:dyDescent="0.2">
      <c r="A403" s="14"/>
      <c r="B403" s="13"/>
      <c r="C403" s="12"/>
      <c r="D403" s="12"/>
      <c r="E403" s="12"/>
      <c r="F403" s="12"/>
      <c r="G403" s="12"/>
      <c r="H403" s="12"/>
      <c r="I403" s="12"/>
      <c r="J403" s="12"/>
      <c r="K403" s="12"/>
    </row>
    <row r="404" spans="1:11" x14ac:dyDescent="0.2">
      <c r="A404" s="14"/>
      <c r="B404" s="13"/>
      <c r="C404" s="12"/>
      <c r="D404" s="12"/>
      <c r="E404" s="12"/>
      <c r="F404" s="12"/>
      <c r="G404" s="12"/>
      <c r="H404" s="12"/>
      <c r="I404" s="12"/>
      <c r="J404" s="12"/>
      <c r="K404" s="12"/>
    </row>
    <row r="405" spans="1:11" x14ac:dyDescent="0.2">
      <c r="A405" s="14"/>
      <c r="B405" s="13"/>
      <c r="C405" s="12"/>
      <c r="D405" s="12"/>
      <c r="E405" s="12"/>
      <c r="F405" s="12"/>
      <c r="G405" s="12"/>
      <c r="H405" s="12"/>
      <c r="I405" s="12"/>
      <c r="J405" s="12"/>
      <c r="K405" s="12"/>
    </row>
    <row r="406" spans="1:11" x14ac:dyDescent="0.2">
      <c r="A406" s="14"/>
      <c r="B406" s="13"/>
      <c r="C406" s="12"/>
      <c r="D406" s="12"/>
      <c r="E406" s="12"/>
      <c r="F406" s="12"/>
      <c r="G406" s="12"/>
      <c r="H406" s="12"/>
      <c r="I406" s="12"/>
      <c r="J406" s="12"/>
      <c r="K406" s="12"/>
    </row>
    <row r="407" spans="1:11" x14ac:dyDescent="0.2">
      <c r="A407" s="14"/>
      <c r="B407" s="13"/>
      <c r="C407" s="12"/>
      <c r="D407" s="12"/>
      <c r="E407" s="12"/>
      <c r="F407" s="12"/>
      <c r="G407" s="12"/>
      <c r="H407" s="12"/>
      <c r="I407" s="12"/>
      <c r="J407" s="12"/>
      <c r="K407" s="12"/>
    </row>
    <row r="408" spans="1:11" x14ac:dyDescent="0.2">
      <c r="A408" s="14"/>
      <c r="B408" s="13"/>
      <c r="C408" s="12"/>
      <c r="D408" s="12"/>
      <c r="E408" s="12"/>
      <c r="F408" s="12"/>
      <c r="G408" s="12"/>
      <c r="H408" s="12"/>
      <c r="I408" s="12"/>
      <c r="J408" s="12"/>
      <c r="K408" s="12"/>
    </row>
    <row r="409" spans="1:11" x14ac:dyDescent="0.2">
      <c r="A409" s="14"/>
      <c r="B409" s="13"/>
      <c r="C409" s="12"/>
      <c r="D409" s="12"/>
      <c r="E409" s="12"/>
      <c r="F409" s="12"/>
      <c r="G409" s="12"/>
      <c r="H409" s="12"/>
      <c r="I409" s="12"/>
      <c r="J409" s="12"/>
      <c r="K409" s="12"/>
    </row>
    <row r="410" spans="1:11" x14ac:dyDescent="0.2">
      <c r="A410" s="14"/>
      <c r="B410" s="13"/>
      <c r="C410" s="12"/>
      <c r="D410" s="12"/>
      <c r="E410" s="12"/>
      <c r="F410" s="12"/>
      <c r="G410" s="12"/>
      <c r="H410" s="12"/>
      <c r="I410" s="12"/>
      <c r="J410" s="12"/>
      <c r="K410" s="12"/>
    </row>
    <row r="411" spans="1:11" x14ac:dyDescent="0.2">
      <c r="A411" s="14"/>
      <c r="B411" s="13"/>
      <c r="C411" s="12"/>
      <c r="D411" s="12"/>
      <c r="E411" s="12"/>
      <c r="F411" s="12"/>
      <c r="G411" s="12"/>
      <c r="H411" s="12"/>
      <c r="I411" s="12"/>
      <c r="J411" s="12"/>
      <c r="K411" s="12"/>
    </row>
    <row r="412" spans="1:11" x14ac:dyDescent="0.2">
      <c r="A412" s="14"/>
      <c r="B412" s="13"/>
      <c r="C412" s="12"/>
      <c r="D412" s="12"/>
      <c r="E412" s="12"/>
      <c r="F412" s="12"/>
      <c r="G412" s="12"/>
      <c r="H412" s="12"/>
      <c r="I412" s="12"/>
      <c r="J412" s="12"/>
      <c r="K412" s="12"/>
    </row>
    <row r="413" spans="1:11" x14ac:dyDescent="0.2">
      <c r="A413" s="14"/>
      <c r="B413" s="13"/>
      <c r="C413" s="12"/>
      <c r="D413" s="12"/>
      <c r="E413" s="12"/>
      <c r="F413" s="12"/>
      <c r="G413" s="12"/>
      <c r="H413" s="12"/>
      <c r="I413" s="12"/>
      <c r="J413" s="12"/>
      <c r="K413" s="12"/>
    </row>
    <row r="414" spans="1:11" x14ac:dyDescent="0.2">
      <c r="A414" s="14"/>
      <c r="B414" s="13"/>
      <c r="C414" s="12"/>
      <c r="D414" s="12"/>
      <c r="E414" s="12"/>
      <c r="F414" s="12"/>
      <c r="G414" s="12"/>
      <c r="H414" s="12"/>
      <c r="I414" s="12"/>
      <c r="J414" s="12"/>
      <c r="K414" s="12"/>
    </row>
    <row r="415" spans="1:11" x14ac:dyDescent="0.2">
      <c r="A415" s="14"/>
      <c r="B415" s="13"/>
      <c r="C415" s="12"/>
      <c r="D415" s="12"/>
      <c r="E415" s="12"/>
      <c r="F415" s="12"/>
      <c r="G415" s="12"/>
      <c r="H415" s="12"/>
      <c r="I415" s="12"/>
      <c r="J415" s="12"/>
      <c r="K415" s="12"/>
    </row>
    <row r="416" spans="1:11" x14ac:dyDescent="0.2">
      <c r="A416" s="14"/>
      <c r="B416" s="13"/>
      <c r="C416" s="12"/>
      <c r="D416" s="12"/>
      <c r="E416" s="12"/>
      <c r="F416" s="12"/>
      <c r="G416" s="12"/>
      <c r="H416" s="12"/>
      <c r="I416" s="12"/>
      <c r="J416" s="12"/>
      <c r="K416" s="12"/>
    </row>
    <row r="417" spans="1:11" x14ac:dyDescent="0.2">
      <c r="A417" s="14"/>
      <c r="B417" s="13"/>
      <c r="C417" s="12"/>
      <c r="D417" s="12"/>
      <c r="E417" s="12"/>
      <c r="F417" s="12"/>
      <c r="G417" s="12"/>
      <c r="H417" s="12"/>
      <c r="I417" s="12"/>
      <c r="J417" s="12"/>
      <c r="K417" s="12"/>
    </row>
    <row r="418" spans="1:11" x14ac:dyDescent="0.2">
      <c r="A418" s="14"/>
      <c r="B418" s="13"/>
      <c r="C418" s="12"/>
      <c r="D418" s="12"/>
      <c r="E418" s="12"/>
      <c r="F418" s="12"/>
      <c r="G418" s="12"/>
      <c r="H418" s="12"/>
      <c r="I418" s="12"/>
      <c r="J418" s="12"/>
      <c r="K418" s="12"/>
    </row>
    <row r="419" spans="1:11" x14ac:dyDescent="0.2">
      <c r="A419" s="14"/>
      <c r="B419" s="13"/>
      <c r="C419" s="12"/>
      <c r="D419" s="12"/>
      <c r="E419" s="12"/>
      <c r="F419" s="12"/>
      <c r="G419" s="12"/>
      <c r="H419" s="12"/>
      <c r="I419" s="12"/>
      <c r="J419" s="12"/>
      <c r="K419" s="12"/>
    </row>
    <row r="420" spans="1:11" x14ac:dyDescent="0.2">
      <c r="A420" s="14"/>
      <c r="B420" s="13"/>
      <c r="C420" s="12"/>
      <c r="D420" s="12"/>
      <c r="E420" s="12"/>
      <c r="F420" s="12"/>
      <c r="G420" s="12"/>
      <c r="H420" s="12"/>
      <c r="I420" s="12"/>
      <c r="J420" s="12"/>
      <c r="K420" s="12"/>
    </row>
    <row r="421" spans="1:11" x14ac:dyDescent="0.2">
      <c r="A421" s="14"/>
      <c r="B421" s="13"/>
      <c r="C421" s="12"/>
      <c r="D421" s="12"/>
      <c r="E421" s="12"/>
      <c r="F421" s="12"/>
      <c r="G421" s="12"/>
      <c r="H421" s="12"/>
      <c r="I421" s="12"/>
      <c r="J421" s="12"/>
      <c r="K421" s="12"/>
    </row>
    <row r="422" spans="1:11" x14ac:dyDescent="0.2">
      <c r="A422" s="14"/>
      <c r="B422" s="13"/>
      <c r="C422" s="12"/>
      <c r="D422" s="12"/>
      <c r="E422" s="12"/>
      <c r="F422" s="12"/>
      <c r="G422" s="12"/>
      <c r="H422" s="12"/>
      <c r="I422" s="12"/>
      <c r="J422" s="12"/>
      <c r="K422" s="12"/>
    </row>
    <row r="423" spans="1:11" x14ac:dyDescent="0.2">
      <c r="A423" s="14"/>
      <c r="B423" s="13"/>
      <c r="C423" s="12"/>
      <c r="D423" s="12"/>
      <c r="E423" s="12"/>
      <c r="F423" s="12"/>
      <c r="G423" s="12"/>
      <c r="H423" s="12"/>
      <c r="I423" s="12"/>
      <c r="J423" s="12"/>
      <c r="K423" s="12"/>
    </row>
    <row r="424" spans="1:11" x14ac:dyDescent="0.2">
      <c r="A424" s="14"/>
      <c r="B424" s="13"/>
      <c r="C424" s="12"/>
      <c r="D424" s="12"/>
      <c r="E424" s="12"/>
      <c r="F424" s="12"/>
      <c r="G424" s="12"/>
      <c r="H424" s="12"/>
      <c r="I424" s="12"/>
      <c r="J424" s="12"/>
      <c r="K424" s="12"/>
    </row>
    <row r="425" spans="1:11" x14ac:dyDescent="0.2">
      <c r="A425" s="14"/>
      <c r="B425" s="13"/>
      <c r="C425" s="12"/>
      <c r="D425" s="12"/>
      <c r="E425" s="12"/>
      <c r="F425" s="12"/>
      <c r="G425" s="12"/>
      <c r="H425" s="12"/>
      <c r="I425" s="12"/>
      <c r="J425" s="12"/>
      <c r="K425" s="12"/>
    </row>
    <row r="426" spans="1:11" x14ac:dyDescent="0.2">
      <c r="A426" s="14"/>
      <c r="B426" s="13"/>
      <c r="C426" s="12"/>
      <c r="D426" s="12"/>
      <c r="E426" s="12"/>
      <c r="F426" s="12"/>
      <c r="G426" s="12"/>
      <c r="H426" s="12"/>
      <c r="I426" s="12"/>
      <c r="J426" s="12"/>
      <c r="K426" s="12"/>
    </row>
    <row r="427" spans="1:11" x14ac:dyDescent="0.2">
      <c r="A427" s="14"/>
      <c r="B427" s="13"/>
      <c r="C427" s="12"/>
      <c r="D427" s="12"/>
      <c r="E427" s="12"/>
      <c r="F427" s="12"/>
      <c r="G427" s="12"/>
      <c r="H427" s="12"/>
      <c r="I427" s="12"/>
      <c r="J427" s="12"/>
      <c r="K427" s="12"/>
    </row>
    <row r="428" spans="1:11" x14ac:dyDescent="0.2">
      <c r="A428" s="14"/>
      <c r="B428" s="13"/>
      <c r="C428" s="12"/>
      <c r="D428" s="12"/>
      <c r="E428" s="12"/>
      <c r="F428" s="12"/>
      <c r="G428" s="12"/>
      <c r="H428" s="12"/>
      <c r="I428" s="12"/>
      <c r="J428" s="12"/>
      <c r="K428" s="12"/>
    </row>
    <row r="429" spans="1:11" x14ac:dyDescent="0.2">
      <c r="A429" s="14"/>
      <c r="B429" s="13"/>
      <c r="C429" s="12"/>
      <c r="D429" s="12"/>
      <c r="E429" s="12"/>
      <c r="F429" s="12"/>
      <c r="G429" s="12"/>
      <c r="H429" s="12"/>
      <c r="I429" s="12"/>
      <c r="J429" s="12"/>
      <c r="K429" s="12"/>
    </row>
    <row r="430" spans="1:11" x14ac:dyDescent="0.2">
      <c r="A430" s="14"/>
      <c r="B430" s="13"/>
      <c r="C430" s="12"/>
      <c r="D430" s="12"/>
      <c r="E430" s="12"/>
      <c r="F430" s="12"/>
      <c r="G430" s="12"/>
      <c r="H430" s="12"/>
      <c r="I430" s="12"/>
      <c r="J430" s="12"/>
      <c r="K430" s="12"/>
    </row>
    <row r="431" spans="1:11" x14ac:dyDescent="0.2">
      <c r="A431" s="14"/>
      <c r="B431" s="13"/>
      <c r="C431" s="12"/>
      <c r="D431" s="12"/>
      <c r="E431" s="12"/>
      <c r="F431" s="12"/>
      <c r="G431" s="12"/>
      <c r="H431" s="12"/>
      <c r="I431" s="12"/>
      <c r="J431" s="12"/>
      <c r="K431" s="12"/>
    </row>
    <row r="432" spans="1:11" x14ac:dyDescent="0.2">
      <c r="A432" s="14"/>
      <c r="B432" s="13"/>
      <c r="C432" s="12"/>
      <c r="D432" s="12"/>
      <c r="E432" s="12"/>
      <c r="F432" s="12"/>
      <c r="G432" s="12"/>
      <c r="H432" s="12"/>
      <c r="I432" s="12"/>
      <c r="J432" s="12"/>
      <c r="K432" s="12"/>
    </row>
    <row r="433" spans="1:11" x14ac:dyDescent="0.2">
      <c r="A433" s="14"/>
      <c r="B433" s="13"/>
      <c r="C433" s="12"/>
      <c r="D433" s="12"/>
      <c r="E433" s="12"/>
      <c r="F433" s="12"/>
      <c r="G433" s="12"/>
      <c r="H433" s="12"/>
      <c r="I433" s="12"/>
      <c r="J433" s="12"/>
      <c r="K433" s="12"/>
    </row>
    <row r="434" spans="1:11" x14ac:dyDescent="0.2">
      <c r="A434" s="14"/>
      <c r="B434" s="13"/>
      <c r="C434" s="12"/>
      <c r="D434" s="12"/>
      <c r="E434" s="12"/>
      <c r="F434" s="12"/>
      <c r="G434" s="12"/>
      <c r="H434" s="12"/>
      <c r="I434" s="12"/>
      <c r="J434" s="12"/>
      <c r="K434" s="12"/>
    </row>
    <row r="435" spans="1:11" x14ac:dyDescent="0.2">
      <c r="A435" s="14"/>
      <c r="B435" s="13"/>
      <c r="C435" s="12"/>
      <c r="D435" s="12"/>
      <c r="E435" s="12"/>
      <c r="F435" s="12"/>
      <c r="G435" s="12"/>
      <c r="H435" s="12"/>
      <c r="I435" s="12"/>
      <c r="J435" s="12"/>
      <c r="K435" s="12"/>
    </row>
    <row r="436" spans="1:11" x14ac:dyDescent="0.2">
      <c r="A436" s="14"/>
      <c r="B436" s="13"/>
      <c r="C436" s="12"/>
      <c r="D436" s="12"/>
      <c r="E436" s="12"/>
      <c r="F436" s="12"/>
      <c r="G436" s="12"/>
      <c r="H436" s="12"/>
      <c r="I436" s="12"/>
      <c r="J436" s="12"/>
      <c r="K436" s="12"/>
    </row>
    <row r="437" spans="1:11" x14ac:dyDescent="0.2">
      <c r="A437" s="14"/>
      <c r="B437" s="13"/>
      <c r="C437" s="12"/>
      <c r="D437" s="12"/>
      <c r="E437" s="12"/>
      <c r="F437" s="12"/>
      <c r="G437" s="12"/>
      <c r="H437" s="12"/>
      <c r="I437" s="12"/>
      <c r="J437" s="12"/>
      <c r="K437" s="12"/>
    </row>
    <row r="438" spans="1:11" x14ac:dyDescent="0.2">
      <c r="A438" s="14"/>
      <c r="B438" s="13"/>
      <c r="C438" s="12"/>
      <c r="D438" s="12"/>
      <c r="E438" s="12"/>
      <c r="F438" s="12"/>
      <c r="G438" s="12"/>
      <c r="H438" s="12"/>
      <c r="I438" s="12"/>
      <c r="J438" s="12"/>
      <c r="K438" s="12"/>
    </row>
    <row r="439" spans="1:11" x14ac:dyDescent="0.2">
      <c r="A439" s="14"/>
      <c r="B439" s="13"/>
      <c r="C439" s="12"/>
      <c r="D439" s="12"/>
      <c r="E439" s="12"/>
      <c r="F439" s="12"/>
      <c r="G439" s="12"/>
      <c r="H439" s="12"/>
      <c r="I439" s="12"/>
      <c r="J439" s="12"/>
      <c r="K439" s="12"/>
    </row>
    <row r="440" spans="1:11" x14ac:dyDescent="0.2">
      <c r="A440" s="14"/>
      <c r="B440" s="13"/>
      <c r="C440" s="12"/>
      <c r="D440" s="12"/>
      <c r="E440" s="12"/>
      <c r="F440" s="12"/>
      <c r="G440" s="12"/>
      <c r="H440" s="12"/>
      <c r="I440" s="12"/>
      <c r="J440" s="12"/>
      <c r="K440" s="12"/>
    </row>
    <row r="441" spans="1:11" x14ac:dyDescent="0.2">
      <c r="A441" s="14"/>
      <c r="B441" s="13"/>
      <c r="C441" s="12"/>
      <c r="D441" s="12"/>
      <c r="E441" s="12"/>
      <c r="F441" s="12"/>
      <c r="G441" s="12"/>
      <c r="H441" s="12"/>
      <c r="I441" s="12"/>
      <c r="J441" s="12"/>
      <c r="K441" s="12"/>
    </row>
    <row r="442" spans="1:11" x14ac:dyDescent="0.2">
      <c r="A442" s="14"/>
      <c r="B442" s="13"/>
      <c r="C442" s="12"/>
      <c r="D442" s="12"/>
      <c r="E442" s="12"/>
      <c r="F442" s="12"/>
      <c r="G442" s="12"/>
      <c r="H442" s="12"/>
      <c r="I442" s="12"/>
      <c r="J442" s="12"/>
      <c r="K442" s="12"/>
    </row>
    <row r="443" spans="1:11" x14ac:dyDescent="0.2">
      <c r="A443" s="14"/>
      <c r="B443" s="13"/>
      <c r="C443" s="12"/>
      <c r="D443" s="12"/>
      <c r="E443" s="12"/>
      <c r="F443" s="12"/>
      <c r="G443" s="12"/>
      <c r="H443" s="12"/>
      <c r="I443" s="12"/>
      <c r="J443" s="12"/>
      <c r="K443" s="12"/>
    </row>
    <row r="444" spans="1:11" x14ac:dyDescent="0.2">
      <c r="A444" s="14"/>
      <c r="B444" s="13"/>
      <c r="C444" s="12"/>
      <c r="D444" s="12"/>
      <c r="E444" s="12"/>
      <c r="F444" s="12"/>
      <c r="G444" s="12"/>
      <c r="H444" s="12"/>
      <c r="I444" s="12"/>
      <c r="J444" s="12"/>
      <c r="K444" s="12"/>
    </row>
    <row r="445" spans="1:11" x14ac:dyDescent="0.2">
      <c r="A445" s="14"/>
      <c r="B445" s="13"/>
      <c r="C445" s="12"/>
      <c r="D445" s="12"/>
      <c r="E445" s="12"/>
      <c r="F445" s="12"/>
      <c r="G445" s="12"/>
      <c r="H445" s="12"/>
      <c r="I445" s="12"/>
      <c r="J445" s="12"/>
      <c r="K445" s="12"/>
    </row>
    <row r="446" spans="1:11" x14ac:dyDescent="0.2">
      <c r="A446" s="14"/>
      <c r="B446" s="13"/>
      <c r="C446" s="12"/>
      <c r="D446" s="12"/>
      <c r="E446" s="12"/>
      <c r="F446" s="12"/>
      <c r="G446" s="12"/>
      <c r="H446" s="12"/>
      <c r="I446" s="12"/>
      <c r="J446" s="12"/>
      <c r="K446" s="12"/>
    </row>
    <row r="447" spans="1:11" x14ac:dyDescent="0.2">
      <c r="A447" s="14"/>
      <c r="B447" s="13"/>
      <c r="C447" s="12"/>
      <c r="D447" s="12"/>
      <c r="E447" s="12"/>
      <c r="F447" s="12"/>
      <c r="G447" s="12"/>
      <c r="H447" s="12"/>
      <c r="I447" s="12"/>
      <c r="J447" s="12"/>
      <c r="K447" s="12"/>
    </row>
    <row r="448" spans="1:11" x14ac:dyDescent="0.2">
      <c r="A448" s="14"/>
      <c r="B448" s="13"/>
      <c r="C448" s="12"/>
      <c r="D448" s="12"/>
      <c r="E448" s="12"/>
      <c r="F448" s="12"/>
      <c r="G448" s="12"/>
      <c r="H448" s="12"/>
      <c r="I448" s="12"/>
      <c r="J448" s="12"/>
      <c r="K448" s="12"/>
    </row>
    <row r="449" spans="1:11" x14ac:dyDescent="0.2">
      <c r="A449" s="14"/>
      <c r="B449" s="13"/>
      <c r="C449" s="12"/>
      <c r="D449" s="12"/>
      <c r="E449" s="12"/>
      <c r="F449" s="12"/>
      <c r="G449" s="12"/>
      <c r="H449" s="12"/>
      <c r="I449" s="12"/>
      <c r="J449" s="12"/>
      <c r="K449" s="12"/>
    </row>
    <row r="450" spans="1:11" x14ac:dyDescent="0.2">
      <c r="A450" s="14"/>
      <c r="B450" s="13"/>
      <c r="C450" s="12"/>
      <c r="D450" s="12"/>
      <c r="E450" s="12"/>
      <c r="F450" s="12"/>
      <c r="G450" s="12"/>
      <c r="H450" s="12"/>
      <c r="I450" s="12"/>
      <c r="J450" s="12"/>
      <c r="K450" s="12"/>
    </row>
    <row r="451" spans="1:11" x14ac:dyDescent="0.2">
      <c r="A451" s="14"/>
      <c r="B451" s="13"/>
      <c r="C451" s="12"/>
      <c r="D451" s="12"/>
      <c r="E451" s="12"/>
      <c r="F451" s="12"/>
      <c r="G451" s="12"/>
      <c r="H451" s="12"/>
      <c r="I451" s="12"/>
      <c r="J451" s="12"/>
      <c r="K451" s="12"/>
    </row>
    <row r="452" spans="1:11" x14ac:dyDescent="0.2">
      <c r="A452" s="14"/>
      <c r="B452" s="13"/>
      <c r="C452" s="12"/>
      <c r="D452" s="12"/>
      <c r="E452" s="12"/>
      <c r="F452" s="12"/>
      <c r="G452" s="12"/>
      <c r="H452" s="12"/>
      <c r="I452" s="12"/>
      <c r="J452" s="12"/>
      <c r="K452" s="12"/>
    </row>
    <row r="453" spans="1:11" x14ac:dyDescent="0.2">
      <c r="A453" s="14"/>
      <c r="B453" s="13"/>
      <c r="C453" s="12"/>
      <c r="D453" s="12"/>
      <c r="E453" s="12"/>
      <c r="F453" s="12"/>
      <c r="G453" s="12"/>
      <c r="H453" s="12"/>
      <c r="I453" s="12"/>
      <c r="J453" s="12"/>
      <c r="K453" s="12"/>
    </row>
    <row r="454" spans="1:11" x14ac:dyDescent="0.2">
      <c r="A454" s="14"/>
      <c r="B454" s="13"/>
      <c r="C454" s="12"/>
      <c r="D454" s="12"/>
      <c r="E454" s="12"/>
      <c r="F454" s="12"/>
      <c r="G454" s="12"/>
      <c r="H454" s="12"/>
      <c r="I454" s="12"/>
      <c r="J454" s="12"/>
      <c r="K454" s="12"/>
    </row>
    <row r="455" spans="1:11" x14ac:dyDescent="0.2">
      <c r="A455" s="14"/>
      <c r="B455" s="13"/>
      <c r="C455" s="12"/>
      <c r="D455" s="12"/>
      <c r="E455" s="12"/>
      <c r="F455" s="12"/>
      <c r="G455" s="12"/>
      <c r="H455" s="12"/>
      <c r="I455" s="12"/>
      <c r="J455" s="12"/>
      <c r="K455" s="12"/>
    </row>
    <row r="456" spans="1:11" x14ac:dyDescent="0.2">
      <c r="A456" s="14"/>
      <c r="B456" s="13"/>
      <c r="C456" s="12"/>
      <c r="D456" s="12"/>
      <c r="E456" s="12"/>
      <c r="F456" s="12"/>
      <c r="G456" s="12"/>
      <c r="H456" s="12"/>
      <c r="I456" s="12"/>
      <c r="J456" s="12"/>
      <c r="K456" s="12"/>
    </row>
    <row r="457" spans="1:11" x14ac:dyDescent="0.2">
      <c r="A457" s="14"/>
      <c r="B457" s="13"/>
      <c r="C457" s="12"/>
      <c r="D457" s="12"/>
      <c r="E457" s="12"/>
      <c r="F457" s="12"/>
      <c r="G457" s="12"/>
      <c r="H457" s="12"/>
      <c r="I457" s="12"/>
      <c r="J457" s="12"/>
      <c r="K457" s="12"/>
    </row>
    <row r="458" spans="1:11" x14ac:dyDescent="0.2">
      <c r="A458" s="14"/>
      <c r="B458" s="13"/>
      <c r="C458" s="12"/>
      <c r="D458" s="12"/>
      <c r="E458" s="12"/>
      <c r="F458" s="12"/>
      <c r="G458" s="12"/>
      <c r="H458" s="12"/>
      <c r="I458" s="12"/>
      <c r="J458" s="12"/>
      <c r="K458" s="12"/>
    </row>
    <row r="459" spans="1:11" x14ac:dyDescent="0.2">
      <c r="A459" s="14"/>
      <c r="B459" s="13"/>
      <c r="C459" s="12"/>
      <c r="D459" s="12"/>
      <c r="E459" s="12"/>
      <c r="F459" s="12"/>
      <c r="G459" s="12"/>
      <c r="H459" s="12"/>
      <c r="I459" s="12"/>
      <c r="J459" s="12"/>
      <c r="K459" s="12"/>
    </row>
    <row r="460" spans="1:11" x14ac:dyDescent="0.2">
      <c r="A460" s="14"/>
      <c r="B460" s="13"/>
      <c r="C460" s="12"/>
      <c r="D460" s="12"/>
      <c r="E460" s="12"/>
      <c r="F460" s="12"/>
      <c r="G460" s="12"/>
      <c r="H460" s="12"/>
      <c r="I460" s="12"/>
      <c r="J460" s="12"/>
      <c r="K460" s="12"/>
    </row>
    <row r="461" spans="1:11" x14ac:dyDescent="0.2">
      <c r="A461" s="14"/>
      <c r="B461" s="13"/>
      <c r="C461" s="12"/>
      <c r="D461" s="12"/>
      <c r="E461" s="12"/>
      <c r="F461" s="12"/>
      <c r="G461" s="12"/>
      <c r="H461" s="12"/>
      <c r="I461" s="12"/>
      <c r="J461" s="12"/>
      <c r="K461" s="12"/>
    </row>
    <row r="462" spans="1:11" x14ac:dyDescent="0.2">
      <c r="A462" s="14"/>
      <c r="B462" s="13"/>
      <c r="C462" s="12"/>
      <c r="D462" s="12"/>
      <c r="E462" s="12"/>
      <c r="F462" s="12"/>
      <c r="G462" s="12"/>
      <c r="H462" s="12"/>
      <c r="I462" s="12"/>
      <c r="J462" s="12"/>
      <c r="K462" s="12"/>
    </row>
    <row r="463" spans="1:11" x14ac:dyDescent="0.2">
      <c r="A463" s="14"/>
      <c r="B463" s="13"/>
      <c r="C463" s="12"/>
      <c r="D463" s="12"/>
      <c r="E463" s="12"/>
      <c r="F463" s="12"/>
      <c r="G463" s="12"/>
      <c r="H463" s="12"/>
      <c r="I463" s="12"/>
      <c r="J463" s="12"/>
      <c r="K463" s="12"/>
    </row>
    <row r="464" spans="1:11" x14ac:dyDescent="0.2">
      <c r="A464" s="14"/>
      <c r="B464" s="13"/>
      <c r="C464" s="12"/>
      <c r="D464" s="12"/>
      <c r="E464" s="12"/>
      <c r="F464" s="12"/>
      <c r="G464" s="12"/>
      <c r="H464" s="12"/>
      <c r="I464" s="12"/>
      <c r="J464" s="12"/>
      <c r="K464" s="12"/>
    </row>
    <row r="465" spans="1:11" x14ac:dyDescent="0.2">
      <c r="A465" s="14"/>
      <c r="B465" s="13"/>
      <c r="C465" s="12"/>
      <c r="D465" s="12"/>
      <c r="E465" s="12"/>
      <c r="F465" s="12"/>
      <c r="G465" s="12"/>
      <c r="H465" s="12"/>
      <c r="I465" s="12"/>
      <c r="J465" s="12"/>
      <c r="K465" s="12"/>
    </row>
    <row r="466" spans="1:11" x14ac:dyDescent="0.2">
      <c r="A466" s="14"/>
      <c r="B466" s="13"/>
      <c r="C466" s="12"/>
      <c r="D466" s="12"/>
      <c r="E466" s="12"/>
      <c r="F466" s="12"/>
      <c r="G466" s="12"/>
      <c r="H466" s="12"/>
      <c r="I466" s="12"/>
      <c r="J466" s="12"/>
      <c r="K466" s="12"/>
    </row>
    <row r="467" spans="1:11" x14ac:dyDescent="0.2">
      <c r="A467" s="14"/>
      <c r="B467" s="13"/>
      <c r="C467" s="12"/>
      <c r="D467" s="12"/>
      <c r="E467" s="12"/>
      <c r="F467" s="12"/>
      <c r="G467" s="12"/>
      <c r="H467" s="12"/>
      <c r="I467" s="12"/>
      <c r="J467" s="12"/>
      <c r="K467" s="12"/>
    </row>
    <row r="468" spans="1:11" x14ac:dyDescent="0.2">
      <c r="A468" s="14"/>
      <c r="B468" s="13"/>
      <c r="C468" s="12"/>
      <c r="D468" s="12"/>
      <c r="E468" s="12"/>
      <c r="F468" s="12"/>
      <c r="G468" s="12"/>
      <c r="H468" s="12"/>
      <c r="I468" s="12"/>
      <c r="J468" s="12"/>
      <c r="K468" s="12"/>
    </row>
    <row r="469" spans="1:11" x14ac:dyDescent="0.2">
      <c r="A469" s="14"/>
      <c r="B469" s="13"/>
      <c r="C469" s="12"/>
      <c r="D469" s="12"/>
      <c r="E469" s="12"/>
      <c r="F469" s="12"/>
      <c r="G469" s="12"/>
      <c r="H469" s="12"/>
      <c r="I469" s="12"/>
      <c r="J469" s="12"/>
      <c r="K469" s="12"/>
    </row>
    <row r="470" spans="1:11" x14ac:dyDescent="0.2">
      <c r="A470" s="14"/>
      <c r="B470" s="13"/>
      <c r="C470" s="12"/>
      <c r="D470" s="12"/>
      <c r="E470" s="12"/>
      <c r="F470" s="12"/>
      <c r="G470" s="12"/>
      <c r="H470" s="12"/>
      <c r="I470" s="12"/>
      <c r="J470" s="12"/>
      <c r="K470" s="12"/>
    </row>
    <row r="471" spans="1:11" x14ac:dyDescent="0.2">
      <c r="A471" s="14"/>
      <c r="B471" s="13"/>
      <c r="C471" s="12"/>
      <c r="D471" s="12"/>
      <c r="E471" s="12"/>
      <c r="F471" s="12"/>
      <c r="G471" s="12"/>
      <c r="H471" s="12"/>
      <c r="I471" s="12"/>
      <c r="J471" s="12"/>
      <c r="K471" s="12"/>
    </row>
    <row r="472" spans="1:11" x14ac:dyDescent="0.2">
      <c r="A472" s="14"/>
      <c r="B472" s="13"/>
      <c r="C472" s="12"/>
      <c r="D472" s="12"/>
      <c r="E472" s="12"/>
      <c r="F472" s="12"/>
      <c r="G472" s="12"/>
      <c r="H472" s="12"/>
      <c r="I472" s="12"/>
      <c r="J472" s="12"/>
      <c r="K472" s="12"/>
    </row>
    <row r="473" spans="1:11" x14ac:dyDescent="0.2">
      <c r="A473" s="14"/>
      <c r="B473" s="13"/>
      <c r="C473" s="12"/>
      <c r="D473" s="12"/>
      <c r="E473" s="12"/>
      <c r="F473" s="12"/>
      <c r="G473" s="12"/>
      <c r="H473" s="12"/>
      <c r="I473" s="12"/>
      <c r="J473" s="12"/>
      <c r="K473" s="12"/>
    </row>
    <row r="474" spans="1:11" x14ac:dyDescent="0.2">
      <c r="A474" s="14"/>
      <c r="B474" s="13"/>
      <c r="C474" s="12"/>
      <c r="D474" s="12"/>
      <c r="E474" s="12"/>
      <c r="F474" s="12"/>
      <c r="G474" s="12"/>
      <c r="H474" s="12"/>
      <c r="I474" s="12"/>
      <c r="J474" s="12"/>
      <c r="K474" s="12"/>
    </row>
    <row r="475" spans="1:11" x14ac:dyDescent="0.2">
      <c r="A475" s="14"/>
      <c r="B475" s="13"/>
      <c r="C475" s="12"/>
      <c r="D475" s="12"/>
      <c r="E475" s="12"/>
      <c r="F475" s="12"/>
      <c r="G475" s="12"/>
      <c r="H475" s="12"/>
      <c r="I475" s="12"/>
      <c r="J475" s="12"/>
      <c r="K475" s="12"/>
    </row>
    <row r="476" spans="1:11" x14ac:dyDescent="0.2">
      <c r="A476" s="14"/>
      <c r="B476" s="13"/>
      <c r="C476" s="12"/>
      <c r="D476" s="12"/>
      <c r="E476" s="12"/>
      <c r="F476" s="12"/>
      <c r="G476" s="12"/>
      <c r="H476" s="12"/>
      <c r="I476" s="12"/>
      <c r="J476" s="12"/>
      <c r="K476" s="12"/>
    </row>
    <row r="477" spans="1:11" x14ac:dyDescent="0.2">
      <c r="A477" s="14"/>
      <c r="B477" s="13"/>
      <c r="C477" s="12"/>
      <c r="D477" s="12"/>
      <c r="E477" s="12"/>
      <c r="F477" s="12"/>
      <c r="G477" s="12"/>
      <c r="H477" s="12"/>
      <c r="I477" s="12"/>
      <c r="J477" s="12"/>
      <c r="K477" s="12"/>
    </row>
    <row r="478" spans="1:11" x14ac:dyDescent="0.2">
      <c r="A478" s="14"/>
      <c r="B478" s="13"/>
      <c r="C478" s="12"/>
      <c r="D478" s="12"/>
      <c r="E478" s="12"/>
      <c r="F478" s="12"/>
      <c r="G478" s="12"/>
      <c r="H478" s="12"/>
      <c r="I478" s="12"/>
      <c r="J478" s="12"/>
      <c r="K478" s="12"/>
    </row>
    <row r="479" spans="1:11" x14ac:dyDescent="0.2">
      <c r="A479" s="14"/>
      <c r="B479" s="13"/>
      <c r="C479" s="12"/>
      <c r="D479" s="12"/>
      <c r="E479" s="12"/>
      <c r="F479" s="12"/>
      <c r="G479" s="12"/>
      <c r="H479" s="12"/>
      <c r="I479" s="12"/>
      <c r="J479" s="12"/>
      <c r="K479" s="12"/>
    </row>
    <row r="480" spans="1:11" x14ac:dyDescent="0.2">
      <c r="A480" s="14"/>
      <c r="B480" s="13"/>
      <c r="C480" s="12"/>
      <c r="D480" s="12"/>
      <c r="E480" s="12"/>
      <c r="F480" s="12"/>
      <c r="G480" s="12"/>
      <c r="H480" s="12"/>
      <c r="I480" s="12"/>
      <c r="J480" s="12"/>
      <c r="K480" s="12"/>
    </row>
    <row r="481" spans="1:11" x14ac:dyDescent="0.2">
      <c r="A481" s="14"/>
      <c r="B481" s="13"/>
      <c r="C481" s="12"/>
      <c r="D481" s="12"/>
      <c r="E481" s="12"/>
      <c r="F481" s="12"/>
      <c r="G481" s="12"/>
      <c r="H481" s="12"/>
      <c r="I481" s="12"/>
      <c r="J481" s="12"/>
      <c r="K481" s="12"/>
    </row>
    <row r="482" spans="1:11" x14ac:dyDescent="0.2">
      <c r="A482" s="14"/>
      <c r="B482" s="13"/>
      <c r="C482" s="12"/>
      <c r="D482" s="12"/>
      <c r="E482" s="12"/>
      <c r="F482" s="12"/>
      <c r="G482" s="12"/>
      <c r="H482" s="12"/>
      <c r="I482" s="12"/>
      <c r="J482" s="12"/>
      <c r="K482" s="12"/>
    </row>
    <row r="483" spans="1:11" x14ac:dyDescent="0.2">
      <c r="A483" s="14"/>
      <c r="B483" s="13"/>
      <c r="C483" s="12"/>
      <c r="D483" s="12"/>
      <c r="E483" s="12"/>
      <c r="F483" s="12"/>
      <c r="G483" s="12"/>
      <c r="H483" s="12"/>
      <c r="I483" s="12"/>
      <c r="J483" s="12"/>
      <c r="K483" s="12"/>
    </row>
    <row r="484" spans="1:11" x14ac:dyDescent="0.2">
      <c r="A484" s="14"/>
      <c r="B484" s="13"/>
      <c r="C484" s="12"/>
      <c r="D484" s="12"/>
      <c r="E484" s="12"/>
      <c r="F484" s="12"/>
      <c r="G484" s="12"/>
      <c r="H484" s="12"/>
      <c r="I484" s="12"/>
      <c r="J484" s="12"/>
      <c r="K484" s="12"/>
    </row>
    <row r="485" spans="1:11" x14ac:dyDescent="0.2">
      <c r="A485" s="14"/>
      <c r="B485" s="13"/>
      <c r="C485" s="12"/>
      <c r="D485" s="12"/>
      <c r="E485" s="12"/>
      <c r="F485" s="12"/>
      <c r="G485" s="12"/>
      <c r="H485" s="12"/>
      <c r="I485" s="12"/>
      <c r="J485" s="12"/>
      <c r="K485" s="12"/>
    </row>
    <row r="486" spans="1:11" x14ac:dyDescent="0.2">
      <c r="A486" s="14"/>
      <c r="B486" s="13"/>
      <c r="C486" s="12"/>
      <c r="D486" s="12"/>
      <c r="E486" s="12"/>
      <c r="F486" s="12"/>
      <c r="G486" s="12"/>
      <c r="H486" s="12"/>
      <c r="I486" s="12"/>
      <c r="J486" s="12"/>
      <c r="K486" s="12"/>
    </row>
    <row r="487" spans="1:11" x14ac:dyDescent="0.2">
      <c r="A487" s="14"/>
      <c r="B487" s="13"/>
      <c r="C487" s="12"/>
      <c r="D487" s="12"/>
      <c r="E487" s="12"/>
      <c r="F487" s="12"/>
      <c r="G487" s="12"/>
      <c r="H487" s="12"/>
      <c r="I487" s="12"/>
      <c r="J487" s="12"/>
      <c r="K487" s="12"/>
    </row>
    <row r="488" spans="1:11" x14ac:dyDescent="0.2">
      <c r="A488" s="14"/>
      <c r="B488" s="13"/>
      <c r="C488" s="12"/>
      <c r="D488" s="12"/>
      <c r="E488" s="12"/>
      <c r="F488" s="12"/>
      <c r="G488" s="12"/>
      <c r="H488" s="12"/>
      <c r="I488" s="12"/>
      <c r="J488" s="12"/>
      <c r="K488" s="12"/>
    </row>
    <row r="489" spans="1:11" x14ac:dyDescent="0.2">
      <c r="A489" s="14"/>
      <c r="B489" s="13"/>
      <c r="C489" s="12"/>
      <c r="D489" s="12"/>
      <c r="E489" s="12"/>
      <c r="F489" s="12"/>
      <c r="G489" s="12"/>
      <c r="H489" s="12"/>
      <c r="I489" s="12"/>
      <c r="J489" s="12"/>
      <c r="K489" s="12"/>
    </row>
    <row r="490" spans="1:11" x14ac:dyDescent="0.2">
      <c r="A490" s="14"/>
      <c r="B490" s="13"/>
      <c r="C490" s="12"/>
      <c r="D490" s="12"/>
      <c r="E490" s="12"/>
      <c r="F490" s="12"/>
      <c r="G490" s="12"/>
      <c r="H490" s="12"/>
      <c r="I490" s="12"/>
      <c r="J490" s="12"/>
      <c r="K490" s="12"/>
    </row>
    <row r="491" spans="1:11" x14ac:dyDescent="0.2">
      <c r="A491" s="14"/>
      <c r="B491" s="13"/>
      <c r="C491" s="12"/>
      <c r="D491" s="12"/>
      <c r="E491" s="12"/>
      <c r="F491" s="12"/>
      <c r="G491" s="12"/>
      <c r="H491" s="12"/>
      <c r="I491" s="12"/>
      <c r="J491" s="12"/>
      <c r="K491" s="12"/>
    </row>
    <row r="492" spans="1:11" x14ac:dyDescent="0.2">
      <c r="A492" s="14"/>
      <c r="B492" s="13"/>
      <c r="C492" s="12"/>
      <c r="D492" s="12"/>
      <c r="E492" s="12"/>
      <c r="F492" s="12"/>
      <c r="G492" s="12"/>
      <c r="H492" s="12"/>
      <c r="I492" s="12"/>
      <c r="J492" s="12"/>
      <c r="K492" s="12"/>
    </row>
    <row r="493" spans="1:11" x14ac:dyDescent="0.2">
      <c r="A493" s="14"/>
      <c r="B493" s="13"/>
      <c r="C493" s="12"/>
      <c r="D493" s="12"/>
      <c r="E493" s="12"/>
      <c r="F493" s="12"/>
      <c r="G493" s="12"/>
      <c r="H493" s="12"/>
      <c r="I493" s="12"/>
      <c r="J493" s="12"/>
      <c r="K493" s="12"/>
    </row>
    <row r="494" spans="1:11" x14ac:dyDescent="0.2">
      <c r="A494" s="14"/>
      <c r="B494" s="13"/>
      <c r="C494" s="12"/>
      <c r="D494" s="12"/>
      <c r="E494" s="12"/>
      <c r="F494" s="12"/>
      <c r="G494" s="12"/>
      <c r="H494" s="12"/>
      <c r="I494" s="12"/>
      <c r="J494" s="12"/>
      <c r="K494" s="12"/>
    </row>
    <row r="495" spans="1:11" x14ac:dyDescent="0.2">
      <c r="A495" s="14"/>
      <c r="B495" s="13"/>
      <c r="C495" s="12"/>
      <c r="D495" s="12"/>
      <c r="E495" s="12"/>
      <c r="F495" s="12"/>
      <c r="G495" s="12"/>
      <c r="H495" s="12"/>
      <c r="I495" s="12"/>
      <c r="J495" s="12"/>
      <c r="K495" s="12"/>
    </row>
    <row r="496" spans="1:11" x14ac:dyDescent="0.2">
      <c r="A496" s="14"/>
      <c r="B496" s="13"/>
      <c r="C496" s="12"/>
      <c r="D496" s="12"/>
      <c r="E496" s="12"/>
      <c r="F496" s="12"/>
      <c r="G496" s="12"/>
      <c r="H496" s="12"/>
      <c r="I496" s="12"/>
      <c r="J496" s="12"/>
      <c r="K496" s="12"/>
    </row>
    <row r="497" spans="1:11" x14ac:dyDescent="0.2">
      <c r="A497" s="14"/>
      <c r="B497" s="13"/>
      <c r="C497" s="12"/>
      <c r="D497" s="12"/>
      <c r="E497" s="12"/>
      <c r="F497" s="12"/>
      <c r="G497" s="12"/>
      <c r="H497" s="12"/>
      <c r="I497" s="12"/>
      <c r="J497" s="12"/>
      <c r="K497" s="12"/>
    </row>
    <row r="498" spans="1:11" x14ac:dyDescent="0.2">
      <c r="A498" s="14"/>
      <c r="B498" s="13"/>
      <c r="C498" s="12"/>
      <c r="D498" s="12"/>
      <c r="E498" s="12"/>
      <c r="F498" s="12"/>
      <c r="G498" s="12"/>
      <c r="H498" s="12"/>
      <c r="I498" s="12"/>
      <c r="J498" s="12"/>
      <c r="K498" s="12"/>
    </row>
    <row r="499" spans="1:11" x14ac:dyDescent="0.2">
      <c r="A499" s="14"/>
      <c r="B499" s="13"/>
      <c r="C499" s="12"/>
      <c r="D499" s="12"/>
      <c r="E499" s="12"/>
      <c r="F499" s="12"/>
      <c r="G499" s="12"/>
      <c r="H499" s="12"/>
      <c r="I499" s="12"/>
      <c r="J499" s="12"/>
      <c r="K499" s="12"/>
    </row>
    <row r="500" spans="1:11" x14ac:dyDescent="0.2">
      <c r="A500" s="14"/>
      <c r="B500" s="13"/>
      <c r="C500" s="12"/>
      <c r="D500" s="12"/>
      <c r="E500" s="12"/>
      <c r="F500" s="12"/>
      <c r="G500" s="12"/>
      <c r="H500" s="12"/>
      <c r="I500" s="12"/>
      <c r="J500" s="12"/>
      <c r="K500" s="12"/>
    </row>
    <row r="501" spans="1:11" x14ac:dyDescent="0.2">
      <c r="A501" s="14"/>
      <c r="B501" s="13"/>
      <c r="C501" s="12"/>
      <c r="D501" s="12"/>
      <c r="E501" s="12"/>
      <c r="F501" s="12"/>
      <c r="G501" s="12"/>
      <c r="H501" s="12"/>
      <c r="I501" s="12"/>
      <c r="J501" s="12"/>
      <c r="K501" s="12"/>
    </row>
    <row r="502" spans="1:11" x14ac:dyDescent="0.2">
      <c r="A502" s="14"/>
      <c r="B502" s="13"/>
      <c r="C502" s="12"/>
      <c r="D502" s="12"/>
      <c r="E502" s="12"/>
      <c r="F502" s="12"/>
      <c r="G502" s="12"/>
      <c r="H502" s="12"/>
      <c r="I502" s="12"/>
      <c r="J502" s="12"/>
      <c r="K502" s="12"/>
    </row>
    <row r="503" spans="1:11" x14ac:dyDescent="0.2">
      <c r="A503" s="14"/>
      <c r="B503" s="13"/>
      <c r="C503" s="12"/>
      <c r="D503" s="12"/>
      <c r="E503" s="12"/>
      <c r="F503" s="12"/>
      <c r="G503" s="12"/>
      <c r="H503" s="12"/>
      <c r="I503" s="12"/>
      <c r="J503" s="12"/>
      <c r="K503" s="12"/>
    </row>
    <row r="504" spans="1:11" x14ac:dyDescent="0.2">
      <c r="A504" s="14"/>
      <c r="B504" s="13"/>
      <c r="C504" s="12"/>
      <c r="D504" s="12"/>
      <c r="E504" s="12"/>
      <c r="F504" s="12"/>
      <c r="G504" s="12"/>
      <c r="H504" s="12"/>
      <c r="I504" s="12"/>
      <c r="J504" s="12"/>
      <c r="K504" s="12"/>
    </row>
    <row r="505" spans="1:11" x14ac:dyDescent="0.2">
      <c r="A505" s="14"/>
      <c r="B505" s="13"/>
      <c r="C505" s="12"/>
      <c r="D505" s="12"/>
      <c r="E505" s="12"/>
      <c r="F505" s="12"/>
      <c r="G505" s="12"/>
      <c r="H505" s="12"/>
      <c r="I505" s="12"/>
      <c r="J505" s="12"/>
      <c r="K505" s="12"/>
    </row>
    <row r="506" spans="1:11" x14ac:dyDescent="0.2">
      <c r="A506" s="14"/>
      <c r="B506" s="13"/>
      <c r="C506" s="12"/>
      <c r="D506" s="12"/>
      <c r="E506" s="12"/>
      <c r="F506" s="12"/>
      <c r="G506" s="12"/>
      <c r="H506" s="12"/>
      <c r="I506" s="12"/>
      <c r="J506" s="12"/>
      <c r="K506" s="12"/>
    </row>
    <row r="507" spans="1:11" x14ac:dyDescent="0.2">
      <c r="A507" s="14"/>
      <c r="B507" s="13"/>
      <c r="C507" s="12"/>
      <c r="D507" s="12"/>
      <c r="E507" s="12"/>
      <c r="F507" s="12"/>
      <c r="G507" s="12"/>
      <c r="H507" s="12"/>
      <c r="I507" s="12"/>
      <c r="J507" s="12"/>
      <c r="K507" s="12"/>
    </row>
    <row r="508" spans="1:11" x14ac:dyDescent="0.2">
      <c r="A508" s="14"/>
      <c r="B508" s="13"/>
      <c r="C508" s="12"/>
      <c r="D508" s="12"/>
      <c r="E508" s="12"/>
      <c r="F508" s="12"/>
      <c r="G508" s="12"/>
      <c r="H508" s="12"/>
      <c r="I508" s="12"/>
      <c r="J508" s="12"/>
      <c r="K508" s="12"/>
    </row>
    <row r="509" spans="1:11" x14ac:dyDescent="0.2">
      <c r="A509" s="14"/>
      <c r="B509" s="13"/>
      <c r="C509" s="12"/>
      <c r="D509" s="12"/>
      <c r="E509" s="12"/>
      <c r="F509" s="12"/>
      <c r="G509" s="12"/>
      <c r="H509" s="12"/>
      <c r="I509" s="12"/>
      <c r="J509" s="12"/>
      <c r="K509" s="12"/>
    </row>
    <row r="510" spans="1:11" x14ac:dyDescent="0.2">
      <c r="A510" s="14"/>
      <c r="B510" s="13"/>
      <c r="C510" s="12"/>
      <c r="D510" s="12"/>
      <c r="E510" s="12"/>
      <c r="F510" s="12"/>
      <c r="G510" s="12"/>
      <c r="H510" s="12"/>
      <c r="I510" s="12"/>
      <c r="J510" s="12"/>
      <c r="K510" s="12"/>
    </row>
    <row r="511" spans="1:11" x14ac:dyDescent="0.2">
      <c r="A511" s="14"/>
      <c r="B511" s="13"/>
      <c r="C511" s="12"/>
      <c r="D511" s="12"/>
      <c r="E511" s="12"/>
      <c r="F511" s="12"/>
      <c r="G511" s="12"/>
      <c r="H511" s="12"/>
      <c r="I511" s="12"/>
      <c r="J511" s="12"/>
      <c r="K511" s="12"/>
    </row>
    <row r="512" spans="1:11" x14ac:dyDescent="0.2">
      <c r="A512" s="14"/>
      <c r="B512" s="13"/>
      <c r="C512" s="12"/>
      <c r="D512" s="12"/>
      <c r="E512" s="12"/>
      <c r="F512" s="12"/>
      <c r="G512" s="12"/>
      <c r="H512" s="12"/>
      <c r="I512" s="12"/>
      <c r="J512" s="12"/>
      <c r="K512" s="12"/>
    </row>
    <row r="513" spans="1:11" x14ac:dyDescent="0.2">
      <c r="A513" s="14"/>
      <c r="B513" s="13"/>
      <c r="C513" s="12"/>
      <c r="D513" s="12"/>
      <c r="E513" s="12"/>
      <c r="F513" s="12"/>
      <c r="G513" s="12"/>
      <c r="H513" s="12"/>
      <c r="I513" s="12"/>
      <c r="J513" s="12"/>
      <c r="K513" s="12"/>
    </row>
    <row r="514" spans="1:11" x14ac:dyDescent="0.2">
      <c r="A514" s="14"/>
      <c r="B514" s="13"/>
      <c r="C514" s="12"/>
      <c r="D514" s="12"/>
      <c r="E514" s="12"/>
      <c r="F514" s="12"/>
      <c r="G514" s="12"/>
      <c r="H514" s="12"/>
      <c r="I514" s="12"/>
      <c r="J514" s="12"/>
      <c r="K514" s="12"/>
    </row>
    <row r="515" spans="1:11" x14ac:dyDescent="0.2">
      <c r="A515" s="14"/>
      <c r="B515" s="13"/>
      <c r="C515" s="12"/>
      <c r="D515" s="12"/>
      <c r="E515" s="12"/>
      <c r="F515" s="12"/>
      <c r="G515" s="12"/>
      <c r="H515" s="12"/>
      <c r="I515" s="12"/>
      <c r="J515" s="12"/>
      <c r="K515" s="12"/>
    </row>
    <row r="516" spans="1:11" x14ac:dyDescent="0.2">
      <c r="A516" s="14"/>
      <c r="B516" s="13"/>
      <c r="C516" s="12"/>
      <c r="D516" s="12"/>
      <c r="E516" s="12"/>
      <c r="F516" s="12"/>
      <c r="G516" s="12"/>
      <c r="H516" s="12"/>
      <c r="I516" s="12"/>
      <c r="J516" s="12"/>
      <c r="K516" s="12"/>
    </row>
    <row r="517" spans="1:11" x14ac:dyDescent="0.2">
      <c r="A517" s="14"/>
      <c r="B517" s="13"/>
      <c r="C517" s="12"/>
      <c r="D517" s="12"/>
      <c r="E517" s="12"/>
      <c r="F517" s="12"/>
      <c r="G517" s="12"/>
      <c r="H517" s="12"/>
      <c r="I517" s="12"/>
      <c r="J517" s="12"/>
      <c r="K517" s="12"/>
    </row>
    <row r="518" spans="1:11" x14ac:dyDescent="0.2">
      <c r="A518" s="14"/>
      <c r="B518" s="13"/>
      <c r="C518" s="12"/>
      <c r="D518" s="12"/>
      <c r="E518" s="12"/>
      <c r="F518" s="12"/>
      <c r="G518" s="12"/>
      <c r="H518" s="12"/>
      <c r="I518" s="12"/>
      <c r="J518" s="12"/>
      <c r="K518" s="12"/>
    </row>
    <row r="519" spans="1:11" x14ac:dyDescent="0.2">
      <c r="A519" s="14"/>
      <c r="B519" s="13"/>
      <c r="C519" s="12"/>
      <c r="D519" s="12"/>
      <c r="E519" s="12"/>
      <c r="F519" s="12"/>
      <c r="G519" s="12"/>
      <c r="H519" s="12"/>
      <c r="I519" s="12"/>
      <c r="J519" s="12"/>
      <c r="K519" s="12"/>
    </row>
    <row r="520" spans="1:11" x14ac:dyDescent="0.2">
      <c r="A520" s="14"/>
      <c r="B520" s="13"/>
      <c r="C520" s="12"/>
      <c r="D520" s="12"/>
      <c r="E520" s="12"/>
      <c r="F520" s="12"/>
      <c r="G520" s="12"/>
      <c r="H520" s="12"/>
      <c r="I520" s="12"/>
      <c r="J520" s="12"/>
      <c r="K520" s="12"/>
    </row>
    <row r="521" spans="1:11" x14ac:dyDescent="0.2">
      <c r="A521" s="14"/>
      <c r="B521" s="13"/>
      <c r="C521" s="12"/>
      <c r="D521" s="12"/>
      <c r="E521" s="12"/>
      <c r="F521" s="12"/>
      <c r="G521" s="12"/>
      <c r="H521" s="12"/>
      <c r="I521" s="12"/>
      <c r="J521" s="12"/>
      <c r="K521" s="12"/>
    </row>
    <row r="522" spans="1:11" x14ac:dyDescent="0.2">
      <c r="A522" s="14"/>
      <c r="B522" s="13"/>
      <c r="C522" s="12"/>
      <c r="D522" s="12"/>
      <c r="E522" s="12"/>
      <c r="F522" s="12"/>
      <c r="G522" s="12"/>
      <c r="H522" s="12"/>
      <c r="I522" s="12"/>
      <c r="J522" s="12"/>
      <c r="K522" s="12"/>
    </row>
    <row r="523" spans="1:11" x14ac:dyDescent="0.2">
      <c r="A523" s="14"/>
      <c r="B523" s="13"/>
      <c r="C523" s="12"/>
      <c r="D523" s="12"/>
      <c r="E523" s="12"/>
      <c r="F523" s="12"/>
      <c r="G523" s="12"/>
      <c r="H523" s="12"/>
      <c r="I523" s="12"/>
      <c r="J523" s="12"/>
      <c r="K523" s="12"/>
    </row>
    <row r="524" spans="1:11" x14ac:dyDescent="0.2">
      <c r="A524" s="14"/>
      <c r="B524" s="13"/>
      <c r="C524" s="12"/>
      <c r="D524" s="12"/>
      <c r="E524" s="12"/>
      <c r="F524" s="12"/>
      <c r="G524" s="12"/>
      <c r="H524" s="12"/>
      <c r="I524" s="12"/>
      <c r="J524" s="12"/>
      <c r="K524" s="12"/>
    </row>
    <row r="525" spans="1:11" x14ac:dyDescent="0.2">
      <c r="A525" s="14"/>
      <c r="B525" s="13"/>
      <c r="C525" s="12"/>
      <c r="D525" s="12"/>
      <c r="E525" s="12"/>
      <c r="F525" s="12"/>
      <c r="G525" s="12"/>
      <c r="H525" s="12"/>
      <c r="I525" s="12"/>
      <c r="J525" s="12"/>
      <c r="K525" s="12"/>
    </row>
    <row r="526" spans="1:11" x14ac:dyDescent="0.2">
      <c r="A526" s="14"/>
      <c r="B526" s="13"/>
      <c r="C526" s="12"/>
      <c r="D526" s="12"/>
      <c r="E526" s="12"/>
      <c r="F526" s="12"/>
      <c r="G526" s="12"/>
      <c r="H526" s="12"/>
      <c r="I526" s="12"/>
      <c r="J526" s="12"/>
      <c r="K526" s="12"/>
    </row>
    <row r="527" spans="1:11" x14ac:dyDescent="0.2">
      <c r="A527" s="14"/>
      <c r="B527" s="13"/>
      <c r="C527" s="12"/>
      <c r="D527" s="12"/>
      <c r="E527" s="12"/>
      <c r="F527" s="12"/>
      <c r="G527" s="12"/>
      <c r="H527" s="12"/>
      <c r="I527" s="12"/>
      <c r="J527" s="12"/>
      <c r="K527" s="12"/>
    </row>
    <row r="528" spans="1:11" x14ac:dyDescent="0.2">
      <c r="A528" s="14"/>
      <c r="B528" s="13"/>
      <c r="C528" s="12"/>
      <c r="D528" s="12"/>
      <c r="E528" s="12"/>
      <c r="F528" s="12"/>
      <c r="G528" s="12"/>
      <c r="H528" s="12"/>
      <c r="I528" s="12"/>
      <c r="J528" s="12"/>
      <c r="K528" s="12"/>
    </row>
    <row r="529" spans="1:11" x14ac:dyDescent="0.2">
      <c r="A529" s="14"/>
      <c r="B529" s="13"/>
      <c r="C529" s="12"/>
      <c r="D529" s="12"/>
      <c r="E529" s="12"/>
      <c r="F529" s="12"/>
      <c r="G529" s="12"/>
      <c r="H529" s="12"/>
      <c r="I529" s="12"/>
      <c r="J529" s="12"/>
      <c r="K529" s="12"/>
    </row>
    <row r="530" spans="1:11" x14ac:dyDescent="0.2">
      <c r="A530" s="14"/>
      <c r="B530" s="13"/>
      <c r="C530" s="12"/>
      <c r="D530" s="12"/>
      <c r="E530" s="12"/>
      <c r="F530" s="12"/>
      <c r="G530" s="12"/>
      <c r="H530" s="12"/>
      <c r="I530" s="12"/>
      <c r="J530" s="12"/>
      <c r="K530" s="12"/>
    </row>
    <row r="531" spans="1:11" x14ac:dyDescent="0.2">
      <c r="A531" s="14"/>
      <c r="B531" s="13"/>
      <c r="C531" s="12"/>
      <c r="D531" s="12"/>
      <c r="E531" s="12"/>
      <c r="F531" s="12"/>
      <c r="G531" s="12"/>
      <c r="H531" s="12"/>
      <c r="I531" s="12"/>
      <c r="J531" s="12"/>
      <c r="K531" s="12"/>
    </row>
    <row r="532" spans="1:11" x14ac:dyDescent="0.2">
      <c r="A532" s="14"/>
      <c r="B532" s="13"/>
      <c r="C532" s="12"/>
      <c r="D532" s="12"/>
      <c r="E532" s="12"/>
      <c r="F532" s="12"/>
      <c r="G532" s="12"/>
      <c r="H532" s="12"/>
      <c r="I532" s="12"/>
      <c r="J532" s="12"/>
      <c r="K532" s="12"/>
    </row>
    <row r="533" spans="1:11" x14ac:dyDescent="0.2">
      <c r="A533" s="14"/>
      <c r="B533" s="13"/>
      <c r="C533" s="12"/>
      <c r="D533" s="12"/>
      <c r="E533" s="12"/>
      <c r="F533" s="12"/>
      <c r="G533" s="12"/>
      <c r="H533" s="12"/>
      <c r="I533" s="12"/>
      <c r="J533" s="12"/>
      <c r="K533" s="12"/>
    </row>
    <row r="534" spans="1:11" x14ac:dyDescent="0.2">
      <c r="A534" s="14"/>
      <c r="B534" s="13"/>
      <c r="C534" s="12"/>
      <c r="D534" s="12"/>
      <c r="E534" s="12"/>
      <c r="F534" s="12"/>
      <c r="G534" s="12"/>
      <c r="H534" s="12"/>
      <c r="I534" s="12"/>
      <c r="J534" s="12"/>
      <c r="K534" s="12"/>
    </row>
    <row r="535" spans="1:11" x14ac:dyDescent="0.2">
      <c r="A535" s="14"/>
      <c r="B535" s="13"/>
      <c r="C535" s="12"/>
      <c r="D535" s="12"/>
      <c r="E535" s="12"/>
      <c r="F535" s="12"/>
      <c r="G535" s="12"/>
      <c r="H535" s="12"/>
      <c r="I535" s="12"/>
      <c r="J535" s="12"/>
      <c r="K535" s="12"/>
    </row>
    <row r="536" spans="1:11" x14ac:dyDescent="0.2">
      <c r="A536" s="14"/>
      <c r="B536" s="13"/>
      <c r="C536" s="12"/>
      <c r="D536" s="12"/>
      <c r="E536" s="12"/>
      <c r="F536" s="12"/>
      <c r="G536" s="12"/>
      <c r="H536" s="12"/>
      <c r="I536" s="12"/>
      <c r="J536" s="12"/>
      <c r="K536" s="12"/>
    </row>
    <row r="537" spans="1:11" x14ac:dyDescent="0.2">
      <c r="A537" s="14"/>
      <c r="B537" s="13"/>
      <c r="C537" s="12"/>
      <c r="D537" s="12"/>
      <c r="E537" s="12"/>
      <c r="F537" s="12"/>
      <c r="G537" s="12"/>
      <c r="H537" s="12"/>
      <c r="I537" s="12"/>
      <c r="J537" s="12"/>
      <c r="K537" s="12"/>
    </row>
    <row r="538" spans="1:11" x14ac:dyDescent="0.2">
      <c r="A538" s="14"/>
      <c r="B538" s="13"/>
      <c r="C538" s="12"/>
      <c r="D538" s="12"/>
      <c r="E538" s="12"/>
      <c r="F538" s="12"/>
      <c r="G538" s="12"/>
      <c r="H538" s="12"/>
      <c r="I538" s="12"/>
      <c r="J538" s="12"/>
      <c r="K538" s="12"/>
    </row>
    <row r="539" spans="1:11" x14ac:dyDescent="0.2">
      <c r="A539" s="14"/>
      <c r="B539" s="13"/>
      <c r="C539" s="12"/>
      <c r="D539" s="12"/>
      <c r="E539" s="12"/>
      <c r="F539" s="12"/>
      <c r="G539" s="12"/>
      <c r="H539" s="12"/>
      <c r="I539" s="12"/>
      <c r="J539" s="12"/>
      <c r="K539" s="12"/>
    </row>
    <row r="540" spans="1:11" x14ac:dyDescent="0.2">
      <c r="A540" s="14"/>
      <c r="B540" s="13"/>
      <c r="C540" s="12"/>
      <c r="D540" s="12"/>
      <c r="E540" s="12"/>
      <c r="F540" s="12"/>
      <c r="G540" s="12"/>
      <c r="H540" s="12"/>
      <c r="I540" s="12"/>
      <c r="J540" s="12"/>
      <c r="K540" s="12"/>
    </row>
    <row r="541" spans="1:11" x14ac:dyDescent="0.2">
      <c r="A541" s="14"/>
      <c r="B541" s="13"/>
      <c r="C541" s="12"/>
      <c r="D541" s="12"/>
      <c r="E541" s="12"/>
      <c r="F541" s="12"/>
      <c r="G541" s="12"/>
      <c r="H541" s="12"/>
      <c r="I541" s="12"/>
      <c r="J541" s="12"/>
      <c r="K541" s="12"/>
    </row>
    <row r="542" spans="1:11" x14ac:dyDescent="0.2">
      <c r="A542" s="14"/>
      <c r="B542" s="13"/>
      <c r="C542" s="12"/>
      <c r="D542" s="12"/>
      <c r="E542" s="12"/>
      <c r="F542" s="12"/>
      <c r="G542" s="12"/>
      <c r="H542" s="12"/>
      <c r="I542" s="12"/>
      <c r="J542" s="12"/>
      <c r="K542" s="12"/>
    </row>
    <row r="543" spans="1:11" x14ac:dyDescent="0.2">
      <c r="A543" s="14"/>
      <c r="B543" s="13"/>
      <c r="C543" s="12"/>
      <c r="D543" s="12"/>
      <c r="E543" s="12"/>
      <c r="F543" s="12"/>
      <c r="G543" s="12"/>
      <c r="H543" s="12"/>
      <c r="I543" s="12"/>
      <c r="J543" s="12"/>
      <c r="K543" s="12"/>
    </row>
    <row r="544" spans="1:11" x14ac:dyDescent="0.2">
      <c r="A544" s="14"/>
      <c r="B544" s="13"/>
      <c r="C544" s="12"/>
      <c r="D544" s="12"/>
      <c r="E544" s="12"/>
      <c r="F544" s="12"/>
      <c r="G544" s="12"/>
      <c r="H544" s="12"/>
      <c r="I544" s="12"/>
      <c r="J544" s="12"/>
      <c r="K544" s="12"/>
    </row>
    <row r="545" spans="1:11" x14ac:dyDescent="0.2">
      <c r="A545" s="14"/>
      <c r="B545" s="13"/>
      <c r="C545" s="12"/>
      <c r="D545" s="12"/>
      <c r="E545" s="12"/>
      <c r="F545" s="12"/>
      <c r="G545" s="12"/>
      <c r="H545" s="12"/>
      <c r="I545" s="12"/>
      <c r="J545" s="12"/>
      <c r="K545" s="12"/>
    </row>
    <row r="546" spans="1:11" x14ac:dyDescent="0.2">
      <c r="A546" s="14"/>
      <c r="B546" s="13"/>
      <c r="C546" s="12"/>
      <c r="D546" s="12"/>
      <c r="E546" s="12"/>
      <c r="F546" s="12"/>
      <c r="G546" s="12"/>
      <c r="H546" s="12"/>
      <c r="I546" s="12"/>
      <c r="J546" s="12"/>
      <c r="K546" s="12"/>
    </row>
    <row r="547" spans="1:11" x14ac:dyDescent="0.2">
      <c r="A547" s="14"/>
      <c r="B547" s="13"/>
      <c r="C547" s="12"/>
      <c r="D547" s="12"/>
      <c r="E547" s="12"/>
      <c r="F547" s="12"/>
      <c r="G547" s="12"/>
      <c r="H547" s="12"/>
      <c r="I547" s="12"/>
      <c r="J547" s="12"/>
      <c r="K547" s="12"/>
    </row>
    <row r="548" spans="1:11" x14ac:dyDescent="0.2">
      <c r="A548" s="14"/>
      <c r="B548" s="13"/>
      <c r="C548" s="12"/>
      <c r="D548" s="12"/>
      <c r="E548" s="12"/>
      <c r="F548" s="12"/>
      <c r="G548" s="12"/>
      <c r="H548" s="12"/>
      <c r="I548" s="12"/>
      <c r="J548" s="12"/>
      <c r="K548" s="12"/>
    </row>
    <row r="549" spans="1:11" x14ac:dyDescent="0.2">
      <c r="A549" s="14"/>
      <c r="B549" s="13"/>
      <c r="C549" s="12"/>
      <c r="D549" s="12"/>
      <c r="E549" s="12"/>
      <c r="F549" s="12"/>
      <c r="G549" s="12"/>
      <c r="H549" s="12"/>
      <c r="I549" s="12"/>
      <c r="J549" s="12"/>
      <c r="K549" s="12"/>
    </row>
    <row r="550" spans="1:11" x14ac:dyDescent="0.2">
      <c r="A550" s="14"/>
      <c r="B550" s="13"/>
      <c r="C550" s="12"/>
      <c r="D550" s="12"/>
      <c r="E550" s="12"/>
      <c r="F550" s="12"/>
      <c r="G550" s="12"/>
      <c r="H550" s="12"/>
      <c r="I550" s="12"/>
      <c r="J550" s="12"/>
      <c r="K550" s="12"/>
    </row>
    <row r="551" spans="1:11" x14ac:dyDescent="0.2">
      <c r="A551" s="14"/>
      <c r="B551" s="13"/>
      <c r="C551" s="12"/>
      <c r="D551" s="12"/>
      <c r="E551" s="12"/>
      <c r="F551" s="12"/>
      <c r="G551" s="12"/>
      <c r="H551" s="12"/>
      <c r="I551" s="12"/>
      <c r="J551" s="12"/>
      <c r="K551" s="12"/>
    </row>
    <row r="552" spans="1:11" x14ac:dyDescent="0.2">
      <c r="A552" s="14"/>
      <c r="B552" s="13"/>
      <c r="C552" s="12"/>
      <c r="D552" s="12"/>
      <c r="E552" s="12"/>
      <c r="F552" s="12"/>
      <c r="G552" s="12"/>
      <c r="H552" s="12"/>
      <c r="I552" s="12"/>
      <c r="J552" s="12"/>
      <c r="K552" s="12"/>
    </row>
    <row r="553" spans="1:11" x14ac:dyDescent="0.2">
      <c r="A553" s="14"/>
      <c r="B553" s="13"/>
      <c r="C553" s="12"/>
      <c r="D553" s="12"/>
      <c r="E553" s="12"/>
      <c r="F553" s="12"/>
      <c r="G553" s="12"/>
      <c r="H553" s="12"/>
      <c r="I553" s="12"/>
      <c r="J553" s="12"/>
      <c r="K553" s="12"/>
    </row>
    <row r="554" spans="1:11" x14ac:dyDescent="0.2">
      <c r="A554" s="14"/>
      <c r="B554" s="13"/>
      <c r="C554" s="12"/>
      <c r="D554" s="12"/>
      <c r="E554" s="12"/>
      <c r="F554" s="12"/>
      <c r="G554" s="12"/>
      <c r="H554" s="12"/>
      <c r="I554" s="12"/>
      <c r="J554" s="12"/>
      <c r="K554" s="12"/>
    </row>
    <row r="555" spans="1:11" x14ac:dyDescent="0.2">
      <c r="A555" s="14"/>
      <c r="B555" s="13"/>
      <c r="C555" s="12"/>
      <c r="D555" s="12"/>
      <c r="E555" s="12"/>
      <c r="F555" s="12"/>
      <c r="G555" s="12"/>
      <c r="H555" s="12"/>
      <c r="I555" s="12"/>
      <c r="J555" s="12"/>
      <c r="K555" s="12"/>
    </row>
    <row r="556" spans="1:11" x14ac:dyDescent="0.2">
      <c r="A556" s="14"/>
      <c r="B556" s="13"/>
      <c r="C556" s="12"/>
      <c r="D556" s="12"/>
      <c r="E556" s="12"/>
      <c r="F556" s="12"/>
      <c r="G556" s="12"/>
      <c r="H556" s="12"/>
      <c r="I556" s="12"/>
      <c r="J556" s="12"/>
      <c r="K556" s="12"/>
    </row>
    <row r="557" spans="1:11" x14ac:dyDescent="0.2">
      <c r="A557" s="14"/>
      <c r="B557" s="13"/>
      <c r="C557" s="12"/>
      <c r="D557" s="12"/>
      <c r="E557" s="12"/>
      <c r="F557" s="12"/>
      <c r="G557" s="12"/>
      <c r="H557" s="12"/>
      <c r="I557" s="12"/>
      <c r="J557" s="12"/>
      <c r="K557" s="12"/>
    </row>
    <row r="558" spans="1:11" x14ac:dyDescent="0.2">
      <c r="A558" s="14"/>
      <c r="B558" s="13"/>
      <c r="C558" s="12"/>
      <c r="D558" s="12"/>
      <c r="E558" s="12"/>
      <c r="F558" s="12"/>
      <c r="G558" s="12"/>
      <c r="H558" s="12"/>
      <c r="I558" s="12"/>
      <c r="J558" s="12"/>
      <c r="K558" s="12"/>
    </row>
    <row r="559" spans="1:11" x14ac:dyDescent="0.2">
      <c r="A559" s="14"/>
      <c r="B559" s="13"/>
      <c r="C559" s="12"/>
      <c r="D559" s="12"/>
      <c r="E559" s="12"/>
      <c r="F559" s="12"/>
      <c r="G559" s="12"/>
      <c r="H559" s="12"/>
      <c r="I559" s="12"/>
      <c r="J559" s="12"/>
      <c r="K559" s="12"/>
    </row>
    <row r="560" spans="1:11" x14ac:dyDescent="0.2">
      <c r="A560" s="14"/>
      <c r="B560" s="13"/>
      <c r="C560" s="12"/>
      <c r="D560" s="12"/>
      <c r="E560" s="12"/>
      <c r="F560" s="12"/>
      <c r="G560" s="12"/>
      <c r="H560" s="12"/>
      <c r="I560" s="12"/>
      <c r="J560" s="12"/>
      <c r="K560" s="12"/>
    </row>
    <row r="561" spans="1:11" x14ac:dyDescent="0.2">
      <c r="A561" s="14"/>
      <c r="B561" s="13"/>
      <c r="C561" s="12"/>
      <c r="D561" s="12"/>
      <c r="E561" s="12"/>
      <c r="F561" s="12"/>
      <c r="G561" s="12"/>
      <c r="H561" s="12"/>
      <c r="I561" s="12"/>
      <c r="J561" s="12"/>
      <c r="K561" s="12"/>
    </row>
    <row r="562" spans="1:11" x14ac:dyDescent="0.2">
      <c r="A562" s="14"/>
      <c r="B562" s="13"/>
      <c r="C562" s="12"/>
      <c r="D562" s="12"/>
      <c r="E562" s="12"/>
      <c r="F562" s="12"/>
      <c r="G562" s="12"/>
      <c r="H562" s="12"/>
      <c r="I562" s="12"/>
      <c r="J562" s="12"/>
      <c r="K562" s="12"/>
    </row>
    <row r="563" spans="1:11" x14ac:dyDescent="0.2">
      <c r="A563" s="14"/>
      <c r="B563" s="13"/>
      <c r="C563" s="12"/>
      <c r="D563" s="12"/>
      <c r="E563" s="12"/>
      <c r="F563" s="12"/>
      <c r="G563" s="12"/>
      <c r="H563" s="12"/>
      <c r="I563" s="12"/>
      <c r="J563" s="12"/>
      <c r="K563" s="12"/>
    </row>
    <row r="564" spans="1:11" x14ac:dyDescent="0.2">
      <c r="A564" s="14"/>
      <c r="B564" s="13"/>
      <c r="C564" s="12"/>
      <c r="D564" s="12"/>
      <c r="E564" s="12"/>
      <c r="F564" s="12"/>
      <c r="G564" s="12"/>
      <c r="H564" s="12"/>
      <c r="I564" s="12"/>
      <c r="J564" s="12"/>
      <c r="K564" s="12"/>
    </row>
    <row r="565" spans="1:11" x14ac:dyDescent="0.2">
      <c r="A565" s="14"/>
      <c r="B565" s="13"/>
      <c r="C565" s="12"/>
      <c r="D565" s="12"/>
      <c r="E565" s="12"/>
      <c r="F565" s="12"/>
      <c r="G565" s="12"/>
      <c r="H565" s="12"/>
      <c r="I565" s="12"/>
      <c r="J565" s="12"/>
      <c r="K565" s="12"/>
    </row>
    <row r="566" spans="1:11" x14ac:dyDescent="0.2">
      <c r="A566" s="14"/>
      <c r="B566" s="13"/>
      <c r="C566" s="12"/>
      <c r="D566" s="12"/>
      <c r="E566" s="12"/>
      <c r="F566" s="12"/>
      <c r="G566" s="12"/>
      <c r="H566" s="12"/>
      <c r="I566" s="12"/>
      <c r="J566" s="12"/>
      <c r="K566" s="12"/>
    </row>
    <row r="567" spans="1:11" x14ac:dyDescent="0.2">
      <c r="A567" s="14"/>
      <c r="B567" s="13"/>
      <c r="C567" s="12"/>
      <c r="D567" s="12"/>
      <c r="E567" s="12"/>
      <c r="F567" s="12"/>
      <c r="G567" s="12"/>
      <c r="H567" s="12"/>
      <c r="I567" s="12"/>
      <c r="J567" s="12"/>
      <c r="K567" s="12"/>
    </row>
    <row r="568" spans="1:11" x14ac:dyDescent="0.2">
      <c r="A568" s="14"/>
      <c r="B568" s="13"/>
      <c r="C568" s="12"/>
      <c r="D568" s="12"/>
      <c r="E568" s="12"/>
      <c r="F568" s="12"/>
      <c r="G568" s="12"/>
      <c r="H568" s="12"/>
      <c r="I568" s="12"/>
      <c r="J568" s="12"/>
      <c r="K568" s="12"/>
    </row>
    <row r="569" spans="1:11" x14ac:dyDescent="0.2">
      <c r="A569" s="14"/>
      <c r="B569" s="13"/>
      <c r="C569" s="12"/>
      <c r="D569" s="12"/>
      <c r="E569" s="12"/>
      <c r="F569" s="12"/>
      <c r="G569" s="12"/>
      <c r="H569" s="12"/>
      <c r="I569" s="12"/>
      <c r="J569" s="12"/>
      <c r="K569" s="12"/>
    </row>
    <row r="570" spans="1:11" x14ac:dyDescent="0.2">
      <c r="A570" s="14"/>
      <c r="B570" s="13"/>
      <c r="C570" s="12"/>
      <c r="D570" s="12"/>
      <c r="E570" s="12"/>
      <c r="F570" s="12"/>
      <c r="G570" s="12"/>
      <c r="H570" s="12"/>
      <c r="I570" s="12"/>
      <c r="J570" s="12"/>
      <c r="K570" s="12"/>
    </row>
    <row r="571" spans="1:11" x14ac:dyDescent="0.2">
      <c r="A571" s="14"/>
      <c r="B571" s="13"/>
      <c r="C571" s="12"/>
      <c r="D571" s="12"/>
      <c r="E571" s="12"/>
      <c r="F571" s="12"/>
      <c r="G571" s="12"/>
      <c r="H571" s="12"/>
      <c r="I571" s="12"/>
      <c r="J571" s="12"/>
      <c r="K571" s="12"/>
    </row>
    <row r="572" spans="1:11" x14ac:dyDescent="0.2">
      <c r="A572" s="14"/>
      <c r="B572" s="13"/>
      <c r="C572" s="12"/>
      <c r="D572" s="12"/>
      <c r="E572" s="12"/>
      <c r="F572" s="12"/>
      <c r="G572" s="12"/>
      <c r="H572" s="12"/>
      <c r="I572" s="12"/>
      <c r="J572" s="12"/>
      <c r="K572" s="12"/>
    </row>
    <row r="573" spans="1:11" x14ac:dyDescent="0.2">
      <c r="A573" s="14"/>
      <c r="B573" s="13"/>
      <c r="C573" s="12"/>
      <c r="D573" s="12"/>
      <c r="E573" s="12"/>
      <c r="F573" s="12"/>
      <c r="G573" s="12"/>
      <c r="H573" s="12"/>
      <c r="I573" s="12"/>
      <c r="J573" s="12"/>
      <c r="K573" s="12"/>
    </row>
    <row r="574" spans="1:11" x14ac:dyDescent="0.2">
      <c r="A574" s="14"/>
      <c r="B574" s="13"/>
      <c r="C574" s="12"/>
      <c r="D574" s="12"/>
      <c r="E574" s="12"/>
      <c r="F574" s="12"/>
      <c r="G574" s="12"/>
      <c r="H574" s="12"/>
      <c r="I574" s="12"/>
      <c r="J574" s="12"/>
      <c r="K574" s="12"/>
    </row>
    <row r="575" spans="1:11" x14ac:dyDescent="0.2">
      <c r="A575" s="14"/>
      <c r="B575" s="13"/>
      <c r="C575" s="12"/>
      <c r="D575" s="12"/>
      <c r="E575" s="12"/>
      <c r="F575" s="12"/>
      <c r="G575" s="12"/>
      <c r="H575" s="12"/>
      <c r="I575" s="12"/>
      <c r="J575" s="12"/>
      <c r="K575" s="12"/>
    </row>
    <row r="576" spans="1:11" x14ac:dyDescent="0.2">
      <c r="A576" s="14"/>
      <c r="B576" s="13"/>
      <c r="C576" s="12"/>
      <c r="D576" s="12"/>
      <c r="E576" s="12"/>
      <c r="F576" s="12"/>
      <c r="G576" s="12"/>
      <c r="H576" s="12"/>
      <c r="I576" s="12"/>
      <c r="J576" s="12"/>
      <c r="K576" s="12"/>
    </row>
    <row r="577" spans="1:11" x14ac:dyDescent="0.2">
      <c r="A577" s="14"/>
      <c r="B577" s="13"/>
      <c r="C577" s="12"/>
      <c r="D577" s="12"/>
      <c r="E577" s="12"/>
      <c r="F577" s="12"/>
      <c r="G577" s="12"/>
      <c r="H577" s="12"/>
      <c r="I577" s="12"/>
      <c r="J577" s="12"/>
      <c r="K577" s="12"/>
    </row>
    <row r="578" spans="1:11" x14ac:dyDescent="0.2">
      <c r="A578" s="14"/>
      <c r="B578" s="13"/>
      <c r="C578" s="12"/>
      <c r="D578" s="12"/>
      <c r="E578" s="12"/>
      <c r="F578" s="12"/>
      <c r="G578" s="12"/>
      <c r="H578" s="12"/>
      <c r="I578" s="12"/>
      <c r="J578" s="12"/>
      <c r="K578" s="12"/>
    </row>
    <row r="579" spans="1:11" x14ac:dyDescent="0.2">
      <c r="A579" s="14"/>
      <c r="B579" s="13"/>
      <c r="C579" s="12"/>
      <c r="D579" s="12"/>
      <c r="E579" s="12"/>
      <c r="F579" s="12"/>
      <c r="G579" s="12"/>
      <c r="H579" s="12"/>
      <c r="I579" s="12"/>
      <c r="J579" s="12"/>
      <c r="K579" s="12"/>
    </row>
    <row r="580" spans="1:11" x14ac:dyDescent="0.2">
      <c r="A580" s="14"/>
      <c r="B580" s="13"/>
      <c r="C580" s="12"/>
      <c r="D580" s="12"/>
      <c r="E580" s="12"/>
      <c r="F580" s="12"/>
      <c r="G580" s="12"/>
      <c r="H580" s="12"/>
      <c r="I580" s="12"/>
      <c r="J580" s="12"/>
      <c r="K580" s="12"/>
    </row>
    <row r="581" spans="1:11" x14ac:dyDescent="0.2">
      <c r="A581" s="14"/>
      <c r="B581" s="13"/>
      <c r="C581" s="12"/>
      <c r="D581" s="12"/>
      <c r="E581" s="12"/>
      <c r="F581" s="12"/>
      <c r="G581" s="12"/>
      <c r="H581" s="12"/>
      <c r="I581" s="12"/>
      <c r="J581" s="12"/>
      <c r="K581" s="12"/>
    </row>
    <row r="582" spans="1:11" x14ac:dyDescent="0.2">
      <c r="A582" s="14"/>
      <c r="B582" s="13"/>
      <c r="C582" s="12"/>
      <c r="D582" s="12"/>
      <c r="E582" s="12"/>
      <c r="F582" s="12"/>
      <c r="G582" s="12"/>
      <c r="H582" s="12"/>
      <c r="I582" s="12"/>
      <c r="J582" s="12"/>
      <c r="K582" s="12"/>
    </row>
    <row r="583" spans="1:11" x14ac:dyDescent="0.2">
      <c r="A583" s="14"/>
      <c r="B583" s="13"/>
      <c r="C583" s="12"/>
      <c r="D583" s="12"/>
      <c r="E583" s="12"/>
      <c r="F583" s="12"/>
      <c r="G583" s="12"/>
      <c r="H583" s="12"/>
      <c r="I583" s="12"/>
      <c r="J583" s="12"/>
      <c r="K583" s="12"/>
    </row>
    <row r="584" spans="1:11" x14ac:dyDescent="0.2">
      <c r="A584" s="14"/>
      <c r="B584" s="13"/>
      <c r="C584" s="12"/>
      <c r="D584" s="12"/>
      <c r="E584" s="12"/>
      <c r="F584" s="12"/>
      <c r="G584" s="12"/>
      <c r="H584" s="12"/>
      <c r="I584" s="12"/>
      <c r="J584" s="12"/>
      <c r="K584" s="12"/>
    </row>
    <row r="585" spans="1:11" x14ac:dyDescent="0.2">
      <c r="A585" s="14"/>
      <c r="B585" s="13"/>
      <c r="C585" s="12"/>
      <c r="D585" s="12"/>
      <c r="E585" s="12"/>
      <c r="F585" s="12"/>
      <c r="G585" s="12"/>
      <c r="H585" s="12"/>
      <c r="I585" s="12"/>
      <c r="J585" s="12"/>
      <c r="K585" s="12"/>
    </row>
    <row r="586" spans="1:11" x14ac:dyDescent="0.2">
      <c r="A586" s="14"/>
      <c r="B586" s="13"/>
      <c r="C586" s="12"/>
      <c r="D586" s="12"/>
      <c r="E586" s="12"/>
      <c r="F586" s="12"/>
      <c r="G586" s="12"/>
      <c r="H586" s="12"/>
      <c r="I586" s="12"/>
      <c r="J586" s="12"/>
      <c r="K586" s="12"/>
    </row>
    <row r="587" spans="1:11" x14ac:dyDescent="0.2">
      <c r="A587" s="14"/>
      <c r="B587" s="13"/>
      <c r="C587" s="12"/>
      <c r="D587" s="12"/>
      <c r="E587" s="12"/>
      <c r="F587" s="12"/>
      <c r="G587" s="12"/>
      <c r="H587" s="12"/>
      <c r="I587" s="12"/>
      <c r="J587" s="12"/>
      <c r="K587" s="12"/>
    </row>
    <row r="588" spans="1:11" x14ac:dyDescent="0.2">
      <c r="A588" s="14"/>
      <c r="B588" s="13"/>
      <c r="C588" s="12"/>
      <c r="D588" s="12"/>
      <c r="E588" s="12"/>
      <c r="F588" s="12"/>
      <c r="G588" s="12"/>
      <c r="H588" s="12"/>
      <c r="I588" s="12"/>
      <c r="J588" s="12"/>
      <c r="K588" s="12"/>
    </row>
    <row r="589" spans="1:11" x14ac:dyDescent="0.2">
      <c r="A589" s="14"/>
      <c r="B589" s="13"/>
      <c r="C589" s="12"/>
      <c r="D589" s="12"/>
      <c r="E589" s="12"/>
      <c r="F589" s="12"/>
      <c r="G589" s="12"/>
      <c r="H589" s="12"/>
      <c r="I589" s="12"/>
      <c r="J589" s="12"/>
      <c r="K589" s="12"/>
    </row>
    <row r="590" spans="1:11" x14ac:dyDescent="0.2">
      <c r="A590" s="14"/>
      <c r="B590" s="13"/>
      <c r="C590" s="12"/>
      <c r="D590" s="12"/>
      <c r="E590" s="12"/>
      <c r="F590" s="12"/>
      <c r="G590" s="12"/>
      <c r="H590" s="12"/>
      <c r="I590" s="12"/>
      <c r="J590" s="12"/>
      <c r="K590" s="12"/>
    </row>
    <row r="591" spans="1:11" x14ac:dyDescent="0.2">
      <c r="A591" s="14"/>
      <c r="B591" s="13"/>
      <c r="C591" s="12"/>
      <c r="D591" s="12"/>
      <c r="E591" s="12"/>
      <c r="F591" s="12"/>
      <c r="G591" s="12"/>
      <c r="H591" s="12"/>
      <c r="I591" s="12"/>
      <c r="J591" s="12"/>
      <c r="K591" s="12"/>
    </row>
    <row r="592" spans="1:11" x14ac:dyDescent="0.2">
      <c r="A592" s="14"/>
      <c r="B592" s="13"/>
      <c r="C592" s="12"/>
      <c r="D592" s="12"/>
      <c r="E592" s="12"/>
      <c r="F592" s="12"/>
      <c r="G592" s="12"/>
      <c r="H592" s="12"/>
      <c r="I592" s="12"/>
      <c r="J592" s="12"/>
      <c r="K592" s="12"/>
    </row>
    <row r="593" spans="1:11" x14ac:dyDescent="0.2">
      <c r="A593" s="14"/>
      <c r="B593" s="13"/>
      <c r="C593" s="12"/>
      <c r="D593" s="12"/>
      <c r="E593" s="12"/>
      <c r="F593" s="12"/>
      <c r="G593" s="12"/>
      <c r="H593" s="12"/>
      <c r="I593" s="12"/>
      <c r="J593" s="12"/>
      <c r="K593" s="12"/>
    </row>
    <row r="594" spans="1:11" x14ac:dyDescent="0.2">
      <c r="A594" s="14"/>
      <c r="B594" s="13"/>
      <c r="C594" s="12"/>
      <c r="D594" s="12"/>
      <c r="E594" s="12"/>
      <c r="F594" s="12"/>
      <c r="G594" s="12"/>
      <c r="H594" s="12"/>
      <c r="I594" s="12"/>
      <c r="J594" s="12"/>
      <c r="K594" s="12"/>
    </row>
    <row r="595" spans="1:11" x14ac:dyDescent="0.2">
      <c r="A595" s="14"/>
      <c r="B595" s="13"/>
      <c r="C595" s="12"/>
      <c r="D595" s="12"/>
      <c r="E595" s="12"/>
      <c r="F595" s="12"/>
      <c r="G595" s="12"/>
      <c r="H595" s="12"/>
      <c r="I595" s="12"/>
      <c r="J595" s="12"/>
      <c r="K595" s="12"/>
    </row>
    <row r="596" spans="1:11" x14ac:dyDescent="0.2">
      <c r="A596" s="14"/>
      <c r="B596" s="13"/>
      <c r="C596" s="12"/>
      <c r="D596" s="12"/>
      <c r="E596" s="12"/>
      <c r="F596" s="12"/>
      <c r="G596" s="12"/>
      <c r="H596" s="12"/>
      <c r="I596" s="12"/>
      <c r="J596" s="12"/>
      <c r="K596" s="12"/>
    </row>
    <row r="597" spans="1:11" x14ac:dyDescent="0.2">
      <c r="A597" s="14"/>
      <c r="B597" s="13"/>
      <c r="C597" s="12"/>
      <c r="D597" s="12"/>
      <c r="E597" s="12"/>
      <c r="F597" s="12"/>
      <c r="G597" s="12"/>
      <c r="H597" s="12"/>
      <c r="I597" s="12"/>
      <c r="J597" s="12"/>
      <c r="K597" s="12"/>
    </row>
    <row r="598" spans="1:11" x14ac:dyDescent="0.2">
      <c r="A598" s="14"/>
      <c r="B598" s="13"/>
      <c r="C598" s="12"/>
      <c r="D598" s="12"/>
      <c r="E598" s="12"/>
      <c r="F598" s="12"/>
      <c r="G598" s="12"/>
      <c r="H598" s="12"/>
      <c r="I598" s="12"/>
      <c r="J598" s="12"/>
      <c r="K598" s="12"/>
    </row>
    <row r="599" spans="1:11" x14ac:dyDescent="0.2">
      <c r="A599" s="14"/>
      <c r="B599" s="13"/>
      <c r="C599" s="12"/>
      <c r="D599" s="12"/>
      <c r="E599" s="12"/>
      <c r="F599" s="12"/>
      <c r="G599" s="12"/>
      <c r="H599" s="12"/>
      <c r="I599" s="12"/>
      <c r="J599" s="12"/>
      <c r="K599" s="12"/>
    </row>
    <row r="600" spans="1:11" x14ac:dyDescent="0.2">
      <c r="A600" s="14"/>
      <c r="B600" s="13"/>
      <c r="C600" s="12"/>
      <c r="D600" s="12"/>
      <c r="E600" s="12"/>
      <c r="F600" s="12"/>
      <c r="G600" s="12"/>
      <c r="H600" s="12"/>
      <c r="I600" s="12"/>
      <c r="J600" s="12"/>
      <c r="K600" s="12"/>
    </row>
    <row r="601" spans="1:11" x14ac:dyDescent="0.2">
      <c r="A601" s="14"/>
      <c r="B601" s="13"/>
      <c r="C601" s="12"/>
      <c r="D601" s="12"/>
      <c r="E601" s="12"/>
      <c r="F601" s="12"/>
      <c r="G601" s="12"/>
      <c r="H601" s="12"/>
      <c r="I601" s="12"/>
      <c r="J601" s="12"/>
      <c r="K601" s="12"/>
    </row>
    <row r="602" spans="1:11" x14ac:dyDescent="0.2">
      <c r="A602" s="14"/>
      <c r="B602" s="13"/>
      <c r="C602" s="12"/>
      <c r="D602" s="12"/>
      <c r="E602" s="12"/>
      <c r="F602" s="12"/>
      <c r="G602" s="12"/>
      <c r="H602" s="12"/>
      <c r="I602" s="12"/>
      <c r="J602" s="12"/>
      <c r="K602" s="12"/>
    </row>
    <row r="603" spans="1:11" x14ac:dyDescent="0.2">
      <c r="A603" s="14"/>
      <c r="B603" s="13"/>
      <c r="C603" s="12"/>
      <c r="D603" s="12"/>
      <c r="E603" s="12"/>
      <c r="F603" s="12"/>
      <c r="G603" s="12"/>
      <c r="H603" s="12"/>
      <c r="I603" s="12"/>
      <c r="J603" s="12"/>
      <c r="K603" s="12"/>
    </row>
    <row r="604" spans="1:11" x14ac:dyDescent="0.2">
      <c r="A604" s="14"/>
      <c r="B604" s="13"/>
      <c r="C604" s="12"/>
      <c r="D604" s="12"/>
      <c r="E604" s="12"/>
      <c r="F604" s="12"/>
      <c r="G604" s="12"/>
      <c r="H604" s="12"/>
      <c r="I604" s="12"/>
      <c r="J604" s="12"/>
      <c r="K604" s="12"/>
    </row>
    <row r="605" spans="1:11" x14ac:dyDescent="0.2">
      <c r="A605" s="14"/>
      <c r="B605" s="13"/>
      <c r="C605" s="12"/>
      <c r="D605" s="12"/>
      <c r="E605" s="12"/>
      <c r="F605" s="12"/>
      <c r="G605" s="12"/>
      <c r="H605" s="12"/>
      <c r="I605" s="12"/>
      <c r="J605" s="12"/>
      <c r="K605" s="12"/>
    </row>
    <row r="606" spans="1:11" x14ac:dyDescent="0.2">
      <c r="A606" s="14"/>
      <c r="B606" s="13"/>
      <c r="C606" s="12"/>
      <c r="D606" s="12"/>
      <c r="E606" s="12"/>
      <c r="F606" s="12"/>
      <c r="G606" s="12"/>
      <c r="H606" s="12"/>
      <c r="I606" s="12"/>
      <c r="J606" s="12"/>
      <c r="K606" s="12"/>
    </row>
    <row r="607" spans="1:11" x14ac:dyDescent="0.2">
      <c r="A607" s="14"/>
      <c r="B607" s="13"/>
      <c r="C607" s="12"/>
      <c r="D607" s="12"/>
      <c r="E607" s="12"/>
      <c r="F607" s="12"/>
      <c r="G607" s="12"/>
      <c r="H607" s="12"/>
      <c r="I607" s="12"/>
      <c r="J607" s="12"/>
      <c r="K607" s="12"/>
    </row>
    <row r="608" spans="1:11" x14ac:dyDescent="0.2">
      <c r="A608" s="14"/>
      <c r="B608" s="13"/>
      <c r="C608" s="12"/>
      <c r="D608" s="12"/>
      <c r="E608" s="12"/>
      <c r="F608" s="12"/>
      <c r="G608" s="12"/>
      <c r="H608" s="12"/>
      <c r="I608" s="12"/>
      <c r="J608" s="12"/>
      <c r="K608" s="12"/>
    </row>
    <row r="609" spans="1:11" x14ac:dyDescent="0.2">
      <c r="A609" s="14"/>
      <c r="B609" s="13"/>
      <c r="C609" s="12"/>
      <c r="D609" s="12"/>
      <c r="E609" s="12"/>
      <c r="F609" s="12"/>
      <c r="G609" s="12"/>
      <c r="H609" s="12"/>
      <c r="I609" s="12"/>
      <c r="J609" s="12"/>
      <c r="K609" s="12"/>
    </row>
    <row r="610" spans="1:11" x14ac:dyDescent="0.2">
      <c r="A610" s="14"/>
      <c r="B610" s="13"/>
      <c r="C610" s="12"/>
      <c r="D610" s="12"/>
      <c r="E610" s="12"/>
      <c r="F610" s="12"/>
      <c r="G610" s="12"/>
      <c r="H610" s="12"/>
      <c r="I610" s="12"/>
      <c r="J610" s="12"/>
      <c r="K610" s="12"/>
    </row>
    <row r="611" spans="1:11" x14ac:dyDescent="0.2">
      <c r="A611" s="14"/>
      <c r="B611" s="13"/>
      <c r="C611" s="12"/>
      <c r="D611" s="12"/>
      <c r="E611" s="12"/>
      <c r="F611" s="12"/>
      <c r="G611" s="12"/>
      <c r="H611" s="12"/>
      <c r="I611" s="12"/>
      <c r="J611" s="12"/>
      <c r="K611" s="12"/>
    </row>
    <row r="612" spans="1:11" x14ac:dyDescent="0.2">
      <c r="A612" s="14"/>
      <c r="B612" s="13"/>
      <c r="C612" s="12"/>
      <c r="D612" s="12"/>
      <c r="E612" s="12"/>
      <c r="F612" s="12"/>
      <c r="G612" s="12"/>
      <c r="H612" s="12"/>
      <c r="I612" s="12"/>
      <c r="J612" s="12"/>
      <c r="K612" s="12"/>
    </row>
    <row r="613" spans="1:11" x14ac:dyDescent="0.2">
      <c r="A613" s="14"/>
      <c r="B613" s="13"/>
      <c r="C613" s="12"/>
      <c r="D613" s="12"/>
      <c r="E613" s="12"/>
      <c r="F613" s="12"/>
      <c r="G613" s="12"/>
      <c r="H613" s="12"/>
      <c r="I613" s="12"/>
      <c r="J613" s="12"/>
      <c r="K613" s="12"/>
    </row>
    <row r="614" spans="1:11" x14ac:dyDescent="0.2">
      <c r="A614" s="14"/>
      <c r="B614" s="13"/>
      <c r="C614" s="12"/>
      <c r="D614" s="12"/>
      <c r="E614" s="12"/>
      <c r="F614" s="12"/>
      <c r="G614" s="12"/>
      <c r="H614" s="12"/>
      <c r="I614" s="12"/>
      <c r="J614" s="12"/>
      <c r="K614" s="12"/>
    </row>
    <row r="615" spans="1:11" x14ac:dyDescent="0.2">
      <c r="A615" s="14"/>
      <c r="B615" s="13"/>
      <c r="C615" s="12"/>
      <c r="D615" s="12"/>
      <c r="E615" s="12"/>
      <c r="F615" s="12"/>
      <c r="G615" s="12"/>
      <c r="H615" s="12"/>
      <c r="I615" s="12"/>
      <c r="J615" s="12"/>
      <c r="K615" s="12"/>
    </row>
    <row r="616" spans="1:11" x14ac:dyDescent="0.2">
      <c r="A616" s="14"/>
      <c r="B616" s="13"/>
      <c r="C616" s="12"/>
      <c r="D616" s="12"/>
      <c r="E616" s="12"/>
      <c r="F616" s="12"/>
      <c r="G616" s="12"/>
      <c r="H616" s="12"/>
      <c r="I616" s="12"/>
      <c r="J616" s="12"/>
      <c r="K616" s="12"/>
    </row>
    <row r="617" spans="1:11" x14ac:dyDescent="0.2">
      <c r="A617" s="14"/>
      <c r="B617" s="13"/>
      <c r="C617" s="12"/>
      <c r="D617" s="12"/>
      <c r="E617" s="12"/>
      <c r="F617" s="12"/>
      <c r="G617" s="12"/>
      <c r="H617" s="12"/>
      <c r="I617" s="12"/>
      <c r="J617" s="12"/>
      <c r="K617" s="12"/>
    </row>
    <row r="618" spans="1:11" x14ac:dyDescent="0.2">
      <c r="A618" s="14"/>
      <c r="B618" s="13"/>
      <c r="C618" s="12"/>
      <c r="D618" s="12"/>
      <c r="E618" s="12"/>
      <c r="F618" s="12"/>
      <c r="G618" s="12"/>
      <c r="H618" s="12"/>
      <c r="I618" s="12"/>
      <c r="J618" s="12"/>
      <c r="K618" s="12"/>
    </row>
    <row r="619" spans="1:11" x14ac:dyDescent="0.2">
      <c r="A619" s="14"/>
      <c r="B619" s="13"/>
      <c r="C619" s="12"/>
      <c r="D619" s="12"/>
      <c r="E619" s="12"/>
      <c r="F619" s="12"/>
      <c r="G619" s="12"/>
      <c r="H619" s="12"/>
      <c r="I619" s="12"/>
      <c r="J619" s="12"/>
      <c r="K619" s="12"/>
    </row>
    <row r="620" spans="1:11" x14ac:dyDescent="0.2">
      <c r="A620" s="14"/>
      <c r="B620" s="13"/>
      <c r="C620" s="12"/>
      <c r="D620" s="12"/>
      <c r="E620" s="12"/>
      <c r="F620" s="12"/>
      <c r="G620" s="12"/>
      <c r="H620" s="12"/>
      <c r="I620" s="12"/>
      <c r="J620" s="12"/>
      <c r="K620" s="12"/>
    </row>
    <row r="621" spans="1:11" x14ac:dyDescent="0.2">
      <c r="A621" s="14"/>
      <c r="B621" s="13"/>
      <c r="C621" s="12"/>
      <c r="D621" s="12"/>
      <c r="E621" s="12"/>
      <c r="F621" s="12"/>
      <c r="G621" s="12"/>
      <c r="H621" s="12"/>
      <c r="I621" s="12"/>
      <c r="J621" s="12"/>
      <c r="K621" s="12"/>
    </row>
    <row r="622" spans="1:11" x14ac:dyDescent="0.2">
      <c r="A622" s="14"/>
      <c r="B622" s="13"/>
      <c r="C622" s="12"/>
      <c r="D622" s="12"/>
      <c r="E622" s="12"/>
      <c r="F622" s="12"/>
      <c r="G622" s="12"/>
      <c r="H622" s="12"/>
      <c r="I622" s="12"/>
      <c r="J622" s="12"/>
      <c r="K622" s="12"/>
    </row>
    <row r="623" spans="1:11" x14ac:dyDescent="0.2">
      <c r="A623" s="14"/>
      <c r="B623" s="13"/>
      <c r="C623" s="12"/>
      <c r="D623" s="12"/>
      <c r="E623" s="12"/>
      <c r="F623" s="12"/>
      <c r="G623" s="12"/>
      <c r="H623" s="12"/>
      <c r="I623" s="12"/>
      <c r="J623" s="12"/>
      <c r="K623" s="12"/>
    </row>
    <row r="624" spans="1:11" x14ac:dyDescent="0.2">
      <c r="A624" s="14"/>
      <c r="B624" s="13"/>
      <c r="C624" s="12"/>
      <c r="D624" s="12"/>
      <c r="E624" s="12"/>
      <c r="F624" s="12"/>
      <c r="G624" s="12"/>
      <c r="H624" s="12"/>
      <c r="I624" s="12"/>
      <c r="J624" s="12"/>
      <c r="K624" s="12"/>
    </row>
    <row r="625" spans="1:11" x14ac:dyDescent="0.2">
      <c r="A625" s="14"/>
      <c r="B625" s="13"/>
      <c r="C625" s="12"/>
      <c r="D625" s="12"/>
      <c r="E625" s="12"/>
      <c r="F625" s="12"/>
      <c r="G625" s="12"/>
      <c r="H625" s="12"/>
      <c r="I625" s="12"/>
      <c r="J625" s="12"/>
      <c r="K625" s="12"/>
    </row>
    <row r="626" spans="1:11" x14ac:dyDescent="0.2">
      <c r="A626" s="14"/>
      <c r="B626" s="13"/>
      <c r="C626" s="12"/>
      <c r="D626" s="12"/>
      <c r="E626" s="12"/>
      <c r="F626" s="12"/>
      <c r="G626" s="12"/>
      <c r="H626" s="12"/>
      <c r="I626" s="12"/>
      <c r="J626" s="12"/>
      <c r="K626" s="12"/>
    </row>
    <row r="627" spans="1:11" x14ac:dyDescent="0.2">
      <c r="A627" s="14"/>
      <c r="B627" s="13"/>
      <c r="C627" s="12"/>
      <c r="D627" s="12"/>
      <c r="E627" s="12"/>
      <c r="F627" s="12"/>
      <c r="G627" s="12"/>
      <c r="H627" s="12"/>
      <c r="I627" s="12"/>
      <c r="J627" s="12"/>
      <c r="K627" s="12"/>
    </row>
    <row r="628" spans="1:11" x14ac:dyDescent="0.2">
      <c r="A628" s="14"/>
      <c r="B628" s="13"/>
      <c r="C628" s="12"/>
      <c r="D628" s="12"/>
      <c r="E628" s="12"/>
      <c r="F628" s="12"/>
      <c r="G628" s="12"/>
      <c r="H628" s="12"/>
      <c r="I628" s="12"/>
      <c r="J628" s="12"/>
      <c r="K628" s="12"/>
    </row>
    <row r="629" spans="1:11" x14ac:dyDescent="0.2">
      <c r="A629" s="14"/>
      <c r="B629" s="13"/>
      <c r="C629" s="12"/>
      <c r="D629" s="12"/>
      <c r="E629" s="12"/>
      <c r="F629" s="12"/>
      <c r="G629" s="12"/>
      <c r="H629" s="12"/>
      <c r="I629" s="12"/>
      <c r="J629" s="12"/>
      <c r="K629" s="12"/>
    </row>
    <row r="630" spans="1:11" x14ac:dyDescent="0.2">
      <c r="A630" s="14"/>
      <c r="B630" s="13"/>
      <c r="C630" s="12"/>
      <c r="D630" s="12"/>
      <c r="E630" s="12"/>
      <c r="F630" s="12"/>
      <c r="G630" s="12"/>
      <c r="H630" s="12"/>
      <c r="I630" s="12"/>
      <c r="J630" s="12"/>
      <c r="K630" s="12"/>
    </row>
    <row r="631" spans="1:11" x14ac:dyDescent="0.2">
      <c r="A631" s="14"/>
      <c r="B631" s="13"/>
      <c r="C631" s="12"/>
      <c r="D631" s="12"/>
      <c r="E631" s="12"/>
      <c r="F631" s="12"/>
      <c r="G631" s="12"/>
      <c r="H631" s="12"/>
      <c r="I631" s="12"/>
      <c r="J631" s="12"/>
      <c r="K631" s="12"/>
    </row>
    <row r="632" spans="1:11" x14ac:dyDescent="0.2">
      <c r="A632" s="14"/>
      <c r="B632" s="13"/>
      <c r="C632" s="12"/>
      <c r="D632" s="12"/>
      <c r="E632" s="12"/>
      <c r="F632" s="12"/>
      <c r="G632" s="12"/>
      <c r="H632" s="12"/>
      <c r="I632" s="12"/>
      <c r="J632" s="12"/>
      <c r="K632" s="12"/>
    </row>
    <row r="633" spans="1:11" x14ac:dyDescent="0.2">
      <c r="A633" s="14"/>
      <c r="B633" s="13"/>
      <c r="C633" s="12"/>
      <c r="D633" s="12"/>
      <c r="E633" s="12"/>
      <c r="F633" s="12"/>
      <c r="G633" s="12"/>
      <c r="H633" s="12"/>
      <c r="I633" s="12"/>
      <c r="J633" s="12"/>
      <c r="K633" s="12"/>
    </row>
    <row r="634" spans="1:11" x14ac:dyDescent="0.2">
      <c r="A634" s="14"/>
      <c r="B634" s="13"/>
      <c r="C634" s="12"/>
      <c r="D634" s="12"/>
      <c r="E634" s="12"/>
      <c r="F634" s="12"/>
      <c r="G634" s="12"/>
      <c r="H634" s="12"/>
      <c r="I634" s="12"/>
      <c r="J634" s="12"/>
      <c r="K634" s="12"/>
    </row>
    <row r="635" spans="1:11" x14ac:dyDescent="0.2">
      <c r="A635" s="14"/>
      <c r="B635" s="13"/>
      <c r="C635" s="12"/>
      <c r="D635" s="12"/>
      <c r="E635" s="12"/>
      <c r="F635" s="12"/>
      <c r="G635" s="12"/>
      <c r="H635" s="12"/>
      <c r="I635" s="12"/>
      <c r="J635" s="12"/>
      <c r="K635" s="12"/>
    </row>
    <row r="636" spans="1:11" x14ac:dyDescent="0.2">
      <c r="A636" s="14"/>
      <c r="B636" s="13"/>
      <c r="C636" s="12"/>
      <c r="D636" s="12"/>
      <c r="E636" s="12"/>
      <c r="F636" s="12"/>
      <c r="G636" s="12"/>
      <c r="H636" s="12"/>
      <c r="I636" s="12"/>
      <c r="J636" s="12"/>
      <c r="K636" s="12"/>
    </row>
    <row r="637" spans="1:11" x14ac:dyDescent="0.2">
      <c r="A637" s="14"/>
      <c r="B637" s="13"/>
      <c r="C637" s="12"/>
      <c r="D637" s="12"/>
      <c r="E637" s="12"/>
      <c r="F637" s="12"/>
      <c r="G637" s="12"/>
      <c r="H637" s="12"/>
      <c r="I637" s="12"/>
      <c r="J637" s="12"/>
      <c r="K637" s="12"/>
    </row>
    <row r="638" spans="1:11" x14ac:dyDescent="0.2">
      <c r="A638" s="14"/>
      <c r="B638" s="13"/>
      <c r="C638" s="12"/>
      <c r="D638" s="12"/>
      <c r="E638" s="12"/>
      <c r="F638" s="12"/>
      <c r="G638" s="12"/>
      <c r="H638" s="12"/>
      <c r="I638" s="12"/>
      <c r="J638" s="12"/>
      <c r="K638" s="12"/>
    </row>
    <row r="639" spans="1:11" x14ac:dyDescent="0.2">
      <c r="A639" s="14"/>
      <c r="B639" s="13"/>
      <c r="C639" s="12"/>
      <c r="D639" s="12"/>
      <c r="E639" s="12"/>
      <c r="F639" s="12"/>
      <c r="G639" s="12"/>
      <c r="H639" s="12"/>
      <c r="I639" s="12"/>
      <c r="J639" s="12"/>
      <c r="K639" s="12"/>
    </row>
    <row r="640" spans="1:11" x14ac:dyDescent="0.2">
      <c r="A640" s="14"/>
      <c r="B640" s="13"/>
      <c r="C640" s="12"/>
      <c r="D640" s="12"/>
      <c r="E640" s="12"/>
      <c r="F640" s="12"/>
      <c r="G640" s="12"/>
      <c r="H640" s="12"/>
      <c r="I640" s="12"/>
      <c r="J640" s="12"/>
      <c r="K640" s="12"/>
    </row>
    <row r="641" spans="1:11" x14ac:dyDescent="0.2">
      <c r="A641" s="14"/>
      <c r="B641" s="13"/>
      <c r="C641" s="12"/>
      <c r="D641" s="12"/>
      <c r="E641" s="12"/>
      <c r="F641" s="12"/>
      <c r="G641" s="12"/>
      <c r="H641" s="12"/>
      <c r="I641" s="12"/>
      <c r="J641" s="12"/>
      <c r="K641" s="12"/>
    </row>
    <row r="642" spans="1:11" x14ac:dyDescent="0.2">
      <c r="A642" s="14"/>
      <c r="B642" s="13"/>
      <c r="C642" s="12"/>
      <c r="D642" s="12"/>
      <c r="E642" s="12"/>
      <c r="F642" s="12"/>
      <c r="G642" s="12"/>
      <c r="H642" s="12"/>
      <c r="I642" s="12"/>
      <c r="J642" s="12"/>
      <c r="K642" s="12"/>
    </row>
    <row r="643" spans="1:11" x14ac:dyDescent="0.2">
      <c r="A643" s="14"/>
      <c r="B643" s="13"/>
      <c r="C643" s="12"/>
      <c r="D643" s="12"/>
      <c r="E643" s="12"/>
      <c r="F643" s="12"/>
      <c r="G643" s="12"/>
      <c r="H643" s="12"/>
      <c r="I643" s="12"/>
      <c r="J643" s="12"/>
      <c r="K643" s="12"/>
    </row>
    <row r="644" spans="1:11" x14ac:dyDescent="0.2">
      <c r="A644" s="14"/>
      <c r="B644" s="13"/>
      <c r="C644" s="12"/>
      <c r="D644" s="12"/>
      <c r="E644" s="12"/>
      <c r="F644" s="12"/>
      <c r="G644" s="12"/>
      <c r="H644" s="12"/>
      <c r="I644" s="12"/>
      <c r="J644" s="12"/>
      <c r="K644" s="12"/>
    </row>
    <row r="645" spans="1:11" x14ac:dyDescent="0.2">
      <c r="A645" s="14"/>
      <c r="B645" s="13"/>
      <c r="C645" s="12"/>
      <c r="D645" s="12"/>
      <c r="E645" s="12"/>
      <c r="F645" s="12"/>
      <c r="G645" s="12"/>
      <c r="H645" s="12"/>
      <c r="I645" s="12"/>
      <c r="J645" s="12"/>
      <c r="K645" s="12"/>
    </row>
    <row r="646" spans="1:11" x14ac:dyDescent="0.2">
      <c r="A646" s="14"/>
      <c r="B646" s="13"/>
      <c r="C646" s="12"/>
      <c r="D646" s="12"/>
      <c r="E646" s="12"/>
      <c r="F646" s="12"/>
      <c r="G646" s="12"/>
      <c r="H646" s="12"/>
      <c r="I646" s="12"/>
      <c r="J646" s="12"/>
      <c r="K646" s="12"/>
    </row>
    <row r="647" spans="1:11" x14ac:dyDescent="0.2">
      <c r="A647" s="14"/>
      <c r="B647" s="13"/>
      <c r="C647" s="12"/>
      <c r="D647" s="12"/>
      <c r="E647" s="12"/>
      <c r="F647" s="12"/>
      <c r="G647" s="12"/>
      <c r="H647" s="12"/>
      <c r="I647" s="12"/>
      <c r="J647" s="12"/>
      <c r="K647" s="12"/>
    </row>
    <row r="648" spans="1:11" x14ac:dyDescent="0.2">
      <c r="A648" s="14"/>
      <c r="B648" s="13"/>
      <c r="C648" s="12"/>
      <c r="D648" s="12"/>
      <c r="E648" s="12"/>
      <c r="F648" s="12"/>
      <c r="G648" s="12"/>
      <c r="H648" s="12"/>
      <c r="I648" s="12"/>
      <c r="J648" s="12"/>
      <c r="K648" s="12"/>
    </row>
    <row r="649" spans="1:11" x14ac:dyDescent="0.2">
      <c r="A649" s="14"/>
      <c r="B649" s="13"/>
      <c r="C649" s="12"/>
      <c r="D649" s="12"/>
      <c r="E649" s="12"/>
      <c r="F649" s="12"/>
      <c r="G649" s="12"/>
      <c r="H649" s="12"/>
      <c r="I649" s="12"/>
      <c r="J649" s="12"/>
      <c r="K649" s="12"/>
    </row>
    <row r="650" spans="1:11" x14ac:dyDescent="0.2">
      <c r="A650" s="14"/>
      <c r="B650" s="13"/>
      <c r="C650" s="12"/>
      <c r="D650" s="12"/>
      <c r="E650" s="12"/>
      <c r="F650" s="12"/>
      <c r="G650" s="12"/>
      <c r="H650" s="12"/>
      <c r="I650" s="12"/>
      <c r="J650" s="12"/>
      <c r="K650" s="12"/>
    </row>
    <row r="651" spans="1:11" x14ac:dyDescent="0.2">
      <c r="A651" s="14"/>
      <c r="B651" s="13"/>
      <c r="C651" s="12"/>
      <c r="D651" s="12"/>
      <c r="E651" s="12"/>
      <c r="F651" s="12"/>
      <c r="G651" s="12"/>
      <c r="H651" s="12"/>
      <c r="I651" s="12"/>
      <c r="J651" s="12"/>
      <c r="K651" s="12"/>
    </row>
    <row r="652" spans="1:11" x14ac:dyDescent="0.2">
      <c r="A652" s="14"/>
      <c r="B652" s="13"/>
      <c r="C652" s="12"/>
      <c r="D652" s="12"/>
      <c r="E652" s="12"/>
      <c r="F652" s="12"/>
      <c r="G652" s="12"/>
      <c r="H652" s="12"/>
      <c r="I652" s="12"/>
      <c r="J652" s="12"/>
      <c r="K652" s="12"/>
    </row>
    <row r="653" spans="1:11" x14ac:dyDescent="0.2">
      <c r="A653" s="14"/>
      <c r="B653" s="13"/>
      <c r="C653" s="12"/>
      <c r="D653" s="12"/>
      <c r="E653" s="12"/>
      <c r="F653" s="12"/>
      <c r="G653" s="12"/>
      <c r="H653" s="12"/>
      <c r="I653" s="12"/>
      <c r="J653" s="12"/>
      <c r="K653" s="12"/>
    </row>
    <row r="654" spans="1:11" x14ac:dyDescent="0.2">
      <c r="A654" s="14"/>
      <c r="B654" s="13"/>
      <c r="C654" s="12"/>
      <c r="D654" s="12"/>
      <c r="E654" s="12"/>
      <c r="F654" s="12"/>
      <c r="G654" s="12"/>
      <c r="H654" s="12"/>
      <c r="I654" s="12"/>
      <c r="J654" s="12"/>
      <c r="K654" s="12"/>
    </row>
    <row r="655" spans="1:11" x14ac:dyDescent="0.2">
      <c r="A655" s="14"/>
      <c r="B655" s="13"/>
      <c r="C655" s="12"/>
      <c r="D655" s="12"/>
      <c r="E655" s="12"/>
      <c r="F655" s="12"/>
      <c r="G655" s="12"/>
      <c r="H655" s="12"/>
      <c r="I655" s="12"/>
      <c r="J655" s="12"/>
      <c r="K655" s="12"/>
    </row>
    <row r="656" spans="1:11" x14ac:dyDescent="0.2">
      <c r="A656" s="14"/>
      <c r="B656" s="13"/>
      <c r="C656" s="12"/>
      <c r="D656" s="12"/>
      <c r="E656" s="12"/>
      <c r="F656" s="12"/>
      <c r="G656" s="12"/>
      <c r="H656" s="12"/>
      <c r="I656" s="12"/>
      <c r="J656" s="12"/>
      <c r="K656" s="12"/>
    </row>
    <row r="657" spans="1:11" x14ac:dyDescent="0.2">
      <c r="A657" s="14"/>
      <c r="B657" s="13"/>
      <c r="C657" s="12"/>
      <c r="D657" s="12"/>
      <c r="E657" s="12"/>
      <c r="F657" s="12"/>
      <c r="G657" s="12"/>
      <c r="H657" s="12"/>
      <c r="I657" s="12"/>
      <c r="J657" s="12"/>
      <c r="K657" s="12"/>
    </row>
    <row r="658" spans="1:11" x14ac:dyDescent="0.2">
      <c r="A658" s="14"/>
      <c r="B658" s="13"/>
      <c r="C658" s="12"/>
      <c r="D658" s="12"/>
      <c r="E658" s="12"/>
      <c r="F658" s="12"/>
      <c r="G658" s="12"/>
      <c r="H658" s="12"/>
      <c r="I658" s="12"/>
      <c r="J658" s="12"/>
      <c r="K658" s="12"/>
    </row>
    <row r="659" spans="1:11" x14ac:dyDescent="0.2">
      <c r="A659" s="14"/>
      <c r="B659" s="13"/>
      <c r="C659" s="12"/>
      <c r="D659" s="12"/>
      <c r="E659" s="12"/>
      <c r="F659" s="12"/>
      <c r="G659" s="12"/>
      <c r="H659" s="12"/>
      <c r="I659" s="12"/>
      <c r="J659" s="12"/>
      <c r="K659" s="12"/>
    </row>
    <row r="660" spans="1:11" x14ac:dyDescent="0.2">
      <c r="A660" s="14"/>
      <c r="B660" s="13"/>
      <c r="C660" s="12"/>
      <c r="D660" s="12"/>
      <c r="E660" s="12"/>
      <c r="F660" s="12"/>
      <c r="G660" s="12"/>
      <c r="H660" s="12"/>
      <c r="I660" s="12"/>
      <c r="J660" s="12"/>
      <c r="K660" s="12"/>
    </row>
    <row r="661" spans="1:11" x14ac:dyDescent="0.2">
      <c r="A661" s="14"/>
      <c r="B661" s="13"/>
      <c r="C661" s="12"/>
      <c r="D661" s="12"/>
      <c r="E661" s="12"/>
      <c r="F661" s="12"/>
      <c r="G661" s="12"/>
      <c r="H661" s="12"/>
      <c r="I661" s="12"/>
      <c r="J661" s="12"/>
      <c r="K661" s="12"/>
    </row>
    <row r="662" spans="1:11" x14ac:dyDescent="0.2">
      <c r="A662" s="14"/>
      <c r="B662" s="13"/>
      <c r="C662" s="12"/>
      <c r="D662" s="12"/>
      <c r="E662" s="12"/>
      <c r="F662" s="12"/>
      <c r="G662" s="12"/>
      <c r="H662" s="12"/>
      <c r="I662" s="12"/>
      <c r="J662" s="12"/>
      <c r="K662" s="12"/>
    </row>
    <row r="663" spans="1:11" x14ac:dyDescent="0.2">
      <c r="A663" s="14"/>
      <c r="B663" s="13"/>
      <c r="C663" s="12"/>
      <c r="D663" s="12"/>
      <c r="E663" s="12"/>
      <c r="F663" s="12"/>
      <c r="G663" s="12"/>
      <c r="H663" s="12"/>
      <c r="I663" s="12"/>
      <c r="J663" s="12"/>
      <c r="K663" s="12"/>
    </row>
    <row r="664" spans="1:11" x14ac:dyDescent="0.2">
      <c r="A664" s="14"/>
      <c r="B664" s="13"/>
      <c r="C664" s="12"/>
      <c r="D664" s="12"/>
      <c r="E664" s="12"/>
      <c r="F664" s="12"/>
      <c r="G664" s="12"/>
      <c r="H664" s="12"/>
      <c r="I664" s="12"/>
      <c r="J664" s="12"/>
      <c r="K664" s="12"/>
    </row>
    <row r="665" spans="1:11" x14ac:dyDescent="0.2">
      <c r="A665" s="14"/>
      <c r="B665" s="13"/>
      <c r="C665" s="12"/>
      <c r="D665" s="12"/>
      <c r="E665" s="12"/>
      <c r="F665" s="12"/>
      <c r="G665" s="12"/>
      <c r="H665" s="12"/>
      <c r="I665" s="12"/>
      <c r="J665" s="12"/>
      <c r="K665" s="12"/>
    </row>
    <row r="666" spans="1:11" x14ac:dyDescent="0.2">
      <c r="A666" s="14"/>
      <c r="B666" s="13"/>
      <c r="C666" s="12"/>
      <c r="D666" s="12"/>
      <c r="E666" s="12"/>
      <c r="F666" s="12"/>
      <c r="G666" s="12"/>
      <c r="H666" s="12"/>
      <c r="I666" s="12"/>
      <c r="J666" s="12"/>
      <c r="K666" s="12"/>
    </row>
    <row r="667" spans="1:11" x14ac:dyDescent="0.2">
      <c r="A667" s="14"/>
      <c r="B667" s="13"/>
      <c r="C667" s="12"/>
      <c r="D667" s="12"/>
      <c r="E667" s="12"/>
      <c r="F667" s="12"/>
      <c r="G667" s="12"/>
      <c r="H667" s="12"/>
      <c r="I667" s="12"/>
      <c r="J667" s="12"/>
      <c r="K667" s="12"/>
    </row>
    <row r="668" spans="1:11" x14ac:dyDescent="0.2">
      <c r="A668" s="14"/>
      <c r="B668" s="13"/>
      <c r="C668" s="12"/>
      <c r="D668" s="12"/>
      <c r="E668" s="12"/>
      <c r="F668" s="12"/>
      <c r="G668" s="12"/>
      <c r="H668" s="12"/>
      <c r="I668" s="12"/>
      <c r="J668" s="12"/>
      <c r="K668" s="12"/>
    </row>
    <row r="669" spans="1:11" x14ac:dyDescent="0.2">
      <c r="A669" s="14"/>
      <c r="B669" s="13"/>
      <c r="C669" s="12"/>
      <c r="D669" s="12"/>
      <c r="E669" s="12"/>
      <c r="F669" s="12"/>
      <c r="G669" s="12"/>
      <c r="H669" s="12"/>
      <c r="I669" s="12"/>
      <c r="J669" s="12"/>
      <c r="K669" s="12"/>
    </row>
    <row r="670" spans="1:11" x14ac:dyDescent="0.2">
      <c r="A670" s="14"/>
      <c r="B670" s="13"/>
      <c r="C670" s="12"/>
      <c r="D670" s="12"/>
      <c r="E670" s="12"/>
      <c r="F670" s="12"/>
      <c r="G670" s="12"/>
      <c r="H670" s="12"/>
      <c r="I670" s="12"/>
      <c r="J670" s="12"/>
      <c r="K670" s="12"/>
    </row>
    <row r="671" spans="1:11" x14ac:dyDescent="0.2">
      <c r="A671" s="14"/>
      <c r="B671" s="13"/>
      <c r="C671" s="12"/>
      <c r="D671" s="12"/>
      <c r="E671" s="12"/>
      <c r="F671" s="12"/>
      <c r="G671" s="12"/>
      <c r="H671" s="12"/>
      <c r="I671" s="12"/>
      <c r="J671" s="12"/>
      <c r="K671" s="12"/>
    </row>
    <row r="672" spans="1:11" x14ac:dyDescent="0.2">
      <c r="A672" s="14"/>
      <c r="B672" s="13"/>
      <c r="C672" s="12"/>
      <c r="D672" s="12"/>
      <c r="E672" s="12"/>
      <c r="F672" s="12"/>
      <c r="G672" s="12"/>
      <c r="H672" s="12"/>
      <c r="I672" s="12"/>
      <c r="J672" s="12"/>
      <c r="K672" s="12"/>
    </row>
    <row r="673" spans="1:11" x14ac:dyDescent="0.2">
      <c r="A673" s="14"/>
      <c r="B673" s="13"/>
      <c r="C673" s="12"/>
      <c r="D673" s="12"/>
      <c r="E673" s="12"/>
      <c r="F673" s="12"/>
      <c r="G673" s="12"/>
      <c r="H673" s="12"/>
      <c r="I673" s="12"/>
      <c r="J673" s="12"/>
      <c r="K673" s="12"/>
    </row>
    <row r="674" spans="1:11" x14ac:dyDescent="0.2">
      <c r="A674" s="14"/>
      <c r="B674" s="13"/>
      <c r="C674" s="12"/>
      <c r="D674" s="12"/>
      <c r="E674" s="12"/>
      <c r="F674" s="12"/>
      <c r="G674" s="12"/>
      <c r="H674" s="12"/>
      <c r="I674" s="12"/>
      <c r="J674" s="12"/>
      <c r="K674" s="12"/>
    </row>
    <row r="675" spans="1:11" x14ac:dyDescent="0.2">
      <c r="A675" s="14"/>
      <c r="B675" s="13"/>
      <c r="C675" s="12"/>
      <c r="D675" s="12"/>
      <c r="E675" s="12"/>
      <c r="F675" s="12"/>
      <c r="G675" s="12"/>
      <c r="H675" s="12"/>
      <c r="I675" s="12"/>
      <c r="J675" s="12"/>
      <c r="K675" s="12"/>
    </row>
    <row r="676" spans="1:11" x14ac:dyDescent="0.2">
      <c r="A676" s="14"/>
      <c r="B676" s="13"/>
      <c r="C676" s="12"/>
      <c r="D676" s="12"/>
      <c r="E676" s="12"/>
      <c r="F676" s="12"/>
      <c r="G676" s="12"/>
      <c r="H676" s="12"/>
      <c r="I676" s="12"/>
      <c r="J676" s="12"/>
      <c r="K676" s="12"/>
    </row>
    <row r="677" spans="1:11" x14ac:dyDescent="0.2">
      <c r="A677" s="14"/>
      <c r="B677" s="13"/>
      <c r="C677" s="12"/>
      <c r="D677" s="12"/>
      <c r="E677" s="12"/>
      <c r="F677" s="12"/>
      <c r="G677" s="12"/>
      <c r="H677" s="12"/>
      <c r="I677" s="12"/>
      <c r="J677" s="12"/>
      <c r="K677" s="12"/>
    </row>
    <row r="678" spans="1:11" x14ac:dyDescent="0.2">
      <c r="A678" s="14"/>
      <c r="B678" s="13"/>
      <c r="C678" s="12"/>
      <c r="D678" s="12"/>
      <c r="E678" s="12"/>
      <c r="F678" s="12"/>
      <c r="G678" s="12"/>
      <c r="H678" s="12"/>
      <c r="I678" s="12"/>
      <c r="J678" s="12"/>
      <c r="K678" s="12"/>
    </row>
    <row r="679" spans="1:11" x14ac:dyDescent="0.2">
      <c r="A679" s="14"/>
      <c r="B679" s="13"/>
      <c r="C679" s="12"/>
      <c r="D679" s="12"/>
      <c r="E679" s="12"/>
      <c r="F679" s="12"/>
      <c r="G679" s="12"/>
      <c r="H679" s="12"/>
      <c r="I679" s="12"/>
      <c r="J679" s="12"/>
      <c r="K679" s="12"/>
    </row>
    <row r="680" spans="1:11" x14ac:dyDescent="0.2">
      <c r="A680" s="14"/>
      <c r="B680" s="13"/>
      <c r="C680" s="12"/>
      <c r="D680" s="12"/>
      <c r="E680" s="12"/>
      <c r="F680" s="12"/>
      <c r="G680" s="12"/>
      <c r="H680" s="12"/>
      <c r="I680" s="12"/>
      <c r="J680" s="12"/>
      <c r="K680" s="12"/>
    </row>
    <row r="681" spans="1:11" x14ac:dyDescent="0.2">
      <c r="A681" s="14"/>
      <c r="B681" s="13"/>
      <c r="C681" s="12"/>
      <c r="D681" s="12"/>
      <c r="E681" s="12"/>
      <c r="F681" s="12"/>
      <c r="G681" s="12"/>
      <c r="H681" s="12"/>
      <c r="I681" s="12"/>
      <c r="J681" s="12"/>
      <c r="K681" s="12"/>
    </row>
    <row r="682" spans="1:11" x14ac:dyDescent="0.2">
      <c r="A682" s="14"/>
      <c r="B682" s="13"/>
      <c r="C682" s="12"/>
      <c r="D682" s="12"/>
      <c r="E682" s="12"/>
      <c r="F682" s="12"/>
      <c r="G682" s="12"/>
      <c r="H682" s="12"/>
      <c r="I682" s="12"/>
      <c r="J682" s="12"/>
      <c r="K682" s="12"/>
    </row>
    <row r="683" spans="1:11" x14ac:dyDescent="0.2">
      <c r="A683" s="14"/>
      <c r="B683" s="13"/>
      <c r="C683" s="12"/>
      <c r="D683" s="12"/>
      <c r="E683" s="12"/>
      <c r="F683" s="12"/>
      <c r="G683" s="12"/>
      <c r="H683" s="12"/>
      <c r="I683" s="12"/>
      <c r="J683" s="12"/>
      <c r="K683" s="12"/>
    </row>
    <row r="684" spans="1:11" x14ac:dyDescent="0.2">
      <c r="A684" s="14"/>
      <c r="B684" s="13"/>
      <c r="C684" s="12"/>
      <c r="D684" s="12"/>
      <c r="E684" s="12"/>
      <c r="F684" s="12"/>
      <c r="G684" s="12"/>
      <c r="H684" s="12"/>
      <c r="I684" s="12"/>
      <c r="J684" s="12"/>
      <c r="K684" s="12"/>
    </row>
    <row r="685" spans="1:11" x14ac:dyDescent="0.2">
      <c r="A685" s="14"/>
      <c r="B685" s="13"/>
      <c r="C685" s="12"/>
      <c r="D685" s="12"/>
      <c r="E685" s="12"/>
      <c r="F685" s="12"/>
      <c r="G685" s="12"/>
      <c r="H685" s="12"/>
      <c r="I685" s="12"/>
      <c r="J685" s="12"/>
      <c r="K685" s="12"/>
    </row>
    <row r="686" spans="1:11" x14ac:dyDescent="0.2">
      <c r="A686" s="14"/>
      <c r="B686" s="13"/>
      <c r="C686" s="12"/>
      <c r="D686" s="12"/>
      <c r="E686" s="12"/>
      <c r="F686" s="12"/>
      <c r="G686" s="12"/>
      <c r="H686" s="12"/>
      <c r="I686" s="12"/>
      <c r="J686" s="12"/>
      <c r="K686" s="12"/>
    </row>
    <row r="687" spans="1:11" x14ac:dyDescent="0.2">
      <c r="A687" s="14"/>
      <c r="B687" s="13"/>
      <c r="C687" s="12"/>
      <c r="D687" s="12"/>
      <c r="E687" s="12"/>
      <c r="F687" s="12"/>
      <c r="G687" s="12"/>
      <c r="H687" s="12"/>
      <c r="I687" s="12"/>
      <c r="J687" s="12"/>
      <c r="K687" s="12"/>
    </row>
    <row r="688" spans="1:11" x14ac:dyDescent="0.2">
      <c r="A688" s="14"/>
      <c r="B688" s="13"/>
      <c r="C688" s="12"/>
      <c r="D688" s="12"/>
      <c r="E688" s="12"/>
      <c r="F688" s="12"/>
      <c r="G688" s="12"/>
      <c r="H688" s="12"/>
      <c r="I688" s="12"/>
      <c r="J688" s="12"/>
      <c r="K688" s="12"/>
    </row>
    <row r="689" spans="1:11" x14ac:dyDescent="0.2">
      <c r="A689" s="14"/>
      <c r="B689" s="13"/>
      <c r="C689" s="12"/>
      <c r="D689" s="12"/>
      <c r="E689" s="12"/>
      <c r="F689" s="12"/>
      <c r="G689" s="12"/>
      <c r="H689" s="12"/>
      <c r="I689" s="12"/>
      <c r="J689" s="12"/>
      <c r="K689" s="12"/>
    </row>
    <row r="690" spans="1:11" x14ac:dyDescent="0.2">
      <c r="A690" s="14"/>
      <c r="B690" s="13"/>
      <c r="C690" s="12"/>
      <c r="D690" s="12"/>
      <c r="E690" s="12"/>
      <c r="F690" s="12"/>
      <c r="G690" s="12"/>
      <c r="H690" s="12"/>
      <c r="I690" s="12"/>
      <c r="J690" s="12"/>
      <c r="K690" s="12"/>
    </row>
    <row r="691" spans="1:11" x14ac:dyDescent="0.2">
      <c r="A691" s="14"/>
      <c r="B691" s="13"/>
      <c r="C691" s="12"/>
      <c r="D691" s="12"/>
      <c r="E691" s="12"/>
      <c r="F691" s="12"/>
      <c r="G691" s="12"/>
      <c r="H691" s="12"/>
      <c r="I691" s="12"/>
      <c r="J691" s="12"/>
      <c r="K691" s="12"/>
    </row>
    <row r="692" spans="1:11" x14ac:dyDescent="0.2">
      <c r="A692" s="14"/>
      <c r="B692" s="13"/>
      <c r="C692" s="12"/>
      <c r="D692" s="12"/>
      <c r="E692" s="12"/>
      <c r="F692" s="12"/>
      <c r="G692" s="12"/>
      <c r="H692" s="12"/>
      <c r="I692" s="12"/>
      <c r="J692" s="12"/>
      <c r="K692" s="12"/>
    </row>
    <row r="693" spans="1:11" x14ac:dyDescent="0.2">
      <c r="A693" s="14"/>
      <c r="B693" s="13"/>
      <c r="C693" s="12"/>
      <c r="D693" s="12"/>
      <c r="E693" s="12"/>
      <c r="F693" s="12"/>
      <c r="G693" s="12"/>
      <c r="H693" s="12"/>
      <c r="I693" s="12"/>
      <c r="J693" s="12"/>
      <c r="K693" s="12"/>
    </row>
    <row r="694" spans="1:11" x14ac:dyDescent="0.2">
      <c r="A694" s="14"/>
      <c r="B694" s="13"/>
      <c r="C694" s="12"/>
      <c r="D694" s="12"/>
      <c r="E694" s="12"/>
      <c r="F694" s="12"/>
      <c r="G694" s="12"/>
      <c r="H694" s="12"/>
      <c r="I694" s="12"/>
      <c r="J694" s="12"/>
      <c r="K694" s="12"/>
    </row>
    <row r="695" spans="1:11" x14ac:dyDescent="0.2">
      <c r="A695" s="14"/>
      <c r="B695" s="13"/>
      <c r="C695" s="12"/>
      <c r="D695" s="12"/>
      <c r="E695" s="12"/>
      <c r="F695" s="12"/>
      <c r="G695" s="12"/>
      <c r="H695" s="12"/>
      <c r="I695" s="12"/>
      <c r="J695" s="12"/>
      <c r="K695" s="12"/>
    </row>
    <row r="696" spans="1:11" x14ac:dyDescent="0.2">
      <c r="A696" s="14"/>
      <c r="B696" s="13"/>
      <c r="C696" s="12"/>
      <c r="D696" s="12"/>
      <c r="E696" s="12"/>
      <c r="F696" s="12"/>
      <c r="G696" s="12"/>
      <c r="H696" s="12"/>
      <c r="I696" s="12"/>
      <c r="J696" s="12"/>
      <c r="K696" s="12"/>
    </row>
    <row r="697" spans="1:11" x14ac:dyDescent="0.2">
      <c r="A697" s="14"/>
      <c r="B697" s="13"/>
      <c r="C697" s="12"/>
      <c r="D697" s="12"/>
      <c r="E697" s="12"/>
      <c r="F697" s="12"/>
      <c r="G697" s="12"/>
      <c r="H697" s="12"/>
      <c r="I697" s="12"/>
      <c r="J697" s="12"/>
      <c r="K697" s="12"/>
    </row>
    <row r="698" spans="1:11" x14ac:dyDescent="0.2">
      <c r="A698" s="14"/>
      <c r="B698" s="13"/>
      <c r="C698" s="12"/>
      <c r="D698" s="12"/>
      <c r="E698" s="12"/>
      <c r="F698" s="12"/>
      <c r="G698" s="12"/>
      <c r="H698" s="12"/>
      <c r="I698" s="12"/>
      <c r="J698" s="12"/>
      <c r="K698" s="12"/>
    </row>
    <row r="699" spans="1:11" x14ac:dyDescent="0.2">
      <c r="A699" s="14"/>
      <c r="B699" s="13"/>
      <c r="C699" s="12"/>
      <c r="D699" s="12"/>
      <c r="E699" s="12"/>
      <c r="F699" s="12"/>
      <c r="G699" s="12"/>
      <c r="H699" s="12"/>
      <c r="I699" s="12"/>
      <c r="J699" s="12"/>
      <c r="K699" s="12"/>
    </row>
    <row r="700" spans="1:11" x14ac:dyDescent="0.2">
      <c r="A700" s="14"/>
      <c r="B700" s="13"/>
      <c r="C700" s="12"/>
      <c r="D700" s="12"/>
      <c r="E700" s="12"/>
      <c r="F700" s="12"/>
      <c r="G700" s="12"/>
      <c r="H700" s="12"/>
      <c r="I700" s="12"/>
      <c r="J700" s="12"/>
      <c r="K700" s="12"/>
    </row>
    <row r="701" spans="1:11" x14ac:dyDescent="0.2">
      <c r="A701" s="14"/>
      <c r="B701" s="13"/>
      <c r="C701" s="12"/>
      <c r="D701" s="12"/>
      <c r="E701" s="12"/>
      <c r="F701" s="12"/>
      <c r="G701" s="12"/>
      <c r="H701" s="12"/>
      <c r="I701" s="12"/>
      <c r="J701" s="12"/>
      <c r="K701" s="12"/>
    </row>
    <row r="702" spans="1:11" x14ac:dyDescent="0.2">
      <c r="A702" s="14"/>
      <c r="B702" s="13"/>
      <c r="C702" s="12"/>
      <c r="D702" s="12"/>
      <c r="E702" s="12"/>
      <c r="F702" s="12"/>
      <c r="G702" s="12"/>
      <c r="H702" s="12"/>
      <c r="I702" s="12"/>
      <c r="J702" s="12"/>
      <c r="K702" s="12"/>
    </row>
    <row r="703" spans="1:11" x14ac:dyDescent="0.2">
      <c r="A703" s="14"/>
      <c r="B703" s="13"/>
      <c r="C703" s="12"/>
      <c r="D703" s="12"/>
      <c r="E703" s="12"/>
      <c r="F703" s="12"/>
      <c r="G703" s="12"/>
      <c r="H703" s="12"/>
      <c r="I703" s="12"/>
      <c r="J703" s="12"/>
      <c r="K703" s="12"/>
    </row>
    <row r="704" spans="1:11" x14ac:dyDescent="0.2">
      <c r="A704" s="14"/>
      <c r="B704" s="13"/>
      <c r="C704" s="12"/>
      <c r="D704" s="12"/>
      <c r="E704" s="12"/>
      <c r="F704" s="12"/>
      <c r="G704" s="12"/>
      <c r="H704" s="12"/>
      <c r="I704" s="12"/>
      <c r="J704" s="12"/>
      <c r="K704" s="12"/>
    </row>
    <row r="705" spans="1:11" x14ac:dyDescent="0.2">
      <c r="A705" s="14"/>
      <c r="B705" s="13"/>
      <c r="C705" s="12"/>
      <c r="D705" s="12"/>
      <c r="E705" s="12"/>
      <c r="F705" s="12"/>
      <c r="G705" s="12"/>
      <c r="H705" s="12"/>
      <c r="I705" s="12"/>
      <c r="J705" s="12"/>
      <c r="K705" s="12"/>
    </row>
    <row r="706" spans="1:11" x14ac:dyDescent="0.2">
      <c r="A706" s="14"/>
      <c r="B706" s="13"/>
      <c r="C706" s="12"/>
      <c r="D706" s="12"/>
      <c r="E706" s="12"/>
      <c r="F706" s="12"/>
      <c r="G706" s="12"/>
      <c r="H706" s="12"/>
      <c r="I706" s="12"/>
      <c r="J706" s="12"/>
      <c r="K706" s="12"/>
    </row>
    <row r="707" spans="1:11" x14ac:dyDescent="0.2">
      <c r="A707" s="14"/>
      <c r="B707" s="13"/>
      <c r="C707" s="12"/>
      <c r="D707" s="12"/>
      <c r="E707" s="12"/>
      <c r="F707" s="12"/>
      <c r="G707" s="12"/>
      <c r="H707" s="12"/>
      <c r="I707" s="12"/>
      <c r="J707" s="12"/>
      <c r="K707" s="12"/>
    </row>
    <row r="708" spans="1:11" x14ac:dyDescent="0.2">
      <c r="A708" s="14"/>
      <c r="B708" s="13"/>
      <c r="C708" s="12"/>
      <c r="D708" s="12"/>
      <c r="E708" s="12"/>
      <c r="F708" s="12"/>
      <c r="G708" s="12"/>
      <c r="H708" s="12"/>
      <c r="I708" s="12"/>
      <c r="J708" s="12"/>
      <c r="K708" s="12"/>
    </row>
    <row r="709" spans="1:11" x14ac:dyDescent="0.2">
      <c r="A709" s="14"/>
      <c r="B709" s="13"/>
      <c r="C709" s="12"/>
      <c r="D709" s="12"/>
      <c r="E709" s="12"/>
      <c r="F709" s="12"/>
      <c r="G709" s="12"/>
      <c r="H709" s="12"/>
      <c r="I709" s="12"/>
      <c r="J709" s="12"/>
      <c r="K709" s="12"/>
    </row>
    <row r="710" spans="1:11" x14ac:dyDescent="0.2">
      <c r="A710" s="14"/>
      <c r="B710" s="13"/>
      <c r="C710" s="12"/>
      <c r="D710" s="12"/>
      <c r="E710" s="12"/>
      <c r="F710" s="12"/>
      <c r="G710" s="12"/>
      <c r="H710" s="12"/>
      <c r="I710" s="12"/>
      <c r="J710" s="12"/>
      <c r="K710" s="12"/>
    </row>
    <row r="711" spans="1:11" x14ac:dyDescent="0.2">
      <c r="A711" s="14"/>
      <c r="B711" s="13"/>
      <c r="C711" s="12"/>
      <c r="D711" s="12"/>
      <c r="E711" s="12"/>
      <c r="F711" s="12"/>
      <c r="G711" s="12"/>
      <c r="H711" s="12"/>
      <c r="I711" s="12"/>
      <c r="J711" s="12"/>
      <c r="K711" s="12"/>
    </row>
    <row r="712" spans="1:11" x14ac:dyDescent="0.2">
      <c r="A712" s="14"/>
      <c r="B712" s="13"/>
      <c r="C712" s="12"/>
      <c r="D712" s="12"/>
      <c r="E712" s="12"/>
      <c r="F712" s="12"/>
      <c r="G712" s="12"/>
      <c r="H712" s="12"/>
      <c r="I712" s="12"/>
      <c r="J712" s="12"/>
      <c r="K712" s="12"/>
    </row>
    <row r="713" spans="1:11" x14ac:dyDescent="0.2">
      <c r="A713" s="14"/>
      <c r="B713" s="13"/>
      <c r="C713" s="12"/>
      <c r="D713" s="12"/>
      <c r="E713" s="12"/>
      <c r="F713" s="12"/>
      <c r="G713" s="12"/>
      <c r="H713" s="12"/>
      <c r="I713" s="12"/>
      <c r="J713" s="12"/>
      <c r="K713" s="12"/>
    </row>
    <row r="714" spans="1:11" x14ac:dyDescent="0.2">
      <c r="A714" s="14"/>
      <c r="B714" s="13"/>
      <c r="C714" s="12"/>
      <c r="D714" s="12"/>
      <c r="E714" s="12"/>
      <c r="F714" s="12"/>
      <c r="G714" s="12"/>
      <c r="H714" s="12"/>
      <c r="I714" s="12"/>
      <c r="J714" s="12"/>
      <c r="K714" s="12"/>
    </row>
    <row r="715" spans="1:11" x14ac:dyDescent="0.2">
      <c r="A715" s="14"/>
      <c r="B715" s="13"/>
      <c r="C715" s="12"/>
      <c r="D715" s="12"/>
      <c r="E715" s="12"/>
      <c r="F715" s="12"/>
      <c r="G715" s="12"/>
      <c r="H715" s="12"/>
      <c r="I715" s="12"/>
      <c r="J715" s="12"/>
      <c r="K715" s="12"/>
    </row>
    <row r="716" spans="1:11" x14ac:dyDescent="0.2">
      <c r="A716" s="14"/>
      <c r="B716" s="13"/>
      <c r="C716" s="12"/>
      <c r="D716" s="12"/>
      <c r="E716" s="12"/>
      <c r="F716" s="12"/>
      <c r="G716" s="12"/>
      <c r="H716" s="12"/>
      <c r="I716" s="12"/>
      <c r="J716" s="12"/>
      <c r="K716" s="12"/>
    </row>
    <row r="717" spans="1:11" x14ac:dyDescent="0.2">
      <c r="A717" s="14"/>
      <c r="B717" s="13"/>
      <c r="C717" s="12"/>
      <c r="D717" s="12"/>
      <c r="E717" s="12"/>
      <c r="F717" s="12"/>
      <c r="G717" s="12"/>
      <c r="H717" s="12"/>
      <c r="I717" s="12"/>
      <c r="J717" s="12"/>
      <c r="K717" s="12"/>
    </row>
    <row r="718" spans="1:11" x14ac:dyDescent="0.2">
      <c r="A718" s="14"/>
      <c r="B718" s="13"/>
      <c r="C718" s="12"/>
      <c r="D718" s="12"/>
      <c r="E718" s="12"/>
      <c r="F718" s="12"/>
      <c r="G718" s="12"/>
      <c r="H718" s="12"/>
      <c r="I718" s="12"/>
      <c r="J718" s="12"/>
      <c r="K718" s="12"/>
    </row>
    <row r="719" spans="1:11" x14ac:dyDescent="0.2">
      <c r="A719" s="14"/>
      <c r="B719" s="13"/>
      <c r="C719" s="12"/>
      <c r="D719" s="12"/>
      <c r="E719" s="12"/>
      <c r="F719" s="12"/>
      <c r="G719" s="12"/>
      <c r="H719" s="12"/>
      <c r="I719" s="12"/>
      <c r="J719" s="12"/>
      <c r="K719" s="12"/>
    </row>
    <row r="720" spans="1:11" x14ac:dyDescent="0.2">
      <c r="A720" s="14"/>
      <c r="B720" s="13"/>
      <c r="C720" s="12"/>
      <c r="D720" s="12"/>
      <c r="E720" s="12"/>
      <c r="F720" s="12"/>
      <c r="G720" s="12"/>
      <c r="H720" s="12"/>
      <c r="I720" s="12"/>
      <c r="J720" s="12"/>
      <c r="K720" s="12"/>
    </row>
    <row r="721" spans="1:11" x14ac:dyDescent="0.2">
      <c r="A721" s="14"/>
      <c r="B721" s="13"/>
      <c r="C721" s="12"/>
      <c r="D721" s="12"/>
      <c r="E721" s="12"/>
      <c r="F721" s="12"/>
      <c r="G721" s="12"/>
      <c r="H721" s="12"/>
      <c r="I721" s="12"/>
      <c r="J721" s="12"/>
      <c r="K721" s="12"/>
    </row>
    <row r="722" spans="1:11" x14ac:dyDescent="0.2">
      <c r="A722" s="14"/>
      <c r="B722" s="13"/>
      <c r="C722" s="12"/>
      <c r="D722" s="12"/>
      <c r="E722" s="12"/>
      <c r="F722" s="12"/>
      <c r="G722" s="12"/>
      <c r="H722" s="12"/>
      <c r="I722" s="12"/>
      <c r="J722" s="12"/>
      <c r="K722" s="12"/>
    </row>
    <row r="723" spans="1:11" x14ac:dyDescent="0.2">
      <c r="A723" s="14"/>
      <c r="B723" s="13"/>
      <c r="C723" s="12"/>
      <c r="D723" s="12"/>
      <c r="E723" s="12"/>
      <c r="F723" s="12"/>
      <c r="G723" s="12"/>
      <c r="H723" s="12"/>
      <c r="I723" s="12"/>
      <c r="J723" s="12"/>
      <c r="K723" s="12"/>
    </row>
    <row r="724" spans="1:11" x14ac:dyDescent="0.2">
      <c r="A724" s="14"/>
      <c r="B724" s="13"/>
      <c r="C724" s="12"/>
      <c r="D724" s="12"/>
      <c r="E724" s="12"/>
      <c r="F724" s="12"/>
      <c r="G724" s="12"/>
      <c r="H724" s="12"/>
      <c r="I724" s="12"/>
      <c r="J724" s="12"/>
      <c r="K724" s="12"/>
    </row>
    <row r="725" spans="1:11" x14ac:dyDescent="0.2">
      <c r="A725" s="14"/>
      <c r="B725" s="13"/>
      <c r="C725" s="12"/>
      <c r="D725" s="12"/>
      <c r="E725" s="12"/>
      <c r="F725" s="12"/>
      <c r="G725" s="12"/>
      <c r="H725" s="12"/>
      <c r="I725" s="12"/>
      <c r="J725" s="12"/>
      <c r="K725" s="12"/>
    </row>
    <row r="726" spans="1:11" x14ac:dyDescent="0.2">
      <c r="A726" s="14"/>
      <c r="B726" s="13"/>
      <c r="C726" s="12"/>
      <c r="D726" s="12"/>
      <c r="E726" s="12"/>
      <c r="F726" s="12"/>
      <c r="G726" s="12"/>
      <c r="H726" s="12"/>
      <c r="I726" s="12"/>
      <c r="J726" s="12"/>
      <c r="K726" s="12"/>
    </row>
    <row r="727" spans="1:11" x14ac:dyDescent="0.2">
      <c r="A727" s="14"/>
      <c r="B727" s="13"/>
      <c r="C727" s="12"/>
      <c r="D727" s="12"/>
      <c r="E727" s="12"/>
      <c r="F727" s="12"/>
      <c r="G727" s="12"/>
      <c r="H727" s="12"/>
      <c r="I727" s="12"/>
      <c r="J727" s="12"/>
      <c r="K727" s="12"/>
    </row>
    <row r="728" spans="1:11" x14ac:dyDescent="0.2">
      <c r="A728" s="14"/>
      <c r="B728" s="13"/>
      <c r="C728" s="12"/>
      <c r="D728" s="12"/>
      <c r="E728" s="12"/>
      <c r="F728" s="12"/>
      <c r="G728" s="12"/>
      <c r="H728" s="12"/>
      <c r="I728" s="12"/>
      <c r="J728" s="12"/>
      <c r="K728" s="12"/>
    </row>
    <row r="729" spans="1:11" x14ac:dyDescent="0.2">
      <c r="A729" s="14"/>
      <c r="B729" s="13"/>
      <c r="C729" s="12"/>
      <c r="D729" s="12"/>
      <c r="E729" s="12"/>
      <c r="F729" s="12"/>
      <c r="G729" s="12"/>
      <c r="H729" s="12"/>
      <c r="I729" s="12"/>
      <c r="J729" s="12"/>
      <c r="K729" s="12"/>
    </row>
    <row r="730" spans="1:11" x14ac:dyDescent="0.2">
      <c r="A730" s="14"/>
      <c r="B730" s="13"/>
      <c r="C730" s="12"/>
      <c r="D730" s="12"/>
      <c r="E730" s="12"/>
      <c r="F730" s="12"/>
      <c r="G730" s="12"/>
      <c r="H730" s="12"/>
      <c r="I730" s="12"/>
      <c r="J730" s="12"/>
      <c r="K730" s="12"/>
    </row>
    <row r="731" spans="1:11" x14ac:dyDescent="0.2">
      <c r="A731" s="14"/>
      <c r="B731" s="13"/>
      <c r="C731" s="12"/>
      <c r="D731" s="12"/>
      <c r="E731" s="12"/>
      <c r="F731" s="12"/>
      <c r="G731" s="12"/>
      <c r="H731" s="12"/>
      <c r="I731" s="12"/>
      <c r="J731" s="12"/>
      <c r="K731" s="12"/>
    </row>
    <row r="732" spans="1:11" x14ac:dyDescent="0.2">
      <c r="A732" s="14"/>
      <c r="B732" s="13"/>
      <c r="C732" s="12"/>
      <c r="D732" s="12"/>
      <c r="E732" s="12"/>
      <c r="F732" s="12"/>
      <c r="G732" s="12"/>
      <c r="H732" s="12"/>
      <c r="I732" s="12"/>
      <c r="J732" s="12"/>
      <c r="K732" s="12"/>
    </row>
    <row r="733" spans="1:11" x14ac:dyDescent="0.2">
      <c r="A733" s="14"/>
      <c r="B733" s="13"/>
      <c r="C733" s="12"/>
      <c r="D733" s="12"/>
      <c r="E733" s="12"/>
      <c r="F733" s="12"/>
      <c r="G733" s="12"/>
      <c r="H733" s="12"/>
      <c r="I733" s="12"/>
      <c r="J733" s="12"/>
      <c r="K733" s="12"/>
    </row>
    <row r="734" spans="1:11" x14ac:dyDescent="0.2">
      <c r="A734" s="14"/>
      <c r="B734" s="13"/>
      <c r="C734" s="12"/>
      <c r="D734" s="12"/>
      <c r="E734" s="12"/>
      <c r="F734" s="12"/>
      <c r="G734" s="12"/>
      <c r="H734" s="12"/>
      <c r="I734" s="12"/>
      <c r="J734" s="12"/>
      <c r="K734" s="12"/>
    </row>
    <row r="735" spans="1:11" x14ac:dyDescent="0.2">
      <c r="A735" s="14"/>
      <c r="B735" s="13"/>
      <c r="C735" s="12"/>
      <c r="D735" s="12"/>
      <c r="E735" s="12"/>
      <c r="F735" s="12"/>
      <c r="G735" s="12"/>
      <c r="H735" s="12"/>
      <c r="I735" s="12"/>
      <c r="J735" s="12"/>
      <c r="K735" s="12"/>
    </row>
    <row r="736" spans="1:11" x14ac:dyDescent="0.2">
      <c r="A736" s="14"/>
      <c r="B736" s="13"/>
      <c r="C736" s="12"/>
      <c r="D736" s="12"/>
      <c r="E736" s="12"/>
      <c r="F736" s="12"/>
      <c r="G736" s="12"/>
      <c r="H736" s="12"/>
      <c r="I736" s="12"/>
      <c r="J736" s="12"/>
      <c r="K736" s="12"/>
    </row>
    <row r="737" spans="1:11" x14ac:dyDescent="0.2">
      <c r="A737" s="14"/>
      <c r="B737" s="13"/>
      <c r="C737" s="12"/>
      <c r="D737" s="12"/>
      <c r="E737" s="12"/>
      <c r="F737" s="12"/>
      <c r="G737" s="12"/>
      <c r="H737" s="12"/>
      <c r="I737" s="12"/>
      <c r="J737" s="12"/>
      <c r="K737" s="12"/>
    </row>
    <row r="738" spans="1:11" x14ac:dyDescent="0.2">
      <c r="A738" s="14"/>
      <c r="B738" s="13"/>
      <c r="C738" s="12"/>
      <c r="D738" s="12"/>
      <c r="E738" s="12"/>
      <c r="F738" s="12"/>
      <c r="G738" s="12"/>
      <c r="H738" s="12"/>
      <c r="I738" s="12"/>
      <c r="J738" s="12"/>
      <c r="K738" s="12"/>
    </row>
    <row r="739" spans="1:11" x14ac:dyDescent="0.2">
      <c r="A739" s="14"/>
      <c r="B739" s="13"/>
      <c r="C739" s="12"/>
      <c r="D739" s="12"/>
      <c r="E739" s="12"/>
      <c r="F739" s="12"/>
      <c r="G739" s="12"/>
      <c r="H739" s="12"/>
      <c r="I739" s="12"/>
      <c r="J739" s="12"/>
      <c r="K739" s="12"/>
    </row>
    <row r="740" spans="1:11" x14ac:dyDescent="0.2">
      <c r="A740" s="14"/>
      <c r="B740" s="13"/>
      <c r="C740" s="12"/>
      <c r="D740" s="12"/>
      <c r="E740" s="12"/>
      <c r="F740" s="12"/>
      <c r="G740" s="12"/>
      <c r="H740" s="12"/>
      <c r="I740" s="12"/>
      <c r="J740" s="12"/>
      <c r="K740" s="12"/>
    </row>
    <row r="741" spans="1:11" x14ac:dyDescent="0.2">
      <c r="A741" s="14"/>
      <c r="B741" s="13"/>
      <c r="C741" s="12"/>
      <c r="D741" s="12"/>
      <c r="E741" s="12"/>
      <c r="F741" s="12"/>
      <c r="G741" s="12"/>
      <c r="H741" s="12"/>
      <c r="I741" s="12"/>
      <c r="J741" s="12"/>
      <c r="K741" s="12"/>
    </row>
    <row r="742" spans="1:11" x14ac:dyDescent="0.2">
      <c r="A742" s="14"/>
      <c r="B742" s="13"/>
      <c r="C742" s="12"/>
      <c r="D742" s="12"/>
      <c r="E742" s="12"/>
      <c r="F742" s="12"/>
      <c r="G742" s="12"/>
      <c r="H742" s="12"/>
      <c r="I742" s="12"/>
      <c r="J742" s="12"/>
      <c r="K742" s="12"/>
    </row>
    <row r="743" spans="1:11" x14ac:dyDescent="0.2">
      <c r="A743" s="14"/>
      <c r="B743" s="13"/>
      <c r="C743" s="12"/>
      <c r="D743" s="12"/>
      <c r="E743" s="12"/>
      <c r="F743" s="12"/>
      <c r="G743" s="12"/>
      <c r="H743" s="12"/>
      <c r="I743" s="12"/>
      <c r="J743" s="12"/>
      <c r="K743" s="12"/>
    </row>
    <row r="744" spans="1:11" x14ac:dyDescent="0.2">
      <c r="A744" s="14"/>
      <c r="B744" s="13"/>
      <c r="C744" s="12"/>
      <c r="D744" s="12"/>
      <c r="E744" s="12"/>
      <c r="F744" s="12"/>
      <c r="G744" s="12"/>
      <c r="H744" s="12"/>
      <c r="I744" s="12"/>
      <c r="J744" s="12"/>
      <c r="K744" s="12"/>
    </row>
    <row r="745" spans="1:11" x14ac:dyDescent="0.2">
      <c r="A745" s="14"/>
      <c r="B745" s="13"/>
      <c r="C745" s="12"/>
      <c r="D745" s="12"/>
      <c r="E745" s="12"/>
      <c r="F745" s="12"/>
      <c r="G745" s="12"/>
      <c r="H745" s="12"/>
      <c r="I745" s="12"/>
      <c r="J745" s="12"/>
      <c r="K745" s="12"/>
    </row>
    <row r="746" spans="1:11" x14ac:dyDescent="0.2">
      <c r="A746" s="14"/>
      <c r="B746" s="13"/>
      <c r="C746" s="12"/>
      <c r="D746" s="12"/>
      <c r="E746" s="12"/>
      <c r="F746" s="12"/>
      <c r="G746" s="12"/>
      <c r="H746" s="12"/>
      <c r="I746" s="12"/>
      <c r="J746" s="12"/>
      <c r="K746" s="12"/>
    </row>
    <row r="747" spans="1:11" x14ac:dyDescent="0.2">
      <c r="A747" s="14"/>
      <c r="B747" s="13"/>
      <c r="C747" s="12"/>
      <c r="D747" s="12"/>
      <c r="E747" s="12"/>
      <c r="F747" s="12"/>
      <c r="G747" s="12"/>
      <c r="H747" s="12"/>
      <c r="I747" s="12"/>
      <c r="J747" s="12"/>
      <c r="K747" s="12"/>
    </row>
    <row r="748" spans="1:11" x14ac:dyDescent="0.2">
      <c r="A748" s="14"/>
      <c r="B748" s="13"/>
      <c r="C748" s="12"/>
      <c r="D748" s="12"/>
      <c r="E748" s="12"/>
      <c r="F748" s="12"/>
      <c r="G748" s="12"/>
      <c r="H748" s="12"/>
      <c r="I748" s="12"/>
      <c r="J748" s="12"/>
      <c r="K748" s="12"/>
    </row>
    <row r="749" spans="1:11" x14ac:dyDescent="0.2">
      <c r="A749" s="14"/>
      <c r="B749" s="13"/>
      <c r="C749" s="12"/>
      <c r="D749" s="12"/>
      <c r="E749" s="12"/>
      <c r="F749" s="12"/>
      <c r="G749" s="12"/>
      <c r="H749" s="12"/>
      <c r="I749" s="12"/>
      <c r="J749" s="12"/>
      <c r="K749" s="12"/>
    </row>
    <row r="750" spans="1:11" x14ac:dyDescent="0.2">
      <c r="A750" s="14"/>
      <c r="B750" s="13"/>
      <c r="C750" s="12"/>
      <c r="D750" s="12"/>
      <c r="E750" s="12"/>
      <c r="F750" s="12"/>
      <c r="G750" s="12"/>
      <c r="H750" s="12"/>
      <c r="I750" s="12"/>
      <c r="J750" s="12"/>
      <c r="K750" s="12"/>
    </row>
    <row r="751" spans="1:11" x14ac:dyDescent="0.2">
      <c r="A751" s="14"/>
      <c r="B751" s="13"/>
      <c r="C751" s="12"/>
      <c r="D751" s="12"/>
      <c r="E751" s="12"/>
      <c r="F751" s="12"/>
      <c r="G751" s="12"/>
      <c r="H751" s="12"/>
      <c r="I751" s="12"/>
      <c r="J751" s="12"/>
      <c r="K751" s="12"/>
    </row>
    <row r="752" spans="1:11" x14ac:dyDescent="0.2">
      <c r="A752" s="14"/>
      <c r="B752" s="13"/>
      <c r="C752" s="12"/>
      <c r="D752" s="12"/>
      <c r="E752" s="12"/>
      <c r="F752" s="12"/>
      <c r="G752" s="12"/>
      <c r="H752" s="12"/>
      <c r="I752" s="12"/>
      <c r="J752" s="12"/>
      <c r="K752" s="12"/>
    </row>
    <row r="753" spans="1:11" x14ac:dyDescent="0.2">
      <c r="A753" s="14"/>
      <c r="B753" s="13"/>
      <c r="C753" s="12"/>
      <c r="D753" s="12"/>
      <c r="E753" s="12"/>
      <c r="F753" s="12"/>
      <c r="G753" s="12"/>
      <c r="H753" s="12"/>
      <c r="I753" s="12"/>
      <c r="J753" s="12"/>
      <c r="K753" s="12"/>
    </row>
    <row r="754" spans="1:11" x14ac:dyDescent="0.2">
      <c r="A754" s="14"/>
      <c r="B754" s="13"/>
      <c r="C754" s="12"/>
      <c r="D754" s="12"/>
      <c r="E754" s="12"/>
      <c r="F754" s="12"/>
      <c r="G754" s="12"/>
      <c r="H754" s="12"/>
      <c r="I754" s="12"/>
      <c r="J754" s="12"/>
      <c r="K754" s="12"/>
    </row>
    <row r="755" spans="1:11" x14ac:dyDescent="0.2">
      <c r="A755" s="14"/>
      <c r="B755" s="13"/>
      <c r="C755" s="12"/>
      <c r="D755" s="12"/>
      <c r="E755" s="12"/>
      <c r="F755" s="12"/>
      <c r="G755" s="12"/>
      <c r="H755" s="12"/>
      <c r="I755" s="12"/>
      <c r="J755" s="12"/>
      <c r="K755" s="12"/>
    </row>
    <row r="756" spans="1:11" x14ac:dyDescent="0.2">
      <c r="A756" s="14"/>
      <c r="B756" s="13"/>
      <c r="C756" s="12"/>
      <c r="D756" s="12"/>
      <c r="E756" s="12"/>
      <c r="F756" s="12"/>
      <c r="G756" s="12"/>
      <c r="H756" s="12"/>
      <c r="I756" s="12"/>
      <c r="J756" s="12"/>
      <c r="K756" s="12"/>
    </row>
    <row r="757" spans="1:11" x14ac:dyDescent="0.2">
      <c r="A757" s="14"/>
      <c r="B757" s="13"/>
      <c r="C757" s="12"/>
      <c r="D757" s="12"/>
      <c r="E757" s="12"/>
      <c r="F757" s="12"/>
      <c r="G757" s="12"/>
      <c r="H757" s="12"/>
      <c r="I757" s="12"/>
      <c r="J757" s="12"/>
      <c r="K757" s="12"/>
    </row>
    <row r="758" spans="1:11" x14ac:dyDescent="0.2">
      <c r="A758" s="14"/>
      <c r="B758" s="13"/>
      <c r="C758" s="12"/>
      <c r="D758" s="12"/>
      <c r="E758" s="12"/>
      <c r="F758" s="12"/>
      <c r="G758" s="12"/>
      <c r="H758" s="12"/>
      <c r="I758" s="12"/>
      <c r="J758" s="12"/>
      <c r="K758" s="12"/>
    </row>
    <row r="759" spans="1:11" x14ac:dyDescent="0.2">
      <c r="A759" s="14"/>
      <c r="B759" s="13"/>
      <c r="C759" s="12"/>
      <c r="D759" s="12"/>
      <c r="E759" s="12"/>
      <c r="F759" s="12"/>
      <c r="G759" s="12"/>
      <c r="H759" s="12"/>
      <c r="I759" s="12"/>
      <c r="J759" s="12"/>
      <c r="K759" s="12"/>
    </row>
    <row r="760" spans="1:11" x14ac:dyDescent="0.2">
      <c r="A760" s="14"/>
      <c r="B760" s="13"/>
      <c r="C760" s="12"/>
      <c r="D760" s="12"/>
      <c r="E760" s="12"/>
      <c r="F760" s="12"/>
      <c r="G760" s="12"/>
      <c r="H760" s="12"/>
      <c r="I760" s="12"/>
      <c r="J760" s="12"/>
      <c r="K760" s="12"/>
    </row>
    <row r="761" spans="1:11" x14ac:dyDescent="0.2">
      <c r="A761" s="14"/>
      <c r="B761" s="13"/>
      <c r="C761" s="12"/>
      <c r="D761" s="12"/>
      <c r="E761" s="12"/>
      <c r="F761" s="12"/>
      <c r="G761" s="12"/>
      <c r="H761" s="12"/>
      <c r="I761" s="12"/>
      <c r="J761" s="12"/>
      <c r="K761" s="12"/>
    </row>
    <row r="762" spans="1:11" x14ac:dyDescent="0.2">
      <c r="A762" s="14"/>
      <c r="B762" s="13"/>
      <c r="C762" s="12"/>
      <c r="D762" s="12"/>
      <c r="E762" s="12"/>
      <c r="F762" s="12"/>
      <c r="G762" s="12"/>
      <c r="H762" s="12"/>
      <c r="I762" s="12"/>
      <c r="J762" s="12"/>
      <c r="K762" s="12"/>
    </row>
    <row r="763" spans="1:11" x14ac:dyDescent="0.2">
      <c r="A763" s="14"/>
      <c r="B763" s="13"/>
      <c r="C763" s="12"/>
      <c r="D763" s="12"/>
      <c r="E763" s="12"/>
      <c r="F763" s="12"/>
      <c r="G763" s="12"/>
      <c r="H763" s="12"/>
      <c r="I763" s="12"/>
      <c r="J763" s="12"/>
      <c r="K763" s="12"/>
    </row>
    <row r="764" spans="1:11" x14ac:dyDescent="0.2">
      <c r="A764" s="14"/>
      <c r="B764" s="13"/>
      <c r="C764" s="12"/>
      <c r="D764" s="12"/>
      <c r="E764" s="12"/>
      <c r="F764" s="12"/>
      <c r="G764" s="12"/>
      <c r="H764" s="12"/>
      <c r="I764" s="12"/>
      <c r="J764" s="12"/>
      <c r="K764" s="12"/>
    </row>
    <row r="765" spans="1:11" x14ac:dyDescent="0.2">
      <c r="A765" s="14"/>
      <c r="B765" s="13"/>
      <c r="C765" s="12"/>
      <c r="D765" s="12"/>
      <c r="E765" s="12"/>
      <c r="F765" s="12"/>
      <c r="G765" s="12"/>
      <c r="H765" s="12"/>
      <c r="I765" s="12"/>
      <c r="J765" s="12"/>
      <c r="K765" s="12"/>
    </row>
    <row r="766" spans="1:11" x14ac:dyDescent="0.2">
      <c r="A766" s="14"/>
      <c r="B766" s="13"/>
      <c r="C766" s="12"/>
      <c r="D766" s="12"/>
      <c r="E766" s="12"/>
      <c r="F766" s="12"/>
      <c r="G766" s="12"/>
      <c r="H766" s="12"/>
      <c r="I766" s="12"/>
      <c r="J766" s="12"/>
      <c r="K766" s="12"/>
    </row>
    <row r="767" spans="1:11" x14ac:dyDescent="0.2">
      <c r="A767" s="14"/>
      <c r="B767" s="13"/>
      <c r="C767" s="12"/>
      <c r="D767" s="12"/>
      <c r="E767" s="12"/>
      <c r="F767" s="12"/>
      <c r="G767" s="12"/>
      <c r="H767" s="12"/>
      <c r="I767" s="12"/>
      <c r="J767" s="12"/>
      <c r="K767" s="12"/>
    </row>
    <row r="768" spans="1:11" x14ac:dyDescent="0.2">
      <c r="A768" s="14"/>
      <c r="B768" s="13"/>
      <c r="C768" s="12"/>
      <c r="D768" s="12"/>
      <c r="E768" s="12"/>
      <c r="F768" s="12"/>
      <c r="G768" s="12"/>
      <c r="H768" s="12"/>
      <c r="I768" s="12"/>
      <c r="J768" s="12"/>
      <c r="K768" s="12"/>
    </row>
    <row r="769" spans="1:11" x14ac:dyDescent="0.2">
      <c r="A769" s="14"/>
      <c r="B769" s="13"/>
      <c r="C769" s="12"/>
      <c r="D769" s="12"/>
      <c r="E769" s="12"/>
      <c r="F769" s="12"/>
      <c r="G769" s="12"/>
      <c r="H769" s="12"/>
      <c r="I769" s="12"/>
      <c r="J769" s="12"/>
      <c r="K769" s="12"/>
    </row>
    <row r="770" spans="1:11" x14ac:dyDescent="0.2">
      <c r="A770" s="14"/>
      <c r="B770" s="13"/>
      <c r="C770" s="12"/>
      <c r="D770" s="12"/>
      <c r="E770" s="12"/>
      <c r="F770" s="12"/>
      <c r="G770" s="12"/>
      <c r="H770" s="12"/>
      <c r="I770" s="12"/>
      <c r="J770" s="12"/>
      <c r="K770" s="12"/>
    </row>
    <row r="771" spans="1:11" x14ac:dyDescent="0.2">
      <c r="A771" s="14"/>
      <c r="B771" s="13"/>
      <c r="C771" s="12"/>
      <c r="D771" s="12"/>
      <c r="E771" s="12"/>
      <c r="F771" s="12"/>
      <c r="G771" s="12"/>
      <c r="H771" s="12"/>
      <c r="I771" s="12"/>
      <c r="J771" s="12"/>
      <c r="K771" s="12"/>
    </row>
    <row r="772" spans="1:11" x14ac:dyDescent="0.2">
      <c r="A772" s="14"/>
      <c r="B772" s="13"/>
      <c r="C772" s="12"/>
      <c r="D772" s="12"/>
      <c r="E772" s="12"/>
      <c r="F772" s="12"/>
      <c r="G772" s="12"/>
      <c r="H772" s="12"/>
      <c r="I772" s="12"/>
      <c r="J772" s="12"/>
      <c r="K772" s="12"/>
    </row>
    <row r="773" spans="1:11" x14ac:dyDescent="0.2">
      <c r="A773" s="14"/>
      <c r="B773" s="13"/>
      <c r="C773" s="12"/>
      <c r="D773" s="12"/>
      <c r="E773" s="12"/>
      <c r="F773" s="12"/>
      <c r="G773" s="12"/>
      <c r="H773" s="12"/>
      <c r="I773" s="12"/>
      <c r="J773" s="12"/>
      <c r="K773" s="12"/>
    </row>
    <row r="774" spans="1:11" x14ac:dyDescent="0.2">
      <c r="A774" s="14"/>
      <c r="B774" s="13"/>
      <c r="C774" s="12"/>
      <c r="D774" s="12"/>
      <c r="E774" s="12"/>
      <c r="F774" s="12"/>
      <c r="G774" s="12"/>
      <c r="H774" s="12"/>
      <c r="I774" s="12"/>
      <c r="J774" s="12"/>
      <c r="K774" s="12"/>
    </row>
    <row r="775" spans="1:11" x14ac:dyDescent="0.2">
      <c r="A775" s="14"/>
      <c r="B775" s="13"/>
      <c r="C775" s="12"/>
      <c r="D775" s="12"/>
      <c r="E775" s="12"/>
      <c r="F775" s="12"/>
      <c r="G775" s="12"/>
      <c r="H775" s="12"/>
      <c r="I775" s="12"/>
      <c r="J775" s="12"/>
      <c r="K775" s="12"/>
    </row>
    <row r="776" spans="1:11" x14ac:dyDescent="0.2">
      <c r="A776" s="14"/>
      <c r="B776" s="13"/>
      <c r="C776" s="12"/>
      <c r="D776" s="12"/>
      <c r="E776" s="12"/>
      <c r="F776" s="12"/>
      <c r="G776" s="12"/>
      <c r="H776" s="12"/>
      <c r="I776" s="12"/>
      <c r="J776" s="12"/>
      <c r="K776" s="12"/>
    </row>
    <row r="777" spans="1:11" x14ac:dyDescent="0.2">
      <c r="A777" s="14"/>
      <c r="B777" s="13"/>
      <c r="C777" s="12"/>
      <c r="D777" s="12"/>
      <c r="E777" s="12"/>
      <c r="F777" s="12"/>
      <c r="G777" s="12"/>
      <c r="H777" s="12"/>
      <c r="I777" s="12"/>
      <c r="J777" s="12"/>
      <c r="K777" s="12"/>
    </row>
    <row r="778" spans="1:11" x14ac:dyDescent="0.2">
      <c r="A778" s="14"/>
      <c r="B778" s="13"/>
      <c r="C778" s="12"/>
      <c r="D778" s="12"/>
      <c r="E778" s="12"/>
      <c r="F778" s="12"/>
      <c r="G778" s="12"/>
      <c r="H778" s="12"/>
      <c r="I778" s="12"/>
      <c r="J778" s="12"/>
      <c r="K778" s="12"/>
    </row>
    <row r="779" spans="1:11" x14ac:dyDescent="0.2">
      <c r="A779" s="14"/>
      <c r="B779" s="13"/>
      <c r="C779" s="12"/>
      <c r="D779" s="12"/>
      <c r="E779" s="12"/>
      <c r="F779" s="12"/>
      <c r="G779" s="12"/>
      <c r="H779" s="12"/>
      <c r="I779" s="12"/>
      <c r="J779" s="12"/>
      <c r="K779" s="12"/>
    </row>
    <row r="780" spans="1:11" x14ac:dyDescent="0.2">
      <c r="A780" s="14"/>
      <c r="B780" s="13"/>
      <c r="C780" s="12"/>
      <c r="D780" s="12"/>
      <c r="E780" s="12"/>
      <c r="F780" s="12"/>
      <c r="G780" s="12"/>
      <c r="H780" s="12"/>
      <c r="I780" s="12"/>
      <c r="J780" s="12"/>
      <c r="K780" s="12"/>
    </row>
    <row r="781" spans="1:11" x14ac:dyDescent="0.2">
      <c r="A781" s="14"/>
      <c r="B781" s="13"/>
      <c r="C781" s="12"/>
      <c r="D781" s="12"/>
      <c r="E781" s="12"/>
      <c r="F781" s="12"/>
      <c r="G781" s="12"/>
      <c r="H781" s="12"/>
      <c r="I781" s="12"/>
      <c r="J781" s="12"/>
      <c r="K781" s="12"/>
    </row>
    <row r="782" spans="1:11" x14ac:dyDescent="0.2">
      <c r="A782" s="14"/>
      <c r="B782" s="13"/>
      <c r="C782" s="12"/>
      <c r="D782" s="12"/>
      <c r="E782" s="12"/>
      <c r="F782" s="12"/>
      <c r="G782" s="12"/>
      <c r="H782" s="12"/>
      <c r="I782" s="12"/>
      <c r="J782" s="12"/>
      <c r="K782" s="12"/>
    </row>
    <row r="783" spans="1:11" x14ac:dyDescent="0.2">
      <c r="A783" s="14"/>
      <c r="B783" s="13"/>
      <c r="C783" s="12"/>
      <c r="D783" s="12"/>
      <c r="E783" s="12"/>
      <c r="F783" s="12"/>
      <c r="G783" s="12"/>
      <c r="H783" s="12"/>
      <c r="I783" s="12"/>
      <c r="J783" s="12"/>
      <c r="K783" s="12"/>
    </row>
    <row r="784" spans="1:11" x14ac:dyDescent="0.2">
      <c r="A784" s="14"/>
      <c r="B784" s="13"/>
      <c r="C784" s="12"/>
      <c r="D784" s="12"/>
      <c r="E784" s="12"/>
      <c r="F784" s="12"/>
      <c r="G784" s="12"/>
      <c r="H784" s="12"/>
      <c r="I784" s="12"/>
      <c r="J784" s="12"/>
      <c r="K784" s="12"/>
    </row>
    <row r="785" spans="1:11" x14ac:dyDescent="0.2">
      <c r="A785" s="14"/>
      <c r="B785" s="13"/>
      <c r="C785" s="12"/>
      <c r="D785" s="12"/>
      <c r="E785" s="12"/>
      <c r="F785" s="12"/>
      <c r="G785" s="12"/>
      <c r="H785" s="12"/>
      <c r="I785" s="12"/>
      <c r="J785" s="12"/>
      <c r="K785" s="12"/>
    </row>
    <row r="786" spans="1:11" x14ac:dyDescent="0.2">
      <c r="A786" s="14"/>
      <c r="B786" s="13"/>
      <c r="C786" s="12"/>
      <c r="D786" s="12"/>
      <c r="E786" s="12"/>
      <c r="F786" s="12"/>
      <c r="G786" s="12"/>
      <c r="H786" s="12"/>
      <c r="I786" s="12"/>
      <c r="J786" s="12"/>
      <c r="K786" s="12"/>
    </row>
    <row r="787" spans="1:11" x14ac:dyDescent="0.2">
      <c r="A787" s="14"/>
      <c r="B787" s="13"/>
      <c r="C787" s="12"/>
      <c r="D787" s="12"/>
      <c r="E787" s="12"/>
      <c r="F787" s="12"/>
      <c r="G787" s="12"/>
      <c r="H787" s="12"/>
      <c r="I787" s="12"/>
      <c r="J787" s="12"/>
      <c r="K787" s="12"/>
    </row>
    <row r="788" spans="1:11" x14ac:dyDescent="0.2">
      <c r="A788" s="14"/>
      <c r="B788" s="13"/>
      <c r="C788" s="12"/>
      <c r="D788" s="12"/>
      <c r="E788" s="12"/>
      <c r="F788" s="12"/>
      <c r="G788" s="12"/>
      <c r="H788" s="12"/>
      <c r="I788" s="12"/>
      <c r="J788" s="12"/>
      <c r="K788" s="12"/>
    </row>
    <row r="789" spans="1:11" x14ac:dyDescent="0.2">
      <c r="A789" s="14"/>
      <c r="B789" s="13"/>
      <c r="C789" s="12"/>
      <c r="D789" s="12"/>
      <c r="E789" s="12"/>
      <c r="F789" s="12"/>
      <c r="G789" s="12"/>
      <c r="H789" s="12"/>
      <c r="I789" s="12"/>
      <c r="J789" s="12"/>
      <c r="K789" s="12"/>
    </row>
    <row r="790" spans="1:11" x14ac:dyDescent="0.2">
      <c r="A790" s="14"/>
      <c r="B790" s="13"/>
      <c r="C790" s="12"/>
      <c r="D790" s="12"/>
      <c r="E790" s="12"/>
      <c r="F790" s="12"/>
      <c r="G790" s="12"/>
      <c r="H790" s="12"/>
      <c r="I790" s="12"/>
      <c r="J790" s="12"/>
      <c r="K790" s="12"/>
    </row>
    <row r="791" spans="1:11" x14ac:dyDescent="0.2">
      <c r="A791" s="14"/>
      <c r="B791" s="13"/>
      <c r="C791" s="12"/>
      <c r="D791" s="12"/>
      <c r="E791" s="12"/>
      <c r="F791" s="12"/>
      <c r="G791" s="12"/>
      <c r="H791" s="12"/>
      <c r="I791" s="12"/>
      <c r="J791" s="12"/>
      <c r="K791" s="12"/>
    </row>
    <row r="792" spans="1:11" x14ac:dyDescent="0.2">
      <c r="A792" s="14"/>
      <c r="B792" s="13"/>
      <c r="C792" s="12"/>
      <c r="D792" s="12"/>
      <c r="E792" s="12"/>
      <c r="F792" s="12"/>
      <c r="G792" s="12"/>
      <c r="H792" s="12"/>
      <c r="I792" s="12"/>
      <c r="J792" s="12"/>
      <c r="K792" s="12"/>
    </row>
    <row r="793" spans="1:11" x14ac:dyDescent="0.2">
      <c r="A793" s="14"/>
      <c r="B793" s="13"/>
      <c r="C793" s="12"/>
      <c r="D793" s="12"/>
      <c r="E793" s="12"/>
      <c r="F793" s="12"/>
      <c r="G793" s="12"/>
      <c r="H793" s="12"/>
      <c r="I793" s="12"/>
      <c r="J793" s="12"/>
      <c r="K793" s="12"/>
    </row>
    <row r="794" spans="1:11" x14ac:dyDescent="0.2">
      <c r="A794" s="14"/>
      <c r="B794" s="13"/>
      <c r="C794" s="12"/>
      <c r="D794" s="12"/>
      <c r="E794" s="12"/>
      <c r="F794" s="12"/>
      <c r="G794" s="12"/>
      <c r="H794" s="12"/>
      <c r="I794" s="12"/>
      <c r="J794" s="12"/>
      <c r="K794" s="12"/>
    </row>
    <row r="795" spans="1:11" x14ac:dyDescent="0.2">
      <c r="A795" s="14"/>
      <c r="B795" s="13"/>
      <c r="C795" s="12"/>
      <c r="D795" s="12"/>
      <c r="E795" s="12"/>
      <c r="F795" s="12"/>
      <c r="G795" s="12"/>
      <c r="H795" s="12"/>
      <c r="I795" s="12"/>
      <c r="J795" s="12"/>
      <c r="K795" s="12"/>
    </row>
    <row r="796" spans="1:11" x14ac:dyDescent="0.2">
      <c r="A796" s="14"/>
      <c r="B796" s="13"/>
      <c r="C796" s="12"/>
      <c r="D796" s="12"/>
      <c r="E796" s="12"/>
      <c r="F796" s="12"/>
      <c r="G796" s="12"/>
      <c r="H796" s="12"/>
      <c r="I796" s="12"/>
      <c r="J796" s="12"/>
      <c r="K796" s="12"/>
    </row>
    <row r="797" spans="1:11" x14ac:dyDescent="0.2">
      <c r="A797" s="14"/>
      <c r="B797" s="13"/>
      <c r="C797" s="12"/>
      <c r="D797" s="12"/>
      <c r="E797" s="12"/>
      <c r="F797" s="12"/>
      <c r="G797" s="12"/>
      <c r="H797" s="12"/>
      <c r="I797" s="12"/>
      <c r="J797" s="12"/>
      <c r="K797" s="12"/>
    </row>
    <row r="798" spans="1:11" x14ac:dyDescent="0.2">
      <c r="A798" s="14"/>
      <c r="B798" s="13"/>
      <c r="C798" s="12"/>
      <c r="D798" s="12"/>
      <c r="E798" s="12"/>
      <c r="F798" s="12"/>
      <c r="G798" s="12"/>
      <c r="H798" s="12"/>
      <c r="I798" s="12"/>
      <c r="J798" s="12"/>
      <c r="K798" s="12"/>
    </row>
    <row r="799" spans="1:11" x14ac:dyDescent="0.2">
      <c r="A799" s="14"/>
      <c r="B799" s="13"/>
      <c r="C799" s="12"/>
      <c r="D799" s="12"/>
      <c r="E799" s="12"/>
      <c r="F799" s="12"/>
      <c r="G799" s="12"/>
      <c r="H799" s="12"/>
      <c r="I799" s="12"/>
      <c r="J799" s="12"/>
      <c r="K799" s="12"/>
    </row>
    <row r="800" spans="1:11" x14ac:dyDescent="0.2">
      <c r="A800" s="14"/>
      <c r="B800" s="13"/>
      <c r="C800" s="12"/>
      <c r="D800" s="12"/>
      <c r="E800" s="12"/>
      <c r="F800" s="12"/>
      <c r="G800" s="12"/>
      <c r="H800" s="12"/>
      <c r="I800" s="12"/>
      <c r="J800" s="12"/>
      <c r="K800" s="12"/>
    </row>
    <row r="801" spans="1:11" x14ac:dyDescent="0.2">
      <c r="A801" s="14"/>
      <c r="B801" s="13"/>
      <c r="C801" s="12"/>
      <c r="D801" s="12"/>
      <c r="E801" s="12"/>
      <c r="F801" s="12"/>
      <c r="G801" s="12"/>
      <c r="H801" s="12"/>
      <c r="I801" s="12"/>
      <c r="J801" s="12"/>
      <c r="K801" s="12"/>
    </row>
    <row r="802" spans="1:11" x14ac:dyDescent="0.2">
      <c r="A802" s="14"/>
      <c r="B802" s="13"/>
      <c r="C802" s="12"/>
      <c r="D802" s="12"/>
      <c r="E802" s="12"/>
      <c r="F802" s="12"/>
      <c r="G802" s="12"/>
      <c r="H802" s="12"/>
      <c r="I802" s="12"/>
      <c r="J802" s="12"/>
      <c r="K802" s="12"/>
    </row>
    <row r="803" spans="1:11" x14ac:dyDescent="0.2">
      <c r="A803" s="14"/>
      <c r="B803" s="13"/>
      <c r="C803" s="12"/>
      <c r="D803" s="12"/>
      <c r="E803" s="12"/>
      <c r="F803" s="12"/>
      <c r="G803" s="12"/>
      <c r="H803" s="12"/>
      <c r="I803" s="12"/>
      <c r="J803" s="12"/>
      <c r="K803" s="12"/>
    </row>
    <row r="804" spans="1:11" x14ac:dyDescent="0.2">
      <c r="A804" s="14"/>
      <c r="B804" s="13"/>
      <c r="C804" s="12"/>
      <c r="D804" s="12"/>
      <c r="E804" s="12"/>
      <c r="F804" s="12"/>
      <c r="G804" s="12"/>
      <c r="H804" s="12"/>
      <c r="I804" s="12"/>
      <c r="J804" s="12"/>
      <c r="K804" s="12"/>
    </row>
    <row r="805" spans="1:11" x14ac:dyDescent="0.2">
      <c r="A805" s="14"/>
      <c r="B805" s="13"/>
      <c r="C805" s="12"/>
      <c r="D805" s="12"/>
      <c r="E805" s="12"/>
      <c r="F805" s="12"/>
      <c r="G805" s="12"/>
      <c r="H805" s="12"/>
      <c r="I805" s="12"/>
      <c r="J805" s="12"/>
      <c r="K805" s="12"/>
    </row>
    <row r="806" spans="1:11" x14ac:dyDescent="0.2">
      <c r="A806" s="14"/>
      <c r="B806" s="13"/>
      <c r="C806" s="12"/>
      <c r="D806" s="12"/>
      <c r="E806" s="12"/>
      <c r="F806" s="12"/>
      <c r="G806" s="12"/>
      <c r="H806" s="12"/>
      <c r="I806" s="12"/>
      <c r="J806" s="12"/>
      <c r="K806" s="12"/>
    </row>
    <row r="807" spans="1:11" x14ac:dyDescent="0.2">
      <c r="A807" s="14"/>
      <c r="B807" s="13"/>
      <c r="C807" s="12"/>
      <c r="D807" s="12"/>
      <c r="E807" s="12"/>
      <c r="F807" s="12"/>
      <c r="G807" s="12"/>
      <c r="H807" s="12"/>
      <c r="I807" s="12"/>
      <c r="J807" s="12"/>
      <c r="K807" s="12"/>
    </row>
    <row r="808" spans="1:11" x14ac:dyDescent="0.2">
      <c r="A808" s="14"/>
      <c r="B808" s="13"/>
      <c r="C808" s="12"/>
      <c r="D808" s="12"/>
      <c r="E808" s="12"/>
      <c r="F808" s="12"/>
      <c r="G808" s="12"/>
      <c r="H808" s="12"/>
      <c r="I808" s="12"/>
      <c r="J808" s="12"/>
      <c r="K808" s="12"/>
    </row>
    <row r="809" spans="1:11" x14ac:dyDescent="0.2">
      <c r="A809" s="14"/>
      <c r="B809" s="13"/>
      <c r="C809" s="12"/>
      <c r="D809" s="12"/>
      <c r="E809" s="12"/>
      <c r="F809" s="12"/>
      <c r="G809" s="12"/>
      <c r="H809" s="12"/>
      <c r="I809" s="12"/>
      <c r="J809" s="12"/>
      <c r="K809" s="12"/>
    </row>
    <row r="810" spans="1:11" x14ac:dyDescent="0.2">
      <c r="A810" s="14"/>
      <c r="B810" s="13"/>
      <c r="C810" s="12"/>
      <c r="D810" s="12"/>
      <c r="E810" s="12"/>
      <c r="F810" s="12"/>
      <c r="G810" s="12"/>
      <c r="H810" s="12"/>
      <c r="I810" s="12"/>
      <c r="J810" s="12"/>
      <c r="K810" s="12"/>
    </row>
    <row r="811" spans="1:11" x14ac:dyDescent="0.2">
      <c r="A811" s="14"/>
      <c r="B811" s="13"/>
      <c r="C811" s="12"/>
      <c r="D811" s="12"/>
      <c r="E811" s="12"/>
      <c r="F811" s="12"/>
      <c r="G811" s="12"/>
      <c r="H811" s="12"/>
      <c r="I811" s="12"/>
      <c r="J811" s="12"/>
      <c r="K811" s="12"/>
    </row>
    <row r="812" spans="1:11" x14ac:dyDescent="0.2">
      <c r="A812" s="14"/>
      <c r="B812" s="13"/>
      <c r="C812" s="12"/>
      <c r="D812" s="12"/>
      <c r="E812" s="12"/>
      <c r="F812" s="12"/>
      <c r="G812" s="12"/>
      <c r="H812" s="12"/>
      <c r="I812" s="12"/>
      <c r="J812" s="12"/>
      <c r="K812" s="12"/>
    </row>
    <row r="813" spans="1:11" x14ac:dyDescent="0.2">
      <c r="A813" s="14"/>
      <c r="B813" s="13"/>
      <c r="C813" s="12"/>
      <c r="D813" s="12"/>
      <c r="E813" s="12"/>
      <c r="F813" s="12"/>
      <c r="G813" s="12"/>
      <c r="H813" s="12"/>
      <c r="I813" s="12"/>
      <c r="J813" s="12"/>
      <c r="K813" s="12"/>
    </row>
    <row r="814" spans="1:11" x14ac:dyDescent="0.2">
      <c r="A814" s="14"/>
      <c r="B814" s="13"/>
      <c r="C814" s="12"/>
      <c r="D814" s="12"/>
      <c r="E814" s="12"/>
      <c r="F814" s="12"/>
      <c r="G814" s="12"/>
      <c r="H814" s="12"/>
      <c r="I814" s="12"/>
      <c r="J814" s="12"/>
      <c r="K814" s="12"/>
    </row>
    <row r="815" spans="1:11" x14ac:dyDescent="0.2">
      <c r="A815" s="14"/>
      <c r="B815" s="13"/>
      <c r="C815" s="12"/>
      <c r="D815" s="12"/>
      <c r="E815" s="12"/>
      <c r="F815" s="12"/>
      <c r="G815" s="12"/>
      <c r="H815" s="12"/>
      <c r="I815" s="12"/>
      <c r="J815" s="12"/>
      <c r="K815" s="12"/>
    </row>
    <row r="816" spans="1:11" x14ac:dyDescent="0.2">
      <c r="A816" s="14"/>
      <c r="B816" s="13"/>
      <c r="C816" s="12"/>
      <c r="D816" s="12"/>
      <c r="E816" s="12"/>
      <c r="F816" s="12"/>
      <c r="G816" s="12"/>
      <c r="H816" s="12"/>
      <c r="I816" s="12"/>
      <c r="J816" s="12"/>
      <c r="K816" s="12"/>
    </row>
    <row r="817" spans="1:11" x14ac:dyDescent="0.2">
      <c r="A817" s="14"/>
      <c r="B817" s="13"/>
      <c r="C817" s="12"/>
      <c r="D817" s="12"/>
      <c r="E817" s="12"/>
      <c r="F817" s="12"/>
      <c r="G817" s="12"/>
      <c r="H817" s="12"/>
      <c r="I817" s="12"/>
      <c r="J817" s="12"/>
      <c r="K817" s="12"/>
    </row>
    <row r="818" spans="1:11" x14ac:dyDescent="0.2">
      <c r="A818" s="14"/>
      <c r="B818" s="13"/>
      <c r="C818" s="12"/>
      <c r="D818" s="12"/>
      <c r="E818" s="12"/>
      <c r="F818" s="12"/>
      <c r="G818" s="12"/>
      <c r="H818" s="12"/>
      <c r="I818" s="12"/>
      <c r="J818" s="12"/>
      <c r="K818" s="12"/>
    </row>
    <row r="819" spans="1:11" x14ac:dyDescent="0.2">
      <c r="A819" s="14"/>
      <c r="B819" s="13"/>
      <c r="C819" s="12"/>
      <c r="D819" s="12"/>
      <c r="E819" s="12"/>
      <c r="F819" s="12"/>
      <c r="G819" s="12"/>
      <c r="H819" s="12"/>
      <c r="I819" s="12"/>
      <c r="J819" s="12"/>
      <c r="K819" s="12"/>
    </row>
    <row r="820" spans="1:11" x14ac:dyDescent="0.2">
      <c r="A820" s="14"/>
      <c r="B820" s="13"/>
      <c r="C820" s="12"/>
      <c r="D820" s="12"/>
      <c r="E820" s="12"/>
      <c r="F820" s="12"/>
      <c r="G820" s="12"/>
      <c r="H820" s="12"/>
      <c r="I820" s="12"/>
      <c r="J820" s="12"/>
      <c r="K820" s="12"/>
    </row>
    <row r="821" spans="1:11" x14ac:dyDescent="0.2">
      <c r="A821" s="14"/>
      <c r="B821" s="13"/>
      <c r="C821" s="12"/>
      <c r="D821" s="12"/>
      <c r="E821" s="12"/>
      <c r="F821" s="12"/>
      <c r="G821" s="12"/>
      <c r="H821" s="12"/>
      <c r="I821" s="12"/>
      <c r="J821" s="12"/>
      <c r="K821" s="12"/>
    </row>
    <row r="822" spans="1:11" x14ac:dyDescent="0.2">
      <c r="A822" s="14"/>
      <c r="B822" s="13"/>
      <c r="C822" s="12"/>
      <c r="D822" s="12"/>
      <c r="E822" s="12"/>
      <c r="F822" s="12"/>
      <c r="G822" s="12"/>
      <c r="H822" s="12"/>
      <c r="I822" s="12"/>
      <c r="J822" s="12"/>
      <c r="K822" s="12"/>
    </row>
    <row r="823" spans="1:11" x14ac:dyDescent="0.2">
      <c r="A823" s="14"/>
      <c r="B823" s="13"/>
      <c r="C823" s="12"/>
      <c r="D823" s="12"/>
      <c r="E823" s="12"/>
      <c r="F823" s="12"/>
      <c r="G823" s="12"/>
      <c r="H823" s="12"/>
      <c r="I823" s="12"/>
      <c r="J823" s="12"/>
      <c r="K823" s="12"/>
    </row>
    <row r="824" spans="1:11" x14ac:dyDescent="0.2">
      <c r="A824" s="14"/>
      <c r="B824" s="13"/>
      <c r="C824" s="12"/>
      <c r="D824" s="12"/>
      <c r="E824" s="12"/>
      <c r="F824" s="12"/>
      <c r="G824" s="12"/>
      <c r="H824" s="12"/>
      <c r="I824" s="12"/>
      <c r="J824" s="12"/>
      <c r="K824" s="12"/>
    </row>
    <row r="825" spans="1:11" x14ac:dyDescent="0.2">
      <c r="A825" s="14"/>
      <c r="B825" s="13"/>
      <c r="C825" s="12"/>
      <c r="D825" s="12"/>
      <c r="E825" s="12"/>
      <c r="F825" s="12"/>
      <c r="G825" s="12"/>
      <c r="H825" s="12"/>
      <c r="I825" s="12"/>
      <c r="J825" s="12"/>
      <c r="K825" s="12"/>
    </row>
    <row r="826" spans="1:11" x14ac:dyDescent="0.2">
      <c r="A826" s="14"/>
      <c r="B826" s="13"/>
      <c r="C826" s="12"/>
      <c r="D826" s="12"/>
      <c r="E826" s="12"/>
      <c r="F826" s="12"/>
      <c r="G826" s="12"/>
      <c r="H826" s="12"/>
      <c r="I826" s="12"/>
      <c r="J826" s="12"/>
      <c r="K826" s="12"/>
    </row>
    <row r="827" spans="1:11" x14ac:dyDescent="0.2">
      <c r="A827" s="14"/>
      <c r="B827" s="13"/>
      <c r="C827" s="12"/>
      <c r="D827" s="12"/>
      <c r="E827" s="12"/>
      <c r="F827" s="12"/>
      <c r="G827" s="12"/>
      <c r="H827" s="12"/>
      <c r="I827" s="12"/>
      <c r="J827" s="12"/>
      <c r="K827" s="12"/>
    </row>
    <row r="828" spans="1:11" x14ac:dyDescent="0.2">
      <c r="A828" s="14"/>
      <c r="B828" s="13"/>
      <c r="C828" s="12"/>
      <c r="D828" s="12"/>
      <c r="E828" s="12"/>
      <c r="F828" s="12"/>
      <c r="G828" s="12"/>
      <c r="H828" s="12"/>
      <c r="I828" s="12"/>
      <c r="J828" s="12"/>
      <c r="K828" s="12"/>
    </row>
    <row r="829" spans="1:11" x14ac:dyDescent="0.2">
      <c r="A829" s="14"/>
      <c r="B829" s="13"/>
      <c r="C829" s="12"/>
      <c r="D829" s="12"/>
      <c r="E829" s="12"/>
      <c r="F829" s="12"/>
      <c r="G829" s="12"/>
      <c r="H829" s="12"/>
      <c r="I829" s="12"/>
      <c r="J829" s="12"/>
      <c r="K829" s="12"/>
    </row>
    <row r="830" spans="1:11" x14ac:dyDescent="0.2">
      <c r="A830" s="14"/>
      <c r="B830" s="13"/>
      <c r="C830" s="12"/>
      <c r="D830" s="12"/>
      <c r="E830" s="12"/>
      <c r="F830" s="12"/>
      <c r="G830" s="12"/>
      <c r="H830" s="12"/>
      <c r="I830" s="12"/>
      <c r="J830" s="12"/>
      <c r="K830" s="12"/>
    </row>
    <row r="831" spans="1:11" x14ac:dyDescent="0.2">
      <c r="A831" s="14"/>
      <c r="B831" s="13"/>
      <c r="C831" s="12"/>
      <c r="D831" s="12"/>
      <c r="E831" s="12"/>
      <c r="F831" s="12"/>
      <c r="G831" s="12"/>
      <c r="H831" s="12"/>
      <c r="I831" s="12"/>
      <c r="J831" s="12"/>
      <c r="K831" s="12"/>
    </row>
    <row r="832" spans="1:11" x14ac:dyDescent="0.2">
      <c r="A832" s="14"/>
      <c r="B832" s="13"/>
      <c r="C832" s="12"/>
      <c r="D832" s="12"/>
      <c r="E832" s="12"/>
      <c r="F832" s="12"/>
      <c r="G832" s="12"/>
      <c r="H832" s="12"/>
      <c r="I832" s="12"/>
      <c r="J832" s="12"/>
      <c r="K832" s="12"/>
    </row>
    <row r="833" spans="1:11" x14ac:dyDescent="0.2">
      <c r="A833" s="14"/>
      <c r="B833" s="13"/>
      <c r="C833" s="12"/>
      <c r="D833" s="12"/>
      <c r="E833" s="12"/>
      <c r="F833" s="12"/>
      <c r="G833" s="12"/>
      <c r="H833" s="12"/>
      <c r="I833" s="12"/>
      <c r="J833" s="12"/>
      <c r="K833" s="12"/>
    </row>
    <row r="834" spans="1:11" x14ac:dyDescent="0.2">
      <c r="A834" s="14"/>
      <c r="B834" s="13"/>
      <c r="C834" s="12"/>
      <c r="D834" s="12"/>
      <c r="E834" s="12"/>
      <c r="F834" s="12"/>
      <c r="G834" s="12"/>
      <c r="H834" s="12"/>
      <c r="I834" s="12"/>
      <c r="J834" s="12"/>
      <c r="K834" s="12"/>
    </row>
    <row r="835" spans="1:11" x14ac:dyDescent="0.2">
      <c r="A835" s="14"/>
      <c r="B835" s="13"/>
      <c r="C835" s="12"/>
      <c r="D835" s="12"/>
      <c r="E835" s="12"/>
      <c r="F835" s="12"/>
      <c r="G835" s="12"/>
      <c r="H835" s="12"/>
      <c r="I835" s="12"/>
      <c r="J835" s="12"/>
      <c r="K835" s="12"/>
    </row>
    <row r="836" spans="1:11" x14ac:dyDescent="0.2">
      <c r="A836" s="14"/>
      <c r="B836" s="13"/>
      <c r="C836" s="12"/>
      <c r="D836" s="12"/>
      <c r="E836" s="12"/>
      <c r="F836" s="12"/>
      <c r="G836" s="12"/>
      <c r="H836" s="12"/>
      <c r="I836" s="12"/>
      <c r="J836" s="12"/>
      <c r="K836" s="12"/>
    </row>
    <row r="837" spans="1:11" x14ac:dyDescent="0.2">
      <c r="A837" s="14"/>
      <c r="B837" s="13"/>
      <c r="C837" s="12"/>
      <c r="D837" s="12"/>
      <c r="E837" s="12"/>
      <c r="F837" s="12"/>
      <c r="G837" s="12"/>
      <c r="H837" s="12"/>
      <c r="I837" s="12"/>
      <c r="J837" s="12"/>
      <c r="K837" s="12"/>
    </row>
    <row r="838" spans="1:11" x14ac:dyDescent="0.2">
      <c r="A838" s="14"/>
      <c r="B838" s="13"/>
      <c r="C838" s="12"/>
      <c r="D838" s="12"/>
      <c r="E838" s="12"/>
      <c r="F838" s="12"/>
      <c r="G838" s="12"/>
      <c r="H838" s="12"/>
      <c r="I838" s="12"/>
      <c r="J838" s="12"/>
      <c r="K838" s="12"/>
    </row>
    <row r="839" spans="1:11" x14ac:dyDescent="0.2">
      <c r="A839" s="14"/>
      <c r="B839" s="13"/>
      <c r="C839" s="12"/>
      <c r="D839" s="12"/>
      <c r="E839" s="12"/>
      <c r="F839" s="12"/>
      <c r="G839" s="12"/>
      <c r="H839" s="12"/>
      <c r="I839" s="12"/>
      <c r="J839" s="12"/>
      <c r="K839" s="12"/>
    </row>
    <row r="840" spans="1:11" x14ac:dyDescent="0.2">
      <c r="A840" s="14"/>
      <c r="B840" s="13"/>
      <c r="C840" s="12"/>
      <c r="D840" s="12"/>
      <c r="E840" s="12"/>
      <c r="F840" s="12"/>
      <c r="G840" s="12"/>
      <c r="H840" s="12"/>
      <c r="I840" s="12"/>
      <c r="J840" s="12"/>
      <c r="K840" s="12"/>
    </row>
    <row r="841" spans="1:11" x14ac:dyDescent="0.2">
      <c r="A841" s="14"/>
      <c r="B841" s="13"/>
      <c r="C841" s="12"/>
      <c r="D841" s="12"/>
      <c r="E841" s="12"/>
      <c r="F841" s="12"/>
      <c r="G841" s="12"/>
      <c r="H841" s="12"/>
      <c r="I841" s="12"/>
      <c r="J841" s="12"/>
      <c r="K841" s="12"/>
    </row>
    <row r="842" spans="1:11" x14ac:dyDescent="0.2">
      <c r="A842" s="14"/>
      <c r="B842" s="13"/>
      <c r="C842" s="12"/>
      <c r="D842" s="12"/>
      <c r="E842" s="12"/>
      <c r="F842" s="12"/>
      <c r="G842" s="12"/>
      <c r="H842" s="12"/>
      <c r="I842" s="12"/>
      <c r="J842" s="12"/>
      <c r="K842" s="12"/>
    </row>
    <row r="843" spans="1:11" x14ac:dyDescent="0.2">
      <c r="A843" s="14"/>
      <c r="B843" s="13"/>
      <c r="C843" s="12"/>
      <c r="D843" s="12"/>
      <c r="E843" s="12"/>
      <c r="F843" s="12"/>
      <c r="G843" s="12"/>
      <c r="H843" s="12"/>
      <c r="I843" s="12"/>
      <c r="J843" s="12"/>
      <c r="K843" s="12"/>
    </row>
    <row r="844" spans="1:11" x14ac:dyDescent="0.2">
      <c r="A844" s="14"/>
      <c r="B844" s="13"/>
      <c r="C844" s="12"/>
      <c r="D844" s="12"/>
      <c r="E844" s="12"/>
      <c r="F844" s="12"/>
      <c r="G844" s="12"/>
      <c r="H844" s="12"/>
      <c r="I844" s="12"/>
      <c r="J844" s="12"/>
      <c r="K844" s="12"/>
    </row>
    <row r="845" spans="1:11" x14ac:dyDescent="0.2">
      <c r="A845" s="14"/>
      <c r="B845" s="13"/>
      <c r="C845" s="12"/>
      <c r="D845" s="12"/>
      <c r="E845" s="12"/>
      <c r="F845" s="12"/>
      <c r="G845" s="12"/>
      <c r="H845" s="12"/>
      <c r="I845" s="12"/>
      <c r="J845" s="12"/>
      <c r="K845" s="12"/>
    </row>
    <row r="846" spans="1:11" x14ac:dyDescent="0.2">
      <c r="A846" s="14"/>
      <c r="B846" s="13"/>
      <c r="C846" s="12"/>
      <c r="D846" s="12"/>
      <c r="E846" s="12"/>
      <c r="F846" s="12"/>
      <c r="G846" s="12"/>
      <c r="H846" s="12"/>
      <c r="I846" s="12"/>
      <c r="J846" s="12"/>
      <c r="K846" s="12"/>
    </row>
    <row r="847" spans="1:11" x14ac:dyDescent="0.2">
      <c r="A847" s="14"/>
      <c r="B847" s="13"/>
      <c r="C847" s="12"/>
      <c r="D847" s="12"/>
      <c r="E847" s="12"/>
      <c r="F847" s="12"/>
      <c r="G847" s="12"/>
      <c r="H847" s="12"/>
      <c r="I847" s="12"/>
      <c r="J847" s="12"/>
      <c r="K847" s="12"/>
    </row>
    <row r="848" spans="1:11" x14ac:dyDescent="0.2">
      <c r="A848" s="14"/>
      <c r="B848" s="13"/>
      <c r="C848" s="12"/>
      <c r="D848" s="12"/>
      <c r="E848" s="12"/>
      <c r="F848" s="12"/>
      <c r="G848" s="12"/>
      <c r="H848" s="12"/>
      <c r="I848" s="12"/>
      <c r="J848" s="12"/>
      <c r="K848" s="12"/>
    </row>
    <row r="849" spans="1:11" x14ac:dyDescent="0.2">
      <c r="A849" s="14"/>
      <c r="B849" s="13"/>
      <c r="C849" s="12"/>
      <c r="D849" s="12"/>
      <c r="E849" s="12"/>
      <c r="F849" s="12"/>
      <c r="G849" s="12"/>
      <c r="H849" s="12"/>
      <c r="I849" s="12"/>
      <c r="J849" s="12"/>
      <c r="K849" s="12"/>
    </row>
    <row r="850" spans="1:11" x14ac:dyDescent="0.2">
      <c r="A850" s="14"/>
      <c r="B850" s="13"/>
      <c r="C850" s="12"/>
      <c r="D850" s="12"/>
      <c r="E850" s="12"/>
      <c r="F850" s="12"/>
      <c r="G850" s="12"/>
      <c r="H850" s="12"/>
      <c r="I850" s="12"/>
      <c r="J850" s="12"/>
      <c r="K850" s="12"/>
    </row>
    <row r="851" spans="1:11" x14ac:dyDescent="0.2">
      <c r="A851" s="14"/>
      <c r="B851" s="13"/>
      <c r="C851" s="12"/>
      <c r="D851" s="12"/>
      <c r="E851" s="12"/>
      <c r="F851" s="12"/>
      <c r="G851" s="12"/>
      <c r="H851" s="12"/>
      <c r="I851" s="12"/>
      <c r="J851" s="12"/>
      <c r="K851" s="12"/>
    </row>
    <row r="852" spans="1:11" x14ac:dyDescent="0.2">
      <c r="A852" s="14"/>
      <c r="B852" s="13"/>
      <c r="C852" s="12"/>
      <c r="D852" s="12"/>
      <c r="E852" s="12"/>
      <c r="F852" s="12"/>
      <c r="G852" s="12"/>
      <c r="H852" s="12"/>
      <c r="I852" s="12"/>
      <c r="J852" s="12"/>
      <c r="K852" s="12"/>
    </row>
    <row r="853" spans="1:11" x14ac:dyDescent="0.2">
      <c r="A853" s="14"/>
      <c r="B853" s="13"/>
      <c r="C853" s="12"/>
      <c r="D853" s="12"/>
      <c r="E853" s="12"/>
      <c r="F853" s="12"/>
      <c r="G853" s="12"/>
      <c r="H853" s="12"/>
      <c r="I853" s="12"/>
      <c r="J853" s="12"/>
      <c r="K853" s="12"/>
    </row>
    <row r="854" spans="1:11" x14ac:dyDescent="0.2">
      <c r="A854" s="14"/>
      <c r="B854" s="13"/>
      <c r="C854" s="12"/>
      <c r="D854" s="12"/>
      <c r="E854" s="12"/>
      <c r="F854" s="12"/>
      <c r="G854" s="12"/>
      <c r="H854" s="12"/>
      <c r="I854" s="12"/>
      <c r="J854" s="12"/>
      <c r="K854" s="12"/>
    </row>
    <row r="855" spans="1:11" x14ac:dyDescent="0.2">
      <c r="A855" s="14"/>
      <c r="B855" s="13"/>
      <c r="C855" s="12"/>
      <c r="D855" s="12"/>
      <c r="E855" s="12"/>
      <c r="F855" s="12"/>
      <c r="G855" s="12"/>
      <c r="H855" s="12"/>
      <c r="I855" s="12"/>
      <c r="J855" s="12"/>
      <c r="K855" s="12"/>
    </row>
    <row r="856" spans="1:11" x14ac:dyDescent="0.2">
      <c r="A856" s="14"/>
      <c r="B856" s="13"/>
      <c r="C856" s="12"/>
      <c r="D856" s="12"/>
      <c r="E856" s="12"/>
      <c r="F856" s="12"/>
      <c r="G856" s="12"/>
      <c r="H856" s="12"/>
      <c r="I856" s="12"/>
      <c r="J856" s="12"/>
      <c r="K856" s="12"/>
    </row>
    <row r="857" spans="1:11" x14ac:dyDescent="0.2">
      <c r="A857" s="14"/>
      <c r="B857" s="13"/>
      <c r="C857" s="12"/>
      <c r="D857" s="12"/>
      <c r="E857" s="12"/>
      <c r="F857" s="12"/>
      <c r="G857" s="12"/>
      <c r="H857" s="12"/>
      <c r="I857" s="12"/>
      <c r="J857" s="12"/>
      <c r="K857" s="12"/>
    </row>
    <row r="858" spans="1:11" x14ac:dyDescent="0.2">
      <c r="A858" s="14"/>
      <c r="B858" s="13"/>
      <c r="C858" s="12"/>
      <c r="D858" s="12"/>
      <c r="E858" s="12"/>
      <c r="F858" s="12"/>
      <c r="G858" s="12"/>
      <c r="H858" s="12"/>
      <c r="I858" s="12"/>
      <c r="J858" s="12"/>
      <c r="K858" s="12"/>
    </row>
    <row r="859" spans="1:11" x14ac:dyDescent="0.2">
      <c r="A859" s="14"/>
      <c r="B859" s="13"/>
      <c r="C859" s="12"/>
      <c r="D859" s="12"/>
      <c r="E859" s="12"/>
      <c r="F859" s="12"/>
      <c r="G859" s="12"/>
      <c r="H859" s="12"/>
      <c r="I859" s="12"/>
      <c r="J859" s="12"/>
      <c r="K859" s="12"/>
    </row>
    <row r="860" spans="1:11" x14ac:dyDescent="0.2">
      <c r="A860" s="14"/>
      <c r="B860" s="13"/>
      <c r="C860" s="12"/>
      <c r="D860" s="12"/>
      <c r="E860" s="12"/>
      <c r="F860" s="12"/>
      <c r="G860" s="12"/>
      <c r="H860" s="12"/>
      <c r="I860" s="12"/>
      <c r="J860" s="12"/>
      <c r="K860" s="12"/>
    </row>
    <row r="861" spans="1:11" x14ac:dyDescent="0.2">
      <c r="A861" s="14"/>
      <c r="B861" s="13"/>
      <c r="C861" s="12"/>
      <c r="D861" s="12"/>
      <c r="E861" s="12"/>
      <c r="F861" s="12"/>
      <c r="G861" s="12"/>
      <c r="H861" s="12"/>
      <c r="I861" s="12"/>
      <c r="J861" s="12"/>
      <c r="K861" s="12"/>
    </row>
    <row r="862" spans="1:11" x14ac:dyDescent="0.2">
      <c r="A862" s="14"/>
      <c r="B862" s="13"/>
      <c r="C862" s="12"/>
      <c r="D862" s="12"/>
      <c r="E862" s="12"/>
      <c r="F862" s="12"/>
      <c r="G862" s="12"/>
      <c r="H862" s="12"/>
      <c r="I862" s="12"/>
      <c r="J862" s="12"/>
      <c r="K862" s="12"/>
    </row>
    <row r="863" spans="1:11" x14ac:dyDescent="0.2">
      <c r="A863" s="14"/>
      <c r="B863" s="13"/>
      <c r="C863" s="12"/>
      <c r="D863" s="12"/>
      <c r="E863" s="12"/>
      <c r="F863" s="12"/>
      <c r="G863" s="12"/>
      <c r="H863" s="12"/>
      <c r="I863" s="12"/>
      <c r="J863" s="12"/>
      <c r="K863" s="12"/>
    </row>
    <row r="864" spans="1:11" x14ac:dyDescent="0.2">
      <c r="A864" s="14"/>
      <c r="B864" s="13"/>
      <c r="C864" s="12"/>
      <c r="D864" s="12"/>
      <c r="E864" s="12"/>
      <c r="F864" s="12"/>
      <c r="G864" s="12"/>
      <c r="H864" s="12"/>
      <c r="I864" s="12"/>
      <c r="J864" s="12"/>
      <c r="K864" s="12"/>
    </row>
    <row r="865" spans="1:11" x14ac:dyDescent="0.2">
      <c r="A865" s="14"/>
      <c r="B865" s="13"/>
      <c r="C865" s="12"/>
      <c r="D865" s="12"/>
      <c r="E865" s="12"/>
      <c r="F865" s="12"/>
      <c r="G865" s="12"/>
      <c r="H865" s="12"/>
      <c r="I865" s="12"/>
      <c r="J865" s="12"/>
      <c r="K865" s="12"/>
    </row>
    <row r="866" spans="1:11" x14ac:dyDescent="0.2">
      <c r="A866" s="14"/>
      <c r="B866" s="13"/>
      <c r="C866" s="12"/>
      <c r="D866" s="12"/>
      <c r="E866" s="12"/>
      <c r="F866" s="12"/>
      <c r="G866" s="12"/>
      <c r="H866" s="12"/>
      <c r="I866" s="12"/>
      <c r="J866" s="12"/>
      <c r="K866" s="12"/>
    </row>
    <row r="867" spans="1:11" x14ac:dyDescent="0.2">
      <c r="A867" s="14"/>
      <c r="B867" s="13"/>
      <c r="C867" s="12"/>
      <c r="D867" s="12"/>
      <c r="E867" s="12"/>
      <c r="F867" s="12"/>
      <c r="G867" s="12"/>
      <c r="H867" s="12"/>
      <c r="I867" s="12"/>
      <c r="J867" s="12"/>
      <c r="K867" s="12"/>
    </row>
    <row r="868" spans="1:11" x14ac:dyDescent="0.2">
      <c r="A868" s="14"/>
      <c r="B868" s="13"/>
      <c r="C868" s="12"/>
      <c r="D868" s="12"/>
      <c r="E868" s="12"/>
      <c r="F868" s="12"/>
      <c r="G868" s="12"/>
      <c r="H868" s="12"/>
      <c r="I868" s="12"/>
      <c r="J868" s="12"/>
      <c r="K868" s="12"/>
    </row>
    <row r="869" spans="1:11" x14ac:dyDescent="0.2">
      <c r="A869" s="14"/>
      <c r="B869" s="13"/>
      <c r="C869" s="12"/>
      <c r="D869" s="12"/>
      <c r="E869" s="12"/>
      <c r="F869" s="12"/>
      <c r="G869" s="12"/>
      <c r="H869" s="12"/>
      <c r="I869" s="12"/>
      <c r="J869" s="12"/>
      <c r="K869" s="12"/>
    </row>
    <row r="870" spans="1:11" x14ac:dyDescent="0.2">
      <c r="A870" s="14"/>
      <c r="B870" s="13"/>
      <c r="C870" s="12"/>
      <c r="D870" s="12"/>
      <c r="E870" s="12"/>
      <c r="F870" s="12"/>
      <c r="G870" s="12"/>
      <c r="H870" s="12"/>
      <c r="I870" s="12"/>
      <c r="J870" s="12"/>
      <c r="K870" s="12"/>
    </row>
    <row r="871" spans="1:11" x14ac:dyDescent="0.2">
      <c r="A871" s="14"/>
      <c r="B871" s="13"/>
      <c r="C871" s="12"/>
      <c r="D871" s="12"/>
      <c r="E871" s="12"/>
      <c r="F871" s="12"/>
      <c r="G871" s="12"/>
      <c r="H871" s="12"/>
      <c r="I871" s="12"/>
      <c r="J871" s="12"/>
      <c r="K871" s="12"/>
    </row>
    <row r="872" spans="1:11" x14ac:dyDescent="0.2">
      <c r="A872" s="14"/>
      <c r="B872" s="13"/>
      <c r="C872" s="12"/>
      <c r="D872" s="12"/>
      <c r="E872" s="12"/>
      <c r="F872" s="12"/>
      <c r="G872" s="12"/>
      <c r="H872" s="12"/>
      <c r="I872" s="12"/>
      <c r="J872" s="12"/>
      <c r="K872" s="12"/>
    </row>
    <row r="873" spans="1:11" x14ac:dyDescent="0.2">
      <c r="A873" s="14"/>
      <c r="B873" s="13"/>
      <c r="C873" s="12"/>
      <c r="D873" s="12"/>
      <c r="E873" s="12"/>
      <c r="F873" s="12"/>
      <c r="G873" s="12"/>
      <c r="H873" s="12"/>
      <c r="I873" s="12"/>
      <c r="J873" s="12"/>
      <c r="K873" s="12"/>
    </row>
    <row r="874" spans="1:11" x14ac:dyDescent="0.2">
      <c r="A874" s="14"/>
      <c r="B874" s="13"/>
      <c r="C874" s="12"/>
      <c r="D874" s="12"/>
      <c r="E874" s="12"/>
      <c r="F874" s="12"/>
      <c r="G874" s="12"/>
      <c r="H874" s="12"/>
      <c r="I874" s="12"/>
      <c r="J874" s="12"/>
      <c r="K874" s="12"/>
    </row>
    <row r="875" spans="1:11" x14ac:dyDescent="0.2">
      <c r="A875" s="14"/>
      <c r="B875" s="13"/>
      <c r="C875" s="12"/>
      <c r="D875" s="12"/>
      <c r="E875" s="12"/>
      <c r="F875" s="12"/>
      <c r="G875" s="12"/>
      <c r="H875" s="12"/>
      <c r="I875" s="12"/>
      <c r="J875" s="12"/>
      <c r="K875" s="12"/>
    </row>
    <row r="876" spans="1:11" x14ac:dyDescent="0.2">
      <c r="A876" s="14"/>
      <c r="B876" s="13"/>
      <c r="C876" s="12"/>
      <c r="D876" s="12"/>
      <c r="E876" s="12"/>
      <c r="F876" s="12"/>
      <c r="G876" s="12"/>
      <c r="H876" s="12"/>
      <c r="I876" s="12"/>
      <c r="J876" s="12"/>
      <c r="K876" s="12"/>
    </row>
    <row r="877" spans="1:11" x14ac:dyDescent="0.2">
      <c r="A877" s="14"/>
      <c r="B877" s="13"/>
      <c r="C877" s="12"/>
      <c r="D877" s="12"/>
      <c r="E877" s="12"/>
      <c r="F877" s="12"/>
      <c r="G877" s="12"/>
      <c r="H877" s="12"/>
      <c r="I877" s="12"/>
      <c r="J877" s="12"/>
      <c r="K877" s="12"/>
    </row>
    <row r="878" spans="1:11" x14ac:dyDescent="0.2">
      <c r="A878" s="14"/>
      <c r="B878" s="13"/>
      <c r="C878" s="12"/>
      <c r="D878" s="12"/>
      <c r="E878" s="12"/>
      <c r="F878" s="12"/>
      <c r="G878" s="12"/>
      <c r="H878" s="12"/>
      <c r="I878" s="12"/>
      <c r="J878" s="12"/>
      <c r="K878" s="12"/>
    </row>
    <row r="879" spans="1:11" x14ac:dyDescent="0.2">
      <c r="A879" s="14"/>
      <c r="B879" s="13"/>
      <c r="C879" s="12"/>
      <c r="D879" s="12"/>
      <c r="E879" s="12"/>
      <c r="F879" s="12"/>
      <c r="G879" s="12"/>
      <c r="H879" s="12"/>
      <c r="I879" s="12"/>
      <c r="J879" s="12"/>
      <c r="K879" s="12"/>
    </row>
    <row r="880" spans="1:11" x14ac:dyDescent="0.2">
      <c r="A880" s="14"/>
      <c r="B880" s="13"/>
      <c r="C880" s="12"/>
      <c r="D880" s="12"/>
      <c r="E880" s="12"/>
      <c r="F880" s="12"/>
      <c r="G880" s="12"/>
      <c r="H880" s="12"/>
      <c r="I880" s="12"/>
      <c r="J880" s="12"/>
      <c r="K880" s="12"/>
    </row>
    <row r="881" spans="1:11" x14ac:dyDescent="0.2">
      <c r="A881" s="14"/>
      <c r="B881" s="13"/>
      <c r="C881" s="12"/>
      <c r="D881" s="12"/>
      <c r="E881" s="12"/>
      <c r="F881" s="12"/>
      <c r="G881" s="12"/>
      <c r="H881" s="12"/>
      <c r="I881" s="12"/>
      <c r="J881" s="12"/>
      <c r="K881" s="12"/>
    </row>
    <row r="882" spans="1:11" x14ac:dyDescent="0.2">
      <c r="A882" s="14"/>
      <c r="B882" s="13"/>
      <c r="C882" s="12"/>
      <c r="D882" s="12"/>
      <c r="E882" s="12"/>
      <c r="F882" s="12"/>
      <c r="G882" s="12"/>
      <c r="H882" s="12"/>
      <c r="I882" s="12"/>
      <c r="J882" s="12"/>
      <c r="K882" s="12"/>
    </row>
    <row r="883" spans="1:11" x14ac:dyDescent="0.2">
      <c r="A883" s="14"/>
      <c r="B883" s="13"/>
      <c r="C883" s="12"/>
      <c r="D883" s="12"/>
      <c r="E883" s="12"/>
      <c r="F883" s="12"/>
      <c r="G883" s="12"/>
      <c r="H883" s="12"/>
      <c r="I883" s="12"/>
      <c r="J883" s="12"/>
      <c r="K883" s="12"/>
    </row>
    <row r="884" spans="1:11" x14ac:dyDescent="0.2">
      <c r="A884" s="14"/>
      <c r="B884" s="13"/>
      <c r="C884" s="12"/>
      <c r="D884" s="12"/>
      <c r="E884" s="12"/>
      <c r="F884" s="12"/>
      <c r="G884" s="12"/>
      <c r="H884" s="12"/>
      <c r="I884" s="12"/>
      <c r="J884" s="12"/>
      <c r="K884" s="12"/>
    </row>
    <row r="885" spans="1:11" x14ac:dyDescent="0.2">
      <c r="A885" s="14"/>
      <c r="B885" s="13"/>
      <c r="C885" s="12"/>
      <c r="D885" s="12"/>
      <c r="E885" s="12"/>
      <c r="F885" s="12"/>
      <c r="G885" s="12"/>
      <c r="H885" s="12"/>
      <c r="I885" s="12"/>
      <c r="J885" s="12"/>
      <c r="K885" s="12"/>
    </row>
    <row r="886" spans="1:11" x14ac:dyDescent="0.2">
      <c r="A886" s="14"/>
      <c r="B886" s="13"/>
      <c r="C886" s="12"/>
      <c r="D886" s="12"/>
      <c r="E886" s="12"/>
      <c r="F886" s="12"/>
      <c r="G886" s="12"/>
      <c r="H886" s="12"/>
      <c r="I886" s="12"/>
      <c r="J886" s="12"/>
      <c r="K886" s="12"/>
    </row>
    <row r="887" spans="1:11" x14ac:dyDescent="0.2">
      <c r="A887" s="14"/>
      <c r="B887" s="13"/>
      <c r="C887" s="12"/>
      <c r="D887" s="12"/>
      <c r="E887" s="12"/>
      <c r="F887" s="12"/>
      <c r="G887" s="12"/>
      <c r="H887" s="12"/>
      <c r="I887" s="12"/>
      <c r="J887" s="12"/>
      <c r="K887" s="12"/>
    </row>
    <row r="888" spans="1:11" x14ac:dyDescent="0.2">
      <c r="A888" s="14"/>
      <c r="B888" s="13"/>
      <c r="C888" s="12"/>
      <c r="D888" s="12"/>
      <c r="E888" s="12"/>
      <c r="F888" s="12"/>
      <c r="G888" s="12"/>
      <c r="H888" s="12"/>
      <c r="I888" s="12"/>
      <c r="J888" s="12"/>
      <c r="K888" s="12"/>
    </row>
    <row r="889" spans="1:11" x14ac:dyDescent="0.2">
      <c r="A889" s="14"/>
      <c r="B889" s="13"/>
      <c r="C889" s="12"/>
      <c r="D889" s="12"/>
      <c r="E889" s="12"/>
      <c r="F889" s="12"/>
      <c r="G889" s="12"/>
      <c r="H889" s="12"/>
      <c r="I889" s="12"/>
      <c r="J889" s="12"/>
      <c r="K889" s="12"/>
    </row>
    <row r="890" spans="1:11" x14ac:dyDescent="0.2">
      <c r="A890" s="14"/>
      <c r="B890" s="13"/>
      <c r="C890" s="12"/>
      <c r="D890" s="12"/>
      <c r="E890" s="12"/>
      <c r="F890" s="12"/>
      <c r="G890" s="12"/>
      <c r="H890" s="12"/>
      <c r="I890" s="12"/>
      <c r="J890" s="12"/>
      <c r="K890" s="12"/>
    </row>
    <row r="891" spans="1:11" x14ac:dyDescent="0.2">
      <c r="A891" s="14"/>
      <c r="B891" s="13"/>
      <c r="C891" s="12"/>
      <c r="D891" s="12"/>
      <c r="E891" s="12"/>
      <c r="F891" s="12"/>
      <c r="G891" s="12"/>
      <c r="H891" s="12"/>
      <c r="I891" s="12"/>
      <c r="J891" s="12"/>
      <c r="K891" s="12"/>
    </row>
    <row r="892" spans="1:11" x14ac:dyDescent="0.2">
      <c r="A892" s="14"/>
      <c r="B892" s="13"/>
      <c r="C892" s="12"/>
      <c r="D892" s="12"/>
      <c r="E892" s="12"/>
      <c r="F892" s="12"/>
      <c r="G892" s="12"/>
      <c r="H892" s="12"/>
      <c r="I892" s="12"/>
      <c r="J892" s="12"/>
      <c r="K892" s="12"/>
    </row>
    <row r="893" spans="1:11" x14ac:dyDescent="0.2">
      <c r="A893" s="14"/>
      <c r="B893" s="13"/>
      <c r="C893" s="12"/>
      <c r="D893" s="12"/>
      <c r="E893" s="12"/>
      <c r="F893" s="12"/>
      <c r="G893" s="12"/>
      <c r="H893" s="12"/>
      <c r="I893" s="12"/>
      <c r="J893" s="12"/>
      <c r="K893" s="12"/>
    </row>
    <row r="894" spans="1:11" x14ac:dyDescent="0.2">
      <c r="A894" s="14"/>
      <c r="B894" s="13"/>
      <c r="C894" s="12"/>
      <c r="D894" s="12"/>
      <c r="E894" s="12"/>
      <c r="F894" s="12"/>
      <c r="G894" s="12"/>
      <c r="H894" s="12"/>
      <c r="I894" s="12"/>
      <c r="J894" s="12"/>
      <c r="K894" s="12"/>
    </row>
    <row r="895" spans="1:11" x14ac:dyDescent="0.2">
      <c r="A895" s="14"/>
      <c r="B895" s="13"/>
      <c r="C895" s="12"/>
      <c r="D895" s="12"/>
      <c r="E895" s="12"/>
      <c r="F895" s="12"/>
      <c r="G895" s="12"/>
      <c r="H895" s="12"/>
      <c r="I895" s="12"/>
      <c r="J895" s="12"/>
      <c r="K895" s="12"/>
    </row>
    <row r="896" spans="1:11" x14ac:dyDescent="0.2">
      <c r="A896" s="14"/>
      <c r="B896" s="13"/>
      <c r="C896" s="12"/>
      <c r="D896" s="12"/>
      <c r="E896" s="12"/>
      <c r="F896" s="12"/>
      <c r="G896" s="12"/>
      <c r="H896" s="12"/>
      <c r="I896" s="12"/>
      <c r="J896" s="12"/>
      <c r="K896" s="12"/>
    </row>
    <row r="897" spans="1:11" x14ac:dyDescent="0.2">
      <c r="A897" s="14"/>
      <c r="B897" s="13"/>
      <c r="C897" s="12"/>
      <c r="D897" s="12"/>
      <c r="E897" s="12"/>
      <c r="F897" s="12"/>
      <c r="G897" s="12"/>
      <c r="H897" s="12"/>
      <c r="I897" s="12"/>
      <c r="J897" s="12"/>
      <c r="K897" s="12"/>
    </row>
    <row r="898" spans="1:11" x14ac:dyDescent="0.2">
      <c r="A898" s="14"/>
      <c r="B898" s="13"/>
      <c r="C898" s="12"/>
      <c r="D898" s="12"/>
      <c r="E898" s="12"/>
      <c r="F898" s="12"/>
      <c r="G898" s="12"/>
      <c r="H898" s="12"/>
      <c r="I898" s="12"/>
      <c r="J898" s="12"/>
      <c r="K898" s="12"/>
    </row>
    <row r="899" spans="1:11" x14ac:dyDescent="0.2">
      <c r="A899" s="14"/>
      <c r="B899" s="13"/>
      <c r="C899" s="12"/>
      <c r="D899" s="12"/>
      <c r="E899" s="12"/>
      <c r="F899" s="12"/>
      <c r="G899" s="12"/>
      <c r="H899" s="12"/>
      <c r="I899" s="12"/>
      <c r="J899" s="12"/>
      <c r="K899" s="12"/>
    </row>
    <row r="900" spans="1:11" x14ac:dyDescent="0.2">
      <c r="A900" s="14"/>
      <c r="B900" s="13"/>
      <c r="C900" s="12"/>
      <c r="D900" s="12"/>
      <c r="E900" s="12"/>
      <c r="F900" s="12"/>
      <c r="G900" s="12"/>
      <c r="H900" s="12"/>
      <c r="I900" s="12"/>
      <c r="J900" s="12"/>
      <c r="K900" s="12"/>
    </row>
    <row r="901" spans="1:11" x14ac:dyDescent="0.2">
      <c r="A901" s="14"/>
      <c r="B901" s="13"/>
      <c r="C901" s="12"/>
      <c r="D901" s="12"/>
      <c r="E901" s="12"/>
      <c r="F901" s="12"/>
      <c r="G901" s="12"/>
      <c r="H901" s="12"/>
      <c r="I901" s="12"/>
      <c r="J901" s="12"/>
      <c r="K901" s="12"/>
    </row>
    <row r="902" spans="1:11" x14ac:dyDescent="0.2">
      <c r="A902" s="14"/>
      <c r="B902" s="13"/>
      <c r="C902" s="12"/>
      <c r="D902" s="12"/>
      <c r="E902" s="12"/>
      <c r="F902" s="12"/>
      <c r="G902" s="12"/>
      <c r="H902" s="12"/>
      <c r="I902" s="12"/>
      <c r="J902" s="12"/>
      <c r="K902" s="12"/>
    </row>
    <row r="903" spans="1:11" x14ac:dyDescent="0.2">
      <c r="A903" s="14"/>
      <c r="B903" s="13"/>
      <c r="C903" s="12"/>
      <c r="D903" s="12"/>
      <c r="E903" s="12"/>
      <c r="F903" s="12"/>
      <c r="G903" s="12"/>
      <c r="H903" s="12"/>
      <c r="I903" s="12"/>
      <c r="J903" s="12"/>
      <c r="K903" s="12"/>
    </row>
    <row r="904" spans="1:11" x14ac:dyDescent="0.2">
      <c r="A904" s="14"/>
      <c r="B904" s="13"/>
      <c r="C904" s="12"/>
      <c r="D904" s="12"/>
      <c r="E904" s="12"/>
      <c r="F904" s="12"/>
      <c r="G904" s="12"/>
      <c r="H904" s="12"/>
      <c r="I904" s="12"/>
      <c r="J904" s="12"/>
      <c r="K904" s="12"/>
    </row>
    <row r="905" spans="1:11" x14ac:dyDescent="0.2">
      <c r="A905" s="14"/>
      <c r="B905" s="13"/>
      <c r="C905" s="12"/>
      <c r="D905" s="12"/>
      <c r="E905" s="12"/>
      <c r="F905" s="12"/>
      <c r="G905" s="12"/>
      <c r="H905" s="12"/>
      <c r="I905" s="12"/>
      <c r="J905" s="12"/>
      <c r="K905" s="12"/>
    </row>
    <row r="906" spans="1:11" x14ac:dyDescent="0.2">
      <c r="A906" s="14"/>
      <c r="B906" s="13"/>
      <c r="C906" s="12"/>
      <c r="D906" s="12"/>
      <c r="E906" s="12"/>
      <c r="F906" s="12"/>
      <c r="G906" s="12"/>
      <c r="H906" s="12"/>
      <c r="I906" s="12"/>
      <c r="J906" s="12"/>
      <c r="K906" s="12"/>
    </row>
    <row r="907" spans="1:11" x14ac:dyDescent="0.2">
      <c r="A907" s="14"/>
      <c r="B907" s="13"/>
      <c r="C907" s="12"/>
      <c r="D907" s="12"/>
      <c r="E907" s="12"/>
      <c r="F907" s="12"/>
      <c r="G907" s="12"/>
      <c r="H907" s="12"/>
      <c r="I907" s="12"/>
      <c r="J907" s="12"/>
      <c r="K907" s="12"/>
    </row>
    <row r="908" spans="1:11" x14ac:dyDescent="0.2">
      <c r="A908" s="14"/>
      <c r="B908" s="13"/>
      <c r="C908" s="12"/>
      <c r="D908" s="12"/>
      <c r="E908" s="12"/>
      <c r="F908" s="12"/>
      <c r="G908" s="12"/>
      <c r="H908" s="12"/>
      <c r="I908" s="12"/>
      <c r="J908" s="12"/>
      <c r="K908" s="12"/>
    </row>
    <row r="909" spans="1:11" x14ac:dyDescent="0.2">
      <c r="A909" s="14"/>
      <c r="B909" s="13"/>
      <c r="C909" s="12"/>
      <c r="D909" s="12"/>
      <c r="E909" s="12"/>
      <c r="F909" s="12"/>
      <c r="G909" s="12"/>
      <c r="H909" s="12"/>
      <c r="I909" s="12"/>
      <c r="J909" s="12"/>
      <c r="K909" s="12"/>
    </row>
    <row r="910" spans="1:11" x14ac:dyDescent="0.2">
      <c r="A910" s="14"/>
      <c r="B910" s="13"/>
      <c r="C910" s="12"/>
      <c r="D910" s="12"/>
      <c r="E910" s="12"/>
      <c r="F910" s="12"/>
      <c r="G910" s="12"/>
      <c r="H910" s="12"/>
      <c r="I910" s="12"/>
      <c r="J910" s="12"/>
      <c r="K910" s="12"/>
    </row>
    <row r="911" spans="1:11" x14ac:dyDescent="0.2">
      <c r="A911" s="14"/>
      <c r="B911" s="13"/>
      <c r="C911" s="12"/>
      <c r="D911" s="12"/>
      <c r="E911" s="12"/>
      <c r="F911" s="12"/>
      <c r="G911" s="12"/>
      <c r="H911" s="12"/>
      <c r="I911" s="12"/>
      <c r="J911" s="12"/>
      <c r="K911" s="12"/>
    </row>
    <row r="912" spans="1:11" x14ac:dyDescent="0.2">
      <c r="A912" s="14"/>
      <c r="B912" s="13"/>
      <c r="C912" s="12"/>
      <c r="D912" s="12"/>
      <c r="E912" s="12"/>
      <c r="F912" s="12"/>
      <c r="G912" s="12"/>
      <c r="H912" s="12"/>
      <c r="I912" s="12"/>
      <c r="J912" s="12"/>
      <c r="K912" s="12"/>
    </row>
    <row r="913" spans="1:11" x14ac:dyDescent="0.2">
      <c r="A913" s="14"/>
      <c r="B913" s="13"/>
      <c r="C913" s="12"/>
      <c r="D913" s="12"/>
      <c r="E913" s="12"/>
      <c r="F913" s="12"/>
      <c r="G913" s="12"/>
      <c r="H913" s="12"/>
      <c r="I913" s="12"/>
      <c r="J913" s="12"/>
      <c r="K913" s="12"/>
    </row>
    <row r="914" spans="1:11" x14ac:dyDescent="0.2">
      <c r="A914" s="14"/>
      <c r="B914" s="13"/>
      <c r="C914" s="12"/>
      <c r="D914" s="12"/>
      <c r="E914" s="12"/>
      <c r="F914" s="12"/>
      <c r="G914" s="12"/>
      <c r="H914" s="12"/>
      <c r="I914" s="12"/>
      <c r="J914" s="12"/>
      <c r="K914" s="12"/>
    </row>
    <row r="915" spans="1:11" x14ac:dyDescent="0.2">
      <c r="A915" s="14"/>
      <c r="B915" s="13"/>
      <c r="C915" s="12"/>
      <c r="D915" s="12"/>
      <c r="E915" s="12"/>
      <c r="F915" s="12"/>
      <c r="G915" s="12"/>
      <c r="H915" s="12"/>
      <c r="I915" s="12"/>
      <c r="J915" s="12"/>
      <c r="K915" s="12"/>
    </row>
    <row r="916" spans="1:11" x14ac:dyDescent="0.2">
      <c r="A916" s="14"/>
      <c r="B916" s="13"/>
      <c r="C916" s="12"/>
      <c r="D916" s="12"/>
      <c r="E916" s="12"/>
      <c r="F916" s="12"/>
      <c r="G916" s="12"/>
      <c r="H916" s="12"/>
      <c r="I916" s="12"/>
      <c r="J916" s="12"/>
      <c r="K916" s="12"/>
    </row>
    <row r="917" spans="1:11" x14ac:dyDescent="0.2">
      <c r="A917" s="14"/>
      <c r="B917" s="13"/>
      <c r="C917" s="12"/>
      <c r="D917" s="12"/>
      <c r="E917" s="12"/>
      <c r="F917" s="12"/>
      <c r="G917" s="12"/>
      <c r="H917" s="12"/>
      <c r="I917" s="12"/>
      <c r="J917" s="12"/>
      <c r="K917" s="12"/>
    </row>
    <row r="918" spans="1:11" x14ac:dyDescent="0.2">
      <c r="A918" s="14"/>
      <c r="B918" s="13"/>
      <c r="C918" s="12"/>
      <c r="D918" s="12"/>
      <c r="E918" s="12"/>
      <c r="F918" s="12"/>
      <c r="G918" s="12"/>
      <c r="H918" s="12"/>
      <c r="I918" s="12"/>
      <c r="J918" s="12"/>
      <c r="K918" s="12"/>
    </row>
    <row r="919" spans="1:11" x14ac:dyDescent="0.2">
      <c r="A919" s="14"/>
      <c r="B919" s="13"/>
      <c r="C919" s="12"/>
      <c r="D919" s="12"/>
      <c r="E919" s="12"/>
      <c r="F919" s="12"/>
      <c r="G919" s="12"/>
      <c r="H919" s="12"/>
      <c r="I919" s="12"/>
      <c r="J919" s="12"/>
      <c r="K919" s="12"/>
    </row>
    <row r="920" spans="1:11" x14ac:dyDescent="0.2">
      <c r="A920" s="14"/>
      <c r="B920" s="13"/>
      <c r="C920" s="12"/>
      <c r="D920" s="12"/>
      <c r="E920" s="12"/>
      <c r="F920" s="12"/>
      <c r="G920" s="12"/>
      <c r="H920" s="12"/>
      <c r="I920" s="12"/>
      <c r="J920" s="12"/>
      <c r="K920" s="12"/>
    </row>
    <row r="921" spans="1:11" x14ac:dyDescent="0.2">
      <c r="A921" s="14"/>
      <c r="B921" s="13"/>
      <c r="C921" s="12"/>
      <c r="D921" s="12"/>
      <c r="E921" s="12"/>
      <c r="F921" s="12"/>
      <c r="G921" s="12"/>
      <c r="H921" s="12"/>
      <c r="I921" s="12"/>
      <c r="J921" s="12"/>
      <c r="K921" s="12"/>
    </row>
    <row r="922" spans="1:11" x14ac:dyDescent="0.2">
      <c r="A922" s="14"/>
      <c r="B922" s="13"/>
      <c r="C922" s="12"/>
      <c r="D922" s="12"/>
      <c r="E922" s="12"/>
      <c r="F922" s="12"/>
      <c r="G922" s="12"/>
      <c r="H922" s="12"/>
      <c r="I922" s="12"/>
      <c r="J922" s="12"/>
      <c r="K922" s="12"/>
    </row>
    <row r="923" spans="1:11" x14ac:dyDescent="0.2">
      <c r="A923" s="14"/>
      <c r="B923" s="13"/>
      <c r="C923" s="12"/>
      <c r="D923" s="12"/>
      <c r="E923" s="12"/>
      <c r="F923" s="12"/>
      <c r="G923" s="12"/>
      <c r="H923" s="12"/>
      <c r="I923" s="12"/>
      <c r="J923" s="12"/>
      <c r="K923" s="12"/>
    </row>
    <row r="924" spans="1:11" x14ac:dyDescent="0.2">
      <c r="A924" s="14"/>
      <c r="B924" s="13"/>
      <c r="C924" s="12"/>
      <c r="D924" s="12"/>
      <c r="E924" s="12"/>
      <c r="F924" s="12"/>
      <c r="G924" s="12"/>
      <c r="H924" s="12"/>
      <c r="I924" s="12"/>
      <c r="J924" s="12"/>
      <c r="K924" s="12"/>
    </row>
    <row r="925" spans="1:11" x14ac:dyDescent="0.2">
      <c r="A925" s="14"/>
      <c r="B925" s="13"/>
      <c r="C925" s="12"/>
      <c r="D925" s="12"/>
      <c r="E925" s="12"/>
      <c r="F925" s="12"/>
      <c r="G925" s="12"/>
      <c r="H925" s="12"/>
      <c r="I925" s="12"/>
      <c r="J925" s="12"/>
      <c r="K925" s="12"/>
    </row>
    <row r="926" spans="1:11" x14ac:dyDescent="0.2">
      <c r="A926" s="14"/>
      <c r="B926" s="13"/>
      <c r="C926" s="12"/>
      <c r="D926" s="12"/>
      <c r="E926" s="12"/>
      <c r="F926" s="12"/>
      <c r="G926" s="12"/>
      <c r="H926" s="12"/>
      <c r="I926" s="12"/>
      <c r="J926" s="12"/>
      <c r="K926" s="12"/>
    </row>
    <row r="927" spans="1:11" x14ac:dyDescent="0.2">
      <c r="A927" s="14"/>
      <c r="B927" s="13"/>
      <c r="C927" s="12"/>
      <c r="D927" s="12"/>
      <c r="E927" s="12"/>
      <c r="F927" s="12"/>
      <c r="G927" s="12"/>
      <c r="H927" s="12"/>
      <c r="I927" s="12"/>
      <c r="J927" s="12"/>
      <c r="K927" s="12"/>
    </row>
    <row r="928" spans="1:11" x14ac:dyDescent="0.2">
      <c r="A928" s="14"/>
      <c r="B928" s="13"/>
      <c r="C928" s="12"/>
      <c r="D928" s="12"/>
      <c r="E928" s="12"/>
      <c r="F928" s="12"/>
      <c r="G928" s="12"/>
      <c r="H928" s="12"/>
      <c r="I928" s="12"/>
      <c r="J928" s="12"/>
      <c r="K928" s="12"/>
    </row>
    <row r="929" spans="1:11" x14ac:dyDescent="0.2">
      <c r="A929" s="14"/>
      <c r="B929" s="13"/>
      <c r="C929" s="12"/>
      <c r="D929" s="12"/>
      <c r="E929" s="12"/>
      <c r="F929" s="12"/>
      <c r="G929" s="12"/>
      <c r="H929" s="12"/>
      <c r="I929" s="12"/>
      <c r="J929" s="12"/>
      <c r="K929" s="12"/>
    </row>
    <row r="930" spans="1:11" x14ac:dyDescent="0.2">
      <c r="A930" s="14"/>
      <c r="B930" s="13"/>
      <c r="C930" s="12"/>
      <c r="D930" s="12"/>
      <c r="E930" s="12"/>
      <c r="F930" s="12"/>
      <c r="G930" s="12"/>
      <c r="H930" s="12"/>
      <c r="I930" s="12"/>
      <c r="J930" s="12"/>
      <c r="K930" s="12"/>
    </row>
    <row r="931" spans="1:11" x14ac:dyDescent="0.2">
      <c r="A931" s="14"/>
      <c r="B931" s="13"/>
      <c r="C931" s="12"/>
      <c r="D931" s="12"/>
      <c r="E931" s="12"/>
      <c r="F931" s="12"/>
      <c r="G931" s="12"/>
      <c r="H931" s="12"/>
      <c r="I931" s="12"/>
      <c r="J931" s="12"/>
      <c r="K931" s="12"/>
    </row>
    <row r="932" spans="1:11" x14ac:dyDescent="0.2">
      <c r="A932" s="14"/>
      <c r="B932" s="13"/>
      <c r="C932" s="12"/>
      <c r="D932" s="12"/>
      <c r="E932" s="12"/>
      <c r="F932" s="12"/>
      <c r="G932" s="12"/>
      <c r="H932" s="12"/>
      <c r="I932" s="12"/>
      <c r="J932" s="12"/>
      <c r="K932" s="12"/>
    </row>
    <row r="933" spans="1:11" x14ac:dyDescent="0.2">
      <c r="A933" s="14"/>
      <c r="B933" s="13"/>
      <c r="C933" s="12"/>
      <c r="D933" s="12"/>
      <c r="E933" s="12"/>
      <c r="F933" s="12"/>
      <c r="G933" s="12"/>
      <c r="H933" s="12"/>
      <c r="I933" s="12"/>
      <c r="J933" s="12"/>
      <c r="K933" s="12"/>
    </row>
    <row r="934" spans="1:11" x14ac:dyDescent="0.2">
      <c r="A934" s="14"/>
      <c r="B934" s="13"/>
      <c r="C934" s="12"/>
      <c r="D934" s="12"/>
      <c r="E934" s="12"/>
      <c r="F934" s="12"/>
      <c r="G934" s="12"/>
      <c r="H934" s="12"/>
      <c r="I934" s="12"/>
      <c r="J934" s="12"/>
      <c r="K934" s="12"/>
    </row>
    <row r="935" spans="1:11" x14ac:dyDescent="0.2">
      <c r="A935" s="14"/>
      <c r="B935" s="13"/>
      <c r="C935" s="12"/>
      <c r="D935" s="12"/>
      <c r="E935" s="12"/>
      <c r="F935" s="12"/>
      <c r="G935" s="12"/>
      <c r="H935" s="12"/>
      <c r="I935" s="12"/>
      <c r="J935" s="12"/>
      <c r="K935" s="12"/>
    </row>
    <row r="936" spans="1:11" x14ac:dyDescent="0.2">
      <c r="A936" s="14"/>
      <c r="B936" s="13"/>
      <c r="C936" s="12"/>
      <c r="D936" s="12"/>
      <c r="E936" s="12"/>
      <c r="F936" s="12"/>
      <c r="G936" s="12"/>
      <c r="H936" s="12"/>
      <c r="I936" s="12"/>
      <c r="J936" s="12"/>
      <c r="K936" s="12"/>
    </row>
    <row r="937" spans="1:11" x14ac:dyDescent="0.2">
      <c r="A937" s="14"/>
      <c r="B937" s="13"/>
      <c r="C937" s="12"/>
      <c r="D937" s="12"/>
      <c r="E937" s="12"/>
      <c r="F937" s="12"/>
      <c r="G937" s="12"/>
      <c r="H937" s="12"/>
      <c r="I937" s="12"/>
      <c r="J937" s="12"/>
      <c r="K937" s="12"/>
    </row>
    <row r="938" spans="1:11" x14ac:dyDescent="0.2">
      <c r="A938" s="14"/>
      <c r="B938" s="13"/>
      <c r="C938" s="12"/>
      <c r="D938" s="12"/>
      <c r="E938" s="12"/>
      <c r="F938" s="12"/>
      <c r="G938" s="12"/>
      <c r="H938" s="12"/>
      <c r="I938" s="12"/>
      <c r="J938" s="12"/>
      <c r="K938" s="12"/>
    </row>
    <row r="939" spans="1:11" x14ac:dyDescent="0.2">
      <c r="A939" s="14"/>
      <c r="B939" s="13"/>
      <c r="C939" s="12"/>
      <c r="D939" s="12"/>
      <c r="E939" s="12"/>
      <c r="F939" s="12"/>
      <c r="G939" s="12"/>
      <c r="H939" s="12"/>
      <c r="I939" s="12"/>
      <c r="J939" s="12"/>
      <c r="K939" s="12"/>
    </row>
    <row r="940" spans="1:11" x14ac:dyDescent="0.2">
      <c r="A940" s="14"/>
      <c r="B940" s="13"/>
      <c r="C940" s="12"/>
      <c r="D940" s="12"/>
      <c r="E940" s="12"/>
      <c r="F940" s="12"/>
      <c r="G940" s="12"/>
      <c r="H940" s="12"/>
      <c r="I940" s="12"/>
      <c r="J940" s="12"/>
      <c r="K940" s="12"/>
    </row>
    <row r="941" spans="1:11" x14ac:dyDescent="0.2">
      <c r="A941" s="14"/>
      <c r="B941" s="13"/>
      <c r="C941" s="12"/>
      <c r="D941" s="12"/>
      <c r="E941" s="12"/>
      <c r="F941" s="12"/>
      <c r="G941" s="12"/>
      <c r="H941" s="12"/>
      <c r="I941" s="12"/>
      <c r="J941" s="12"/>
      <c r="K941" s="12"/>
    </row>
    <row r="942" spans="1:11" x14ac:dyDescent="0.2">
      <c r="A942" s="14"/>
      <c r="B942" s="13"/>
      <c r="C942" s="12"/>
      <c r="D942" s="12"/>
      <c r="E942" s="12"/>
      <c r="F942" s="12"/>
      <c r="G942" s="12"/>
      <c r="H942" s="12"/>
      <c r="I942" s="12"/>
      <c r="J942" s="12"/>
      <c r="K942" s="12"/>
    </row>
    <row r="943" spans="1:11" x14ac:dyDescent="0.2">
      <c r="A943" s="14"/>
      <c r="B943" s="13"/>
      <c r="C943" s="12"/>
      <c r="D943" s="12"/>
      <c r="E943" s="12"/>
      <c r="F943" s="12"/>
      <c r="G943" s="12"/>
      <c r="H943" s="12"/>
      <c r="I943" s="12"/>
      <c r="J943" s="12"/>
      <c r="K943" s="12"/>
    </row>
    <row r="944" spans="1:11" x14ac:dyDescent="0.2">
      <c r="A944" s="14"/>
      <c r="B944" s="13"/>
      <c r="C944" s="12"/>
      <c r="D944" s="12"/>
      <c r="E944" s="12"/>
      <c r="F944" s="12"/>
      <c r="G944" s="12"/>
      <c r="H944" s="12"/>
      <c r="I944" s="12"/>
      <c r="J944" s="12"/>
      <c r="K944" s="12"/>
    </row>
    <row r="945" spans="1:11" x14ac:dyDescent="0.2">
      <c r="A945" s="14"/>
      <c r="B945" s="13"/>
      <c r="C945" s="12"/>
      <c r="D945" s="12"/>
      <c r="E945" s="12"/>
      <c r="F945" s="12"/>
      <c r="G945" s="12"/>
      <c r="H945" s="12"/>
      <c r="I945" s="12"/>
      <c r="J945" s="12"/>
      <c r="K945" s="12"/>
    </row>
    <row r="946" spans="1:11" x14ac:dyDescent="0.2">
      <c r="A946" s="14"/>
      <c r="B946" s="13"/>
      <c r="C946" s="12"/>
      <c r="D946" s="12"/>
      <c r="E946" s="12"/>
      <c r="F946" s="12"/>
      <c r="G946" s="12"/>
      <c r="H946" s="12"/>
      <c r="I946" s="12"/>
      <c r="J946" s="12"/>
      <c r="K946" s="12"/>
    </row>
    <row r="947" spans="1:11" x14ac:dyDescent="0.2">
      <c r="A947" s="14"/>
      <c r="B947" s="13"/>
      <c r="C947" s="12"/>
      <c r="D947" s="12"/>
      <c r="E947" s="12"/>
      <c r="F947" s="12"/>
      <c r="G947" s="12"/>
      <c r="H947" s="12"/>
      <c r="I947" s="12"/>
      <c r="J947" s="12"/>
      <c r="K947" s="12"/>
    </row>
    <row r="948" spans="1:11" x14ac:dyDescent="0.2">
      <c r="A948" s="14"/>
      <c r="B948" s="13"/>
      <c r="C948" s="12"/>
      <c r="D948" s="12"/>
      <c r="E948" s="12"/>
      <c r="F948" s="12"/>
      <c r="G948" s="12"/>
      <c r="H948" s="12"/>
      <c r="I948" s="12"/>
      <c r="J948" s="12"/>
      <c r="K948" s="12"/>
    </row>
    <row r="949" spans="1:11" x14ac:dyDescent="0.2">
      <c r="A949" s="14"/>
      <c r="B949" s="13"/>
      <c r="C949" s="12"/>
      <c r="D949" s="12"/>
      <c r="E949" s="12"/>
      <c r="F949" s="12"/>
      <c r="G949" s="12"/>
      <c r="H949" s="12"/>
      <c r="I949" s="12"/>
      <c r="J949" s="12"/>
      <c r="K949" s="12"/>
    </row>
    <row r="950" spans="1:11" x14ac:dyDescent="0.2">
      <c r="A950" s="14"/>
      <c r="B950" s="13"/>
      <c r="C950" s="12"/>
      <c r="D950" s="12"/>
      <c r="E950" s="12"/>
      <c r="F950" s="12"/>
      <c r="G950" s="12"/>
      <c r="H950" s="12"/>
      <c r="I950" s="12"/>
      <c r="J950" s="12"/>
      <c r="K950" s="12"/>
    </row>
    <row r="951" spans="1:11" x14ac:dyDescent="0.2">
      <c r="A951" s="14"/>
      <c r="B951" s="13"/>
      <c r="C951" s="12"/>
      <c r="D951" s="12"/>
      <c r="E951" s="12"/>
      <c r="F951" s="12"/>
      <c r="G951" s="12"/>
      <c r="H951" s="12"/>
      <c r="I951" s="12"/>
      <c r="J951" s="12"/>
      <c r="K951" s="12"/>
    </row>
    <row r="952" spans="1:11" x14ac:dyDescent="0.2">
      <c r="A952" s="14"/>
      <c r="B952" s="13"/>
      <c r="C952" s="12"/>
      <c r="D952" s="12"/>
      <c r="E952" s="12"/>
      <c r="F952" s="12"/>
      <c r="G952" s="12"/>
      <c r="H952" s="12"/>
      <c r="I952" s="12"/>
      <c r="J952" s="12"/>
      <c r="K952" s="12"/>
    </row>
    <row r="953" spans="1:11" x14ac:dyDescent="0.2">
      <c r="A953" s="14"/>
      <c r="B953" s="13"/>
      <c r="C953" s="12"/>
      <c r="D953" s="12"/>
      <c r="E953" s="12"/>
      <c r="F953" s="12"/>
      <c r="G953" s="12"/>
      <c r="H953" s="12"/>
      <c r="I953" s="12"/>
      <c r="J953" s="12"/>
      <c r="K953" s="12"/>
    </row>
    <row r="954" spans="1:11" x14ac:dyDescent="0.2">
      <c r="A954" s="14"/>
      <c r="B954" s="13"/>
      <c r="C954" s="12"/>
      <c r="D954" s="12"/>
      <c r="E954" s="12"/>
      <c r="F954" s="12"/>
      <c r="G954" s="12"/>
      <c r="H954" s="12"/>
      <c r="I954" s="12"/>
      <c r="J954" s="12"/>
      <c r="K954" s="12"/>
    </row>
    <row r="955" spans="1:11" x14ac:dyDescent="0.2">
      <c r="A955" s="14"/>
      <c r="B955" s="13"/>
      <c r="C955" s="12"/>
      <c r="D955" s="12"/>
      <c r="E955" s="12"/>
      <c r="F955" s="12"/>
      <c r="G955" s="12"/>
      <c r="H955" s="12"/>
      <c r="I955" s="12"/>
      <c r="J955" s="12"/>
      <c r="K955" s="12"/>
    </row>
    <row r="956" spans="1:11" x14ac:dyDescent="0.2">
      <c r="A956" s="14"/>
      <c r="B956" s="13"/>
      <c r="C956" s="12"/>
      <c r="D956" s="12"/>
      <c r="E956" s="12"/>
      <c r="F956" s="12"/>
      <c r="G956" s="12"/>
      <c r="H956" s="12"/>
      <c r="I956" s="12"/>
      <c r="J956" s="12"/>
      <c r="K956" s="12"/>
    </row>
    <row r="957" spans="1:11" x14ac:dyDescent="0.2">
      <c r="A957" s="14"/>
      <c r="B957" s="13"/>
      <c r="C957" s="12"/>
      <c r="D957" s="12"/>
      <c r="E957" s="12"/>
      <c r="F957" s="12"/>
      <c r="G957" s="12"/>
      <c r="H957" s="12"/>
      <c r="I957" s="12"/>
      <c r="J957" s="12"/>
      <c r="K957" s="12"/>
    </row>
    <row r="958" spans="1:11" x14ac:dyDescent="0.2">
      <c r="A958" s="14"/>
      <c r="B958" s="13"/>
      <c r="C958" s="12"/>
      <c r="D958" s="12"/>
      <c r="E958" s="12"/>
      <c r="F958" s="12"/>
      <c r="G958" s="12"/>
      <c r="H958" s="12"/>
      <c r="I958" s="12"/>
      <c r="J958" s="12"/>
      <c r="K958" s="12"/>
    </row>
    <row r="959" spans="1:11" x14ac:dyDescent="0.2">
      <c r="A959" s="14"/>
      <c r="B959" s="13"/>
      <c r="C959" s="12"/>
      <c r="D959" s="12"/>
      <c r="E959" s="12"/>
      <c r="F959" s="12"/>
      <c r="G959" s="12"/>
      <c r="H959" s="12"/>
      <c r="I959" s="12"/>
      <c r="J959" s="12"/>
      <c r="K959" s="12"/>
    </row>
    <row r="960" spans="1:11" x14ac:dyDescent="0.2">
      <c r="A960" s="14"/>
      <c r="B960" s="13"/>
      <c r="C960" s="12"/>
      <c r="D960" s="12"/>
      <c r="E960" s="12"/>
      <c r="F960" s="12"/>
      <c r="G960" s="12"/>
      <c r="H960" s="12"/>
      <c r="I960" s="12"/>
      <c r="J960" s="12"/>
      <c r="K960" s="12"/>
    </row>
    <row r="961" spans="1:11" x14ac:dyDescent="0.2">
      <c r="A961" s="14"/>
      <c r="B961" s="13"/>
      <c r="C961" s="12"/>
      <c r="D961" s="12"/>
      <c r="E961" s="12"/>
      <c r="F961" s="12"/>
      <c r="G961" s="12"/>
      <c r="H961" s="12"/>
      <c r="I961" s="12"/>
      <c r="J961" s="12"/>
      <c r="K961" s="12"/>
    </row>
    <row r="962" spans="1:11" x14ac:dyDescent="0.2">
      <c r="A962" s="14"/>
      <c r="B962" s="13"/>
      <c r="C962" s="12"/>
      <c r="D962" s="12"/>
      <c r="E962" s="12"/>
      <c r="F962" s="12"/>
      <c r="G962" s="12"/>
      <c r="H962" s="12"/>
      <c r="I962" s="12"/>
      <c r="J962" s="12"/>
      <c r="K962" s="12"/>
    </row>
    <row r="963" spans="1:11" x14ac:dyDescent="0.2">
      <c r="A963" s="14"/>
      <c r="B963" s="13"/>
      <c r="C963" s="12"/>
      <c r="D963" s="12"/>
      <c r="E963" s="12"/>
      <c r="F963" s="12"/>
      <c r="G963" s="12"/>
      <c r="H963" s="12"/>
      <c r="I963" s="12"/>
      <c r="J963" s="12"/>
      <c r="K963" s="12"/>
    </row>
    <row r="964" spans="1:11" x14ac:dyDescent="0.2">
      <c r="A964" s="14"/>
      <c r="B964" s="13"/>
      <c r="C964" s="12"/>
      <c r="D964" s="12"/>
      <c r="E964" s="12"/>
      <c r="F964" s="12"/>
      <c r="G964" s="12"/>
      <c r="H964" s="12"/>
      <c r="I964" s="12"/>
      <c r="J964" s="12"/>
      <c r="K964" s="12"/>
    </row>
    <row r="965" spans="1:11" x14ac:dyDescent="0.2">
      <c r="A965" s="14"/>
      <c r="B965" s="13"/>
      <c r="C965" s="12"/>
      <c r="D965" s="12"/>
      <c r="E965" s="12"/>
      <c r="F965" s="12"/>
      <c r="G965" s="12"/>
      <c r="H965" s="12"/>
      <c r="I965" s="12"/>
      <c r="J965" s="12"/>
      <c r="K965" s="12"/>
    </row>
    <row r="966" spans="1:11" x14ac:dyDescent="0.2">
      <c r="A966" s="14"/>
      <c r="B966" s="13"/>
      <c r="C966" s="12"/>
      <c r="D966" s="12"/>
      <c r="E966" s="12"/>
      <c r="F966" s="12"/>
      <c r="G966" s="12"/>
      <c r="H966" s="12"/>
      <c r="I966" s="12"/>
      <c r="J966" s="12"/>
      <c r="K966" s="12"/>
    </row>
    <row r="967" spans="1:11" x14ac:dyDescent="0.2">
      <c r="A967" s="14"/>
      <c r="B967" s="13"/>
      <c r="C967" s="12"/>
      <c r="D967" s="12"/>
      <c r="E967" s="12"/>
      <c r="F967" s="12"/>
      <c r="G967" s="12"/>
      <c r="H967" s="12"/>
      <c r="I967" s="12"/>
      <c r="J967" s="12"/>
      <c r="K967" s="12"/>
    </row>
    <row r="968" spans="1:11" x14ac:dyDescent="0.2">
      <c r="A968" s="14"/>
      <c r="B968" s="13"/>
      <c r="C968" s="12"/>
      <c r="D968" s="12"/>
      <c r="E968" s="12"/>
      <c r="F968" s="12"/>
      <c r="G968" s="12"/>
      <c r="H968" s="12"/>
      <c r="I968" s="12"/>
      <c r="J968" s="12"/>
      <c r="K968" s="12"/>
    </row>
    <row r="969" spans="1:11" x14ac:dyDescent="0.2">
      <c r="A969" s="14"/>
      <c r="B969" s="13"/>
      <c r="C969" s="12"/>
      <c r="D969" s="12"/>
      <c r="E969" s="12"/>
      <c r="F969" s="12"/>
      <c r="G969" s="12"/>
      <c r="H969" s="12"/>
      <c r="I969" s="12"/>
      <c r="J969" s="12"/>
      <c r="K969" s="12"/>
    </row>
    <row r="970" spans="1:11" x14ac:dyDescent="0.2">
      <c r="A970" s="14"/>
      <c r="B970" s="13"/>
      <c r="C970" s="12"/>
      <c r="D970" s="12"/>
      <c r="E970" s="12"/>
      <c r="F970" s="12"/>
      <c r="G970" s="12"/>
      <c r="H970" s="12"/>
      <c r="I970" s="12"/>
      <c r="J970" s="12"/>
      <c r="K970" s="12"/>
    </row>
    <row r="971" spans="1:11" x14ac:dyDescent="0.2">
      <c r="A971" s="14"/>
      <c r="B971" s="13"/>
      <c r="C971" s="12"/>
      <c r="D971" s="12"/>
      <c r="E971" s="12"/>
      <c r="F971" s="12"/>
      <c r="G971" s="12"/>
      <c r="H971" s="12"/>
      <c r="I971" s="12"/>
      <c r="J971" s="12"/>
      <c r="K971" s="12"/>
    </row>
    <row r="972" spans="1:11" x14ac:dyDescent="0.2">
      <c r="A972" s="14"/>
      <c r="B972" s="13"/>
      <c r="C972" s="12"/>
      <c r="D972" s="12"/>
      <c r="E972" s="12"/>
      <c r="F972" s="12"/>
      <c r="G972" s="12"/>
      <c r="H972" s="12"/>
      <c r="I972" s="12"/>
      <c r="J972" s="12"/>
      <c r="K972" s="12"/>
    </row>
    <row r="973" spans="1:11" x14ac:dyDescent="0.2">
      <c r="A973" s="14"/>
      <c r="B973" s="13"/>
      <c r="C973" s="12"/>
      <c r="D973" s="12"/>
      <c r="E973" s="12"/>
      <c r="F973" s="12"/>
      <c r="G973" s="12"/>
      <c r="H973" s="12"/>
      <c r="I973" s="12"/>
      <c r="J973" s="12"/>
      <c r="K973" s="12"/>
    </row>
    <row r="974" spans="1:11" x14ac:dyDescent="0.2">
      <c r="A974" s="14"/>
      <c r="B974" s="13"/>
      <c r="C974" s="12"/>
      <c r="D974" s="12"/>
      <c r="E974" s="12"/>
      <c r="F974" s="12"/>
      <c r="G974" s="12"/>
      <c r="H974" s="12"/>
      <c r="I974" s="12"/>
      <c r="J974" s="12"/>
      <c r="K974" s="12"/>
    </row>
    <row r="975" spans="1:11" x14ac:dyDescent="0.2">
      <c r="A975" s="14"/>
      <c r="B975" s="13"/>
      <c r="C975" s="12"/>
      <c r="D975" s="12"/>
      <c r="E975" s="12"/>
      <c r="F975" s="12"/>
      <c r="G975" s="12"/>
      <c r="H975" s="12"/>
      <c r="I975" s="12"/>
      <c r="J975" s="12"/>
      <c r="K975" s="12"/>
    </row>
    <row r="976" spans="1:11" x14ac:dyDescent="0.2">
      <c r="A976" s="14"/>
      <c r="B976" s="13"/>
      <c r="C976" s="12"/>
      <c r="D976" s="12"/>
      <c r="E976" s="12"/>
      <c r="F976" s="12"/>
      <c r="G976" s="12"/>
      <c r="H976" s="12"/>
      <c r="I976" s="12"/>
      <c r="J976" s="12"/>
      <c r="K976" s="12"/>
    </row>
    <row r="977" spans="1:11" x14ac:dyDescent="0.2">
      <c r="A977" s="14"/>
      <c r="B977" s="13"/>
      <c r="C977" s="12"/>
      <c r="D977" s="12"/>
      <c r="E977" s="12"/>
      <c r="F977" s="12"/>
      <c r="G977" s="12"/>
      <c r="H977" s="12"/>
      <c r="I977" s="12"/>
      <c r="J977" s="12"/>
      <c r="K977" s="12"/>
    </row>
    <row r="978" spans="1:11" x14ac:dyDescent="0.2">
      <c r="A978" s="14"/>
      <c r="B978" s="13"/>
      <c r="C978" s="12"/>
      <c r="D978" s="12"/>
      <c r="E978" s="12"/>
      <c r="F978" s="12"/>
      <c r="G978" s="12"/>
      <c r="H978" s="12"/>
      <c r="I978" s="12"/>
      <c r="J978" s="12"/>
      <c r="K978" s="12"/>
    </row>
    <row r="979" spans="1:11" x14ac:dyDescent="0.2">
      <c r="A979" s="14"/>
      <c r="B979" s="13"/>
      <c r="C979" s="12"/>
      <c r="D979" s="12"/>
      <c r="E979" s="12"/>
      <c r="F979" s="12"/>
      <c r="G979" s="12"/>
      <c r="H979" s="12"/>
      <c r="I979" s="12"/>
      <c r="J979" s="12"/>
      <c r="K979" s="12"/>
    </row>
    <row r="980" spans="1:11" x14ac:dyDescent="0.2">
      <c r="A980" s="14"/>
      <c r="B980" s="13"/>
      <c r="C980" s="12"/>
      <c r="D980" s="12"/>
      <c r="E980" s="12"/>
      <c r="F980" s="12"/>
      <c r="G980" s="12"/>
      <c r="H980" s="12"/>
      <c r="I980" s="12"/>
      <c r="J980" s="12"/>
      <c r="K980" s="12"/>
    </row>
    <row r="981" spans="1:11" x14ac:dyDescent="0.2">
      <c r="A981" s="14"/>
      <c r="B981" s="13"/>
      <c r="C981" s="12"/>
      <c r="D981" s="12"/>
      <c r="E981" s="12"/>
      <c r="F981" s="12"/>
      <c r="G981" s="12"/>
      <c r="H981" s="12"/>
      <c r="I981" s="12"/>
      <c r="J981" s="12"/>
      <c r="K981" s="12"/>
    </row>
    <row r="982" spans="1:11" x14ac:dyDescent="0.2">
      <c r="A982" s="14"/>
      <c r="B982" s="13"/>
      <c r="C982" s="12"/>
      <c r="D982" s="12"/>
      <c r="E982" s="12"/>
      <c r="F982" s="12"/>
      <c r="G982" s="12"/>
      <c r="H982" s="12"/>
      <c r="I982" s="12"/>
      <c r="J982" s="12"/>
      <c r="K982" s="12"/>
    </row>
    <row r="983" spans="1:11" x14ac:dyDescent="0.2">
      <c r="A983" s="14"/>
      <c r="B983" s="13"/>
      <c r="C983" s="12"/>
      <c r="D983" s="12"/>
      <c r="E983" s="12"/>
      <c r="F983" s="12"/>
      <c r="G983" s="12"/>
      <c r="H983" s="12"/>
      <c r="I983" s="12"/>
      <c r="J983" s="12"/>
      <c r="K983" s="12"/>
    </row>
    <row r="984" spans="1:11" x14ac:dyDescent="0.2">
      <c r="A984" s="14"/>
      <c r="B984" s="13"/>
      <c r="C984" s="12"/>
      <c r="D984" s="12"/>
      <c r="E984" s="12"/>
      <c r="F984" s="12"/>
      <c r="G984" s="12"/>
      <c r="H984" s="12"/>
      <c r="I984" s="12"/>
      <c r="J984" s="12"/>
      <c r="K984" s="12"/>
    </row>
    <row r="985" spans="1:11" x14ac:dyDescent="0.2">
      <c r="A985" s="14"/>
      <c r="B985" s="13"/>
      <c r="C985" s="12"/>
      <c r="D985" s="12"/>
      <c r="E985" s="12"/>
      <c r="F985" s="12"/>
      <c r="G985" s="12"/>
      <c r="H985" s="12"/>
      <c r="I985" s="12"/>
      <c r="J985" s="12"/>
      <c r="K985" s="12"/>
    </row>
    <row r="986" spans="1:11" x14ac:dyDescent="0.2">
      <c r="A986" s="14"/>
      <c r="B986" s="13"/>
      <c r="C986" s="12"/>
      <c r="D986" s="12"/>
      <c r="E986" s="12"/>
      <c r="F986" s="12"/>
      <c r="G986" s="12"/>
      <c r="H986" s="12"/>
      <c r="I986" s="12"/>
      <c r="J986" s="12"/>
      <c r="K986" s="12"/>
    </row>
    <row r="987" spans="1:11" x14ac:dyDescent="0.2">
      <c r="A987" s="14"/>
      <c r="B987" s="13"/>
      <c r="C987" s="12"/>
      <c r="D987" s="12"/>
      <c r="E987" s="12"/>
      <c r="F987" s="12"/>
      <c r="G987" s="12"/>
      <c r="H987" s="12"/>
      <c r="I987" s="12"/>
      <c r="J987" s="12"/>
      <c r="K987" s="12"/>
    </row>
    <row r="988" spans="1:11" x14ac:dyDescent="0.2">
      <c r="A988" s="14"/>
      <c r="B988" s="13"/>
      <c r="C988" s="12"/>
      <c r="D988" s="12"/>
      <c r="E988" s="12"/>
      <c r="F988" s="12"/>
      <c r="G988" s="12"/>
      <c r="H988" s="12"/>
      <c r="I988" s="12"/>
      <c r="J988" s="12"/>
      <c r="K988" s="12"/>
    </row>
    <row r="989" spans="1:11" x14ac:dyDescent="0.2">
      <c r="A989" s="14"/>
      <c r="B989" s="13"/>
      <c r="C989" s="12"/>
      <c r="D989" s="12"/>
      <c r="E989" s="12"/>
      <c r="F989" s="12"/>
      <c r="G989" s="12"/>
      <c r="H989" s="12"/>
      <c r="I989" s="12"/>
      <c r="J989" s="12"/>
      <c r="K989" s="12"/>
    </row>
    <row r="990" spans="1:11" x14ac:dyDescent="0.2">
      <c r="A990" s="14"/>
      <c r="B990" s="13"/>
      <c r="C990" s="12"/>
      <c r="D990" s="12"/>
      <c r="E990" s="12"/>
      <c r="F990" s="12"/>
      <c r="G990" s="12"/>
      <c r="H990" s="12"/>
      <c r="I990" s="12"/>
      <c r="J990" s="12"/>
      <c r="K990" s="12"/>
    </row>
    <row r="991" spans="1:11" x14ac:dyDescent="0.2">
      <c r="A991" s="14"/>
      <c r="B991" s="13"/>
      <c r="C991" s="12"/>
      <c r="D991" s="12"/>
      <c r="E991" s="12"/>
      <c r="F991" s="12"/>
      <c r="G991" s="12"/>
      <c r="H991" s="12"/>
      <c r="I991" s="12"/>
      <c r="J991" s="12"/>
      <c r="K991" s="12"/>
    </row>
    <row r="992" spans="1:11" x14ac:dyDescent="0.2">
      <c r="A992" s="14"/>
      <c r="B992" s="13"/>
      <c r="C992" s="12"/>
      <c r="D992" s="12"/>
      <c r="E992" s="12"/>
      <c r="F992" s="12"/>
      <c r="G992" s="12"/>
      <c r="H992" s="12"/>
      <c r="I992" s="12"/>
      <c r="J992" s="12"/>
      <c r="K992" s="12"/>
    </row>
    <row r="993" spans="1:11" x14ac:dyDescent="0.2">
      <c r="A993" s="14"/>
      <c r="B993" s="13"/>
      <c r="C993" s="12"/>
      <c r="D993" s="12"/>
      <c r="E993" s="12"/>
      <c r="F993" s="12"/>
      <c r="G993" s="12"/>
      <c r="H993" s="12"/>
      <c r="I993" s="12"/>
      <c r="J993" s="12"/>
      <c r="K993" s="12"/>
    </row>
    <row r="994" spans="1:11" x14ac:dyDescent="0.2">
      <c r="A994" s="14"/>
      <c r="B994" s="13"/>
      <c r="C994" s="12"/>
      <c r="D994" s="12"/>
      <c r="E994" s="12"/>
      <c r="F994" s="12"/>
      <c r="G994" s="12"/>
      <c r="H994" s="12"/>
      <c r="I994" s="12"/>
      <c r="J994" s="12"/>
      <c r="K994" s="12"/>
    </row>
    <row r="995" spans="1:11" x14ac:dyDescent="0.2">
      <c r="A995" s="14"/>
      <c r="B995" s="13"/>
      <c r="C995" s="12"/>
      <c r="D995" s="12"/>
      <c r="E995" s="12"/>
      <c r="F995" s="12"/>
      <c r="G995" s="12"/>
      <c r="H995" s="12"/>
      <c r="I995" s="12"/>
      <c r="J995" s="12"/>
      <c r="K995" s="12"/>
    </row>
    <row r="996" spans="1:11" x14ac:dyDescent="0.2">
      <c r="A996" s="14"/>
      <c r="B996" s="13"/>
      <c r="C996" s="12"/>
      <c r="D996" s="12"/>
      <c r="E996" s="12"/>
      <c r="F996" s="12"/>
      <c r="G996" s="12"/>
      <c r="H996" s="12"/>
      <c r="I996" s="12"/>
      <c r="J996" s="12"/>
      <c r="K996" s="12"/>
    </row>
    <row r="997" spans="1:11" x14ac:dyDescent="0.2">
      <c r="A997" s="14"/>
      <c r="B997" s="13"/>
      <c r="C997" s="12"/>
      <c r="D997" s="12"/>
      <c r="E997" s="12"/>
      <c r="F997" s="12"/>
      <c r="G997" s="12"/>
      <c r="H997" s="12"/>
      <c r="I997" s="12"/>
      <c r="J997" s="12"/>
      <c r="K997" s="12"/>
    </row>
    <row r="998" spans="1:11" x14ac:dyDescent="0.2">
      <c r="A998" s="14"/>
      <c r="B998" s="13"/>
      <c r="C998" s="12"/>
      <c r="D998" s="12"/>
      <c r="E998" s="12"/>
      <c r="F998" s="12"/>
      <c r="G998" s="12"/>
      <c r="H998" s="12"/>
      <c r="I998" s="12"/>
      <c r="J998" s="12"/>
      <c r="K998" s="12"/>
    </row>
    <row r="999" spans="1:11" x14ac:dyDescent="0.2">
      <c r="A999" s="14"/>
      <c r="B999" s="13"/>
      <c r="C999" s="12"/>
      <c r="D999" s="12"/>
      <c r="E999" s="12"/>
      <c r="F999" s="12"/>
      <c r="G999" s="12"/>
      <c r="H999" s="12"/>
      <c r="I999" s="12"/>
      <c r="J999" s="12"/>
      <c r="K999" s="12"/>
    </row>
    <row r="1000" spans="1:11" x14ac:dyDescent="0.2">
      <c r="B1000" s="11"/>
    </row>
    <row r="1001" spans="1:11" x14ac:dyDescent="0.2">
      <c r="B1001" s="11"/>
    </row>
    <row r="1002" spans="1:11" x14ac:dyDescent="0.2">
      <c r="B1002" s="11"/>
    </row>
    <row r="1003" spans="1:11" x14ac:dyDescent="0.2">
      <c r="B1003" s="11"/>
    </row>
    <row r="1004" spans="1:11" x14ac:dyDescent="0.2">
      <c r="B1004" s="11"/>
    </row>
    <row r="1005" spans="1:11" x14ac:dyDescent="0.2">
      <c r="B1005" s="11"/>
    </row>
    <row r="1006" spans="1:11" x14ac:dyDescent="0.2">
      <c r="B1006" s="11"/>
    </row>
    <row r="1007" spans="1:11" x14ac:dyDescent="0.2">
      <c r="B1007" s="11"/>
    </row>
    <row r="1008" spans="1:11" x14ac:dyDescent="0.2">
      <c r="B1008" s="11"/>
    </row>
    <row r="1009" spans="2:2" x14ac:dyDescent="0.2">
      <c r="B1009" s="11"/>
    </row>
    <row r="1010" spans="2:2" x14ac:dyDescent="0.2">
      <c r="B1010" s="11"/>
    </row>
    <row r="1011" spans="2:2" x14ac:dyDescent="0.2">
      <c r="B1011" s="11"/>
    </row>
    <row r="1012" spans="2:2" x14ac:dyDescent="0.2">
      <c r="B1012" s="11"/>
    </row>
    <row r="1013" spans="2:2" x14ac:dyDescent="0.2">
      <c r="B1013" s="11"/>
    </row>
    <row r="1014" spans="2:2" x14ac:dyDescent="0.2">
      <c r="B1014" s="11"/>
    </row>
    <row r="1015" spans="2:2" x14ac:dyDescent="0.2">
      <c r="B1015" s="11"/>
    </row>
    <row r="1016" spans="2:2" x14ac:dyDescent="0.2">
      <c r="B1016" s="11"/>
    </row>
    <row r="1017" spans="2:2" x14ac:dyDescent="0.2">
      <c r="B1017" s="11"/>
    </row>
    <row r="1018" spans="2:2" x14ac:dyDescent="0.2">
      <c r="B1018" s="11"/>
    </row>
    <row r="1019" spans="2:2" x14ac:dyDescent="0.2">
      <c r="B1019" s="11"/>
    </row>
    <row r="1020" spans="2:2" x14ac:dyDescent="0.2">
      <c r="B1020" s="11"/>
    </row>
    <row r="1021" spans="2:2" x14ac:dyDescent="0.2">
      <c r="B1021" s="11"/>
    </row>
    <row r="1022" spans="2:2" x14ac:dyDescent="0.2">
      <c r="B1022" s="11"/>
    </row>
    <row r="1023" spans="2:2" x14ac:dyDescent="0.2">
      <c r="B1023" s="11"/>
    </row>
    <row r="1024" spans="2:2" x14ac:dyDescent="0.2">
      <c r="B1024" s="11"/>
    </row>
    <row r="1025" spans="2:2" x14ac:dyDescent="0.2">
      <c r="B1025" s="11"/>
    </row>
    <row r="1026" spans="2:2" x14ac:dyDescent="0.2">
      <c r="B1026" s="11"/>
    </row>
    <row r="1027" spans="2:2" x14ac:dyDescent="0.2">
      <c r="B1027" s="11"/>
    </row>
    <row r="1028" spans="2:2" x14ac:dyDescent="0.2">
      <c r="B1028" s="11"/>
    </row>
    <row r="1029" spans="2:2" x14ac:dyDescent="0.2">
      <c r="B1029" s="11"/>
    </row>
    <row r="1030" spans="2:2" x14ac:dyDescent="0.2">
      <c r="B1030" s="11"/>
    </row>
    <row r="1031" spans="2:2" x14ac:dyDescent="0.2">
      <c r="B1031" s="11"/>
    </row>
    <row r="1032" spans="2:2" x14ac:dyDescent="0.2">
      <c r="B1032" s="11"/>
    </row>
    <row r="1033" spans="2:2" x14ac:dyDescent="0.2">
      <c r="B1033" s="11"/>
    </row>
    <row r="1034" spans="2:2" x14ac:dyDescent="0.2">
      <c r="B1034" s="11"/>
    </row>
    <row r="1035" spans="2:2" x14ac:dyDescent="0.2">
      <c r="B1035" s="11"/>
    </row>
    <row r="1036" spans="2:2" x14ac:dyDescent="0.2">
      <c r="B1036" s="11"/>
    </row>
    <row r="1037" spans="2:2" x14ac:dyDescent="0.2">
      <c r="B1037" s="11"/>
    </row>
    <row r="1038" spans="2:2" x14ac:dyDescent="0.2">
      <c r="B1038" s="11"/>
    </row>
    <row r="1039" spans="2:2" x14ac:dyDescent="0.2">
      <c r="B1039" s="11"/>
    </row>
    <row r="1040" spans="2:2" x14ac:dyDescent="0.2">
      <c r="B1040" s="11"/>
    </row>
    <row r="1041" spans="2:2" x14ac:dyDescent="0.2">
      <c r="B1041" s="11"/>
    </row>
    <row r="1042" spans="2:2" x14ac:dyDescent="0.2">
      <c r="B1042" s="11"/>
    </row>
    <row r="1043" spans="2:2" x14ac:dyDescent="0.2">
      <c r="B1043" s="11"/>
    </row>
    <row r="1044" spans="2:2" x14ac:dyDescent="0.2">
      <c r="B1044" s="11"/>
    </row>
    <row r="1045" spans="2:2" x14ac:dyDescent="0.2">
      <c r="B1045" s="11"/>
    </row>
    <row r="1046" spans="2:2" x14ac:dyDescent="0.2">
      <c r="B1046" s="11"/>
    </row>
    <row r="1047" spans="2:2" x14ac:dyDescent="0.2">
      <c r="B1047" s="11"/>
    </row>
    <row r="1048" spans="2:2" x14ac:dyDescent="0.2">
      <c r="B1048" s="11"/>
    </row>
    <row r="1049" spans="2:2" x14ac:dyDescent="0.2">
      <c r="B1049" s="11"/>
    </row>
    <row r="1050" spans="2:2" x14ac:dyDescent="0.2">
      <c r="B1050" s="11"/>
    </row>
    <row r="1051" spans="2:2" x14ac:dyDescent="0.2">
      <c r="B1051" s="11"/>
    </row>
    <row r="1052" spans="2:2" x14ac:dyDescent="0.2">
      <c r="B1052" s="11"/>
    </row>
    <row r="1053" spans="2:2" x14ac:dyDescent="0.2">
      <c r="B1053" s="11"/>
    </row>
    <row r="1054" spans="2:2" x14ac:dyDescent="0.2">
      <c r="B1054" s="11"/>
    </row>
    <row r="1055" spans="2:2" x14ac:dyDescent="0.2">
      <c r="B1055" s="11"/>
    </row>
    <row r="1056" spans="2:2" x14ac:dyDescent="0.2">
      <c r="B1056" s="11"/>
    </row>
    <row r="1057" spans="2:2" x14ac:dyDescent="0.2">
      <c r="B1057" s="11"/>
    </row>
    <row r="1058" spans="2:2" x14ac:dyDescent="0.2">
      <c r="B1058" s="11"/>
    </row>
    <row r="1059" spans="2:2" x14ac:dyDescent="0.2">
      <c r="B1059" s="11"/>
    </row>
    <row r="1060" spans="2:2" x14ac:dyDescent="0.2">
      <c r="B1060" s="11"/>
    </row>
    <row r="1061" spans="2:2" x14ac:dyDescent="0.2">
      <c r="B1061" s="11"/>
    </row>
    <row r="1062" spans="2:2" x14ac:dyDescent="0.2">
      <c r="B1062" s="11"/>
    </row>
    <row r="1063" spans="2:2" x14ac:dyDescent="0.2">
      <c r="B1063" s="11"/>
    </row>
    <row r="1064" spans="2:2" x14ac:dyDescent="0.2">
      <c r="B1064" s="11"/>
    </row>
    <row r="1065" spans="2:2" x14ac:dyDescent="0.2">
      <c r="B1065" s="11"/>
    </row>
    <row r="1066" spans="2:2" x14ac:dyDescent="0.2">
      <c r="B1066" s="11"/>
    </row>
    <row r="1067" spans="2:2" x14ac:dyDescent="0.2">
      <c r="B1067" s="11"/>
    </row>
    <row r="1068" spans="2:2" x14ac:dyDescent="0.2">
      <c r="B1068" s="11"/>
    </row>
    <row r="1069" spans="2:2" x14ac:dyDescent="0.2">
      <c r="B1069" s="11"/>
    </row>
    <row r="1070" spans="2:2" x14ac:dyDescent="0.2">
      <c r="B1070" s="11"/>
    </row>
    <row r="1071" spans="2:2" x14ac:dyDescent="0.2">
      <c r="B1071" s="11"/>
    </row>
    <row r="1072" spans="2:2" x14ac:dyDescent="0.2">
      <c r="B1072" s="11"/>
    </row>
    <row r="1073" spans="2:2" x14ac:dyDescent="0.2">
      <c r="B1073" s="11"/>
    </row>
    <row r="1074" spans="2:2" x14ac:dyDescent="0.2">
      <c r="B1074" s="11"/>
    </row>
    <row r="1075" spans="2:2" x14ac:dyDescent="0.2">
      <c r="B1075" s="11"/>
    </row>
    <row r="1076" spans="2:2" x14ac:dyDescent="0.2">
      <c r="B1076" s="11"/>
    </row>
    <row r="1077" spans="2:2" x14ac:dyDescent="0.2">
      <c r="B1077" s="11"/>
    </row>
    <row r="1078" spans="2:2" x14ac:dyDescent="0.2">
      <c r="B1078" s="11"/>
    </row>
    <row r="1079" spans="2:2" x14ac:dyDescent="0.2">
      <c r="B1079" s="11"/>
    </row>
    <row r="1080" spans="2:2" x14ac:dyDescent="0.2">
      <c r="B1080" s="11"/>
    </row>
    <row r="1081" spans="2:2" x14ac:dyDescent="0.2">
      <c r="B1081" s="11"/>
    </row>
    <row r="1082" spans="2:2" x14ac:dyDescent="0.2">
      <c r="B1082" s="11"/>
    </row>
    <row r="1083" spans="2:2" x14ac:dyDescent="0.2">
      <c r="B1083" s="11"/>
    </row>
    <row r="1084" spans="2:2" x14ac:dyDescent="0.2">
      <c r="B1084" s="11"/>
    </row>
    <row r="1085" spans="2:2" x14ac:dyDescent="0.2">
      <c r="B1085" s="11"/>
    </row>
    <row r="1086" spans="2:2" x14ac:dyDescent="0.2">
      <c r="B1086" s="11"/>
    </row>
    <row r="1087" spans="2:2" x14ac:dyDescent="0.2">
      <c r="B1087" s="11"/>
    </row>
    <row r="1088" spans="2:2" x14ac:dyDescent="0.2">
      <c r="B1088" s="11"/>
    </row>
    <row r="1089" spans="2:2" x14ac:dyDescent="0.2">
      <c r="B1089" s="11"/>
    </row>
    <row r="1090" spans="2:2" x14ac:dyDescent="0.2">
      <c r="B1090" s="11"/>
    </row>
    <row r="1091" spans="2:2" x14ac:dyDescent="0.2">
      <c r="B1091" s="11"/>
    </row>
    <row r="1092" spans="2:2" x14ac:dyDescent="0.2">
      <c r="B1092" s="11"/>
    </row>
    <row r="1093" spans="2:2" x14ac:dyDescent="0.2">
      <c r="B1093" s="11"/>
    </row>
    <row r="1094" spans="2:2" x14ac:dyDescent="0.2">
      <c r="B1094" s="11"/>
    </row>
    <row r="1095" spans="2:2" x14ac:dyDescent="0.2">
      <c r="B1095" s="11"/>
    </row>
    <row r="1096" spans="2:2" x14ac:dyDescent="0.2">
      <c r="B1096" s="11"/>
    </row>
    <row r="1097" spans="2:2" x14ac:dyDescent="0.2">
      <c r="B1097" s="11"/>
    </row>
    <row r="1098" spans="2:2" x14ac:dyDescent="0.2">
      <c r="B1098" s="11"/>
    </row>
    <row r="1099" spans="2:2" x14ac:dyDescent="0.2">
      <c r="B1099" s="11"/>
    </row>
    <row r="1100" spans="2:2" x14ac:dyDescent="0.2">
      <c r="B1100" s="11"/>
    </row>
    <row r="1101" spans="2:2" x14ac:dyDescent="0.2">
      <c r="B1101" s="11"/>
    </row>
    <row r="1102" spans="2:2" x14ac:dyDescent="0.2">
      <c r="B1102" s="11"/>
    </row>
    <row r="1103" spans="2:2" x14ac:dyDescent="0.2">
      <c r="B1103" s="11"/>
    </row>
    <row r="1104" spans="2:2" x14ac:dyDescent="0.2">
      <c r="B1104" s="11"/>
    </row>
    <row r="1105" spans="2:2" x14ac:dyDescent="0.2">
      <c r="B1105" s="11"/>
    </row>
    <row r="1106" spans="2:2" x14ac:dyDescent="0.2">
      <c r="B1106" s="11"/>
    </row>
    <row r="1107" spans="2:2" x14ac:dyDescent="0.2">
      <c r="B1107" s="11"/>
    </row>
    <row r="1108" spans="2:2" x14ac:dyDescent="0.2">
      <c r="B1108" s="11"/>
    </row>
    <row r="1109" spans="2:2" x14ac:dyDescent="0.2">
      <c r="B1109" s="11"/>
    </row>
    <row r="1110" spans="2:2" x14ac:dyDescent="0.2">
      <c r="B1110" s="11"/>
    </row>
    <row r="1111" spans="2:2" x14ac:dyDescent="0.2">
      <c r="B1111" s="11"/>
    </row>
    <row r="1112" spans="2:2" x14ac:dyDescent="0.2">
      <c r="B1112" s="11"/>
    </row>
    <row r="1113" spans="2:2" x14ac:dyDescent="0.2">
      <c r="B1113" s="11"/>
    </row>
    <row r="1114" spans="2:2" x14ac:dyDescent="0.2">
      <c r="B1114" s="11"/>
    </row>
    <row r="1115" spans="2:2" x14ac:dyDescent="0.2">
      <c r="B1115" s="11"/>
    </row>
    <row r="1116" spans="2:2" x14ac:dyDescent="0.2">
      <c r="B1116" s="11"/>
    </row>
    <row r="1117" spans="2:2" x14ac:dyDescent="0.2">
      <c r="B1117" s="11"/>
    </row>
    <row r="1118" spans="2:2" x14ac:dyDescent="0.2">
      <c r="B1118" s="11"/>
    </row>
    <row r="1119" spans="2:2" x14ac:dyDescent="0.2">
      <c r="B1119" s="11"/>
    </row>
    <row r="1120" spans="2:2" x14ac:dyDescent="0.2">
      <c r="B1120" s="11"/>
    </row>
    <row r="1121" spans="2:2" x14ac:dyDescent="0.2">
      <c r="B1121" s="11"/>
    </row>
    <row r="1122" spans="2:2" x14ac:dyDescent="0.2">
      <c r="B1122" s="11"/>
    </row>
    <row r="1123" spans="2:2" x14ac:dyDescent="0.2">
      <c r="B1123" s="11"/>
    </row>
    <row r="1124" spans="2:2" x14ac:dyDescent="0.2">
      <c r="B1124" s="11"/>
    </row>
    <row r="1125" spans="2:2" x14ac:dyDescent="0.2">
      <c r="B1125" s="11"/>
    </row>
    <row r="1126" spans="2:2" x14ac:dyDescent="0.2">
      <c r="B1126" s="11"/>
    </row>
    <row r="1127" spans="2:2" x14ac:dyDescent="0.2">
      <c r="B1127" s="11"/>
    </row>
    <row r="1128" spans="2:2" x14ac:dyDescent="0.2">
      <c r="B1128" s="11"/>
    </row>
    <row r="1129" spans="2:2" x14ac:dyDescent="0.2">
      <c r="B1129" s="11"/>
    </row>
    <row r="1130" spans="2:2" x14ac:dyDescent="0.2">
      <c r="B1130" s="11"/>
    </row>
    <row r="1131" spans="2:2" x14ac:dyDescent="0.2">
      <c r="B1131" s="11"/>
    </row>
    <row r="1132" spans="2:2" x14ac:dyDescent="0.2">
      <c r="B1132" s="11"/>
    </row>
    <row r="1133" spans="2:2" x14ac:dyDescent="0.2">
      <c r="B1133" s="11"/>
    </row>
    <row r="1134" spans="2:2" x14ac:dyDescent="0.2">
      <c r="B1134" s="11"/>
    </row>
    <row r="1135" spans="2:2" x14ac:dyDescent="0.2">
      <c r="B1135" s="11"/>
    </row>
    <row r="1136" spans="2:2" x14ac:dyDescent="0.2">
      <c r="B1136" s="11"/>
    </row>
    <row r="1137" spans="2:2" x14ac:dyDescent="0.2">
      <c r="B1137" s="11"/>
    </row>
    <row r="1138" spans="2:2" x14ac:dyDescent="0.2">
      <c r="B1138" s="11"/>
    </row>
    <row r="1139" spans="2:2" x14ac:dyDescent="0.2">
      <c r="B1139" s="11"/>
    </row>
    <row r="1140" spans="2:2" x14ac:dyDescent="0.2">
      <c r="B1140" s="11"/>
    </row>
    <row r="1141" spans="2:2" x14ac:dyDescent="0.2">
      <c r="B1141" s="11"/>
    </row>
    <row r="1142" spans="2:2" x14ac:dyDescent="0.2">
      <c r="B1142" s="11"/>
    </row>
    <row r="1143" spans="2:2" x14ac:dyDescent="0.2">
      <c r="B1143" s="11"/>
    </row>
    <row r="1144" spans="2:2" x14ac:dyDescent="0.2">
      <c r="B1144" s="11"/>
    </row>
    <row r="1145" spans="2:2" x14ac:dyDescent="0.2">
      <c r="B1145" s="11"/>
    </row>
    <row r="1146" spans="2:2" x14ac:dyDescent="0.2">
      <c r="B1146" s="11"/>
    </row>
    <row r="1147" spans="2:2" x14ac:dyDescent="0.2">
      <c r="B1147" s="11"/>
    </row>
    <row r="1148" spans="2:2" x14ac:dyDescent="0.2">
      <c r="B1148" s="11"/>
    </row>
    <row r="1149" spans="2:2" x14ac:dyDescent="0.2">
      <c r="B1149" s="11"/>
    </row>
    <row r="1150" spans="2:2" x14ac:dyDescent="0.2">
      <c r="B1150" s="11"/>
    </row>
    <row r="1151" spans="2:2" x14ac:dyDescent="0.2">
      <c r="B1151" s="11"/>
    </row>
    <row r="1152" spans="2:2" x14ac:dyDescent="0.2">
      <c r="B1152" s="11"/>
    </row>
    <row r="1153" spans="2:2" x14ac:dyDescent="0.2">
      <c r="B1153" s="11"/>
    </row>
    <row r="1154" spans="2:2" x14ac:dyDescent="0.2">
      <c r="B1154" s="11"/>
    </row>
    <row r="1155" spans="2:2" x14ac:dyDescent="0.2">
      <c r="B1155" s="11"/>
    </row>
    <row r="1156" spans="2:2" x14ac:dyDescent="0.2">
      <c r="B1156" s="11"/>
    </row>
    <row r="1157" spans="2:2" x14ac:dyDescent="0.2">
      <c r="B1157" s="11"/>
    </row>
    <row r="1158" spans="2:2" x14ac:dyDescent="0.2">
      <c r="B1158" s="11"/>
    </row>
    <row r="1159" spans="2:2" x14ac:dyDescent="0.2">
      <c r="B1159" s="11"/>
    </row>
    <row r="1160" spans="2:2" x14ac:dyDescent="0.2">
      <c r="B1160" s="11"/>
    </row>
    <row r="1161" spans="2:2" x14ac:dyDescent="0.2">
      <c r="B1161" s="11"/>
    </row>
    <row r="1162" spans="2:2" x14ac:dyDescent="0.2">
      <c r="B1162" s="11"/>
    </row>
    <row r="1163" spans="2:2" x14ac:dyDescent="0.2">
      <c r="B1163" s="11"/>
    </row>
    <row r="1164" spans="2:2" x14ac:dyDescent="0.2">
      <c r="B1164" s="11"/>
    </row>
    <row r="1165" spans="2:2" x14ac:dyDescent="0.2">
      <c r="B1165" s="11"/>
    </row>
    <row r="1166" spans="2:2" x14ac:dyDescent="0.2">
      <c r="B1166" s="11"/>
    </row>
    <row r="1167" spans="2:2" x14ac:dyDescent="0.2">
      <c r="B1167" s="11"/>
    </row>
    <row r="1168" spans="2:2" x14ac:dyDescent="0.2">
      <c r="B1168" s="11"/>
    </row>
    <row r="1169" spans="2:2" x14ac:dyDescent="0.2">
      <c r="B1169" s="11"/>
    </row>
    <row r="1170" spans="2:2" x14ac:dyDescent="0.2">
      <c r="B1170" s="11"/>
    </row>
    <row r="1171" spans="2:2" x14ac:dyDescent="0.2">
      <c r="B1171" s="11"/>
    </row>
    <row r="1172" spans="2:2" x14ac:dyDescent="0.2">
      <c r="B1172" s="11"/>
    </row>
    <row r="1173" spans="2:2" x14ac:dyDescent="0.2">
      <c r="B1173" s="11"/>
    </row>
    <row r="1174" spans="2:2" x14ac:dyDescent="0.2">
      <c r="B1174" s="11"/>
    </row>
    <row r="1175" spans="2:2" x14ac:dyDescent="0.2">
      <c r="B1175" s="11"/>
    </row>
    <row r="1176" spans="2:2" x14ac:dyDescent="0.2">
      <c r="B1176" s="11"/>
    </row>
    <row r="1177" spans="2:2" x14ac:dyDescent="0.2">
      <c r="B1177" s="11"/>
    </row>
    <row r="1178" spans="2:2" x14ac:dyDescent="0.2">
      <c r="B1178" s="11"/>
    </row>
    <row r="1179" spans="2:2" x14ac:dyDescent="0.2">
      <c r="B1179" s="11"/>
    </row>
    <row r="1180" spans="2:2" x14ac:dyDescent="0.2">
      <c r="B1180" s="11"/>
    </row>
    <row r="1181" spans="2:2" x14ac:dyDescent="0.2">
      <c r="B1181" s="11"/>
    </row>
    <row r="1182" spans="2:2" x14ac:dyDescent="0.2">
      <c r="B1182" s="11"/>
    </row>
    <row r="1183" spans="2:2" x14ac:dyDescent="0.2">
      <c r="B1183" s="11"/>
    </row>
    <row r="1184" spans="2:2" x14ac:dyDescent="0.2">
      <c r="B1184" s="11"/>
    </row>
    <row r="1185" spans="2:2" x14ac:dyDescent="0.2">
      <c r="B1185" s="11"/>
    </row>
    <row r="1186" spans="2:2" x14ac:dyDescent="0.2">
      <c r="B1186" s="11"/>
    </row>
    <row r="1187" spans="2:2" x14ac:dyDescent="0.2">
      <c r="B1187" s="11"/>
    </row>
    <row r="1188" spans="2:2" x14ac:dyDescent="0.2">
      <c r="B1188" s="11"/>
    </row>
    <row r="1189" spans="2:2" x14ac:dyDescent="0.2">
      <c r="B1189" s="11"/>
    </row>
    <row r="1190" spans="2:2" x14ac:dyDescent="0.2">
      <c r="B1190" s="11"/>
    </row>
    <row r="1191" spans="2:2" x14ac:dyDescent="0.2">
      <c r="B1191" s="11"/>
    </row>
    <row r="1192" spans="2:2" x14ac:dyDescent="0.2">
      <c r="B1192" s="11"/>
    </row>
    <row r="1193" spans="2:2" x14ac:dyDescent="0.2">
      <c r="B1193" s="11"/>
    </row>
    <row r="1194" spans="2:2" x14ac:dyDescent="0.2">
      <c r="B1194" s="11"/>
    </row>
    <row r="1195" spans="2:2" x14ac:dyDescent="0.2">
      <c r="B1195" s="11"/>
    </row>
    <row r="1196" spans="2:2" x14ac:dyDescent="0.2">
      <c r="B1196" s="11"/>
    </row>
    <row r="1197" spans="2:2" x14ac:dyDescent="0.2">
      <c r="B1197" s="11"/>
    </row>
    <row r="1198" spans="2:2" x14ac:dyDescent="0.2">
      <c r="B1198" s="11"/>
    </row>
    <row r="1199" spans="2:2" x14ac:dyDescent="0.2">
      <c r="B1199" s="11"/>
    </row>
    <row r="1200" spans="2:2" x14ac:dyDescent="0.2">
      <c r="B1200" s="11"/>
    </row>
    <row r="1201" spans="2:2" x14ac:dyDescent="0.2">
      <c r="B1201" s="11"/>
    </row>
    <row r="1202" spans="2:2" x14ac:dyDescent="0.2">
      <c r="B1202" s="11"/>
    </row>
    <row r="1203" spans="2:2" x14ac:dyDescent="0.2">
      <c r="B1203" s="11"/>
    </row>
    <row r="1204" spans="2:2" x14ac:dyDescent="0.2">
      <c r="B1204" s="11"/>
    </row>
    <row r="1205" spans="2:2" x14ac:dyDescent="0.2">
      <c r="B1205" s="11"/>
    </row>
    <row r="1206" spans="2:2" x14ac:dyDescent="0.2">
      <c r="B1206" s="11"/>
    </row>
    <row r="1207" spans="2:2" x14ac:dyDescent="0.2">
      <c r="B1207" s="11"/>
    </row>
    <row r="1208" spans="2:2" x14ac:dyDescent="0.2">
      <c r="B1208" s="11"/>
    </row>
    <row r="1209" spans="2:2" x14ac:dyDescent="0.2">
      <c r="B1209" s="11"/>
    </row>
    <row r="1210" spans="2:2" x14ac:dyDescent="0.2">
      <c r="B1210" s="11"/>
    </row>
    <row r="1211" spans="2:2" x14ac:dyDescent="0.2">
      <c r="B1211" s="11"/>
    </row>
    <row r="1212" spans="2:2" x14ac:dyDescent="0.2">
      <c r="B1212" s="11"/>
    </row>
    <row r="1213" spans="2:2" x14ac:dyDescent="0.2">
      <c r="B1213" s="11"/>
    </row>
    <row r="1214" spans="2:2" x14ac:dyDescent="0.2">
      <c r="B1214" s="11"/>
    </row>
    <row r="1215" spans="2:2" x14ac:dyDescent="0.2">
      <c r="B1215" s="11"/>
    </row>
    <row r="1216" spans="2:2" x14ac:dyDescent="0.2">
      <c r="B1216" s="11"/>
    </row>
    <row r="1217" spans="2:2" x14ac:dyDescent="0.2">
      <c r="B1217" s="11"/>
    </row>
    <row r="1218" spans="2:2" x14ac:dyDescent="0.2">
      <c r="B1218" s="11"/>
    </row>
    <row r="1219" spans="2:2" x14ac:dyDescent="0.2">
      <c r="B1219" s="11"/>
    </row>
    <row r="1220" spans="2:2" x14ac:dyDescent="0.2">
      <c r="B1220" s="11"/>
    </row>
    <row r="1221" spans="2:2" x14ac:dyDescent="0.2">
      <c r="B1221" s="11"/>
    </row>
    <row r="1222" spans="2:2" x14ac:dyDescent="0.2">
      <c r="B1222" s="11"/>
    </row>
    <row r="1223" spans="2:2" x14ac:dyDescent="0.2">
      <c r="B1223" s="11"/>
    </row>
    <row r="1224" spans="2:2" x14ac:dyDescent="0.2">
      <c r="B1224" s="11"/>
    </row>
    <row r="1225" spans="2:2" x14ac:dyDescent="0.2">
      <c r="B1225" s="11"/>
    </row>
    <row r="1226" spans="2:2" x14ac:dyDescent="0.2">
      <c r="B1226" s="11"/>
    </row>
    <row r="1227" spans="2:2" x14ac:dyDescent="0.2">
      <c r="B1227" s="11"/>
    </row>
    <row r="1228" spans="2:2" x14ac:dyDescent="0.2">
      <c r="B1228" s="11"/>
    </row>
    <row r="1229" spans="2:2" x14ac:dyDescent="0.2">
      <c r="B1229" s="11"/>
    </row>
    <row r="1230" spans="2:2" x14ac:dyDescent="0.2">
      <c r="B1230" s="11"/>
    </row>
    <row r="1231" spans="2:2" x14ac:dyDescent="0.2">
      <c r="B1231" s="11"/>
    </row>
    <row r="1232" spans="2:2" x14ac:dyDescent="0.2">
      <c r="B1232" s="11"/>
    </row>
    <row r="1233" spans="2:2" x14ac:dyDescent="0.2">
      <c r="B1233" s="11"/>
    </row>
    <row r="1234" spans="2:2" x14ac:dyDescent="0.2">
      <c r="B1234" s="11"/>
    </row>
    <row r="1235" spans="2:2" x14ac:dyDescent="0.2">
      <c r="B1235" s="11"/>
    </row>
    <row r="1236" spans="2:2" x14ac:dyDescent="0.2">
      <c r="B1236" s="11"/>
    </row>
    <row r="1237" spans="2:2" x14ac:dyDescent="0.2">
      <c r="B1237" s="11"/>
    </row>
    <row r="1238" spans="2:2" x14ac:dyDescent="0.2">
      <c r="B1238" s="11"/>
    </row>
    <row r="1239" spans="2:2" x14ac:dyDescent="0.2">
      <c r="B1239" s="11"/>
    </row>
    <row r="1240" spans="2:2" x14ac:dyDescent="0.2">
      <c r="B1240" s="11"/>
    </row>
    <row r="1241" spans="2:2" x14ac:dyDescent="0.2">
      <c r="B1241" s="11"/>
    </row>
    <row r="1242" spans="2:2" x14ac:dyDescent="0.2">
      <c r="B1242" s="11"/>
    </row>
    <row r="1243" spans="2:2" x14ac:dyDescent="0.2">
      <c r="B1243" s="11"/>
    </row>
    <row r="1244" spans="2:2" x14ac:dyDescent="0.2">
      <c r="B1244" s="11"/>
    </row>
    <row r="1245" spans="2:2" x14ac:dyDescent="0.2">
      <c r="B1245" s="11"/>
    </row>
    <row r="1246" spans="2:2" x14ac:dyDescent="0.2">
      <c r="B1246" s="11"/>
    </row>
    <row r="1247" spans="2:2" x14ac:dyDescent="0.2">
      <c r="B1247" s="11"/>
    </row>
    <row r="1248" spans="2:2" x14ac:dyDescent="0.2">
      <c r="B1248" s="11"/>
    </row>
    <row r="1249" spans="2:2" x14ac:dyDescent="0.2">
      <c r="B1249" s="11"/>
    </row>
    <row r="1250" spans="2:2" x14ac:dyDescent="0.2">
      <c r="B1250" s="11"/>
    </row>
    <row r="1251" spans="2:2" x14ac:dyDescent="0.2">
      <c r="B1251" s="11"/>
    </row>
    <row r="1252" spans="2:2" x14ac:dyDescent="0.2">
      <c r="B1252" s="11"/>
    </row>
    <row r="1253" spans="2:2" x14ac:dyDescent="0.2">
      <c r="B1253" s="11"/>
    </row>
    <row r="1254" spans="2:2" x14ac:dyDescent="0.2">
      <c r="B1254" s="11"/>
    </row>
    <row r="1255" spans="2:2" x14ac:dyDescent="0.2">
      <c r="B1255" s="11"/>
    </row>
    <row r="1256" spans="2:2" x14ac:dyDescent="0.2">
      <c r="B1256" s="11"/>
    </row>
    <row r="1257" spans="2:2" x14ac:dyDescent="0.2">
      <c r="B1257" s="11"/>
    </row>
    <row r="1258" spans="2:2" x14ac:dyDescent="0.2">
      <c r="B1258" s="11"/>
    </row>
    <row r="1259" spans="2:2" x14ac:dyDescent="0.2">
      <c r="B1259" s="11"/>
    </row>
    <row r="1260" spans="2:2" x14ac:dyDescent="0.2">
      <c r="B1260" s="11"/>
    </row>
    <row r="1261" spans="2:2" x14ac:dyDescent="0.2">
      <c r="B1261" s="11"/>
    </row>
    <row r="1262" spans="2:2" x14ac:dyDescent="0.2">
      <c r="B1262" s="11"/>
    </row>
    <row r="1263" spans="2:2" x14ac:dyDescent="0.2">
      <c r="B1263" s="11"/>
    </row>
    <row r="1264" spans="2:2" x14ac:dyDescent="0.2">
      <c r="B1264" s="11"/>
    </row>
    <row r="1265" spans="2:2" x14ac:dyDescent="0.2">
      <c r="B1265" s="11"/>
    </row>
    <row r="1266" spans="2:2" x14ac:dyDescent="0.2">
      <c r="B1266" s="11"/>
    </row>
    <row r="1267" spans="2:2" x14ac:dyDescent="0.2">
      <c r="B1267" s="11"/>
    </row>
    <row r="1268" spans="2:2" x14ac:dyDescent="0.2">
      <c r="B1268" s="11"/>
    </row>
    <row r="1269" spans="2:2" x14ac:dyDescent="0.2">
      <c r="B1269" s="11"/>
    </row>
    <row r="1270" spans="2:2" x14ac:dyDescent="0.2">
      <c r="B1270" s="11"/>
    </row>
    <row r="1271" spans="2:2" x14ac:dyDescent="0.2">
      <c r="B1271" s="11"/>
    </row>
    <row r="1272" spans="2:2" x14ac:dyDescent="0.2">
      <c r="B1272" s="11"/>
    </row>
    <row r="1273" spans="2:2" x14ac:dyDescent="0.2">
      <c r="B1273" s="11"/>
    </row>
    <row r="1274" spans="2:2" x14ac:dyDescent="0.2">
      <c r="B1274" s="11"/>
    </row>
    <row r="1275" spans="2:2" x14ac:dyDescent="0.2">
      <c r="B1275" s="11"/>
    </row>
    <row r="1276" spans="2:2" x14ac:dyDescent="0.2">
      <c r="B1276" s="11"/>
    </row>
    <row r="1277" spans="2:2" x14ac:dyDescent="0.2">
      <c r="B1277" s="11"/>
    </row>
    <row r="1278" spans="2:2" x14ac:dyDescent="0.2">
      <c r="B1278" s="11"/>
    </row>
    <row r="1279" spans="2:2" x14ac:dyDescent="0.2">
      <c r="B1279" s="11"/>
    </row>
    <row r="1280" spans="2:2" x14ac:dyDescent="0.2">
      <c r="B1280" s="11"/>
    </row>
    <row r="1281" spans="2:2" x14ac:dyDescent="0.2">
      <c r="B1281" s="11"/>
    </row>
    <row r="1282" spans="2:2" x14ac:dyDescent="0.2">
      <c r="B1282" s="11"/>
    </row>
    <row r="1283" spans="2:2" x14ac:dyDescent="0.2">
      <c r="B1283" s="11"/>
    </row>
    <row r="1284" spans="2:2" x14ac:dyDescent="0.2">
      <c r="B1284" s="11"/>
    </row>
    <row r="1285" spans="2:2" x14ac:dyDescent="0.2">
      <c r="B1285" s="11"/>
    </row>
    <row r="1286" spans="2:2" x14ac:dyDescent="0.2">
      <c r="B1286" s="11"/>
    </row>
    <row r="1287" spans="2:2" x14ac:dyDescent="0.2">
      <c r="B1287" s="11"/>
    </row>
    <row r="1288" spans="2:2" x14ac:dyDescent="0.2">
      <c r="B1288" s="11"/>
    </row>
    <row r="1289" spans="2:2" x14ac:dyDescent="0.2">
      <c r="B1289" s="11"/>
    </row>
    <row r="1290" spans="2:2" x14ac:dyDescent="0.2">
      <c r="B1290" s="11"/>
    </row>
    <row r="1291" spans="2:2" x14ac:dyDescent="0.2">
      <c r="B1291" s="11"/>
    </row>
    <row r="1292" spans="2:2" x14ac:dyDescent="0.2">
      <c r="B1292" s="11"/>
    </row>
    <row r="1293" spans="2:2" x14ac:dyDescent="0.2">
      <c r="B1293" s="11"/>
    </row>
    <row r="1294" spans="2:2" x14ac:dyDescent="0.2">
      <c r="B1294" s="11"/>
    </row>
    <row r="1295" spans="2:2" x14ac:dyDescent="0.2">
      <c r="B1295" s="11"/>
    </row>
    <row r="1296" spans="2:2" x14ac:dyDescent="0.2">
      <c r="B1296" s="11"/>
    </row>
    <row r="1297" spans="2:2" x14ac:dyDescent="0.2">
      <c r="B1297" s="11"/>
    </row>
    <row r="1298" spans="2:2" x14ac:dyDescent="0.2">
      <c r="B1298" s="11"/>
    </row>
    <row r="1299" spans="2:2" x14ac:dyDescent="0.2">
      <c r="B1299" s="11"/>
    </row>
    <row r="1300" spans="2:2" x14ac:dyDescent="0.2">
      <c r="B1300" s="11"/>
    </row>
    <row r="1301" spans="2:2" x14ac:dyDescent="0.2">
      <c r="B1301" s="11"/>
    </row>
    <row r="1302" spans="2:2" x14ac:dyDescent="0.2">
      <c r="B1302" s="11"/>
    </row>
    <row r="1303" spans="2:2" x14ac:dyDescent="0.2">
      <c r="B1303" s="11"/>
    </row>
    <row r="1304" spans="2:2" x14ac:dyDescent="0.2">
      <c r="B1304" s="11"/>
    </row>
    <row r="1305" spans="2:2" x14ac:dyDescent="0.2">
      <c r="B1305" s="11"/>
    </row>
    <row r="1306" spans="2:2" x14ac:dyDescent="0.2">
      <c r="B1306" s="11"/>
    </row>
    <row r="1307" spans="2:2" x14ac:dyDescent="0.2">
      <c r="B1307" s="11"/>
    </row>
    <row r="1308" spans="2:2" x14ac:dyDescent="0.2">
      <c r="B1308" s="11"/>
    </row>
    <row r="1309" spans="2:2" x14ac:dyDescent="0.2">
      <c r="B1309" s="11"/>
    </row>
    <row r="1310" spans="2:2" x14ac:dyDescent="0.2">
      <c r="B1310" s="11"/>
    </row>
    <row r="1311" spans="2:2" x14ac:dyDescent="0.2">
      <c r="B1311" s="11"/>
    </row>
    <row r="1312" spans="2:2" x14ac:dyDescent="0.2">
      <c r="B1312" s="11"/>
    </row>
    <row r="1313" spans="2:2" x14ac:dyDescent="0.2">
      <c r="B1313" s="11"/>
    </row>
    <row r="1314" spans="2:2" x14ac:dyDescent="0.2">
      <c r="B1314" s="11"/>
    </row>
    <row r="1315" spans="2:2" x14ac:dyDescent="0.2">
      <c r="B1315" s="11"/>
    </row>
    <row r="1316" spans="2:2" x14ac:dyDescent="0.2">
      <c r="B1316" s="11"/>
    </row>
    <row r="1317" spans="2:2" x14ac:dyDescent="0.2">
      <c r="B1317" s="11"/>
    </row>
    <row r="1318" spans="2:2" x14ac:dyDescent="0.2">
      <c r="B1318" s="11"/>
    </row>
    <row r="1319" spans="2:2" x14ac:dyDescent="0.2">
      <c r="B1319" s="11"/>
    </row>
    <row r="1320" spans="2:2" x14ac:dyDescent="0.2">
      <c r="B1320" s="11"/>
    </row>
    <row r="1321" spans="2:2" x14ac:dyDescent="0.2">
      <c r="B1321" s="11"/>
    </row>
    <row r="1322" spans="2:2" x14ac:dyDescent="0.2">
      <c r="B1322" s="11"/>
    </row>
    <row r="1323" spans="2:2" x14ac:dyDescent="0.2">
      <c r="B1323" s="11"/>
    </row>
    <row r="1324" spans="2:2" x14ac:dyDescent="0.2">
      <c r="B1324" s="11"/>
    </row>
    <row r="1325" spans="2:2" x14ac:dyDescent="0.2">
      <c r="B1325" s="11"/>
    </row>
    <row r="1326" spans="2:2" x14ac:dyDescent="0.2">
      <c r="B1326" s="11"/>
    </row>
    <row r="1327" spans="2:2" x14ac:dyDescent="0.2">
      <c r="B1327" s="11"/>
    </row>
    <row r="1328" spans="2:2" x14ac:dyDescent="0.2">
      <c r="B1328" s="11"/>
    </row>
    <row r="1329" spans="2:2" x14ac:dyDescent="0.2">
      <c r="B1329" s="11"/>
    </row>
    <row r="1330" spans="2:2" x14ac:dyDescent="0.2">
      <c r="B1330" s="11"/>
    </row>
    <row r="1331" spans="2:2" x14ac:dyDescent="0.2">
      <c r="B1331" s="11"/>
    </row>
    <row r="1332" spans="2:2" x14ac:dyDescent="0.2">
      <c r="B1332" s="11"/>
    </row>
    <row r="1333" spans="2:2" x14ac:dyDescent="0.2">
      <c r="B1333" s="11"/>
    </row>
    <row r="1334" spans="2:2" x14ac:dyDescent="0.2">
      <c r="B1334" s="11"/>
    </row>
    <row r="1335" spans="2:2" x14ac:dyDescent="0.2">
      <c r="B1335" s="11"/>
    </row>
    <row r="1336" spans="2:2" x14ac:dyDescent="0.2">
      <c r="B1336" s="11"/>
    </row>
    <row r="1337" spans="2:2" x14ac:dyDescent="0.2">
      <c r="B1337" s="11"/>
    </row>
    <row r="1338" spans="2:2" x14ac:dyDescent="0.2">
      <c r="B1338" s="11"/>
    </row>
    <row r="1339" spans="2:2" x14ac:dyDescent="0.2">
      <c r="B1339" s="11"/>
    </row>
    <row r="1340" spans="2:2" x14ac:dyDescent="0.2">
      <c r="B1340" s="11"/>
    </row>
    <row r="1341" spans="2:2" x14ac:dyDescent="0.2">
      <c r="B1341" s="11"/>
    </row>
    <row r="1342" spans="2:2" x14ac:dyDescent="0.2">
      <c r="B1342" s="11"/>
    </row>
    <row r="1343" spans="2:2" x14ac:dyDescent="0.2">
      <c r="B1343" s="11"/>
    </row>
    <row r="1344" spans="2:2" x14ac:dyDescent="0.2">
      <c r="B1344" s="11"/>
    </row>
    <row r="1345" spans="2:2" x14ac:dyDescent="0.2">
      <c r="B1345" s="11"/>
    </row>
    <row r="1346" spans="2:2" x14ac:dyDescent="0.2">
      <c r="B1346" s="11"/>
    </row>
    <row r="1347" spans="2:2" x14ac:dyDescent="0.2">
      <c r="B1347" s="11"/>
    </row>
    <row r="1348" spans="2:2" x14ac:dyDescent="0.2">
      <c r="B1348" s="11"/>
    </row>
    <row r="1349" spans="2:2" x14ac:dyDescent="0.2">
      <c r="B1349" s="11"/>
    </row>
    <row r="1350" spans="2:2" x14ac:dyDescent="0.2">
      <c r="B1350" s="11"/>
    </row>
    <row r="1351" spans="2:2" x14ac:dyDescent="0.2">
      <c r="B1351" s="11"/>
    </row>
    <row r="1352" spans="2:2" x14ac:dyDescent="0.2">
      <c r="B1352" s="11"/>
    </row>
    <row r="1353" spans="2:2" x14ac:dyDescent="0.2">
      <c r="B1353" s="11"/>
    </row>
    <row r="1354" spans="2:2" x14ac:dyDescent="0.2">
      <c r="B1354" s="11"/>
    </row>
    <row r="1355" spans="2:2" x14ac:dyDescent="0.2">
      <c r="B1355" s="11"/>
    </row>
    <row r="1356" spans="2:2" x14ac:dyDescent="0.2">
      <c r="B1356" s="11"/>
    </row>
    <row r="1357" spans="2:2" x14ac:dyDescent="0.2">
      <c r="B1357" s="11"/>
    </row>
    <row r="1358" spans="2:2" x14ac:dyDescent="0.2">
      <c r="B1358" s="11"/>
    </row>
    <row r="1359" spans="2:2" x14ac:dyDescent="0.2">
      <c r="B1359" s="11"/>
    </row>
    <row r="1360" spans="2:2" x14ac:dyDescent="0.2">
      <c r="B1360" s="11"/>
    </row>
    <row r="1361" spans="2:2" x14ac:dyDescent="0.2">
      <c r="B1361" s="11"/>
    </row>
    <row r="1362" spans="2:2" x14ac:dyDescent="0.2">
      <c r="B1362" s="11"/>
    </row>
    <row r="1363" spans="2:2" x14ac:dyDescent="0.2">
      <c r="B1363" s="11"/>
    </row>
    <row r="1364" spans="2:2" x14ac:dyDescent="0.2">
      <c r="B1364" s="11"/>
    </row>
    <row r="1365" spans="2:2" x14ac:dyDescent="0.2">
      <c r="B1365" s="11"/>
    </row>
    <row r="1366" spans="2:2" x14ac:dyDescent="0.2">
      <c r="B1366" s="11"/>
    </row>
    <row r="1367" spans="2:2" x14ac:dyDescent="0.2">
      <c r="B1367" s="11"/>
    </row>
    <row r="1368" spans="2:2" x14ac:dyDescent="0.2">
      <c r="B1368" s="11"/>
    </row>
    <row r="1369" spans="2:2" x14ac:dyDescent="0.2">
      <c r="B1369" s="11"/>
    </row>
    <row r="1370" spans="2:2" x14ac:dyDescent="0.2">
      <c r="B1370" s="11"/>
    </row>
    <row r="1371" spans="2:2" x14ac:dyDescent="0.2">
      <c r="B1371" s="11"/>
    </row>
    <row r="1372" spans="2:2" x14ac:dyDescent="0.2">
      <c r="B1372" s="11"/>
    </row>
    <row r="1373" spans="2:2" x14ac:dyDescent="0.2">
      <c r="B1373" s="11"/>
    </row>
    <row r="1374" spans="2:2" x14ac:dyDescent="0.2">
      <c r="B1374" s="11"/>
    </row>
    <row r="1375" spans="2:2" x14ac:dyDescent="0.2">
      <c r="B1375" s="11"/>
    </row>
    <row r="1376" spans="2:2" x14ac:dyDescent="0.2">
      <c r="B1376" s="11"/>
    </row>
    <row r="1377" spans="2:2" x14ac:dyDescent="0.2">
      <c r="B1377" s="11"/>
    </row>
    <row r="1378" spans="2:2" x14ac:dyDescent="0.2">
      <c r="B1378" s="11"/>
    </row>
    <row r="1379" spans="2:2" x14ac:dyDescent="0.2">
      <c r="B1379" s="11"/>
    </row>
    <row r="1380" spans="2:2" x14ac:dyDescent="0.2">
      <c r="B1380" s="11"/>
    </row>
    <row r="1381" spans="2:2" x14ac:dyDescent="0.2">
      <c r="B1381" s="11"/>
    </row>
    <row r="1382" spans="2:2" x14ac:dyDescent="0.2">
      <c r="B1382" s="11"/>
    </row>
    <row r="1383" spans="2:2" x14ac:dyDescent="0.2">
      <c r="B1383" s="11"/>
    </row>
    <row r="1384" spans="2:2" x14ac:dyDescent="0.2">
      <c r="B1384" s="11"/>
    </row>
    <row r="1385" spans="2:2" x14ac:dyDescent="0.2">
      <c r="B1385" s="11"/>
    </row>
    <row r="1386" spans="2:2" x14ac:dyDescent="0.2">
      <c r="B1386" s="11"/>
    </row>
    <row r="1387" spans="2:2" x14ac:dyDescent="0.2">
      <c r="B1387" s="11"/>
    </row>
    <row r="1388" spans="2:2" x14ac:dyDescent="0.2">
      <c r="B1388" s="11"/>
    </row>
    <row r="1389" spans="2:2" x14ac:dyDescent="0.2">
      <c r="B1389" s="11"/>
    </row>
    <row r="1390" spans="2:2" x14ac:dyDescent="0.2">
      <c r="B1390" s="11"/>
    </row>
    <row r="1391" spans="2:2" x14ac:dyDescent="0.2">
      <c r="B1391" s="11"/>
    </row>
    <row r="1392" spans="2:2" x14ac:dyDescent="0.2">
      <c r="B1392" s="11"/>
    </row>
    <row r="1393" spans="2:2" x14ac:dyDescent="0.2">
      <c r="B1393" s="11"/>
    </row>
    <row r="1394" spans="2:2" x14ac:dyDescent="0.2">
      <c r="B1394" s="11"/>
    </row>
    <row r="1395" spans="2:2" x14ac:dyDescent="0.2">
      <c r="B1395" s="11"/>
    </row>
    <row r="1396" spans="2:2" x14ac:dyDescent="0.2">
      <c r="B1396" s="11"/>
    </row>
    <row r="1397" spans="2:2" x14ac:dyDescent="0.2">
      <c r="B1397" s="11"/>
    </row>
    <row r="1398" spans="2:2" x14ac:dyDescent="0.2">
      <c r="B1398" s="11"/>
    </row>
    <row r="1399" spans="2:2" x14ac:dyDescent="0.2">
      <c r="B1399" s="11"/>
    </row>
    <row r="1400" spans="2:2" x14ac:dyDescent="0.2">
      <c r="B1400" s="11"/>
    </row>
    <row r="1401" spans="2:2" x14ac:dyDescent="0.2">
      <c r="B1401" s="11"/>
    </row>
    <row r="1402" spans="2:2" x14ac:dyDescent="0.2">
      <c r="B1402" s="11"/>
    </row>
    <row r="1403" spans="2:2" x14ac:dyDescent="0.2">
      <c r="B1403" s="11"/>
    </row>
    <row r="1404" spans="2:2" x14ac:dyDescent="0.2">
      <c r="B1404" s="11"/>
    </row>
    <row r="1405" spans="2:2" x14ac:dyDescent="0.2">
      <c r="B1405" s="11"/>
    </row>
    <row r="1406" spans="2:2" x14ac:dyDescent="0.2">
      <c r="B1406" s="11"/>
    </row>
    <row r="1407" spans="2:2" x14ac:dyDescent="0.2">
      <c r="B1407" s="11"/>
    </row>
    <row r="1408" spans="2:2" x14ac:dyDescent="0.2">
      <c r="B1408" s="11"/>
    </row>
    <row r="1409" spans="2:2" x14ac:dyDescent="0.2">
      <c r="B1409" s="11"/>
    </row>
    <row r="1410" spans="2:2" x14ac:dyDescent="0.2">
      <c r="B1410" s="11"/>
    </row>
    <row r="1411" spans="2:2" x14ac:dyDescent="0.2">
      <c r="B1411" s="11"/>
    </row>
    <row r="1412" spans="2:2" x14ac:dyDescent="0.2">
      <c r="B1412" s="11"/>
    </row>
    <row r="1413" spans="2:2" x14ac:dyDescent="0.2">
      <c r="B1413" s="11"/>
    </row>
    <row r="1414" spans="2:2" x14ac:dyDescent="0.2">
      <c r="B1414" s="11"/>
    </row>
    <row r="1415" spans="2:2" x14ac:dyDescent="0.2">
      <c r="B1415" s="11"/>
    </row>
    <row r="1416" spans="2:2" x14ac:dyDescent="0.2">
      <c r="B1416" s="11"/>
    </row>
    <row r="1417" spans="2:2" x14ac:dyDescent="0.2">
      <c r="B1417" s="11"/>
    </row>
    <row r="1418" spans="2:2" x14ac:dyDescent="0.2">
      <c r="B1418" s="11"/>
    </row>
    <row r="1419" spans="2:2" x14ac:dyDescent="0.2">
      <c r="B1419" s="11"/>
    </row>
    <row r="1420" spans="2:2" x14ac:dyDescent="0.2">
      <c r="B1420" s="11"/>
    </row>
    <row r="1421" spans="2:2" x14ac:dyDescent="0.2">
      <c r="B1421" s="11"/>
    </row>
    <row r="1422" spans="2:2" x14ac:dyDescent="0.2">
      <c r="B1422" s="11"/>
    </row>
    <row r="1423" spans="2:2" x14ac:dyDescent="0.2">
      <c r="B1423" s="11"/>
    </row>
    <row r="1424" spans="2:2" x14ac:dyDescent="0.2">
      <c r="B1424" s="11"/>
    </row>
    <row r="1425" spans="2:2" x14ac:dyDescent="0.2">
      <c r="B1425" s="11"/>
    </row>
    <row r="1426" spans="2:2" x14ac:dyDescent="0.2">
      <c r="B1426" s="11"/>
    </row>
    <row r="1427" spans="2:2" x14ac:dyDescent="0.2">
      <c r="B1427" s="11"/>
    </row>
    <row r="1428" spans="2:2" x14ac:dyDescent="0.2">
      <c r="B1428" s="11"/>
    </row>
    <row r="1429" spans="2:2" x14ac:dyDescent="0.2">
      <c r="B1429" s="11"/>
    </row>
    <row r="1430" spans="2:2" x14ac:dyDescent="0.2">
      <c r="B1430" s="11"/>
    </row>
    <row r="1431" spans="2:2" x14ac:dyDescent="0.2">
      <c r="B1431" s="11"/>
    </row>
    <row r="1432" spans="2:2" x14ac:dyDescent="0.2">
      <c r="B1432" s="11"/>
    </row>
    <row r="1433" spans="2:2" x14ac:dyDescent="0.2">
      <c r="B1433" s="11"/>
    </row>
    <row r="1434" spans="2:2" x14ac:dyDescent="0.2">
      <c r="B1434" s="11"/>
    </row>
    <row r="1435" spans="2:2" x14ac:dyDescent="0.2">
      <c r="B1435" s="11"/>
    </row>
    <row r="1436" spans="2:2" x14ac:dyDescent="0.2">
      <c r="B1436" s="11"/>
    </row>
    <row r="1437" spans="2:2" x14ac:dyDescent="0.2">
      <c r="B1437" s="11"/>
    </row>
    <row r="1438" spans="2:2" x14ac:dyDescent="0.2">
      <c r="B1438" s="11"/>
    </row>
    <row r="1439" spans="2:2" x14ac:dyDescent="0.2">
      <c r="B1439" s="11"/>
    </row>
    <row r="1440" spans="2:2" x14ac:dyDescent="0.2">
      <c r="B1440" s="11"/>
    </row>
    <row r="1441" spans="2:2" x14ac:dyDescent="0.2">
      <c r="B1441" s="11"/>
    </row>
    <row r="1442" spans="2:2" x14ac:dyDescent="0.2">
      <c r="B1442" s="11"/>
    </row>
    <row r="1443" spans="2:2" x14ac:dyDescent="0.2">
      <c r="B1443" s="11"/>
    </row>
    <row r="1444" spans="2:2" x14ac:dyDescent="0.2">
      <c r="B1444" s="11"/>
    </row>
    <row r="1445" spans="2:2" x14ac:dyDescent="0.2">
      <c r="B1445" s="11"/>
    </row>
    <row r="1446" spans="2:2" x14ac:dyDescent="0.2">
      <c r="B1446" s="11"/>
    </row>
    <row r="1447" spans="2:2" x14ac:dyDescent="0.2">
      <c r="B1447" s="11"/>
    </row>
    <row r="1448" spans="2:2" x14ac:dyDescent="0.2">
      <c r="B1448" s="11"/>
    </row>
    <row r="1449" spans="2:2" x14ac:dyDescent="0.2">
      <c r="B1449" s="11"/>
    </row>
    <row r="1450" spans="2:2" x14ac:dyDescent="0.2">
      <c r="B1450" s="11"/>
    </row>
    <row r="1451" spans="2:2" x14ac:dyDescent="0.2">
      <c r="B1451" s="11"/>
    </row>
    <row r="1452" spans="2:2" x14ac:dyDescent="0.2">
      <c r="B1452" s="11"/>
    </row>
    <row r="1453" spans="2:2" x14ac:dyDescent="0.2">
      <c r="B1453" s="11"/>
    </row>
    <row r="1454" spans="2:2" x14ac:dyDescent="0.2">
      <c r="B1454" s="11"/>
    </row>
    <row r="1455" spans="2:2" x14ac:dyDescent="0.2">
      <c r="B1455" s="11"/>
    </row>
    <row r="1456" spans="2:2" x14ac:dyDescent="0.2">
      <c r="B1456" s="11"/>
    </row>
    <row r="1457" spans="2:2" x14ac:dyDescent="0.2">
      <c r="B1457" s="11"/>
    </row>
    <row r="1458" spans="2:2" x14ac:dyDescent="0.2">
      <c r="B1458" s="11"/>
    </row>
    <row r="1459" spans="2:2" x14ac:dyDescent="0.2">
      <c r="B1459" s="11"/>
    </row>
    <row r="1460" spans="2:2" x14ac:dyDescent="0.2">
      <c r="B1460" s="11"/>
    </row>
    <row r="1461" spans="2:2" x14ac:dyDescent="0.2">
      <c r="B1461" s="11"/>
    </row>
    <row r="1462" spans="2:2" x14ac:dyDescent="0.2">
      <c r="B1462" s="11"/>
    </row>
    <row r="1463" spans="2:2" x14ac:dyDescent="0.2">
      <c r="B1463" s="11"/>
    </row>
    <row r="1464" spans="2:2" x14ac:dyDescent="0.2">
      <c r="B1464" s="11"/>
    </row>
    <row r="1465" spans="2:2" x14ac:dyDescent="0.2">
      <c r="B1465" s="11"/>
    </row>
    <row r="1466" spans="2:2" x14ac:dyDescent="0.2">
      <c r="B1466" s="11"/>
    </row>
    <row r="1467" spans="2:2" x14ac:dyDescent="0.2">
      <c r="B1467" s="11"/>
    </row>
    <row r="1468" spans="2:2" x14ac:dyDescent="0.2">
      <c r="B1468" s="11"/>
    </row>
    <row r="1469" spans="2:2" x14ac:dyDescent="0.2">
      <c r="B1469" s="11"/>
    </row>
    <row r="1470" spans="2:2" x14ac:dyDescent="0.2">
      <c r="B1470" s="11"/>
    </row>
    <row r="1471" spans="2:2" x14ac:dyDescent="0.2">
      <c r="B1471" s="11"/>
    </row>
    <row r="1472" spans="2:2" x14ac:dyDescent="0.2">
      <c r="B1472" s="11"/>
    </row>
    <row r="1473" spans="2:2" x14ac:dyDescent="0.2">
      <c r="B1473" s="11"/>
    </row>
    <row r="1474" spans="2:2" x14ac:dyDescent="0.2">
      <c r="B1474" s="11"/>
    </row>
    <row r="1475" spans="2:2" x14ac:dyDescent="0.2">
      <c r="B1475" s="11"/>
    </row>
    <row r="1476" spans="2:2" x14ac:dyDescent="0.2">
      <c r="B1476" s="11"/>
    </row>
    <row r="1477" spans="2:2" x14ac:dyDescent="0.2">
      <c r="B1477" s="11"/>
    </row>
    <row r="1478" spans="2:2" x14ac:dyDescent="0.2">
      <c r="B1478" s="11"/>
    </row>
    <row r="1479" spans="2:2" x14ac:dyDescent="0.2">
      <c r="B1479" s="11"/>
    </row>
    <row r="1480" spans="2:2" x14ac:dyDescent="0.2">
      <c r="B1480" s="11"/>
    </row>
    <row r="1481" spans="2:2" x14ac:dyDescent="0.2">
      <c r="B1481" s="11"/>
    </row>
    <row r="1482" spans="2:2" x14ac:dyDescent="0.2">
      <c r="B1482" s="11"/>
    </row>
    <row r="1483" spans="2:2" x14ac:dyDescent="0.2">
      <c r="B1483" s="11"/>
    </row>
    <row r="1484" spans="2:2" x14ac:dyDescent="0.2">
      <c r="B1484" s="11"/>
    </row>
    <row r="1485" spans="2:2" x14ac:dyDescent="0.2">
      <c r="B1485" s="11"/>
    </row>
    <row r="1486" spans="2:2" x14ac:dyDescent="0.2">
      <c r="B1486" s="11"/>
    </row>
    <row r="1487" spans="2:2" x14ac:dyDescent="0.2">
      <c r="B1487" s="11"/>
    </row>
    <row r="1488" spans="2:2" x14ac:dyDescent="0.2">
      <c r="B1488" s="11"/>
    </row>
    <row r="1489" spans="2:2" x14ac:dyDescent="0.2">
      <c r="B1489" s="11"/>
    </row>
    <row r="1490" spans="2:2" x14ac:dyDescent="0.2">
      <c r="B1490" s="11"/>
    </row>
    <row r="1491" spans="2:2" x14ac:dyDescent="0.2">
      <c r="B1491" s="11"/>
    </row>
    <row r="1492" spans="2:2" x14ac:dyDescent="0.2">
      <c r="B1492" s="11"/>
    </row>
    <row r="1493" spans="2:2" x14ac:dyDescent="0.2">
      <c r="B1493" s="11"/>
    </row>
    <row r="1494" spans="2:2" x14ac:dyDescent="0.2">
      <c r="B1494" s="11"/>
    </row>
    <row r="1495" spans="2:2" x14ac:dyDescent="0.2">
      <c r="B1495" s="11"/>
    </row>
    <row r="1496" spans="2:2" x14ac:dyDescent="0.2">
      <c r="B1496" s="11"/>
    </row>
    <row r="1497" spans="2:2" x14ac:dyDescent="0.2">
      <c r="B1497" s="11"/>
    </row>
    <row r="1498" spans="2:2" x14ac:dyDescent="0.2">
      <c r="B1498" s="11"/>
    </row>
    <row r="1499" spans="2:2" x14ac:dyDescent="0.2">
      <c r="B1499" s="11"/>
    </row>
    <row r="1500" spans="2:2" x14ac:dyDescent="0.2">
      <c r="B1500" s="11"/>
    </row>
    <row r="1501" spans="2:2" x14ac:dyDescent="0.2">
      <c r="B1501" s="11"/>
    </row>
    <row r="1502" spans="2:2" x14ac:dyDescent="0.2">
      <c r="B1502" s="11"/>
    </row>
    <row r="1503" spans="2:2" x14ac:dyDescent="0.2">
      <c r="B1503" s="11"/>
    </row>
    <row r="1504" spans="2:2" x14ac:dyDescent="0.2">
      <c r="B1504" s="11"/>
    </row>
    <row r="1505" spans="2:2" x14ac:dyDescent="0.2">
      <c r="B1505" s="11"/>
    </row>
    <row r="1506" spans="2:2" x14ac:dyDescent="0.2">
      <c r="B1506" s="11"/>
    </row>
    <row r="1507" spans="2:2" x14ac:dyDescent="0.2">
      <c r="B1507" s="11"/>
    </row>
    <row r="1508" spans="2:2" x14ac:dyDescent="0.2">
      <c r="B1508" s="11"/>
    </row>
    <row r="1509" spans="2:2" x14ac:dyDescent="0.2">
      <c r="B1509" s="11"/>
    </row>
    <row r="1510" spans="2:2" x14ac:dyDescent="0.2">
      <c r="B1510" s="11"/>
    </row>
    <row r="1511" spans="2:2" x14ac:dyDescent="0.2">
      <c r="B1511" s="11"/>
    </row>
    <row r="1512" spans="2:2" x14ac:dyDescent="0.2">
      <c r="B1512" s="11"/>
    </row>
    <row r="1513" spans="2:2" x14ac:dyDescent="0.2">
      <c r="B1513" s="11"/>
    </row>
    <row r="1514" spans="2:2" x14ac:dyDescent="0.2">
      <c r="B1514" s="11"/>
    </row>
    <row r="1515" spans="2:2" x14ac:dyDescent="0.2">
      <c r="B1515" s="11"/>
    </row>
    <row r="1516" spans="2:2" x14ac:dyDescent="0.2">
      <c r="B1516" s="11"/>
    </row>
    <row r="1517" spans="2:2" x14ac:dyDescent="0.2">
      <c r="B1517" s="11"/>
    </row>
    <row r="1518" spans="2:2" x14ac:dyDescent="0.2">
      <c r="B1518" s="11"/>
    </row>
    <row r="1519" spans="2:2" x14ac:dyDescent="0.2">
      <c r="B1519" s="11"/>
    </row>
    <row r="1520" spans="2:2" x14ac:dyDescent="0.2">
      <c r="B1520" s="11"/>
    </row>
    <row r="1521" spans="2:2" x14ac:dyDescent="0.2">
      <c r="B1521" s="11"/>
    </row>
    <row r="1522" spans="2:2" x14ac:dyDescent="0.2">
      <c r="B1522" s="11"/>
    </row>
    <row r="1523" spans="2:2" x14ac:dyDescent="0.2">
      <c r="B1523" s="11"/>
    </row>
    <row r="1524" spans="2:2" x14ac:dyDescent="0.2">
      <c r="B1524" s="11"/>
    </row>
    <row r="1525" spans="2:2" x14ac:dyDescent="0.2">
      <c r="B1525" s="11"/>
    </row>
    <row r="1526" spans="2:2" x14ac:dyDescent="0.2">
      <c r="B1526" s="11"/>
    </row>
    <row r="1527" spans="2:2" x14ac:dyDescent="0.2">
      <c r="B1527" s="11"/>
    </row>
    <row r="1528" spans="2:2" x14ac:dyDescent="0.2">
      <c r="B1528" s="11"/>
    </row>
    <row r="1529" spans="2:2" x14ac:dyDescent="0.2">
      <c r="B1529" s="11"/>
    </row>
    <row r="1530" spans="2:2" x14ac:dyDescent="0.2">
      <c r="B1530" s="11"/>
    </row>
    <row r="1531" spans="2:2" x14ac:dyDescent="0.2">
      <c r="B1531" s="11"/>
    </row>
    <row r="1532" spans="2:2" x14ac:dyDescent="0.2">
      <c r="B1532" s="11"/>
    </row>
    <row r="1533" spans="2:2" x14ac:dyDescent="0.2">
      <c r="B1533" s="11"/>
    </row>
    <row r="1534" spans="2:2" x14ac:dyDescent="0.2">
      <c r="B1534" s="11"/>
    </row>
    <row r="1535" spans="2:2" x14ac:dyDescent="0.2">
      <c r="B1535" s="11"/>
    </row>
    <row r="1536" spans="2:2" x14ac:dyDescent="0.2">
      <c r="B1536" s="11"/>
    </row>
    <row r="1537" spans="2:2" x14ac:dyDescent="0.2">
      <c r="B1537" s="11"/>
    </row>
    <row r="1538" spans="2:2" x14ac:dyDescent="0.2">
      <c r="B1538" s="11"/>
    </row>
    <row r="1539" spans="2:2" x14ac:dyDescent="0.2">
      <c r="B1539" s="11"/>
    </row>
    <row r="1540" spans="2:2" x14ac:dyDescent="0.2">
      <c r="B1540" s="11"/>
    </row>
    <row r="1541" spans="2:2" x14ac:dyDescent="0.2">
      <c r="B1541" s="11"/>
    </row>
    <row r="1542" spans="2:2" x14ac:dyDescent="0.2">
      <c r="B1542" s="11"/>
    </row>
    <row r="1543" spans="2:2" x14ac:dyDescent="0.2">
      <c r="B1543" s="11"/>
    </row>
    <row r="1544" spans="2:2" x14ac:dyDescent="0.2">
      <c r="B1544" s="11"/>
    </row>
    <row r="1545" spans="2:2" x14ac:dyDescent="0.2">
      <c r="B1545" s="11"/>
    </row>
    <row r="1546" spans="2:2" x14ac:dyDescent="0.2">
      <c r="B1546" s="11"/>
    </row>
    <row r="1547" spans="2:2" x14ac:dyDescent="0.2">
      <c r="B1547" s="11"/>
    </row>
    <row r="1548" spans="2:2" x14ac:dyDescent="0.2">
      <c r="B1548" s="11"/>
    </row>
    <row r="1549" spans="2:2" x14ac:dyDescent="0.2">
      <c r="B1549" s="11"/>
    </row>
    <row r="1550" spans="2:2" x14ac:dyDescent="0.2">
      <c r="B1550" s="11"/>
    </row>
    <row r="1551" spans="2:2" x14ac:dyDescent="0.2">
      <c r="B1551" s="11"/>
    </row>
    <row r="1552" spans="2:2" x14ac:dyDescent="0.2">
      <c r="B1552" s="11"/>
    </row>
    <row r="1553" spans="2:2" x14ac:dyDescent="0.2">
      <c r="B1553" s="11"/>
    </row>
    <row r="1554" spans="2:2" x14ac:dyDescent="0.2">
      <c r="B1554" s="11"/>
    </row>
    <row r="1555" spans="2:2" x14ac:dyDescent="0.2">
      <c r="B1555" s="11"/>
    </row>
    <row r="1556" spans="2:2" x14ac:dyDescent="0.2">
      <c r="B1556" s="11"/>
    </row>
    <row r="1557" spans="2:2" x14ac:dyDescent="0.2">
      <c r="B1557" s="11"/>
    </row>
    <row r="1558" spans="2:2" x14ac:dyDescent="0.2">
      <c r="B1558" s="11"/>
    </row>
    <row r="1559" spans="2:2" x14ac:dyDescent="0.2">
      <c r="B1559" s="11"/>
    </row>
    <row r="1560" spans="2:2" x14ac:dyDescent="0.2">
      <c r="B1560" s="11"/>
    </row>
    <row r="1561" spans="2:2" x14ac:dyDescent="0.2">
      <c r="B1561" s="11"/>
    </row>
    <row r="1562" spans="2:2" x14ac:dyDescent="0.2">
      <c r="B1562" s="11"/>
    </row>
    <row r="1563" spans="2:2" x14ac:dyDescent="0.2">
      <c r="B1563" s="11"/>
    </row>
    <row r="1564" spans="2:2" x14ac:dyDescent="0.2">
      <c r="B1564" s="11"/>
    </row>
    <row r="1565" spans="2:2" x14ac:dyDescent="0.2">
      <c r="B1565" s="11"/>
    </row>
    <row r="1566" spans="2:2" x14ac:dyDescent="0.2">
      <c r="B1566" s="11"/>
    </row>
    <row r="1567" spans="2:2" x14ac:dyDescent="0.2">
      <c r="B1567" s="11"/>
    </row>
    <row r="1568" spans="2:2" x14ac:dyDescent="0.2">
      <c r="B1568" s="11"/>
    </row>
    <row r="1569" spans="2:2" x14ac:dyDescent="0.2">
      <c r="B1569" s="11"/>
    </row>
    <row r="1570" spans="2:2" x14ac:dyDescent="0.2">
      <c r="B1570" s="11"/>
    </row>
    <row r="1571" spans="2:2" x14ac:dyDescent="0.2">
      <c r="B1571" s="11"/>
    </row>
    <row r="1572" spans="2:2" x14ac:dyDescent="0.2">
      <c r="B1572" s="11"/>
    </row>
    <row r="1573" spans="2:2" x14ac:dyDescent="0.2">
      <c r="B1573" s="11"/>
    </row>
    <row r="1574" spans="2:2" x14ac:dyDescent="0.2">
      <c r="B1574" s="11"/>
    </row>
    <row r="1575" spans="2:2" x14ac:dyDescent="0.2">
      <c r="B1575" s="11"/>
    </row>
    <row r="1576" spans="2:2" x14ac:dyDescent="0.2">
      <c r="B1576" s="11"/>
    </row>
    <row r="1577" spans="2:2" x14ac:dyDescent="0.2">
      <c r="B1577" s="11"/>
    </row>
    <row r="1578" spans="2:2" x14ac:dyDescent="0.2">
      <c r="B1578" s="11"/>
    </row>
    <row r="1579" spans="2:2" x14ac:dyDescent="0.2">
      <c r="B1579" s="11"/>
    </row>
    <row r="1580" spans="2:2" x14ac:dyDescent="0.2">
      <c r="B1580" s="11"/>
    </row>
    <row r="1581" spans="2:2" x14ac:dyDescent="0.2">
      <c r="B1581" s="11"/>
    </row>
    <row r="1582" spans="2:2" x14ac:dyDescent="0.2">
      <c r="B1582" s="11"/>
    </row>
    <row r="1583" spans="2:2" x14ac:dyDescent="0.2">
      <c r="B1583" s="11"/>
    </row>
    <row r="1584" spans="2:2" x14ac:dyDescent="0.2">
      <c r="B1584" s="11"/>
    </row>
    <row r="1585" spans="2:2" x14ac:dyDescent="0.2">
      <c r="B1585" s="11"/>
    </row>
    <row r="1586" spans="2:2" x14ac:dyDescent="0.2">
      <c r="B1586" s="11"/>
    </row>
    <row r="1587" spans="2:2" x14ac:dyDescent="0.2">
      <c r="B1587" s="11"/>
    </row>
    <row r="1588" spans="2:2" x14ac:dyDescent="0.2">
      <c r="B1588" s="11"/>
    </row>
    <row r="1589" spans="2:2" x14ac:dyDescent="0.2">
      <c r="B1589" s="11"/>
    </row>
    <row r="1590" spans="2:2" x14ac:dyDescent="0.2">
      <c r="B1590" s="11"/>
    </row>
    <row r="1591" spans="2:2" x14ac:dyDescent="0.2">
      <c r="B1591" s="11"/>
    </row>
    <row r="1592" spans="2:2" x14ac:dyDescent="0.2">
      <c r="B1592" s="11"/>
    </row>
    <row r="1593" spans="2:2" x14ac:dyDescent="0.2">
      <c r="B1593" s="11"/>
    </row>
    <row r="1594" spans="2:2" x14ac:dyDescent="0.2">
      <c r="B1594" s="11"/>
    </row>
    <row r="1595" spans="2:2" x14ac:dyDescent="0.2">
      <c r="B1595" s="11"/>
    </row>
    <row r="1596" spans="2:2" x14ac:dyDescent="0.2">
      <c r="B1596" s="11"/>
    </row>
    <row r="1597" spans="2:2" x14ac:dyDescent="0.2">
      <c r="B1597" s="11"/>
    </row>
    <row r="1598" spans="2:2" x14ac:dyDescent="0.2">
      <c r="B1598" s="11"/>
    </row>
    <row r="1599" spans="2:2" x14ac:dyDescent="0.2">
      <c r="B1599" s="11"/>
    </row>
    <row r="1600" spans="2:2" x14ac:dyDescent="0.2">
      <c r="B1600" s="11"/>
    </row>
    <row r="1601" spans="2:2" x14ac:dyDescent="0.2">
      <c r="B1601" s="11"/>
    </row>
    <row r="1602" spans="2:2" x14ac:dyDescent="0.2">
      <c r="B1602" s="11"/>
    </row>
    <row r="1603" spans="2:2" x14ac:dyDescent="0.2">
      <c r="B1603" s="11"/>
    </row>
    <row r="1604" spans="2:2" x14ac:dyDescent="0.2">
      <c r="B1604" s="11"/>
    </row>
    <row r="1605" spans="2:2" x14ac:dyDescent="0.2">
      <c r="B1605" s="11"/>
    </row>
    <row r="1606" spans="2:2" x14ac:dyDescent="0.2">
      <c r="B1606" s="11"/>
    </row>
    <row r="1607" spans="2:2" x14ac:dyDescent="0.2">
      <c r="B1607" s="11"/>
    </row>
    <row r="1608" spans="2:2" x14ac:dyDescent="0.2">
      <c r="B1608" s="11"/>
    </row>
    <row r="1609" spans="2:2" x14ac:dyDescent="0.2">
      <c r="B1609" s="11"/>
    </row>
    <row r="1610" spans="2:2" x14ac:dyDescent="0.2">
      <c r="B1610" s="11"/>
    </row>
    <row r="1611" spans="2:2" x14ac:dyDescent="0.2">
      <c r="B1611" s="11"/>
    </row>
    <row r="1612" spans="2:2" x14ac:dyDescent="0.2">
      <c r="B1612" s="11"/>
    </row>
    <row r="1613" spans="2:2" x14ac:dyDescent="0.2">
      <c r="B1613" s="11"/>
    </row>
    <row r="1614" spans="2:2" x14ac:dyDescent="0.2">
      <c r="B1614" s="11"/>
    </row>
    <row r="1615" spans="2:2" x14ac:dyDescent="0.2">
      <c r="B1615" s="11"/>
    </row>
    <row r="1616" spans="2:2" x14ac:dyDescent="0.2">
      <c r="B1616" s="11"/>
    </row>
    <row r="1617" spans="2:2" x14ac:dyDescent="0.2">
      <c r="B1617" s="11"/>
    </row>
    <row r="1618" spans="2:2" x14ac:dyDescent="0.2">
      <c r="B1618" s="11"/>
    </row>
    <row r="1619" spans="2:2" x14ac:dyDescent="0.2">
      <c r="B1619" s="11"/>
    </row>
    <row r="1620" spans="2:2" x14ac:dyDescent="0.2">
      <c r="B1620" s="11"/>
    </row>
    <row r="1621" spans="2:2" x14ac:dyDescent="0.2">
      <c r="B1621" s="11"/>
    </row>
    <row r="1622" spans="2:2" x14ac:dyDescent="0.2">
      <c r="B1622" s="11"/>
    </row>
    <row r="1623" spans="2:2" x14ac:dyDescent="0.2">
      <c r="B1623" s="11"/>
    </row>
    <row r="1624" spans="2:2" x14ac:dyDescent="0.2">
      <c r="B1624" s="11"/>
    </row>
    <row r="1625" spans="2:2" x14ac:dyDescent="0.2">
      <c r="B1625" s="11"/>
    </row>
    <row r="1626" spans="2:2" x14ac:dyDescent="0.2">
      <c r="B1626" s="11"/>
    </row>
    <row r="1627" spans="2:2" x14ac:dyDescent="0.2">
      <c r="B1627" s="11"/>
    </row>
    <row r="1628" spans="2:2" x14ac:dyDescent="0.2">
      <c r="B1628" s="11"/>
    </row>
    <row r="1629" spans="2:2" x14ac:dyDescent="0.2">
      <c r="B1629" s="11"/>
    </row>
    <row r="1630" spans="2:2" x14ac:dyDescent="0.2">
      <c r="B1630" s="11"/>
    </row>
    <row r="1631" spans="2:2" x14ac:dyDescent="0.2">
      <c r="B1631" s="11"/>
    </row>
    <row r="1632" spans="2:2" x14ac:dyDescent="0.2">
      <c r="B1632" s="11"/>
    </row>
    <row r="1633" spans="2:2" x14ac:dyDescent="0.2">
      <c r="B1633" s="11"/>
    </row>
    <row r="1634" spans="2:2" x14ac:dyDescent="0.2">
      <c r="B1634" s="11"/>
    </row>
    <row r="1635" spans="2:2" x14ac:dyDescent="0.2">
      <c r="B1635" s="11"/>
    </row>
    <row r="1636" spans="2:2" x14ac:dyDescent="0.2">
      <c r="B1636" s="11"/>
    </row>
    <row r="1637" spans="2:2" x14ac:dyDescent="0.2">
      <c r="B1637" s="11"/>
    </row>
    <row r="1638" spans="2:2" x14ac:dyDescent="0.2">
      <c r="B1638" s="11"/>
    </row>
    <row r="1639" spans="2:2" x14ac:dyDescent="0.2">
      <c r="B1639" s="11"/>
    </row>
    <row r="1640" spans="2:2" x14ac:dyDescent="0.2">
      <c r="B1640" s="11"/>
    </row>
    <row r="1641" spans="2:2" x14ac:dyDescent="0.2">
      <c r="B1641" s="11"/>
    </row>
    <row r="1642" spans="2:2" x14ac:dyDescent="0.2">
      <c r="B1642" s="11"/>
    </row>
    <row r="1643" spans="2:2" x14ac:dyDescent="0.2">
      <c r="B1643" s="11"/>
    </row>
    <row r="1644" spans="2:2" x14ac:dyDescent="0.2">
      <c r="B1644" s="11"/>
    </row>
    <row r="1645" spans="2:2" x14ac:dyDescent="0.2">
      <c r="B1645" s="11"/>
    </row>
    <row r="1646" spans="2:2" x14ac:dyDescent="0.2">
      <c r="B1646" s="11"/>
    </row>
    <row r="1647" spans="2:2" x14ac:dyDescent="0.2">
      <c r="B1647" s="11"/>
    </row>
    <row r="1648" spans="2:2" x14ac:dyDescent="0.2">
      <c r="B1648" s="11"/>
    </row>
    <row r="1649" spans="2:2" x14ac:dyDescent="0.2">
      <c r="B1649" s="11"/>
    </row>
    <row r="1650" spans="2:2" x14ac:dyDescent="0.2">
      <c r="B1650" s="11"/>
    </row>
    <row r="1651" spans="2:2" x14ac:dyDescent="0.2">
      <c r="B1651" s="11"/>
    </row>
    <row r="1652" spans="2:2" x14ac:dyDescent="0.2">
      <c r="B1652" s="11"/>
    </row>
    <row r="1653" spans="2:2" x14ac:dyDescent="0.2">
      <c r="B1653" s="11"/>
    </row>
    <row r="1654" spans="2:2" x14ac:dyDescent="0.2">
      <c r="B1654" s="11"/>
    </row>
    <row r="1655" spans="2:2" x14ac:dyDescent="0.2">
      <c r="B1655" s="11"/>
    </row>
    <row r="1656" spans="2:2" x14ac:dyDescent="0.2">
      <c r="B1656" s="11"/>
    </row>
    <row r="1657" spans="2:2" x14ac:dyDescent="0.2">
      <c r="B1657" s="11"/>
    </row>
    <row r="1658" spans="2:2" x14ac:dyDescent="0.2">
      <c r="B1658" s="11"/>
    </row>
    <row r="1659" spans="2:2" x14ac:dyDescent="0.2">
      <c r="B1659" s="11"/>
    </row>
    <row r="1660" spans="2:2" x14ac:dyDescent="0.2">
      <c r="B1660" s="11"/>
    </row>
    <row r="1661" spans="2:2" x14ac:dyDescent="0.2">
      <c r="B1661" s="11"/>
    </row>
    <row r="1662" spans="2:2" x14ac:dyDescent="0.2">
      <c r="B1662" s="11"/>
    </row>
    <row r="1663" spans="2:2" x14ac:dyDescent="0.2">
      <c r="B1663" s="11"/>
    </row>
    <row r="1664" spans="2:2" x14ac:dyDescent="0.2">
      <c r="B1664" s="11"/>
    </row>
    <row r="1665" spans="2:2" x14ac:dyDescent="0.2">
      <c r="B1665" s="11"/>
    </row>
    <row r="1666" spans="2:2" x14ac:dyDescent="0.2">
      <c r="B1666" s="11"/>
    </row>
    <row r="1667" spans="2:2" x14ac:dyDescent="0.2">
      <c r="B1667" s="11"/>
    </row>
    <row r="1668" spans="2:2" x14ac:dyDescent="0.2">
      <c r="B1668" s="11"/>
    </row>
    <row r="1669" spans="2:2" x14ac:dyDescent="0.2">
      <c r="B1669" s="11"/>
    </row>
    <row r="1670" spans="2:2" x14ac:dyDescent="0.2">
      <c r="B1670" s="11"/>
    </row>
    <row r="1671" spans="2:2" x14ac:dyDescent="0.2">
      <c r="B1671" s="11"/>
    </row>
    <row r="1672" spans="2:2" x14ac:dyDescent="0.2">
      <c r="B1672" s="11"/>
    </row>
    <row r="1673" spans="2:2" x14ac:dyDescent="0.2">
      <c r="B1673" s="11"/>
    </row>
    <row r="1674" spans="2:2" x14ac:dyDescent="0.2">
      <c r="B1674" s="11"/>
    </row>
    <row r="1675" spans="2:2" x14ac:dyDescent="0.2">
      <c r="B1675" s="11"/>
    </row>
    <row r="1676" spans="2:2" x14ac:dyDescent="0.2">
      <c r="B1676" s="11"/>
    </row>
    <row r="1677" spans="2:2" x14ac:dyDescent="0.2">
      <c r="B1677" s="11"/>
    </row>
    <row r="1678" spans="2:2" x14ac:dyDescent="0.2">
      <c r="B1678" s="11"/>
    </row>
    <row r="1679" spans="2:2" x14ac:dyDescent="0.2">
      <c r="B1679" s="11"/>
    </row>
    <row r="1680" spans="2:2" x14ac:dyDescent="0.2">
      <c r="B1680" s="11"/>
    </row>
    <row r="1681" spans="2:2" x14ac:dyDescent="0.2">
      <c r="B1681" s="11"/>
    </row>
    <row r="1682" spans="2:2" x14ac:dyDescent="0.2">
      <c r="B1682" s="11"/>
    </row>
    <row r="1683" spans="2:2" x14ac:dyDescent="0.2">
      <c r="B1683" s="11"/>
    </row>
    <row r="1684" spans="2:2" x14ac:dyDescent="0.2">
      <c r="B1684" s="11"/>
    </row>
    <row r="1685" spans="2:2" x14ac:dyDescent="0.2">
      <c r="B1685" s="11"/>
    </row>
    <row r="1686" spans="2:2" x14ac:dyDescent="0.2">
      <c r="B1686" s="11"/>
    </row>
    <row r="1687" spans="2:2" x14ac:dyDescent="0.2">
      <c r="B1687" s="11"/>
    </row>
    <row r="1688" spans="2:2" x14ac:dyDescent="0.2">
      <c r="B1688" s="11"/>
    </row>
    <row r="1689" spans="2:2" x14ac:dyDescent="0.2">
      <c r="B1689" s="11"/>
    </row>
    <row r="1690" spans="2:2" x14ac:dyDescent="0.2">
      <c r="B1690" s="11"/>
    </row>
    <row r="1691" spans="2:2" x14ac:dyDescent="0.2">
      <c r="B1691" s="11"/>
    </row>
    <row r="1692" spans="2:2" x14ac:dyDescent="0.2">
      <c r="B1692" s="11"/>
    </row>
    <row r="1693" spans="2:2" x14ac:dyDescent="0.2">
      <c r="B1693" s="11"/>
    </row>
    <row r="1694" spans="2:2" x14ac:dyDescent="0.2">
      <c r="B1694" s="11"/>
    </row>
    <row r="1695" spans="2:2" x14ac:dyDescent="0.2">
      <c r="B1695" s="11"/>
    </row>
    <row r="1696" spans="2:2" x14ac:dyDescent="0.2">
      <c r="B1696" s="11"/>
    </row>
    <row r="1697" spans="2:2" x14ac:dyDescent="0.2">
      <c r="B1697" s="11"/>
    </row>
    <row r="1698" spans="2:2" x14ac:dyDescent="0.2">
      <c r="B1698" s="11"/>
    </row>
    <row r="1699" spans="2:2" x14ac:dyDescent="0.2">
      <c r="B1699" s="11"/>
    </row>
    <row r="1700" spans="2:2" x14ac:dyDescent="0.2">
      <c r="B1700" s="11"/>
    </row>
    <row r="1701" spans="2:2" x14ac:dyDescent="0.2">
      <c r="B1701" s="11"/>
    </row>
    <row r="1702" spans="2:2" x14ac:dyDescent="0.2">
      <c r="B1702" s="11"/>
    </row>
    <row r="1703" spans="2:2" x14ac:dyDescent="0.2">
      <c r="B1703" s="11"/>
    </row>
    <row r="1704" spans="2:2" x14ac:dyDescent="0.2">
      <c r="B1704" s="11"/>
    </row>
    <row r="1705" spans="2:2" x14ac:dyDescent="0.2">
      <c r="B1705" s="11"/>
    </row>
    <row r="1706" spans="2:2" x14ac:dyDescent="0.2">
      <c r="B1706" s="11"/>
    </row>
    <row r="1707" spans="2:2" x14ac:dyDescent="0.2">
      <c r="B1707" s="11"/>
    </row>
    <row r="1708" spans="2:2" x14ac:dyDescent="0.2">
      <c r="B1708" s="11"/>
    </row>
    <row r="1709" spans="2:2" x14ac:dyDescent="0.2">
      <c r="B1709" s="11"/>
    </row>
    <row r="1710" spans="2:2" x14ac:dyDescent="0.2">
      <c r="B1710" s="11"/>
    </row>
    <row r="1711" spans="2:2" x14ac:dyDescent="0.2">
      <c r="B1711" s="11"/>
    </row>
    <row r="1712" spans="2:2" x14ac:dyDescent="0.2">
      <c r="B1712" s="11"/>
    </row>
    <row r="1713" spans="2:2" x14ac:dyDescent="0.2">
      <c r="B1713" s="11"/>
    </row>
    <row r="1714" spans="2:2" x14ac:dyDescent="0.2">
      <c r="B1714" s="11"/>
    </row>
    <row r="1715" spans="2:2" x14ac:dyDescent="0.2">
      <c r="B1715" s="11"/>
    </row>
    <row r="1716" spans="2:2" x14ac:dyDescent="0.2">
      <c r="B1716" s="11"/>
    </row>
    <row r="1717" spans="2:2" x14ac:dyDescent="0.2">
      <c r="B1717" s="11"/>
    </row>
    <row r="1718" spans="2:2" x14ac:dyDescent="0.2">
      <c r="B1718" s="11"/>
    </row>
    <row r="1719" spans="2:2" x14ac:dyDescent="0.2">
      <c r="B1719" s="11"/>
    </row>
    <row r="1720" spans="2:2" x14ac:dyDescent="0.2">
      <c r="B1720" s="11"/>
    </row>
    <row r="1721" spans="2:2" x14ac:dyDescent="0.2">
      <c r="B1721" s="11"/>
    </row>
    <row r="1722" spans="2:2" x14ac:dyDescent="0.2">
      <c r="B1722" s="11"/>
    </row>
    <row r="1723" spans="2:2" x14ac:dyDescent="0.2">
      <c r="B1723" s="11"/>
    </row>
    <row r="1724" spans="2:2" x14ac:dyDescent="0.2">
      <c r="B1724" s="11"/>
    </row>
    <row r="1725" spans="2:2" x14ac:dyDescent="0.2">
      <c r="B1725" s="11"/>
    </row>
    <row r="1726" spans="2:2" x14ac:dyDescent="0.2">
      <c r="B1726" s="11"/>
    </row>
    <row r="1727" spans="2:2" x14ac:dyDescent="0.2">
      <c r="B1727" s="11"/>
    </row>
    <row r="1728" spans="2:2" x14ac:dyDescent="0.2">
      <c r="B1728" s="11"/>
    </row>
    <row r="1729" spans="2:2" x14ac:dyDescent="0.2">
      <c r="B1729" s="11"/>
    </row>
    <row r="1730" spans="2:2" x14ac:dyDescent="0.2">
      <c r="B1730" s="11"/>
    </row>
    <row r="1731" spans="2:2" x14ac:dyDescent="0.2">
      <c r="B1731" s="11"/>
    </row>
    <row r="1732" spans="2:2" x14ac:dyDescent="0.2">
      <c r="B1732" s="11"/>
    </row>
    <row r="1733" spans="2:2" x14ac:dyDescent="0.2">
      <c r="B1733" s="11"/>
    </row>
    <row r="1734" spans="2:2" x14ac:dyDescent="0.2">
      <c r="B1734" s="11"/>
    </row>
    <row r="1735" spans="2:2" x14ac:dyDescent="0.2">
      <c r="B1735" s="11"/>
    </row>
    <row r="1736" spans="2:2" x14ac:dyDescent="0.2">
      <c r="B1736" s="11"/>
    </row>
    <row r="1737" spans="2:2" x14ac:dyDescent="0.2">
      <c r="B1737" s="11"/>
    </row>
    <row r="1738" spans="2:2" x14ac:dyDescent="0.2">
      <c r="B1738" s="11"/>
    </row>
    <row r="1739" spans="2:2" x14ac:dyDescent="0.2">
      <c r="B1739" s="11"/>
    </row>
    <row r="1740" spans="2:2" x14ac:dyDescent="0.2">
      <c r="B1740" s="11"/>
    </row>
    <row r="1741" spans="2:2" x14ac:dyDescent="0.2">
      <c r="B1741" s="11"/>
    </row>
    <row r="1742" spans="2:2" x14ac:dyDescent="0.2">
      <c r="B1742" s="11"/>
    </row>
    <row r="1743" spans="2:2" x14ac:dyDescent="0.2">
      <c r="B1743" s="11"/>
    </row>
    <row r="1744" spans="2:2" x14ac:dyDescent="0.2">
      <c r="B1744" s="11"/>
    </row>
    <row r="1745" spans="2:2" x14ac:dyDescent="0.2">
      <c r="B1745" s="11"/>
    </row>
    <row r="1746" spans="2:2" x14ac:dyDescent="0.2">
      <c r="B1746" s="11"/>
    </row>
    <row r="1747" spans="2:2" x14ac:dyDescent="0.2">
      <c r="B1747" s="11"/>
    </row>
    <row r="1748" spans="2:2" x14ac:dyDescent="0.2">
      <c r="B1748" s="11"/>
    </row>
    <row r="1749" spans="2:2" x14ac:dyDescent="0.2">
      <c r="B1749" s="11"/>
    </row>
    <row r="1750" spans="2:2" x14ac:dyDescent="0.2">
      <c r="B1750" s="11"/>
    </row>
    <row r="1751" spans="2:2" x14ac:dyDescent="0.2">
      <c r="B1751" s="11"/>
    </row>
    <row r="1752" spans="2:2" x14ac:dyDescent="0.2">
      <c r="B1752" s="11"/>
    </row>
    <row r="1753" spans="2:2" x14ac:dyDescent="0.2">
      <c r="B1753" s="11"/>
    </row>
    <row r="1754" spans="2:2" x14ac:dyDescent="0.2">
      <c r="B1754" s="11"/>
    </row>
    <row r="1755" spans="2:2" x14ac:dyDescent="0.2">
      <c r="B1755" s="11"/>
    </row>
    <row r="1756" spans="2:2" x14ac:dyDescent="0.2">
      <c r="B1756" s="11"/>
    </row>
    <row r="1757" spans="2:2" x14ac:dyDescent="0.2">
      <c r="B1757" s="11"/>
    </row>
    <row r="1758" spans="2:2" x14ac:dyDescent="0.2">
      <c r="B1758" s="11"/>
    </row>
    <row r="1759" spans="2:2" x14ac:dyDescent="0.2">
      <c r="B1759" s="11"/>
    </row>
    <row r="1760" spans="2:2" x14ac:dyDescent="0.2">
      <c r="B1760" s="11"/>
    </row>
    <row r="1761" spans="2:2" x14ac:dyDescent="0.2">
      <c r="B1761" s="11"/>
    </row>
    <row r="1762" spans="2:2" x14ac:dyDescent="0.2">
      <c r="B1762" s="11"/>
    </row>
    <row r="1763" spans="2:2" x14ac:dyDescent="0.2">
      <c r="B1763" s="11"/>
    </row>
    <row r="1764" spans="2:2" x14ac:dyDescent="0.2">
      <c r="B1764" s="11"/>
    </row>
    <row r="1765" spans="2:2" x14ac:dyDescent="0.2">
      <c r="B1765" s="11"/>
    </row>
    <row r="1766" spans="2:2" x14ac:dyDescent="0.2">
      <c r="B1766" s="11"/>
    </row>
    <row r="1767" spans="2:2" x14ac:dyDescent="0.2">
      <c r="B1767" s="11"/>
    </row>
    <row r="1768" spans="2:2" x14ac:dyDescent="0.2">
      <c r="B1768" s="11"/>
    </row>
    <row r="1769" spans="2:2" x14ac:dyDescent="0.2">
      <c r="B1769" s="11"/>
    </row>
    <row r="1770" spans="2:2" x14ac:dyDescent="0.2">
      <c r="B1770" s="11"/>
    </row>
    <row r="1771" spans="2:2" x14ac:dyDescent="0.2">
      <c r="B1771" s="11"/>
    </row>
    <row r="1772" spans="2:2" x14ac:dyDescent="0.2">
      <c r="B1772" s="11"/>
    </row>
    <row r="1773" spans="2:2" x14ac:dyDescent="0.2">
      <c r="B1773" s="11"/>
    </row>
    <row r="1774" spans="2:2" x14ac:dyDescent="0.2">
      <c r="B1774" s="11"/>
    </row>
    <row r="1775" spans="2:2" x14ac:dyDescent="0.2">
      <c r="B1775" s="11"/>
    </row>
    <row r="1776" spans="2:2" x14ac:dyDescent="0.2">
      <c r="B1776" s="11"/>
    </row>
    <row r="1777" spans="2:2" x14ac:dyDescent="0.2">
      <c r="B1777" s="11"/>
    </row>
    <row r="1778" spans="2:2" x14ac:dyDescent="0.2">
      <c r="B1778" s="11"/>
    </row>
    <row r="1779" spans="2:2" x14ac:dyDescent="0.2">
      <c r="B1779" s="11"/>
    </row>
    <row r="1780" spans="2:2" x14ac:dyDescent="0.2">
      <c r="B1780" s="11"/>
    </row>
    <row r="1781" spans="2:2" x14ac:dyDescent="0.2">
      <c r="B1781" s="11"/>
    </row>
    <row r="1782" spans="2:2" x14ac:dyDescent="0.2">
      <c r="B1782" s="11"/>
    </row>
    <row r="1783" spans="2:2" x14ac:dyDescent="0.2">
      <c r="B1783" s="11"/>
    </row>
    <row r="1784" spans="2:2" x14ac:dyDescent="0.2">
      <c r="B1784" s="11"/>
    </row>
    <row r="1785" spans="2:2" x14ac:dyDescent="0.2">
      <c r="B1785" s="11"/>
    </row>
    <row r="1786" spans="2:2" x14ac:dyDescent="0.2">
      <c r="B1786" s="11"/>
    </row>
    <row r="1787" spans="2:2" x14ac:dyDescent="0.2">
      <c r="B1787" s="11"/>
    </row>
    <row r="1788" spans="2:2" x14ac:dyDescent="0.2">
      <c r="B1788" s="11"/>
    </row>
    <row r="1789" spans="2:2" x14ac:dyDescent="0.2">
      <c r="B1789" s="11"/>
    </row>
    <row r="1790" spans="2:2" x14ac:dyDescent="0.2">
      <c r="B1790" s="11"/>
    </row>
    <row r="1791" spans="2:2" x14ac:dyDescent="0.2">
      <c r="B1791" s="11"/>
    </row>
    <row r="1792" spans="2:2" x14ac:dyDescent="0.2">
      <c r="B1792" s="11"/>
    </row>
    <row r="1793" spans="2:2" x14ac:dyDescent="0.2">
      <c r="B1793" s="11"/>
    </row>
    <row r="1794" spans="2:2" x14ac:dyDescent="0.2">
      <c r="B1794" s="11"/>
    </row>
    <row r="1795" spans="2:2" x14ac:dyDescent="0.2">
      <c r="B1795" s="11"/>
    </row>
    <row r="1796" spans="2:2" x14ac:dyDescent="0.2">
      <c r="B1796" s="11"/>
    </row>
    <row r="1797" spans="2:2" x14ac:dyDescent="0.2">
      <c r="B1797" s="11"/>
    </row>
    <row r="1798" spans="2:2" x14ac:dyDescent="0.2">
      <c r="B1798" s="11"/>
    </row>
    <row r="1799" spans="2:2" x14ac:dyDescent="0.2">
      <c r="B1799" s="11"/>
    </row>
    <row r="1800" spans="2:2" x14ac:dyDescent="0.2">
      <c r="B1800" s="11"/>
    </row>
    <row r="1801" spans="2:2" x14ac:dyDescent="0.2">
      <c r="B1801" s="11"/>
    </row>
    <row r="1802" spans="2:2" x14ac:dyDescent="0.2">
      <c r="B1802" s="11"/>
    </row>
    <row r="1803" spans="2:2" x14ac:dyDescent="0.2">
      <c r="B1803" s="11"/>
    </row>
    <row r="1804" spans="2:2" x14ac:dyDescent="0.2">
      <c r="B1804" s="11"/>
    </row>
    <row r="1805" spans="2:2" x14ac:dyDescent="0.2">
      <c r="B1805" s="11"/>
    </row>
    <row r="1806" spans="2:2" x14ac:dyDescent="0.2">
      <c r="B1806" s="11"/>
    </row>
    <row r="1807" spans="2:2" x14ac:dyDescent="0.2">
      <c r="B1807" s="11"/>
    </row>
    <row r="1808" spans="2:2" x14ac:dyDescent="0.2">
      <c r="B1808" s="11"/>
    </row>
    <row r="1809" spans="2:2" x14ac:dyDescent="0.2">
      <c r="B1809" s="11"/>
    </row>
    <row r="1810" spans="2:2" x14ac:dyDescent="0.2">
      <c r="B1810" s="11"/>
    </row>
    <row r="1811" spans="2:2" x14ac:dyDescent="0.2">
      <c r="B1811" s="11"/>
    </row>
    <row r="1812" spans="2:2" x14ac:dyDescent="0.2">
      <c r="B1812" s="11"/>
    </row>
    <row r="1813" spans="2:2" x14ac:dyDescent="0.2">
      <c r="B1813" s="11"/>
    </row>
    <row r="1814" spans="2:2" x14ac:dyDescent="0.2">
      <c r="B1814" s="11"/>
    </row>
    <row r="1815" spans="2:2" x14ac:dyDescent="0.2">
      <c r="B1815" s="11"/>
    </row>
    <row r="1816" spans="2:2" x14ac:dyDescent="0.2">
      <c r="B1816" s="11"/>
    </row>
    <row r="1817" spans="2:2" x14ac:dyDescent="0.2">
      <c r="B1817" s="11"/>
    </row>
    <row r="1818" spans="2:2" x14ac:dyDescent="0.2">
      <c r="B1818" s="11"/>
    </row>
    <row r="1819" spans="2:2" x14ac:dyDescent="0.2">
      <c r="B1819" s="11"/>
    </row>
    <row r="1820" spans="2:2" x14ac:dyDescent="0.2">
      <c r="B1820" s="11"/>
    </row>
    <row r="1821" spans="2:2" x14ac:dyDescent="0.2">
      <c r="B1821" s="11"/>
    </row>
    <row r="1822" spans="2:2" x14ac:dyDescent="0.2">
      <c r="B1822" s="11"/>
    </row>
    <row r="1823" spans="2:2" x14ac:dyDescent="0.2">
      <c r="B1823" s="11"/>
    </row>
    <row r="1824" spans="2:2" x14ac:dyDescent="0.2">
      <c r="B1824" s="11"/>
    </row>
    <row r="1825" spans="2:2" x14ac:dyDescent="0.2">
      <c r="B1825" s="11"/>
    </row>
    <row r="1826" spans="2:2" x14ac:dyDescent="0.2">
      <c r="B1826" s="11"/>
    </row>
    <row r="1827" spans="2:2" x14ac:dyDescent="0.2">
      <c r="B1827" s="11"/>
    </row>
    <row r="1828" spans="2:2" x14ac:dyDescent="0.2">
      <c r="B1828" s="11"/>
    </row>
    <row r="1829" spans="2:2" x14ac:dyDescent="0.2">
      <c r="B1829" s="11"/>
    </row>
    <row r="1830" spans="2:2" x14ac:dyDescent="0.2">
      <c r="B1830" s="11"/>
    </row>
    <row r="1831" spans="2:2" x14ac:dyDescent="0.2">
      <c r="B1831" s="11"/>
    </row>
    <row r="1832" spans="2:2" x14ac:dyDescent="0.2">
      <c r="B1832" s="11"/>
    </row>
    <row r="1833" spans="2:2" x14ac:dyDescent="0.2">
      <c r="B1833" s="11"/>
    </row>
    <row r="1834" spans="2:2" x14ac:dyDescent="0.2">
      <c r="B1834" s="11"/>
    </row>
    <row r="1835" spans="2:2" x14ac:dyDescent="0.2">
      <c r="B1835" s="11"/>
    </row>
    <row r="1836" spans="2:2" x14ac:dyDescent="0.2">
      <c r="B1836" s="11"/>
    </row>
    <row r="1837" spans="2:2" x14ac:dyDescent="0.2">
      <c r="B1837" s="11"/>
    </row>
    <row r="1838" spans="2:2" x14ac:dyDescent="0.2">
      <c r="B1838" s="11"/>
    </row>
    <row r="1839" spans="2:2" x14ac:dyDescent="0.2">
      <c r="B1839" s="11"/>
    </row>
    <row r="1840" spans="2:2" x14ac:dyDescent="0.2">
      <c r="B1840" s="11"/>
    </row>
    <row r="1841" spans="2:2" x14ac:dyDescent="0.2">
      <c r="B1841" s="11"/>
    </row>
    <row r="1842" spans="2:2" x14ac:dyDescent="0.2">
      <c r="B1842" s="11"/>
    </row>
    <row r="1843" spans="2:2" x14ac:dyDescent="0.2">
      <c r="B1843" s="11"/>
    </row>
    <row r="1844" spans="2:2" x14ac:dyDescent="0.2">
      <c r="B1844" s="11"/>
    </row>
    <row r="1845" spans="2:2" x14ac:dyDescent="0.2">
      <c r="B1845" s="11"/>
    </row>
    <row r="1846" spans="2:2" x14ac:dyDescent="0.2">
      <c r="B1846" s="11"/>
    </row>
    <row r="1847" spans="2:2" x14ac:dyDescent="0.2">
      <c r="B1847" s="11"/>
    </row>
    <row r="1848" spans="2:2" x14ac:dyDescent="0.2">
      <c r="B1848" s="11"/>
    </row>
    <row r="1849" spans="2:2" x14ac:dyDescent="0.2">
      <c r="B1849" s="11"/>
    </row>
    <row r="1850" spans="2:2" x14ac:dyDescent="0.2">
      <c r="B1850" s="11"/>
    </row>
    <row r="1851" spans="2:2" x14ac:dyDescent="0.2">
      <c r="B1851" s="11"/>
    </row>
    <row r="1852" spans="2:2" x14ac:dyDescent="0.2">
      <c r="B1852" s="11"/>
    </row>
    <row r="1853" spans="2:2" x14ac:dyDescent="0.2">
      <c r="B1853" s="11"/>
    </row>
    <row r="1854" spans="2:2" x14ac:dyDescent="0.2">
      <c r="B1854" s="11"/>
    </row>
    <row r="1855" spans="2:2" x14ac:dyDescent="0.2">
      <c r="B1855" s="11"/>
    </row>
    <row r="1856" spans="2:2" x14ac:dyDescent="0.2">
      <c r="B1856" s="11"/>
    </row>
    <row r="1857" spans="2:2" x14ac:dyDescent="0.2">
      <c r="B1857" s="11"/>
    </row>
    <row r="1858" spans="2:2" x14ac:dyDescent="0.2">
      <c r="B1858" s="11"/>
    </row>
    <row r="1859" spans="2:2" x14ac:dyDescent="0.2">
      <c r="B1859" s="11"/>
    </row>
    <row r="1860" spans="2:2" x14ac:dyDescent="0.2">
      <c r="B1860" s="11"/>
    </row>
    <row r="1861" spans="2:2" x14ac:dyDescent="0.2">
      <c r="B1861" s="11"/>
    </row>
    <row r="1862" spans="2:2" x14ac:dyDescent="0.2">
      <c r="B1862" s="11"/>
    </row>
    <row r="1863" spans="2:2" x14ac:dyDescent="0.2">
      <c r="B1863" s="11"/>
    </row>
    <row r="1864" spans="2:2" x14ac:dyDescent="0.2">
      <c r="B1864" s="11"/>
    </row>
    <row r="1865" spans="2:2" x14ac:dyDescent="0.2">
      <c r="B1865" s="11"/>
    </row>
    <row r="1866" spans="2:2" x14ac:dyDescent="0.2">
      <c r="B1866" s="11"/>
    </row>
    <row r="1867" spans="2:2" x14ac:dyDescent="0.2">
      <c r="B1867" s="11"/>
    </row>
    <row r="1868" spans="2:2" x14ac:dyDescent="0.2">
      <c r="B1868" s="11"/>
    </row>
    <row r="1869" spans="2:2" x14ac:dyDescent="0.2">
      <c r="B1869" s="11"/>
    </row>
    <row r="1870" spans="2:2" x14ac:dyDescent="0.2">
      <c r="B1870" s="11"/>
    </row>
    <row r="1871" spans="2:2" x14ac:dyDescent="0.2">
      <c r="B1871" s="11"/>
    </row>
    <row r="1872" spans="2:2" x14ac:dyDescent="0.2">
      <c r="B1872" s="11"/>
    </row>
    <row r="1873" spans="2:2" x14ac:dyDescent="0.2">
      <c r="B1873" s="11"/>
    </row>
    <row r="1874" spans="2:2" x14ac:dyDescent="0.2">
      <c r="B1874" s="11"/>
    </row>
    <row r="1875" spans="2:2" x14ac:dyDescent="0.2">
      <c r="B1875" s="11"/>
    </row>
    <row r="1876" spans="2:2" x14ac:dyDescent="0.2">
      <c r="B1876" s="11"/>
    </row>
    <row r="1877" spans="2:2" x14ac:dyDescent="0.2">
      <c r="B1877" s="11"/>
    </row>
    <row r="1878" spans="2:2" x14ac:dyDescent="0.2">
      <c r="B1878" s="11"/>
    </row>
    <row r="1879" spans="2:2" x14ac:dyDescent="0.2">
      <c r="B1879" s="11"/>
    </row>
    <row r="1880" spans="2:2" x14ac:dyDescent="0.2">
      <c r="B1880" s="11"/>
    </row>
    <row r="1881" spans="2:2" x14ac:dyDescent="0.2">
      <c r="B1881" s="11"/>
    </row>
    <row r="1882" spans="2:2" x14ac:dyDescent="0.2">
      <c r="B1882" s="11"/>
    </row>
    <row r="1883" spans="2:2" x14ac:dyDescent="0.2">
      <c r="B1883" s="11"/>
    </row>
    <row r="1884" spans="2:2" x14ac:dyDescent="0.2">
      <c r="B1884" s="11"/>
    </row>
    <row r="1885" spans="2:2" x14ac:dyDescent="0.2">
      <c r="B1885" s="11"/>
    </row>
    <row r="1886" spans="2:2" x14ac:dyDescent="0.2">
      <c r="B1886" s="11"/>
    </row>
    <row r="1887" spans="2:2" x14ac:dyDescent="0.2">
      <c r="B1887" s="11"/>
    </row>
    <row r="1888" spans="2:2" x14ac:dyDescent="0.2">
      <c r="B1888" s="11"/>
    </row>
    <row r="1889" spans="2:2" x14ac:dyDescent="0.2">
      <c r="B1889" s="11"/>
    </row>
    <row r="1890" spans="2:2" x14ac:dyDescent="0.2">
      <c r="B1890" s="11"/>
    </row>
    <row r="1891" spans="2:2" x14ac:dyDescent="0.2">
      <c r="B1891" s="11"/>
    </row>
    <row r="1892" spans="2:2" x14ac:dyDescent="0.2">
      <c r="B1892" s="11"/>
    </row>
    <row r="1893" spans="2:2" x14ac:dyDescent="0.2">
      <c r="B1893" s="11"/>
    </row>
    <row r="1894" spans="2:2" x14ac:dyDescent="0.2">
      <c r="B1894" s="11"/>
    </row>
    <row r="1895" spans="2:2" x14ac:dyDescent="0.2">
      <c r="B1895" s="11"/>
    </row>
    <row r="1896" spans="2:2" x14ac:dyDescent="0.2">
      <c r="B1896" s="11"/>
    </row>
    <row r="1897" spans="2:2" x14ac:dyDescent="0.2">
      <c r="B1897" s="11"/>
    </row>
    <row r="1898" spans="2:2" x14ac:dyDescent="0.2">
      <c r="B1898" s="11"/>
    </row>
    <row r="1899" spans="2:2" x14ac:dyDescent="0.2">
      <c r="B1899" s="11"/>
    </row>
    <row r="1900" spans="2:2" x14ac:dyDescent="0.2">
      <c r="B1900" s="11"/>
    </row>
    <row r="1901" spans="2:2" x14ac:dyDescent="0.2">
      <c r="B1901" s="11"/>
    </row>
    <row r="1902" spans="2:2" x14ac:dyDescent="0.2">
      <c r="B1902" s="11"/>
    </row>
    <row r="1903" spans="2:2" x14ac:dyDescent="0.2">
      <c r="B1903" s="11"/>
    </row>
    <row r="1904" spans="2:2" x14ac:dyDescent="0.2">
      <c r="B1904" s="11"/>
    </row>
    <row r="1905" spans="2:2" x14ac:dyDescent="0.2">
      <c r="B1905" s="11"/>
    </row>
    <row r="1906" spans="2:2" x14ac:dyDescent="0.2">
      <c r="B1906" s="11"/>
    </row>
    <row r="1907" spans="2:2" x14ac:dyDescent="0.2">
      <c r="B1907" s="11"/>
    </row>
    <row r="1908" spans="2:2" x14ac:dyDescent="0.2">
      <c r="B1908" s="11"/>
    </row>
    <row r="1909" spans="2:2" x14ac:dyDescent="0.2">
      <c r="B1909" s="11"/>
    </row>
    <row r="1910" spans="2:2" x14ac:dyDescent="0.2">
      <c r="B1910" s="11"/>
    </row>
    <row r="1911" spans="2:2" x14ac:dyDescent="0.2">
      <c r="B1911" s="11"/>
    </row>
    <row r="1912" spans="2:2" x14ac:dyDescent="0.2">
      <c r="B1912" s="11"/>
    </row>
    <row r="1913" spans="2:2" x14ac:dyDescent="0.2">
      <c r="B1913" s="11"/>
    </row>
    <row r="1914" spans="2:2" x14ac:dyDescent="0.2">
      <c r="B1914" s="11"/>
    </row>
    <row r="1915" spans="2:2" x14ac:dyDescent="0.2">
      <c r="B1915" s="11"/>
    </row>
    <row r="1916" spans="2:2" x14ac:dyDescent="0.2">
      <c r="B1916" s="11"/>
    </row>
    <row r="1917" spans="2:2" x14ac:dyDescent="0.2">
      <c r="B1917" s="11"/>
    </row>
    <row r="1918" spans="2:2" x14ac:dyDescent="0.2">
      <c r="B1918" s="11"/>
    </row>
    <row r="1919" spans="2:2" x14ac:dyDescent="0.2">
      <c r="B1919" s="11"/>
    </row>
    <row r="1920" spans="2:2" x14ac:dyDescent="0.2">
      <c r="B1920" s="11"/>
    </row>
    <row r="1921" spans="2:2" x14ac:dyDescent="0.2">
      <c r="B1921" s="11"/>
    </row>
    <row r="1922" spans="2:2" x14ac:dyDescent="0.2">
      <c r="B1922" s="11"/>
    </row>
    <row r="1923" spans="2:2" x14ac:dyDescent="0.2">
      <c r="B1923" s="11"/>
    </row>
    <row r="1924" spans="2:2" x14ac:dyDescent="0.2">
      <c r="B1924" s="11"/>
    </row>
    <row r="1925" spans="2:2" x14ac:dyDescent="0.2">
      <c r="B1925" s="11"/>
    </row>
    <row r="1926" spans="2:2" x14ac:dyDescent="0.2">
      <c r="B1926" s="11"/>
    </row>
    <row r="1927" spans="2:2" x14ac:dyDescent="0.2">
      <c r="B1927" s="11"/>
    </row>
    <row r="1928" spans="2:2" x14ac:dyDescent="0.2">
      <c r="B1928" s="11"/>
    </row>
    <row r="1929" spans="2:2" x14ac:dyDescent="0.2">
      <c r="B1929" s="11"/>
    </row>
    <row r="1930" spans="2:2" x14ac:dyDescent="0.2">
      <c r="B1930" s="11"/>
    </row>
    <row r="1931" spans="2:2" x14ac:dyDescent="0.2">
      <c r="B1931" s="11"/>
    </row>
    <row r="1932" spans="2:2" x14ac:dyDescent="0.2">
      <c r="B1932" s="11"/>
    </row>
    <row r="1933" spans="2:2" x14ac:dyDescent="0.2">
      <c r="B1933" s="11"/>
    </row>
    <row r="1934" spans="2:2" x14ac:dyDescent="0.2">
      <c r="B1934" s="11"/>
    </row>
    <row r="1935" spans="2:2" x14ac:dyDescent="0.2">
      <c r="B1935" s="11"/>
    </row>
    <row r="1936" spans="2:2" x14ac:dyDescent="0.2">
      <c r="B1936" s="11"/>
    </row>
    <row r="1937" spans="2:2" x14ac:dyDescent="0.2">
      <c r="B1937" s="11"/>
    </row>
    <row r="1938" spans="2:2" x14ac:dyDescent="0.2">
      <c r="B1938" s="11"/>
    </row>
    <row r="1939" spans="2:2" x14ac:dyDescent="0.2">
      <c r="B1939" s="11"/>
    </row>
    <row r="1940" spans="2:2" x14ac:dyDescent="0.2">
      <c r="B1940" s="11"/>
    </row>
    <row r="1941" spans="2:2" x14ac:dyDescent="0.2">
      <c r="B1941" s="11"/>
    </row>
    <row r="1942" spans="2:2" x14ac:dyDescent="0.2">
      <c r="B1942" s="11"/>
    </row>
    <row r="1943" spans="2:2" x14ac:dyDescent="0.2">
      <c r="B1943" s="11"/>
    </row>
    <row r="1944" spans="2:2" x14ac:dyDescent="0.2">
      <c r="B1944" s="11"/>
    </row>
    <row r="1945" spans="2:2" x14ac:dyDescent="0.2">
      <c r="B1945" s="11"/>
    </row>
    <row r="1946" spans="2:2" x14ac:dyDescent="0.2">
      <c r="B1946" s="11"/>
    </row>
    <row r="1947" spans="2:2" x14ac:dyDescent="0.2">
      <c r="B1947" s="11"/>
    </row>
    <row r="1948" spans="2:2" x14ac:dyDescent="0.2">
      <c r="B1948" s="11"/>
    </row>
    <row r="1949" spans="2:2" x14ac:dyDescent="0.2">
      <c r="B1949" s="11"/>
    </row>
    <row r="1950" spans="2:2" x14ac:dyDescent="0.2">
      <c r="B1950" s="11"/>
    </row>
    <row r="1951" spans="2:2" x14ac:dyDescent="0.2">
      <c r="B1951" s="11"/>
    </row>
    <row r="1952" spans="2:2" x14ac:dyDescent="0.2">
      <c r="B1952" s="11"/>
    </row>
    <row r="1953" spans="2:2" x14ac:dyDescent="0.2">
      <c r="B1953" s="11"/>
    </row>
    <row r="1954" spans="2:2" x14ac:dyDescent="0.2">
      <c r="B1954" s="11"/>
    </row>
    <row r="1955" spans="2:2" x14ac:dyDescent="0.2">
      <c r="B1955" s="11"/>
    </row>
    <row r="1956" spans="2:2" x14ac:dyDescent="0.2">
      <c r="B1956" s="11"/>
    </row>
    <row r="1957" spans="2:2" x14ac:dyDescent="0.2">
      <c r="B1957" s="11"/>
    </row>
    <row r="1958" spans="2:2" x14ac:dyDescent="0.2">
      <c r="B1958" s="11"/>
    </row>
    <row r="1959" spans="2:2" x14ac:dyDescent="0.2">
      <c r="B1959" s="11"/>
    </row>
    <row r="1960" spans="2:2" x14ac:dyDescent="0.2">
      <c r="B1960" s="11"/>
    </row>
    <row r="1961" spans="2:2" x14ac:dyDescent="0.2">
      <c r="B1961" s="11"/>
    </row>
    <row r="1962" spans="2:2" x14ac:dyDescent="0.2">
      <c r="B1962" s="11"/>
    </row>
    <row r="1963" spans="2:2" x14ac:dyDescent="0.2">
      <c r="B1963" s="11"/>
    </row>
    <row r="1964" spans="2:2" x14ac:dyDescent="0.2">
      <c r="B1964" s="11"/>
    </row>
    <row r="1965" spans="2:2" x14ac:dyDescent="0.2">
      <c r="B1965" s="11"/>
    </row>
    <row r="1966" spans="2:2" x14ac:dyDescent="0.2">
      <c r="B1966" s="11"/>
    </row>
    <row r="1967" spans="2:2" x14ac:dyDescent="0.2">
      <c r="B1967" s="11"/>
    </row>
    <row r="1968" spans="2:2" x14ac:dyDescent="0.2">
      <c r="B1968" s="11"/>
    </row>
    <row r="1969" spans="2:2" x14ac:dyDescent="0.2">
      <c r="B1969" s="11"/>
    </row>
    <row r="1970" spans="2:2" x14ac:dyDescent="0.2">
      <c r="B1970" s="11"/>
    </row>
    <row r="1971" spans="2:2" x14ac:dyDescent="0.2">
      <c r="B1971" s="11"/>
    </row>
    <row r="1972" spans="2:2" x14ac:dyDescent="0.2">
      <c r="B1972" s="11"/>
    </row>
    <row r="1973" spans="2:2" x14ac:dyDescent="0.2">
      <c r="B1973" s="11"/>
    </row>
    <row r="1974" spans="2:2" x14ac:dyDescent="0.2">
      <c r="B1974" s="11"/>
    </row>
    <row r="1975" spans="2:2" x14ac:dyDescent="0.2">
      <c r="B1975" s="11"/>
    </row>
    <row r="1976" spans="2:2" x14ac:dyDescent="0.2">
      <c r="B1976" s="11"/>
    </row>
    <row r="1977" spans="2:2" x14ac:dyDescent="0.2">
      <c r="B1977" s="11"/>
    </row>
    <row r="1978" spans="2:2" x14ac:dyDescent="0.2">
      <c r="B1978" s="11"/>
    </row>
    <row r="1979" spans="2:2" x14ac:dyDescent="0.2">
      <c r="B1979" s="11"/>
    </row>
    <row r="1980" spans="2:2" x14ac:dyDescent="0.2">
      <c r="B1980" s="11"/>
    </row>
    <row r="1981" spans="2:2" x14ac:dyDescent="0.2">
      <c r="B1981" s="11"/>
    </row>
    <row r="1982" spans="2:2" x14ac:dyDescent="0.2">
      <c r="B1982" s="11"/>
    </row>
    <row r="1983" spans="2:2" x14ac:dyDescent="0.2">
      <c r="B1983" s="11"/>
    </row>
    <row r="1984" spans="2:2" x14ac:dyDescent="0.2">
      <c r="B1984" s="11"/>
    </row>
    <row r="1985" spans="2:2" x14ac:dyDescent="0.2">
      <c r="B1985" s="11"/>
    </row>
    <row r="1986" spans="2:2" x14ac:dyDescent="0.2">
      <c r="B1986" s="11"/>
    </row>
    <row r="1987" spans="2:2" x14ac:dyDescent="0.2">
      <c r="B1987" s="11"/>
    </row>
    <row r="1988" spans="2:2" x14ac:dyDescent="0.2">
      <c r="B1988" s="11"/>
    </row>
    <row r="1989" spans="2:2" x14ac:dyDescent="0.2">
      <c r="B1989" s="11"/>
    </row>
    <row r="1990" spans="2:2" x14ac:dyDescent="0.2">
      <c r="B1990" s="11"/>
    </row>
    <row r="1991" spans="2:2" x14ac:dyDescent="0.2">
      <c r="B1991" s="11"/>
    </row>
    <row r="1992" spans="2:2" x14ac:dyDescent="0.2">
      <c r="B1992" s="11"/>
    </row>
    <row r="1993" spans="2:2" x14ac:dyDescent="0.2">
      <c r="B1993" s="11"/>
    </row>
    <row r="1994" spans="2:2" x14ac:dyDescent="0.2">
      <c r="B1994" s="11"/>
    </row>
    <row r="1995" spans="2:2" x14ac:dyDescent="0.2">
      <c r="B1995" s="11"/>
    </row>
    <row r="1996" spans="2:2" x14ac:dyDescent="0.2">
      <c r="B1996" s="11"/>
    </row>
    <row r="1997" spans="2:2" x14ac:dyDescent="0.2">
      <c r="B1997" s="11"/>
    </row>
    <row r="1998" spans="2:2" x14ac:dyDescent="0.2">
      <c r="B1998" s="11"/>
    </row>
    <row r="1999" spans="2:2" x14ac:dyDescent="0.2">
      <c r="B1999" s="11"/>
    </row>
    <row r="2000" spans="2:2" x14ac:dyDescent="0.2">
      <c r="B2000" s="11"/>
    </row>
    <row r="2001" spans="2:2" x14ac:dyDescent="0.2">
      <c r="B2001" s="11"/>
    </row>
    <row r="2002" spans="2:2" x14ac:dyDescent="0.2">
      <c r="B2002" s="11"/>
    </row>
    <row r="2003" spans="2:2" x14ac:dyDescent="0.2">
      <c r="B2003" s="11"/>
    </row>
    <row r="2004" spans="2:2" x14ac:dyDescent="0.2">
      <c r="B2004" s="11"/>
    </row>
    <row r="2005" spans="2:2" x14ac:dyDescent="0.2">
      <c r="B2005" s="11"/>
    </row>
    <row r="2006" spans="2:2" x14ac:dyDescent="0.2">
      <c r="B2006" s="11"/>
    </row>
    <row r="2007" spans="2:2" x14ac:dyDescent="0.2">
      <c r="B2007" s="11"/>
    </row>
    <row r="2008" spans="2:2" x14ac:dyDescent="0.2">
      <c r="B2008" s="11"/>
    </row>
    <row r="2009" spans="2:2" x14ac:dyDescent="0.2">
      <c r="B2009" s="11"/>
    </row>
    <row r="2010" spans="2:2" x14ac:dyDescent="0.2">
      <c r="B2010" s="11"/>
    </row>
    <row r="2011" spans="2:2" x14ac:dyDescent="0.2">
      <c r="B2011" s="11"/>
    </row>
    <row r="2012" spans="2:2" x14ac:dyDescent="0.2">
      <c r="B2012" s="11"/>
    </row>
    <row r="2013" spans="2:2" x14ac:dyDescent="0.2">
      <c r="B2013" s="11"/>
    </row>
    <row r="2014" spans="2:2" x14ac:dyDescent="0.2">
      <c r="B2014" s="11"/>
    </row>
    <row r="2015" spans="2:2" x14ac:dyDescent="0.2">
      <c r="B2015" s="11"/>
    </row>
    <row r="2016" spans="2:2" x14ac:dyDescent="0.2">
      <c r="B2016" s="11"/>
    </row>
    <row r="2017" spans="2:2" x14ac:dyDescent="0.2">
      <c r="B2017" s="11"/>
    </row>
    <row r="2018" spans="2:2" x14ac:dyDescent="0.2">
      <c r="B2018" s="11"/>
    </row>
    <row r="2019" spans="2:2" x14ac:dyDescent="0.2">
      <c r="B2019" s="11"/>
    </row>
    <row r="2020" spans="2:2" x14ac:dyDescent="0.2">
      <c r="B2020" s="11"/>
    </row>
    <row r="2021" spans="2:2" x14ac:dyDescent="0.2">
      <c r="B2021" s="11"/>
    </row>
    <row r="2022" spans="2:2" x14ac:dyDescent="0.2">
      <c r="B2022" s="11"/>
    </row>
    <row r="2023" spans="2:2" x14ac:dyDescent="0.2">
      <c r="B2023" s="11"/>
    </row>
    <row r="2024" spans="2:2" x14ac:dyDescent="0.2">
      <c r="B2024" s="11"/>
    </row>
    <row r="2025" spans="2:2" x14ac:dyDescent="0.2">
      <c r="B2025" s="11"/>
    </row>
    <row r="2026" spans="2:2" x14ac:dyDescent="0.2">
      <c r="B2026" s="11"/>
    </row>
    <row r="2027" spans="2:2" x14ac:dyDescent="0.2">
      <c r="B2027" s="11"/>
    </row>
    <row r="2028" spans="2:2" x14ac:dyDescent="0.2">
      <c r="B2028" s="11"/>
    </row>
    <row r="2029" spans="2:2" x14ac:dyDescent="0.2">
      <c r="B2029" s="11"/>
    </row>
    <row r="2030" spans="2:2" x14ac:dyDescent="0.2">
      <c r="B2030" s="11"/>
    </row>
    <row r="2031" spans="2:2" x14ac:dyDescent="0.2">
      <c r="B2031" s="11"/>
    </row>
    <row r="2032" spans="2:2" x14ac:dyDescent="0.2">
      <c r="B2032" s="11"/>
    </row>
    <row r="2033" spans="2:2" x14ac:dyDescent="0.2">
      <c r="B2033" s="11"/>
    </row>
    <row r="2034" spans="2:2" x14ac:dyDescent="0.2">
      <c r="B2034" s="11"/>
    </row>
    <row r="2035" spans="2:2" x14ac:dyDescent="0.2">
      <c r="B2035" s="11"/>
    </row>
    <row r="2036" spans="2:2" x14ac:dyDescent="0.2">
      <c r="B2036" s="11"/>
    </row>
    <row r="2037" spans="2:2" x14ac:dyDescent="0.2">
      <c r="B2037" s="11"/>
    </row>
    <row r="2038" spans="2:2" x14ac:dyDescent="0.2">
      <c r="B2038" s="11"/>
    </row>
    <row r="2039" spans="2:2" x14ac:dyDescent="0.2">
      <c r="B2039" s="11"/>
    </row>
    <row r="2040" spans="2:2" x14ac:dyDescent="0.2">
      <c r="B2040" s="11"/>
    </row>
    <row r="2041" spans="2:2" x14ac:dyDescent="0.2">
      <c r="B2041" s="11"/>
    </row>
    <row r="2042" spans="2:2" x14ac:dyDescent="0.2">
      <c r="B2042" s="11"/>
    </row>
    <row r="2043" spans="2:2" x14ac:dyDescent="0.2">
      <c r="B2043" s="11"/>
    </row>
    <row r="2044" spans="2:2" x14ac:dyDescent="0.2">
      <c r="B2044" s="11"/>
    </row>
    <row r="2045" spans="2:2" x14ac:dyDescent="0.2">
      <c r="B2045" s="11"/>
    </row>
    <row r="2046" spans="2:2" x14ac:dyDescent="0.2">
      <c r="B2046" s="11"/>
    </row>
    <row r="2047" spans="2:2" x14ac:dyDescent="0.2">
      <c r="B2047" s="11"/>
    </row>
    <row r="2048" spans="2:2" x14ac:dyDescent="0.2">
      <c r="B2048" s="11"/>
    </row>
    <row r="2049" spans="2:2" x14ac:dyDescent="0.2">
      <c r="B2049" s="11"/>
    </row>
    <row r="2050" spans="2:2" x14ac:dyDescent="0.2">
      <c r="B2050" s="11"/>
    </row>
    <row r="2051" spans="2:2" x14ac:dyDescent="0.2">
      <c r="B2051" s="11"/>
    </row>
    <row r="2052" spans="2:2" x14ac:dyDescent="0.2">
      <c r="B2052" s="11"/>
    </row>
    <row r="2053" spans="2:2" x14ac:dyDescent="0.2">
      <c r="B2053" s="11"/>
    </row>
    <row r="2054" spans="2:2" x14ac:dyDescent="0.2">
      <c r="B2054" s="11"/>
    </row>
    <row r="2055" spans="2:2" x14ac:dyDescent="0.2">
      <c r="B2055" s="11"/>
    </row>
    <row r="2056" spans="2:2" x14ac:dyDescent="0.2">
      <c r="B2056" s="11"/>
    </row>
    <row r="2057" spans="2:2" x14ac:dyDescent="0.2">
      <c r="B2057" s="11"/>
    </row>
    <row r="2058" spans="2:2" x14ac:dyDescent="0.2">
      <c r="B2058" s="11"/>
    </row>
    <row r="2059" spans="2:2" x14ac:dyDescent="0.2">
      <c r="B2059" s="11"/>
    </row>
    <row r="2060" spans="2:2" x14ac:dyDescent="0.2">
      <c r="B2060" s="11"/>
    </row>
    <row r="2061" spans="2:2" x14ac:dyDescent="0.2">
      <c r="B2061" s="11"/>
    </row>
    <row r="2062" spans="2:2" x14ac:dyDescent="0.2">
      <c r="B2062" s="11"/>
    </row>
    <row r="2063" spans="2:2" x14ac:dyDescent="0.2">
      <c r="B2063" s="11"/>
    </row>
    <row r="2064" spans="2:2" x14ac:dyDescent="0.2">
      <c r="B2064" s="11"/>
    </row>
    <row r="2065" spans="2:2" x14ac:dyDescent="0.2">
      <c r="B2065" s="11"/>
    </row>
    <row r="2066" spans="2:2" x14ac:dyDescent="0.2">
      <c r="B2066" s="11"/>
    </row>
    <row r="2067" spans="2:2" x14ac:dyDescent="0.2">
      <c r="B2067" s="11"/>
    </row>
    <row r="2068" spans="2:2" x14ac:dyDescent="0.2">
      <c r="B2068" s="11"/>
    </row>
    <row r="2069" spans="2:2" x14ac:dyDescent="0.2">
      <c r="B2069" s="11"/>
    </row>
    <row r="2070" spans="2:2" x14ac:dyDescent="0.2">
      <c r="B2070" s="11"/>
    </row>
    <row r="2071" spans="2:2" x14ac:dyDescent="0.2">
      <c r="B2071" s="11"/>
    </row>
    <row r="2072" spans="2:2" x14ac:dyDescent="0.2">
      <c r="B2072" s="11"/>
    </row>
    <row r="2073" spans="2:2" x14ac:dyDescent="0.2">
      <c r="B2073" s="11"/>
    </row>
    <row r="2074" spans="2:2" x14ac:dyDescent="0.2">
      <c r="B2074" s="11"/>
    </row>
    <row r="2075" spans="2:2" x14ac:dyDescent="0.2">
      <c r="B2075" s="11"/>
    </row>
    <row r="2076" spans="2:2" x14ac:dyDescent="0.2">
      <c r="B2076" s="11"/>
    </row>
    <row r="2077" spans="2:2" x14ac:dyDescent="0.2">
      <c r="B2077" s="11"/>
    </row>
    <row r="2078" spans="2:2" x14ac:dyDescent="0.2">
      <c r="B2078" s="11"/>
    </row>
    <row r="2079" spans="2:2" x14ac:dyDescent="0.2">
      <c r="B2079" s="11"/>
    </row>
    <row r="2080" spans="2:2" x14ac:dyDescent="0.2">
      <c r="B2080" s="11"/>
    </row>
    <row r="2081" spans="2:2" x14ac:dyDescent="0.2">
      <c r="B2081" s="11"/>
    </row>
    <row r="2082" spans="2:2" x14ac:dyDescent="0.2">
      <c r="B2082" s="11"/>
    </row>
    <row r="2083" spans="2:2" x14ac:dyDescent="0.2">
      <c r="B2083" s="11"/>
    </row>
    <row r="2084" spans="2:2" x14ac:dyDescent="0.2">
      <c r="B2084" s="11"/>
    </row>
    <row r="2085" spans="2:2" x14ac:dyDescent="0.2">
      <c r="B2085" s="11"/>
    </row>
    <row r="2086" spans="2:2" x14ac:dyDescent="0.2">
      <c r="B2086" s="11"/>
    </row>
    <row r="2087" spans="2:2" x14ac:dyDescent="0.2">
      <c r="B2087" s="11"/>
    </row>
    <row r="2088" spans="2:2" x14ac:dyDescent="0.2">
      <c r="B2088" s="11"/>
    </row>
    <row r="2089" spans="2:2" x14ac:dyDescent="0.2">
      <c r="B2089" s="11"/>
    </row>
    <row r="2090" spans="2:2" x14ac:dyDescent="0.2">
      <c r="B2090" s="11"/>
    </row>
    <row r="2091" spans="2:2" x14ac:dyDescent="0.2">
      <c r="B2091" s="11"/>
    </row>
    <row r="2092" spans="2:2" x14ac:dyDescent="0.2">
      <c r="B2092" s="11"/>
    </row>
    <row r="2093" spans="2:2" x14ac:dyDescent="0.2">
      <c r="B2093" s="11"/>
    </row>
    <row r="2094" spans="2:2" x14ac:dyDescent="0.2">
      <c r="B2094" s="11"/>
    </row>
    <row r="2095" spans="2:2" x14ac:dyDescent="0.2">
      <c r="B2095" s="11"/>
    </row>
    <row r="2096" spans="2:2" x14ac:dyDescent="0.2">
      <c r="B2096" s="11"/>
    </row>
    <row r="2097" spans="2:2" x14ac:dyDescent="0.2">
      <c r="B2097" s="11"/>
    </row>
    <row r="2098" spans="2:2" x14ac:dyDescent="0.2">
      <c r="B2098" s="11"/>
    </row>
    <row r="2099" spans="2:2" x14ac:dyDescent="0.2">
      <c r="B2099" s="11"/>
    </row>
    <row r="2100" spans="2:2" x14ac:dyDescent="0.2">
      <c r="B2100" s="11"/>
    </row>
    <row r="2101" spans="2:2" x14ac:dyDescent="0.2">
      <c r="B2101" s="11"/>
    </row>
    <row r="2102" spans="2:2" x14ac:dyDescent="0.2">
      <c r="B2102" s="11"/>
    </row>
    <row r="2103" spans="2:2" x14ac:dyDescent="0.2">
      <c r="B2103" s="11"/>
    </row>
    <row r="2104" spans="2:2" x14ac:dyDescent="0.2">
      <c r="B2104" s="11"/>
    </row>
    <row r="2105" spans="2:2" x14ac:dyDescent="0.2">
      <c r="B2105" s="11"/>
    </row>
    <row r="2106" spans="2:2" x14ac:dyDescent="0.2">
      <c r="B2106" s="11"/>
    </row>
    <row r="2107" spans="2:2" x14ac:dyDescent="0.2">
      <c r="B2107" s="11"/>
    </row>
    <row r="2108" spans="2:2" x14ac:dyDescent="0.2">
      <c r="B2108" s="11"/>
    </row>
    <row r="2109" spans="2:2" x14ac:dyDescent="0.2">
      <c r="B2109" s="11"/>
    </row>
    <row r="2110" spans="2:2" x14ac:dyDescent="0.2">
      <c r="B2110" s="11"/>
    </row>
    <row r="2111" spans="2:2" x14ac:dyDescent="0.2">
      <c r="B2111" s="11"/>
    </row>
    <row r="2112" spans="2:2" x14ac:dyDescent="0.2">
      <c r="B2112" s="11"/>
    </row>
    <row r="2113" spans="2:2" x14ac:dyDescent="0.2">
      <c r="B2113" s="11"/>
    </row>
    <row r="2114" spans="2:2" x14ac:dyDescent="0.2">
      <c r="B2114" s="11"/>
    </row>
    <row r="2115" spans="2:2" x14ac:dyDescent="0.2">
      <c r="B2115" s="11"/>
    </row>
    <row r="2116" spans="2:2" x14ac:dyDescent="0.2">
      <c r="B2116" s="11"/>
    </row>
    <row r="2117" spans="2:2" x14ac:dyDescent="0.2">
      <c r="B2117" s="11"/>
    </row>
    <row r="2118" spans="2:2" x14ac:dyDescent="0.2">
      <c r="B2118" s="11"/>
    </row>
    <row r="2119" spans="2:2" x14ac:dyDescent="0.2">
      <c r="B2119" s="11"/>
    </row>
    <row r="2120" spans="2:2" x14ac:dyDescent="0.2">
      <c r="B2120" s="11"/>
    </row>
    <row r="2121" spans="2:2" x14ac:dyDescent="0.2">
      <c r="B2121" s="11"/>
    </row>
    <row r="2122" spans="2:2" x14ac:dyDescent="0.2">
      <c r="B2122" s="11"/>
    </row>
    <row r="2123" spans="2:2" x14ac:dyDescent="0.2">
      <c r="B2123" s="11"/>
    </row>
    <row r="2124" spans="2:2" x14ac:dyDescent="0.2">
      <c r="B2124" s="11"/>
    </row>
    <row r="2125" spans="2:2" x14ac:dyDescent="0.2">
      <c r="B2125" s="11"/>
    </row>
    <row r="2126" spans="2:2" x14ac:dyDescent="0.2">
      <c r="B2126" s="11"/>
    </row>
    <row r="2127" spans="2:2" x14ac:dyDescent="0.2">
      <c r="B2127" s="11"/>
    </row>
    <row r="2128" spans="2:2" x14ac:dyDescent="0.2">
      <c r="B2128" s="11"/>
    </row>
    <row r="2129" spans="2:2" x14ac:dyDescent="0.2">
      <c r="B2129" s="11"/>
    </row>
    <row r="2130" spans="2:2" x14ac:dyDescent="0.2">
      <c r="B2130" s="11"/>
    </row>
    <row r="2131" spans="2:2" x14ac:dyDescent="0.2">
      <c r="B2131" s="11"/>
    </row>
    <row r="2132" spans="2:2" x14ac:dyDescent="0.2">
      <c r="B2132" s="11"/>
    </row>
    <row r="2133" spans="2:2" x14ac:dyDescent="0.2">
      <c r="B2133" s="11"/>
    </row>
    <row r="2134" spans="2:2" x14ac:dyDescent="0.2">
      <c r="B2134" s="11"/>
    </row>
    <row r="2135" spans="2:2" x14ac:dyDescent="0.2">
      <c r="B2135" s="11"/>
    </row>
    <row r="2136" spans="2:2" x14ac:dyDescent="0.2">
      <c r="B2136" s="11"/>
    </row>
    <row r="2137" spans="2:2" x14ac:dyDescent="0.2">
      <c r="B2137" s="11"/>
    </row>
    <row r="2138" spans="2:2" x14ac:dyDescent="0.2">
      <c r="B2138" s="11"/>
    </row>
    <row r="2139" spans="2:2" x14ac:dyDescent="0.2">
      <c r="B2139" s="11"/>
    </row>
    <row r="2140" spans="2:2" x14ac:dyDescent="0.2">
      <c r="B2140" s="11"/>
    </row>
    <row r="2141" spans="2:2" x14ac:dyDescent="0.2">
      <c r="B2141" s="11"/>
    </row>
    <row r="2142" spans="2:2" x14ac:dyDescent="0.2">
      <c r="B2142" s="11"/>
    </row>
    <row r="2143" spans="2:2" x14ac:dyDescent="0.2">
      <c r="B2143" s="11"/>
    </row>
    <row r="2144" spans="2:2" x14ac:dyDescent="0.2">
      <c r="B2144" s="11"/>
    </row>
    <row r="2145" spans="2:2" x14ac:dyDescent="0.2">
      <c r="B2145" s="11"/>
    </row>
    <row r="2146" spans="2:2" x14ac:dyDescent="0.2">
      <c r="B2146" s="11"/>
    </row>
    <row r="2147" spans="2:2" x14ac:dyDescent="0.2">
      <c r="B2147" s="11"/>
    </row>
    <row r="2148" spans="2:2" x14ac:dyDescent="0.2">
      <c r="B2148" s="11"/>
    </row>
    <row r="2149" spans="2:2" x14ac:dyDescent="0.2">
      <c r="B2149" s="11"/>
    </row>
    <row r="2150" spans="2:2" x14ac:dyDescent="0.2">
      <c r="B2150" s="11"/>
    </row>
    <row r="2151" spans="2:2" x14ac:dyDescent="0.2">
      <c r="B2151" s="11"/>
    </row>
    <row r="2152" spans="2:2" x14ac:dyDescent="0.2">
      <c r="B2152" s="11"/>
    </row>
    <row r="2153" spans="2:2" x14ac:dyDescent="0.2">
      <c r="B2153" s="11"/>
    </row>
    <row r="2154" spans="2:2" x14ac:dyDescent="0.2">
      <c r="B2154" s="11"/>
    </row>
    <row r="2155" spans="2:2" x14ac:dyDescent="0.2">
      <c r="B2155" s="11"/>
    </row>
    <row r="2156" spans="2:2" x14ac:dyDescent="0.2">
      <c r="B2156" s="11"/>
    </row>
    <row r="2157" spans="2:2" x14ac:dyDescent="0.2">
      <c r="B2157" s="11"/>
    </row>
    <row r="2158" spans="2:2" x14ac:dyDescent="0.2">
      <c r="B2158" s="11"/>
    </row>
    <row r="2159" spans="2:2" x14ac:dyDescent="0.2">
      <c r="B2159" s="11"/>
    </row>
    <row r="2160" spans="2:2" x14ac:dyDescent="0.2">
      <c r="B2160" s="11"/>
    </row>
    <row r="2161" spans="2:2" x14ac:dyDescent="0.2">
      <c r="B2161" s="11"/>
    </row>
    <row r="2162" spans="2:2" x14ac:dyDescent="0.2">
      <c r="B2162" s="11"/>
    </row>
    <row r="2163" spans="2:2" x14ac:dyDescent="0.2">
      <c r="B2163" s="11"/>
    </row>
    <row r="2164" spans="2:2" x14ac:dyDescent="0.2">
      <c r="B2164" s="11"/>
    </row>
    <row r="2165" spans="2:2" x14ac:dyDescent="0.2">
      <c r="B2165" s="11"/>
    </row>
    <row r="2166" spans="2:2" x14ac:dyDescent="0.2">
      <c r="B2166" s="11"/>
    </row>
    <row r="2167" spans="2:2" x14ac:dyDescent="0.2">
      <c r="B2167" s="11"/>
    </row>
    <row r="2168" spans="2:2" x14ac:dyDescent="0.2">
      <c r="B2168" s="11"/>
    </row>
    <row r="2169" spans="2:2" x14ac:dyDescent="0.2">
      <c r="B2169" s="11"/>
    </row>
    <row r="2170" spans="2:2" x14ac:dyDescent="0.2">
      <c r="B2170" s="11"/>
    </row>
    <row r="2171" spans="2:2" x14ac:dyDescent="0.2">
      <c r="B2171" s="11"/>
    </row>
    <row r="2172" spans="2:2" x14ac:dyDescent="0.2">
      <c r="B2172" s="11"/>
    </row>
    <row r="2173" spans="2:2" x14ac:dyDescent="0.2">
      <c r="B2173" s="11"/>
    </row>
    <row r="2174" spans="2:2" x14ac:dyDescent="0.2">
      <c r="B2174" s="11"/>
    </row>
    <row r="2175" spans="2:2" x14ac:dyDescent="0.2">
      <c r="B2175" s="11"/>
    </row>
    <row r="2176" spans="2:2" x14ac:dyDescent="0.2">
      <c r="B2176" s="11"/>
    </row>
    <row r="2177" spans="2:2" x14ac:dyDescent="0.2">
      <c r="B2177" s="11"/>
    </row>
    <row r="2178" spans="2:2" x14ac:dyDescent="0.2">
      <c r="B2178" s="11"/>
    </row>
    <row r="2179" spans="2:2" x14ac:dyDescent="0.2">
      <c r="B2179" s="11"/>
    </row>
    <row r="2180" spans="2:2" x14ac:dyDescent="0.2">
      <c r="B2180" s="11"/>
    </row>
    <row r="2181" spans="2:2" x14ac:dyDescent="0.2">
      <c r="B2181" s="11"/>
    </row>
    <row r="2182" spans="2:2" x14ac:dyDescent="0.2">
      <c r="B2182" s="11"/>
    </row>
    <row r="2183" spans="2:2" x14ac:dyDescent="0.2">
      <c r="B2183" s="11"/>
    </row>
    <row r="2184" spans="2:2" x14ac:dyDescent="0.2">
      <c r="B2184" s="11"/>
    </row>
    <row r="2185" spans="2:2" x14ac:dyDescent="0.2">
      <c r="B2185" s="11"/>
    </row>
    <row r="2186" spans="2:2" x14ac:dyDescent="0.2">
      <c r="B2186" s="11"/>
    </row>
    <row r="2187" spans="2:2" x14ac:dyDescent="0.2">
      <c r="B2187" s="11"/>
    </row>
    <row r="2188" spans="2:2" x14ac:dyDescent="0.2">
      <c r="B2188" s="11"/>
    </row>
    <row r="2189" spans="2:2" x14ac:dyDescent="0.2">
      <c r="B2189" s="11"/>
    </row>
    <row r="2190" spans="2:2" x14ac:dyDescent="0.2">
      <c r="B2190" s="11"/>
    </row>
    <row r="2191" spans="2:2" x14ac:dyDescent="0.2">
      <c r="B2191" s="11"/>
    </row>
    <row r="2192" spans="2:2" x14ac:dyDescent="0.2">
      <c r="B2192" s="11"/>
    </row>
    <row r="2193" spans="2:2" x14ac:dyDescent="0.2">
      <c r="B2193" s="11"/>
    </row>
    <row r="2194" spans="2:2" x14ac:dyDescent="0.2">
      <c r="B2194" s="11"/>
    </row>
    <row r="2195" spans="2:2" x14ac:dyDescent="0.2">
      <c r="B2195" s="11"/>
    </row>
    <row r="2196" spans="2:2" x14ac:dyDescent="0.2">
      <c r="B2196" s="11"/>
    </row>
    <row r="2197" spans="2:2" x14ac:dyDescent="0.2">
      <c r="B2197" s="11"/>
    </row>
    <row r="2198" spans="2:2" x14ac:dyDescent="0.2">
      <c r="B2198" s="11"/>
    </row>
    <row r="2199" spans="2:2" x14ac:dyDescent="0.2">
      <c r="B2199" s="11"/>
    </row>
    <row r="2200" spans="2:2" x14ac:dyDescent="0.2">
      <c r="B2200" s="11"/>
    </row>
    <row r="2201" spans="2:2" x14ac:dyDescent="0.2">
      <c r="B2201" s="11"/>
    </row>
    <row r="2202" spans="2:2" x14ac:dyDescent="0.2">
      <c r="B2202" s="11"/>
    </row>
    <row r="2203" spans="2:2" x14ac:dyDescent="0.2">
      <c r="B2203" s="11"/>
    </row>
    <row r="2204" spans="2:2" x14ac:dyDescent="0.2">
      <c r="B2204" s="11"/>
    </row>
    <row r="2205" spans="2:2" x14ac:dyDescent="0.2">
      <c r="B2205" s="11"/>
    </row>
    <row r="2206" spans="2:2" x14ac:dyDescent="0.2">
      <c r="B2206" s="11"/>
    </row>
    <row r="2207" spans="2:2" x14ac:dyDescent="0.2">
      <c r="B2207" s="11"/>
    </row>
    <row r="2208" spans="2:2" x14ac:dyDescent="0.2">
      <c r="B2208" s="11"/>
    </row>
    <row r="2209" spans="2:2" x14ac:dyDescent="0.2">
      <c r="B2209" s="11"/>
    </row>
    <row r="2210" spans="2:2" x14ac:dyDescent="0.2">
      <c r="B2210" s="11"/>
    </row>
    <row r="2211" spans="2:2" x14ac:dyDescent="0.2">
      <c r="B2211" s="11"/>
    </row>
    <row r="2212" spans="2:2" x14ac:dyDescent="0.2">
      <c r="B2212" s="11"/>
    </row>
    <row r="2213" spans="2:2" x14ac:dyDescent="0.2">
      <c r="B2213" s="11"/>
    </row>
    <row r="2214" spans="2:2" x14ac:dyDescent="0.2">
      <c r="B2214" s="11"/>
    </row>
    <row r="2215" spans="2:2" x14ac:dyDescent="0.2">
      <c r="B2215" s="11"/>
    </row>
    <row r="2216" spans="2:2" x14ac:dyDescent="0.2">
      <c r="B2216" s="11"/>
    </row>
    <row r="2217" spans="2:2" x14ac:dyDescent="0.2">
      <c r="B2217" s="11"/>
    </row>
    <row r="2218" spans="2:2" x14ac:dyDescent="0.2">
      <c r="B2218" s="11"/>
    </row>
    <row r="2219" spans="2:2" x14ac:dyDescent="0.2">
      <c r="B2219" s="11"/>
    </row>
    <row r="2220" spans="2:2" x14ac:dyDescent="0.2">
      <c r="B2220" s="11"/>
    </row>
    <row r="2221" spans="2:2" x14ac:dyDescent="0.2">
      <c r="B2221" s="11"/>
    </row>
    <row r="2222" spans="2:2" x14ac:dyDescent="0.2">
      <c r="B2222" s="11"/>
    </row>
    <row r="2223" spans="2:2" x14ac:dyDescent="0.2">
      <c r="B2223" s="11"/>
    </row>
    <row r="2224" spans="2:2" x14ac:dyDescent="0.2">
      <c r="B2224" s="11"/>
    </row>
    <row r="2225" spans="2:2" x14ac:dyDescent="0.2">
      <c r="B2225" s="11"/>
    </row>
    <row r="2226" spans="2:2" x14ac:dyDescent="0.2">
      <c r="B2226" s="11"/>
    </row>
    <row r="2227" spans="2:2" x14ac:dyDescent="0.2">
      <c r="B2227" s="11"/>
    </row>
    <row r="2228" spans="2:2" x14ac:dyDescent="0.2">
      <c r="B2228" s="11"/>
    </row>
    <row r="2229" spans="2:2" x14ac:dyDescent="0.2">
      <c r="B2229" s="11"/>
    </row>
    <row r="2230" spans="2:2" x14ac:dyDescent="0.2">
      <c r="B2230" s="11"/>
    </row>
    <row r="2231" spans="2:2" x14ac:dyDescent="0.2">
      <c r="B2231" s="11"/>
    </row>
    <row r="2232" spans="2:2" x14ac:dyDescent="0.2">
      <c r="B2232" s="11"/>
    </row>
    <row r="2233" spans="2:2" x14ac:dyDescent="0.2">
      <c r="B2233" s="11"/>
    </row>
    <row r="2234" spans="2:2" x14ac:dyDescent="0.2">
      <c r="B2234" s="11"/>
    </row>
    <row r="2235" spans="2:2" x14ac:dyDescent="0.2">
      <c r="B2235" s="11"/>
    </row>
    <row r="2236" spans="2:2" x14ac:dyDescent="0.2">
      <c r="B2236" s="11"/>
    </row>
    <row r="2237" spans="2:2" x14ac:dyDescent="0.2">
      <c r="B2237" s="11"/>
    </row>
    <row r="2238" spans="2:2" x14ac:dyDescent="0.2">
      <c r="B2238" s="11"/>
    </row>
    <row r="2239" spans="2:2" x14ac:dyDescent="0.2">
      <c r="B2239" s="11"/>
    </row>
    <row r="2240" spans="2:2" x14ac:dyDescent="0.2">
      <c r="B2240" s="11"/>
    </row>
    <row r="2241" spans="2:2" x14ac:dyDescent="0.2">
      <c r="B2241" s="11"/>
    </row>
    <row r="2242" spans="2:2" x14ac:dyDescent="0.2">
      <c r="B2242" s="11"/>
    </row>
    <row r="2243" spans="2:2" x14ac:dyDescent="0.2">
      <c r="B2243" s="11"/>
    </row>
    <row r="2244" spans="2:2" x14ac:dyDescent="0.2">
      <c r="B2244" s="11"/>
    </row>
    <row r="2245" spans="2:2" x14ac:dyDescent="0.2">
      <c r="B2245" s="11"/>
    </row>
    <row r="2246" spans="2:2" x14ac:dyDescent="0.2">
      <c r="B2246" s="11"/>
    </row>
    <row r="2247" spans="2:2" x14ac:dyDescent="0.2">
      <c r="B2247" s="11"/>
    </row>
    <row r="2248" spans="2:2" x14ac:dyDescent="0.2">
      <c r="B2248" s="11"/>
    </row>
    <row r="2249" spans="2:2" x14ac:dyDescent="0.2">
      <c r="B2249" s="11"/>
    </row>
    <row r="2250" spans="2:2" x14ac:dyDescent="0.2">
      <c r="B2250" s="11"/>
    </row>
    <row r="2251" spans="2:2" x14ac:dyDescent="0.2">
      <c r="B2251" s="11"/>
    </row>
    <row r="2252" spans="2:2" x14ac:dyDescent="0.2">
      <c r="B2252" s="11"/>
    </row>
    <row r="2253" spans="2:2" x14ac:dyDescent="0.2">
      <c r="B2253" s="11"/>
    </row>
    <row r="2254" spans="2:2" x14ac:dyDescent="0.2">
      <c r="B2254" s="11"/>
    </row>
    <row r="2255" spans="2:2" x14ac:dyDescent="0.2">
      <c r="B2255" s="11"/>
    </row>
    <row r="2256" spans="2:2" x14ac:dyDescent="0.2">
      <c r="B2256" s="11"/>
    </row>
    <row r="2257" spans="2:2" x14ac:dyDescent="0.2">
      <c r="B2257" s="11"/>
    </row>
    <row r="2258" spans="2:2" x14ac:dyDescent="0.2">
      <c r="B2258" s="11"/>
    </row>
    <row r="2259" spans="2:2" x14ac:dyDescent="0.2">
      <c r="B2259" s="11"/>
    </row>
    <row r="2260" spans="2:2" x14ac:dyDescent="0.2">
      <c r="B2260" s="11"/>
    </row>
    <row r="2261" spans="2:2" x14ac:dyDescent="0.2">
      <c r="B2261" s="11"/>
    </row>
    <row r="2262" spans="2:2" x14ac:dyDescent="0.2">
      <c r="B2262" s="11"/>
    </row>
    <row r="2263" spans="2:2" x14ac:dyDescent="0.2">
      <c r="B2263" s="11"/>
    </row>
    <row r="2264" spans="2:2" x14ac:dyDescent="0.2">
      <c r="B2264" s="11"/>
    </row>
    <row r="2265" spans="2:2" x14ac:dyDescent="0.2">
      <c r="B2265" s="11"/>
    </row>
    <row r="2266" spans="2:2" x14ac:dyDescent="0.2">
      <c r="B2266" s="11"/>
    </row>
    <row r="2267" spans="2:2" x14ac:dyDescent="0.2">
      <c r="B2267" s="11"/>
    </row>
    <row r="2268" spans="2:2" x14ac:dyDescent="0.2">
      <c r="B2268" s="11"/>
    </row>
    <row r="2269" spans="2:2" x14ac:dyDescent="0.2">
      <c r="B2269" s="11"/>
    </row>
    <row r="2270" spans="2:2" x14ac:dyDescent="0.2">
      <c r="B2270" s="11"/>
    </row>
    <row r="2271" spans="2:2" x14ac:dyDescent="0.2">
      <c r="B2271" s="11"/>
    </row>
    <row r="2272" spans="2:2" x14ac:dyDescent="0.2">
      <c r="B2272" s="11"/>
    </row>
    <row r="2273" spans="2:2" x14ac:dyDescent="0.2">
      <c r="B2273" s="11"/>
    </row>
    <row r="2274" spans="2:2" x14ac:dyDescent="0.2">
      <c r="B2274" s="11"/>
    </row>
    <row r="2275" spans="2:2" x14ac:dyDescent="0.2">
      <c r="B2275" s="11"/>
    </row>
    <row r="2276" spans="2:2" x14ac:dyDescent="0.2">
      <c r="B2276" s="11"/>
    </row>
    <row r="2277" spans="2:2" x14ac:dyDescent="0.2">
      <c r="B2277" s="11"/>
    </row>
    <row r="2278" spans="2:2" x14ac:dyDescent="0.2">
      <c r="B2278" s="11"/>
    </row>
    <row r="2279" spans="2:2" x14ac:dyDescent="0.2">
      <c r="B2279" s="11"/>
    </row>
    <row r="2280" spans="2:2" x14ac:dyDescent="0.2">
      <c r="B2280" s="11"/>
    </row>
    <row r="2281" spans="2:2" x14ac:dyDescent="0.2">
      <c r="B2281" s="11"/>
    </row>
    <row r="2282" spans="2:2" x14ac:dyDescent="0.2">
      <c r="B2282" s="11"/>
    </row>
    <row r="2283" spans="2:2" x14ac:dyDescent="0.2">
      <c r="B2283" s="11"/>
    </row>
    <row r="2284" spans="2:2" x14ac:dyDescent="0.2">
      <c r="B2284" s="11"/>
    </row>
    <row r="2285" spans="2:2" x14ac:dyDescent="0.2">
      <c r="B2285" s="11"/>
    </row>
    <row r="2286" spans="2:2" x14ac:dyDescent="0.2">
      <c r="B2286" s="11"/>
    </row>
    <row r="2287" spans="2:2" x14ac:dyDescent="0.2">
      <c r="B2287" s="11"/>
    </row>
    <row r="2288" spans="2:2" x14ac:dyDescent="0.2">
      <c r="B2288" s="11"/>
    </row>
    <row r="2289" spans="2:2" x14ac:dyDescent="0.2">
      <c r="B2289" s="11"/>
    </row>
    <row r="2290" spans="2:2" x14ac:dyDescent="0.2">
      <c r="B2290" s="11"/>
    </row>
    <row r="2291" spans="2:2" x14ac:dyDescent="0.2">
      <c r="B2291" s="11"/>
    </row>
    <row r="2292" spans="2:2" x14ac:dyDescent="0.2">
      <c r="B2292" s="11"/>
    </row>
    <row r="2293" spans="2:2" x14ac:dyDescent="0.2">
      <c r="B2293" s="11"/>
    </row>
    <row r="2294" spans="2:2" x14ac:dyDescent="0.2">
      <c r="B2294" s="11"/>
    </row>
    <row r="2295" spans="2:2" x14ac:dyDescent="0.2">
      <c r="B2295" s="11"/>
    </row>
    <row r="2296" spans="2:2" x14ac:dyDescent="0.2">
      <c r="B2296" s="11"/>
    </row>
    <row r="2297" spans="2:2" x14ac:dyDescent="0.2">
      <c r="B2297" s="11"/>
    </row>
    <row r="2298" spans="2:2" x14ac:dyDescent="0.2">
      <c r="B2298" s="11"/>
    </row>
    <row r="2299" spans="2:2" x14ac:dyDescent="0.2">
      <c r="B2299" s="11"/>
    </row>
    <row r="2300" spans="2:2" x14ac:dyDescent="0.2">
      <c r="B2300" s="11"/>
    </row>
    <row r="2301" spans="2:2" x14ac:dyDescent="0.2">
      <c r="B2301" s="11"/>
    </row>
    <row r="2302" spans="2:2" x14ac:dyDescent="0.2">
      <c r="B2302" s="11"/>
    </row>
    <row r="2303" spans="2:2" x14ac:dyDescent="0.2">
      <c r="B2303" s="11"/>
    </row>
    <row r="2304" spans="2:2" x14ac:dyDescent="0.2">
      <c r="B2304" s="11"/>
    </row>
    <row r="2305" spans="2:2" x14ac:dyDescent="0.2">
      <c r="B2305" s="11"/>
    </row>
    <row r="2306" spans="2:2" x14ac:dyDescent="0.2">
      <c r="B2306" s="11"/>
    </row>
    <row r="2307" spans="2:2" x14ac:dyDescent="0.2">
      <c r="B2307" s="11"/>
    </row>
    <row r="2308" spans="2:2" x14ac:dyDescent="0.2">
      <c r="B2308" s="11"/>
    </row>
    <row r="2309" spans="2:2" x14ac:dyDescent="0.2">
      <c r="B2309" s="11"/>
    </row>
    <row r="2310" spans="2:2" x14ac:dyDescent="0.2">
      <c r="B2310" s="11"/>
    </row>
    <row r="2311" spans="2:2" x14ac:dyDescent="0.2">
      <c r="B2311" s="11"/>
    </row>
    <row r="2312" spans="2:2" x14ac:dyDescent="0.2">
      <c r="B2312" s="11"/>
    </row>
    <row r="2313" spans="2:2" x14ac:dyDescent="0.2">
      <c r="B2313" s="11"/>
    </row>
    <row r="2314" spans="2:2" x14ac:dyDescent="0.2">
      <c r="B2314" s="11"/>
    </row>
    <row r="2315" spans="2:2" x14ac:dyDescent="0.2">
      <c r="B2315" s="11"/>
    </row>
    <row r="2316" spans="2:2" x14ac:dyDescent="0.2">
      <c r="B2316" s="11"/>
    </row>
    <row r="2317" spans="2:2" x14ac:dyDescent="0.2">
      <c r="B2317" s="11"/>
    </row>
    <row r="2318" spans="2:2" x14ac:dyDescent="0.2">
      <c r="B2318" s="11"/>
    </row>
    <row r="2319" spans="2:2" x14ac:dyDescent="0.2">
      <c r="B2319" s="11"/>
    </row>
    <row r="2320" spans="2:2" x14ac:dyDescent="0.2">
      <c r="B2320" s="11"/>
    </row>
    <row r="2321" spans="2:2" x14ac:dyDescent="0.2">
      <c r="B2321" s="11"/>
    </row>
    <row r="2322" spans="2:2" x14ac:dyDescent="0.2">
      <c r="B2322" s="11"/>
    </row>
    <row r="2323" spans="2:2" x14ac:dyDescent="0.2">
      <c r="B2323" s="11"/>
    </row>
    <row r="2324" spans="2:2" x14ac:dyDescent="0.2">
      <c r="B2324" s="11"/>
    </row>
    <row r="2325" spans="2:2" x14ac:dyDescent="0.2">
      <c r="B2325" s="11"/>
    </row>
    <row r="2326" spans="2:2" x14ac:dyDescent="0.2">
      <c r="B2326" s="11"/>
    </row>
    <row r="2327" spans="2:2" x14ac:dyDescent="0.2">
      <c r="B2327" s="11"/>
    </row>
    <row r="2328" spans="2:2" x14ac:dyDescent="0.2">
      <c r="B2328" s="11"/>
    </row>
    <row r="2329" spans="2:2" x14ac:dyDescent="0.2">
      <c r="B2329" s="11"/>
    </row>
    <row r="2330" spans="2:2" x14ac:dyDescent="0.2">
      <c r="B2330" s="11"/>
    </row>
    <row r="2331" spans="2:2" x14ac:dyDescent="0.2">
      <c r="B2331" s="11"/>
    </row>
    <row r="2332" spans="2:2" x14ac:dyDescent="0.2">
      <c r="B2332" s="11"/>
    </row>
    <row r="2333" spans="2:2" x14ac:dyDescent="0.2">
      <c r="B2333" s="11"/>
    </row>
    <row r="2334" spans="2:2" x14ac:dyDescent="0.2">
      <c r="B2334" s="11"/>
    </row>
    <row r="2335" spans="2:2" x14ac:dyDescent="0.2">
      <c r="B2335" s="11"/>
    </row>
    <row r="2336" spans="2:2" x14ac:dyDescent="0.2">
      <c r="B2336" s="11"/>
    </row>
    <row r="2337" spans="2:2" x14ac:dyDescent="0.2">
      <c r="B2337" s="11"/>
    </row>
    <row r="2338" spans="2:2" x14ac:dyDescent="0.2">
      <c r="B2338" s="11"/>
    </row>
    <row r="2339" spans="2:2" x14ac:dyDescent="0.2">
      <c r="B2339" s="11"/>
    </row>
    <row r="2340" spans="2:2" x14ac:dyDescent="0.2">
      <c r="B2340" s="11"/>
    </row>
    <row r="2341" spans="2:2" x14ac:dyDescent="0.2">
      <c r="B2341" s="11"/>
    </row>
    <row r="2342" spans="2:2" x14ac:dyDescent="0.2">
      <c r="B2342" s="11"/>
    </row>
    <row r="2343" spans="2:2" x14ac:dyDescent="0.2">
      <c r="B2343" s="11"/>
    </row>
    <row r="2344" spans="2:2" x14ac:dyDescent="0.2">
      <c r="B2344" s="11"/>
    </row>
    <row r="2345" spans="2:2" x14ac:dyDescent="0.2">
      <c r="B2345" s="11"/>
    </row>
    <row r="2346" spans="2:2" x14ac:dyDescent="0.2">
      <c r="B2346" s="11"/>
    </row>
    <row r="2347" spans="2:2" x14ac:dyDescent="0.2">
      <c r="B2347" s="11"/>
    </row>
    <row r="2348" spans="2:2" x14ac:dyDescent="0.2">
      <c r="B2348" s="11"/>
    </row>
    <row r="2349" spans="2:2" x14ac:dyDescent="0.2">
      <c r="B2349" s="11"/>
    </row>
    <row r="2350" spans="2:2" x14ac:dyDescent="0.2">
      <c r="B2350" s="11"/>
    </row>
    <row r="2351" spans="2:2" x14ac:dyDescent="0.2">
      <c r="B2351" s="11"/>
    </row>
    <row r="2352" spans="2:2" x14ac:dyDescent="0.2">
      <c r="B2352" s="11"/>
    </row>
    <row r="2353" spans="2:2" x14ac:dyDescent="0.2">
      <c r="B2353" s="11"/>
    </row>
    <row r="2354" spans="2:2" x14ac:dyDescent="0.2">
      <c r="B2354" s="11"/>
    </row>
    <row r="2355" spans="2:2" x14ac:dyDescent="0.2">
      <c r="B2355" s="11"/>
    </row>
    <row r="2356" spans="2:2" x14ac:dyDescent="0.2">
      <c r="B2356" s="11"/>
    </row>
    <row r="2357" spans="2:2" x14ac:dyDescent="0.2">
      <c r="B2357" s="11"/>
    </row>
    <row r="2358" spans="2:2" x14ac:dyDescent="0.2">
      <c r="B2358" s="11"/>
    </row>
    <row r="2359" spans="2:2" x14ac:dyDescent="0.2">
      <c r="B2359" s="11"/>
    </row>
    <row r="2360" spans="2:2" x14ac:dyDescent="0.2">
      <c r="B2360" s="11"/>
    </row>
    <row r="2361" spans="2:2" x14ac:dyDescent="0.2">
      <c r="B2361" s="11"/>
    </row>
    <row r="2362" spans="2:2" x14ac:dyDescent="0.2">
      <c r="B2362" s="11"/>
    </row>
    <row r="2363" spans="2:2" x14ac:dyDescent="0.2">
      <c r="B2363" s="11"/>
    </row>
    <row r="2364" spans="2:2" x14ac:dyDescent="0.2">
      <c r="B2364" s="11"/>
    </row>
    <row r="2365" spans="2:2" x14ac:dyDescent="0.2">
      <c r="B2365" s="11"/>
    </row>
    <row r="2366" spans="2:2" x14ac:dyDescent="0.2">
      <c r="B2366" s="11"/>
    </row>
    <row r="2367" spans="2:2" x14ac:dyDescent="0.2">
      <c r="B2367" s="11"/>
    </row>
    <row r="2368" spans="2:2" x14ac:dyDescent="0.2">
      <c r="B2368" s="11"/>
    </row>
    <row r="2369" spans="2:2" x14ac:dyDescent="0.2">
      <c r="B2369" s="11"/>
    </row>
    <row r="2370" spans="2:2" x14ac:dyDescent="0.2">
      <c r="B2370" s="11"/>
    </row>
    <row r="2371" spans="2:2" x14ac:dyDescent="0.2">
      <c r="B2371" s="11"/>
    </row>
    <row r="2372" spans="2:2" x14ac:dyDescent="0.2">
      <c r="B2372" s="11"/>
    </row>
    <row r="2373" spans="2:2" x14ac:dyDescent="0.2">
      <c r="B2373" s="11"/>
    </row>
    <row r="2374" spans="2:2" x14ac:dyDescent="0.2">
      <c r="B2374" s="11"/>
    </row>
    <row r="2375" spans="2:2" x14ac:dyDescent="0.2">
      <c r="B2375" s="11"/>
    </row>
    <row r="2376" spans="2:2" x14ac:dyDescent="0.2">
      <c r="B2376" s="11"/>
    </row>
    <row r="2377" spans="2:2" x14ac:dyDescent="0.2">
      <c r="B2377" s="11"/>
    </row>
    <row r="2378" spans="2:2" x14ac:dyDescent="0.2">
      <c r="B2378" s="11"/>
    </row>
    <row r="2379" spans="2:2" x14ac:dyDescent="0.2">
      <c r="B2379" s="11"/>
    </row>
    <row r="2380" spans="2:2" x14ac:dyDescent="0.2">
      <c r="B2380" s="11"/>
    </row>
    <row r="2381" spans="2:2" x14ac:dyDescent="0.2">
      <c r="B2381" s="11"/>
    </row>
    <row r="2382" spans="2:2" x14ac:dyDescent="0.2">
      <c r="B2382" s="11"/>
    </row>
    <row r="2383" spans="2:2" x14ac:dyDescent="0.2">
      <c r="B2383" s="11"/>
    </row>
    <row r="2384" spans="2:2" x14ac:dyDescent="0.2">
      <c r="B2384" s="11"/>
    </row>
    <row r="2385" spans="2:2" x14ac:dyDescent="0.2">
      <c r="B2385" s="11"/>
    </row>
    <row r="2386" spans="2:2" x14ac:dyDescent="0.2">
      <c r="B2386" s="11"/>
    </row>
    <row r="2387" spans="2:2" x14ac:dyDescent="0.2">
      <c r="B2387" s="11"/>
    </row>
    <row r="2388" spans="2:2" x14ac:dyDescent="0.2">
      <c r="B2388" s="11"/>
    </row>
    <row r="2389" spans="2:2" x14ac:dyDescent="0.2">
      <c r="B2389" s="11"/>
    </row>
    <row r="2390" spans="2:2" x14ac:dyDescent="0.2">
      <c r="B2390" s="11"/>
    </row>
    <row r="2391" spans="2:2" x14ac:dyDescent="0.2">
      <c r="B2391" s="11"/>
    </row>
    <row r="2392" spans="2:2" x14ac:dyDescent="0.2">
      <c r="B2392" s="11"/>
    </row>
    <row r="2393" spans="2:2" x14ac:dyDescent="0.2">
      <c r="B2393" s="11"/>
    </row>
    <row r="2394" spans="2:2" x14ac:dyDescent="0.2">
      <c r="B2394" s="11"/>
    </row>
    <row r="2395" spans="2:2" x14ac:dyDescent="0.2">
      <c r="B2395" s="11"/>
    </row>
    <row r="2396" spans="2:2" x14ac:dyDescent="0.2">
      <c r="B2396" s="11"/>
    </row>
    <row r="2397" spans="2:2" x14ac:dyDescent="0.2">
      <c r="B2397" s="11"/>
    </row>
    <row r="2398" spans="2:2" x14ac:dyDescent="0.2">
      <c r="B2398" s="11"/>
    </row>
    <row r="2399" spans="2:2" x14ac:dyDescent="0.2">
      <c r="B2399" s="11"/>
    </row>
    <row r="2400" spans="2:2" x14ac:dyDescent="0.2">
      <c r="B2400" s="11"/>
    </row>
    <row r="2401" spans="2:2" x14ac:dyDescent="0.2">
      <c r="B2401" s="11"/>
    </row>
    <row r="2402" spans="2:2" x14ac:dyDescent="0.2">
      <c r="B2402" s="11"/>
    </row>
    <row r="2403" spans="2:2" x14ac:dyDescent="0.2">
      <c r="B2403" s="11"/>
    </row>
    <row r="2404" spans="2:2" x14ac:dyDescent="0.2">
      <c r="B2404" s="11"/>
    </row>
    <row r="2405" spans="2:2" x14ac:dyDescent="0.2">
      <c r="B2405" s="11"/>
    </row>
    <row r="2406" spans="2:2" x14ac:dyDescent="0.2">
      <c r="B2406" s="11"/>
    </row>
    <row r="2407" spans="2:2" x14ac:dyDescent="0.2">
      <c r="B2407" s="11"/>
    </row>
    <row r="2408" spans="2:2" x14ac:dyDescent="0.2">
      <c r="B2408" s="11"/>
    </row>
    <row r="2409" spans="2:2" x14ac:dyDescent="0.2">
      <c r="B2409" s="11"/>
    </row>
    <row r="2410" spans="2:2" x14ac:dyDescent="0.2">
      <c r="B2410" s="11"/>
    </row>
    <row r="2411" spans="2:2" x14ac:dyDescent="0.2">
      <c r="B2411" s="11"/>
    </row>
    <row r="2412" spans="2:2" x14ac:dyDescent="0.2">
      <c r="B2412" s="11"/>
    </row>
    <row r="2413" spans="2:2" x14ac:dyDescent="0.2">
      <c r="B2413" s="11"/>
    </row>
    <row r="2414" spans="2:2" x14ac:dyDescent="0.2">
      <c r="B2414" s="11"/>
    </row>
    <row r="2415" spans="2:2" x14ac:dyDescent="0.2">
      <c r="B2415" s="11"/>
    </row>
    <row r="2416" spans="2:2" x14ac:dyDescent="0.2">
      <c r="B2416" s="11"/>
    </row>
    <row r="2417" spans="2:2" x14ac:dyDescent="0.2">
      <c r="B2417" s="11"/>
    </row>
    <row r="2418" spans="2:2" x14ac:dyDescent="0.2">
      <c r="B2418" s="11"/>
    </row>
    <row r="2419" spans="2:2" x14ac:dyDescent="0.2">
      <c r="B2419" s="11"/>
    </row>
    <row r="2420" spans="2:2" x14ac:dyDescent="0.2">
      <c r="B2420" s="11"/>
    </row>
    <row r="2421" spans="2:2" x14ac:dyDescent="0.2">
      <c r="B2421" s="11"/>
    </row>
    <row r="2422" spans="2:2" x14ac:dyDescent="0.2">
      <c r="B2422" s="11"/>
    </row>
    <row r="2423" spans="2:2" x14ac:dyDescent="0.2">
      <c r="B2423" s="11"/>
    </row>
    <row r="2424" spans="2:2" x14ac:dyDescent="0.2">
      <c r="B2424" s="11"/>
    </row>
    <row r="2425" spans="2:2" x14ac:dyDescent="0.2">
      <c r="B2425" s="11"/>
    </row>
    <row r="2426" spans="2:2" x14ac:dyDescent="0.2">
      <c r="B2426" s="11"/>
    </row>
    <row r="2427" spans="2:2" x14ac:dyDescent="0.2">
      <c r="B2427" s="11"/>
    </row>
    <row r="2428" spans="2:2" x14ac:dyDescent="0.2">
      <c r="B2428" s="11"/>
    </row>
    <row r="2429" spans="2:2" x14ac:dyDescent="0.2">
      <c r="B2429" s="11"/>
    </row>
    <row r="2430" spans="2:2" x14ac:dyDescent="0.2">
      <c r="B2430" s="11"/>
    </row>
    <row r="2431" spans="2:2" x14ac:dyDescent="0.2">
      <c r="B2431" s="11"/>
    </row>
    <row r="2432" spans="2:2" x14ac:dyDescent="0.2">
      <c r="B2432" s="11"/>
    </row>
    <row r="2433" spans="2:2" x14ac:dyDescent="0.2">
      <c r="B2433" s="11"/>
    </row>
    <row r="2434" spans="2:2" x14ac:dyDescent="0.2">
      <c r="B2434" s="11"/>
    </row>
    <row r="2435" spans="2:2" x14ac:dyDescent="0.2">
      <c r="B2435" s="11"/>
    </row>
    <row r="2436" spans="2:2" x14ac:dyDescent="0.2">
      <c r="B2436" s="11"/>
    </row>
    <row r="2437" spans="2:2" x14ac:dyDescent="0.2">
      <c r="B2437" s="11"/>
    </row>
    <row r="2438" spans="2:2" x14ac:dyDescent="0.2">
      <c r="B2438" s="11"/>
    </row>
    <row r="2439" spans="2:2" x14ac:dyDescent="0.2">
      <c r="B2439" s="11"/>
    </row>
    <row r="2440" spans="2:2" x14ac:dyDescent="0.2">
      <c r="B2440" s="11"/>
    </row>
    <row r="2441" spans="2:2" x14ac:dyDescent="0.2">
      <c r="B2441" s="11"/>
    </row>
    <row r="2442" spans="2:2" x14ac:dyDescent="0.2">
      <c r="B2442" s="11"/>
    </row>
    <row r="2443" spans="2:2" x14ac:dyDescent="0.2">
      <c r="B2443" s="11"/>
    </row>
    <row r="2444" spans="2:2" x14ac:dyDescent="0.2">
      <c r="B2444" s="11"/>
    </row>
    <row r="2445" spans="2:2" x14ac:dyDescent="0.2">
      <c r="B2445" s="11"/>
    </row>
    <row r="2446" spans="2:2" x14ac:dyDescent="0.2">
      <c r="B2446" s="11"/>
    </row>
    <row r="2447" spans="2:2" x14ac:dyDescent="0.2">
      <c r="B2447" s="11"/>
    </row>
    <row r="2448" spans="2:2" x14ac:dyDescent="0.2">
      <c r="B2448" s="11"/>
    </row>
    <row r="2449" spans="2:2" x14ac:dyDescent="0.2">
      <c r="B2449" s="11"/>
    </row>
    <row r="2450" spans="2:2" x14ac:dyDescent="0.2">
      <c r="B2450" s="11"/>
    </row>
    <row r="2451" spans="2:2" x14ac:dyDescent="0.2">
      <c r="B2451" s="11"/>
    </row>
    <row r="2452" spans="2:2" x14ac:dyDescent="0.2">
      <c r="B2452" s="11"/>
    </row>
    <row r="2453" spans="2:2" x14ac:dyDescent="0.2">
      <c r="B2453" s="11"/>
    </row>
    <row r="2454" spans="2:2" x14ac:dyDescent="0.2">
      <c r="B2454" s="11"/>
    </row>
    <row r="2455" spans="2:2" x14ac:dyDescent="0.2">
      <c r="B2455" s="11"/>
    </row>
    <row r="2456" spans="2:2" x14ac:dyDescent="0.2">
      <c r="B2456" s="11"/>
    </row>
    <row r="2457" spans="2:2" x14ac:dyDescent="0.2">
      <c r="B2457" s="11"/>
    </row>
    <row r="2458" spans="2:2" x14ac:dyDescent="0.2">
      <c r="B2458" s="11"/>
    </row>
    <row r="2459" spans="2:2" x14ac:dyDescent="0.2">
      <c r="B2459" s="11"/>
    </row>
    <row r="2460" spans="2:2" x14ac:dyDescent="0.2">
      <c r="B2460" s="11"/>
    </row>
    <row r="2461" spans="2:2" x14ac:dyDescent="0.2">
      <c r="B2461" s="11"/>
    </row>
    <row r="2462" spans="2:2" x14ac:dyDescent="0.2">
      <c r="B2462" s="11"/>
    </row>
    <row r="2463" spans="2:2" x14ac:dyDescent="0.2">
      <c r="B2463" s="11"/>
    </row>
    <row r="2464" spans="2:2" x14ac:dyDescent="0.2">
      <c r="B2464" s="11"/>
    </row>
    <row r="2465" spans="2:2" x14ac:dyDescent="0.2">
      <c r="B2465" s="11"/>
    </row>
    <row r="2466" spans="2:2" x14ac:dyDescent="0.2">
      <c r="B2466" s="11"/>
    </row>
    <row r="2467" spans="2:2" x14ac:dyDescent="0.2">
      <c r="B2467" s="11"/>
    </row>
    <row r="2468" spans="2:2" x14ac:dyDescent="0.2">
      <c r="B2468" s="11"/>
    </row>
    <row r="2469" spans="2:2" x14ac:dyDescent="0.2">
      <c r="B2469" s="11"/>
    </row>
    <row r="2470" spans="2:2" x14ac:dyDescent="0.2">
      <c r="B2470" s="11"/>
    </row>
    <row r="2471" spans="2:2" x14ac:dyDescent="0.2">
      <c r="B2471" s="11"/>
    </row>
    <row r="2472" spans="2:2" x14ac:dyDescent="0.2">
      <c r="B2472" s="11"/>
    </row>
    <row r="2473" spans="2:2" x14ac:dyDescent="0.2">
      <c r="B2473" s="11"/>
    </row>
    <row r="2474" spans="2:2" x14ac:dyDescent="0.2">
      <c r="B2474" s="11"/>
    </row>
    <row r="2475" spans="2:2" x14ac:dyDescent="0.2">
      <c r="B2475" s="11"/>
    </row>
    <row r="2476" spans="2:2" x14ac:dyDescent="0.2">
      <c r="B2476" s="11"/>
    </row>
    <row r="2477" spans="2:2" x14ac:dyDescent="0.2">
      <c r="B2477" s="11"/>
    </row>
    <row r="2478" spans="2:2" x14ac:dyDescent="0.2">
      <c r="B2478" s="11"/>
    </row>
    <row r="2479" spans="2:2" x14ac:dyDescent="0.2">
      <c r="B2479" s="11"/>
    </row>
    <row r="2480" spans="2:2" x14ac:dyDescent="0.2">
      <c r="B2480" s="11"/>
    </row>
    <row r="2481" spans="2:2" x14ac:dyDescent="0.2">
      <c r="B2481" s="11"/>
    </row>
    <row r="2482" spans="2:2" x14ac:dyDescent="0.2">
      <c r="B2482" s="11"/>
    </row>
    <row r="2483" spans="2:2" x14ac:dyDescent="0.2">
      <c r="B2483" s="11"/>
    </row>
    <row r="2484" spans="2:2" x14ac:dyDescent="0.2">
      <c r="B2484" s="11"/>
    </row>
    <row r="2485" spans="2:2" x14ac:dyDescent="0.2">
      <c r="B2485" s="11"/>
    </row>
    <row r="2486" spans="2:2" x14ac:dyDescent="0.2">
      <c r="B2486" s="11"/>
    </row>
    <row r="2487" spans="2:2" x14ac:dyDescent="0.2">
      <c r="B2487" s="11"/>
    </row>
    <row r="2488" spans="2:2" x14ac:dyDescent="0.2">
      <c r="B2488" s="11"/>
    </row>
    <row r="2489" spans="2:2" x14ac:dyDescent="0.2">
      <c r="B2489" s="11"/>
    </row>
    <row r="2490" spans="2:2" x14ac:dyDescent="0.2">
      <c r="B2490" s="11"/>
    </row>
    <row r="2491" spans="2:2" x14ac:dyDescent="0.2">
      <c r="B2491" s="11"/>
    </row>
    <row r="2492" spans="2:2" x14ac:dyDescent="0.2">
      <c r="B2492" s="11"/>
    </row>
    <row r="2493" spans="2:2" x14ac:dyDescent="0.2">
      <c r="B2493" s="11"/>
    </row>
    <row r="2494" spans="2:2" x14ac:dyDescent="0.2">
      <c r="B2494" s="11"/>
    </row>
    <row r="2495" spans="2:2" x14ac:dyDescent="0.2">
      <c r="B2495" s="11"/>
    </row>
    <row r="2496" spans="2:2" x14ac:dyDescent="0.2">
      <c r="B2496" s="11"/>
    </row>
    <row r="2497" spans="2:2" x14ac:dyDescent="0.2">
      <c r="B2497" s="11"/>
    </row>
    <row r="2498" spans="2:2" x14ac:dyDescent="0.2">
      <c r="B2498" s="11"/>
    </row>
    <row r="2499" spans="2:2" x14ac:dyDescent="0.2">
      <c r="B2499" s="11"/>
    </row>
    <row r="2500" spans="2:2" x14ac:dyDescent="0.2">
      <c r="B2500" s="11"/>
    </row>
    <row r="2501" spans="2:2" x14ac:dyDescent="0.2">
      <c r="B2501" s="11"/>
    </row>
    <row r="2502" spans="2:2" x14ac:dyDescent="0.2">
      <c r="B2502" s="11"/>
    </row>
    <row r="2503" spans="2:2" x14ac:dyDescent="0.2">
      <c r="B2503" s="11"/>
    </row>
    <row r="2504" spans="2:2" x14ac:dyDescent="0.2">
      <c r="B2504" s="11"/>
    </row>
    <row r="2505" spans="2:2" x14ac:dyDescent="0.2">
      <c r="B2505" s="11"/>
    </row>
    <row r="2506" spans="2:2" x14ac:dyDescent="0.2">
      <c r="B2506" s="11"/>
    </row>
    <row r="2507" spans="2:2" x14ac:dyDescent="0.2">
      <c r="B2507" s="11"/>
    </row>
    <row r="2508" spans="2:2" x14ac:dyDescent="0.2">
      <c r="B2508" s="11"/>
    </row>
    <row r="2509" spans="2:2" x14ac:dyDescent="0.2">
      <c r="B2509" s="11"/>
    </row>
    <row r="2510" spans="2:2" x14ac:dyDescent="0.2">
      <c r="B2510" s="11"/>
    </row>
    <row r="2511" spans="2:2" x14ac:dyDescent="0.2">
      <c r="B2511" s="11"/>
    </row>
    <row r="2512" spans="2:2" x14ac:dyDescent="0.2">
      <c r="B2512" s="11"/>
    </row>
    <row r="2513" spans="2:2" x14ac:dyDescent="0.2">
      <c r="B2513" s="11"/>
    </row>
    <row r="2514" spans="2:2" x14ac:dyDescent="0.2">
      <c r="B2514" s="11"/>
    </row>
    <row r="2515" spans="2:2" x14ac:dyDescent="0.2">
      <c r="B2515" s="11"/>
    </row>
    <row r="2516" spans="2:2" x14ac:dyDescent="0.2">
      <c r="B2516" s="11"/>
    </row>
    <row r="2517" spans="2:2" x14ac:dyDescent="0.2">
      <c r="B2517" s="11"/>
    </row>
    <row r="2518" spans="2:2" x14ac:dyDescent="0.2">
      <c r="B2518" s="11"/>
    </row>
    <row r="2519" spans="2:2" x14ac:dyDescent="0.2">
      <c r="B2519" s="11"/>
    </row>
    <row r="2520" spans="2:2" x14ac:dyDescent="0.2">
      <c r="B2520" s="11"/>
    </row>
    <row r="2521" spans="2:2" x14ac:dyDescent="0.2">
      <c r="B2521" s="11"/>
    </row>
    <row r="2522" spans="2:2" x14ac:dyDescent="0.2">
      <c r="B2522" s="11"/>
    </row>
    <row r="2523" spans="2:2" x14ac:dyDescent="0.2">
      <c r="B2523" s="11"/>
    </row>
    <row r="2524" spans="2:2" x14ac:dyDescent="0.2">
      <c r="B2524" s="11"/>
    </row>
    <row r="2525" spans="2:2" x14ac:dyDescent="0.2">
      <c r="B2525" s="11"/>
    </row>
    <row r="2526" spans="2:2" x14ac:dyDescent="0.2">
      <c r="B2526" s="11"/>
    </row>
    <row r="2527" spans="2:2" x14ac:dyDescent="0.2">
      <c r="B2527" s="11"/>
    </row>
    <row r="2528" spans="2:2" x14ac:dyDescent="0.2">
      <c r="B2528" s="11"/>
    </row>
    <row r="2529" spans="2:2" x14ac:dyDescent="0.2">
      <c r="B2529" s="11"/>
    </row>
    <row r="2530" spans="2:2" x14ac:dyDescent="0.2">
      <c r="B2530" s="11"/>
    </row>
    <row r="2531" spans="2:2" x14ac:dyDescent="0.2">
      <c r="B2531" s="11"/>
    </row>
    <row r="2532" spans="2:2" x14ac:dyDescent="0.2">
      <c r="B2532" s="11"/>
    </row>
    <row r="2533" spans="2:2" x14ac:dyDescent="0.2">
      <c r="B2533" s="11"/>
    </row>
    <row r="2534" spans="2:2" x14ac:dyDescent="0.2">
      <c r="B2534" s="11"/>
    </row>
    <row r="2535" spans="2:2" x14ac:dyDescent="0.2">
      <c r="B2535" s="11"/>
    </row>
    <row r="2536" spans="2:2" x14ac:dyDescent="0.2">
      <c r="B2536" s="11"/>
    </row>
    <row r="2537" spans="2:2" x14ac:dyDescent="0.2">
      <c r="B2537" s="11"/>
    </row>
    <row r="2538" spans="2:2" x14ac:dyDescent="0.2">
      <c r="B2538" s="11"/>
    </row>
    <row r="2539" spans="2:2" x14ac:dyDescent="0.2">
      <c r="B2539" s="11"/>
    </row>
    <row r="2540" spans="2:2" x14ac:dyDescent="0.2">
      <c r="B2540" s="11"/>
    </row>
    <row r="2541" spans="2:2" x14ac:dyDescent="0.2">
      <c r="B2541" s="11"/>
    </row>
    <row r="2542" spans="2:2" x14ac:dyDescent="0.2">
      <c r="B2542" s="11"/>
    </row>
    <row r="2543" spans="2:2" x14ac:dyDescent="0.2">
      <c r="B2543" s="11"/>
    </row>
    <row r="2544" spans="2:2" x14ac:dyDescent="0.2">
      <c r="B2544" s="11"/>
    </row>
    <row r="2545" spans="2:2" x14ac:dyDescent="0.2">
      <c r="B2545" s="11"/>
    </row>
    <row r="2546" spans="2:2" x14ac:dyDescent="0.2">
      <c r="B2546" s="11"/>
    </row>
    <row r="2547" spans="2:2" x14ac:dyDescent="0.2">
      <c r="B2547" s="11"/>
    </row>
    <row r="2548" spans="2:2" x14ac:dyDescent="0.2">
      <c r="B2548" s="11"/>
    </row>
    <row r="2549" spans="2:2" x14ac:dyDescent="0.2">
      <c r="B2549" s="11"/>
    </row>
    <row r="2550" spans="2:2" x14ac:dyDescent="0.2">
      <c r="B2550" s="11"/>
    </row>
    <row r="2551" spans="2:2" x14ac:dyDescent="0.2">
      <c r="B2551" s="11"/>
    </row>
    <row r="2552" spans="2:2" x14ac:dyDescent="0.2">
      <c r="B2552" s="11"/>
    </row>
    <row r="2553" spans="2:2" x14ac:dyDescent="0.2">
      <c r="B2553" s="11"/>
    </row>
    <row r="2554" spans="2:2" x14ac:dyDescent="0.2">
      <c r="B2554" s="11"/>
    </row>
    <row r="2555" spans="2:2" x14ac:dyDescent="0.2">
      <c r="B2555" s="11"/>
    </row>
    <row r="2556" spans="2:2" x14ac:dyDescent="0.2">
      <c r="B2556" s="11"/>
    </row>
    <row r="2557" spans="2:2" x14ac:dyDescent="0.2">
      <c r="B2557" s="11"/>
    </row>
    <row r="2558" spans="2:2" x14ac:dyDescent="0.2">
      <c r="B2558" s="11"/>
    </row>
    <row r="2559" spans="2:2" x14ac:dyDescent="0.2">
      <c r="B2559" s="11"/>
    </row>
    <row r="2560" spans="2:2" x14ac:dyDescent="0.2">
      <c r="B2560" s="11"/>
    </row>
    <row r="2561" spans="2:2" x14ac:dyDescent="0.2">
      <c r="B2561" s="11"/>
    </row>
    <row r="2562" spans="2:2" x14ac:dyDescent="0.2">
      <c r="B2562" s="11"/>
    </row>
    <row r="2563" spans="2:2" x14ac:dyDescent="0.2">
      <c r="B2563" s="11"/>
    </row>
    <row r="2564" spans="2:2" x14ac:dyDescent="0.2">
      <c r="B2564" s="11"/>
    </row>
    <row r="2565" spans="2:2" x14ac:dyDescent="0.2">
      <c r="B2565" s="11"/>
    </row>
    <row r="2566" spans="2:2" x14ac:dyDescent="0.2">
      <c r="B2566" s="11"/>
    </row>
    <row r="2567" spans="2:2" x14ac:dyDescent="0.2">
      <c r="B2567" s="11"/>
    </row>
    <row r="2568" spans="2:2" x14ac:dyDescent="0.2">
      <c r="B2568" s="11"/>
    </row>
    <row r="2569" spans="2:2" x14ac:dyDescent="0.2">
      <c r="B2569" s="11"/>
    </row>
    <row r="2570" spans="2:2" x14ac:dyDescent="0.2">
      <c r="B2570" s="11"/>
    </row>
    <row r="2571" spans="2:2" x14ac:dyDescent="0.2">
      <c r="B2571" s="11"/>
    </row>
    <row r="2572" spans="2:2" x14ac:dyDescent="0.2">
      <c r="B2572" s="11"/>
    </row>
    <row r="2573" spans="2:2" x14ac:dyDescent="0.2">
      <c r="B2573" s="11"/>
    </row>
    <row r="2574" spans="2:2" x14ac:dyDescent="0.2">
      <c r="B2574" s="11"/>
    </row>
    <row r="2575" spans="2:2" x14ac:dyDescent="0.2">
      <c r="B2575" s="11"/>
    </row>
    <row r="2576" spans="2:2" x14ac:dyDescent="0.2">
      <c r="B2576" s="11"/>
    </row>
    <row r="2577" spans="2:2" x14ac:dyDescent="0.2">
      <c r="B2577" s="11"/>
    </row>
    <row r="2578" spans="2:2" x14ac:dyDescent="0.2">
      <c r="B2578" s="11"/>
    </row>
    <row r="2579" spans="2:2" x14ac:dyDescent="0.2">
      <c r="B2579" s="11"/>
    </row>
    <row r="2580" spans="2:2" x14ac:dyDescent="0.2">
      <c r="B2580" s="11"/>
    </row>
    <row r="2581" spans="2:2" x14ac:dyDescent="0.2">
      <c r="B2581" s="11"/>
    </row>
    <row r="2582" spans="2:2" x14ac:dyDescent="0.2">
      <c r="B2582" s="11"/>
    </row>
    <row r="2583" spans="2:2" x14ac:dyDescent="0.2">
      <c r="B2583" s="11"/>
    </row>
    <row r="2584" spans="2:2" x14ac:dyDescent="0.2">
      <c r="B2584" s="11"/>
    </row>
    <row r="2585" spans="2:2" x14ac:dyDescent="0.2">
      <c r="B2585" s="11"/>
    </row>
    <row r="2586" spans="2:2" x14ac:dyDescent="0.2">
      <c r="B2586" s="11"/>
    </row>
    <row r="2587" spans="2:2" x14ac:dyDescent="0.2">
      <c r="B2587" s="11"/>
    </row>
    <row r="2588" spans="2:2" x14ac:dyDescent="0.2">
      <c r="B2588" s="11"/>
    </row>
    <row r="2589" spans="2:2" x14ac:dyDescent="0.2">
      <c r="B2589" s="11"/>
    </row>
    <row r="2590" spans="2:2" x14ac:dyDescent="0.2">
      <c r="B2590" s="11"/>
    </row>
    <row r="2591" spans="2:2" x14ac:dyDescent="0.2">
      <c r="B2591" s="11"/>
    </row>
    <row r="2592" spans="2:2" x14ac:dyDescent="0.2">
      <c r="B2592" s="11"/>
    </row>
    <row r="2593" spans="2:2" x14ac:dyDescent="0.2">
      <c r="B2593" s="11"/>
    </row>
    <row r="2594" spans="2:2" x14ac:dyDescent="0.2">
      <c r="B2594" s="11"/>
    </row>
    <row r="2595" spans="2:2" x14ac:dyDescent="0.2">
      <c r="B2595" s="11"/>
    </row>
    <row r="2596" spans="2:2" x14ac:dyDescent="0.2">
      <c r="B2596" s="11"/>
    </row>
    <row r="2597" spans="2:2" x14ac:dyDescent="0.2">
      <c r="B2597" s="11"/>
    </row>
    <row r="2598" spans="2:2" x14ac:dyDescent="0.2">
      <c r="B2598" s="11"/>
    </row>
    <row r="2599" spans="2:2" x14ac:dyDescent="0.2">
      <c r="B2599" s="11"/>
    </row>
    <row r="2600" spans="2:2" x14ac:dyDescent="0.2">
      <c r="B2600" s="11"/>
    </row>
    <row r="2601" spans="2:2" x14ac:dyDescent="0.2">
      <c r="B2601" s="11"/>
    </row>
    <row r="2602" spans="2:2" x14ac:dyDescent="0.2">
      <c r="B2602" s="11"/>
    </row>
    <row r="2603" spans="2:2" x14ac:dyDescent="0.2">
      <c r="B2603" s="11"/>
    </row>
    <row r="2604" spans="2:2" x14ac:dyDescent="0.2">
      <c r="B2604" s="11"/>
    </row>
    <row r="2605" spans="2:2" x14ac:dyDescent="0.2">
      <c r="B2605" s="11"/>
    </row>
    <row r="2606" spans="2:2" x14ac:dyDescent="0.2">
      <c r="B2606" s="11"/>
    </row>
    <row r="2607" spans="2:2" x14ac:dyDescent="0.2">
      <c r="B2607" s="11"/>
    </row>
    <row r="2608" spans="2:2" x14ac:dyDescent="0.2">
      <c r="B2608" s="11"/>
    </row>
    <row r="2609" spans="2:2" x14ac:dyDescent="0.2">
      <c r="B2609" s="11"/>
    </row>
    <row r="2610" spans="2:2" x14ac:dyDescent="0.2">
      <c r="B2610" s="11"/>
    </row>
    <row r="2611" spans="2:2" x14ac:dyDescent="0.2">
      <c r="B2611" s="11"/>
    </row>
    <row r="2612" spans="2:2" x14ac:dyDescent="0.2">
      <c r="B2612" s="11"/>
    </row>
    <row r="2613" spans="2:2" x14ac:dyDescent="0.2">
      <c r="B2613" s="11"/>
    </row>
    <row r="2614" spans="2:2" x14ac:dyDescent="0.2">
      <c r="B2614" s="11"/>
    </row>
    <row r="2615" spans="2:2" x14ac:dyDescent="0.2">
      <c r="B2615" s="11"/>
    </row>
    <row r="2616" spans="2:2" x14ac:dyDescent="0.2">
      <c r="B2616" s="11"/>
    </row>
    <row r="2617" spans="2:2" x14ac:dyDescent="0.2">
      <c r="B2617" s="11"/>
    </row>
    <row r="2618" spans="2:2" x14ac:dyDescent="0.2">
      <c r="B2618" s="11"/>
    </row>
    <row r="2619" spans="2:2" x14ac:dyDescent="0.2">
      <c r="B2619" s="11"/>
    </row>
    <row r="2620" spans="2:2" x14ac:dyDescent="0.2">
      <c r="B2620" s="11"/>
    </row>
    <row r="2621" spans="2:2" x14ac:dyDescent="0.2">
      <c r="B2621" s="11"/>
    </row>
    <row r="2622" spans="2:2" x14ac:dyDescent="0.2">
      <c r="B2622" s="11"/>
    </row>
    <row r="2623" spans="2:2" x14ac:dyDescent="0.2">
      <c r="B2623" s="11"/>
    </row>
    <row r="2624" spans="2:2" x14ac:dyDescent="0.2">
      <c r="B2624" s="11"/>
    </row>
    <row r="2625" spans="2:2" x14ac:dyDescent="0.2">
      <c r="B2625" s="11"/>
    </row>
    <row r="2626" spans="2:2" x14ac:dyDescent="0.2">
      <c r="B2626" s="11"/>
    </row>
    <row r="2627" spans="2:2" x14ac:dyDescent="0.2">
      <c r="B2627" s="11"/>
    </row>
    <row r="2628" spans="2:2" x14ac:dyDescent="0.2">
      <c r="B2628" s="11"/>
    </row>
    <row r="2629" spans="2:2" x14ac:dyDescent="0.2">
      <c r="B2629" s="11"/>
    </row>
    <row r="2630" spans="2:2" x14ac:dyDescent="0.2">
      <c r="B2630" s="11"/>
    </row>
    <row r="2631" spans="2:2" x14ac:dyDescent="0.2">
      <c r="B2631" s="11"/>
    </row>
    <row r="2632" spans="2:2" x14ac:dyDescent="0.2">
      <c r="B2632" s="11"/>
    </row>
    <row r="2633" spans="2:2" x14ac:dyDescent="0.2">
      <c r="B2633" s="11"/>
    </row>
    <row r="2634" spans="2:2" x14ac:dyDescent="0.2">
      <c r="B2634" s="11"/>
    </row>
    <row r="2635" spans="2:2" x14ac:dyDescent="0.2">
      <c r="B2635" s="11"/>
    </row>
    <row r="2636" spans="2:2" x14ac:dyDescent="0.2">
      <c r="B2636" s="11"/>
    </row>
    <row r="2637" spans="2:2" x14ac:dyDescent="0.2">
      <c r="B2637" s="11"/>
    </row>
    <row r="2638" spans="2:2" x14ac:dyDescent="0.2">
      <c r="B2638" s="11"/>
    </row>
    <row r="2639" spans="2:2" x14ac:dyDescent="0.2">
      <c r="B2639" s="11"/>
    </row>
    <row r="2640" spans="2:2" x14ac:dyDescent="0.2">
      <c r="B2640" s="11"/>
    </row>
    <row r="2641" spans="2:2" x14ac:dyDescent="0.2">
      <c r="B2641" s="11"/>
    </row>
    <row r="2642" spans="2:2" x14ac:dyDescent="0.2">
      <c r="B2642" s="11"/>
    </row>
    <row r="2643" spans="2:2" x14ac:dyDescent="0.2">
      <c r="B2643" s="11"/>
    </row>
    <row r="2644" spans="2:2" x14ac:dyDescent="0.2">
      <c r="B2644" s="11"/>
    </row>
    <row r="2645" spans="2:2" x14ac:dyDescent="0.2">
      <c r="B2645" s="11"/>
    </row>
    <row r="2646" spans="2:2" x14ac:dyDescent="0.2">
      <c r="B2646" s="11"/>
    </row>
    <row r="2647" spans="2:2" x14ac:dyDescent="0.2">
      <c r="B2647" s="11"/>
    </row>
    <row r="2648" spans="2:2" x14ac:dyDescent="0.2">
      <c r="B2648" s="11"/>
    </row>
    <row r="2649" spans="2:2" x14ac:dyDescent="0.2">
      <c r="B2649" s="11"/>
    </row>
    <row r="2650" spans="2:2" x14ac:dyDescent="0.2">
      <c r="B2650" s="11"/>
    </row>
    <row r="2651" spans="2:2" x14ac:dyDescent="0.2">
      <c r="B2651" s="11"/>
    </row>
    <row r="2652" spans="2:2" x14ac:dyDescent="0.2">
      <c r="B2652" s="11"/>
    </row>
    <row r="2653" spans="2:2" x14ac:dyDescent="0.2">
      <c r="B2653" s="11"/>
    </row>
    <row r="2654" spans="2:2" x14ac:dyDescent="0.2">
      <c r="B2654" s="11"/>
    </row>
    <row r="2655" spans="2:2" x14ac:dyDescent="0.2">
      <c r="B2655" s="11"/>
    </row>
    <row r="2656" spans="2:2" x14ac:dyDescent="0.2">
      <c r="B2656" s="11"/>
    </row>
    <row r="2657" spans="2:2" x14ac:dyDescent="0.2">
      <c r="B2657" s="11"/>
    </row>
    <row r="2658" spans="2:2" x14ac:dyDescent="0.2">
      <c r="B2658" s="11"/>
    </row>
    <row r="2659" spans="2:2" x14ac:dyDescent="0.2">
      <c r="B2659" s="11"/>
    </row>
    <row r="2660" spans="2:2" x14ac:dyDescent="0.2">
      <c r="B2660" s="11"/>
    </row>
    <row r="2661" spans="2:2" x14ac:dyDescent="0.2">
      <c r="B2661" s="11"/>
    </row>
    <row r="2662" spans="2:2" x14ac:dyDescent="0.2">
      <c r="B2662" s="11"/>
    </row>
    <row r="2663" spans="2:2" x14ac:dyDescent="0.2">
      <c r="B2663" s="11"/>
    </row>
    <row r="2664" spans="2:2" x14ac:dyDescent="0.2">
      <c r="B2664" s="11"/>
    </row>
    <row r="2665" spans="2:2" x14ac:dyDescent="0.2">
      <c r="B2665" s="11"/>
    </row>
    <row r="2666" spans="2:2" x14ac:dyDescent="0.2">
      <c r="B2666" s="11"/>
    </row>
    <row r="2667" spans="2:2" x14ac:dyDescent="0.2">
      <c r="B2667" s="11"/>
    </row>
    <row r="2668" spans="2:2" x14ac:dyDescent="0.2">
      <c r="B2668" s="11"/>
    </row>
    <row r="2669" spans="2:2" x14ac:dyDescent="0.2">
      <c r="B2669" s="11"/>
    </row>
    <row r="2670" spans="2:2" x14ac:dyDescent="0.2">
      <c r="B2670" s="11"/>
    </row>
    <row r="2671" spans="2:2" x14ac:dyDescent="0.2">
      <c r="B2671" s="11"/>
    </row>
    <row r="2672" spans="2:2" x14ac:dyDescent="0.2">
      <c r="B2672" s="11"/>
    </row>
    <row r="2673" spans="2:2" x14ac:dyDescent="0.2">
      <c r="B2673" s="11"/>
    </row>
    <row r="2674" spans="2:2" x14ac:dyDescent="0.2">
      <c r="B2674" s="11"/>
    </row>
    <row r="2675" spans="2:2" x14ac:dyDescent="0.2">
      <c r="B2675" s="11"/>
    </row>
    <row r="2676" spans="2:2" x14ac:dyDescent="0.2">
      <c r="B2676" s="11"/>
    </row>
    <row r="2677" spans="2:2" x14ac:dyDescent="0.2">
      <c r="B2677" s="11"/>
    </row>
    <row r="2678" spans="2:2" x14ac:dyDescent="0.2">
      <c r="B2678" s="11"/>
    </row>
    <row r="2679" spans="2:2" x14ac:dyDescent="0.2">
      <c r="B2679" s="11"/>
    </row>
    <row r="2680" spans="2:2" x14ac:dyDescent="0.2">
      <c r="B2680" s="11"/>
    </row>
    <row r="2681" spans="2:2" x14ac:dyDescent="0.2">
      <c r="B2681" s="11"/>
    </row>
    <row r="2682" spans="2:2" x14ac:dyDescent="0.2">
      <c r="B2682" s="11"/>
    </row>
    <row r="2683" spans="2:2" x14ac:dyDescent="0.2">
      <c r="B2683" s="11"/>
    </row>
    <row r="2684" spans="2:2" x14ac:dyDescent="0.2">
      <c r="B2684" s="11"/>
    </row>
    <row r="2685" spans="2:2" x14ac:dyDescent="0.2">
      <c r="B2685" s="11"/>
    </row>
    <row r="2686" spans="2:2" x14ac:dyDescent="0.2">
      <c r="B2686" s="11"/>
    </row>
    <row r="2687" spans="2:2" x14ac:dyDescent="0.2">
      <c r="B2687" s="11"/>
    </row>
    <row r="2688" spans="2:2" x14ac:dyDescent="0.2">
      <c r="B2688" s="11"/>
    </row>
    <row r="2689" spans="2:2" x14ac:dyDescent="0.2">
      <c r="B2689" s="11"/>
    </row>
    <row r="2690" spans="2:2" x14ac:dyDescent="0.2">
      <c r="B2690" s="11"/>
    </row>
    <row r="2691" spans="2:2" x14ac:dyDescent="0.2">
      <c r="B2691" s="11"/>
    </row>
    <row r="2692" spans="2:2" x14ac:dyDescent="0.2">
      <c r="B2692" s="11"/>
    </row>
    <row r="2693" spans="2:2" x14ac:dyDescent="0.2">
      <c r="B2693" s="11"/>
    </row>
    <row r="2694" spans="2:2" x14ac:dyDescent="0.2">
      <c r="B2694" s="11"/>
    </row>
    <row r="2695" spans="2:2" x14ac:dyDescent="0.2">
      <c r="B2695" s="11"/>
    </row>
    <row r="2696" spans="2:2" x14ac:dyDescent="0.2">
      <c r="B2696" s="11"/>
    </row>
    <row r="2697" spans="2:2" x14ac:dyDescent="0.2">
      <c r="B2697" s="11"/>
    </row>
    <row r="2698" spans="2:2" x14ac:dyDescent="0.2">
      <c r="B2698" s="11"/>
    </row>
    <row r="2699" spans="2:2" x14ac:dyDescent="0.2">
      <c r="B2699" s="11"/>
    </row>
    <row r="2700" spans="2:2" x14ac:dyDescent="0.2">
      <c r="B2700" s="11"/>
    </row>
    <row r="2701" spans="2:2" x14ac:dyDescent="0.2">
      <c r="B2701" s="11"/>
    </row>
    <row r="2702" spans="2:2" x14ac:dyDescent="0.2">
      <c r="B2702" s="11"/>
    </row>
    <row r="2703" spans="2:2" x14ac:dyDescent="0.2">
      <c r="B2703" s="11"/>
    </row>
    <row r="2704" spans="2:2" x14ac:dyDescent="0.2">
      <c r="B2704" s="11"/>
    </row>
    <row r="2705" spans="2:2" x14ac:dyDescent="0.2">
      <c r="B2705" s="11"/>
    </row>
    <row r="2706" spans="2:2" x14ac:dyDescent="0.2">
      <c r="B2706" s="11"/>
    </row>
    <row r="2707" spans="2:2" x14ac:dyDescent="0.2">
      <c r="B2707" s="11"/>
    </row>
    <row r="2708" spans="2:2" x14ac:dyDescent="0.2">
      <c r="B2708" s="11"/>
    </row>
    <row r="2709" spans="2:2" x14ac:dyDescent="0.2">
      <c r="B2709" s="11"/>
    </row>
    <row r="2710" spans="2:2" x14ac:dyDescent="0.2">
      <c r="B2710" s="11"/>
    </row>
    <row r="2711" spans="2:2" x14ac:dyDescent="0.2">
      <c r="B2711" s="11"/>
    </row>
    <row r="2712" spans="2:2" x14ac:dyDescent="0.2">
      <c r="B2712" s="11"/>
    </row>
    <row r="2713" spans="2:2" x14ac:dyDescent="0.2">
      <c r="B2713" s="11"/>
    </row>
    <row r="2714" spans="2:2" x14ac:dyDescent="0.2">
      <c r="B2714" s="11"/>
    </row>
    <row r="2715" spans="2:2" x14ac:dyDescent="0.2">
      <c r="B2715" s="11"/>
    </row>
    <row r="2716" spans="2:2" x14ac:dyDescent="0.2">
      <c r="B2716" s="11"/>
    </row>
    <row r="2717" spans="2:2" x14ac:dyDescent="0.2">
      <c r="B2717" s="11"/>
    </row>
    <row r="2718" spans="2:2" x14ac:dyDescent="0.2">
      <c r="B2718" s="11"/>
    </row>
    <row r="2719" spans="2:2" x14ac:dyDescent="0.2">
      <c r="B2719" s="11"/>
    </row>
    <row r="2720" spans="2:2" x14ac:dyDescent="0.2">
      <c r="B2720" s="11"/>
    </row>
    <row r="2721" spans="2:2" x14ac:dyDescent="0.2">
      <c r="B2721" s="11"/>
    </row>
    <row r="2722" spans="2:2" x14ac:dyDescent="0.2">
      <c r="B2722" s="11"/>
    </row>
    <row r="2723" spans="2:2" x14ac:dyDescent="0.2">
      <c r="B2723" s="11"/>
    </row>
    <row r="2724" spans="2:2" x14ac:dyDescent="0.2">
      <c r="B2724" s="11"/>
    </row>
    <row r="2725" spans="2:2" x14ac:dyDescent="0.2">
      <c r="B2725" s="11"/>
    </row>
    <row r="2726" spans="2:2" x14ac:dyDescent="0.2">
      <c r="B2726" s="11"/>
    </row>
    <row r="2727" spans="2:2" x14ac:dyDescent="0.2">
      <c r="B2727" s="11"/>
    </row>
    <row r="2728" spans="2:2" x14ac:dyDescent="0.2">
      <c r="B2728" s="11"/>
    </row>
    <row r="2729" spans="2:2" x14ac:dyDescent="0.2">
      <c r="B2729" s="11"/>
    </row>
    <row r="2730" spans="2:2" x14ac:dyDescent="0.2">
      <c r="B2730" s="11"/>
    </row>
    <row r="2731" spans="2:2" x14ac:dyDescent="0.2">
      <c r="B2731" s="11"/>
    </row>
    <row r="2732" spans="2:2" x14ac:dyDescent="0.2">
      <c r="B2732" s="11"/>
    </row>
    <row r="2733" spans="2:2" x14ac:dyDescent="0.2">
      <c r="B2733" s="11"/>
    </row>
    <row r="2734" spans="2:2" x14ac:dyDescent="0.2">
      <c r="B2734" s="11"/>
    </row>
    <row r="2735" spans="2:2" x14ac:dyDescent="0.2">
      <c r="B2735" s="11"/>
    </row>
    <row r="2736" spans="2:2" x14ac:dyDescent="0.2">
      <c r="B2736" s="11"/>
    </row>
    <row r="2737" spans="2:2" x14ac:dyDescent="0.2">
      <c r="B2737" s="11"/>
    </row>
    <row r="2738" spans="2:2" x14ac:dyDescent="0.2">
      <c r="B2738" s="11"/>
    </row>
    <row r="2739" spans="2:2" x14ac:dyDescent="0.2">
      <c r="B2739" s="11"/>
    </row>
    <row r="2740" spans="2:2" x14ac:dyDescent="0.2">
      <c r="B2740" s="11"/>
    </row>
    <row r="2741" spans="2:2" x14ac:dyDescent="0.2">
      <c r="B2741" s="11"/>
    </row>
    <row r="2742" spans="2:2" x14ac:dyDescent="0.2">
      <c r="B2742" s="11"/>
    </row>
    <row r="2743" spans="2:2" x14ac:dyDescent="0.2">
      <c r="B2743" s="11"/>
    </row>
    <row r="2744" spans="2:2" x14ac:dyDescent="0.2">
      <c r="B2744" s="11"/>
    </row>
    <row r="2745" spans="2:2" x14ac:dyDescent="0.2">
      <c r="B2745" s="11"/>
    </row>
    <row r="2746" spans="2:2" x14ac:dyDescent="0.2">
      <c r="B2746" s="11"/>
    </row>
    <row r="2747" spans="2:2" x14ac:dyDescent="0.2">
      <c r="B2747" s="11"/>
    </row>
    <row r="2748" spans="2:2" x14ac:dyDescent="0.2">
      <c r="B2748" s="11"/>
    </row>
    <row r="2749" spans="2:2" x14ac:dyDescent="0.2">
      <c r="B2749" s="11"/>
    </row>
    <row r="2750" spans="2:2" x14ac:dyDescent="0.2">
      <c r="B2750" s="11"/>
    </row>
    <row r="2751" spans="2:2" x14ac:dyDescent="0.2">
      <c r="B2751" s="11"/>
    </row>
    <row r="2752" spans="2:2" x14ac:dyDescent="0.2">
      <c r="B2752" s="11"/>
    </row>
    <row r="2753" spans="2:2" x14ac:dyDescent="0.2">
      <c r="B2753" s="11"/>
    </row>
    <row r="2754" spans="2:2" x14ac:dyDescent="0.2">
      <c r="B2754" s="11"/>
    </row>
    <row r="2755" spans="2:2" x14ac:dyDescent="0.2">
      <c r="B2755" s="11"/>
    </row>
    <row r="2756" spans="2:2" x14ac:dyDescent="0.2">
      <c r="B2756" s="11"/>
    </row>
    <row r="2757" spans="2:2" x14ac:dyDescent="0.2">
      <c r="B2757" s="11"/>
    </row>
    <row r="2758" spans="2:2" x14ac:dyDescent="0.2">
      <c r="B2758" s="11"/>
    </row>
    <row r="2759" spans="2:2" x14ac:dyDescent="0.2">
      <c r="B2759" s="11"/>
    </row>
    <row r="2760" spans="2:2" x14ac:dyDescent="0.2">
      <c r="B2760" s="11"/>
    </row>
    <row r="2761" spans="2:2" x14ac:dyDescent="0.2">
      <c r="B2761" s="11"/>
    </row>
    <row r="2762" spans="2:2" x14ac:dyDescent="0.2">
      <c r="B2762" s="11"/>
    </row>
    <row r="2763" spans="2:2" x14ac:dyDescent="0.2">
      <c r="B2763" s="11"/>
    </row>
    <row r="2764" spans="2:2" x14ac:dyDescent="0.2">
      <c r="B2764" s="11"/>
    </row>
    <row r="2765" spans="2:2" x14ac:dyDescent="0.2">
      <c r="B2765" s="11"/>
    </row>
    <row r="2766" spans="2:2" x14ac:dyDescent="0.2">
      <c r="B2766" s="11"/>
    </row>
    <row r="2767" spans="2:2" x14ac:dyDescent="0.2">
      <c r="B2767" s="11"/>
    </row>
    <row r="2768" spans="2:2" x14ac:dyDescent="0.2">
      <c r="B2768" s="11"/>
    </row>
    <row r="2769" spans="2:2" x14ac:dyDescent="0.2">
      <c r="B2769" s="11"/>
    </row>
    <row r="2770" spans="2:2" x14ac:dyDescent="0.2">
      <c r="B2770" s="11"/>
    </row>
    <row r="2771" spans="2:2" x14ac:dyDescent="0.2">
      <c r="B2771" s="11"/>
    </row>
    <row r="2772" spans="2:2" x14ac:dyDescent="0.2">
      <c r="B2772" s="11"/>
    </row>
    <row r="2773" spans="2:2" x14ac:dyDescent="0.2">
      <c r="B2773" s="11"/>
    </row>
    <row r="2774" spans="2:2" x14ac:dyDescent="0.2">
      <c r="B2774" s="11"/>
    </row>
    <row r="2775" spans="2:2" x14ac:dyDescent="0.2">
      <c r="B2775" s="11"/>
    </row>
    <row r="2776" spans="2:2" x14ac:dyDescent="0.2">
      <c r="B2776" s="11"/>
    </row>
    <row r="2777" spans="2:2" x14ac:dyDescent="0.2">
      <c r="B2777" s="11"/>
    </row>
    <row r="2778" spans="2:2" x14ac:dyDescent="0.2">
      <c r="B2778" s="11"/>
    </row>
    <row r="2779" spans="2:2" x14ac:dyDescent="0.2">
      <c r="B2779" s="11"/>
    </row>
    <row r="2780" spans="2:2" x14ac:dyDescent="0.2">
      <c r="B2780" s="11"/>
    </row>
    <row r="2781" spans="2:2" x14ac:dyDescent="0.2">
      <c r="B2781" s="11"/>
    </row>
    <row r="2782" spans="2:2" x14ac:dyDescent="0.2">
      <c r="B2782" s="11"/>
    </row>
    <row r="2783" spans="2:2" x14ac:dyDescent="0.2">
      <c r="B2783" s="11"/>
    </row>
    <row r="2784" spans="2:2" x14ac:dyDescent="0.2">
      <c r="B2784" s="11"/>
    </row>
    <row r="2785" spans="2:2" x14ac:dyDescent="0.2">
      <c r="B2785" s="11"/>
    </row>
    <row r="2786" spans="2:2" x14ac:dyDescent="0.2">
      <c r="B2786" s="11"/>
    </row>
    <row r="2787" spans="2:2" x14ac:dyDescent="0.2">
      <c r="B2787" s="11"/>
    </row>
    <row r="2788" spans="2:2" x14ac:dyDescent="0.2">
      <c r="B2788" s="11"/>
    </row>
    <row r="2789" spans="2:2" x14ac:dyDescent="0.2">
      <c r="B2789" s="11"/>
    </row>
    <row r="2790" spans="2:2" x14ac:dyDescent="0.2">
      <c r="B2790" s="11"/>
    </row>
    <row r="2791" spans="2:2" x14ac:dyDescent="0.2">
      <c r="B2791" s="11"/>
    </row>
    <row r="2792" spans="2:2" x14ac:dyDescent="0.2">
      <c r="B2792" s="11"/>
    </row>
    <row r="2793" spans="2:2" x14ac:dyDescent="0.2">
      <c r="B2793" s="11"/>
    </row>
    <row r="2794" spans="2:2" x14ac:dyDescent="0.2">
      <c r="B2794" s="11"/>
    </row>
    <row r="2795" spans="2:2" x14ac:dyDescent="0.2">
      <c r="B2795" s="11"/>
    </row>
    <row r="2796" spans="2:2" x14ac:dyDescent="0.2">
      <c r="B2796" s="11"/>
    </row>
    <row r="2797" spans="2:2" x14ac:dyDescent="0.2">
      <c r="B2797" s="11"/>
    </row>
    <row r="2798" spans="2:2" x14ac:dyDescent="0.2">
      <c r="B2798" s="11"/>
    </row>
    <row r="2799" spans="2:2" x14ac:dyDescent="0.2">
      <c r="B2799" s="11"/>
    </row>
    <row r="2800" spans="2:2" x14ac:dyDescent="0.2">
      <c r="B2800" s="11"/>
    </row>
    <row r="2801" spans="2:2" x14ac:dyDescent="0.2">
      <c r="B2801" s="11"/>
    </row>
    <row r="2802" spans="2:2" x14ac:dyDescent="0.2">
      <c r="B2802" s="11"/>
    </row>
    <row r="2803" spans="2:2" x14ac:dyDescent="0.2">
      <c r="B2803" s="11"/>
    </row>
    <row r="2804" spans="2:2" x14ac:dyDescent="0.2">
      <c r="B2804" s="11"/>
    </row>
    <row r="2805" spans="2:2" x14ac:dyDescent="0.2">
      <c r="B2805" s="11"/>
    </row>
    <row r="2806" spans="2:2" x14ac:dyDescent="0.2">
      <c r="B2806" s="11"/>
    </row>
    <row r="2807" spans="2:2" x14ac:dyDescent="0.2">
      <c r="B2807" s="11"/>
    </row>
    <row r="2808" spans="2:2" x14ac:dyDescent="0.2">
      <c r="B2808" s="11"/>
    </row>
    <row r="2809" spans="2:2" x14ac:dyDescent="0.2">
      <c r="B2809" s="11"/>
    </row>
    <row r="2810" spans="2:2" x14ac:dyDescent="0.2">
      <c r="B2810" s="11"/>
    </row>
    <row r="2811" spans="2:2" x14ac:dyDescent="0.2">
      <c r="B2811" s="11"/>
    </row>
    <row r="2812" spans="2:2" x14ac:dyDescent="0.2">
      <c r="B2812" s="11"/>
    </row>
    <row r="2813" spans="2:2" x14ac:dyDescent="0.2">
      <c r="B2813" s="11"/>
    </row>
    <row r="2814" spans="2:2" x14ac:dyDescent="0.2">
      <c r="B2814" s="11"/>
    </row>
    <row r="2815" spans="2:2" x14ac:dyDescent="0.2">
      <c r="B2815" s="11"/>
    </row>
    <row r="2816" spans="2:2" x14ac:dyDescent="0.2">
      <c r="B2816" s="11"/>
    </row>
    <row r="2817" spans="2:2" x14ac:dyDescent="0.2">
      <c r="B2817" s="11"/>
    </row>
    <row r="2818" spans="2:2" x14ac:dyDescent="0.2">
      <c r="B2818" s="11"/>
    </row>
    <row r="2819" spans="2:2" x14ac:dyDescent="0.2">
      <c r="B2819" s="11"/>
    </row>
    <row r="2820" spans="2:2" x14ac:dyDescent="0.2">
      <c r="B2820" s="11"/>
    </row>
    <row r="2821" spans="2:2" x14ac:dyDescent="0.2">
      <c r="B2821" s="11"/>
    </row>
    <row r="2822" spans="2:2" x14ac:dyDescent="0.2">
      <c r="B2822" s="11"/>
    </row>
    <row r="2823" spans="2:2" x14ac:dyDescent="0.2">
      <c r="B2823" s="11"/>
    </row>
    <row r="2824" spans="2:2" x14ac:dyDescent="0.2">
      <c r="B2824" s="11"/>
    </row>
    <row r="2825" spans="2:2" x14ac:dyDescent="0.2">
      <c r="B2825" s="11"/>
    </row>
    <row r="2826" spans="2:2" x14ac:dyDescent="0.2">
      <c r="B2826" s="11"/>
    </row>
    <row r="2827" spans="2:2" x14ac:dyDescent="0.2">
      <c r="B2827" s="11"/>
    </row>
    <row r="2828" spans="2:2" x14ac:dyDescent="0.2">
      <c r="B2828" s="11"/>
    </row>
    <row r="2829" spans="2:2" x14ac:dyDescent="0.2">
      <c r="B2829" s="11"/>
    </row>
    <row r="2830" spans="2:2" x14ac:dyDescent="0.2">
      <c r="B2830" s="11"/>
    </row>
    <row r="2831" spans="2:2" x14ac:dyDescent="0.2">
      <c r="B2831" s="11"/>
    </row>
    <row r="2832" spans="2:2" x14ac:dyDescent="0.2">
      <c r="B2832" s="11"/>
    </row>
    <row r="2833" spans="2:2" x14ac:dyDescent="0.2">
      <c r="B2833" s="11"/>
    </row>
    <row r="2834" spans="2:2" x14ac:dyDescent="0.2">
      <c r="B2834" s="11"/>
    </row>
    <row r="2835" spans="2:2" x14ac:dyDescent="0.2">
      <c r="B2835" s="11"/>
    </row>
    <row r="2836" spans="2:2" x14ac:dyDescent="0.2">
      <c r="B2836" s="11"/>
    </row>
    <row r="2837" spans="2:2" x14ac:dyDescent="0.2">
      <c r="B2837" s="11"/>
    </row>
    <row r="2838" spans="2:2" x14ac:dyDescent="0.2">
      <c r="B2838" s="11"/>
    </row>
    <row r="2839" spans="2:2" x14ac:dyDescent="0.2">
      <c r="B2839" s="11"/>
    </row>
    <row r="2840" spans="2:2" x14ac:dyDescent="0.2">
      <c r="B2840" s="11"/>
    </row>
    <row r="2841" spans="2:2" x14ac:dyDescent="0.2">
      <c r="B2841" s="11"/>
    </row>
    <row r="2842" spans="2:2" x14ac:dyDescent="0.2">
      <c r="B2842" s="11"/>
    </row>
    <row r="2843" spans="2:2" x14ac:dyDescent="0.2">
      <c r="B2843" s="11"/>
    </row>
    <row r="2844" spans="2:2" x14ac:dyDescent="0.2">
      <c r="B2844" s="11"/>
    </row>
    <row r="2845" spans="2:2" x14ac:dyDescent="0.2">
      <c r="B2845" s="11"/>
    </row>
    <row r="2846" spans="2:2" x14ac:dyDescent="0.2">
      <c r="B2846" s="11"/>
    </row>
    <row r="2847" spans="2:2" x14ac:dyDescent="0.2">
      <c r="B2847" s="11"/>
    </row>
    <row r="2848" spans="2:2" x14ac:dyDescent="0.2">
      <c r="B2848" s="11"/>
    </row>
    <row r="2849" spans="2:2" x14ac:dyDescent="0.2">
      <c r="B2849" s="11"/>
    </row>
    <row r="2850" spans="2:2" x14ac:dyDescent="0.2">
      <c r="B2850" s="11"/>
    </row>
    <row r="2851" spans="2:2" x14ac:dyDescent="0.2">
      <c r="B2851" s="11"/>
    </row>
    <row r="2852" spans="2:2" x14ac:dyDescent="0.2">
      <c r="B2852" s="11"/>
    </row>
    <row r="2853" spans="2:2" x14ac:dyDescent="0.2">
      <c r="B2853" s="11"/>
    </row>
    <row r="2854" spans="2:2" x14ac:dyDescent="0.2">
      <c r="B2854" s="11"/>
    </row>
    <row r="2855" spans="2:2" x14ac:dyDescent="0.2">
      <c r="B2855" s="11"/>
    </row>
    <row r="2856" spans="2:2" x14ac:dyDescent="0.2">
      <c r="B2856" s="11"/>
    </row>
    <row r="2857" spans="2:2" x14ac:dyDescent="0.2">
      <c r="B2857" s="11"/>
    </row>
    <row r="2858" spans="2:2" x14ac:dyDescent="0.2">
      <c r="B2858" s="11"/>
    </row>
    <row r="2859" spans="2:2" x14ac:dyDescent="0.2">
      <c r="B2859" s="11"/>
    </row>
    <row r="2860" spans="2:2" x14ac:dyDescent="0.2">
      <c r="B2860" s="11"/>
    </row>
    <row r="2861" spans="2:2" x14ac:dyDescent="0.2">
      <c r="B2861" s="11"/>
    </row>
    <row r="2862" spans="2:2" x14ac:dyDescent="0.2">
      <c r="B2862" s="11"/>
    </row>
    <row r="2863" spans="2:2" x14ac:dyDescent="0.2">
      <c r="B2863" s="11"/>
    </row>
    <row r="2864" spans="2:2" x14ac:dyDescent="0.2">
      <c r="B2864" s="11"/>
    </row>
    <row r="2865" spans="2:2" x14ac:dyDescent="0.2">
      <c r="B2865" s="11"/>
    </row>
    <row r="2866" spans="2:2" x14ac:dyDescent="0.2">
      <c r="B2866" s="11"/>
    </row>
    <row r="2867" spans="2:2" x14ac:dyDescent="0.2">
      <c r="B2867" s="11"/>
    </row>
    <row r="2868" spans="2:2" x14ac:dyDescent="0.2">
      <c r="B2868" s="11"/>
    </row>
    <row r="2869" spans="2:2" x14ac:dyDescent="0.2">
      <c r="B2869" s="11"/>
    </row>
    <row r="2870" spans="2:2" x14ac:dyDescent="0.2">
      <c r="B2870" s="11"/>
    </row>
    <row r="2871" spans="2:2" x14ac:dyDescent="0.2">
      <c r="B2871" s="11"/>
    </row>
    <row r="2872" spans="2:2" x14ac:dyDescent="0.2">
      <c r="B2872" s="11"/>
    </row>
    <row r="2873" spans="2:2" x14ac:dyDescent="0.2">
      <c r="B2873" s="11"/>
    </row>
    <row r="2874" spans="2:2" x14ac:dyDescent="0.2">
      <c r="B2874" s="11"/>
    </row>
    <row r="2875" spans="2:2" x14ac:dyDescent="0.2">
      <c r="B2875" s="11"/>
    </row>
    <row r="2876" spans="2:2" x14ac:dyDescent="0.2">
      <c r="B2876" s="11"/>
    </row>
    <row r="2877" spans="2:2" x14ac:dyDescent="0.2">
      <c r="B2877" s="11"/>
    </row>
    <row r="2878" spans="2:2" x14ac:dyDescent="0.2">
      <c r="B2878" s="11"/>
    </row>
    <row r="2879" spans="2:2" x14ac:dyDescent="0.2">
      <c r="B2879" s="11"/>
    </row>
    <row r="2880" spans="2:2" x14ac:dyDescent="0.2">
      <c r="B2880" s="11"/>
    </row>
    <row r="2881" spans="2:2" x14ac:dyDescent="0.2">
      <c r="B2881" s="11"/>
    </row>
    <row r="2882" spans="2:2" x14ac:dyDescent="0.2">
      <c r="B2882" s="11"/>
    </row>
    <row r="2883" spans="2:2" x14ac:dyDescent="0.2">
      <c r="B2883" s="11"/>
    </row>
    <row r="2884" spans="2:2" x14ac:dyDescent="0.2">
      <c r="B2884" s="11"/>
    </row>
    <row r="2885" spans="2:2" x14ac:dyDescent="0.2">
      <c r="B2885" s="11"/>
    </row>
    <row r="2886" spans="2:2" x14ac:dyDescent="0.2">
      <c r="B2886" s="11"/>
    </row>
    <row r="2887" spans="2:2" x14ac:dyDescent="0.2">
      <c r="B2887" s="11"/>
    </row>
    <row r="2888" spans="2:2" x14ac:dyDescent="0.2">
      <c r="B2888" s="11"/>
    </row>
    <row r="2889" spans="2:2" x14ac:dyDescent="0.2">
      <c r="B2889" s="11"/>
    </row>
    <row r="2890" spans="2:2" x14ac:dyDescent="0.2">
      <c r="B2890" s="11"/>
    </row>
    <row r="2891" spans="2:2" x14ac:dyDescent="0.2">
      <c r="B2891" s="11"/>
    </row>
    <row r="2892" spans="2:2" x14ac:dyDescent="0.2">
      <c r="B2892" s="11"/>
    </row>
    <row r="2893" spans="2:2" x14ac:dyDescent="0.2">
      <c r="B2893" s="11"/>
    </row>
    <row r="2894" spans="2:2" x14ac:dyDescent="0.2">
      <c r="B2894" s="11"/>
    </row>
    <row r="2895" spans="2:2" x14ac:dyDescent="0.2">
      <c r="B2895" s="11"/>
    </row>
    <row r="2896" spans="2:2" x14ac:dyDescent="0.2">
      <c r="B2896" s="11"/>
    </row>
    <row r="2897" spans="2:2" x14ac:dyDescent="0.2">
      <c r="B2897" s="11"/>
    </row>
    <row r="2898" spans="2:2" x14ac:dyDescent="0.2">
      <c r="B2898" s="11"/>
    </row>
    <row r="2899" spans="2:2" x14ac:dyDescent="0.2">
      <c r="B2899" s="11"/>
    </row>
    <row r="2900" spans="2:2" x14ac:dyDescent="0.2">
      <c r="B2900" s="11"/>
    </row>
    <row r="2901" spans="2:2" x14ac:dyDescent="0.2">
      <c r="B2901" s="11"/>
    </row>
    <row r="2902" spans="2:2" x14ac:dyDescent="0.2">
      <c r="B2902" s="11"/>
    </row>
    <row r="2903" spans="2:2" x14ac:dyDescent="0.2">
      <c r="B2903" s="11"/>
    </row>
    <row r="2904" spans="2:2" x14ac:dyDescent="0.2">
      <c r="B2904" s="11"/>
    </row>
    <row r="2905" spans="2:2" x14ac:dyDescent="0.2">
      <c r="B2905" s="11"/>
    </row>
    <row r="2906" spans="2:2" x14ac:dyDescent="0.2">
      <c r="B2906" s="11"/>
    </row>
    <row r="2907" spans="2:2" x14ac:dyDescent="0.2">
      <c r="B2907" s="11"/>
    </row>
    <row r="2908" spans="2:2" x14ac:dyDescent="0.2">
      <c r="B2908" s="11"/>
    </row>
    <row r="2909" spans="2:2" x14ac:dyDescent="0.2">
      <c r="B2909" s="11"/>
    </row>
    <row r="2910" spans="2:2" x14ac:dyDescent="0.2">
      <c r="B2910" s="11"/>
    </row>
    <row r="2911" spans="2:2" x14ac:dyDescent="0.2">
      <c r="B2911" s="11"/>
    </row>
    <row r="2912" spans="2:2" x14ac:dyDescent="0.2">
      <c r="B2912" s="11"/>
    </row>
    <row r="2913" spans="2:2" x14ac:dyDescent="0.2">
      <c r="B2913" s="11"/>
    </row>
    <row r="2914" spans="2:2" x14ac:dyDescent="0.2">
      <c r="B2914" s="11"/>
    </row>
    <row r="2915" spans="2:2" x14ac:dyDescent="0.2">
      <c r="B2915" s="11"/>
    </row>
    <row r="2916" spans="2:2" x14ac:dyDescent="0.2">
      <c r="B2916" s="11"/>
    </row>
    <row r="2917" spans="2:2" x14ac:dyDescent="0.2">
      <c r="B2917" s="11"/>
    </row>
    <row r="2918" spans="2:2" x14ac:dyDescent="0.2">
      <c r="B2918" s="11"/>
    </row>
    <row r="2919" spans="2:2" x14ac:dyDescent="0.2">
      <c r="B2919" s="11"/>
    </row>
    <row r="2920" spans="2:2" x14ac:dyDescent="0.2">
      <c r="B2920" s="11"/>
    </row>
    <row r="2921" spans="2:2" x14ac:dyDescent="0.2">
      <c r="B2921" s="11"/>
    </row>
    <row r="2922" spans="2:2" x14ac:dyDescent="0.2">
      <c r="B2922" s="11"/>
    </row>
    <row r="2923" spans="2:2" x14ac:dyDescent="0.2">
      <c r="B2923" s="11"/>
    </row>
    <row r="2924" spans="2:2" x14ac:dyDescent="0.2">
      <c r="B2924" s="11"/>
    </row>
    <row r="2925" spans="2:2" x14ac:dyDescent="0.2">
      <c r="B2925" s="11"/>
    </row>
    <row r="2926" spans="2:2" x14ac:dyDescent="0.2">
      <c r="B2926" s="11"/>
    </row>
    <row r="2927" spans="2:2" x14ac:dyDescent="0.2">
      <c r="B2927" s="11"/>
    </row>
    <row r="2928" spans="2:2" x14ac:dyDescent="0.2">
      <c r="B2928" s="11"/>
    </row>
    <row r="2929" spans="2:2" x14ac:dyDescent="0.2">
      <c r="B2929" s="11"/>
    </row>
    <row r="2930" spans="2:2" x14ac:dyDescent="0.2">
      <c r="B2930" s="11"/>
    </row>
    <row r="2931" spans="2:2" x14ac:dyDescent="0.2">
      <c r="B2931" s="11"/>
    </row>
    <row r="2932" spans="2:2" x14ac:dyDescent="0.2">
      <c r="B2932" s="11"/>
    </row>
    <row r="2933" spans="2:2" x14ac:dyDescent="0.2">
      <c r="B2933" s="11"/>
    </row>
    <row r="2934" spans="2:2" x14ac:dyDescent="0.2">
      <c r="B2934" s="11"/>
    </row>
    <row r="2935" spans="2:2" x14ac:dyDescent="0.2">
      <c r="B2935" s="11"/>
    </row>
    <row r="2936" spans="2:2" x14ac:dyDescent="0.2">
      <c r="B2936" s="11"/>
    </row>
    <row r="2937" spans="2:2" x14ac:dyDescent="0.2">
      <c r="B2937" s="11"/>
    </row>
    <row r="2938" spans="2:2" x14ac:dyDescent="0.2">
      <c r="B2938" s="11"/>
    </row>
    <row r="2939" spans="2:2" x14ac:dyDescent="0.2">
      <c r="B2939" s="11"/>
    </row>
    <row r="2940" spans="2:2" x14ac:dyDescent="0.2">
      <c r="B2940" s="11"/>
    </row>
    <row r="2941" spans="2:2" x14ac:dyDescent="0.2">
      <c r="B2941" s="11"/>
    </row>
    <row r="2942" spans="2:2" x14ac:dyDescent="0.2">
      <c r="B2942" s="11"/>
    </row>
    <row r="2943" spans="2:2" x14ac:dyDescent="0.2">
      <c r="B2943" s="11"/>
    </row>
    <row r="2944" spans="2:2" x14ac:dyDescent="0.2">
      <c r="B2944" s="11"/>
    </row>
    <row r="2945" spans="2:2" x14ac:dyDescent="0.2">
      <c r="B2945" s="11"/>
    </row>
    <row r="2946" spans="2:2" x14ac:dyDescent="0.2">
      <c r="B2946" s="11"/>
    </row>
    <row r="2947" spans="2:2" x14ac:dyDescent="0.2">
      <c r="B2947" s="11"/>
    </row>
    <row r="2948" spans="2:2" x14ac:dyDescent="0.2">
      <c r="B2948" s="11"/>
    </row>
    <row r="2949" spans="2:2" x14ac:dyDescent="0.2">
      <c r="B2949" s="11"/>
    </row>
    <row r="2950" spans="2:2" x14ac:dyDescent="0.2">
      <c r="B2950" s="11"/>
    </row>
    <row r="2951" spans="2:2" x14ac:dyDescent="0.2">
      <c r="B2951" s="11"/>
    </row>
    <row r="2952" spans="2:2" x14ac:dyDescent="0.2">
      <c r="B2952" s="11"/>
    </row>
    <row r="2953" spans="2:2" x14ac:dyDescent="0.2">
      <c r="B2953" s="11"/>
    </row>
    <row r="2954" spans="2:2" x14ac:dyDescent="0.2">
      <c r="B2954" s="11"/>
    </row>
    <row r="2955" spans="2:2" x14ac:dyDescent="0.2">
      <c r="B2955" s="11"/>
    </row>
    <row r="2956" spans="2:2" x14ac:dyDescent="0.2">
      <c r="B2956" s="11"/>
    </row>
    <row r="2957" spans="2:2" x14ac:dyDescent="0.2">
      <c r="B2957" s="11"/>
    </row>
    <row r="2958" spans="2:2" x14ac:dyDescent="0.2">
      <c r="B2958" s="11"/>
    </row>
    <row r="2959" spans="2:2" x14ac:dyDescent="0.2">
      <c r="B2959" s="11"/>
    </row>
    <row r="2960" spans="2:2" x14ac:dyDescent="0.2">
      <c r="B2960" s="11"/>
    </row>
    <row r="2961" spans="2:2" x14ac:dyDescent="0.2">
      <c r="B2961" s="11"/>
    </row>
    <row r="2962" spans="2:2" x14ac:dyDescent="0.2">
      <c r="B2962" s="11"/>
    </row>
    <row r="2963" spans="2:2" x14ac:dyDescent="0.2">
      <c r="B2963" s="11"/>
    </row>
    <row r="2964" spans="2:2" x14ac:dyDescent="0.2">
      <c r="B2964" s="11"/>
    </row>
    <row r="2965" spans="2:2" x14ac:dyDescent="0.2">
      <c r="B2965" s="11"/>
    </row>
    <row r="2966" spans="2:2" x14ac:dyDescent="0.2">
      <c r="B2966" s="11"/>
    </row>
    <row r="2967" spans="2:2" x14ac:dyDescent="0.2">
      <c r="B2967" s="11"/>
    </row>
    <row r="2968" spans="2:2" x14ac:dyDescent="0.2">
      <c r="B2968" s="11"/>
    </row>
    <row r="2969" spans="2:2" x14ac:dyDescent="0.2">
      <c r="B2969" s="11"/>
    </row>
    <row r="2970" spans="2:2" x14ac:dyDescent="0.2">
      <c r="B2970" s="11"/>
    </row>
    <row r="2971" spans="2:2" x14ac:dyDescent="0.2">
      <c r="B2971" s="11"/>
    </row>
    <row r="2972" spans="2:2" x14ac:dyDescent="0.2">
      <c r="B2972" s="11"/>
    </row>
    <row r="2973" spans="2:2" x14ac:dyDescent="0.2">
      <c r="B2973" s="11"/>
    </row>
    <row r="2974" spans="2:2" x14ac:dyDescent="0.2">
      <c r="B2974" s="11"/>
    </row>
    <row r="2975" spans="2:2" x14ac:dyDescent="0.2">
      <c r="B2975" s="11"/>
    </row>
    <row r="2976" spans="2:2" x14ac:dyDescent="0.2">
      <c r="B2976" s="11"/>
    </row>
    <row r="2977" spans="2:2" x14ac:dyDescent="0.2">
      <c r="B2977" s="11"/>
    </row>
    <row r="2978" spans="2:2" x14ac:dyDescent="0.2">
      <c r="B2978" s="11"/>
    </row>
    <row r="2979" spans="2:2" x14ac:dyDescent="0.2">
      <c r="B2979" s="11"/>
    </row>
    <row r="2980" spans="2:2" x14ac:dyDescent="0.2">
      <c r="B2980" s="11"/>
    </row>
    <row r="2981" spans="2:2" x14ac:dyDescent="0.2">
      <c r="B2981" s="11"/>
    </row>
    <row r="2982" spans="2:2" x14ac:dyDescent="0.2">
      <c r="B2982" s="11"/>
    </row>
    <row r="2983" spans="2:2" x14ac:dyDescent="0.2">
      <c r="B2983" s="11"/>
    </row>
    <row r="2984" spans="2:2" x14ac:dyDescent="0.2">
      <c r="B2984" s="11"/>
    </row>
    <row r="2985" spans="2:2" x14ac:dyDescent="0.2">
      <c r="B2985" s="11"/>
    </row>
    <row r="2986" spans="2:2" x14ac:dyDescent="0.2">
      <c r="B2986" s="11"/>
    </row>
    <row r="2987" spans="2:2" x14ac:dyDescent="0.2">
      <c r="B2987" s="11"/>
    </row>
    <row r="2988" spans="2:2" x14ac:dyDescent="0.2">
      <c r="B2988" s="11"/>
    </row>
    <row r="2989" spans="2:2" x14ac:dyDescent="0.2">
      <c r="B2989" s="11"/>
    </row>
    <row r="2990" spans="2:2" x14ac:dyDescent="0.2">
      <c r="B2990" s="11"/>
    </row>
    <row r="2991" spans="2:2" x14ac:dyDescent="0.2">
      <c r="B2991" s="11"/>
    </row>
    <row r="2992" spans="2:2" x14ac:dyDescent="0.2">
      <c r="B2992" s="11"/>
    </row>
    <row r="2993" spans="2:2" x14ac:dyDescent="0.2">
      <c r="B2993" s="11"/>
    </row>
    <row r="2994" spans="2:2" x14ac:dyDescent="0.2">
      <c r="B2994" s="11"/>
    </row>
    <row r="2995" spans="2:2" x14ac:dyDescent="0.2">
      <c r="B2995" s="11"/>
    </row>
    <row r="2996" spans="2:2" x14ac:dyDescent="0.2">
      <c r="B2996" s="11"/>
    </row>
    <row r="2997" spans="2:2" x14ac:dyDescent="0.2">
      <c r="B2997" s="11"/>
    </row>
    <row r="2998" spans="2:2" x14ac:dyDescent="0.2">
      <c r="B2998" s="11"/>
    </row>
    <row r="2999" spans="2:2" x14ac:dyDescent="0.2">
      <c r="B2999" s="11"/>
    </row>
    <row r="3000" spans="2:2" x14ac:dyDescent="0.2">
      <c r="B3000" s="11"/>
    </row>
    <row r="3001" spans="2:2" x14ac:dyDescent="0.2">
      <c r="B3001" s="11"/>
    </row>
    <row r="3002" spans="2:2" x14ac:dyDescent="0.2">
      <c r="B3002" s="11"/>
    </row>
    <row r="3003" spans="2:2" x14ac:dyDescent="0.2">
      <c r="B3003" s="11"/>
    </row>
    <row r="3004" spans="2:2" x14ac:dyDescent="0.2">
      <c r="B3004" s="11"/>
    </row>
    <row r="3005" spans="2:2" x14ac:dyDescent="0.2">
      <c r="B3005" s="11"/>
    </row>
    <row r="3006" spans="2:2" x14ac:dyDescent="0.2">
      <c r="B3006" s="11"/>
    </row>
    <row r="3007" spans="2:2" x14ac:dyDescent="0.2">
      <c r="B3007" s="11"/>
    </row>
    <row r="3008" spans="2:2" x14ac:dyDescent="0.2">
      <c r="B3008" s="11"/>
    </row>
    <row r="3009" spans="2:2" x14ac:dyDescent="0.2">
      <c r="B3009" s="11"/>
    </row>
    <row r="3010" spans="2:2" x14ac:dyDescent="0.2">
      <c r="B3010" s="11"/>
    </row>
    <row r="3011" spans="2:2" x14ac:dyDescent="0.2">
      <c r="B3011" s="11"/>
    </row>
    <row r="3012" spans="2:2" x14ac:dyDescent="0.2">
      <c r="B3012" s="11"/>
    </row>
    <row r="3013" spans="2:2" x14ac:dyDescent="0.2">
      <c r="B3013" s="11"/>
    </row>
    <row r="3014" spans="2:2" x14ac:dyDescent="0.2">
      <c r="B3014" s="11"/>
    </row>
    <row r="3015" spans="2:2" x14ac:dyDescent="0.2">
      <c r="B3015" s="11"/>
    </row>
    <row r="3016" spans="2:2" x14ac:dyDescent="0.2">
      <c r="B3016" s="11"/>
    </row>
    <row r="3017" spans="2:2" x14ac:dyDescent="0.2">
      <c r="B3017" s="11"/>
    </row>
    <row r="3018" spans="2:2" x14ac:dyDescent="0.2">
      <c r="B3018" s="11"/>
    </row>
    <row r="3019" spans="2:2" x14ac:dyDescent="0.2">
      <c r="B3019" s="11"/>
    </row>
    <row r="3020" spans="2:2" x14ac:dyDescent="0.2">
      <c r="B3020" s="11"/>
    </row>
    <row r="3021" spans="2:2" x14ac:dyDescent="0.2">
      <c r="B3021" s="11"/>
    </row>
    <row r="3022" spans="2:2" x14ac:dyDescent="0.2">
      <c r="B3022" s="11"/>
    </row>
    <row r="3023" spans="2:2" x14ac:dyDescent="0.2">
      <c r="B3023" s="11"/>
    </row>
    <row r="3024" spans="2:2" x14ac:dyDescent="0.2">
      <c r="B3024" s="11"/>
    </row>
    <row r="3025" spans="2:2" x14ac:dyDescent="0.2">
      <c r="B3025" s="11"/>
    </row>
    <row r="3026" spans="2:2" x14ac:dyDescent="0.2">
      <c r="B3026" s="11"/>
    </row>
    <row r="3027" spans="2:2" x14ac:dyDescent="0.2">
      <c r="B3027" s="11"/>
    </row>
    <row r="3028" spans="2:2" x14ac:dyDescent="0.2">
      <c r="B3028" s="11"/>
    </row>
    <row r="3029" spans="2:2" x14ac:dyDescent="0.2">
      <c r="B3029" s="11"/>
    </row>
    <row r="3030" spans="2:2" x14ac:dyDescent="0.2">
      <c r="B3030" s="11"/>
    </row>
    <row r="3031" spans="2:2" x14ac:dyDescent="0.2">
      <c r="B3031" s="11"/>
    </row>
    <row r="3032" spans="2:2" x14ac:dyDescent="0.2">
      <c r="B3032" s="11"/>
    </row>
    <row r="3033" spans="2:2" x14ac:dyDescent="0.2">
      <c r="B3033" s="11"/>
    </row>
    <row r="3034" spans="2:2" x14ac:dyDescent="0.2">
      <c r="B3034" s="11"/>
    </row>
    <row r="3035" spans="2:2" x14ac:dyDescent="0.2">
      <c r="B3035" s="11"/>
    </row>
    <row r="3036" spans="2:2" x14ac:dyDescent="0.2">
      <c r="B3036" s="11"/>
    </row>
    <row r="3037" spans="2:2" x14ac:dyDescent="0.2">
      <c r="B3037" s="11"/>
    </row>
    <row r="3038" spans="2:2" x14ac:dyDescent="0.2">
      <c r="B3038" s="11"/>
    </row>
    <row r="3039" spans="2:2" x14ac:dyDescent="0.2">
      <c r="B3039" s="11"/>
    </row>
    <row r="3040" spans="2:2" x14ac:dyDescent="0.2">
      <c r="B3040" s="11"/>
    </row>
    <row r="3041" spans="2:2" x14ac:dyDescent="0.2">
      <c r="B3041" s="11"/>
    </row>
    <row r="3042" spans="2:2" x14ac:dyDescent="0.2">
      <c r="B3042" s="11"/>
    </row>
    <row r="3043" spans="2:2" x14ac:dyDescent="0.2">
      <c r="B3043" s="11"/>
    </row>
    <row r="3044" spans="2:2" x14ac:dyDescent="0.2">
      <c r="B3044" s="11"/>
    </row>
    <row r="3045" spans="2:2" x14ac:dyDescent="0.2">
      <c r="B3045" s="11"/>
    </row>
    <row r="3046" spans="2:2" x14ac:dyDescent="0.2">
      <c r="B3046" s="11"/>
    </row>
    <row r="3047" spans="2:2" x14ac:dyDescent="0.2">
      <c r="B3047" s="11"/>
    </row>
    <row r="3048" spans="2:2" x14ac:dyDescent="0.2">
      <c r="B3048" s="11"/>
    </row>
    <row r="3049" spans="2:2" x14ac:dyDescent="0.2">
      <c r="B3049" s="11"/>
    </row>
    <row r="3050" spans="2:2" x14ac:dyDescent="0.2">
      <c r="B3050" s="11"/>
    </row>
    <row r="3051" spans="2:2" x14ac:dyDescent="0.2">
      <c r="B3051" s="11"/>
    </row>
    <row r="3052" spans="2:2" x14ac:dyDescent="0.2">
      <c r="B3052" s="11"/>
    </row>
    <row r="3053" spans="2:2" x14ac:dyDescent="0.2">
      <c r="B3053" s="11"/>
    </row>
    <row r="3054" spans="2:2" x14ac:dyDescent="0.2">
      <c r="B3054" s="11"/>
    </row>
    <row r="3055" spans="2:2" x14ac:dyDescent="0.2">
      <c r="B3055" s="11"/>
    </row>
    <row r="3056" spans="2:2" x14ac:dyDescent="0.2">
      <c r="B3056" s="11"/>
    </row>
    <row r="3057" spans="2:2" x14ac:dyDescent="0.2">
      <c r="B3057" s="11"/>
    </row>
    <row r="3058" spans="2:2" x14ac:dyDescent="0.2">
      <c r="B3058" s="11"/>
    </row>
    <row r="3059" spans="2:2" x14ac:dyDescent="0.2">
      <c r="B3059" s="11"/>
    </row>
    <row r="3060" spans="2:2" x14ac:dyDescent="0.2">
      <c r="B3060" s="11"/>
    </row>
    <row r="3061" spans="2:2" x14ac:dyDescent="0.2">
      <c r="B3061" s="11"/>
    </row>
    <row r="3062" spans="2:2" x14ac:dyDescent="0.2">
      <c r="B3062" s="11"/>
    </row>
    <row r="3063" spans="2:2" x14ac:dyDescent="0.2">
      <c r="B3063" s="11"/>
    </row>
    <row r="3064" spans="2:2" x14ac:dyDescent="0.2">
      <c r="B3064" s="11"/>
    </row>
    <row r="3065" spans="2:2" x14ac:dyDescent="0.2">
      <c r="B3065" s="11"/>
    </row>
    <row r="3066" spans="2:2" x14ac:dyDescent="0.2">
      <c r="B3066" s="11"/>
    </row>
    <row r="3067" spans="2:2" x14ac:dyDescent="0.2">
      <c r="B3067" s="11"/>
    </row>
    <row r="3068" spans="2:2" x14ac:dyDescent="0.2">
      <c r="B3068" s="11"/>
    </row>
    <row r="3069" spans="2:2" x14ac:dyDescent="0.2">
      <c r="B3069" s="11"/>
    </row>
    <row r="3070" spans="2:2" x14ac:dyDescent="0.2">
      <c r="B3070" s="11"/>
    </row>
    <row r="3071" spans="2:2" x14ac:dyDescent="0.2">
      <c r="B3071" s="11"/>
    </row>
    <row r="3072" spans="2:2" x14ac:dyDescent="0.2">
      <c r="B3072" s="11"/>
    </row>
    <row r="3073" spans="2:2" x14ac:dyDescent="0.2">
      <c r="B3073" s="11"/>
    </row>
    <row r="3074" spans="2:2" x14ac:dyDescent="0.2">
      <c r="B3074" s="11"/>
    </row>
    <row r="3075" spans="2:2" x14ac:dyDescent="0.2">
      <c r="B3075" s="11"/>
    </row>
    <row r="3076" spans="2:2" x14ac:dyDescent="0.2">
      <c r="B3076" s="11"/>
    </row>
    <row r="3077" spans="2:2" x14ac:dyDescent="0.2">
      <c r="B3077" s="11"/>
    </row>
    <row r="3078" spans="2:2" x14ac:dyDescent="0.2">
      <c r="B3078" s="11"/>
    </row>
    <row r="3079" spans="2:2" x14ac:dyDescent="0.2">
      <c r="B3079" s="11"/>
    </row>
    <row r="3080" spans="2:2" x14ac:dyDescent="0.2">
      <c r="B3080" s="11"/>
    </row>
    <row r="3081" spans="2:2" x14ac:dyDescent="0.2">
      <c r="B3081" s="11"/>
    </row>
    <row r="3082" spans="2:2" x14ac:dyDescent="0.2">
      <c r="B3082" s="11"/>
    </row>
    <row r="3083" spans="2:2" x14ac:dyDescent="0.2">
      <c r="B3083" s="11"/>
    </row>
    <row r="3084" spans="2:2" x14ac:dyDescent="0.2">
      <c r="B3084" s="11"/>
    </row>
    <row r="3085" spans="2:2" x14ac:dyDescent="0.2">
      <c r="B3085" s="11"/>
    </row>
    <row r="3086" spans="2:2" x14ac:dyDescent="0.2">
      <c r="B3086" s="11"/>
    </row>
    <row r="3087" spans="2:2" x14ac:dyDescent="0.2">
      <c r="B3087" s="11"/>
    </row>
    <row r="3088" spans="2:2" x14ac:dyDescent="0.2">
      <c r="B3088" s="11"/>
    </row>
    <row r="3089" spans="2:2" x14ac:dyDescent="0.2">
      <c r="B3089" s="11"/>
    </row>
    <row r="3090" spans="2:2" x14ac:dyDescent="0.2">
      <c r="B3090" s="11"/>
    </row>
    <row r="3091" spans="2:2" x14ac:dyDescent="0.2">
      <c r="B3091" s="11"/>
    </row>
    <row r="3092" spans="2:2" x14ac:dyDescent="0.2">
      <c r="B3092" s="11"/>
    </row>
    <row r="3093" spans="2:2" x14ac:dyDescent="0.2">
      <c r="B3093" s="11"/>
    </row>
    <row r="3094" spans="2:2" x14ac:dyDescent="0.2">
      <c r="B3094" s="11"/>
    </row>
    <row r="3095" spans="2:2" x14ac:dyDescent="0.2">
      <c r="B3095" s="11"/>
    </row>
    <row r="3096" spans="2:2" x14ac:dyDescent="0.2">
      <c r="B3096" s="11"/>
    </row>
    <row r="3097" spans="2:2" x14ac:dyDescent="0.2">
      <c r="B3097" s="11"/>
    </row>
    <row r="3098" spans="2:2" x14ac:dyDescent="0.2">
      <c r="B3098" s="11"/>
    </row>
    <row r="3099" spans="2:2" x14ac:dyDescent="0.2">
      <c r="B3099" s="11"/>
    </row>
    <row r="3100" spans="2:2" x14ac:dyDescent="0.2">
      <c r="B3100" s="11"/>
    </row>
    <row r="3101" spans="2:2" x14ac:dyDescent="0.2">
      <c r="B3101" s="11"/>
    </row>
    <row r="3102" spans="2:2" x14ac:dyDescent="0.2">
      <c r="B3102" s="11"/>
    </row>
    <row r="3103" spans="2:2" x14ac:dyDescent="0.2">
      <c r="B3103" s="11"/>
    </row>
    <row r="3104" spans="2:2" x14ac:dyDescent="0.2">
      <c r="B3104" s="11"/>
    </row>
    <row r="3105" spans="2:2" x14ac:dyDescent="0.2">
      <c r="B3105" s="11"/>
    </row>
    <row r="3106" spans="2:2" x14ac:dyDescent="0.2">
      <c r="B3106" s="11"/>
    </row>
    <row r="3107" spans="2:2" x14ac:dyDescent="0.2">
      <c r="B3107" s="11"/>
    </row>
    <row r="3108" spans="2:2" x14ac:dyDescent="0.2">
      <c r="B3108" s="11"/>
    </row>
    <row r="3109" spans="2:2" x14ac:dyDescent="0.2">
      <c r="B3109" s="11"/>
    </row>
    <row r="3110" spans="2:2" x14ac:dyDescent="0.2">
      <c r="B3110" s="11"/>
    </row>
    <row r="3111" spans="2:2" x14ac:dyDescent="0.2">
      <c r="B3111" s="11"/>
    </row>
    <row r="3112" spans="2:2" x14ac:dyDescent="0.2">
      <c r="B3112" s="11"/>
    </row>
    <row r="3113" spans="2:2" x14ac:dyDescent="0.2">
      <c r="B3113" s="11"/>
    </row>
    <row r="3114" spans="2:2" x14ac:dyDescent="0.2">
      <c r="B3114" s="11"/>
    </row>
    <row r="3115" spans="2:2" x14ac:dyDescent="0.2">
      <c r="B3115" s="11"/>
    </row>
    <row r="3116" spans="2:2" x14ac:dyDescent="0.2">
      <c r="B3116" s="11"/>
    </row>
    <row r="3117" spans="2:2" x14ac:dyDescent="0.2">
      <c r="B3117" s="11"/>
    </row>
    <row r="3118" spans="2:2" x14ac:dyDescent="0.2">
      <c r="B3118" s="11"/>
    </row>
    <row r="3119" spans="2:2" x14ac:dyDescent="0.2">
      <c r="B3119" s="11"/>
    </row>
    <row r="3120" spans="2:2" x14ac:dyDescent="0.2">
      <c r="B3120" s="11"/>
    </row>
    <row r="3121" spans="2:2" x14ac:dyDescent="0.2">
      <c r="B3121" s="11"/>
    </row>
    <row r="3122" spans="2:2" x14ac:dyDescent="0.2">
      <c r="B3122" s="11"/>
    </row>
    <row r="3123" spans="2:2" x14ac:dyDescent="0.2">
      <c r="B3123" s="11"/>
    </row>
    <row r="3124" spans="2:2" x14ac:dyDescent="0.2">
      <c r="B3124" s="11"/>
    </row>
    <row r="3125" spans="2:2" x14ac:dyDescent="0.2">
      <c r="B3125" s="11"/>
    </row>
    <row r="3126" spans="2:2" x14ac:dyDescent="0.2">
      <c r="B3126" s="11"/>
    </row>
    <row r="3127" spans="2:2" x14ac:dyDescent="0.2">
      <c r="B3127" s="11"/>
    </row>
    <row r="3128" spans="2:2" x14ac:dyDescent="0.2">
      <c r="B3128" s="11"/>
    </row>
    <row r="3129" spans="2:2" x14ac:dyDescent="0.2">
      <c r="B3129" s="11"/>
    </row>
    <row r="3130" spans="2:2" x14ac:dyDescent="0.2">
      <c r="B3130" s="11"/>
    </row>
    <row r="3131" spans="2:2" x14ac:dyDescent="0.2">
      <c r="B3131" s="11"/>
    </row>
    <row r="3132" spans="2:2" x14ac:dyDescent="0.2">
      <c r="B3132" s="11"/>
    </row>
    <row r="3133" spans="2:2" x14ac:dyDescent="0.2">
      <c r="B3133" s="11"/>
    </row>
    <row r="3134" spans="2:2" x14ac:dyDescent="0.2">
      <c r="B3134" s="11"/>
    </row>
    <row r="3135" spans="2:2" x14ac:dyDescent="0.2">
      <c r="B3135" s="11"/>
    </row>
    <row r="3136" spans="2:2" x14ac:dyDescent="0.2">
      <c r="B3136" s="11"/>
    </row>
    <row r="3137" spans="2:2" x14ac:dyDescent="0.2">
      <c r="B3137" s="11"/>
    </row>
    <row r="3138" spans="2:2" x14ac:dyDescent="0.2">
      <c r="B3138" s="11"/>
    </row>
    <row r="3139" spans="2:2" x14ac:dyDescent="0.2">
      <c r="B3139" s="11"/>
    </row>
    <row r="3140" spans="2:2" x14ac:dyDescent="0.2">
      <c r="B3140" s="11"/>
    </row>
    <row r="3141" spans="2:2" x14ac:dyDescent="0.2">
      <c r="B3141" s="11"/>
    </row>
    <row r="3142" spans="2:2" x14ac:dyDescent="0.2">
      <c r="B3142" s="11"/>
    </row>
    <row r="3143" spans="2:2" x14ac:dyDescent="0.2">
      <c r="B3143" s="11"/>
    </row>
    <row r="3144" spans="2:2" x14ac:dyDescent="0.2">
      <c r="B3144" s="11"/>
    </row>
    <row r="3145" spans="2:2" x14ac:dyDescent="0.2">
      <c r="B3145" s="11"/>
    </row>
    <row r="3146" spans="2:2" x14ac:dyDescent="0.2">
      <c r="B3146" s="11"/>
    </row>
    <row r="3147" spans="2:2" x14ac:dyDescent="0.2">
      <c r="B3147" s="11"/>
    </row>
    <row r="3148" spans="2:2" x14ac:dyDescent="0.2">
      <c r="B3148" s="11"/>
    </row>
    <row r="3149" spans="2:2" x14ac:dyDescent="0.2">
      <c r="B3149" s="11"/>
    </row>
    <row r="3150" spans="2:2" x14ac:dyDescent="0.2">
      <c r="B3150" s="11"/>
    </row>
    <row r="3151" spans="2:2" x14ac:dyDescent="0.2">
      <c r="B3151" s="11"/>
    </row>
    <row r="3152" spans="2:2" x14ac:dyDescent="0.2">
      <c r="B3152" s="11"/>
    </row>
    <row r="3153" spans="2:2" x14ac:dyDescent="0.2">
      <c r="B3153" s="11"/>
    </row>
    <row r="3154" spans="2:2" x14ac:dyDescent="0.2">
      <c r="B3154" s="11"/>
    </row>
    <row r="3155" spans="2:2" x14ac:dyDescent="0.2">
      <c r="B3155" s="11"/>
    </row>
    <row r="3156" spans="2:2" x14ac:dyDescent="0.2">
      <c r="B3156" s="11"/>
    </row>
    <row r="3157" spans="2:2" x14ac:dyDescent="0.2">
      <c r="B3157" s="11"/>
    </row>
    <row r="3158" spans="2:2" x14ac:dyDescent="0.2">
      <c r="B3158" s="11"/>
    </row>
    <row r="3159" spans="2:2" x14ac:dyDescent="0.2">
      <c r="B3159" s="11"/>
    </row>
    <row r="3160" spans="2:2" x14ac:dyDescent="0.2">
      <c r="B3160" s="11"/>
    </row>
    <row r="3161" spans="2:2" x14ac:dyDescent="0.2">
      <c r="B3161" s="11"/>
    </row>
    <row r="3162" spans="2:2" x14ac:dyDescent="0.2">
      <c r="B3162" s="11"/>
    </row>
    <row r="3163" spans="2:2" x14ac:dyDescent="0.2">
      <c r="B3163" s="11"/>
    </row>
    <row r="3164" spans="2:2" x14ac:dyDescent="0.2">
      <c r="B3164" s="11"/>
    </row>
    <row r="3165" spans="2:2" x14ac:dyDescent="0.2">
      <c r="B3165" s="11"/>
    </row>
    <row r="3166" spans="2:2" x14ac:dyDescent="0.2">
      <c r="B3166" s="11"/>
    </row>
    <row r="3167" spans="2:2" x14ac:dyDescent="0.2">
      <c r="B3167" s="11"/>
    </row>
    <row r="3168" spans="2:2" x14ac:dyDescent="0.2">
      <c r="B3168" s="11"/>
    </row>
    <row r="3169" spans="2:2" x14ac:dyDescent="0.2">
      <c r="B3169" s="11"/>
    </row>
    <row r="3170" spans="2:2" x14ac:dyDescent="0.2">
      <c r="B3170" s="11"/>
    </row>
    <row r="3171" spans="2:2" x14ac:dyDescent="0.2">
      <c r="B3171" s="11"/>
    </row>
    <row r="3172" spans="2:2" x14ac:dyDescent="0.2">
      <c r="B3172" s="11"/>
    </row>
    <row r="3173" spans="2:2" x14ac:dyDescent="0.2">
      <c r="B3173" s="11"/>
    </row>
    <row r="3174" spans="2:2" x14ac:dyDescent="0.2">
      <c r="B3174" s="11"/>
    </row>
    <row r="3175" spans="2:2" x14ac:dyDescent="0.2">
      <c r="B3175" s="11"/>
    </row>
    <row r="3176" spans="2:2" x14ac:dyDescent="0.2">
      <c r="B3176" s="11"/>
    </row>
    <row r="3177" spans="2:2" x14ac:dyDescent="0.2">
      <c r="B3177" s="11"/>
    </row>
    <row r="3178" spans="2:2" x14ac:dyDescent="0.2">
      <c r="B3178" s="11"/>
    </row>
    <row r="3179" spans="2:2" x14ac:dyDescent="0.2">
      <c r="B3179" s="11"/>
    </row>
    <row r="3180" spans="2:2" x14ac:dyDescent="0.2">
      <c r="B3180" s="11"/>
    </row>
    <row r="3181" spans="2:2" x14ac:dyDescent="0.2">
      <c r="B3181" s="11"/>
    </row>
    <row r="3182" spans="2:2" x14ac:dyDescent="0.2">
      <c r="B3182" s="11"/>
    </row>
    <row r="3183" spans="2:2" x14ac:dyDescent="0.2">
      <c r="B3183" s="11"/>
    </row>
    <row r="3184" spans="2:2" x14ac:dyDescent="0.2">
      <c r="B3184" s="11"/>
    </row>
    <row r="3185" spans="2:2" x14ac:dyDescent="0.2">
      <c r="B3185" s="11"/>
    </row>
    <row r="3186" spans="2:2" x14ac:dyDescent="0.2">
      <c r="B3186" s="11"/>
    </row>
    <row r="3187" spans="2:2" x14ac:dyDescent="0.2">
      <c r="B3187" s="11"/>
    </row>
    <row r="3188" spans="2:2" x14ac:dyDescent="0.2">
      <c r="B3188" s="11"/>
    </row>
    <row r="3189" spans="2:2" x14ac:dyDescent="0.2">
      <c r="B3189" s="11"/>
    </row>
    <row r="3190" spans="2:2" x14ac:dyDescent="0.2">
      <c r="B3190" s="11"/>
    </row>
    <row r="3191" spans="2:2" x14ac:dyDescent="0.2">
      <c r="B3191" s="11"/>
    </row>
    <row r="3192" spans="2:2" x14ac:dyDescent="0.2">
      <c r="B3192" s="11"/>
    </row>
    <row r="3193" spans="2:2" x14ac:dyDescent="0.2">
      <c r="B3193" s="11"/>
    </row>
    <row r="3194" spans="2:2" x14ac:dyDescent="0.2">
      <c r="B3194" s="11"/>
    </row>
    <row r="3195" spans="2:2" x14ac:dyDescent="0.2">
      <c r="B3195" s="11"/>
    </row>
    <row r="3196" spans="2:2" x14ac:dyDescent="0.2">
      <c r="B3196" s="11"/>
    </row>
    <row r="3197" spans="2:2" x14ac:dyDescent="0.2">
      <c r="B3197" s="11"/>
    </row>
    <row r="3198" spans="2:2" x14ac:dyDescent="0.2">
      <c r="B3198" s="11"/>
    </row>
    <row r="3199" spans="2:2" x14ac:dyDescent="0.2">
      <c r="B3199" s="11"/>
    </row>
    <row r="3200" spans="2:2" x14ac:dyDescent="0.2">
      <c r="B3200" s="11"/>
    </row>
    <row r="3201" spans="2:2" x14ac:dyDescent="0.2">
      <c r="B3201" s="11"/>
    </row>
    <row r="3202" spans="2:2" x14ac:dyDescent="0.2">
      <c r="B3202" s="11"/>
    </row>
    <row r="3203" spans="2:2" x14ac:dyDescent="0.2">
      <c r="B3203" s="11"/>
    </row>
    <row r="3204" spans="2:2" x14ac:dyDescent="0.2">
      <c r="B3204" s="11"/>
    </row>
    <row r="3205" spans="2:2" x14ac:dyDescent="0.2">
      <c r="B3205" s="11"/>
    </row>
    <row r="3206" spans="2:2" x14ac:dyDescent="0.2">
      <c r="B3206" s="11"/>
    </row>
    <row r="3207" spans="2:2" x14ac:dyDescent="0.2">
      <c r="B3207" s="11"/>
    </row>
    <row r="3208" spans="2:2" x14ac:dyDescent="0.2">
      <c r="B3208" s="11"/>
    </row>
    <row r="3209" spans="2:2" x14ac:dyDescent="0.2">
      <c r="B3209" s="11"/>
    </row>
    <row r="3210" spans="2:2" x14ac:dyDescent="0.2">
      <c r="B3210" s="11"/>
    </row>
    <row r="3211" spans="2:2" x14ac:dyDescent="0.2">
      <c r="B3211" s="11"/>
    </row>
    <row r="3212" spans="2:2" x14ac:dyDescent="0.2">
      <c r="B3212" s="11"/>
    </row>
    <row r="3213" spans="2:2" x14ac:dyDescent="0.2">
      <c r="B3213" s="11"/>
    </row>
    <row r="3214" spans="2:2" x14ac:dyDescent="0.2">
      <c r="B3214" s="11"/>
    </row>
    <row r="3215" spans="2:2" x14ac:dyDescent="0.2">
      <c r="B3215" s="11"/>
    </row>
    <row r="3216" spans="2:2" x14ac:dyDescent="0.2">
      <c r="B3216" s="11"/>
    </row>
    <row r="3217" spans="2:2" x14ac:dyDescent="0.2">
      <c r="B3217" s="11"/>
    </row>
    <row r="3218" spans="2:2" x14ac:dyDescent="0.2">
      <c r="B3218" s="11"/>
    </row>
    <row r="3219" spans="2:2" x14ac:dyDescent="0.2">
      <c r="B3219" s="11"/>
    </row>
    <row r="3220" spans="2:2" x14ac:dyDescent="0.2">
      <c r="B3220" s="11"/>
    </row>
    <row r="3221" spans="2:2" x14ac:dyDescent="0.2">
      <c r="B3221" s="11"/>
    </row>
    <row r="3222" spans="2:2" x14ac:dyDescent="0.2">
      <c r="B3222" s="11"/>
    </row>
    <row r="3223" spans="2:2" x14ac:dyDescent="0.2">
      <c r="B3223" s="11"/>
    </row>
    <row r="3224" spans="2:2" x14ac:dyDescent="0.2">
      <c r="B3224" s="11"/>
    </row>
    <row r="3225" spans="2:2" x14ac:dyDescent="0.2">
      <c r="B3225" s="11"/>
    </row>
    <row r="3226" spans="2:2" x14ac:dyDescent="0.2">
      <c r="B3226" s="11"/>
    </row>
    <row r="3227" spans="2:2" x14ac:dyDescent="0.2">
      <c r="B3227" s="11"/>
    </row>
    <row r="3228" spans="2:2" x14ac:dyDescent="0.2">
      <c r="B3228" s="11"/>
    </row>
    <row r="3229" spans="2:2" x14ac:dyDescent="0.2">
      <c r="B3229" s="11"/>
    </row>
    <row r="3230" spans="2:2" x14ac:dyDescent="0.2">
      <c r="B3230" s="11"/>
    </row>
    <row r="3231" spans="2:2" x14ac:dyDescent="0.2">
      <c r="B3231" s="11"/>
    </row>
    <row r="3232" spans="2:2" x14ac:dyDescent="0.2">
      <c r="B3232" s="11"/>
    </row>
    <row r="3233" spans="2:2" x14ac:dyDescent="0.2">
      <c r="B3233" s="11"/>
    </row>
    <row r="3234" spans="2:2" x14ac:dyDescent="0.2">
      <c r="B3234" s="11"/>
    </row>
    <row r="3235" spans="2:2" x14ac:dyDescent="0.2">
      <c r="B3235" s="11"/>
    </row>
    <row r="3236" spans="2:2" x14ac:dyDescent="0.2">
      <c r="B3236" s="11"/>
    </row>
    <row r="3237" spans="2:2" x14ac:dyDescent="0.2">
      <c r="B3237" s="11"/>
    </row>
    <row r="3238" spans="2:2" x14ac:dyDescent="0.2">
      <c r="B3238" s="11"/>
    </row>
    <row r="3239" spans="2:2" x14ac:dyDescent="0.2">
      <c r="B3239" s="11"/>
    </row>
    <row r="3240" spans="2:2" x14ac:dyDescent="0.2">
      <c r="B3240" s="11"/>
    </row>
    <row r="3241" spans="2:2" x14ac:dyDescent="0.2">
      <c r="B3241" s="11"/>
    </row>
    <row r="3242" spans="2:2" x14ac:dyDescent="0.2">
      <c r="B3242" s="11"/>
    </row>
    <row r="3243" spans="2:2" x14ac:dyDescent="0.2">
      <c r="B3243" s="11"/>
    </row>
    <row r="3244" spans="2:2" x14ac:dyDescent="0.2">
      <c r="B3244" s="11"/>
    </row>
    <row r="3245" spans="2:2" x14ac:dyDescent="0.2">
      <c r="B3245" s="11"/>
    </row>
    <row r="3246" spans="2:2" x14ac:dyDescent="0.2">
      <c r="B3246" s="11"/>
    </row>
    <row r="3247" spans="2:2" x14ac:dyDescent="0.2">
      <c r="B3247" s="11"/>
    </row>
    <row r="3248" spans="2:2" x14ac:dyDescent="0.2">
      <c r="B3248" s="11"/>
    </row>
    <row r="3249" spans="2:2" x14ac:dyDescent="0.2">
      <c r="B3249" s="11"/>
    </row>
    <row r="3250" spans="2:2" x14ac:dyDescent="0.2">
      <c r="B3250" s="11"/>
    </row>
    <row r="3251" spans="2:2" x14ac:dyDescent="0.2">
      <c r="B3251" s="11"/>
    </row>
    <row r="3252" spans="2:2" x14ac:dyDescent="0.2">
      <c r="B3252" s="11"/>
    </row>
    <row r="3253" spans="2:2" x14ac:dyDescent="0.2">
      <c r="B3253" s="11"/>
    </row>
    <row r="3254" spans="2:2" x14ac:dyDescent="0.2">
      <c r="B3254" s="11"/>
    </row>
    <row r="3255" spans="2:2" x14ac:dyDescent="0.2">
      <c r="B3255" s="11"/>
    </row>
    <row r="3256" spans="2:2" x14ac:dyDescent="0.2">
      <c r="B3256" s="11"/>
    </row>
    <row r="3257" spans="2:2" x14ac:dyDescent="0.2">
      <c r="B3257" s="11"/>
    </row>
    <row r="3258" spans="2:2" x14ac:dyDescent="0.2">
      <c r="B3258" s="11"/>
    </row>
    <row r="3259" spans="2:2" x14ac:dyDescent="0.2">
      <c r="B3259" s="11"/>
    </row>
    <row r="3260" spans="2:2" x14ac:dyDescent="0.2">
      <c r="B3260" s="11"/>
    </row>
    <row r="3261" spans="2:2" x14ac:dyDescent="0.2">
      <c r="B3261" s="11"/>
    </row>
    <row r="3262" spans="2:2" x14ac:dyDescent="0.2">
      <c r="B3262" s="11"/>
    </row>
    <row r="3263" spans="2:2" x14ac:dyDescent="0.2">
      <c r="B3263" s="11"/>
    </row>
    <row r="3264" spans="2:2" x14ac:dyDescent="0.2">
      <c r="B3264" s="11"/>
    </row>
    <row r="3265" spans="2:2" x14ac:dyDescent="0.2">
      <c r="B3265" s="11"/>
    </row>
    <row r="3266" spans="2:2" x14ac:dyDescent="0.2">
      <c r="B3266" s="11"/>
    </row>
    <row r="3267" spans="2:2" x14ac:dyDescent="0.2">
      <c r="B3267" s="11"/>
    </row>
    <row r="3268" spans="2:2" x14ac:dyDescent="0.2">
      <c r="B3268" s="11"/>
    </row>
    <row r="3269" spans="2:2" x14ac:dyDescent="0.2">
      <c r="B3269" s="11"/>
    </row>
    <row r="3270" spans="2:2" x14ac:dyDescent="0.2">
      <c r="B3270" s="11"/>
    </row>
    <row r="3271" spans="2:2" x14ac:dyDescent="0.2">
      <c r="B3271" s="11"/>
    </row>
    <row r="3272" spans="2:2" x14ac:dyDescent="0.2">
      <c r="B3272" s="11"/>
    </row>
    <row r="3273" spans="2:2" x14ac:dyDescent="0.2">
      <c r="B3273" s="11"/>
    </row>
    <row r="3274" spans="2:2" x14ac:dyDescent="0.2">
      <c r="B3274" s="11"/>
    </row>
    <row r="3275" spans="2:2" x14ac:dyDescent="0.2">
      <c r="B3275" s="11"/>
    </row>
    <row r="3276" spans="2:2" x14ac:dyDescent="0.2">
      <c r="B3276" s="11"/>
    </row>
    <row r="3277" spans="2:2" x14ac:dyDescent="0.2">
      <c r="B3277" s="11"/>
    </row>
    <row r="3278" spans="2:2" x14ac:dyDescent="0.2">
      <c r="B3278" s="11"/>
    </row>
    <row r="3279" spans="2:2" x14ac:dyDescent="0.2">
      <c r="B3279" s="11"/>
    </row>
    <row r="3280" spans="2:2" x14ac:dyDescent="0.2">
      <c r="B3280" s="11"/>
    </row>
    <row r="3281" spans="2:2" x14ac:dyDescent="0.2">
      <c r="B3281" s="11"/>
    </row>
    <row r="3282" spans="2:2" x14ac:dyDescent="0.2">
      <c r="B3282" s="11"/>
    </row>
    <row r="3283" spans="2:2" x14ac:dyDescent="0.2">
      <c r="B3283" s="11"/>
    </row>
    <row r="3284" spans="2:2" x14ac:dyDescent="0.2">
      <c r="B3284" s="11"/>
    </row>
    <row r="3285" spans="2:2" x14ac:dyDescent="0.2">
      <c r="B3285" s="11"/>
    </row>
    <row r="3286" spans="2:2" x14ac:dyDescent="0.2">
      <c r="B3286" s="11"/>
    </row>
    <row r="3287" spans="2:2" x14ac:dyDescent="0.2">
      <c r="B3287" s="11"/>
    </row>
    <row r="3288" spans="2:2" x14ac:dyDescent="0.2">
      <c r="B3288" s="11"/>
    </row>
    <row r="3289" spans="2:2" x14ac:dyDescent="0.2">
      <c r="B3289" s="11"/>
    </row>
    <row r="3290" spans="2:2" x14ac:dyDescent="0.2">
      <c r="B3290" s="11"/>
    </row>
    <row r="3291" spans="2:2" x14ac:dyDescent="0.2">
      <c r="B3291" s="11"/>
    </row>
    <row r="3292" spans="2:2" x14ac:dyDescent="0.2">
      <c r="B3292" s="11"/>
    </row>
    <row r="3293" spans="2:2" x14ac:dyDescent="0.2">
      <c r="B3293" s="11"/>
    </row>
    <row r="3294" spans="2:2" x14ac:dyDescent="0.2">
      <c r="B3294" s="11"/>
    </row>
    <row r="3295" spans="2:2" x14ac:dyDescent="0.2">
      <c r="B3295" s="11"/>
    </row>
    <row r="3296" spans="2:2" x14ac:dyDescent="0.2">
      <c r="B3296" s="11"/>
    </row>
    <row r="3297" spans="2:2" x14ac:dyDescent="0.2">
      <c r="B3297" s="11"/>
    </row>
    <row r="3298" spans="2:2" x14ac:dyDescent="0.2">
      <c r="B3298" s="11"/>
    </row>
    <row r="3299" spans="2:2" x14ac:dyDescent="0.2">
      <c r="B3299" s="11"/>
    </row>
    <row r="3300" spans="2:2" x14ac:dyDescent="0.2">
      <c r="B3300" s="11"/>
    </row>
    <row r="3301" spans="2:2" x14ac:dyDescent="0.2">
      <c r="B3301" s="11"/>
    </row>
    <row r="3302" spans="2:2" x14ac:dyDescent="0.2">
      <c r="B3302" s="11"/>
    </row>
    <row r="3303" spans="2:2" x14ac:dyDescent="0.2">
      <c r="B3303" s="11"/>
    </row>
    <row r="3304" spans="2:2" x14ac:dyDescent="0.2">
      <c r="B3304" s="11"/>
    </row>
    <row r="3305" spans="2:2" x14ac:dyDescent="0.2">
      <c r="B3305" s="11"/>
    </row>
    <row r="3306" spans="2:2" x14ac:dyDescent="0.2">
      <c r="B3306" s="11"/>
    </row>
    <row r="3307" spans="2:2" x14ac:dyDescent="0.2">
      <c r="B3307" s="11"/>
    </row>
    <row r="3308" spans="2:2" x14ac:dyDescent="0.2">
      <c r="B3308" s="11"/>
    </row>
    <row r="3309" spans="2:2" x14ac:dyDescent="0.2">
      <c r="B3309" s="11"/>
    </row>
    <row r="3310" spans="2:2" x14ac:dyDescent="0.2">
      <c r="B3310" s="11"/>
    </row>
    <row r="3311" spans="2:2" x14ac:dyDescent="0.2">
      <c r="B3311" s="11"/>
    </row>
    <row r="3312" spans="2:2" x14ac:dyDescent="0.2">
      <c r="B3312" s="11"/>
    </row>
    <row r="3313" spans="2:2" x14ac:dyDescent="0.2">
      <c r="B3313" s="11"/>
    </row>
    <row r="3314" spans="2:2" x14ac:dyDescent="0.2">
      <c r="B3314" s="11"/>
    </row>
    <row r="3315" spans="2:2" x14ac:dyDescent="0.2">
      <c r="B3315" s="11"/>
    </row>
    <row r="3316" spans="2:2" x14ac:dyDescent="0.2">
      <c r="B3316" s="11"/>
    </row>
    <row r="3317" spans="2:2" x14ac:dyDescent="0.2">
      <c r="B3317" s="11"/>
    </row>
    <row r="3318" spans="2:2" x14ac:dyDescent="0.2">
      <c r="B3318" s="11"/>
    </row>
    <row r="3319" spans="2:2" x14ac:dyDescent="0.2">
      <c r="B3319" s="11"/>
    </row>
    <row r="3320" spans="2:2" x14ac:dyDescent="0.2">
      <c r="B3320" s="11"/>
    </row>
    <row r="3321" spans="2:2" x14ac:dyDescent="0.2">
      <c r="B3321" s="11"/>
    </row>
    <row r="3322" spans="2:2" x14ac:dyDescent="0.2">
      <c r="B3322" s="11"/>
    </row>
    <row r="3323" spans="2:2" x14ac:dyDescent="0.2">
      <c r="B3323" s="11"/>
    </row>
    <row r="3324" spans="2:2" x14ac:dyDescent="0.2">
      <c r="B3324" s="11"/>
    </row>
    <row r="3325" spans="2:2" x14ac:dyDescent="0.2">
      <c r="B3325" s="11"/>
    </row>
    <row r="3326" spans="2:2" x14ac:dyDescent="0.2">
      <c r="B3326" s="11"/>
    </row>
    <row r="3327" spans="2:2" x14ac:dyDescent="0.2">
      <c r="B3327" s="11"/>
    </row>
    <row r="3328" spans="2:2" x14ac:dyDescent="0.2">
      <c r="B3328" s="11"/>
    </row>
    <row r="3329" spans="2:2" x14ac:dyDescent="0.2">
      <c r="B3329" s="11"/>
    </row>
    <row r="3330" spans="2:2" x14ac:dyDescent="0.2">
      <c r="B3330" s="11"/>
    </row>
    <row r="3331" spans="2:2" x14ac:dyDescent="0.2">
      <c r="B3331" s="11"/>
    </row>
    <row r="3332" spans="2:2" x14ac:dyDescent="0.2">
      <c r="B3332" s="11"/>
    </row>
    <row r="3333" spans="2:2" x14ac:dyDescent="0.2">
      <c r="B3333" s="11"/>
    </row>
    <row r="3334" spans="2:2" x14ac:dyDescent="0.2">
      <c r="B3334" s="11"/>
    </row>
    <row r="3335" spans="2:2" x14ac:dyDescent="0.2">
      <c r="B3335" s="11"/>
    </row>
    <row r="3336" spans="2:2" x14ac:dyDescent="0.2">
      <c r="B3336" s="11"/>
    </row>
    <row r="3337" spans="2:2" x14ac:dyDescent="0.2">
      <c r="B3337" s="11"/>
    </row>
    <row r="3338" spans="2:2" x14ac:dyDescent="0.2">
      <c r="B3338" s="11"/>
    </row>
    <row r="3339" spans="2:2" x14ac:dyDescent="0.2">
      <c r="B3339" s="11"/>
    </row>
    <row r="3340" spans="2:2" x14ac:dyDescent="0.2">
      <c r="B3340" s="11"/>
    </row>
    <row r="3341" spans="2:2" x14ac:dyDescent="0.2">
      <c r="B3341" s="11"/>
    </row>
    <row r="3342" spans="2:2" x14ac:dyDescent="0.2">
      <c r="B3342" s="11"/>
    </row>
    <row r="3343" spans="2:2" x14ac:dyDescent="0.2">
      <c r="B3343" s="11"/>
    </row>
    <row r="3344" spans="2:2" x14ac:dyDescent="0.2">
      <c r="B3344" s="11"/>
    </row>
    <row r="3345" spans="2:2" x14ac:dyDescent="0.2">
      <c r="B3345" s="11"/>
    </row>
    <row r="3346" spans="2:2" x14ac:dyDescent="0.2">
      <c r="B3346" s="11"/>
    </row>
    <row r="3347" spans="2:2" x14ac:dyDescent="0.2">
      <c r="B3347" s="11"/>
    </row>
    <row r="3348" spans="2:2" x14ac:dyDescent="0.2">
      <c r="B3348" s="11"/>
    </row>
    <row r="3349" spans="2:2" x14ac:dyDescent="0.2">
      <c r="B3349" s="11"/>
    </row>
    <row r="3350" spans="2:2" x14ac:dyDescent="0.2">
      <c r="B3350" s="11"/>
    </row>
    <row r="3351" spans="2:2" x14ac:dyDescent="0.2">
      <c r="B3351" s="11"/>
    </row>
    <row r="3352" spans="2:2" x14ac:dyDescent="0.2">
      <c r="B3352" s="11"/>
    </row>
    <row r="3353" spans="2:2" x14ac:dyDescent="0.2">
      <c r="B3353" s="11"/>
    </row>
    <row r="3354" spans="2:2" x14ac:dyDescent="0.2">
      <c r="B3354" s="11"/>
    </row>
    <row r="3355" spans="2:2" x14ac:dyDescent="0.2">
      <c r="B3355" s="11"/>
    </row>
    <row r="3356" spans="2:2" x14ac:dyDescent="0.2">
      <c r="B3356" s="11"/>
    </row>
    <row r="3357" spans="2:2" x14ac:dyDescent="0.2">
      <c r="B3357" s="11"/>
    </row>
    <row r="3358" spans="2:2" x14ac:dyDescent="0.2">
      <c r="B3358" s="11"/>
    </row>
    <row r="3359" spans="2:2" x14ac:dyDescent="0.2">
      <c r="B3359" s="11"/>
    </row>
    <row r="3360" spans="2:2" x14ac:dyDescent="0.2">
      <c r="B3360" s="11"/>
    </row>
    <row r="3361" spans="2:2" x14ac:dyDescent="0.2">
      <c r="B3361" s="11"/>
    </row>
    <row r="3362" spans="2:2" x14ac:dyDescent="0.2">
      <c r="B3362" s="11"/>
    </row>
    <row r="3363" spans="2:2" x14ac:dyDescent="0.2">
      <c r="B3363" s="11"/>
    </row>
    <row r="3364" spans="2:2" x14ac:dyDescent="0.2">
      <c r="B3364" s="11"/>
    </row>
    <row r="3365" spans="2:2" x14ac:dyDescent="0.2">
      <c r="B3365" s="11"/>
    </row>
    <row r="3366" spans="2:2" x14ac:dyDescent="0.2">
      <c r="B3366" s="11"/>
    </row>
    <row r="3367" spans="2:2" x14ac:dyDescent="0.2">
      <c r="B3367" s="11"/>
    </row>
    <row r="3368" spans="2:2" x14ac:dyDescent="0.2">
      <c r="B3368" s="11"/>
    </row>
    <row r="3369" spans="2:2" x14ac:dyDescent="0.2">
      <c r="B3369" s="11"/>
    </row>
    <row r="3370" spans="2:2" x14ac:dyDescent="0.2">
      <c r="B3370" s="11"/>
    </row>
    <row r="3371" spans="2:2" x14ac:dyDescent="0.2">
      <c r="B3371" s="11"/>
    </row>
    <row r="3372" spans="2:2" x14ac:dyDescent="0.2">
      <c r="B3372" s="11"/>
    </row>
    <row r="3373" spans="2:2" x14ac:dyDescent="0.2">
      <c r="B3373" s="11"/>
    </row>
    <row r="3374" spans="2:2" x14ac:dyDescent="0.2">
      <c r="B3374" s="11"/>
    </row>
    <row r="3375" spans="2:2" x14ac:dyDescent="0.2">
      <c r="B3375" s="11"/>
    </row>
    <row r="3376" spans="2:2" x14ac:dyDescent="0.2">
      <c r="B3376" s="11"/>
    </row>
    <row r="3377" spans="2:2" x14ac:dyDescent="0.2">
      <c r="B3377" s="11"/>
    </row>
    <row r="3378" spans="2:2" x14ac:dyDescent="0.2">
      <c r="B3378" s="11"/>
    </row>
    <row r="3379" spans="2:2" x14ac:dyDescent="0.2">
      <c r="B3379" s="11"/>
    </row>
    <row r="3380" spans="2:2" x14ac:dyDescent="0.2">
      <c r="B3380" s="11"/>
    </row>
    <row r="3381" spans="2:2" x14ac:dyDescent="0.2">
      <c r="B3381" s="11"/>
    </row>
    <row r="3382" spans="2:2" x14ac:dyDescent="0.2">
      <c r="B3382" s="11"/>
    </row>
    <row r="3383" spans="2:2" x14ac:dyDescent="0.2">
      <c r="B3383" s="11"/>
    </row>
    <row r="3384" spans="2:2" x14ac:dyDescent="0.2">
      <c r="B3384" s="11"/>
    </row>
    <row r="3385" spans="2:2" x14ac:dyDescent="0.2">
      <c r="B3385" s="11"/>
    </row>
    <row r="3386" spans="2:2" x14ac:dyDescent="0.2">
      <c r="B3386" s="11"/>
    </row>
    <row r="3387" spans="2:2" x14ac:dyDescent="0.2">
      <c r="B3387" s="11"/>
    </row>
    <row r="3388" spans="2:2" x14ac:dyDescent="0.2">
      <c r="B3388" s="11"/>
    </row>
    <row r="3389" spans="2:2" x14ac:dyDescent="0.2">
      <c r="B3389" s="11"/>
    </row>
    <row r="3390" spans="2:2" x14ac:dyDescent="0.2">
      <c r="B3390" s="11"/>
    </row>
    <row r="3391" spans="2:2" x14ac:dyDescent="0.2">
      <c r="B3391" s="11"/>
    </row>
    <row r="3392" spans="2:2" x14ac:dyDescent="0.2">
      <c r="B3392" s="11"/>
    </row>
    <row r="3393" spans="2:2" x14ac:dyDescent="0.2">
      <c r="B3393" s="11"/>
    </row>
    <row r="3394" spans="2:2" x14ac:dyDescent="0.2">
      <c r="B3394" s="11"/>
    </row>
    <row r="3395" spans="2:2" x14ac:dyDescent="0.2">
      <c r="B3395" s="11"/>
    </row>
    <row r="3396" spans="2:2" x14ac:dyDescent="0.2">
      <c r="B3396" s="11"/>
    </row>
    <row r="3397" spans="2:2" x14ac:dyDescent="0.2">
      <c r="B3397" s="11"/>
    </row>
    <row r="3398" spans="2:2" x14ac:dyDescent="0.2">
      <c r="B3398" s="11"/>
    </row>
    <row r="3399" spans="2:2" x14ac:dyDescent="0.2">
      <c r="B3399" s="11"/>
    </row>
    <row r="3400" spans="2:2" x14ac:dyDescent="0.2">
      <c r="B3400" s="11"/>
    </row>
    <row r="3401" spans="2:2" x14ac:dyDescent="0.2">
      <c r="B3401" s="11"/>
    </row>
    <row r="3402" spans="2:2" x14ac:dyDescent="0.2">
      <c r="B3402" s="11"/>
    </row>
    <row r="3403" spans="2:2" x14ac:dyDescent="0.2">
      <c r="B3403" s="11"/>
    </row>
    <row r="3404" spans="2:2" x14ac:dyDescent="0.2">
      <c r="B3404" s="11"/>
    </row>
    <row r="3405" spans="2:2" x14ac:dyDescent="0.2">
      <c r="B3405" s="11"/>
    </row>
    <row r="3406" spans="2:2" x14ac:dyDescent="0.2">
      <c r="B3406" s="11"/>
    </row>
    <row r="3407" spans="2:2" x14ac:dyDescent="0.2">
      <c r="B3407" s="11"/>
    </row>
    <row r="3408" spans="2:2" x14ac:dyDescent="0.2">
      <c r="B3408" s="11"/>
    </row>
    <row r="3409" spans="2:2" x14ac:dyDescent="0.2">
      <c r="B3409" s="11"/>
    </row>
    <row r="3410" spans="2:2" x14ac:dyDescent="0.2">
      <c r="B3410" s="11"/>
    </row>
    <row r="3411" spans="2:2" x14ac:dyDescent="0.2">
      <c r="B3411" s="11"/>
    </row>
    <row r="3412" spans="2:2" x14ac:dyDescent="0.2">
      <c r="B3412" s="11"/>
    </row>
    <row r="3413" spans="2:2" x14ac:dyDescent="0.2">
      <c r="B3413" s="11"/>
    </row>
    <row r="3414" spans="2:2" x14ac:dyDescent="0.2">
      <c r="B3414" s="11"/>
    </row>
    <row r="3415" spans="2:2" x14ac:dyDescent="0.2">
      <c r="B3415" s="11"/>
    </row>
    <row r="3416" spans="2:2" x14ac:dyDescent="0.2">
      <c r="B3416" s="11"/>
    </row>
    <row r="3417" spans="2:2" x14ac:dyDescent="0.2">
      <c r="B3417" s="11"/>
    </row>
    <row r="3418" spans="2:2" x14ac:dyDescent="0.2">
      <c r="B3418" s="11"/>
    </row>
    <row r="3419" spans="2:2" x14ac:dyDescent="0.2">
      <c r="B3419" s="11"/>
    </row>
    <row r="3420" spans="2:2" x14ac:dyDescent="0.2">
      <c r="B3420" s="11"/>
    </row>
    <row r="3421" spans="2:2" x14ac:dyDescent="0.2">
      <c r="B3421" s="11"/>
    </row>
    <row r="3422" spans="2:2" x14ac:dyDescent="0.2">
      <c r="B3422" s="11"/>
    </row>
    <row r="3423" spans="2:2" x14ac:dyDescent="0.2">
      <c r="B3423" s="11"/>
    </row>
    <row r="3424" spans="2:2" x14ac:dyDescent="0.2">
      <c r="B3424" s="11"/>
    </row>
    <row r="3425" spans="2:2" x14ac:dyDescent="0.2">
      <c r="B3425" s="11"/>
    </row>
    <row r="3426" spans="2:2" x14ac:dyDescent="0.2">
      <c r="B3426" s="11"/>
    </row>
    <row r="3427" spans="2:2" x14ac:dyDescent="0.2">
      <c r="B3427" s="11"/>
    </row>
    <row r="3428" spans="2:2" x14ac:dyDescent="0.2">
      <c r="B3428" s="11"/>
    </row>
    <row r="3429" spans="2:2" x14ac:dyDescent="0.2">
      <c r="B3429" s="11"/>
    </row>
    <row r="3430" spans="2:2" x14ac:dyDescent="0.2">
      <c r="B3430" s="11"/>
    </row>
    <row r="3431" spans="2:2" x14ac:dyDescent="0.2">
      <c r="B3431" s="11"/>
    </row>
    <row r="3432" spans="2:2" x14ac:dyDescent="0.2">
      <c r="B3432" s="11"/>
    </row>
    <row r="3433" spans="2:2" x14ac:dyDescent="0.2">
      <c r="B3433" s="11"/>
    </row>
    <row r="3434" spans="2:2" x14ac:dyDescent="0.2">
      <c r="B3434" s="11"/>
    </row>
    <row r="3435" spans="2:2" x14ac:dyDescent="0.2">
      <c r="B3435" s="11"/>
    </row>
    <row r="3436" spans="2:2" x14ac:dyDescent="0.2">
      <c r="B3436" s="11"/>
    </row>
    <row r="3437" spans="2:2" x14ac:dyDescent="0.2">
      <c r="B3437" s="11"/>
    </row>
    <row r="3438" spans="2:2" x14ac:dyDescent="0.2">
      <c r="B3438" s="11"/>
    </row>
    <row r="3439" spans="2:2" x14ac:dyDescent="0.2">
      <c r="B3439" s="11"/>
    </row>
    <row r="3440" spans="2:2" x14ac:dyDescent="0.2">
      <c r="B3440" s="11"/>
    </row>
    <row r="3441" spans="2:2" x14ac:dyDescent="0.2">
      <c r="B3441" s="11"/>
    </row>
    <row r="3442" spans="2:2" x14ac:dyDescent="0.2">
      <c r="B3442" s="11"/>
    </row>
    <row r="3443" spans="2:2" x14ac:dyDescent="0.2">
      <c r="B3443" s="11"/>
    </row>
    <row r="3444" spans="2:2" x14ac:dyDescent="0.2">
      <c r="B3444" s="11"/>
    </row>
    <row r="3445" spans="2:2" x14ac:dyDescent="0.2">
      <c r="B3445" s="11"/>
    </row>
    <row r="3446" spans="2:2" x14ac:dyDescent="0.2">
      <c r="B3446" s="11"/>
    </row>
    <row r="3447" spans="2:2" x14ac:dyDescent="0.2">
      <c r="B3447" s="11"/>
    </row>
    <row r="3448" spans="2:2" x14ac:dyDescent="0.2">
      <c r="B3448" s="11"/>
    </row>
    <row r="3449" spans="2:2" x14ac:dyDescent="0.2">
      <c r="B3449" s="11"/>
    </row>
    <row r="3450" spans="2:2" x14ac:dyDescent="0.2">
      <c r="B3450" s="11"/>
    </row>
    <row r="3451" spans="2:2" x14ac:dyDescent="0.2">
      <c r="B3451" s="11"/>
    </row>
    <row r="3452" spans="2:2" x14ac:dyDescent="0.2">
      <c r="B3452" s="11"/>
    </row>
    <row r="3453" spans="2:2" x14ac:dyDescent="0.2">
      <c r="B3453" s="11"/>
    </row>
    <row r="3454" spans="2:2" x14ac:dyDescent="0.2">
      <c r="B3454" s="11"/>
    </row>
    <row r="3455" spans="2:2" x14ac:dyDescent="0.2">
      <c r="B3455" s="11"/>
    </row>
    <row r="3456" spans="2:2" x14ac:dyDescent="0.2">
      <c r="B3456" s="11"/>
    </row>
    <row r="3457" spans="2:2" x14ac:dyDescent="0.2">
      <c r="B3457" s="11"/>
    </row>
    <row r="3458" spans="2:2" x14ac:dyDescent="0.2">
      <c r="B3458" s="11"/>
    </row>
    <row r="3459" spans="2:2" x14ac:dyDescent="0.2">
      <c r="B3459" s="11"/>
    </row>
    <row r="3460" spans="2:2" x14ac:dyDescent="0.2">
      <c r="B3460" s="11"/>
    </row>
    <row r="3461" spans="2:2" x14ac:dyDescent="0.2">
      <c r="B3461" s="11"/>
    </row>
    <row r="3462" spans="2:2" x14ac:dyDescent="0.2">
      <c r="B3462" s="11"/>
    </row>
    <row r="3463" spans="2:2" x14ac:dyDescent="0.2">
      <c r="B3463" s="11"/>
    </row>
    <row r="3464" spans="2:2" x14ac:dyDescent="0.2">
      <c r="B3464" s="11"/>
    </row>
    <row r="3465" spans="2:2" x14ac:dyDescent="0.2">
      <c r="B3465" s="11"/>
    </row>
    <row r="3466" spans="2:2" x14ac:dyDescent="0.2">
      <c r="B3466" s="11"/>
    </row>
    <row r="3467" spans="2:2" x14ac:dyDescent="0.2">
      <c r="B3467" s="11"/>
    </row>
    <row r="3468" spans="2:2" x14ac:dyDescent="0.2">
      <c r="B3468" s="11"/>
    </row>
    <row r="3469" spans="2:2" x14ac:dyDescent="0.2">
      <c r="B3469" s="11"/>
    </row>
    <row r="3470" spans="2:2" x14ac:dyDescent="0.2">
      <c r="B3470" s="11"/>
    </row>
    <row r="3471" spans="2:2" x14ac:dyDescent="0.2">
      <c r="B3471" s="11"/>
    </row>
    <row r="3472" spans="2:2" x14ac:dyDescent="0.2">
      <c r="B3472" s="11"/>
    </row>
    <row r="3473" spans="2:2" x14ac:dyDescent="0.2">
      <c r="B3473" s="11"/>
    </row>
    <row r="3474" spans="2:2" x14ac:dyDescent="0.2">
      <c r="B3474" s="11"/>
    </row>
    <row r="3475" spans="2:2" x14ac:dyDescent="0.2">
      <c r="B3475" s="11"/>
    </row>
    <row r="3476" spans="2:2" x14ac:dyDescent="0.2">
      <c r="B3476" s="11"/>
    </row>
    <row r="3477" spans="2:2" x14ac:dyDescent="0.2">
      <c r="B3477" s="11"/>
    </row>
    <row r="3478" spans="2:2" x14ac:dyDescent="0.2">
      <c r="B3478" s="11"/>
    </row>
    <row r="3479" spans="2:2" x14ac:dyDescent="0.2">
      <c r="B3479" s="11"/>
    </row>
    <row r="3480" spans="2:2" x14ac:dyDescent="0.2">
      <c r="B3480" s="11"/>
    </row>
    <row r="3481" spans="2:2" x14ac:dyDescent="0.2">
      <c r="B3481" s="11"/>
    </row>
    <row r="3482" spans="2:2" x14ac:dyDescent="0.2">
      <c r="B3482" s="11"/>
    </row>
    <row r="3483" spans="2:2" x14ac:dyDescent="0.2">
      <c r="B3483" s="11"/>
    </row>
    <row r="3484" spans="2:2" x14ac:dyDescent="0.2">
      <c r="B3484" s="11"/>
    </row>
    <row r="3485" spans="2:2" x14ac:dyDescent="0.2">
      <c r="B3485" s="11"/>
    </row>
    <row r="3486" spans="2:2" x14ac:dyDescent="0.2">
      <c r="B3486" s="11"/>
    </row>
    <row r="3487" spans="2:2" x14ac:dyDescent="0.2">
      <c r="B3487" s="11"/>
    </row>
    <row r="3488" spans="2:2" x14ac:dyDescent="0.2">
      <c r="B3488" s="11"/>
    </row>
    <row r="3489" spans="2:2" x14ac:dyDescent="0.2">
      <c r="B3489" s="11"/>
    </row>
    <row r="3490" spans="2:2" x14ac:dyDescent="0.2">
      <c r="B3490" s="11"/>
    </row>
    <row r="3491" spans="2:2" x14ac:dyDescent="0.2">
      <c r="B3491" s="11"/>
    </row>
    <row r="3492" spans="2:2" x14ac:dyDescent="0.2">
      <c r="B3492" s="11"/>
    </row>
    <row r="3493" spans="2:2" x14ac:dyDescent="0.2">
      <c r="B3493" s="11"/>
    </row>
    <row r="3494" spans="2:2" x14ac:dyDescent="0.2">
      <c r="B3494" s="11"/>
    </row>
    <row r="3495" spans="2:2" x14ac:dyDescent="0.2">
      <c r="B3495" s="11"/>
    </row>
    <row r="3496" spans="2:2" x14ac:dyDescent="0.2">
      <c r="B3496" s="11"/>
    </row>
    <row r="3497" spans="2:2" x14ac:dyDescent="0.2">
      <c r="B3497" s="11"/>
    </row>
    <row r="3498" spans="2:2" x14ac:dyDescent="0.2">
      <c r="B3498" s="11"/>
    </row>
    <row r="3499" spans="2:2" x14ac:dyDescent="0.2">
      <c r="B3499" s="11"/>
    </row>
    <row r="3500" spans="2:2" x14ac:dyDescent="0.2">
      <c r="B3500" s="11"/>
    </row>
    <row r="3501" spans="2:2" x14ac:dyDescent="0.2">
      <c r="B3501" s="11"/>
    </row>
    <row r="3502" spans="2:2" x14ac:dyDescent="0.2">
      <c r="B3502" s="11"/>
    </row>
    <row r="3503" spans="2:2" x14ac:dyDescent="0.2">
      <c r="B3503" s="11"/>
    </row>
    <row r="3504" spans="2:2" x14ac:dyDescent="0.2">
      <c r="B3504" s="11"/>
    </row>
    <row r="3505" spans="2:2" x14ac:dyDescent="0.2">
      <c r="B3505" s="11"/>
    </row>
    <row r="3506" spans="2:2" x14ac:dyDescent="0.2">
      <c r="B3506" s="11"/>
    </row>
    <row r="3507" spans="2:2" x14ac:dyDescent="0.2">
      <c r="B3507" s="11"/>
    </row>
    <row r="3508" spans="2:2" x14ac:dyDescent="0.2">
      <c r="B3508" s="11"/>
    </row>
    <row r="3509" spans="2:2" x14ac:dyDescent="0.2">
      <c r="B3509" s="11"/>
    </row>
    <row r="3510" spans="2:2" x14ac:dyDescent="0.2">
      <c r="B3510" s="11"/>
    </row>
    <row r="3511" spans="2:2" x14ac:dyDescent="0.2">
      <c r="B3511" s="11"/>
    </row>
    <row r="3512" spans="2:2" x14ac:dyDescent="0.2">
      <c r="B3512" s="11"/>
    </row>
    <row r="3513" spans="2:2" x14ac:dyDescent="0.2">
      <c r="B3513" s="11"/>
    </row>
    <row r="3514" spans="2:2" x14ac:dyDescent="0.2">
      <c r="B3514" s="11"/>
    </row>
    <row r="3515" spans="2:2" x14ac:dyDescent="0.2">
      <c r="B3515" s="11"/>
    </row>
    <row r="3516" spans="2:2" x14ac:dyDescent="0.2">
      <c r="B3516" s="11"/>
    </row>
    <row r="3517" spans="2:2" x14ac:dyDescent="0.2">
      <c r="B3517" s="11"/>
    </row>
    <row r="3518" spans="2:2" x14ac:dyDescent="0.2">
      <c r="B3518" s="11"/>
    </row>
    <row r="3519" spans="2:2" x14ac:dyDescent="0.2">
      <c r="B3519" s="11"/>
    </row>
    <row r="3520" spans="2:2" x14ac:dyDescent="0.2">
      <c r="B3520" s="11"/>
    </row>
    <row r="3521" spans="2:2" x14ac:dyDescent="0.2">
      <c r="B3521" s="11"/>
    </row>
    <row r="3522" spans="2:2" x14ac:dyDescent="0.2">
      <c r="B3522" s="11"/>
    </row>
    <row r="3523" spans="2:2" x14ac:dyDescent="0.2">
      <c r="B3523" s="11"/>
    </row>
    <row r="3524" spans="2:2" x14ac:dyDescent="0.2">
      <c r="B3524" s="11"/>
    </row>
    <row r="3525" spans="2:2" x14ac:dyDescent="0.2">
      <c r="B3525" s="11"/>
    </row>
    <row r="3526" spans="2:2" x14ac:dyDescent="0.2">
      <c r="B3526" s="11"/>
    </row>
    <row r="3527" spans="2:2" x14ac:dyDescent="0.2">
      <c r="B3527" s="11"/>
    </row>
    <row r="3528" spans="2:2" x14ac:dyDescent="0.2">
      <c r="B3528" s="11"/>
    </row>
    <row r="3529" spans="2:2" x14ac:dyDescent="0.2">
      <c r="B3529" s="11"/>
    </row>
    <row r="3530" spans="2:2" x14ac:dyDescent="0.2">
      <c r="B3530" s="11"/>
    </row>
    <row r="3531" spans="2:2" x14ac:dyDescent="0.2">
      <c r="B3531" s="11"/>
    </row>
    <row r="3532" spans="2:2" x14ac:dyDescent="0.2">
      <c r="B3532" s="11"/>
    </row>
    <row r="3533" spans="2:2" x14ac:dyDescent="0.2">
      <c r="B3533" s="11"/>
    </row>
    <row r="3534" spans="2:2" x14ac:dyDescent="0.2">
      <c r="B3534" s="11"/>
    </row>
    <row r="3535" spans="2:2" x14ac:dyDescent="0.2">
      <c r="B3535" s="11"/>
    </row>
    <row r="3536" spans="2:2" x14ac:dyDescent="0.2">
      <c r="B3536" s="11"/>
    </row>
    <row r="3537" spans="2:2" x14ac:dyDescent="0.2">
      <c r="B3537" s="11"/>
    </row>
    <row r="3538" spans="2:2" x14ac:dyDescent="0.2">
      <c r="B3538" s="11"/>
    </row>
    <row r="3539" spans="2:2" x14ac:dyDescent="0.2">
      <c r="B3539" s="11"/>
    </row>
    <row r="3540" spans="2:2" x14ac:dyDescent="0.2">
      <c r="B3540" s="11"/>
    </row>
    <row r="3541" spans="2:2" x14ac:dyDescent="0.2">
      <c r="B3541" s="11"/>
    </row>
    <row r="3542" spans="2:2" x14ac:dyDescent="0.2">
      <c r="B3542" s="11"/>
    </row>
    <row r="3543" spans="2:2" x14ac:dyDescent="0.2">
      <c r="B3543" s="11"/>
    </row>
    <row r="3544" spans="2:2" x14ac:dyDescent="0.2">
      <c r="B3544" s="11"/>
    </row>
    <row r="3545" spans="2:2" x14ac:dyDescent="0.2">
      <c r="B3545" s="11"/>
    </row>
    <row r="3546" spans="2:2" x14ac:dyDescent="0.2">
      <c r="B3546" s="11"/>
    </row>
    <row r="3547" spans="2:2" x14ac:dyDescent="0.2">
      <c r="B3547" s="11"/>
    </row>
    <row r="3548" spans="2:2" x14ac:dyDescent="0.2">
      <c r="B3548" s="11"/>
    </row>
    <row r="3549" spans="2:2" x14ac:dyDescent="0.2">
      <c r="B3549" s="11"/>
    </row>
    <row r="3550" spans="2:2" x14ac:dyDescent="0.2">
      <c r="B3550" s="11"/>
    </row>
    <row r="3551" spans="2:2" x14ac:dyDescent="0.2">
      <c r="B3551" s="11"/>
    </row>
    <row r="3552" spans="2:2" x14ac:dyDescent="0.2">
      <c r="B3552" s="11"/>
    </row>
    <row r="3553" spans="2:2" x14ac:dyDescent="0.2">
      <c r="B3553" s="11"/>
    </row>
    <row r="3554" spans="2:2" x14ac:dyDescent="0.2">
      <c r="B3554" s="11"/>
    </row>
    <row r="3555" spans="2:2" x14ac:dyDescent="0.2">
      <c r="B3555" s="11"/>
    </row>
    <row r="3556" spans="2:2" x14ac:dyDescent="0.2">
      <c r="B3556" s="11"/>
    </row>
    <row r="3557" spans="2:2" x14ac:dyDescent="0.2">
      <c r="B3557" s="11"/>
    </row>
    <row r="3558" spans="2:2" x14ac:dyDescent="0.2">
      <c r="B3558" s="11"/>
    </row>
    <row r="3559" spans="2:2" x14ac:dyDescent="0.2">
      <c r="B3559" s="11"/>
    </row>
    <row r="3560" spans="2:2" x14ac:dyDescent="0.2">
      <c r="B3560" s="11"/>
    </row>
    <row r="3561" spans="2:2" x14ac:dyDescent="0.2">
      <c r="B3561" s="11"/>
    </row>
    <row r="3562" spans="2:2" x14ac:dyDescent="0.2">
      <c r="B3562" s="11"/>
    </row>
    <row r="3563" spans="2:2" x14ac:dyDescent="0.2">
      <c r="B3563" s="11"/>
    </row>
    <row r="3564" spans="2:2" x14ac:dyDescent="0.2">
      <c r="B3564" s="11"/>
    </row>
    <row r="3565" spans="2:2" x14ac:dyDescent="0.2">
      <c r="B3565" s="11"/>
    </row>
    <row r="3566" spans="2:2" x14ac:dyDescent="0.2">
      <c r="B3566" s="11"/>
    </row>
    <row r="3567" spans="2:2" x14ac:dyDescent="0.2">
      <c r="B3567" s="11"/>
    </row>
    <row r="3568" spans="2:2" x14ac:dyDescent="0.2">
      <c r="B3568" s="11"/>
    </row>
    <row r="3569" spans="2:2" x14ac:dyDescent="0.2">
      <c r="B3569" s="11"/>
    </row>
    <row r="3570" spans="2:2" x14ac:dyDescent="0.2">
      <c r="B3570" s="11"/>
    </row>
    <row r="3571" spans="2:2" x14ac:dyDescent="0.2">
      <c r="B3571" s="11"/>
    </row>
    <row r="3572" spans="2:2" x14ac:dyDescent="0.2">
      <c r="B3572" s="11"/>
    </row>
    <row r="3573" spans="2:2" x14ac:dyDescent="0.2">
      <c r="B3573" s="11"/>
    </row>
    <row r="3574" spans="2:2" x14ac:dyDescent="0.2">
      <c r="B3574" s="11"/>
    </row>
    <row r="3575" spans="2:2" x14ac:dyDescent="0.2">
      <c r="B3575" s="11"/>
    </row>
    <row r="3576" spans="2:2" x14ac:dyDescent="0.2">
      <c r="B3576" s="11"/>
    </row>
    <row r="3577" spans="2:2" x14ac:dyDescent="0.2">
      <c r="B3577" s="11"/>
    </row>
    <row r="3578" spans="2:2" x14ac:dyDescent="0.2">
      <c r="B3578" s="11"/>
    </row>
    <row r="3579" spans="2:2" x14ac:dyDescent="0.2">
      <c r="B3579" s="11"/>
    </row>
    <row r="3580" spans="2:2" x14ac:dyDescent="0.2">
      <c r="B3580" s="11"/>
    </row>
    <row r="3581" spans="2:2" x14ac:dyDescent="0.2">
      <c r="B3581" s="11"/>
    </row>
    <row r="3582" spans="2:2" x14ac:dyDescent="0.2">
      <c r="B3582" s="11"/>
    </row>
    <row r="3583" spans="2:2" x14ac:dyDescent="0.2">
      <c r="B3583" s="11"/>
    </row>
    <row r="3584" spans="2:2" x14ac:dyDescent="0.2">
      <c r="B3584" s="11"/>
    </row>
    <row r="3585" spans="2:2" x14ac:dyDescent="0.2">
      <c r="B3585" s="11"/>
    </row>
    <row r="3586" spans="2:2" x14ac:dyDescent="0.2">
      <c r="B3586" s="11"/>
    </row>
    <row r="3587" spans="2:2" x14ac:dyDescent="0.2">
      <c r="B3587" s="11"/>
    </row>
    <row r="3588" spans="2:2" x14ac:dyDescent="0.2">
      <c r="B3588" s="11"/>
    </row>
    <row r="3589" spans="2:2" x14ac:dyDescent="0.2">
      <c r="B3589" s="11"/>
    </row>
    <row r="3590" spans="2:2" x14ac:dyDescent="0.2">
      <c r="B3590" s="11"/>
    </row>
    <row r="3591" spans="2:2" x14ac:dyDescent="0.2">
      <c r="B3591" s="11"/>
    </row>
    <row r="3592" spans="2:2" x14ac:dyDescent="0.2">
      <c r="B3592" s="11"/>
    </row>
    <row r="3593" spans="2:2" x14ac:dyDescent="0.2">
      <c r="B3593" s="11"/>
    </row>
    <row r="3594" spans="2:2" x14ac:dyDescent="0.2">
      <c r="B3594" s="11"/>
    </row>
    <row r="3595" spans="2:2" x14ac:dyDescent="0.2">
      <c r="B3595" s="11"/>
    </row>
    <row r="3596" spans="2:2" x14ac:dyDescent="0.2">
      <c r="B3596" s="11"/>
    </row>
    <row r="3597" spans="2:2" x14ac:dyDescent="0.2">
      <c r="B3597" s="11"/>
    </row>
    <row r="3598" spans="2:2" x14ac:dyDescent="0.2">
      <c r="B3598" s="11"/>
    </row>
    <row r="3599" spans="2:2" x14ac:dyDescent="0.2">
      <c r="B3599" s="11"/>
    </row>
    <row r="3600" spans="2:2" x14ac:dyDescent="0.2">
      <c r="B3600" s="11"/>
    </row>
    <row r="3601" spans="2:2" x14ac:dyDescent="0.2">
      <c r="B3601" s="11"/>
    </row>
    <row r="3602" spans="2:2" x14ac:dyDescent="0.2">
      <c r="B3602" s="11"/>
    </row>
    <row r="3603" spans="2:2" x14ac:dyDescent="0.2">
      <c r="B3603" s="11"/>
    </row>
    <row r="3604" spans="2:2" x14ac:dyDescent="0.2">
      <c r="B3604" s="11"/>
    </row>
    <row r="3605" spans="2:2" x14ac:dyDescent="0.2">
      <c r="B3605" s="11"/>
    </row>
    <row r="3606" spans="2:2" x14ac:dyDescent="0.2">
      <c r="B3606" s="11"/>
    </row>
    <row r="3607" spans="2:2" x14ac:dyDescent="0.2">
      <c r="B3607" s="11"/>
    </row>
    <row r="3608" spans="2:2" x14ac:dyDescent="0.2">
      <c r="B3608" s="11"/>
    </row>
    <row r="3609" spans="2:2" x14ac:dyDescent="0.2">
      <c r="B3609" s="11"/>
    </row>
    <row r="3610" spans="2:2" x14ac:dyDescent="0.2">
      <c r="B3610" s="11"/>
    </row>
    <row r="3611" spans="2:2" x14ac:dyDescent="0.2">
      <c r="B3611" s="11"/>
    </row>
    <row r="3612" spans="2:2" x14ac:dyDescent="0.2">
      <c r="B3612" s="11"/>
    </row>
    <row r="3613" spans="2:2" x14ac:dyDescent="0.2">
      <c r="B3613" s="11"/>
    </row>
    <row r="3614" spans="2:2" x14ac:dyDescent="0.2">
      <c r="B3614" s="11"/>
    </row>
    <row r="3615" spans="2:2" x14ac:dyDescent="0.2">
      <c r="B3615" s="11"/>
    </row>
    <row r="3616" spans="2:2" x14ac:dyDescent="0.2">
      <c r="B3616" s="11"/>
    </row>
    <row r="3617" spans="2:2" x14ac:dyDescent="0.2">
      <c r="B3617" s="11"/>
    </row>
    <row r="3618" spans="2:2" x14ac:dyDescent="0.2">
      <c r="B3618" s="11"/>
    </row>
    <row r="3619" spans="2:2" x14ac:dyDescent="0.2">
      <c r="B3619" s="11"/>
    </row>
    <row r="3620" spans="2:2" x14ac:dyDescent="0.2">
      <c r="B3620" s="11"/>
    </row>
    <row r="3621" spans="2:2" x14ac:dyDescent="0.2">
      <c r="B3621" s="11"/>
    </row>
    <row r="3622" spans="2:2" x14ac:dyDescent="0.2">
      <c r="B3622" s="11"/>
    </row>
    <row r="3623" spans="2:2" x14ac:dyDescent="0.2">
      <c r="B3623" s="11"/>
    </row>
    <row r="3624" spans="2:2" x14ac:dyDescent="0.2">
      <c r="B3624" s="11"/>
    </row>
    <row r="3625" spans="2:2" x14ac:dyDescent="0.2">
      <c r="B3625" s="11"/>
    </row>
    <row r="3626" spans="2:2" x14ac:dyDescent="0.2">
      <c r="B3626" s="11"/>
    </row>
    <row r="3627" spans="2:2" x14ac:dyDescent="0.2">
      <c r="B3627" s="11"/>
    </row>
    <row r="3628" spans="2:2" x14ac:dyDescent="0.2">
      <c r="B3628" s="11"/>
    </row>
    <row r="3629" spans="2:2" x14ac:dyDescent="0.2">
      <c r="B3629" s="11"/>
    </row>
    <row r="3630" spans="2:2" x14ac:dyDescent="0.2">
      <c r="B3630" s="11"/>
    </row>
    <row r="3631" spans="2:2" x14ac:dyDescent="0.2">
      <c r="B3631" s="11"/>
    </row>
    <row r="3632" spans="2:2" x14ac:dyDescent="0.2">
      <c r="B3632" s="11"/>
    </row>
    <row r="3633" spans="2:2" x14ac:dyDescent="0.2">
      <c r="B3633" s="11"/>
    </row>
    <row r="3634" spans="2:2" x14ac:dyDescent="0.2">
      <c r="B3634" s="11"/>
    </row>
    <row r="3635" spans="2:2" x14ac:dyDescent="0.2">
      <c r="B3635" s="11"/>
    </row>
    <row r="3636" spans="2:2" x14ac:dyDescent="0.2">
      <c r="B3636" s="11"/>
    </row>
    <row r="3637" spans="2:2" x14ac:dyDescent="0.2">
      <c r="B3637" s="11"/>
    </row>
    <row r="3638" spans="2:2" x14ac:dyDescent="0.2">
      <c r="B3638" s="11"/>
    </row>
    <row r="3639" spans="2:2" x14ac:dyDescent="0.2">
      <c r="B3639" s="11"/>
    </row>
    <row r="3640" spans="2:2" x14ac:dyDescent="0.2">
      <c r="B3640" s="11"/>
    </row>
    <row r="3641" spans="2:2" x14ac:dyDescent="0.2">
      <c r="B3641" s="11"/>
    </row>
    <row r="3642" spans="2:2" x14ac:dyDescent="0.2">
      <c r="B3642" s="11"/>
    </row>
    <row r="3643" spans="2:2" x14ac:dyDescent="0.2">
      <c r="B3643" s="11"/>
    </row>
    <row r="3644" spans="2:2" x14ac:dyDescent="0.2">
      <c r="B3644" s="11"/>
    </row>
    <row r="3645" spans="2:2" x14ac:dyDescent="0.2">
      <c r="B3645" s="11"/>
    </row>
    <row r="3646" spans="2:2" x14ac:dyDescent="0.2">
      <c r="B3646" s="11"/>
    </row>
    <row r="3647" spans="2:2" x14ac:dyDescent="0.2">
      <c r="B3647" s="11"/>
    </row>
    <row r="3648" spans="2:2" x14ac:dyDescent="0.2">
      <c r="B3648" s="11"/>
    </row>
    <row r="3649" spans="2:2" x14ac:dyDescent="0.2">
      <c r="B3649" s="11"/>
    </row>
    <row r="3650" spans="2:2" x14ac:dyDescent="0.2">
      <c r="B3650" s="11"/>
    </row>
    <row r="3651" spans="2:2" x14ac:dyDescent="0.2">
      <c r="B3651" s="11"/>
    </row>
    <row r="3652" spans="2:2" x14ac:dyDescent="0.2">
      <c r="B3652" s="11"/>
    </row>
    <row r="3653" spans="2:2" x14ac:dyDescent="0.2">
      <c r="B3653" s="11"/>
    </row>
    <row r="3654" spans="2:2" x14ac:dyDescent="0.2">
      <c r="B3654" s="11"/>
    </row>
    <row r="3655" spans="2:2" x14ac:dyDescent="0.2">
      <c r="B3655" s="11"/>
    </row>
    <row r="3656" spans="2:2" x14ac:dyDescent="0.2">
      <c r="B3656" s="11"/>
    </row>
    <row r="3657" spans="2:2" x14ac:dyDescent="0.2">
      <c r="B3657" s="11"/>
    </row>
    <row r="3658" spans="2:2" x14ac:dyDescent="0.2">
      <c r="B3658" s="11"/>
    </row>
    <row r="3659" spans="2:2" x14ac:dyDescent="0.2">
      <c r="B3659" s="11"/>
    </row>
    <row r="3660" spans="2:2" x14ac:dyDescent="0.2">
      <c r="B3660" s="11"/>
    </row>
    <row r="3661" spans="2:2" x14ac:dyDescent="0.2">
      <c r="B3661" s="11"/>
    </row>
    <row r="3662" spans="2:2" x14ac:dyDescent="0.2">
      <c r="B3662" s="11"/>
    </row>
    <row r="3663" spans="2:2" x14ac:dyDescent="0.2">
      <c r="B3663" s="11"/>
    </row>
    <row r="3664" spans="2:2" x14ac:dyDescent="0.2">
      <c r="B3664" s="11"/>
    </row>
    <row r="3665" spans="2:2" x14ac:dyDescent="0.2">
      <c r="B3665" s="11"/>
    </row>
    <row r="3666" spans="2:2" x14ac:dyDescent="0.2">
      <c r="B3666" s="11"/>
    </row>
    <row r="3667" spans="2:2" x14ac:dyDescent="0.2">
      <c r="B3667" s="11"/>
    </row>
    <row r="3668" spans="2:2" x14ac:dyDescent="0.2">
      <c r="B3668" s="11"/>
    </row>
    <row r="3669" spans="2:2" x14ac:dyDescent="0.2">
      <c r="B3669" s="11"/>
    </row>
    <row r="3670" spans="2:2" x14ac:dyDescent="0.2">
      <c r="B3670" s="11"/>
    </row>
    <row r="3671" spans="2:2" x14ac:dyDescent="0.2">
      <c r="B3671" s="11"/>
    </row>
    <row r="3672" spans="2:2" x14ac:dyDescent="0.2">
      <c r="B3672" s="11"/>
    </row>
    <row r="3673" spans="2:2" x14ac:dyDescent="0.2">
      <c r="B3673" s="11"/>
    </row>
    <row r="3674" spans="2:2" x14ac:dyDescent="0.2">
      <c r="B3674" s="11"/>
    </row>
    <row r="3675" spans="2:2" x14ac:dyDescent="0.2">
      <c r="B3675" s="11"/>
    </row>
    <row r="3676" spans="2:2" x14ac:dyDescent="0.2">
      <c r="B3676" s="11"/>
    </row>
    <row r="3677" spans="2:2" x14ac:dyDescent="0.2">
      <c r="B3677" s="11"/>
    </row>
    <row r="3678" spans="2:2" x14ac:dyDescent="0.2">
      <c r="B3678" s="11"/>
    </row>
    <row r="3679" spans="2:2" x14ac:dyDescent="0.2">
      <c r="B3679" s="11"/>
    </row>
    <row r="3680" spans="2:2" x14ac:dyDescent="0.2">
      <c r="B3680" s="11"/>
    </row>
    <row r="3681" spans="2:2" x14ac:dyDescent="0.2">
      <c r="B3681" s="11"/>
    </row>
    <row r="3682" spans="2:2" x14ac:dyDescent="0.2">
      <c r="B3682" s="11"/>
    </row>
    <row r="3683" spans="2:2" x14ac:dyDescent="0.2">
      <c r="B3683" s="11"/>
    </row>
    <row r="3684" spans="2:2" x14ac:dyDescent="0.2">
      <c r="B3684" s="11"/>
    </row>
    <row r="3685" spans="2:2" x14ac:dyDescent="0.2">
      <c r="B3685" s="11"/>
    </row>
    <row r="3686" spans="2:2" x14ac:dyDescent="0.2">
      <c r="B3686" s="11"/>
    </row>
    <row r="3687" spans="2:2" x14ac:dyDescent="0.2">
      <c r="B3687" s="11"/>
    </row>
    <row r="3688" spans="2:2" x14ac:dyDescent="0.2">
      <c r="B3688" s="11"/>
    </row>
    <row r="3689" spans="2:2" x14ac:dyDescent="0.2">
      <c r="B3689" s="11"/>
    </row>
    <row r="3690" spans="2:2" x14ac:dyDescent="0.2">
      <c r="B3690" s="11"/>
    </row>
    <row r="3691" spans="2:2" x14ac:dyDescent="0.2">
      <c r="B3691" s="11"/>
    </row>
    <row r="3692" spans="2:2" x14ac:dyDescent="0.2">
      <c r="B3692" s="11"/>
    </row>
    <row r="3693" spans="2:2" x14ac:dyDescent="0.2">
      <c r="B3693" s="11"/>
    </row>
    <row r="3694" spans="2:2" x14ac:dyDescent="0.2">
      <c r="B3694" s="11"/>
    </row>
    <row r="3695" spans="2:2" x14ac:dyDescent="0.2">
      <c r="B3695" s="11"/>
    </row>
    <row r="3696" spans="2:2" x14ac:dyDescent="0.2">
      <c r="B3696" s="11"/>
    </row>
    <row r="3697" spans="2:2" x14ac:dyDescent="0.2">
      <c r="B3697" s="11"/>
    </row>
    <row r="3698" spans="2:2" x14ac:dyDescent="0.2">
      <c r="B3698" s="11"/>
    </row>
    <row r="3699" spans="2:2" x14ac:dyDescent="0.2">
      <c r="B3699" s="11"/>
    </row>
    <row r="3700" spans="2:2" x14ac:dyDescent="0.2">
      <c r="B3700" s="11"/>
    </row>
    <row r="3701" spans="2:2" x14ac:dyDescent="0.2">
      <c r="B3701" s="11"/>
    </row>
    <row r="3702" spans="2:2" x14ac:dyDescent="0.2">
      <c r="B3702" s="11"/>
    </row>
    <row r="3703" spans="2:2" x14ac:dyDescent="0.2">
      <c r="B3703" s="11"/>
    </row>
    <row r="3704" spans="2:2" x14ac:dyDescent="0.2">
      <c r="B3704" s="11"/>
    </row>
    <row r="3705" spans="2:2" x14ac:dyDescent="0.2">
      <c r="B3705" s="11"/>
    </row>
    <row r="3706" spans="2:2" x14ac:dyDescent="0.2">
      <c r="B3706" s="11"/>
    </row>
    <row r="3707" spans="2:2" x14ac:dyDescent="0.2">
      <c r="B3707" s="11"/>
    </row>
    <row r="3708" spans="2:2" x14ac:dyDescent="0.2">
      <c r="B3708" s="11"/>
    </row>
    <row r="3709" spans="2:2" x14ac:dyDescent="0.2">
      <c r="B3709" s="11"/>
    </row>
    <row r="3710" spans="2:2" x14ac:dyDescent="0.2">
      <c r="B3710" s="11"/>
    </row>
    <row r="3711" spans="2:2" x14ac:dyDescent="0.2">
      <c r="B3711" s="11"/>
    </row>
    <row r="3712" spans="2:2" x14ac:dyDescent="0.2">
      <c r="B3712" s="11"/>
    </row>
    <row r="3713" spans="2:2" x14ac:dyDescent="0.2">
      <c r="B3713" s="11"/>
    </row>
    <row r="3714" spans="2:2" x14ac:dyDescent="0.2">
      <c r="B3714" s="11"/>
    </row>
    <row r="3715" spans="2:2" x14ac:dyDescent="0.2">
      <c r="B3715" s="11"/>
    </row>
    <row r="3716" spans="2:2" x14ac:dyDescent="0.2">
      <c r="B3716" s="11"/>
    </row>
    <row r="3717" spans="2:2" x14ac:dyDescent="0.2">
      <c r="B3717" s="11"/>
    </row>
    <row r="3718" spans="2:2" x14ac:dyDescent="0.2">
      <c r="B3718" s="11"/>
    </row>
    <row r="3719" spans="2:2" x14ac:dyDescent="0.2">
      <c r="B3719" s="11"/>
    </row>
    <row r="3720" spans="2:2" x14ac:dyDescent="0.2">
      <c r="B3720" s="11"/>
    </row>
    <row r="3721" spans="2:2" x14ac:dyDescent="0.2">
      <c r="B3721" s="11"/>
    </row>
    <row r="3722" spans="2:2" x14ac:dyDescent="0.2">
      <c r="B3722" s="11"/>
    </row>
    <row r="3723" spans="2:2" x14ac:dyDescent="0.2">
      <c r="B3723" s="11"/>
    </row>
    <row r="3724" spans="2:2" x14ac:dyDescent="0.2">
      <c r="B3724" s="11"/>
    </row>
    <row r="3725" spans="2:2" x14ac:dyDescent="0.2">
      <c r="B3725" s="11"/>
    </row>
    <row r="3726" spans="2:2" x14ac:dyDescent="0.2">
      <c r="B3726" s="11"/>
    </row>
    <row r="3727" spans="2:2" x14ac:dyDescent="0.2">
      <c r="B3727" s="11"/>
    </row>
    <row r="3728" spans="2:2" x14ac:dyDescent="0.2">
      <c r="B3728" s="11"/>
    </row>
    <row r="3729" spans="2:2" x14ac:dyDescent="0.2">
      <c r="B3729" s="11"/>
    </row>
    <row r="3730" spans="2:2" x14ac:dyDescent="0.2">
      <c r="B3730" s="11"/>
    </row>
    <row r="3731" spans="2:2" x14ac:dyDescent="0.2">
      <c r="B3731" s="11"/>
    </row>
    <row r="3732" spans="2:2" x14ac:dyDescent="0.2">
      <c r="B3732" s="11"/>
    </row>
    <row r="3733" spans="2:2" x14ac:dyDescent="0.2">
      <c r="B3733" s="11"/>
    </row>
    <row r="3734" spans="2:2" x14ac:dyDescent="0.2">
      <c r="B3734" s="11"/>
    </row>
    <row r="3735" spans="2:2" x14ac:dyDescent="0.2">
      <c r="B3735" s="11"/>
    </row>
    <row r="3736" spans="2:2" x14ac:dyDescent="0.2">
      <c r="B3736" s="11"/>
    </row>
    <row r="3737" spans="2:2" x14ac:dyDescent="0.2">
      <c r="B3737" s="11"/>
    </row>
    <row r="3738" spans="2:2" x14ac:dyDescent="0.2">
      <c r="B3738" s="11"/>
    </row>
    <row r="3739" spans="2:2" x14ac:dyDescent="0.2">
      <c r="B3739" s="11"/>
    </row>
    <row r="3740" spans="2:2" x14ac:dyDescent="0.2">
      <c r="B3740" s="11"/>
    </row>
    <row r="3741" spans="2:2" x14ac:dyDescent="0.2">
      <c r="B3741" s="11"/>
    </row>
    <row r="3742" spans="2:2" x14ac:dyDescent="0.2">
      <c r="B3742" s="11"/>
    </row>
    <row r="3743" spans="2:2" x14ac:dyDescent="0.2">
      <c r="B3743" s="11"/>
    </row>
    <row r="3744" spans="2:2" x14ac:dyDescent="0.2">
      <c r="B3744" s="11"/>
    </row>
    <row r="3745" spans="2:2" x14ac:dyDescent="0.2">
      <c r="B3745" s="11"/>
    </row>
    <row r="3746" spans="2:2" x14ac:dyDescent="0.2">
      <c r="B3746" s="11"/>
    </row>
    <row r="3747" spans="2:2" x14ac:dyDescent="0.2">
      <c r="B3747" s="11"/>
    </row>
    <row r="3748" spans="2:2" x14ac:dyDescent="0.2">
      <c r="B3748" s="11"/>
    </row>
    <row r="3749" spans="2:2" x14ac:dyDescent="0.2">
      <c r="B3749" s="11"/>
    </row>
    <row r="3750" spans="2:2" x14ac:dyDescent="0.2">
      <c r="B3750" s="11"/>
    </row>
    <row r="3751" spans="2:2" x14ac:dyDescent="0.2">
      <c r="B3751" s="11"/>
    </row>
    <row r="3752" spans="2:2" x14ac:dyDescent="0.2">
      <c r="B3752" s="11"/>
    </row>
    <row r="3753" spans="2:2" x14ac:dyDescent="0.2">
      <c r="B3753" s="11"/>
    </row>
    <row r="3754" spans="2:2" x14ac:dyDescent="0.2">
      <c r="B3754" s="11"/>
    </row>
    <row r="3755" spans="2:2" x14ac:dyDescent="0.2">
      <c r="B3755" s="11"/>
    </row>
    <row r="3756" spans="2:2" x14ac:dyDescent="0.2">
      <c r="B3756" s="11"/>
    </row>
    <row r="3757" spans="2:2" x14ac:dyDescent="0.2">
      <c r="B3757" s="11"/>
    </row>
    <row r="3758" spans="2:2" x14ac:dyDescent="0.2">
      <c r="B3758" s="11"/>
    </row>
    <row r="3759" spans="2:2" x14ac:dyDescent="0.2">
      <c r="B3759" s="11"/>
    </row>
    <row r="3760" spans="2:2" x14ac:dyDescent="0.2">
      <c r="B3760" s="11"/>
    </row>
    <row r="3761" spans="2:2" x14ac:dyDescent="0.2">
      <c r="B3761" s="11"/>
    </row>
    <row r="3762" spans="2:2" x14ac:dyDescent="0.2">
      <c r="B3762" s="11"/>
    </row>
    <row r="3763" spans="2:2" x14ac:dyDescent="0.2">
      <c r="B3763" s="11"/>
    </row>
    <row r="3764" spans="2:2" x14ac:dyDescent="0.2">
      <c r="B3764" s="11"/>
    </row>
    <row r="3765" spans="2:2" x14ac:dyDescent="0.2">
      <c r="B3765" s="11"/>
    </row>
    <row r="3766" spans="2:2" x14ac:dyDescent="0.2">
      <c r="B3766" s="11"/>
    </row>
    <row r="3767" spans="2:2" x14ac:dyDescent="0.2">
      <c r="B3767" s="11"/>
    </row>
    <row r="3768" spans="2:2" x14ac:dyDescent="0.2">
      <c r="B3768" s="11"/>
    </row>
    <row r="3769" spans="2:2" x14ac:dyDescent="0.2">
      <c r="B3769" s="11"/>
    </row>
    <row r="3770" spans="2:2" x14ac:dyDescent="0.2">
      <c r="B3770" s="11"/>
    </row>
    <row r="3771" spans="2:2" x14ac:dyDescent="0.2">
      <c r="B3771" s="11"/>
    </row>
    <row r="3772" spans="2:2" x14ac:dyDescent="0.2">
      <c r="B3772" s="11"/>
    </row>
    <row r="3773" spans="2:2" x14ac:dyDescent="0.2">
      <c r="B3773" s="11"/>
    </row>
    <row r="3774" spans="2:2" x14ac:dyDescent="0.2">
      <c r="B3774" s="11"/>
    </row>
    <row r="3775" spans="2:2" x14ac:dyDescent="0.2">
      <c r="B3775" s="11"/>
    </row>
    <row r="3776" spans="2:2" x14ac:dyDescent="0.2">
      <c r="B3776" s="11"/>
    </row>
    <row r="3777" spans="2:2" x14ac:dyDescent="0.2">
      <c r="B3777" s="11"/>
    </row>
    <row r="3778" spans="2:2" x14ac:dyDescent="0.2">
      <c r="B3778" s="11"/>
    </row>
    <row r="3779" spans="2:2" x14ac:dyDescent="0.2">
      <c r="B3779" s="11"/>
    </row>
    <row r="3780" spans="2:2" x14ac:dyDescent="0.2">
      <c r="B3780" s="11"/>
    </row>
    <row r="3781" spans="2:2" x14ac:dyDescent="0.2">
      <c r="B3781" s="11"/>
    </row>
    <row r="3782" spans="2:2" x14ac:dyDescent="0.2">
      <c r="B3782" s="11"/>
    </row>
    <row r="3783" spans="2:2" x14ac:dyDescent="0.2">
      <c r="B3783" s="11"/>
    </row>
    <row r="3784" spans="2:2" x14ac:dyDescent="0.2">
      <c r="B3784" s="11"/>
    </row>
    <row r="3785" spans="2:2" x14ac:dyDescent="0.2">
      <c r="B3785" s="11"/>
    </row>
    <row r="3786" spans="2:2" x14ac:dyDescent="0.2">
      <c r="B3786" s="11"/>
    </row>
    <row r="3787" spans="2:2" x14ac:dyDescent="0.2">
      <c r="B3787" s="11"/>
    </row>
    <row r="3788" spans="2:2" x14ac:dyDescent="0.2">
      <c r="B3788" s="11"/>
    </row>
    <row r="3789" spans="2:2" x14ac:dyDescent="0.2">
      <c r="B3789" s="11"/>
    </row>
    <row r="3790" spans="2:2" x14ac:dyDescent="0.2">
      <c r="B3790" s="11"/>
    </row>
    <row r="3791" spans="2:2" x14ac:dyDescent="0.2">
      <c r="B3791" s="11"/>
    </row>
    <row r="3792" spans="2:2" x14ac:dyDescent="0.2">
      <c r="B3792" s="11"/>
    </row>
    <row r="3793" spans="2:2" x14ac:dyDescent="0.2">
      <c r="B3793" s="11"/>
    </row>
    <row r="3794" spans="2:2" x14ac:dyDescent="0.2">
      <c r="B3794" s="11"/>
    </row>
    <row r="3795" spans="2:2" x14ac:dyDescent="0.2">
      <c r="B3795" s="11"/>
    </row>
    <row r="3796" spans="2:2" x14ac:dyDescent="0.2">
      <c r="B3796" s="11"/>
    </row>
    <row r="3797" spans="2:2" x14ac:dyDescent="0.2">
      <c r="B3797" s="11"/>
    </row>
    <row r="3798" spans="2:2" x14ac:dyDescent="0.2">
      <c r="B3798" s="11"/>
    </row>
    <row r="3799" spans="2:2" x14ac:dyDescent="0.2">
      <c r="B3799" s="11"/>
    </row>
    <row r="3800" spans="2:2" x14ac:dyDescent="0.2">
      <c r="B3800" s="11"/>
    </row>
    <row r="3801" spans="2:2" x14ac:dyDescent="0.2">
      <c r="B3801" s="11"/>
    </row>
    <row r="3802" spans="2:2" x14ac:dyDescent="0.2">
      <c r="B3802" s="11"/>
    </row>
    <row r="3803" spans="2:2" x14ac:dyDescent="0.2">
      <c r="B3803" s="11"/>
    </row>
    <row r="3804" spans="2:2" x14ac:dyDescent="0.2">
      <c r="B3804" s="11"/>
    </row>
    <row r="3805" spans="2:2" x14ac:dyDescent="0.2">
      <c r="B3805" s="11"/>
    </row>
    <row r="3806" spans="2:2" x14ac:dyDescent="0.2">
      <c r="B3806" s="11"/>
    </row>
    <row r="3807" spans="2:2" x14ac:dyDescent="0.2">
      <c r="B3807" s="11"/>
    </row>
    <row r="3808" spans="2:2" x14ac:dyDescent="0.2">
      <c r="B3808" s="11"/>
    </row>
    <row r="3809" spans="2:2" x14ac:dyDescent="0.2">
      <c r="B3809" s="11"/>
    </row>
    <row r="3810" spans="2:2" x14ac:dyDescent="0.2">
      <c r="B3810" s="11"/>
    </row>
    <row r="3811" spans="2:2" x14ac:dyDescent="0.2">
      <c r="B3811" s="11"/>
    </row>
    <row r="3812" spans="2:2" x14ac:dyDescent="0.2">
      <c r="B3812" s="11"/>
    </row>
    <row r="3813" spans="2:2" x14ac:dyDescent="0.2">
      <c r="B3813" s="11"/>
    </row>
    <row r="3814" spans="2:2" x14ac:dyDescent="0.2">
      <c r="B3814" s="11"/>
    </row>
    <row r="3815" spans="2:2" x14ac:dyDescent="0.2">
      <c r="B3815" s="11"/>
    </row>
    <row r="3816" spans="2:2" x14ac:dyDescent="0.2">
      <c r="B3816" s="11"/>
    </row>
    <row r="3817" spans="2:2" x14ac:dyDescent="0.2">
      <c r="B3817" s="11"/>
    </row>
    <row r="3818" spans="2:2" x14ac:dyDescent="0.2">
      <c r="B3818" s="11"/>
    </row>
    <row r="3819" spans="2:2" x14ac:dyDescent="0.2">
      <c r="B3819" s="11"/>
    </row>
    <row r="3820" spans="2:2" x14ac:dyDescent="0.2">
      <c r="B3820" s="11"/>
    </row>
    <row r="3821" spans="2:2" x14ac:dyDescent="0.2">
      <c r="B3821" s="11"/>
    </row>
    <row r="3822" spans="2:2" x14ac:dyDescent="0.2">
      <c r="B3822" s="11"/>
    </row>
    <row r="3823" spans="2:2" x14ac:dyDescent="0.2">
      <c r="B3823" s="11"/>
    </row>
    <row r="3824" spans="2:2" x14ac:dyDescent="0.2">
      <c r="B3824" s="11"/>
    </row>
    <row r="3825" spans="2:2" x14ac:dyDescent="0.2">
      <c r="B3825" s="11"/>
    </row>
    <row r="3826" spans="2:2" x14ac:dyDescent="0.2">
      <c r="B3826" s="11"/>
    </row>
    <row r="3827" spans="2:2" x14ac:dyDescent="0.2">
      <c r="B3827" s="11"/>
    </row>
    <row r="3828" spans="2:2" x14ac:dyDescent="0.2">
      <c r="B3828" s="11"/>
    </row>
    <row r="3829" spans="2:2" x14ac:dyDescent="0.2">
      <c r="B3829" s="11"/>
    </row>
    <row r="3830" spans="2:2" x14ac:dyDescent="0.2">
      <c r="B3830" s="11"/>
    </row>
    <row r="3831" spans="2:2" x14ac:dyDescent="0.2">
      <c r="B3831" s="11"/>
    </row>
    <row r="3832" spans="2:2" x14ac:dyDescent="0.2">
      <c r="B3832" s="11"/>
    </row>
    <row r="3833" spans="2:2" x14ac:dyDescent="0.2">
      <c r="B3833" s="11"/>
    </row>
    <row r="3834" spans="2:2" x14ac:dyDescent="0.2">
      <c r="B3834" s="11"/>
    </row>
    <row r="3835" spans="2:2" x14ac:dyDescent="0.2">
      <c r="B3835" s="11"/>
    </row>
    <row r="3836" spans="2:2" x14ac:dyDescent="0.2">
      <c r="B3836" s="11"/>
    </row>
    <row r="3837" spans="2:2" x14ac:dyDescent="0.2">
      <c r="B3837" s="11"/>
    </row>
    <row r="3838" spans="2:2" x14ac:dyDescent="0.2">
      <c r="B3838" s="11"/>
    </row>
    <row r="3839" spans="2:2" x14ac:dyDescent="0.2">
      <c r="B3839" s="11"/>
    </row>
    <row r="3840" spans="2:2" x14ac:dyDescent="0.2">
      <c r="B3840" s="11"/>
    </row>
    <row r="3841" spans="2:2" x14ac:dyDescent="0.2">
      <c r="B3841" s="11"/>
    </row>
    <row r="3842" spans="2:2" x14ac:dyDescent="0.2">
      <c r="B3842" s="11"/>
    </row>
    <row r="3843" spans="2:2" x14ac:dyDescent="0.2">
      <c r="B3843" s="11"/>
    </row>
    <row r="3844" spans="2:2" x14ac:dyDescent="0.2">
      <c r="B3844" s="11"/>
    </row>
    <row r="3845" spans="2:2" x14ac:dyDescent="0.2">
      <c r="B3845" s="11"/>
    </row>
    <row r="3846" spans="2:2" x14ac:dyDescent="0.2">
      <c r="B3846" s="11"/>
    </row>
    <row r="3847" spans="2:2" x14ac:dyDescent="0.2">
      <c r="B3847" s="11"/>
    </row>
    <row r="3848" spans="2:2" x14ac:dyDescent="0.2">
      <c r="B3848" s="11"/>
    </row>
    <row r="3849" spans="2:2" x14ac:dyDescent="0.2">
      <c r="B3849" s="11"/>
    </row>
    <row r="3850" spans="2:2" x14ac:dyDescent="0.2">
      <c r="B3850" s="11"/>
    </row>
    <row r="3851" spans="2:2" x14ac:dyDescent="0.2">
      <c r="B3851" s="11"/>
    </row>
    <row r="3852" spans="2:2" x14ac:dyDescent="0.2">
      <c r="B3852" s="11"/>
    </row>
    <row r="3853" spans="2:2" x14ac:dyDescent="0.2">
      <c r="B3853" s="11"/>
    </row>
    <row r="3854" spans="2:2" x14ac:dyDescent="0.2">
      <c r="B3854" s="11"/>
    </row>
    <row r="3855" spans="2:2" x14ac:dyDescent="0.2">
      <c r="B3855" s="11"/>
    </row>
    <row r="3856" spans="2:2" x14ac:dyDescent="0.2">
      <c r="B3856" s="11"/>
    </row>
    <row r="3857" spans="2:2" x14ac:dyDescent="0.2">
      <c r="B3857" s="11"/>
    </row>
    <row r="3858" spans="2:2" x14ac:dyDescent="0.2">
      <c r="B3858" s="11"/>
    </row>
    <row r="3859" spans="2:2" x14ac:dyDescent="0.2">
      <c r="B3859" s="11"/>
    </row>
    <row r="3860" spans="2:2" x14ac:dyDescent="0.2">
      <c r="B3860" s="11"/>
    </row>
    <row r="3861" spans="2:2" x14ac:dyDescent="0.2">
      <c r="B3861" s="11"/>
    </row>
    <row r="3862" spans="2:2" x14ac:dyDescent="0.2">
      <c r="B3862" s="11"/>
    </row>
    <row r="3863" spans="2:2" x14ac:dyDescent="0.2">
      <c r="B3863" s="11"/>
    </row>
    <row r="3864" spans="2:2" x14ac:dyDescent="0.2">
      <c r="B3864" s="11"/>
    </row>
    <row r="3865" spans="2:2" x14ac:dyDescent="0.2">
      <c r="B3865" s="11"/>
    </row>
    <row r="3866" spans="2:2" x14ac:dyDescent="0.2">
      <c r="B3866" s="11"/>
    </row>
    <row r="3867" spans="2:2" x14ac:dyDescent="0.2">
      <c r="B3867" s="11"/>
    </row>
    <row r="3868" spans="2:2" x14ac:dyDescent="0.2">
      <c r="B3868" s="11"/>
    </row>
    <row r="3869" spans="2:2" x14ac:dyDescent="0.2">
      <c r="B3869" s="11"/>
    </row>
    <row r="3870" spans="2:2" x14ac:dyDescent="0.2">
      <c r="B3870" s="11"/>
    </row>
    <row r="3871" spans="2:2" x14ac:dyDescent="0.2">
      <c r="B3871" s="11"/>
    </row>
    <row r="3872" spans="2:2" x14ac:dyDescent="0.2">
      <c r="B3872" s="11"/>
    </row>
    <row r="3873" spans="2:2" x14ac:dyDescent="0.2">
      <c r="B3873" s="11"/>
    </row>
    <row r="3874" spans="2:2" x14ac:dyDescent="0.2">
      <c r="B3874" s="11"/>
    </row>
    <row r="3875" spans="2:2" x14ac:dyDescent="0.2">
      <c r="B3875" s="11"/>
    </row>
    <row r="3876" spans="2:2" x14ac:dyDescent="0.2">
      <c r="B3876" s="11"/>
    </row>
    <row r="3877" spans="2:2" x14ac:dyDescent="0.2">
      <c r="B3877" s="11"/>
    </row>
    <row r="3878" spans="2:2" x14ac:dyDescent="0.2">
      <c r="B3878" s="11"/>
    </row>
    <row r="3879" spans="2:2" x14ac:dyDescent="0.2">
      <c r="B3879" s="11"/>
    </row>
    <row r="3880" spans="2:2" x14ac:dyDescent="0.2">
      <c r="B3880" s="11"/>
    </row>
    <row r="3881" spans="2:2" x14ac:dyDescent="0.2">
      <c r="B3881" s="11"/>
    </row>
    <row r="3882" spans="2:2" x14ac:dyDescent="0.2">
      <c r="B3882" s="11"/>
    </row>
    <row r="3883" spans="2:2" x14ac:dyDescent="0.2">
      <c r="B3883" s="11"/>
    </row>
    <row r="3884" spans="2:2" x14ac:dyDescent="0.2">
      <c r="B3884" s="11"/>
    </row>
    <row r="3885" spans="2:2" x14ac:dyDescent="0.2">
      <c r="B3885" s="11"/>
    </row>
    <row r="3886" spans="2:2" x14ac:dyDescent="0.2">
      <c r="B3886" s="11"/>
    </row>
    <row r="3887" spans="2:2" x14ac:dyDescent="0.2">
      <c r="B3887" s="11"/>
    </row>
    <row r="3888" spans="2:2" x14ac:dyDescent="0.2">
      <c r="B3888" s="11"/>
    </row>
    <row r="3889" spans="2:2" x14ac:dyDescent="0.2">
      <c r="B3889" s="11"/>
    </row>
    <row r="3890" spans="2:2" x14ac:dyDescent="0.2">
      <c r="B3890" s="11"/>
    </row>
    <row r="3891" spans="2:2" x14ac:dyDescent="0.2">
      <c r="B3891" s="11"/>
    </row>
    <row r="3892" spans="2:2" x14ac:dyDescent="0.2">
      <c r="B3892" s="11"/>
    </row>
    <row r="3893" spans="2:2" x14ac:dyDescent="0.2">
      <c r="B3893" s="11"/>
    </row>
    <row r="3894" spans="2:2" x14ac:dyDescent="0.2">
      <c r="B3894" s="11"/>
    </row>
    <row r="3895" spans="2:2" x14ac:dyDescent="0.2">
      <c r="B3895" s="11"/>
    </row>
    <row r="3896" spans="2:2" x14ac:dyDescent="0.2">
      <c r="B3896" s="11"/>
    </row>
    <row r="3897" spans="2:2" x14ac:dyDescent="0.2">
      <c r="B3897" s="11"/>
    </row>
    <row r="3898" spans="2:2" x14ac:dyDescent="0.2">
      <c r="B3898" s="11"/>
    </row>
    <row r="3899" spans="2:2" x14ac:dyDescent="0.2">
      <c r="B3899" s="11"/>
    </row>
    <row r="3900" spans="2:2" x14ac:dyDescent="0.2">
      <c r="B3900" s="11"/>
    </row>
    <row r="3901" spans="2:2" x14ac:dyDescent="0.2">
      <c r="B3901" s="11"/>
    </row>
    <row r="3902" spans="2:2" x14ac:dyDescent="0.2">
      <c r="B3902" s="11"/>
    </row>
    <row r="3903" spans="2:2" x14ac:dyDescent="0.2">
      <c r="B3903" s="11"/>
    </row>
    <row r="3904" spans="2:2" x14ac:dyDescent="0.2">
      <c r="B3904" s="11"/>
    </row>
    <row r="3905" spans="2:2" x14ac:dyDescent="0.2">
      <c r="B3905" s="11"/>
    </row>
    <row r="3906" spans="2:2" x14ac:dyDescent="0.2">
      <c r="B3906" s="11"/>
    </row>
    <row r="3907" spans="2:2" x14ac:dyDescent="0.2">
      <c r="B3907" s="11"/>
    </row>
    <row r="3908" spans="2:2" x14ac:dyDescent="0.2">
      <c r="B3908" s="11"/>
    </row>
    <row r="3909" spans="2:2" x14ac:dyDescent="0.2">
      <c r="B3909" s="11"/>
    </row>
    <row r="3910" spans="2:2" x14ac:dyDescent="0.2">
      <c r="B3910" s="11"/>
    </row>
    <row r="3911" spans="2:2" x14ac:dyDescent="0.2">
      <c r="B3911" s="11"/>
    </row>
    <row r="3912" spans="2:2" x14ac:dyDescent="0.2">
      <c r="B3912" s="11"/>
    </row>
    <row r="3913" spans="2:2" x14ac:dyDescent="0.2">
      <c r="B3913" s="11"/>
    </row>
    <row r="3914" spans="2:2" x14ac:dyDescent="0.2">
      <c r="B3914" s="11"/>
    </row>
    <row r="3915" spans="2:2" x14ac:dyDescent="0.2">
      <c r="B3915" s="11"/>
    </row>
    <row r="3916" spans="2:2" x14ac:dyDescent="0.2">
      <c r="B3916" s="11"/>
    </row>
    <row r="3917" spans="2:2" x14ac:dyDescent="0.2">
      <c r="B3917" s="11"/>
    </row>
    <row r="3918" spans="2:2" x14ac:dyDescent="0.2">
      <c r="B3918" s="11"/>
    </row>
    <row r="3919" spans="2:2" x14ac:dyDescent="0.2">
      <c r="B3919" s="11"/>
    </row>
    <row r="3920" spans="2:2" x14ac:dyDescent="0.2">
      <c r="B3920" s="11"/>
    </row>
    <row r="3921" spans="2:2" x14ac:dyDescent="0.2">
      <c r="B3921" s="11"/>
    </row>
    <row r="3922" spans="2:2" x14ac:dyDescent="0.2">
      <c r="B3922" s="11"/>
    </row>
    <row r="3923" spans="2:2" x14ac:dyDescent="0.2">
      <c r="B3923" s="11"/>
    </row>
    <row r="3924" spans="2:2" x14ac:dyDescent="0.2">
      <c r="B3924" s="11"/>
    </row>
    <row r="3925" spans="2:2" x14ac:dyDescent="0.2">
      <c r="B3925" s="11"/>
    </row>
    <row r="3926" spans="2:2" x14ac:dyDescent="0.2">
      <c r="B3926" s="11"/>
    </row>
    <row r="3927" spans="2:2" x14ac:dyDescent="0.2">
      <c r="B3927" s="11"/>
    </row>
    <row r="3928" spans="2:2" x14ac:dyDescent="0.2">
      <c r="B3928" s="11"/>
    </row>
    <row r="3929" spans="2:2" x14ac:dyDescent="0.2">
      <c r="B3929" s="11"/>
    </row>
    <row r="3930" spans="2:2" x14ac:dyDescent="0.2">
      <c r="B3930" s="11"/>
    </row>
    <row r="3931" spans="2:2" x14ac:dyDescent="0.2">
      <c r="B3931" s="11"/>
    </row>
    <row r="3932" spans="2:2" x14ac:dyDescent="0.2">
      <c r="B3932" s="11"/>
    </row>
    <row r="3933" spans="2:2" x14ac:dyDescent="0.2">
      <c r="B3933" s="11"/>
    </row>
    <row r="3934" spans="2:2" x14ac:dyDescent="0.2">
      <c r="B3934" s="11"/>
    </row>
    <row r="3935" spans="2:2" x14ac:dyDescent="0.2">
      <c r="B3935" s="11"/>
    </row>
    <row r="3936" spans="2:2" x14ac:dyDescent="0.2">
      <c r="B3936" s="11"/>
    </row>
    <row r="3937" spans="2:2" x14ac:dyDescent="0.2">
      <c r="B3937" s="11"/>
    </row>
    <row r="3938" spans="2:2" x14ac:dyDescent="0.2">
      <c r="B3938" s="11"/>
    </row>
    <row r="3939" spans="2:2" x14ac:dyDescent="0.2">
      <c r="B3939" s="11"/>
    </row>
    <row r="3940" spans="2:2" x14ac:dyDescent="0.2">
      <c r="B3940" s="11"/>
    </row>
    <row r="3941" spans="2:2" x14ac:dyDescent="0.2">
      <c r="B3941" s="11"/>
    </row>
    <row r="3942" spans="2:2" x14ac:dyDescent="0.2">
      <c r="B3942" s="11"/>
    </row>
    <row r="3943" spans="2:2" x14ac:dyDescent="0.2">
      <c r="B3943" s="11"/>
    </row>
    <row r="3944" spans="2:2" x14ac:dyDescent="0.2">
      <c r="B3944" s="11"/>
    </row>
    <row r="3945" spans="2:2" x14ac:dyDescent="0.2">
      <c r="B3945" s="11"/>
    </row>
    <row r="3946" spans="2:2" x14ac:dyDescent="0.2">
      <c r="B3946" s="11"/>
    </row>
    <row r="3947" spans="2:2" x14ac:dyDescent="0.2">
      <c r="B3947" s="11"/>
    </row>
    <row r="3948" spans="2:2" x14ac:dyDescent="0.2">
      <c r="B3948" s="11"/>
    </row>
    <row r="3949" spans="2:2" x14ac:dyDescent="0.2">
      <c r="B3949" s="11"/>
    </row>
    <row r="3950" spans="2:2" x14ac:dyDescent="0.2">
      <c r="B3950" s="11"/>
    </row>
    <row r="3951" spans="2:2" x14ac:dyDescent="0.2">
      <c r="B3951" s="11"/>
    </row>
    <row r="3952" spans="2:2" x14ac:dyDescent="0.2">
      <c r="B3952" s="11"/>
    </row>
    <row r="3953" spans="2:2" x14ac:dyDescent="0.2">
      <c r="B3953" s="11"/>
    </row>
    <row r="3954" spans="2:2" x14ac:dyDescent="0.2">
      <c r="B3954" s="11"/>
    </row>
    <row r="3955" spans="2:2" x14ac:dyDescent="0.2">
      <c r="B3955" s="11"/>
    </row>
    <row r="3956" spans="2:2" x14ac:dyDescent="0.2">
      <c r="B3956" s="11"/>
    </row>
    <row r="3957" spans="2:2" x14ac:dyDescent="0.2">
      <c r="B3957" s="11"/>
    </row>
    <row r="3958" spans="2:2" x14ac:dyDescent="0.2">
      <c r="B3958" s="11"/>
    </row>
    <row r="3959" spans="2:2" x14ac:dyDescent="0.2">
      <c r="B3959" s="11"/>
    </row>
    <row r="3960" spans="2:2" x14ac:dyDescent="0.2">
      <c r="B3960" s="11"/>
    </row>
    <row r="3961" spans="2:2" x14ac:dyDescent="0.2">
      <c r="B3961" s="11"/>
    </row>
    <row r="3962" spans="2:2" x14ac:dyDescent="0.2">
      <c r="B3962" s="11"/>
    </row>
    <row r="3963" spans="2:2" x14ac:dyDescent="0.2">
      <c r="B3963" s="11"/>
    </row>
    <row r="3964" spans="2:2" x14ac:dyDescent="0.2">
      <c r="B3964" s="11"/>
    </row>
    <row r="3965" spans="2:2" x14ac:dyDescent="0.2">
      <c r="B3965" s="11"/>
    </row>
    <row r="3966" spans="2:2" x14ac:dyDescent="0.2">
      <c r="B3966" s="11"/>
    </row>
    <row r="3967" spans="2:2" x14ac:dyDescent="0.2">
      <c r="B3967" s="11"/>
    </row>
    <row r="3968" spans="2:2" x14ac:dyDescent="0.2">
      <c r="B3968" s="11"/>
    </row>
    <row r="3969" spans="2:2" x14ac:dyDescent="0.2">
      <c r="B3969" s="11"/>
    </row>
    <row r="3970" spans="2:2" x14ac:dyDescent="0.2">
      <c r="B3970" s="11"/>
    </row>
    <row r="3971" spans="2:2" x14ac:dyDescent="0.2">
      <c r="B3971" s="11"/>
    </row>
    <row r="3972" spans="2:2" x14ac:dyDescent="0.2">
      <c r="B3972" s="11"/>
    </row>
    <row r="3973" spans="2:2" x14ac:dyDescent="0.2">
      <c r="B3973" s="11"/>
    </row>
    <row r="3974" spans="2:2" x14ac:dyDescent="0.2">
      <c r="B3974" s="11"/>
    </row>
    <row r="3975" spans="2:2" x14ac:dyDescent="0.2">
      <c r="B3975" s="11"/>
    </row>
    <row r="3976" spans="2:2" x14ac:dyDescent="0.2">
      <c r="B3976" s="11"/>
    </row>
    <row r="3977" spans="2:2" x14ac:dyDescent="0.2">
      <c r="B3977" s="11"/>
    </row>
    <row r="3978" spans="2:2" x14ac:dyDescent="0.2">
      <c r="B3978" s="11"/>
    </row>
    <row r="3979" spans="2:2" x14ac:dyDescent="0.2">
      <c r="B3979" s="11"/>
    </row>
    <row r="3980" spans="2:2" x14ac:dyDescent="0.2">
      <c r="B3980" s="11"/>
    </row>
    <row r="3981" spans="2:2" x14ac:dyDescent="0.2">
      <c r="B3981" s="11"/>
    </row>
    <row r="3982" spans="2:2" x14ac:dyDescent="0.2">
      <c r="B3982" s="11"/>
    </row>
    <row r="3983" spans="2:2" x14ac:dyDescent="0.2">
      <c r="B3983" s="11"/>
    </row>
    <row r="3984" spans="2:2" x14ac:dyDescent="0.2">
      <c r="B3984" s="11"/>
    </row>
    <row r="3985" spans="2:2" x14ac:dyDescent="0.2">
      <c r="B3985" s="11"/>
    </row>
    <row r="3986" spans="2:2" x14ac:dyDescent="0.2">
      <c r="B3986" s="11"/>
    </row>
    <row r="3987" spans="2:2" x14ac:dyDescent="0.2">
      <c r="B3987" s="11"/>
    </row>
    <row r="3988" spans="2:2" x14ac:dyDescent="0.2">
      <c r="B3988" s="11"/>
    </row>
    <row r="3989" spans="2:2" x14ac:dyDescent="0.2">
      <c r="B3989" s="11"/>
    </row>
    <row r="3990" spans="2:2" x14ac:dyDescent="0.2">
      <c r="B3990" s="11"/>
    </row>
    <row r="3991" spans="2:2" x14ac:dyDescent="0.2">
      <c r="B3991" s="11"/>
    </row>
    <row r="3992" spans="2:2" x14ac:dyDescent="0.2">
      <c r="B3992" s="11"/>
    </row>
    <row r="3993" spans="2:2" x14ac:dyDescent="0.2">
      <c r="B3993" s="11"/>
    </row>
    <row r="3994" spans="2:2" x14ac:dyDescent="0.2">
      <c r="B3994" s="11"/>
    </row>
    <row r="3995" spans="2:2" x14ac:dyDescent="0.2">
      <c r="B3995" s="11"/>
    </row>
    <row r="3996" spans="2:2" x14ac:dyDescent="0.2">
      <c r="B3996" s="11"/>
    </row>
    <row r="3997" spans="2:2" x14ac:dyDescent="0.2">
      <c r="B3997" s="11"/>
    </row>
    <row r="3998" spans="2:2" x14ac:dyDescent="0.2">
      <c r="B3998" s="11"/>
    </row>
    <row r="3999" spans="2:2" x14ac:dyDescent="0.2">
      <c r="B3999" s="11"/>
    </row>
    <row r="4000" spans="2:2" x14ac:dyDescent="0.2">
      <c r="B4000" s="11"/>
    </row>
    <row r="4001" spans="2:2" x14ac:dyDescent="0.2">
      <c r="B4001" s="11"/>
    </row>
    <row r="4002" spans="2:2" x14ac:dyDescent="0.2">
      <c r="B4002" s="11"/>
    </row>
    <row r="4003" spans="2:2" x14ac:dyDescent="0.2">
      <c r="B4003" s="11"/>
    </row>
    <row r="4004" spans="2:2" x14ac:dyDescent="0.2">
      <c r="B4004" s="11"/>
    </row>
    <row r="4005" spans="2:2" x14ac:dyDescent="0.2">
      <c r="B4005" s="11"/>
    </row>
    <row r="4006" spans="2:2" x14ac:dyDescent="0.2">
      <c r="B4006" s="11"/>
    </row>
    <row r="4007" spans="2:2" x14ac:dyDescent="0.2">
      <c r="B4007" s="11"/>
    </row>
    <row r="4008" spans="2:2" x14ac:dyDescent="0.2">
      <c r="B4008" s="11"/>
    </row>
    <row r="4009" spans="2:2" x14ac:dyDescent="0.2">
      <c r="B4009" s="11"/>
    </row>
    <row r="4010" spans="2:2" x14ac:dyDescent="0.2">
      <c r="B4010" s="11"/>
    </row>
    <row r="4011" spans="2:2" x14ac:dyDescent="0.2">
      <c r="B4011" s="11"/>
    </row>
    <row r="4012" spans="2:2" x14ac:dyDescent="0.2">
      <c r="B4012" s="11"/>
    </row>
    <row r="4013" spans="2:2" x14ac:dyDescent="0.2">
      <c r="B4013" s="11"/>
    </row>
    <row r="4014" spans="2:2" x14ac:dyDescent="0.2">
      <c r="B4014" s="11"/>
    </row>
    <row r="4015" spans="2:2" x14ac:dyDescent="0.2">
      <c r="B4015" s="11"/>
    </row>
    <row r="4016" spans="2:2" x14ac:dyDescent="0.2">
      <c r="B4016" s="11"/>
    </row>
    <row r="4017" spans="2:2" x14ac:dyDescent="0.2">
      <c r="B4017" s="11"/>
    </row>
    <row r="4018" spans="2:2" x14ac:dyDescent="0.2">
      <c r="B4018" s="11"/>
    </row>
    <row r="4019" spans="2:2" x14ac:dyDescent="0.2">
      <c r="B4019" s="11"/>
    </row>
    <row r="4020" spans="2:2" x14ac:dyDescent="0.2">
      <c r="B4020" s="11"/>
    </row>
    <row r="4021" spans="2:2" x14ac:dyDescent="0.2">
      <c r="B4021" s="11"/>
    </row>
    <row r="4022" spans="2:2" x14ac:dyDescent="0.2">
      <c r="B4022" s="11"/>
    </row>
    <row r="4023" spans="2:2" x14ac:dyDescent="0.2">
      <c r="B4023" s="11"/>
    </row>
    <row r="4024" spans="2:2" x14ac:dyDescent="0.2">
      <c r="B4024" s="11"/>
    </row>
    <row r="4025" spans="2:2" x14ac:dyDescent="0.2">
      <c r="B4025" s="11"/>
    </row>
    <row r="4026" spans="2:2" x14ac:dyDescent="0.2">
      <c r="B4026" s="11"/>
    </row>
    <row r="4027" spans="2:2" x14ac:dyDescent="0.2">
      <c r="B4027" s="11"/>
    </row>
    <row r="4028" spans="2:2" x14ac:dyDescent="0.2">
      <c r="B4028" s="11"/>
    </row>
    <row r="4029" spans="2:2" x14ac:dyDescent="0.2">
      <c r="B4029" s="11"/>
    </row>
    <row r="4030" spans="2:2" x14ac:dyDescent="0.2">
      <c r="B4030" s="11"/>
    </row>
    <row r="4031" spans="2:2" x14ac:dyDescent="0.2">
      <c r="B4031" s="11"/>
    </row>
    <row r="4032" spans="2:2" x14ac:dyDescent="0.2">
      <c r="B4032" s="11"/>
    </row>
    <row r="4033" spans="2:2" x14ac:dyDescent="0.2">
      <c r="B4033" s="11"/>
    </row>
    <row r="4034" spans="2:2" x14ac:dyDescent="0.2">
      <c r="B4034" s="11"/>
    </row>
    <row r="4035" spans="2:2" x14ac:dyDescent="0.2">
      <c r="B4035" s="11"/>
    </row>
    <row r="4036" spans="2:2" x14ac:dyDescent="0.2">
      <c r="B4036" s="11"/>
    </row>
    <row r="4037" spans="2:2" x14ac:dyDescent="0.2">
      <c r="B4037" s="11"/>
    </row>
    <row r="4038" spans="2:2" x14ac:dyDescent="0.2">
      <c r="B4038" s="11"/>
    </row>
    <row r="4039" spans="2:2" x14ac:dyDescent="0.2">
      <c r="B4039" s="11"/>
    </row>
    <row r="4040" spans="2:2" x14ac:dyDescent="0.2">
      <c r="B4040" s="11"/>
    </row>
    <row r="4041" spans="2:2" x14ac:dyDescent="0.2">
      <c r="B4041" s="11"/>
    </row>
    <row r="4042" spans="2:2" x14ac:dyDescent="0.2">
      <c r="B4042" s="11"/>
    </row>
    <row r="4043" spans="2:2" x14ac:dyDescent="0.2">
      <c r="B4043" s="11"/>
    </row>
    <row r="4044" spans="2:2" x14ac:dyDescent="0.2">
      <c r="B4044" s="11"/>
    </row>
    <row r="4045" spans="2:2" x14ac:dyDescent="0.2">
      <c r="B4045" s="11"/>
    </row>
    <row r="4046" spans="2:2" x14ac:dyDescent="0.2">
      <c r="B4046" s="11"/>
    </row>
    <row r="4047" spans="2:2" x14ac:dyDescent="0.2">
      <c r="B4047" s="11"/>
    </row>
    <row r="4048" spans="2:2" x14ac:dyDescent="0.2">
      <c r="B4048" s="11"/>
    </row>
    <row r="4049" spans="2:2" x14ac:dyDescent="0.2">
      <c r="B4049" s="11"/>
    </row>
    <row r="4050" spans="2:2" x14ac:dyDescent="0.2">
      <c r="B4050" s="11"/>
    </row>
    <row r="4051" spans="2:2" x14ac:dyDescent="0.2">
      <c r="B4051" s="11"/>
    </row>
    <row r="4052" spans="2:2" x14ac:dyDescent="0.2">
      <c r="B4052" s="11"/>
    </row>
    <row r="4053" spans="2:2" x14ac:dyDescent="0.2">
      <c r="B4053" s="11"/>
    </row>
    <row r="4054" spans="2:2" x14ac:dyDescent="0.2">
      <c r="B4054" s="11"/>
    </row>
    <row r="4055" spans="2:2" x14ac:dyDescent="0.2">
      <c r="B4055" s="11"/>
    </row>
    <row r="4056" spans="2:2" x14ac:dyDescent="0.2">
      <c r="B4056" s="11"/>
    </row>
    <row r="4057" spans="2:2" x14ac:dyDescent="0.2">
      <c r="B4057" s="11"/>
    </row>
    <row r="4058" spans="2:2" x14ac:dyDescent="0.2">
      <c r="B4058" s="11"/>
    </row>
    <row r="4059" spans="2:2" x14ac:dyDescent="0.2">
      <c r="B4059" s="11"/>
    </row>
    <row r="4060" spans="2:2" x14ac:dyDescent="0.2">
      <c r="B4060" s="11"/>
    </row>
    <row r="4061" spans="2:2" x14ac:dyDescent="0.2">
      <c r="B4061" s="11"/>
    </row>
    <row r="4062" spans="2:2" x14ac:dyDescent="0.2">
      <c r="B4062" s="11"/>
    </row>
    <row r="4063" spans="2:2" x14ac:dyDescent="0.2">
      <c r="B4063" s="11"/>
    </row>
    <row r="4064" spans="2:2" x14ac:dyDescent="0.2">
      <c r="B4064" s="11"/>
    </row>
    <row r="4065" spans="2:2" x14ac:dyDescent="0.2">
      <c r="B4065" s="11"/>
    </row>
    <row r="4066" spans="2:2" x14ac:dyDescent="0.2">
      <c r="B4066" s="11"/>
    </row>
    <row r="4067" spans="2:2" x14ac:dyDescent="0.2">
      <c r="B4067" s="11"/>
    </row>
    <row r="4068" spans="2:2" x14ac:dyDescent="0.2">
      <c r="B4068" s="11"/>
    </row>
    <row r="4069" spans="2:2" x14ac:dyDescent="0.2">
      <c r="B4069" s="11"/>
    </row>
    <row r="4070" spans="2:2" x14ac:dyDescent="0.2">
      <c r="B4070" s="11"/>
    </row>
    <row r="4071" spans="2:2" x14ac:dyDescent="0.2">
      <c r="B4071" s="11"/>
    </row>
    <row r="4072" spans="2:2" x14ac:dyDescent="0.2">
      <c r="B4072" s="11"/>
    </row>
    <row r="4073" spans="2:2" x14ac:dyDescent="0.2">
      <c r="B4073" s="11"/>
    </row>
    <row r="4074" spans="2:2" x14ac:dyDescent="0.2">
      <c r="B4074" s="11"/>
    </row>
    <row r="4075" spans="2:2" x14ac:dyDescent="0.2">
      <c r="B4075" s="11"/>
    </row>
    <row r="4076" spans="2:2" x14ac:dyDescent="0.2">
      <c r="B4076" s="11"/>
    </row>
    <row r="4077" spans="2:2" x14ac:dyDescent="0.2">
      <c r="B4077" s="11"/>
    </row>
    <row r="4078" spans="2:2" x14ac:dyDescent="0.2">
      <c r="B4078" s="11"/>
    </row>
    <row r="4079" spans="2:2" x14ac:dyDescent="0.2">
      <c r="B4079" s="11"/>
    </row>
    <row r="4080" spans="2:2" x14ac:dyDescent="0.2">
      <c r="B4080" s="11"/>
    </row>
    <row r="4081" spans="2:2" x14ac:dyDescent="0.2">
      <c r="B4081" s="11"/>
    </row>
    <row r="4082" spans="2:2" x14ac:dyDescent="0.2">
      <c r="B4082" s="11"/>
    </row>
    <row r="4083" spans="2:2" x14ac:dyDescent="0.2">
      <c r="B4083" s="11"/>
    </row>
    <row r="4084" spans="2:2" x14ac:dyDescent="0.2">
      <c r="B4084" s="11"/>
    </row>
    <row r="4085" spans="2:2" x14ac:dyDescent="0.2">
      <c r="B4085" s="11"/>
    </row>
    <row r="4086" spans="2:2" x14ac:dyDescent="0.2">
      <c r="B4086" s="11"/>
    </row>
    <row r="4087" spans="2:2" x14ac:dyDescent="0.2">
      <c r="B4087" s="11"/>
    </row>
    <row r="4088" spans="2:2" x14ac:dyDescent="0.2">
      <c r="B4088" s="11"/>
    </row>
    <row r="4089" spans="2:2" x14ac:dyDescent="0.2">
      <c r="B4089" s="11"/>
    </row>
    <row r="4090" spans="2:2" x14ac:dyDescent="0.2">
      <c r="B4090" s="11"/>
    </row>
    <row r="4091" spans="2:2" x14ac:dyDescent="0.2">
      <c r="B4091" s="11"/>
    </row>
    <row r="4092" spans="2:2" x14ac:dyDescent="0.2">
      <c r="B4092" s="11"/>
    </row>
    <row r="4093" spans="2:2" x14ac:dyDescent="0.2">
      <c r="B4093" s="11"/>
    </row>
    <row r="4094" spans="2:2" x14ac:dyDescent="0.2">
      <c r="B4094" s="11"/>
    </row>
    <row r="4095" spans="2:2" x14ac:dyDescent="0.2">
      <c r="B4095" s="11"/>
    </row>
    <row r="4096" spans="2:2" x14ac:dyDescent="0.2">
      <c r="B4096" s="11"/>
    </row>
    <row r="4097" spans="2:2" x14ac:dyDescent="0.2">
      <c r="B4097" s="11"/>
    </row>
    <row r="4098" spans="2:2" x14ac:dyDescent="0.2">
      <c r="B4098" s="11"/>
    </row>
    <row r="4099" spans="2:2" x14ac:dyDescent="0.2">
      <c r="B4099" s="11"/>
    </row>
    <row r="4100" spans="2:2" x14ac:dyDescent="0.2">
      <c r="B4100" s="11"/>
    </row>
    <row r="4101" spans="2:2" x14ac:dyDescent="0.2">
      <c r="B4101" s="11"/>
    </row>
    <row r="4102" spans="2:2" x14ac:dyDescent="0.2">
      <c r="B4102" s="11"/>
    </row>
    <row r="4103" spans="2:2" x14ac:dyDescent="0.2">
      <c r="B4103" s="11"/>
    </row>
    <row r="4104" spans="2:2" x14ac:dyDescent="0.2">
      <c r="B4104" s="11"/>
    </row>
    <row r="4105" spans="2:2" x14ac:dyDescent="0.2">
      <c r="B4105" s="11"/>
    </row>
    <row r="4106" spans="2:2" x14ac:dyDescent="0.2">
      <c r="B4106" s="11"/>
    </row>
    <row r="4107" spans="2:2" x14ac:dyDescent="0.2">
      <c r="B4107" s="11"/>
    </row>
    <row r="4108" spans="2:2" x14ac:dyDescent="0.2">
      <c r="B4108" s="11"/>
    </row>
    <row r="4109" spans="2:2" x14ac:dyDescent="0.2">
      <c r="B4109" s="11"/>
    </row>
    <row r="4110" spans="2:2" x14ac:dyDescent="0.2">
      <c r="B4110" s="11"/>
    </row>
    <row r="4111" spans="2:2" x14ac:dyDescent="0.2">
      <c r="B4111" s="11"/>
    </row>
    <row r="4112" spans="2:2" x14ac:dyDescent="0.2">
      <c r="B4112" s="11"/>
    </row>
    <row r="4113" spans="2:2" x14ac:dyDescent="0.2">
      <c r="B4113" s="11"/>
    </row>
    <row r="4114" spans="2:2" x14ac:dyDescent="0.2">
      <c r="B4114" s="11"/>
    </row>
    <row r="4115" spans="2:2" x14ac:dyDescent="0.2">
      <c r="B4115" s="11"/>
    </row>
    <row r="4116" spans="2:2" x14ac:dyDescent="0.2">
      <c r="B4116" s="11"/>
    </row>
    <row r="4117" spans="2:2" x14ac:dyDescent="0.2">
      <c r="B4117" s="11"/>
    </row>
    <row r="4118" spans="2:2" x14ac:dyDescent="0.2">
      <c r="B4118" s="11"/>
    </row>
    <row r="4119" spans="2:2" x14ac:dyDescent="0.2">
      <c r="B4119" s="11"/>
    </row>
    <row r="4120" spans="2:2" x14ac:dyDescent="0.2">
      <c r="B4120" s="11"/>
    </row>
    <row r="4121" spans="2:2" x14ac:dyDescent="0.2">
      <c r="B4121" s="11"/>
    </row>
    <row r="4122" spans="2:2" x14ac:dyDescent="0.2">
      <c r="B4122" s="11"/>
    </row>
    <row r="4123" spans="2:2" x14ac:dyDescent="0.2">
      <c r="B4123" s="11"/>
    </row>
    <row r="4124" spans="2:2" x14ac:dyDescent="0.2">
      <c r="B4124" s="11"/>
    </row>
    <row r="4125" spans="2:2" x14ac:dyDescent="0.2">
      <c r="B4125" s="11"/>
    </row>
    <row r="4126" spans="2:2" x14ac:dyDescent="0.2">
      <c r="B4126" s="11"/>
    </row>
    <row r="4127" spans="2:2" x14ac:dyDescent="0.2">
      <c r="B4127" s="11"/>
    </row>
    <row r="4128" spans="2:2" x14ac:dyDescent="0.2">
      <c r="B4128" s="11"/>
    </row>
    <row r="4129" spans="2:2" x14ac:dyDescent="0.2">
      <c r="B4129" s="11"/>
    </row>
    <row r="4130" spans="2:2" x14ac:dyDescent="0.2">
      <c r="B4130" s="11"/>
    </row>
    <row r="4131" spans="2:2" x14ac:dyDescent="0.2">
      <c r="B4131" s="11"/>
    </row>
    <row r="4132" spans="2:2" x14ac:dyDescent="0.2">
      <c r="B4132" s="11"/>
    </row>
    <row r="4133" spans="2:2" x14ac:dyDescent="0.2">
      <c r="B4133" s="11"/>
    </row>
    <row r="4134" spans="2:2" x14ac:dyDescent="0.2">
      <c r="B4134" s="11"/>
    </row>
    <row r="4135" spans="2:2" x14ac:dyDescent="0.2">
      <c r="B4135" s="11"/>
    </row>
    <row r="4136" spans="2:2" x14ac:dyDescent="0.2">
      <c r="B4136" s="11"/>
    </row>
    <row r="4137" spans="2:2" x14ac:dyDescent="0.2">
      <c r="B4137" s="11"/>
    </row>
    <row r="4138" spans="2:2" x14ac:dyDescent="0.2">
      <c r="B4138" s="11"/>
    </row>
    <row r="4139" spans="2:2" x14ac:dyDescent="0.2">
      <c r="B4139" s="11"/>
    </row>
    <row r="4140" spans="2:2" x14ac:dyDescent="0.2">
      <c r="B4140" s="11"/>
    </row>
    <row r="4141" spans="2:2" x14ac:dyDescent="0.2">
      <c r="B4141" s="11"/>
    </row>
    <row r="4142" spans="2:2" x14ac:dyDescent="0.2">
      <c r="B4142" s="11"/>
    </row>
    <row r="4143" spans="2:2" x14ac:dyDescent="0.2">
      <c r="B4143" s="11"/>
    </row>
    <row r="4144" spans="2:2" x14ac:dyDescent="0.2">
      <c r="B4144" s="11"/>
    </row>
    <row r="4145" spans="2:2" x14ac:dyDescent="0.2">
      <c r="B4145" s="11"/>
    </row>
    <row r="4146" spans="2:2" x14ac:dyDescent="0.2">
      <c r="B4146" s="11"/>
    </row>
    <row r="4147" spans="2:2" x14ac:dyDescent="0.2">
      <c r="B4147" s="11"/>
    </row>
    <row r="4148" spans="2:2" x14ac:dyDescent="0.2">
      <c r="B4148" s="11"/>
    </row>
    <row r="4149" spans="2:2" x14ac:dyDescent="0.2">
      <c r="B4149" s="11"/>
    </row>
    <row r="4150" spans="2:2" x14ac:dyDescent="0.2">
      <c r="B4150" s="11"/>
    </row>
    <row r="4151" spans="2:2" x14ac:dyDescent="0.2">
      <c r="B4151" s="11"/>
    </row>
    <row r="4152" spans="2:2" x14ac:dyDescent="0.2">
      <c r="B4152" s="11"/>
    </row>
    <row r="4153" spans="2:2" x14ac:dyDescent="0.2">
      <c r="B4153" s="11"/>
    </row>
    <row r="4154" spans="2:2" x14ac:dyDescent="0.2">
      <c r="B4154" s="11"/>
    </row>
    <row r="4155" spans="2:2" x14ac:dyDescent="0.2">
      <c r="B4155" s="11"/>
    </row>
    <row r="4156" spans="2:2" x14ac:dyDescent="0.2">
      <c r="B4156" s="11"/>
    </row>
    <row r="4157" spans="2:2" x14ac:dyDescent="0.2">
      <c r="B4157" s="11"/>
    </row>
    <row r="4158" spans="2:2" x14ac:dyDescent="0.2">
      <c r="B4158" s="11"/>
    </row>
    <row r="4159" spans="2:2" x14ac:dyDescent="0.2">
      <c r="B4159" s="11"/>
    </row>
    <row r="4160" spans="2:2" x14ac:dyDescent="0.2">
      <c r="B4160" s="11"/>
    </row>
    <row r="4161" spans="2:2" x14ac:dyDescent="0.2">
      <c r="B4161" s="11"/>
    </row>
    <row r="4162" spans="2:2" x14ac:dyDescent="0.2">
      <c r="B4162" s="11"/>
    </row>
    <row r="4163" spans="2:2" x14ac:dyDescent="0.2">
      <c r="B4163" s="11"/>
    </row>
    <row r="4164" spans="2:2" x14ac:dyDescent="0.2">
      <c r="B4164" s="11"/>
    </row>
    <row r="4165" spans="2:2" x14ac:dyDescent="0.2">
      <c r="B4165" s="11"/>
    </row>
    <row r="4166" spans="2:2" x14ac:dyDescent="0.2">
      <c r="B4166" s="11"/>
    </row>
    <row r="4167" spans="2:2" x14ac:dyDescent="0.2">
      <c r="B4167" s="11"/>
    </row>
    <row r="4168" spans="2:2" x14ac:dyDescent="0.2">
      <c r="B4168" s="11"/>
    </row>
    <row r="4169" spans="2:2" x14ac:dyDescent="0.2">
      <c r="B4169" s="11"/>
    </row>
    <row r="4170" spans="2:2" x14ac:dyDescent="0.2">
      <c r="B4170" s="11"/>
    </row>
    <row r="4171" spans="2:2" x14ac:dyDescent="0.2">
      <c r="B4171" s="11"/>
    </row>
    <row r="4172" spans="2:2" x14ac:dyDescent="0.2">
      <c r="B4172" s="11"/>
    </row>
    <row r="4173" spans="2:2" x14ac:dyDescent="0.2">
      <c r="B4173" s="11"/>
    </row>
    <row r="4174" spans="2:2" x14ac:dyDescent="0.2">
      <c r="B4174" s="11"/>
    </row>
    <row r="4175" spans="2:2" x14ac:dyDescent="0.2">
      <c r="B4175" s="11"/>
    </row>
    <row r="4176" spans="2:2" x14ac:dyDescent="0.2">
      <c r="B4176" s="11"/>
    </row>
    <row r="4177" spans="2:2" x14ac:dyDescent="0.2">
      <c r="B4177" s="11"/>
    </row>
    <row r="4178" spans="2:2" x14ac:dyDescent="0.2">
      <c r="B4178" s="11"/>
    </row>
    <row r="4179" spans="2:2" x14ac:dyDescent="0.2">
      <c r="B4179" s="11"/>
    </row>
    <row r="4180" spans="2:2" x14ac:dyDescent="0.2">
      <c r="B4180" s="11"/>
    </row>
    <row r="4181" spans="2:2" x14ac:dyDescent="0.2">
      <c r="B4181" s="11"/>
    </row>
    <row r="4182" spans="2:2" x14ac:dyDescent="0.2">
      <c r="B4182" s="11"/>
    </row>
    <row r="4183" spans="2:2" x14ac:dyDescent="0.2">
      <c r="B4183" s="11"/>
    </row>
    <row r="4184" spans="2:2" x14ac:dyDescent="0.2">
      <c r="B4184" s="11"/>
    </row>
    <row r="4185" spans="2:2" x14ac:dyDescent="0.2">
      <c r="B4185" s="11"/>
    </row>
    <row r="4186" spans="2:2" x14ac:dyDescent="0.2">
      <c r="B4186" s="11"/>
    </row>
    <row r="4187" spans="2:2" x14ac:dyDescent="0.2">
      <c r="B4187" s="11"/>
    </row>
    <row r="4188" spans="2:2" x14ac:dyDescent="0.2">
      <c r="B4188" s="11"/>
    </row>
    <row r="4189" spans="2:2" x14ac:dyDescent="0.2">
      <c r="B4189" s="11"/>
    </row>
    <row r="4190" spans="2:2" x14ac:dyDescent="0.2">
      <c r="B4190" s="11"/>
    </row>
    <row r="4191" spans="2:2" x14ac:dyDescent="0.2">
      <c r="B4191" s="11"/>
    </row>
    <row r="4192" spans="2:2" x14ac:dyDescent="0.2">
      <c r="B4192" s="11"/>
    </row>
    <row r="4193" spans="2:2" x14ac:dyDescent="0.2">
      <c r="B4193" s="11"/>
    </row>
    <row r="4194" spans="2:2" x14ac:dyDescent="0.2">
      <c r="B4194" s="11"/>
    </row>
    <row r="4195" spans="2:2" x14ac:dyDescent="0.2">
      <c r="B4195" s="11"/>
    </row>
    <row r="4196" spans="2:2" x14ac:dyDescent="0.2">
      <c r="B4196" s="11"/>
    </row>
    <row r="4197" spans="2:2" x14ac:dyDescent="0.2">
      <c r="B4197" s="11"/>
    </row>
    <row r="4198" spans="2:2" x14ac:dyDescent="0.2">
      <c r="B4198" s="11"/>
    </row>
    <row r="4199" spans="2:2" x14ac:dyDescent="0.2">
      <c r="B4199" s="11"/>
    </row>
    <row r="4200" spans="2:2" x14ac:dyDescent="0.2">
      <c r="B4200" s="11"/>
    </row>
    <row r="4201" spans="2:2" x14ac:dyDescent="0.2">
      <c r="B4201" s="11"/>
    </row>
    <row r="4202" spans="2:2" x14ac:dyDescent="0.2">
      <c r="B4202" s="11"/>
    </row>
    <row r="4203" spans="2:2" x14ac:dyDescent="0.2">
      <c r="B4203" s="11"/>
    </row>
    <row r="4204" spans="2:2" x14ac:dyDescent="0.2">
      <c r="B4204" s="11"/>
    </row>
    <row r="4205" spans="2:2" x14ac:dyDescent="0.2">
      <c r="B4205" s="11"/>
    </row>
    <row r="4206" spans="2:2" x14ac:dyDescent="0.2">
      <c r="B4206" s="11"/>
    </row>
    <row r="4207" spans="2:2" x14ac:dyDescent="0.2">
      <c r="B4207" s="11"/>
    </row>
    <row r="4208" spans="2:2" x14ac:dyDescent="0.2">
      <c r="B4208" s="11"/>
    </row>
    <row r="4209" spans="2:2" x14ac:dyDescent="0.2">
      <c r="B4209" s="11"/>
    </row>
    <row r="4210" spans="2:2" x14ac:dyDescent="0.2">
      <c r="B4210" s="11"/>
    </row>
    <row r="4211" spans="2:2" x14ac:dyDescent="0.2">
      <c r="B4211" s="11"/>
    </row>
    <row r="4212" spans="2:2" x14ac:dyDescent="0.2">
      <c r="B4212" s="11"/>
    </row>
    <row r="4213" spans="2:2" x14ac:dyDescent="0.2">
      <c r="B4213" s="11"/>
    </row>
    <row r="4214" spans="2:2" x14ac:dyDescent="0.2">
      <c r="B4214" s="11"/>
    </row>
    <row r="4215" spans="2:2" x14ac:dyDescent="0.2">
      <c r="B4215" s="11"/>
    </row>
    <row r="4216" spans="2:2" x14ac:dyDescent="0.2">
      <c r="B4216" s="11"/>
    </row>
    <row r="4217" spans="2:2" x14ac:dyDescent="0.2">
      <c r="B4217" s="11"/>
    </row>
    <row r="4218" spans="2:2" x14ac:dyDescent="0.2">
      <c r="B4218" s="11"/>
    </row>
    <row r="4219" spans="2:2" x14ac:dyDescent="0.2">
      <c r="B4219" s="11"/>
    </row>
    <row r="4220" spans="2:2" x14ac:dyDescent="0.2">
      <c r="B4220" s="11"/>
    </row>
    <row r="4221" spans="2:2" x14ac:dyDescent="0.2">
      <c r="B4221" s="11"/>
    </row>
    <row r="4222" spans="2:2" x14ac:dyDescent="0.2">
      <c r="B4222" s="11"/>
    </row>
    <row r="4223" spans="2:2" x14ac:dyDescent="0.2">
      <c r="B4223" s="11"/>
    </row>
    <row r="4224" spans="2:2" x14ac:dyDescent="0.2">
      <c r="B4224" s="11"/>
    </row>
    <row r="4225" spans="2:2" x14ac:dyDescent="0.2">
      <c r="B4225" s="11"/>
    </row>
    <row r="4226" spans="2:2" x14ac:dyDescent="0.2">
      <c r="B4226" s="11"/>
    </row>
    <row r="4227" spans="2:2" x14ac:dyDescent="0.2">
      <c r="B4227" s="11"/>
    </row>
    <row r="4228" spans="2:2" x14ac:dyDescent="0.2">
      <c r="B4228" s="11"/>
    </row>
    <row r="4229" spans="2:2" x14ac:dyDescent="0.2">
      <c r="B4229" s="11"/>
    </row>
    <row r="4230" spans="2:2" x14ac:dyDescent="0.2">
      <c r="B4230" s="11"/>
    </row>
    <row r="4231" spans="2:2" x14ac:dyDescent="0.2">
      <c r="B4231" s="11"/>
    </row>
    <row r="4232" spans="2:2" x14ac:dyDescent="0.2">
      <c r="B4232" s="11"/>
    </row>
    <row r="4233" spans="2:2" x14ac:dyDescent="0.2">
      <c r="B4233" s="11"/>
    </row>
    <row r="4234" spans="2:2" x14ac:dyDescent="0.2">
      <c r="B4234" s="11"/>
    </row>
    <row r="4235" spans="2:2" x14ac:dyDescent="0.2">
      <c r="B4235" s="11"/>
    </row>
    <row r="4236" spans="2:2" x14ac:dyDescent="0.2">
      <c r="B4236" s="11"/>
    </row>
    <row r="4237" spans="2:2" x14ac:dyDescent="0.2">
      <c r="B4237" s="11"/>
    </row>
    <row r="4238" spans="2:2" x14ac:dyDescent="0.2">
      <c r="B4238" s="11"/>
    </row>
    <row r="4239" spans="2:2" x14ac:dyDescent="0.2">
      <c r="B4239" s="11"/>
    </row>
    <row r="4240" spans="2:2" x14ac:dyDescent="0.2">
      <c r="B4240" s="11"/>
    </row>
    <row r="4241" spans="2:2" x14ac:dyDescent="0.2">
      <c r="B4241" s="11"/>
    </row>
    <row r="4242" spans="2:2" x14ac:dyDescent="0.2">
      <c r="B4242" s="11"/>
    </row>
    <row r="4243" spans="2:2" x14ac:dyDescent="0.2">
      <c r="B4243" s="11"/>
    </row>
    <row r="4244" spans="2:2" x14ac:dyDescent="0.2">
      <c r="B4244" s="11"/>
    </row>
    <row r="4245" spans="2:2" x14ac:dyDescent="0.2">
      <c r="B4245" s="11"/>
    </row>
    <row r="4246" spans="2:2" x14ac:dyDescent="0.2">
      <c r="B4246" s="11"/>
    </row>
    <row r="4247" spans="2:2" x14ac:dyDescent="0.2">
      <c r="B4247" s="11"/>
    </row>
    <row r="4248" spans="2:2" x14ac:dyDescent="0.2">
      <c r="B4248" s="11"/>
    </row>
    <row r="4249" spans="2:2" x14ac:dyDescent="0.2">
      <c r="B4249" s="11"/>
    </row>
    <row r="4250" spans="2:2" x14ac:dyDescent="0.2">
      <c r="B4250" s="11"/>
    </row>
    <row r="4251" spans="2:2" x14ac:dyDescent="0.2">
      <c r="B4251" s="11"/>
    </row>
    <row r="4252" spans="2:2" x14ac:dyDescent="0.2">
      <c r="B4252" s="11"/>
    </row>
    <row r="4253" spans="2:2" x14ac:dyDescent="0.2">
      <c r="B4253" s="11"/>
    </row>
    <row r="4254" spans="2:2" x14ac:dyDescent="0.2">
      <c r="B4254" s="11"/>
    </row>
    <row r="4255" spans="2:2" x14ac:dyDescent="0.2">
      <c r="B4255" s="11"/>
    </row>
    <row r="4256" spans="2:2" x14ac:dyDescent="0.2">
      <c r="B4256" s="11"/>
    </row>
    <row r="4257" spans="2:2" x14ac:dyDescent="0.2">
      <c r="B4257" s="11"/>
    </row>
    <row r="4258" spans="2:2" x14ac:dyDescent="0.2">
      <c r="B4258" s="11"/>
    </row>
    <row r="4259" spans="2:2" x14ac:dyDescent="0.2">
      <c r="B4259" s="11"/>
    </row>
    <row r="4260" spans="2:2" x14ac:dyDescent="0.2">
      <c r="B4260" s="11"/>
    </row>
    <row r="4261" spans="2:2" x14ac:dyDescent="0.2">
      <c r="B4261" s="11"/>
    </row>
    <row r="4262" spans="2:2" x14ac:dyDescent="0.2">
      <c r="B4262" s="11"/>
    </row>
    <row r="4263" spans="2:2" x14ac:dyDescent="0.2">
      <c r="B4263" s="11"/>
    </row>
    <row r="4264" spans="2:2" x14ac:dyDescent="0.2">
      <c r="B4264" s="11"/>
    </row>
    <row r="4265" spans="2:2" x14ac:dyDescent="0.2">
      <c r="B4265" s="11"/>
    </row>
    <row r="4266" spans="2:2" x14ac:dyDescent="0.2">
      <c r="B4266" s="11"/>
    </row>
    <row r="4267" spans="2:2" x14ac:dyDescent="0.2">
      <c r="B4267" s="11"/>
    </row>
    <row r="4268" spans="2:2" x14ac:dyDescent="0.2">
      <c r="B4268" s="11"/>
    </row>
    <row r="4269" spans="2:2" x14ac:dyDescent="0.2">
      <c r="B4269" s="11"/>
    </row>
    <row r="4270" spans="2:2" x14ac:dyDescent="0.2">
      <c r="B4270" s="11"/>
    </row>
    <row r="4271" spans="2:2" x14ac:dyDescent="0.2">
      <c r="B4271" s="11"/>
    </row>
    <row r="4272" spans="2:2" x14ac:dyDescent="0.2">
      <c r="B4272" s="11"/>
    </row>
    <row r="4273" spans="2:2" x14ac:dyDescent="0.2">
      <c r="B4273" s="11"/>
    </row>
    <row r="4274" spans="2:2" x14ac:dyDescent="0.2">
      <c r="B4274" s="11"/>
    </row>
    <row r="4275" spans="2:2" x14ac:dyDescent="0.2">
      <c r="B4275" s="11"/>
    </row>
    <row r="4276" spans="2:2" x14ac:dyDescent="0.2">
      <c r="B4276" s="11"/>
    </row>
    <row r="4277" spans="2:2" x14ac:dyDescent="0.2">
      <c r="B4277" s="11"/>
    </row>
    <row r="4278" spans="2:2" x14ac:dyDescent="0.2">
      <c r="B4278" s="11"/>
    </row>
    <row r="4279" spans="2:2" x14ac:dyDescent="0.2">
      <c r="B4279" s="11"/>
    </row>
    <row r="4280" spans="2:2" x14ac:dyDescent="0.2">
      <c r="B4280" s="11"/>
    </row>
    <row r="4281" spans="2:2" x14ac:dyDescent="0.2">
      <c r="B4281" s="11"/>
    </row>
    <row r="4282" spans="2:2" x14ac:dyDescent="0.2">
      <c r="B4282" s="11"/>
    </row>
    <row r="4283" spans="2:2" x14ac:dyDescent="0.2">
      <c r="B4283" s="11"/>
    </row>
    <row r="4284" spans="2:2" x14ac:dyDescent="0.2">
      <c r="B4284" s="11"/>
    </row>
    <row r="4285" spans="2:2" x14ac:dyDescent="0.2">
      <c r="B4285" s="11"/>
    </row>
    <row r="4286" spans="2:2" x14ac:dyDescent="0.2">
      <c r="B4286" s="11"/>
    </row>
    <row r="4287" spans="2:2" x14ac:dyDescent="0.2">
      <c r="B4287" s="11"/>
    </row>
    <row r="4288" spans="2:2" x14ac:dyDescent="0.2">
      <c r="B4288" s="11"/>
    </row>
    <row r="4289" spans="2:2" x14ac:dyDescent="0.2">
      <c r="B4289" s="11"/>
    </row>
    <row r="4290" spans="2:2" x14ac:dyDescent="0.2">
      <c r="B4290" s="11"/>
    </row>
    <row r="4291" spans="2:2" x14ac:dyDescent="0.2">
      <c r="B4291" s="11"/>
    </row>
    <row r="4292" spans="2:2" x14ac:dyDescent="0.2">
      <c r="B4292" s="11"/>
    </row>
    <row r="4293" spans="2:2" x14ac:dyDescent="0.2">
      <c r="B4293" s="11"/>
    </row>
    <row r="4294" spans="2:2" x14ac:dyDescent="0.2">
      <c r="B4294" s="11"/>
    </row>
    <row r="4295" spans="2:2" x14ac:dyDescent="0.2">
      <c r="B4295" s="11"/>
    </row>
    <row r="4296" spans="2:2" x14ac:dyDescent="0.2">
      <c r="B4296" s="11"/>
    </row>
    <row r="4297" spans="2:2" x14ac:dyDescent="0.2">
      <c r="B4297" s="11"/>
    </row>
    <row r="4298" spans="2:2" x14ac:dyDescent="0.2">
      <c r="B4298" s="11"/>
    </row>
    <row r="4299" spans="2:2" x14ac:dyDescent="0.2">
      <c r="B4299" s="11"/>
    </row>
    <row r="4300" spans="2:2" x14ac:dyDescent="0.2">
      <c r="B4300" s="11"/>
    </row>
    <row r="4301" spans="2:2" x14ac:dyDescent="0.2">
      <c r="B4301" s="11"/>
    </row>
    <row r="4302" spans="2:2" x14ac:dyDescent="0.2">
      <c r="B4302" s="11"/>
    </row>
    <row r="4303" spans="2:2" x14ac:dyDescent="0.2">
      <c r="B4303" s="11"/>
    </row>
    <row r="4304" spans="2:2" x14ac:dyDescent="0.2">
      <c r="B4304" s="11"/>
    </row>
    <row r="4305" spans="2:2" x14ac:dyDescent="0.2">
      <c r="B4305" s="11"/>
    </row>
    <row r="4306" spans="2:2" x14ac:dyDescent="0.2">
      <c r="B4306" s="11"/>
    </row>
    <row r="4307" spans="2:2" x14ac:dyDescent="0.2">
      <c r="B4307" s="11"/>
    </row>
    <row r="4308" spans="2:2" x14ac:dyDescent="0.2">
      <c r="B4308" s="11"/>
    </row>
    <row r="4309" spans="2:2" x14ac:dyDescent="0.2">
      <c r="B4309" s="11"/>
    </row>
    <row r="4310" spans="2:2" x14ac:dyDescent="0.2">
      <c r="B4310" s="11"/>
    </row>
    <row r="4311" spans="2:2" x14ac:dyDescent="0.2">
      <c r="B4311" s="11"/>
    </row>
    <row r="4312" spans="2:2" x14ac:dyDescent="0.2">
      <c r="B4312" s="11"/>
    </row>
    <row r="4313" spans="2:2" x14ac:dyDescent="0.2">
      <c r="B4313" s="11"/>
    </row>
    <row r="4314" spans="2:2" x14ac:dyDescent="0.2">
      <c r="B4314" s="11"/>
    </row>
    <row r="4315" spans="2:2" x14ac:dyDescent="0.2">
      <c r="B4315" s="11"/>
    </row>
    <row r="4316" spans="2:2" x14ac:dyDescent="0.2">
      <c r="B4316" s="11"/>
    </row>
    <row r="4317" spans="2:2" x14ac:dyDescent="0.2">
      <c r="B4317" s="11"/>
    </row>
    <row r="4318" spans="2:2" x14ac:dyDescent="0.2">
      <c r="B4318" s="11"/>
    </row>
    <row r="4319" spans="2:2" x14ac:dyDescent="0.2">
      <c r="B4319" s="11"/>
    </row>
    <row r="4320" spans="2:2" x14ac:dyDescent="0.2">
      <c r="B4320" s="11"/>
    </row>
    <row r="4321" spans="2:2" x14ac:dyDescent="0.2">
      <c r="B4321" s="11"/>
    </row>
    <row r="4322" spans="2:2" x14ac:dyDescent="0.2">
      <c r="B4322" s="11"/>
    </row>
    <row r="4323" spans="2:2" x14ac:dyDescent="0.2">
      <c r="B4323" s="11"/>
    </row>
    <row r="4324" spans="2:2" x14ac:dyDescent="0.2">
      <c r="B4324" s="11"/>
    </row>
    <row r="4325" spans="2:2" x14ac:dyDescent="0.2">
      <c r="B4325" s="11"/>
    </row>
    <row r="4326" spans="2:2" x14ac:dyDescent="0.2">
      <c r="B4326" s="11"/>
    </row>
    <row r="4327" spans="2:2" x14ac:dyDescent="0.2">
      <c r="B4327" s="11"/>
    </row>
    <row r="4328" spans="2:2" x14ac:dyDescent="0.2">
      <c r="B4328" s="11"/>
    </row>
    <row r="4329" spans="2:2" x14ac:dyDescent="0.2">
      <c r="B4329" s="11"/>
    </row>
    <row r="4330" spans="2:2" x14ac:dyDescent="0.2">
      <c r="B4330" s="11"/>
    </row>
    <row r="4331" spans="2:2" x14ac:dyDescent="0.2">
      <c r="B4331" s="11"/>
    </row>
    <row r="4332" spans="2:2" x14ac:dyDescent="0.2">
      <c r="B4332" s="11"/>
    </row>
    <row r="4333" spans="2:2" x14ac:dyDescent="0.2">
      <c r="B4333" s="11"/>
    </row>
    <row r="4334" spans="2:2" x14ac:dyDescent="0.2">
      <c r="B4334" s="11"/>
    </row>
    <row r="4335" spans="2:2" x14ac:dyDescent="0.2">
      <c r="B4335" s="11"/>
    </row>
    <row r="4336" spans="2:2" x14ac:dyDescent="0.2">
      <c r="B4336" s="11"/>
    </row>
    <row r="4337" spans="2:2" x14ac:dyDescent="0.2">
      <c r="B4337" s="11"/>
    </row>
    <row r="4338" spans="2:2" x14ac:dyDescent="0.2">
      <c r="B4338" s="11"/>
    </row>
    <row r="4339" spans="2:2" x14ac:dyDescent="0.2">
      <c r="B4339" s="11"/>
    </row>
    <row r="4340" spans="2:2" x14ac:dyDescent="0.2">
      <c r="B4340" s="11"/>
    </row>
    <row r="4341" spans="2:2" x14ac:dyDescent="0.2">
      <c r="B4341" s="11"/>
    </row>
    <row r="4342" spans="2:2" x14ac:dyDescent="0.2">
      <c r="B4342" s="11"/>
    </row>
    <row r="4343" spans="2:2" x14ac:dyDescent="0.2">
      <c r="B4343" s="11"/>
    </row>
    <row r="4344" spans="2:2" x14ac:dyDescent="0.2">
      <c r="B4344" s="11"/>
    </row>
    <row r="4345" spans="2:2" x14ac:dyDescent="0.2">
      <c r="B4345" s="11"/>
    </row>
    <row r="4346" spans="2:2" x14ac:dyDescent="0.2">
      <c r="B4346" s="11"/>
    </row>
    <row r="4347" spans="2:2" x14ac:dyDescent="0.2">
      <c r="B4347" s="11"/>
    </row>
    <row r="4348" spans="2:2" x14ac:dyDescent="0.2">
      <c r="B4348" s="11"/>
    </row>
    <row r="4349" spans="2:2" x14ac:dyDescent="0.2">
      <c r="B4349" s="11"/>
    </row>
    <row r="4350" spans="2:2" x14ac:dyDescent="0.2">
      <c r="B4350" s="11"/>
    </row>
    <row r="4351" spans="2:2" x14ac:dyDescent="0.2">
      <c r="B4351" s="11"/>
    </row>
    <row r="4352" spans="2:2" x14ac:dyDescent="0.2">
      <c r="B4352" s="11"/>
    </row>
    <row r="4353" spans="2:2" x14ac:dyDescent="0.2">
      <c r="B4353" s="11"/>
    </row>
    <row r="4354" spans="2:2" x14ac:dyDescent="0.2">
      <c r="B4354" s="11"/>
    </row>
    <row r="4355" spans="2:2" x14ac:dyDescent="0.2">
      <c r="B4355" s="11"/>
    </row>
    <row r="4356" spans="2:2" x14ac:dyDescent="0.2">
      <c r="B4356" s="11"/>
    </row>
    <row r="4357" spans="2:2" x14ac:dyDescent="0.2">
      <c r="B4357" s="11"/>
    </row>
    <row r="4358" spans="2:2" x14ac:dyDescent="0.2">
      <c r="B4358" s="11"/>
    </row>
    <row r="4359" spans="2:2" x14ac:dyDescent="0.2">
      <c r="B4359" s="11"/>
    </row>
    <row r="4360" spans="2:2" x14ac:dyDescent="0.2">
      <c r="B4360" s="11"/>
    </row>
    <row r="4361" spans="2:2" x14ac:dyDescent="0.2">
      <c r="B4361" s="11"/>
    </row>
    <row r="4362" spans="2:2" x14ac:dyDescent="0.2">
      <c r="B4362" s="11"/>
    </row>
    <row r="4363" spans="2:2" x14ac:dyDescent="0.2">
      <c r="B4363" s="11"/>
    </row>
    <row r="4364" spans="2:2" x14ac:dyDescent="0.2">
      <c r="B4364" s="11"/>
    </row>
    <row r="4365" spans="2:2" x14ac:dyDescent="0.2">
      <c r="B4365" s="11"/>
    </row>
    <row r="4366" spans="2:2" x14ac:dyDescent="0.2">
      <c r="B4366" s="11"/>
    </row>
    <row r="4367" spans="2:2" x14ac:dyDescent="0.2">
      <c r="B4367" s="11"/>
    </row>
    <row r="4368" spans="2:2" x14ac:dyDescent="0.2">
      <c r="B4368" s="11"/>
    </row>
    <row r="4369" spans="2:2" x14ac:dyDescent="0.2">
      <c r="B4369" s="11"/>
    </row>
    <row r="4370" spans="2:2" x14ac:dyDescent="0.2">
      <c r="B4370" s="11"/>
    </row>
    <row r="4371" spans="2:2" x14ac:dyDescent="0.2">
      <c r="B4371" s="11"/>
    </row>
    <row r="4372" spans="2:2" x14ac:dyDescent="0.2">
      <c r="B4372" s="11"/>
    </row>
    <row r="4373" spans="2:2" x14ac:dyDescent="0.2">
      <c r="B4373" s="11"/>
    </row>
    <row r="4374" spans="2:2" x14ac:dyDescent="0.2">
      <c r="B4374" s="11"/>
    </row>
    <row r="4375" spans="2:2" x14ac:dyDescent="0.2">
      <c r="B4375" s="11"/>
    </row>
    <row r="4376" spans="2:2" x14ac:dyDescent="0.2">
      <c r="B4376" s="11"/>
    </row>
    <row r="4377" spans="2:2" x14ac:dyDescent="0.2">
      <c r="B4377" s="11"/>
    </row>
    <row r="4378" spans="2:2" x14ac:dyDescent="0.2">
      <c r="B4378" s="11"/>
    </row>
    <row r="4379" spans="2:2" x14ac:dyDescent="0.2">
      <c r="B4379" s="11"/>
    </row>
    <row r="4380" spans="2:2" x14ac:dyDescent="0.2">
      <c r="B4380" s="11"/>
    </row>
    <row r="4381" spans="2:2" x14ac:dyDescent="0.2">
      <c r="B4381" s="11"/>
    </row>
    <row r="4382" spans="2:2" x14ac:dyDescent="0.2">
      <c r="B4382" s="11"/>
    </row>
    <row r="4383" spans="2:2" x14ac:dyDescent="0.2">
      <c r="B4383" s="11"/>
    </row>
    <row r="4384" spans="2:2" x14ac:dyDescent="0.2">
      <c r="B4384" s="11"/>
    </row>
    <row r="4385" spans="2:2" x14ac:dyDescent="0.2">
      <c r="B4385" s="11"/>
    </row>
    <row r="4386" spans="2:2" x14ac:dyDescent="0.2">
      <c r="B4386" s="11"/>
    </row>
    <row r="4387" spans="2:2" x14ac:dyDescent="0.2">
      <c r="B4387" s="11"/>
    </row>
    <row r="4388" spans="2:2" x14ac:dyDescent="0.2">
      <c r="B4388" s="11"/>
    </row>
    <row r="4389" spans="2:2" x14ac:dyDescent="0.2">
      <c r="B4389" s="11"/>
    </row>
    <row r="4390" spans="2:2" x14ac:dyDescent="0.2">
      <c r="B4390" s="11"/>
    </row>
    <row r="4391" spans="2:2" x14ac:dyDescent="0.2">
      <c r="B4391" s="11"/>
    </row>
    <row r="4392" spans="2:2" x14ac:dyDescent="0.2">
      <c r="B4392" s="11"/>
    </row>
    <row r="4393" spans="2:2" x14ac:dyDescent="0.2">
      <c r="B4393" s="11"/>
    </row>
    <row r="4394" spans="2:2" x14ac:dyDescent="0.2">
      <c r="B4394" s="11"/>
    </row>
    <row r="4395" spans="2:2" x14ac:dyDescent="0.2">
      <c r="B4395" s="11"/>
    </row>
    <row r="4396" spans="2:2" x14ac:dyDescent="0.2">
      <c r="B4396" s="11"/>
    </row>
    <row r="4397" spans="2:2" x14ac:dyDescent="0.2">
      <c r="B4397" s="11"/>
    </row>
    <row r="4398" spans="2:2" x14ac:dyDescent="0.2">
      <c r="B4398" s="11"/>
    </row>
    <row r="4399" spans="2:2" x14ac:dyDescent="0.2">
      <c r="B4399" s="11"/>
    </row>
    <row r="4400" spans="2:2" x14ac:dyDescent="0.2">
      <c r="B4400" s="11"/>
    </row>
    <row r="4401" spans="2:2" x14ac:dyDescent="0.2">
      <c r="B4401" s="11"/>
    </row>
    <row r="4402" spans="2:2" x14ac:dyDescent="0.2">
      <c r="B4402" s="11"/>
    </row>
    <row r="4403" spans="2:2" x14ac:dyDescent="0.2">
      <c r="B4403" s="11"/>
    </row>
    <row r="4404" spans="2:2" x14ac:dyDescent="0.2">
      <c r="B4404" s="11"/>
    </row>
    <row r="4405" spans="2:2" x14ac:dyDescent="0.2">
      <c r="B4405" s="11"/>
    </row>
    <row r="4406" spans="2:2" x14ac:dyDescent="0.2">
      <c r="B4406" s="11"/>
    </row>
    <row r="4407" spans="2:2" x14ac:dyDescent="0.2">
      <c r="B4407" s="11"/>
    </row>
    <row r="4408" spans="2:2" x14ac:dyDescent="0.2">
      <c r="B4408" s="11"/>
    </row>
    <row r="4409" spans="2:2" x14ac:dyDescent="0.2">
      <c r="B4409" s="11"/>
    </row>
    <row r="4410" spans="2:2" x14ac:dyDescent="0.2">
      <c r="B4410" s="11"/>
    </row>
    <row r="4411" spans="2:2" x14ac:dyDescent="0.2">
      <c r="B4411" s="11"/>
    </row>
    <row r="4412" spans="2:2" x14ac:dyDescent="0.2">
      <c r="B4412" s="11"/>
    </row>
    <row r="4413" spans="2:2" x14ac:dyDescent="0.2">
      <c r="B4413" s="11"/>
    </row>
    <row r="4414" spans="2:2" x14ac:dyDescent="0.2">
      <c r="B4414" s="11"/>
    </row>
    <row r="4415" spans="2:2" x14ac:dyDescent="0.2">
      <c r="B4415" s="11"/>
    </row>
    <row r="4416" spans="2:2" x14ac:dyDescent="0.2">
      <c r="B4416" s="11"/>
    </row>
    <row r="4417" spans="2:2" x14ac:dyDescent="0.2">
      <c r="B4417" s="11"/>
    </row>
    <row r="4418" spans="2:2" x14ac:dyDescent="0.2">
      <c r="B4418" s="11"/>
    </row>
    <row r="4419" spans="2:2" x14ac:dyDescent="0.2">
      <c r="B4419" s="11"/>
    </row>
    <row r="4420" spans="2:2" x14ac:dyDescent="0.2">
      <c r="B4420" s="11"/>
    </row>
    <row r="4421" spans="2:2" x14ac:dyDescent="0.2">
      <c r="B4421" s="11"/>
    </row>
    <row r="4422" spans="2:2" x14ac:dyDescent="0.2">
      <c r="B4422" s="11"/>
    </row>
    <row r="4423" spans="2:2" x14ac:dyDescent="0.2">
      <c r="B4423" s="11"/>
    </row>
    <row r="4424" spans="2:2" x14ac:dyDescent="0.2">
      <c r="B4424" s="11"/>
    </row>
    <row r="4425" spans="2:2" x14ac:dyDescent="0.2">
      <c r="B4425" s="11"/>
    </row>
    <row r="4426" spans="2:2" x14ac:dyDescent="0.2">
      <c r="B4426" s="11"/>
    </row>
    <row r="4427" spans="2:2" x14ac:dyDescent="0.2">
      <c r="B4427" s="11"/>
    </row>
    <row r="4428" spans="2:2" x14ac:dyDescent="0.2">
      <c r="B4428" s="11"/>
    </row>
    <row r="4429" spans="2:2" x14ac:dyDescent="0.2">
      <c r="B4429" s="11"/>
    </row>
    <row r="4430" spans="2:2" x14ac:dyDescent="0.2">
      <c r="B4430" s="11"/>
    </row>
    <row r="4431" spans="2:2" x14ac:dyDescent="0.2">
      <c r="B4431" s="11"/>
    </row>
    <row r="4432" spans="2:2" x14ac:dyDescent="0.2">
      <c r="B4432" s="11"/>
    </row>
    <row r="4433" spans="2:2" x14ac:dyDescent="0.2">
      <c r="B4433" s="11"/>
    </row>
    <row r="4434" spans="2:2" x14ac:dyDescent="0.2">
      <c r="B4434" s="11"/>
    </row>
    <row r="4435" spans="2:2" x14ac:dyDescent="0.2">
      <c r="B4435" s="11"/>
    </row>
    <row r="4436" spans="2:2" x14ac:dyDescent="0.2">
      <c r="B4436" s="11"/>
    </row>
    <row r="4437" spans="2:2" x14ac:dyDescent="0.2">
      <c r="B4437" s="11"/>
    </row>
    <row r="4438" spans="2:2" x14ac:dyDescent="0.2">
      <c r="B4438" s="11"/>
    </row>
    <row r="4439" spans="2:2" x14ac:dyDescent="0.2">
      <c r="B4439" s="11"/>
    </row>
    <row r="4440" spans="2:2" x14ac:dyDescent="0.2">
      <c r="B4440" s="11"/>
    </row>
    <row r="4441" spans="2:2" x14ac:dyDescent="0.2">
      <c r="B4441" s="11"/>
    </row>
    <row r="4442" spans="2:2" x14ac:dyDescent="0.2">
      <c r="B4442" s="11"/>
    </row>
    <row r="4443" spans="2:2" x14ac:dyDescent="0.2">
      <c r="B4443" s="11"/>
    </row>
    <row r="4444" spans="2:2" x14ac:dyDescent="0.2">
      <c r="B4444" s="11"/>
    </row>
    <row r="4445" spans="2:2" x14ac:dyDescent="0.2">
      <c r="B4445" s="11"/>
    </row>
    <row r="4446" spans="2:2" x14ac:dyDescent="0.2">
      <c r="B4446" s="11"/>
    </row>
    <row r="4447" spans="2:2" x14ac:dyDescent="0.2">
      <c r="B4447" s="11"/>
    </row>
    <row r="4448" spans="2:2" x14ac:dyDescent="0.2">
      <c r="B4448" s="11"/>
    </row>
    <row r="4449" spans="2:2" x14ac:dyDescent="0.2">
      <c r="B4449" s="11"/>
    </row>
    <row r="4450" spans="2:2" x14ac:dyDescent="0.2">
      <c r="B4450" s="11"/>
    </row>
    <row r="4451" spans="2:2" x14ac:dyDescent="0.2">
      <c r="B4451" s="11"/>
    </row>
    <row r="4452" spans="2:2" x14ac:dyDescent="0.2">
      <c r="B4452" s="11"/>
    </row>
    <row r="4453" spans="2:2" x14ac:dyDescent="0.2">
      <c r="B4453" s="11"/>
    </row>
    <row r="4454" spans="2:2" x14ac:dyDescent="0.2">
      <c r="B4454" s="11"/>
    </row>
    <row r="4455" spans="2:2" x14ac:dyDescent="0.2">
      <c r="B4455" s="11"/>
    </row>
    <row r="4456" spans="2:2" x14ac:dyDescent="0.2">
      <c r="B4456" s="11"/>
    </row>
    <row r="4457" spans="2:2" x14ac:dyDescent="0.2">
      <c r="B4457" s="11"/>
    </row>
    <row r="4458" spans="2:2" x14ac:dyDescent="0.2">
      <c r="B4458" s="11"/>
    </row>
    <row r="4459" spans="2:2" x14ac:dyDescent="0.2">
      <c r="B4459" s="11"/>
    </row>
    <row r="4460" spans="2:2" x14ac:dyDescent="0.2">
      <c r="B4460" s="11"/>
    </row>
    <row r="4461" spans="2:2" x14ac:dyDescent="0.2">
      <c r="B4461" s="11"/>
    </row>
    <row r="4462" spans="2:2" x14ac:dyDescent="0.2">
      <c r="B4462" s="11"/>
    </row>
    <row r="4463" spans="2:2" x14ac:dyDescent="0.2">
      <c r="B4463" s="11"/>
    </row>
    <row r="4464" spans="2:2" x14ac:dyDescent="0.2">
      <c r="B4464" s="11"/>
    </row>
    <row r="4465" spans="2:2" x14ac:dyDescent="0.2">
      <c r="B4465" s="11"/>
    </row>
    <row r="4466" spans="2:2" x14ac:dyDescent="0.2">
      <c r="B4466" s="11"/>
    </row>
    <row r="4467" spans="2:2" x14ac:dyDescent="0.2">
      <c r="B4467" s="11"/>
    </row>
    <row r="4468" spans="2:2" x14ac:dyDescent="0.2">
      <c r="B4468" s="11"/>
    </row>
    <row r="4469" spans="2:2" x14ac:dyDescent="0.2">
      <c r="B4469" s="11"/>
    </row>
    <row r="4470" spans="2:2" x14ac:dyDescent="0.2">
      <c r="B4470" s="11"/>
    </row>
    <row r="4471" spans="2:2" x14ac:dyDescent="0.2">
      <c r="B4471" s="11"/>
    </row>
    <row r="4472" spans="2:2" x14ac:dyDescent="0.2">
      <c r="B4472" s="11"/>
    </row>
    <row r="4473" spans="2:2" x14ac:dyDescent="0.2">
      <c r="B4473" s="11"/>
    </row>
    <row r="4474" spans="2:2" x14ac:dyDescent="0.2">
      <c r="B4474" s="11"/>
    </row>
    <row r="4475" spans="2:2" x14ac:dyDescent="0.2">
      <c r="B4475" s="11"/>
    </row>
    <row r="4476" spans="2:2" x14ac:dyDescent="0.2">
      <c r="B4476" s="11"/>
    </row>
    <row r="4477" spans="2:2" x14ac:dyDescent="0.2">
      <c r="B4477" s="11"/>
    </row>
    <row r="4478" spans="2:2" x14ac:dyDescent="0.2">
      <c r="B4478" s="11"/>
    </row>
    <row r="4479" spans="2:2" x14ac:dyDescent="0.2">
      <c r="B4479" s="11"/>
    </row>
    <row r="4480" spans="2:2" x14ac:dyDescent="0.2">
      <c r="B4480" s="11"/>
    </row>
    <row r="4481" spans="2:2" x14ac:dyDescent="0.2">
      <c r="B4481" s="11"/>
    </row>
    <row r="4482" spans="2:2" x14ac:dyDescent="0.2">
      <c r="B4482" s="11"/>
    </row>
    <row r="4483" spans="2:2" x14ac:dyDescent="0.2">
      <c r="B4483" s="11"/>
    </row>
    <row r="4484" spans="2:2" x14ac:dyDescent="0.2">
      <c r="B4484" s="11"/>
    </row>
    <row r="4485" spans="2:2" x14ac:dyDescent="0.2">
      <c r="B4485" s="11"/>
    </row>
    <row r="4486" spans="2:2" x14ac:dyDescent="0.2">
      <c r="B4486" s="11"/>
    </row>
    <row r="4487" spans="2:2" x14ac:dyDescent="0.2">
      <c r="B4487" s="11"/>
    </row>
    <row r="4488" spans="2:2" x14ac:dyDescent="0.2">
      <c r="B4488" s="11"/>
    </row>
    <row r="4489" spans="2:2" x14ac:dyDescent="0.2">
      <c r="B4489" s="11"/>
    </row>
    <row r="4490" spans="2:2" x14ac:dyDescent="0.2">
      <c r="B4490" s="11"/>
    </row>
    <row r="4491" spans="2:2" x14ac:dyDescent="0.2">
      <c r="B4491" s="11"/>
    </row>
    <row r="4492" spans="2:2" x14ac:dyDescent="0.2">
      <c r="B4492" s="11"/>
    </row>
    <row r="4493" spans="2:2" x14ac:dyDescent="0.2">
      <c r="B4493" s="11"/>
    </row>
    <row r="4494" spans="2:2" x14ac:dyDescent="0.2">
      <c r="B4494" s="11"/>
    </row>
    <row r="4495" spans="2:2" x14ac:dyDescent="0.2">
      <c r="B4495" s="11"/>
    </row>
    <row r="4496" spans="2:2" x14ac:dyDescent="0.2">
      <c r="B4496" s="11"/>
    </row>
    <row r="4497" spans="2:2" x14ac:dyDescent="0.2">
      <c r="B4497" s="11"/>
    </row>
    <row r="4498" spans="2:2" x14ac:dyDescent="0.2">
      <c r="B4498" s="11"/>
    </row>
    <row r="4499" spans="2:2" x14ac:dyDescent="0.2">
      <c r="B4499" s="11"/>
    </row>
    <row r="4500" spans="2:2" x14ac:dyDescent="0.2">
      <c r="B4500" s="11"/>
    </row>
    <row r="4501" spans="2:2" x14ac:dyDescent="0.2">
      <c r="B4501" s="11"/>
    </row>
    <row r="4502" spans="2:2" x14ac:dyDescent="0.2">
      <c r="B4502" s="11"/>
    </row>
    <row r="4503" spans="2:2" x14ac:dyDescent="0.2">
      <c r="B4503" s="11"/>
    </row>
    <row r="4504" spans="2:2" x14ac:dyDescent="0.2">
      <c r="B4504" s="11"/>
    </row>
    <row r="4505" spans="2:2" x14ac:dyDescent="0.2">
      <c r="B4505" s="11"/>
    </row>
    <row r="4506" spans="2:2" x14ac:dyDescent="0.2">
      <c r="B4506" s="11"/>
    </row>
    <row r="4507" spans="2:2" x14ac:dyDescent="0.2">
      <c r="B4507" s="11"/>
    </row>
    <row r="4508" spans="2:2" x14ac:dyDescent="0.2">
      <c r="B4508" s="11"/>
    </row>
    <row r="4509" spans="2:2" x14ac:dyDescent="0.2">
      <c r="B4509" s="11"/>
    </row>
    <row r="4510" spans="2:2" x14ac:dyDescent="0.2">
      <c r="B4510" s="11"/>
    </row>
    <row r="4511" spans="2:2" x14ac:dyDescent="0.2">
      <c r="B4511" s="11"/>
    </row>
    <row r="4512" spans="2:2" x14ac:dyDescent="0.2">
      <c r="B4512" s="11"/>
    </row>
    <row r="4513" spans="2:2" x14ac:dyDescent="0.2">
      <c r="B4513" s="11"/>
    </row>
    <row r="4514" spans="2:2" x14ac:dyDescent="0.2">
      <c r="B4514" s="11"/>
    </row>
    <row r="4515" spans="2:2" x14ac:dyDescent="0.2">
      <c r="B4515" s="11"/>
    </row>
    <row r="4516" spans="2:2" x14ac:dyDescent="0.2">
      <c r="B4516" s="11"/>
    </row>
    <row r="4517" spans="2:2" x14ac:dyDescent="0.2">
      <c r="B4517" s="11"/>
    </row>
    <row r="4518" spans="2:2" x14ac:dyDescent="0.2">
      <c r="B4518" s="11"/>
    </row>
    <row r="4519" spans="2:2" x14ac:dyDescent="0.2">
      <c r="B4519" s="11"/>
    </row>
    <row r="4520" spans="2:2" x14ac:dyDescent="0.2">
      <c r="B4520" s="11"/>
    </row>
    <row r="4521" spans="2:2" x14ac:dyDescent="0.2">
      <c r="B4521" s="11"/>
    </row>
    <row r="4522" spans="2:2" x14ac:dyDescent="0.2">
      <c r="B4522" s="11"/>
    </row>
    <row r="4523" spans="2:2" x14ac:dyDescent="0.2">
      <c r="B4523" s="11"/>
    </row>
    <row r="4524" spans="2:2" x14ac:dyDescent="0.2">
      <c r="B4524" s="11"/>
    </row>
    <row r="4525" spans="2:2" x14ac:dyDescent="0.2">
      <c r="B4525" s="11"/>
    </row>
    <row r="4526" spans="2:2" x14ac:dyDescent="0.2">
      <c r="B4526" s="11"/>
    </row>
    <row r="4527" spans="2:2" x14ac:dyDescent="0.2">
      <c r="B4527" s="11"/>
    </row>
    <row r="4528" spans="2:2" x14ac:dyDescent="0.2">
      <c r="B4528" s="11"/>
    </row>
    <row r="4529" spans="2:2" x14ac:dyDescent="0.2">
      <c r="B4529" s="11"/>
    </row>
    <row r="4530" spans="2:2" x14ac:dyDescent="0.2">
      <c r="B4530" s="11"/>
    </row>
    <row r="4531" spans="2:2" x14ac:dyDescent="0.2">
      <c r="B4531" s="11"/>
    </row>
    <row r="4532" spans="2:2" x14ac:dyDescent="0.2">
      <c r="B4532" s="11"/>
    </row>
    <row r="4533" spans="2:2" x14ac:dyDescent="0.2">
      <c r="B4533" s="11"/>
    </row>
    <row r="4534" spans="2:2" x14ac:dyDescent="0.2">
      <c r="B4534" s="11"/>
    </row>
    <row r="4535" spans="2:2" x14ac:dyDescent="0.2">
      <c r="B4535" s="11"/>
    </row>
    <row r="4536" spans="2:2" x14ac:dyDescent="0.2">
      <c r="B4536" s="11"/>
    </row>
    <row r="4537" spans="2:2" x14ac:dyDescent="0.2">
      <c r="B4537" s="11"/>
    </row>
    <row r="4538" spans="2:2" x14ac:dyDescent="0.2">
      <c r="B4538" s="11"/>
    </row>
    <row r="4539" spans="2:2" x14ac:dyDescent="0.2">
      <c r="B4539" s="11"/>
    </row>
    <row r="4540" spans="2:2" x14ac:dyDescent="0.2">
      <c r="B4540" s="11"/>
    </row>
    <row r="4541" spans="2:2" x14ac:dyDescent="0.2">
      <c r="B4541" s="11"/>
    </row>
    <row r="4542" spans="2:2" x14ac:dyDescent="0.2">
      <c r="B4542" s="11"/>
    </row>
    <row r="4543" spans="2:2" x14ac:dyDescent="0.2">
      <c r="B4543" s="11"/>
    </row>
    <row r="4544" spans="2:2" x14ac:dyDescent="0.2">
      <c r="B4544" s="11"/>
    </row>
    <row r="4545" spans="2:2" x14ac:dyDescent="0.2">
      <c r="B4545" s="11"/>
    </row>
    <row r="4546" spans="2:2" x14ac:dyDescent="0.2">
      <c r="B4546" s="11"/>
    </row>
    <row r="4547" spans="2:2" x14ac:dyDescent="0.2">
      <c r="B4547" s="11"/>
    </row>
    <row r="4548" spans="2:2" x14ac:dyDescent="0.2">
      <c r="B4548" s="11"/>
    </row>
    <row r="4549" spans="2:2" x14ac:dyDescent="0.2">
      <c r="B4549" s="11"/>
    </row>
    <row r="4550" spans="2:2" x14ac:dyDescent="0.2">
      <c r="B4550" s="11"/>
    </row>
    <row r="4551" spans="2:2" x14ac:dyDescent="0.2">
      <c r="B4551" s="11"/>
    </row>
    <row r="4552" spans="2:2" x14ac:dyDescent="0.2">
      <c r="B4552" s="11"/>
    </row>
    <row r="4553" spans="2:2" x14ac:dyDescent="0.2">
      <c r="B4553" s="11"/>
    </row>
    <row r="4554" spans="2:2" x14ac:dyDescent="0.2">
      <c r="B4554" s="11"/>
    </row>
    <row r="4555" spans="2:2" x14ac:dyDescent="0.2">
      <c r="B4555" s="11"/>
    </row>
    <row r="4556" spans="2:2" x14ac:dyDescent="0.2">
      <c r="B4556" s="11"/>
    </row>
    <row r="4557" spans="2:2" x14ac:dyDescent="0.2">
      <c r="B4557" s="11"/>
    </row>
    <row r="4558" spans="2:2" x14ac:dyDescent="0.2">
      <c r="B4558" s="11"/>
    </row>
    <row r="4559" spans="2:2" x14ac:dyDescent="0.2">
      <c r="B4559" s="11"/>
    </row>
    <row r="4560" spans="2:2" x14ac:dyDescent="0.2">
      <c r="B4560" s="11"/>
    </row>
    <row r="4561" spans="2:2" x14ac:dyDescent="0.2">
      <c r="B4561" s="11"/>
    </row>
    <row r="4562" spans="2:2" x14ac:dyDescent="0.2">
      <c r="B4562" s="11"/>
    </row>
    <row r="4563" spans="2:2" x14ac:dyDescent="0.2">
      <c r="B4563" s="11"/>
    </row>
    <row r="4564" spans="2:2" x14ac:dyDescent="0.2">
      <c r="B4564" s="11"/>
    </row>
    <row r="4565" spans="2:2" x14ac:dyDescent="0.2">
      <c r="B4565" s="11"/>
    </row>
    <row r="4566" spans="2:2" x14ac:dyDescent="0.2">
      <c r="B4566" s="11"/>
    </row>
    <row r="4567" spans="2:2" x14ac:dyDescent="0.2">
      <c r="B4567" s="11"/>
    </row>
    <row r="4568" spans="2:2" x14ac:dyDescent="0.2">
      <c r="B4568" s="11"/>
    </row>
    <row r="4569" spans="2:2" x14ac:dyDescent="0.2">
      <c r="B4569" s="11"/>
    </row>
    <row r="4570" spans="2:2" x14ac:dyDescent="0.2">
      <c r="B4570" s="11"/>
    </row>
    <row r="4571" spans="2:2" x14ac:dyDescent="0.2">
      <c r="B4571" s="11"/>
    </row>
    <row r="4572" spans="2:2" x14ac:dyDescent="0.2">
      <c r="B4572" s="11"/>
    </row>
    <row r="4573" spans="2:2" x14ac:dyDescent="0.2">
      <c r="B4573" s="11"/>
    </row>
    <row r="4574" spans="2:2" x14ac:dyDescent="0.2">
      <c r="B4574" s="11"/>
    </row>
    <row r="4575" spans="2:2" x14ac:dyDescent="0.2">
      <c r="B4575" s="11"/>
    </row>
    <row r="4576" spans="2:2" x14ac:dyDescent="0.2">
      <c r="B4576" s="11"/>
    </row>
    <row r="4577" spans="2:2" x14ac:dyDescent="0.2">
      <c r="B4577" s="11"/>
    </row>
    <row r="4578" spans="2:2" x14ac:dyDescent="0.2">
      <c r="B4578" s="11"/>
    </row>
    <row r="4579" spans="2:2" x14ac:dyDescent="0.2">
      <c r="B4579" s="11"/>
    </row>
    <row r="4580" spans="2:2" x14ac:dyDescent="0.2">
      <c r="B4580" s="11"/>
    </row>
    <row r="4581" spans="2:2" x14ac:dyDescent="0.2">
      <c r="B4581" s="11"/>
    </row>
    <row r="4582" spans="2:2" x14ac:dyDescent="0.2">
      <c r="B4582" s="11"/>
    </row>
    <row r="4583" spans="2:2" x14ac:dyDescent="0.2">
      <c r="B4583" s="11"/>
    </row>
    <row r="4584" spans="2:2" x14ac:dyDescent="0.2">
      <c r="B4584" s="11"/>
    </row>
    <row r="4585" spans="2:2" x14ac:dyDescent="0.2">
      <c r="B4585" s="11"/>
    </row>
    <row r="4586" spans="2:2" x14ac:dyDescent="0.2">
      <c r="B4586" s="11"/>
    </row>
    <row r="4587" spans="2:2" x14ac:dyDescent="0.2">
      <c r="B4587" s="11"/>
    </row>
    <row r="4588" spans="2:2" x14ac:dyDescent="0.2">
      <c r="B4588" s="11"/>
    </row>
    <row r="4589" spans="2:2" x14ac:dyDescent="0.2">
      <c r="B4589" s="11"/>
    </row>
    <row r="4590" spans="2:2" x14ac:dyDescent="0.2">
      <c r="B4590" s="11"/>
    </row>
    <row r="4591" spans="2:2" x14ac:dyDescent="0.2">
      <c r="B4591" s="11"/>
    </row>
    <row r="4592" spans="2:2" x14ac:dyDescent="0.2">
      <c r="B4592" s="11"/>
    </row>
    <row r="4593" spans="2:2" x14ac:dyDescent="0.2">
      <c r="B4593" s="11"/>
    </row>
    <row r="4594" spans="2:2" x14ac:dyDescent="0.2">
      <c r="B4594" s="11"/>
    </row>
    <row r="4595" spans="2:2" x14ac:dyDescent="0.2">
      <c r="B4595" s="11"/>
    </row>
    <row r="4596" spans="2:2" x14ac:dyDescent="0.2">
      <c r="B4596" s="11"/>
    </row>
    <row r="4597" spans="2:2" x14ac:dyDescent="0.2">
      <c r="B4597" s="11"/>
    </row>
    <row r="4598" spans="2:2" x14ac:dyDescent="0.2">
      <c r="B4598" s="11"/>
    </row>
    <row r="4599" spans="2:2" x14ac:dyDescent="0.2">
      <c r="B4599" s="11"/>
    </row>
    <row r="4600" spans="2:2" x14ac:dyDescent="0.2">
      <c r="B4600" s="11"/>
    </row>
    <row r="4601" spans="2:2" x14ac:dyDescent="0.2">
      <c r="B4601" s="11"/>
    </row>
    <row r="4602" spans="2:2" x14ac:dyDescent="0.2">
      <c r="B4602" s="11"/>
    </row>
    <row r="4603" spans="2:2" x14ac:dyDescent="0.2">
      <c r="B4603" s="11"/>
    </row>
    <row r="4604" spans="2:2" x14ac:dyDescent="0.2">
      <c r="B4604" s="11"/>
    </row>
    <row r="4605" spans="2:2" x14ac:dyDescent="0.2">
      <c r="B4605" s="11"/>
    </row>
    <row r="4606" spans="2:2" x14ac:dyDescent="0.2">
      <c r="B4606" s="11"/>
    </row>
    <row r="4607" spans="2:2" x14ac:dyDescent="0.2">
      <c r="B4607" s="11"/>
    </row>
    <row r="4608" spans="2:2" x14ac:dyDescent="0.2">
      <c r="B4608" s="11"/>
    </row>
    <row r="4609" spans="2:2" x14ac:dyDescent="0.2">
      <c r="B4609" s="11"/>
    </row>
    <row r="4610" spans="2:2" x14ac:dyDescent="0.2">
      <c r="B4610" s="11"/>
    </row>
    <row r="4611" spans="2:2" x14ac:dyDescent="0.2">
      <c r="B4611" s="11"/>
    </row>
    <row r="4612" spans="2:2" x14ac:dyDescent="0.2">
      <c r="B4612" s="11"/>
    </row>
    <row r="4613" spans="2:2" x14ac:dyDescent="0.2">
      <c r="B4613" s="11"/>
    </row>
    <row r="4614" spans="2:2" x14ac:dyDescent="0.2">
      <c r="B4614" s="11"/>
    </row>
    <row r="4615" spans="2:2" x14ac:dyDescent="0.2">
      <c r="B4615" s="11"/>
    </row>
    <row r="4616" spans="2:2" x14ac:dyDescent="0.2">
      <c r="B4616" s="11"/>
    </row>
    <row r="4617" spans="2:2" x14ac:dyDescent="0.2">
      <c r="B4617" s="11"/>
    </row>
    <row r="4618" spans="2:2" x14ac:dyDescent="0.2">
      <c r="B4618" s="11"/>
    </row>
    <row r="4619" spans="2:2" x14ac:dyDescent="0.2">
      <c r="B4619" s="11"/>
    </row>
    <row r="4620" spans="2:2" x14ac:dyDescent="0.2">
      <c r="B4620" s="11"/>
    </row>
    <row r="4621" spans="2:2" x14ac:dyDescent="0.2">
      <c r="B4621" s="11"/>
    </row>
    <row r="4622" spans="2:2" x14ac:dyDescent="0.2">
      <c r="B4622" s="11"/>
    </row>
    <row r="4623" spans="2:2" x14ac:dyDescent="0.2">
      <c r="B4623" s="11"/>
    </row>
    <row r="4624" spans="2:2" x14ac:dyDescent="0.2">
      <c r="B4624" s="11"/>
    </row>
    <row r="4625" spans="2:2" x14ac:dyDescent="0.2">
      <c r="B4625" s="11"/>
    </row>
    <row r="4626" spans="2:2" x14ac:dyDescent="0.2">
      <c r="B4626" s="11"/>
    </row>
    <row r="4627" spans="2:2" x14ac:dyDescent="0.2">
      <c r="B4627" s="11"/>
    </row>
    <row r="4628" spans="2:2" x14ac:dyDescent="0.2">
      <c r="B4628" s="11"/>
    </row>
    <row r="4629" spans="2:2" x14ac:dyDescent="0.2">
      <c r="B4629" s="11"/>
    </row>
    <row r="4630" spans="2:2" x14ac:dyDescent="0.2">
      <c r="B4630" s="11"/>
    </row>
    <row r="4631" spans="2:2" x14ac:dyDescent="0.2">
      <c r="B4631" s="11"/>
    </row>
    <row r="4632" spans="2:2" x14ac:dyDescent="0.2">
      <c r="B4632" s="11"/>
    </row>
    <row r="4633" spans="2:2" x14ac:dyDescent="0.2">
      <c r="B4633" s="11"/>
    </row>
    <row r="4634" spans="2:2" x14ac:dyDescent="0.2">
      <c r="B4634" s="11"/>
    </row>
    <row r="4635" spans="2:2" x14ac:dyDescent="0.2">
      <c r="B4635" s="11"/>
    </row>
    <row r="4636" spans="2:2" x14ac:dyDescent="0.2">
      <c r="B4636" s="11"/>
    </row>
    <row r="4637" spans="2:2" x14ac:dyDescent="0.2">
      <c r="B4637" s="11"/>
    </row>
    <row r="4638" spans="2:2" x14ac:dyDescent="0.2">
      <c r="B4638" s="11"/>
    </row>
    <row r="4639" spans="2:2" x14ac:dyDescent="0.2">
      <c r="B4639" s="11"/>
    </row>
    <row r="4640" spans="2:2" x14ac:dyDescent="0.2">
      <c r="B4640" s="11"/>
    </row>
    <row r="4641" spans="2:2" x14ac:dyDescent="0.2">
      <c r="B4641" s="11"/>
    </row>
    <row r="4642" spans="2:2" x14ac:dyDescent="0.2">
      <c r="B4642" s="11"/>
    </row>
    <row r="4643" spans="2:2" x14ac:dyDescent="0.2">
      <c r="B4643" s="11"/>
    </row>
    <row r="4644" spans="2:2" x14ac:dyDescent="0.2">
      <c r="B4644" s="11"/>
    </row>
    <row r="4645" spans="2:2" x14ac:dyDescent="0.2">
      <c r="B4645" s="11"/>
    </row>
    <row r="4646" spans="2:2" x14ac:dyDescent="0.2">
      <c r="B4646" s="11"/>
    </row>
    <row r="4647" spans="2:2" x14ac:dyDescent="0.2">
      <c r="B4647" s="11"/>
    </row>
    <row r="4648" spans="2:2" x14ac:dyDescent="0.2">
      <c r="B4648" s="11"/>
    </row>
    <row r="4649" spans="2:2" x14ac:dyDescent="0.2">
      <c r="B4649" s="11"/>
    </row>
    <row r="4650" spans="2:2" x14ac:dyDescent="0.2">
      <c r="B4650" s="11"/>
    </row>
    <row r="4651" spans="2:2" x14ac:dyDescent="0.2">
      <c r="B4651" s="11"/>
    </row>
    <row r="4652" spans="2:2" x14ac:dyDescent="0.2">
      <c r="B4652" s="11"/>
    </row>
    <row r="4653" spans="2:2" x14ac:dyDescent="0.2">
      <c r="B4653" s="11"/>
    </row>
    <row r="4654" spans="2:2" x14ac:dyDescent="0.2">
      <c r="B4654" s="11"/>
    </row>
    <row r="4655" spans="2:2" x14ac:dyDescent="0.2">
      <c r="B4655" s="11"/>
    </row>
    <row r="4656" spans="2:2" x14ac:dyDescent="0.2">
      <c r="B4656" s="11"/>
    </row>
    <row r="4657" spans="2:2" x14ac:dyDescent="0.2">
      <c r="B4657" s="11"/>
    </row>
    <row r="4658" spans="2:2" x14ac:dyDescent="0.2">
      <c r="B4658" s="11"/>
    </row>
    <row r="4659" spans="2:2" x14ac:dyDescent="0.2">
      <c r="B4659" s="11"/>
    </row>
    <row r="4660" spans="2:2" x14ac:dyDescent="0.2">
      <c r="B4660" s="11"/>
    </row>
    <row r="4661" spans="2:2" x14ac:dyDescent="0.2">
      <c r="B4661" s="11"/>
    </row>
    <row r="4662" spans="2:2" x14ac:dyDescent="0.2">
      <c r="B4662" s="11"/>
    </row>
    <row r="4663" spans="2:2" x14ac:dyDescent="0.2">
      <c r="B4663" s="11"/>
    </row>
    <row r="4664" spans="2:2" x14ac:dyDescent="0.2">
      <c r="B4664" s="11"/>
    </row>
    <row r="4665" spans="2:2" x14ac:dyDescent="0.2">
      <c r="B4665" s="11"/>
    </row>
    <row r="4666" spans="2:2" x14ac:dyDescent="0.2">
      <c r="B4666" s="11"/>
    </row>
    <row r="4667" spans="2:2" x14ac:dyDescent="0.2">
      <c r="B4667" s="11"/>
    </row>
    <row r="4668" spans="2:2" x14ac:dyDescent="0.2">
      <c r="B4668" s="11"/>
    </row>
    <row r="4669" spans="2:2" x14ac:dyDescent="0.2">
      <c r="B4669" s="11"/>
    </row>
    <row r="4670" spans="2:2" x14ac:dyDescent="0.2">
      <c r="B4670" s="11"/>
    </row>
    <row r="4671" spans="2:2" x14ac:dyDescent="0.2">
      <c r="B4671" s="11"/>
    </row>
    <row r="4672" spans="2:2" x14ac:dyDescent="0.2">
      <c r="B4672" s="11"/>
    </row>
    <row r="4673" spans="2:2" x14ac:dyDescent="0.2">
      <c r="B4673" s="11"/>
    </row>
    <row r="4674" spans="2:2" x14ac:dyDescent="0.2">
      <c r="B4674" s="11"/>
    </row>
    <row r="4675" spans="2:2" x14ac:dyDescent="0.2">
      <c r="B4675" s="11"/>
    </row>
    <row r="4676" spans="2:2" x14ac:dyDescent="0.2">
      <c r="B4676" s="11"/>
    </row>
    <row r="4677" spans="2:2" x14ac:dyDescent="0.2">
      <c r="B4677" s="11"/>
    </row>
    <row r="4678" spans="2:2" x14ac:dyDescent="0.2">
      <c r="B4678" s="11"/>
    </row>
    <row r="4679" spans="2:2" x14ac:dyDescent="0.2">
      <c r="B4679" s="11"/>
    </row>
    <row r="4680" spans="2:2" x14ac:dyDescent="0.2">
      <c r="B4680" s="11"/>
    </row>
    <row r="4681" spans="2:2" x14ac:dyDescent="0.2">
      <c r="B4681" s="11"/>
    </row>
    <row r="4682" spans="2:2" x14ac:dyDescent="0.2">
      <c r="B4682" s="11"/>
    </row>
    <row r="4683" spans="2:2" x14ac:dyDescent="0.2">
      <c r="B4683" s="11"/>
    </row>
    <row r="4684" spans="2:2" x14ac:dyDescent="0.2">
      <c r="B4684" s="11"/>
    </row>
    <row r="4685" spans="2:2" x14ac:dyDescent="0.2">
      <c r="B4685" s="11"/>
    </row>
    <row r="4686" spans="2:2" x14ac:dyDescent="0.2">
      <c r="B4686" s="11"/>
    </row>
    <row r="4687" spans="2:2" x14ac:dyDescent="0.2">
      <c r="B4687" s="11"/>
    </row>
    <row r="4688" spans="2:2" x14ac:dyDescent="0.2">
      <c r="B4688" s="11"/>
    </row>
    <row r="4689" spans="2:2" x14ac:dyDescent="0.2">
      <c r="B4689" s="11"/>
    </row>
    <row r="4690" spans="2:2" x14ac:dyDescent="0.2">
      <c r="B4690" s="11"/>
    </row>
    <row r="4691" spans="2:2" x14ac:dyDescent="0.2">
      <c r="B4691" s="11"/>
    </row>
    <row r="4692" spans="2:2" x14ac:dyDescent="0.2">
      <c r="B4692" s="11"/>
    </row>
    <row r="4693" spans="2:2" x14ac:dyDescent="0.2">
      <c r="B4693" s="11"/>
    </row>
    <row r="4694" spans="2:2" x14ac:dyDescent="0.2">
      <c r="B4694" s="11"/>
    </row>
    <row r="4695" spans="2:2" x14ac:dyDescent="0.2">
      <c r="B4695" s="11"/>
    </row>
    <row r="4696" spans="2:2" x14ac:dyDescent="0.2">
      <c r="B4696" s="11"/>
    </row>
    <row r="4697" spans="2:2" x14ac:dyDescent="0.2">
      <c r="B4697" s="11"/>
    </row>
    <row r="4698" spans="2:2" x14ac:dyDescent="0.2">
      <c r="B4698" s="11"/>
    </row>
    <row r="4699" spans="2:2" x14ac:dyDescent="0.2">
      <c r="B4699" s="11"/>
    </row>
    <row r="4700" spans="2:2" x14ac:dyDescent="0.2">
      <c r="B4700" s="11"/>
    </row>
    <row r="4701" spans="2:2" x14ac:dyDescent="0.2">
      <c r="B4701" s="11"/>
    </row>
    <row r="4702" spans="2:2" x14ac:dyDescent="0.2">
      <c r="B4702" s="11"/>
    </row>
    <row r="4703" spans="2:2" x14ac:dyDescent="0.2">
      <c r="B4703" s="11"/>
    </row>
    <row r="4704" spans="2:2" x14ac:dyDescent="0.2">
      <c r="B4704" s="11"/>
    </row>
    <row r="4705" spans="2:2" x14ac:dyDescent="0.2">
      <c r="B4705" s="11"/>
    </row>
    <row r="4706" spans="2:2" x14ac:dyDescent="0.2">
      <c r="B4706" s="11"/>
    </row>
    <row r="4707" spans="2:2" x14ac:dyDescent="0.2">
      <c r="B4707" s="11"/>
    </row>
    <row r="4708" spans="2:2" x14ac:dyDescent="0.2">
      <c r="B4708" s="11"/>
    </row>
    <row r="4709" spans="2:2" x14ac:dyDescent="0.2">
      <c r="B4709" s="11"/>
    </row>
    <row r="4710" spans="2:2" x14ac:dyDescent="0.2">
      <c r="B4710" s="11"/>
    </row>
    <row r="4711" spans="2:2" x14ac:dyDescent="0.2">
      <c r="B4711" s="11"/>
    </row>
    <row r="4712" spans="2:2" x14ac:dyDescent="0.2">
      <c r="B4712" s="11"/>
    </row>
    <row r="4713" spans="2:2" x14ac:dyDescent="0.2">
      <c r="B4713" s="11"/>
    </row>
    <row r="4714" spans="2:2" x14ac:dyDescent="0.2">
      <c r="B4714" s="11"/>
    </row>
    <row r="4715" spans="2:2" x14ac:dyDescent="0.2">
      <c r="B4715" s="11"/>
    </row>
    <row r="4716" spans="2:2" x14ac:dyDescent="0.2">
      <c r="B4716" s="11"/>
    </row>
    <row r="4717" spans="2:2" x14ac:dyDescent="0.2">
      <c r="B4717" s="11"/>
    </row>
    <row r="4718" spans="2:2" x14ac:dyDescent="0.2">
      <c r="B4718" s="11"/>
    </row>
    <row r="4719" spans="2:2" x14ac:dyDescent="0.2">
      <c r="B4719" s="11"/>
    </row>
    <row r="4720" spans="2:2" x14ac:dyDescent="0.2">
      <c r="B4720" s="11"/>
    </row>
    <row r="4721" spans="2:2" x14ac:dyDescent="0.2">
      <c r="B4721" s="11"/>
    </row>
    <row r="4722" spans="2:2" x14ac:dyDescent="0.2">
      <c r="B4722" s="11"/>
    </row>
    <row r="4723" spans="2:2" x14ac:dyDescent="0.2">
      <c r="B4723" s="11"/>
    </row>
    <row r="4724" spans="2:2" x14ac:dyDescent="0.2">
      <c r="B4724" s="11"/>
    </row>
    <row r="4725" spans="2:2" x14ac:dyDescent="0.2">
      <c r="B4725" s="11"/>
    </row>
    <row r="4726" spans="2:2" x14ac:dyDescent="0.2">
      <c r="B4726" s="11"/>
    </row>
    <row r="4727" spans="2:2" x14ac:dyDescent="0.2">
      <c r="B4727" s="11"/>
    </row>
    <row r="4728" spans="2:2" x14ac:dyDescent="0.2">
      <c r="B4728" s="11"/>
    </row>
    <row r="4729" spans="2:2" x14ac:dyDescent="0.2">
      <c r="B4729" s="11"/>
    </row>
    <row r="4730" spans="2:2" x14ac:dyDescent="0.2">
      <c r="B4730" s="11"/>
    </row>
    <row r="4731" spans="2:2" x14ac:dyDescent="0.2">
      <c r="B4731" s="11"/>
    </row>
    <row r="4732" spans="2:2" x14ac:dyDescent="0.2">
      <c r="B4732" s="11"/>
    </row>
    <row r="4733" spans="2:2" x14ac:dyDescent="0.2">
      <c r="B4733" s="11"/>
    </row>
    <row r="4734" spans="2:2" x14ac:dyDescent="0.2">
      <c r="B4734" s="11"/>
    </row>
    <row r="4735" spans="2:2" x14ac:dyDescent="0.2">
      <c r="B4735" s="11"/>
    </row>
    <row r="4736" spans="2:2" x14ac:dyDescent="0.2">
      <c r="B4736" s="11"/>
    </row>
    <row r="4737" spans="2:2" x14ac:dyDescent="0.2">
      <c r="B4737" s="11"/>
    </row>
    <row r="4738" spans="2:2" x14ac:dyDescent="0.2">
      <c r="B4738" s="11"/>
    </row>
    <row r="4739" spans="2:2" x14ac:dyDescent="0.2">
      <c r="B4739" s="11"/>
    </row>
    <row r="4740" spans="2:2" x14ac:dyDescent="0.2">
      <c r="B4740" s="11"/>
    </row>
    <row r="4741" spans="2:2" x14ac:dyDescent="0.2">
      <c r="B4741" s="11"/>
    </row>
    <row r="4742" spans="2:2" x14ac:dyDescent="0.2">
      <c r="B4742" s="11"/>
    </row>
    <row r="4743" spans="2:2" x14ac:dyDescent="0.2">
      <c r="B4743" s="11"/>
    </row>
    <row r="4744" spans="2:2" x14ac:dyDescent="0.2">
      <c r="B4744" s="11"/>
    </row>
    <row r="4745" spans="2:2" x14ac:dyDescent="0.2">
      <c r="B4745" s="11"/>
    </row>
    <row r="4746" spans="2:2" x14ac:dyDescent="0.2">
      <c r="B4746" s="11"/>
    </row>
    <row r="4747" spans="2:2" x14ac:dyDescent="0.2">
      <c r="B4747" s="11"/>
    </row>
    <row r="4748" spans="2:2" x14ac:dyDescent="0.2">
      <c r="B4748" s="11"/>
    </row>
    <row r="4749" spans="2:2" x14ac:dyDescent="0.2">
      <c r="B4749" s="11"/>
    </row>
    <row r="4750" spans="2:2" x14ac:dyDescent="0.2">
      <c r="B4750" s="11"/>
    </row>
    <row r="4751" spans="2:2" x14ac:dyDescent="0.2">
      <c r="B4751" s="11"/>
    </row>
    <row r="4752" spans="2:2" x14ac:dyDescent="0.2">
      <c r="B4752" s="11"/>
    </row>
    <row r="4753" spans="2:2" x14ac:dyDescent="0.2">
      <c r="B4753" s="11"/>
    </row>
    <row r="4754" spans="2:2" x14ac:dyDescent="0.2">
      <c r="B4754" s="11"/>
    </row>
    <row r="4755" spans="2:2" x14ac:dyDescent="0.2">
      <c r="B4755" s="11"/>
    </row>
    <row r="4756" spans="2:2" x14ac:dyDescent="0.2">
      <c r="B4756" s="11"/>
    </row>
    <row r="4757" spans="2:2" x14ac:dyDescent="0.2">
      <c r="B4757" s="11"/>
    </row>
    <row r="4758" spans="2:2" x14ac:dyDescent="0.2">
      <c r="B4758" s="11"/>
    </row>
    <row r="4759" spans="2:2" x14ac:dyDescent="0.2">
      <c r="B4759" s="11"/>
    </row>
    <row r="4760" spans="2:2" x14ac:dyDescent="0.2">
      <c r="B4760" s="11"/>
    </row>
    <row r="4761" spans="2:2" x14ac:dyDescent="0.2">
      <c r="B4761" s="11"/>
    </row>
    <row r="4762" spans="2:2" x14ac:dyDescent="0.2">
      <c r="B4762" s="11"/>
    </row>
    <row r="4763" spans="2:2" x14ac:dyDescent="0.2">
      <c r="B4763" s="11"/>
    </row>
    <row r="4764" spans="2:2" x14ac:dyDescent="0.2">
      <c r="B4764" s="11"/>
    </row>
    <row r="4765" spans="2:2" x14ac:dyDescent="0.2">
      <c r="B4765" s="11"/>
    </row>
    <row r="4766" spans="2:2" x14ac:dyDescent="0.2">
      <c r="B4766" s="11"/>
    </row>
    <row r="4767" spans="2:2" x14ac:dyDescent="0.2">
      <c r="B4767" s="11"/>
    </row>
    <row r="4768" spans="2:2" x14ac:dyDescent="0.2">
      <c r="B4768" s="11"/>
    </row>
    <row r="4769" spans="2:2" x14ac:dyDescent="0.2">
      <c r="B4769" s="11"/>
    </row>
    <row r="4770" spans="2:2" x14ac:dyDescent="0.2">
      <c r="B4770" s="11"/>
    </row>
    <row r="4771" spans="2:2" x14ac:dyDescent="0.2">
      <c r="B4771" s="11"/>
    </row>
    <row r="4772" spans="2:2" x14ac:dyDescent="0.2">
      <c r="B4772" s="11"/>
    </row>
    <row r="4773" spans="2:2" x14ac:dyDescent="0.2">
      <c r="B4773" s="11"/>
    </row>
    <row r="4774" spans="2:2" x14ac:dyDescent="0.2">
      <c r="B4774" s="11"/>
    </row>
    <row r="4775" spans="2:2" x14ac:dyDescent="0.2">
      <c r="B4775" s="11"/>
    </row>
    <row r="4776" spans="2:2" x14ac:dyDescent="0.2">
      <c r="B4776" s="11"/>
    </row>
    <row r="4777" spans="2:2" x14ac:dyDescent="0.2">
      <c r="B4777" s="11"/>
    </row>
    <row r="4778" spans="2:2" x14ac:dyDescent="0.2">
      <c r="B4778" s="11"/>
    </row>
    <row r="4779" spans="2:2" x14ac:dyDescent="0.2">
      <c r="B4779" s="11"/>
    </row>
    <row r="4780" spans="2:2" x14ac:dyDescent="0.2">
      <c r="B4780" s="11"/>
    </row>
    <row r="4781" spans="2:2" x14ac:dyDescent="0.2">
      <c r="B4781" s="11"/>
    </row>
    <row r="4782" spans="2:2" x14ac:dyDescent="0.2">
      <c r="B4782" s="11"/>
    </row>
    <row r="4783" spans="2:2" x14ac:dyDescent="0.2">
      <c r="B4783" s="11"/>
    </row>
    <row r="4784" spans="2:2" x14ac:dyDescent="0.2">
      <c r="B4784" s="11"/>
    </row>
    <row r="4785" spans="2:2" x14ac:dyDescent="0.2">
      <c r="B4785" s="11"/>
    </row>
    <row r="4786" spans="2:2" x14ac:dyDescent="0.2">
      <c r="B4786" s="11"/>
    </row>
    <row r="4787" spans="2:2" x14ac:dyDescent="0.2">
      <c r="B4787" s="11"/>
    </row>
    <row r="4788" spans="2:2" x14ac:dyDescent="0.2">
      <c r="B4788" s="11"/>
    </row>
    <row r="4789" spans="2:2" x14ac:dyDescent="0.2">
      <c r="B4789" s="11"/>
    </row>
    <row r="4790" spans="2:2" x14ac:dyDescent="0.2">
      <c r="B4790" s="11"/>
    </row>
    <row r="4791" spans="2:2" x14ac:dyDescent="0.2">
      <c r="B4791" s="11"/>
    </row>
    <row r="4792" spans="2:2" x14ac:dyDescent="0.2">
      <c r="B4792" s="11"/>
    </row>
    <row r="4793" spans="2:2" x14ac:dyDescent="0.2">
      <c r="B4793" s="11"/>
    </row>
    <row r="4794" spans="2:2" x14ac:dyDescent="0.2">
      <c r="B4794" s="11"/>
    </row>
    <row r="4795" spans="2:2" x14ac:dyDescent="0.2">
      <c r="B4795" s="11"/>
    </row>
    <row r="4796" spans="2:2" x14ac:dyDescent="0.2">
      <c r="B4796" s="11"/>
    </row>
    <row r="4797" spans="2:2" x14ac:dyDescent="0.2">
      <c r="B4797" s="11"/>
    </row>
    <row r="4798" spans="2:2" x14ac:dyDescent="0.2">
      <c r="B4798" s="11"/>
    </row>
    <row r="4799" spans="2:2" x14ac:dyDescent="0.2">
      <c r="B4799" s="11"/>
    </row>
    <row r="4800" spans="2:2" x14ac:dyDescent="0.2">
      <c r="B4800" s="11"/>
    </row>
    <row r="4801" spans="2:2" x14ac:dyDescent="0.2">
      <c r="B4801" s="11"/>
    </row>
    <row r="4802" spans="2:2" x14ac:dyDescent="0.2">
      <c r="B4802" s="11"/>
    </row>
    <row r="4803" spans="2:2" x14ac:dyDescent="0.2">
      <c r="B4803" s="11"/>
    </row>
    <row r="4804" spans="2:2" x14ac:dyDescent="0.2">
      <c r="B4804" s="11"/>
    </row>
    <row r="4805" spans="2:2" x14ac:dyDescent="0.2">
      <c r="B4805" s="11"/>
    </row>
    <row r="4806" spans="2:2" x14ac:dyDescent="0.2">
      <c r="B4806" s="11"/>
    </row>
    <row r="4807" spans="2:2" x14ac:dyDescent="0.2">
      <c r="B4807" s="11"/>
    </row>
    <row r="4808" spans="2:2" x14ac:dyDescent="0.2">
      <c r="B4808" s="11"/>
    </row>
    <row r="4809" spans="2:2" x14ac:dyDescent="0.2">
      <c r="B4809" s="11"/>
    </row>
    <row r="4810" spans="2:2" x14ac:dyDescent="0.2">
      <c r="B4810" s="11"/>
    </row>
    <row r="4811" spans="2:2" x14ac:dyDescent="0.2">
      <c r="B4811" s="11"/>
    </row>
    <row r="4812" spans="2:2" x14ac:dyDescent="0.2">
      <c r="B4812" s="11"/>
    </row>
    <row r="4813" spans="2:2" x14ac:dyDescent="0.2">
      <c r="B4813" s="11"/>
    </row>
    <row r="4814" spans="2:2" x14ac:dyDescent="0.2">
      <c r="B4814" s="11"/>
    </row>
    <row r="4815" spans="2:2" x14ac:dyDescent="0.2">
      <c r="B4815" s="11"/>
    </row>
    <row r="4816" spans="2:2" x14ac:dyDescent="0.2">
      <c r="B4816" s="11"/>
    </row>
    <row r="4817" spans="2:2" x14ac:dyDescent="0.2">
      <c r="B4817" s="11"/>
    </row>
    <row r="4818" spans="2:2" x14ac:dyDescent="0.2">
      <c r="B4818" s="11"/>
    </row>
    <row r="4819" spans="2:2" x14ac:dyDescent="0.2">
      <c r="B4819" s="11"/>
    </row>
    <row r="4820" spans="2:2" x14ac:dyDescent="0.2">
      <c r="B4820" s="11"/>
    </row>
    <row r="4821" spans="2:2" x14ac:dyDescent="0.2">
      <c r="B4821" s="11"/>
    </row>
    <row r="4822" spans="2:2" x14ac:dyDescent="0.2">
      <c r="B4822" s="11"/>
    </row>
    <row r="4823" spans="2:2" x14ac:dyDescent="0.2">
      <c r="B4823" s="11"/>
    </row>
    <row r="4824" spans="2:2" x14ac:dyDescent="0.2">
      <c r="B4824" s="11"/>
    </row>
    <row r="4825" spans="2:2" x14ac:dyDescent="0.2">
      <c r="B4825" s="11"/>
    </row>
    <row r="4826" spans="2:2" x14ac:dyDescent="0.2">
      <c r="B4826" s="11"/>
    </row>
    <row r="4827" spans="2:2" x14ac:dyDescent="0.2">
      <c r="B4827" s="11"/>
    </row>
    <row r="4828" spans="2:2" x14ac:dyDescent="0.2">
      <c r="B4828" s="11"/>
    </row>
    <row r="4829" spans="2:2" x14ac:dyDescent="0.2">
      <c r="B4829" s="11"/>
    </row>
    <row r="4830" spans="2:2" x14ac:dyDescent="0.2">
      <c r="B4830" s="11"/>
    </row>
    <row r="4831" spans="2:2" x14ac:dyDescent="0.2">
      <c r="B4831" s="11"/>
    </row>
    <row r="4832" spans="2:2" x14ac:dyDescent="0.2">
      <c r="B4832" s="11"/>
    </row>
    <row r="4833" spans="2:2" x14ac:dyDescent="0.2">
      <c r="B4833" s="11"/>
    </row>
    <row r="4834" spans="2:2" x14ac:dyDescent="0.2">
      <c r="B4834" s="11"/>
    </row>
    <row r="4835" spans="2:2" x14ac:dyDescent="0.2">
      <c r="B4835" s="11"/>
    </row>
    <row r="4836" spans="2:2" x14ac:dyDescent="0.2">
      <c r="B4836" s="11"/>
    </row>
    <row r="4837" spans="2:2" x14ac:dyDescent="0.2">
      <c r="B4837" s="11"/>
    </row>
    <row r="4838" spans="2:2" x14ac:dyDescent="0.2">
      <c r="B4838" s="11"/>
    </row>
    <row r="4839" spans="2:2" x14ac:dyDescent="0.2">
      <c r="B4839" s="11"/>
    </row>
    <row r="4840" spans="2:2" x14ac:dyDescent="0.2">
      <c r="B4840" s="11"/>
    </row>
    <row r="4841" spans="2:2" x14ac:dyDescent="0.2">
      <c r="B4841" s="11"/>
    </row>
    <row r="4842" spans="2:2" x14ac:dyDescent="0.2">
      <c r="B4842" s="11"/>
    </row>
    <row r="4843" spans="2:2" x14ac:dyDescent="0.2">
      <c r="B4843" s="11"/>
    </row>
    <row r="4844" spans="2:2" x14ac:dyDescent="0.2">
      <c r="B4844" s="11"/>
    </row>
    <row r="4845" spans="2:2" x14ac:dyDescent="0.2">
      <c r="B4845" s="11"/>
    </row>
    <row r="4846" spans="2:2" x14ac:dyDescent="0.2">
      <c r="B4846" s="11"/>
    </row>
    <row r="4847" spans="2:2" x14ac:dyDescent="0.2">
      <c r="B4847" s="11"/>
    </row>
    <row r="4848" spans="2:2" x14ac:dyDescent="0.2">
      <c r="B4848" s="11"/>
    </row>
    <row r="4849" spans="2:2" x14ac:dyDescent="0.2">
      <c r="B4849" s="11"/>
    </row>
    <row r="4850" spans="2:2" x14ac:dyDescent="0.2">
      <c r="B4850" s="11"/>
    </row>
    <row r="4851" spans="2:2" x14ac:dyDescent="0.2">
      <c r="B4851" s="11"/>
    </row>
    <row r="4852" spans="2:2" x14ac:dyDescent="0.2">
      <c r="B4852" s="11"/>
    </row>
    <row r="4853" spans="2:2" x14ac:dyDescent="0.2">
      <c r="B4853" s="11"/>
    </row>
    <row r="4854" spans="2:2" x14ac:dyDescent="0.2">
      <c r="B4854" s="11"/>
    </row>
    <row r="4855" spans="2:2" x14ac:dyDescent="0.2">
      <c r="B4855" s="11"/>
    </row>
    <row r="4856" spans="2:2" x14ac:dyDescent="0.2">
      <c r="B4856" s="11"/>
    </row>
    <row r="4857" spans="2:2" x14ac:dyDescent="0.2">
      <c r="B4857" s="11"/>
    </row>
    <row r="4858" spans="2:2" x14ac:dyDescent="0.2">
      <c r="B4858" s="11"/>
    </row>
    <row r="4859" spans="2:2" x14ac:dyDescent="0.2">
      <c r="B4859" s="11"/>
    </row>
    <row r="4860" spans="2:2" x14ac:dyDescent="0.2">
      <c r="B4860" s="11"/>
    </row>
    <row r="4861" spans="2:2" x14ac:dyDescent="0.2">
      <c r="B4861" s="11"/>
    </row>
    <row r="4862" spans="2:2" x14ac:dyDescent="0.2">
      <c r="B4862" s="11"/>
    </row>
    <row r="4863" spans="2:2" x14ac:dyDescent="0.2">
      <c r="B4863" s="11"/>
    </row>
    <row r="4864" spans="2:2" x14ac:dyDescent="0.2">
      <c r="B4864" s="11"/>
    </row>
    <row r="4865" spans="2:2" x14ac:dyDescent="0.2">
      <c r="B4865" s="11"/>
    </row>
    <row r="4866" spans="2:2" x14ac:dyDescent="0.2">
      <c r="B4866" s="11"/>
    </row>
    <row r="4867" spans="2:2" x14ac:dyDescent="0.2">
      <c r="B4867" s="11"/>
    </row>
    <row r="4868" spans="2:2" x14ac:dyDescent="0.2">
      <c r="B4868" s="11"/>
    </row>
    <row r="4869" spans="2:2" x14ac:dyDescent="0.2">
      <c r="B4869" s="11"/>
    </row>
    <row r="4870" spans="2:2" x14ac:dyDescent="0.2">
      <c r="B4870" s="11"/>
    </row>
    <row r="4871" spans="2:2" x14ac:dyDescent="0.2">
      <c r="B4871" s="11"/>
    </row>
    <row r="4872" spans="2:2" x14ac:dyDescent="0.2">
      <c r="B4872" s="11"/>
    </row>
    <row r="4873" spans="2:2" x14ac:dyDescent="0.2">
      <c r="B4873" s="11"/>
    </row>
    <row r="4874" spans="2:2" x14ac:dyDescent="0.2">
      <c r="B4874" s="11"/>
    </row>
    <row r="4875" spans="2:2" x14ac:dyDescent="0.2">
      <c r="B4875" s="11"/>
    </row>
    <row r="4876" spans="2:2" x14ac:dyDescent="0.2">
      <c r="B4876" s="11"/>
    </row>
    <row r="4877" spans="2:2" x14ac:dyDescent="0.2">
      <c r="B4877" s="11"/>
    </row>
    <row r="4878" spans="2:2" x14ac:dyDescent="0.2">
      <c r="B4878" s="11"/>
    </row>
    <row r="4879" spans="2:2" x14ac:dyDescent="0.2">
      <c r="B4879" s="11"/>
    </row>
    <row r="4880" spans="2:2" x14ac:dyDescent="0.2">
      <c r="B4880" s="11"/>
    </row>
    <row r="4881" spans="2:2" x14ac:dyDescent="0.2">
      <c r="B4881" s="11"/>
    </row>
    <row r="4882" spans="2:2" x14ac:dyDescent="0.2">
      <c r="B4882" s="11"/>
    </row>
    <row r="4883" spans="2:2" x14ac:dyDescent="0.2">
      <c r="B4883" s="11"/>
    </row>
    <row r="4884" spans="2:2" x14ac:dyDescent="0.2">
      <c r="B4884" s="11"/>
    </row>
    <row r="4885" spans="2:2" x14ac:dyDescent="0.2">
      <c r="B4885" s="11"/>
    </row>
    <row r="4886" spans="2:2" x14ac:dyDescent="0.2">
      <c r="B4886" s="11"/>
    </row>
    <row r="4887" spans="2:2" x14ac:dyDescent="0.2">
      <c r="B4887" s="11"/>
    </row>
    <row r="4888" spans="2:2" x14ac:dyDescent="0.2">
      <c r="B4888" s="11"/>
    </row>
    <row r="4889" spans="2:2" x14ac:dyDescent="0.2">
      <c r="B4889" s="11"/>
    </row>
    <row r="4890" spans="2:2" x14ac:dyDescent="0.2">
      <c r="B4890" s="11"/>
    </row>
    <row r="4891" spans="2:2" x14ac:dyDescent="0.2">
      <c r="B4891" s="11"/>
    </row>
    <row r="4892" spans="2:2" x14ac:dyDescent="0.2">
      <c r="B4892" s="11"/>
    </row>
    <row r="4893" spans="2:2" x14ac:dyDescent="0.2">
      <c r="B4893" s="11"/>
    </row>
    <row r="4894" spans="2:2" x14ac:dyDescent="0.2">
      <c r="B4894" s="11"/>
    </row>
    <row r="4895" spans="2:2" x14ac:dyDescent="0.2">
      <c r="B4895" s="11"/>
    </row>
    <row r="4896" spans="2:2" x14ac:dyDescent="0.2">
      <c r="B4896" s="11"/>
    </row>
    <row r="4897" spans="2:2" x14ac:dyDescent="0.2">
      <c r="B4897" s="11"/>
    </row>
    <row r="4898" spans="2:2" x14ac:dyDescent="0.2">
      <c r="B4898" s="11"/>
    </row>
    <row r="4899" spans="2:2" x14ac:dyDescent="0.2">
      <c r="B4899" s="11"/>
    </row>
    <row r="4900" spans="2:2" x14ac:dyDescent="0.2">
      <c r="B4900" s="11"/>
    </row>
    <row r="4901" spans="2:2" x14ac:dyDescent="0.2">
      <c r="B4901" s="11"/>
    </row>
    <row r="4902" spans="2:2" x14ac:dyDescent="0.2">
      <c r="B4902" s="11"/>
    </row>
    <row r="4903" spans="2:2" x14ac:dyDescent="0.2">
      <c r="B4903" s="11"/>
    </row>
    <row r="4904" spans="2:2" x14ac:dyDescent="0.2">
      <c r="B4904" s="11"/>
    </row>
    <row r="4905" spans="2:2" x14ac:dyDescent="0.2">
      <c r="B4905" s="11"/>
    </row>
    <row r="4906" spans="2:2" x14ac:dyDescent="0.2">
      <c r="B4906" s="11"/>
    </row>
    <row r="4907" spans="2:2" x14ac:dyDescent="0.2">
      <c r="B4907" s="11"/>
    </row>
    <row r="4908" spans="2:2" x14ac:dyDescent="0.2">
      <c r="B4908" s="11"/>
    </row>
    <row r="4909" spans="2:2" x14ac:dyDescent="0.2">
      <c r="B4909" s="11"/>
    </row>
    <row r="4910" spans="2:2" x14ac:dyDescent="0.2">
      <c r="B4910" s="11"/>
    </row>
    <row r="4911" spans="2:2" x14ac:dyDescent="0.2">
      <c r="B4911" s="11"/>
    </row>
    <row r="4912" spans="2:2" x14ac:dyDescent="0.2">
      <c r="B4912" s="11"/>
    </row>
    <row r="4913" spans="2:2" x14ac:dyDescent="0.2">
      <c r="B4913" s="11"/>
    </row>
    <row r="4914" spans="2:2" x14ac:dyDescent="0.2">
      <c r="B4914" s="11"/>
    </row>
    <row r="4915" spans="2:2" x14ac:dyDescent="0.2">
      <c r="B4915" s="11"/>
    </row>
    <row r="4916" spans="2:2" x14ac:dyDescent="0.2">
      <c r="B4916" s="11"/>
    </row>
    <row r="4917" spans="2:2" x14ac:dyDescent="0.2">
      <c r="B4917" s="11"/>
    </row>
    <row r="4918" spans="2:2" x14ac:dyDescent="0.2">
      <c r="B4918" s="11"/>
    </row>
    <row r="4919" spans="2:2" x14ac:dyDescent="0.2">
      <c r="B4919" s="11"/>
    </row>
    <row r="4920" spans="2:2" x14ac:dyDescent="0.2">
      <c r="B4920" s="11"/>
    </row>
    <row r="4921" spans="2:2" x14ac:dyDescent="0.2">
      <c r="B4921" s="11"/>
    </row>
    <row r="4922" spans="2:2" x14ac:dyDescent="0.2">
      <c r="B4922" s="11"/>
    </row>
    <row r="4923" spans="2:2" x14ac:dyDescent="0.2">
      <c r="B4923" s="11"/>
    </row>
    <row r="4924" spans="2:2" x14ac:dyDescent="0.2">
      <c r="B4924" s="11"/>
    </row>
    <row r="4925" spans="2:2" x14ac:dyDescent="0.2">
      <c r="B4925" s="11"/>
    </row>
    <row r="4926" spans="2:2" x14ac:dyDescent="0.2">
      <c r="B4926" s="11"/>
    </row>
    <row r="4927" spans="2:2" x14ac:dyDescent="0.2">
      <c r="B4927" s="11"/>
    </row>
    <row r="4928" spans="2:2" x14ac:dyDescent="0.2">
      <c r="B4928" s="11"/>
    </row>
    <row r="4929" spans="2:2" x14ac:dyDescent="0.2">
      <c r="B4929" s="11"/>
    </row>
    <row r="4930" spans="2:2" x14ac:dyDescent="0.2">
      <c r="B4930" s="11"/>
    </row>
    <row r="4931" spans="2:2" x14ac:dyDescent="0.2">
      <c r="B4931" s="11"/>
    </row>
    <row r="4932" spans="2:2" x14ac:dyDescent="0.2">
      <c r="B4932" s="11"/>
    </row>
    <row r="4933" spans="2:2" x14ac:dyDescent="0.2">
      <c r="B4933" s="11"/>
    </row>
    <row r="4934" spans="2:2" x14ac:dyDescent="0.2">
      <c r="B4934" s="11"/>
    </row>
    <row r="4935" spans="2:2" x14ac:dyDescent="0.2">
      <c r="B4935" s="11"/>
    </row>
    <row r="4936" spans="2:2" x14ac:dyDescent="0.2">
      <c r="B4936" s="11"/>
    </row>
    <row r="4937" spans="2:2" x14ac:dyDescent="0.2">
      <c r="B4937" s="11"/>
    </row>
    <row r="4938" spans="2:2" x14ac:dyDescent="0.2">
      <c r="B4938" s="11"/>
    </row>
    <row r="4939" spans="2:2" x14ac:dyDescent="0.2">
      <c r="B4939" s="11"/>
    </row>
    <row r="4940" spans="2:2" x14ac:dyDescent="0.2">
      <c r="B4940" s="11"/>
    </row>
    <row r="4941" spans="2:2" x14ac:dyDescent="0.2">
      <c r="B4941" s="11"/>
    </row>
    <row r="4942" spans="2:2" x14ac:dyDescent="0.2">
      <c r="B4942" s="11"/>
    </row>
    <row r="4943" spans="2:2" x14ac:dyDescent="0.2">
      <c r="B4943" s="11"/>
    </row>
    <row r="4944" spans="2:2" x14ac:dyDescent="0.2">
      <c r="B4944" s="11"/>
    </row>
    <row r="4945" spans="2:2" x14ac:dyDescent="0.2">
      <c r="B4945" s="11"/>
    </row>
    <row r="4946" spans="2:2" x14ac:dyDescent="0.2">
      <c r="B4946" s="11"/>
    </row>
    <row r="4947" spans="2:2" x14ac:dyDescent="0.2">
      <c r="B4947" s="11"/>
    </row>
    <row r="4948" spans="2:2" x14ac:dyDescent="0.2">
      <c r="B4948" s="11"/>
    </row>
    <row r="4949" spans="2:2" x14ac:dyDescent="0.2">
      <c r="B4949" s="11"/>
    </row>
    <row r="4950" spans="2:2" x14ac:dyDescent="0.2">
      <c r="B4950" s="11"/>
    </row>
    <row r="4951" spans="2:2" x14ac:dyDescent="0.2">
      <c r="B4951" s="11"/>
    </row>
    <row r="4952" spans="2:2" x14ac:dyDescent="0.2">
      <c r="B4952" s="11"/>
    </row>
    <row r="4953" spans="2:2" x14ac:dyDescent="0.2">
      <c r="B4953" s="11"/>
    </row>
    <row r="4954" spans="2:2" x14ac:dyDescent="0.2">
      <c r="B4954" s="11"/>
    </row>
    <row r="4955" spans="2:2" x14ac:dyDescent="0.2">
      <c r="B4955" s="11"/>
    </row>
    <row r="4956" spans="2:2" x14ac:dyDescent="0.2">
      <c r="B4956" s="11"/>
    </row>
    <row r="4957" spans="2:2" x14ac:dyDescent="0.2">
      <c r="B4957" s="11"/>
    </row>
    <row r="4958" spans="2:2" x14ac:dyDescent="0.2">
      <c r="B4958" s="11"/>
    </row>
    <row r="4959" spans="2:2" x14ac:dyDescent="0.2">
      <c r="B4959" s="11"/>
    </row>
    <row r="4960" spans="2:2" x14ac:dyDescent="0.2">
      <c r="B4960" s="11"/>
    </row>
    <row r="4961" spans="2:2" x14ac:dyDescent="0.2">
      <c r="B4961" s="11"/>
    </row>
    <row r="4962" spans="2:2" x14ac:dyDescent="0.2">
      <c r="B4962" s="11"/>
    </row>
    <row r="4963" spans="2:2" x14ac:dyDescent="0.2">
      <c r="B4963" s="11"/>
    </row>
    <row r="4964" spans="2:2" x14ac:dyDescent="0.2">
      <c r="B4964" s="11"/>
    </row>
    <row r="4965" spans="2:2" x14ac:dyDescent="0.2">
      <c r="B4965" s="11"/>
    </row>
    <row r="4966" spans="2:2" x14ac:dyDescent="0.2">
      <c r="B4966" s="11"/>
    </row>
    <row r="4967" spans="2:2" x14ac:dyDescent="0.2">
      <c r="B4967" s="11"/>
    </row>
    <row r="4968" spans="2:2" x14ac:dyDescent="0.2">
      <c r="B4968" s="11"/>
    </row>
    <row r="4969" spans="2:2" x14ac:dyDescent="0.2">
      <c r="B4969" s="11"/>
    </row>
    <row r="4970" spans="2:2" x14ac:dyDescent="0.2">
      <c r="B4970" s="11"/>
    </row>
    <row r="4971" spans="2:2" x14ac:dyDescent="0.2">
      <c r="B4971" s="11"/>
    </row>
    <row r="4972" spans="2:2" x14ac:dyDescent="0.2">
      <c r="B4972" s="11"/>
    </row>
    <row r="4973" spans="2:2" x14ac:dyDescent="0.2">
      <c r="B4973" s="11"/>
    </row>
    <row r="4974" spans="2:2" x14ac:dyDescent="0.2">
      <c r="B4974" s="11"/>
    </row>
    <row r="4975" spans="2:2" x14ac:dyDescent="0.2">
      <c r="B4975" s="11"/>
    </row>
    <row r="4976" spans="2:2" x14ac:dyDescent="0.2">
      <c r="B4976" s="11"/>
    </row>
    <row r="4977" spans="2:2" x14ac:dyDescent="0.2">
      <c r="B4977" s="11"/>
    </row>
    <row r="4978" spans="2:2" x14ac:dyDescent="0.2">
      <c r="B4978" s="11"/>
    </row>
    <row r="4979" spans="2:2" x14ac:dyDescent="0.2">
      <c r="B4979" s="11"/>
    </row>
    <row r="4980" spans="2:2" x14ac:dyDescent="0.2">
      <c r="B4980" s="11"/>
    </row>
    <row r="4981" spans="2:2" x14ac:dyDescent="0.2">
      <c r="B4981" s="11"/>
    </row>
    <row r="4982" spans="2:2" x14ac:dyDescent="0.2">
      <c r="B4982" s="11"/>
    </row>
    <row r="4983" spans="2:2" x14ac:dyDescent="0.2">
      <c r="B4983" s="11"/>
    </row>
    <row r="4984" spans="2:2" x14ac:dyDescent="0.2">
      <c r="B4984" s="11"/>
    </row>
    <row r="4985" spans="2:2" x14ac:dyDescent="0.2">
      <c r="B4985" s="11"/>
    </row>
    <row r="4986" spans="2:2" x14ac:dyDescent="0.2">
      <c r="B4986" s="11"/>
    </row>
    <row r="4987" spans="2:2" x14ac:dyDescent="0.2">
      <c r="B4987" s="11"/>
    </row>
    <row r="4988" spans="2:2" x14ac:dyDescent="0.2">
      <c r="B4988" s="11"/>
    </row>
    <row r="4989" spans="2:2" x14ac:dyDescent="0.2">
      <c r="B4989" s="11"/>
    </row>
    <row r="4990" spans="2:2" x14ac:dyDescent="0.2">
      <c r="B4990" s="11"/>
    </row>
    <row r="4991" spans="2:2" x14ac:dyDescent="0.2">
      <c r="B4991" s="11"/>
    </row>
    <row r="4992" spans="2:2" x14ac:dyDescent="0.2">
      <c r="B4992" s="11"/>
    </row>
    <row r="4993" spans="2:2" x14ac:dyDescent="0.2">
      <c r="B4993" s="11"/>
    </row>
    <row r="4994" spans="2:2" x14ac:dyDescent="0.2">
      <c r="B4994" s="11"/>
    </row>
    <row r="4995" spans="2:2" x14ac:dyDescent="0.2">
      <c r="B4995" s="11"/>
    </row>
    <row r="4996" spans="2:2" x14ac:dyDescent="0.2">
      <c r="B4996" s="11"/>
    </row>
    <row r="4997" spans="2:2" x14ac:dyDescent="0.2">
      <c r="B4997" s="11"/>
    </row>
    <row r="4998" spans="2:2" x14ac:dyDescent="0.2">
      <c r="B4998" s="11"/>
    </row>
    <row r="4999" spans="2:2" x14ac:dyDescent="0.2">
      <c r="B4999" s="11"/>
    </row>
    <row r="5000" spans="2:2" x14ac:dyDescent="0.2">
      <c r="B5000" s="11"/>
    </row>
    <row r="5001" spans="2:2" x14ac:dyDescent="0.2">
      <c r="B5001" s="11"/>
    </row>
    <row r="5002" spans="2:2" x14ac:dyDescent="0.2">
      <c r="B5002" s="11"/>
    </row>
    <row r="5003" spans="2:2" x14ac:dyDescent="0.2">
      <c r="B5003" s="11"/>
    </row>
    <row r="5004" spans="2:2" x14ac:dyDescent="0.2">
      <c r="B5004" s="11"/>
    </row>
    <row r="5005" spans="2:2" x14ac:dyDescent="0.2">
      <c r="B5005" s="11"/>
    </row>
    <row r="5006" spans="2:2" x14ac:dyDescent="0.2">
      <c r="B5006" s="11"/>
    </row>
    <row r="5007" spans="2:2" x14ac:dyDescent="0.2">
      <c r="B5007" s="11"/>
    </row>
    <row r="5008" spans="2:2" x14ac:dyDescent="0.2">
      <c r="B5008" s="11"/>
    </row>
    <row r="5009" spans="2:2" x14ac:dyDescent="0.2">
      <c r="B5009" s="11"/>
    </row>
    <row r="5010" spans="2:2" x14ac:dyDescent="0.2">
      <c r="B5010" s="11"/>
    </row>
    <row r="5011" spans="2:2" x14ac:dyDescent="0.2">
      <c r="B5011" s="11"/>
    </row>
    <row r="5012" spans="2:2" x14ac:dyDescent="0.2">
      <c r="B5012" s="11"/>
    </row>
    <row r="5013" spans="2:2" x14ac:dyDescent="0.2">
      <c r="B5013" s="11"/>
    </row>
    <row r="5014" spans="2:2" x14ac:dyDescent="0.2">
      <c r="B5014" s="11"/>
    </row>
    <row r="5015" spans="2:2" x14ac:dyDescent="0.2">
      <c r="B5015" s="11"/>
    </row>
    <row r="5016" spans="2:2" x14ac:dyDescent="0.2">
      <c r="B5016" s="11"/>
    </row>
    <row r="5017" spans="2:2" x14ac:dyDescent="0.2">
      <c r="B5017" s="11"/>
    </row>
    <row r="5018" spans="2:2" x14ac:dyDescent="0.2">
      <c r="B5018" s="11"/>
    </row>
    <row r="5019" spans="2:2" x14ac:dyDescent="0.2">
      <c r="B5019" s="11"/>
    </row>
    <row r="5020" spans="2:2" x14ac:dyDescent="0.2">
      <c r="B5020" s="11"/>
    </row>
    <row r="5021" spans="2:2" x14ac:dyDescent="0.2">
      <c r="B5021" s="11"/>
    </row>
    <row r="5022" spans="2:2" x14ac:dyDescent="0.2">
      <c r="B5022" s="11"/>
    </row>
    <row r="5023" spans="2:2" x14ac:dyDescent="0.2">
      <c r="B5023" s="11"/>
    </row>
    <row r="5024" spans="2:2" x14ac:dyDescent="0.2">
      <c r="B5024" s="11"/>
    </row>
    <row r="5025" spans="2:2" x14ac:dyDescent="0.2">
      <c r="B5025" s="11"/>
    </row>
    <row r="5026" spans="2:2" x14ac:dyDescent="0.2">
      <c r="B5026" s="11"/>
    </row>
    <row r="5027" spans="2:2" x14ac:dyDescent="0.2">
      <c r="B5027" s="11"/>
    </row>
    <row r="5028" spans="2:2" x14ac:dyDescent="0.2">
      <c r="B5028" s="11"/>
    </row>
    <row r="5029" spans="2:2" x14ac:dyDescent="0.2">
      <c r="B5029" s="11"/>
    </row>
    <row r="5030" spans="2:2" x14ac:dyDescent="0.2">
      <c r="B5030" s="11"/>
    </row>
    <row r="5031" spans="2:2" x14ac:dyDescent="0.2">
      <c r="B5031" s="11"/>
    </row>
    <row r="5032" spans="2:2" x14ac:dyDescent="0.2">
      <c r="B5032" s="11"/>
    </row>
    <row r="5033" spans="2:2" x14ac:dyDescent="0.2">
      <c r="B5033" s="11"/>
    </row>
    <row r="5034" spans="2:2" x14ac:dyDescent="0.2">
      <c r="B5034" s="11"/>
    </row>
    <row r="5035" spans="2:2" x14ac:dyDescent="0.2">
      <c r="B5035" s="11"/>
    </row>
    <row r="5036" spans="2:2" x14ac:dyDescent="0.2">
      <c r="B5036" s="11"/>
    </row>
    <row r="5037" spans="2:2" x14ac:dyDescent="0.2">
      <c r="B5037" s="11"/>
    </row>
    <row r="5038" spans="2:2" x14ac:dyDescent="0.2">
      <c r="B5038" s="11"/>
    </row>
    <row r="5039" spans="2:2" x14ac:dyDescent="0.2">
      <c r="B5039" s="11"/>
    </row>
    <row r="5040" spans="2:2" x14ac:dyDescent="0.2">
      <c r="B5040" s="11"/>
    </row>
    <row r="5041" spans="2:2" x14ac:dyDescent="0.2">
      <c r="B5041" s="11"/>
    </row>
    <row r="5042" spans="2:2" x14ac:dyDescent="0.2">
      <c r="B5042" s="11"/>
    </row>
    <row r="5043" spans="2:2" x14ac:dyDescent="0.2">
      <c r="B5043" s="11"/>
    </row>
    <row r="5044" spans="2:2" x14ac:dyDescent="0.2">
      <c r="B5044" s="11"/>
    </row>
    <row r="5045" spans="2:2" x14ac:dyDescent="0.2">
      <c r="B5045" s="11"/>
    </row>
    <row r="5046" spans="2:2" x14ac:dyDescent="0.2">
      <c r="B5046" s="11"/>
    </row>
    <row r="5047" spans="2:2" x14ac:dyDescent="0.2">
      <c r="B5047" s="11"/>
    </row>
    <row r="5048" spans="2:2" x14ac:dyDescent="0.2">
      <c r="B5048" s="11"/>
    </row>
    <row r="5049" spans="2:2" x14ac:dyDescent="0.2">
      <c r="B5049" s="11"/>
    </row>
    <row r="5050" spans="2:2" x14ac:dyDescent="0.2">
      <c r="B5050" s="11"/>
    </row>
    <row r="5051" spans="2:2" x14ac:dyDescent="0.2">
      <c r="B5051" s="11"/>
    </row>
    <row r="5052" spans="2:2" x14ac:dyDescent="0.2">
      <c r="B5052" s="11"/>
    </row>
    <row r="5053" spans="2:2" x14ac:dyDescent="0.2">
      <c r="B5053" s="11"/>
    </row>
    <row r="5054" spans="2:2" x14ac:dyDescent="0.2">
      <c r="B5054" s="11"/>
    </row>
    <row r="5055" spans="2:2" x14ac:dyDescent="0.2">
      <c r="B5055" s="11"/>
    </row>
    <row r="5056" spans="2:2" x14ac:dyDescent="0.2">
      <c r="B5056" s="11"/>
    </row>
    <row r="5057" spans="2:2" x14ac:dyDescent="0.2">
      <c r="B5057" s="11"/>
    </row>
    <row r="5058" spans="2:2" x14ac:dyDescent="0.2">
      <c r="B5058" s="11"/>
    </row>
    <row r="5059" spans="2:2" x14ac:dyDescent="0.2">
      <c r="B5059" s="11"/>
    </row>
    <row r="5060" spans="2:2" x14ac:dyDescent="0.2">
      <c r="B5060" s="11"/>
    </row>
    <row r="5061" spans="2:2" x14ac:dyDescent="0.2">
      <c r="B5061" s="11"/>
    </row>
    <row r="5062" spans="2:2" x14ac:dyDescent="0.2">
      <c r="B5062" s="11"/>
    </row>
    <row r="5063" spans="2:2" x14ac:dyDescent="0.2">
      <c r="B5063" s="11"/>
    </row>
    <row r="5064" spans="2:2" x14ac:dyDescent="0.2">
      <c r="B5064" s="11"/>
    </row>
    <row r="5065" spans="2:2" x14ac:dyDescent="0.2">
      <c r="B5065" s="11"/>
    </row>
    <row r="5066" spans="2:2" x14ac:dyDescent="0.2">
      <c r="B5066" s="11"/>
    </row>
    <row r="5067" spans="2:2" x14ac:dyDescent="0.2">
      <c r="B5067" s="11"/>
    </row>
    <row r="5068" spans="2:2" x14ac:dyDescent="0.2">
      <c r="B5068" s="11"/>
    </row>
    <row r="5069" spans="2:2" x14ac:dyDescent="0.2">
      <c r="B5069" s="11"/>
    </row>
    <row r="5070" spans="2:2" x14ac:dyDescent="0.2">
      <c r="B5070" s="11"/>
    </row>
    <row r="5071" spans="2:2" x14ac:dyDescent="0.2">
      <c r="B5071" s="11"/>
    </row>
    <row r="5072" spans="2:2" x14ac:dyDescent="0.2">
      <c r="B5072" s="11"/>
    </row>
    <row r="5073" spans="2:2" x14ac:dyDescent="0.2">
      <c r="B5073" s="11"/>
    </row>
    <row r="5074" spans="2:2" x14ac:dyDescent="0.2">
      <c r="B5074" s="11"/>
    </row>
    <row r="5075" spans="2:2" x14ac:dyDescent="0.2">
      <c r="B5075" s="11"/>
    </row>
    <row r="5076" spans="2:2" x14ac:dyDescent="0.2">
      <c r="B5076" s="11"/>
    </row>
    <row r="5077" spans="2:2" x14ac:dyDescent="0.2">
      <c r="B5077" s="11"/>
    </row>
    <row r="5078" spans="2:2" x14ac:dyDescent="0.2">
      <c r="B5078" s="11"/>
    </row>
    <row r="5079" spans="2:2" x14ac:dyDescent="0.2">
      <c r="B5079" s="11"/>
    </row>
    <row r="5080" spans="2:2" x14ac:dyDescent="0.2">
      <c r="B5080" s="11"/>
    </row>
    <row r="5081" spans="2:2" x14ac:dyDescent="0.2">
      <c r="B5081" s="11"/>
    </row>
    <row r="5082" spans="2:2" x14ac:dyDescent="0.2">
      <c r="B5082" s="11"/>
    </row>
    <row r="5083" spans="2:2" x14ac:dyDescent="0.2">
      <c r="B5083" s="11"/>
    </row>
    <row r="5084" spans="2:2" x14ac:dyDescent="0.2">
      <c r="B5084" s="11"/>
    </row>
    <row r="5085" spans="2:2" x14ac:dyDescent="0.2">
      <c r="B5085" s="11"/>
    </row>
    <row r="5086" spans="2:2" x14ac:dyDescent="0.2">
      <c r="B5086" s="11"/>
    </row>
    <row r="5087" spans="2:2" x14ac:dyDescent="0.2">
      <c r="B5087" s="11"/>
    </row>
    <row r="5088" spans="2:2" x14ac:dyDescent="0.2">
      <c r="B5088" s="11"/>
    </row>
    <row r="5089" spans="2:2" x14ac:dyDescent="0.2">
      <c r="B5089" s="11"/>
    </row>
    <row r="5090" spans="2:2" x14ac:dyDescent="0.2">
      <c r="B5090" s="11"/>
    </row>
    <row r="5091" spans="2:2" x14ac:dyDescent="0.2">
      <c r="B5091" s="11"/>
    </row>
    <row r="5092" spans="2:2" x14ac:dyDescent="0.2">
      <c r="B5092" s="11"/>
    </row>
    <row r="5093" spans="2:2" x14ac:dyDescent="0.2">
      <c r="B5093" s="11"/>
    </row>
    <row r="5094" spans="2:2" x14ac:dyDescent="0.2">
      <c r="B5094" s="11"/>
    </row>
    <row r="5095" spans="2:2" x14ac:dyDescent="0.2">
      <c r="B5095" s="11"/>
    </row>
    <row r="5096" spans="2:2" x14ac:dyDescent="0.2">
      <c r="B5096" s="11"/>
    </row>
    <row r="5097" spans="2:2" x14ac:dyDescent="0.2">
      <c r="B5097" s="11"/>
    </row>
    <row r="5098" spans="2:2" x14ac:dyDescent="0.2">
      <c r="B5098" s="11"/>
    </row>
    <row r="5099" spans="2:2" x14ac:dyDescent="0.2">
      <c r="B5099" s="11"/>
    </row>
    <row r="5100" spans="2:2" x14ac:dyDescent="0.2">
      <c r="B5100" s="11"/>
    </row>
    <row r="5101" spans="2:2" x14ac:dyDescent="0.2">
      <c r="B5101" s="11"/>
    </row>
    <row r="5102" spans="2:2" x14ac:dyDescent="0.2">
      <c r="B5102" s="11"/>
    </row>
    <row r="5103" spans="2:2" x14ac:dyDescent="0.2">
      <c r="B5103" s="11"/>
    </row>
    <row r="5104" spans="2:2" x14ac:dyDescent="0.2">
      <c r="B5104" s="11"/>
    </row>
    <row r="5105" spans="2:2" x14ac:dyDescent="0.2">
      <c r="B5105" s="11"/>
    </row>
    <row r="5106" spans="2:2" x14ac:dyDescent="0.2">
      <c r="B5106" s="11"/>
    </row>
    <row r="5107" spans="2:2" x14ac:dyDescent="0.2">
      <c r="B5107" s="11"/>
    </row>
    <row r="5108" spans="2:2" x14ac:dyDescent="0.2">
      <c r="B5108" s="11"/>
    </row>
    <row r="5109" spans="2:2" x14ac:dyDescent="0.2">
      <c r="B5109" s="11"/>
    </row>
    <row r="5110" spans="2:2" x14ac:dyDescent="0.2">
      <c r="B5110" s="11"/>
    </row>
    <row r="5111" spans="2:2" x14ac:dyDescent="0.2">
      <c r="B5111" s="11"/>
    </row>
    <row r="5112" spans="2:2" x14ac:dyDescent="0.2">
      <c r="B5112" s="11"/>
    </row>
    <row r="5113" spans="2:2" x14ac:dyDescent="0.2">
      <c r="B5113" s="11"/>
    </row>
    <row r="5114" spans="2:2" x14ac:dyDescent="0.2">
      <c r="B5114" s="11"/>
    </row>
    <row r="5115" spans="2:2" x14ac:dyDescent="0.2">
      <c r="B5115" s="11"/>
    </row>
    <row r="5116" spans="2:2" x14ac:dyDescent="0.2">
      <c r="B5116" s="11"/>
    </row>
    <row r="5117" spans="2:2" x14ac:dyDescent="0.2">
      <c r="B5117" s="11"/>
    </row>
    <row r="5118" spans="2:2" x14ac:dyDescent="0.2">
      <c r="B5118" s="11"/>
    </row>
    <row r="5119" spans="2:2" x14ac:dyDescent="0.2">
      <c r="B5119" s="11"/>
    </row>
    <row r="5120" spans="2:2" x14ac:dyDescent="0.2">
      <c r="B5120" s="11"/>
    </row>
    <row r="5121" spans="2:2" x14ac:dyDescent="0.2">
      <c r="B5121" s="11"/>
    </row>
    <row r="5122" spans="2:2" x14ac:dyDescent="0.2">
      <c r="B5122" s="11"/>
    </row>
    <row r="5123" spans="2:2" x14ac:dyDescent="0.2">
      <c r="B5123" s="11"/>
    </row>
    <row r="5124" spans="2:2" x14ac:dyDescent="0.2">
      <c r="B5124" s="11"/>
    </row>
    <row r="5125" spans="2:2" x14ac:dyDescent="0.2">
      <c r="B5125" s="11"/>
    </row>
    <row r="5126" spans="2:2" x14ac:dyDescent="0.2">
      <c r="B5126" s="11"/>
    </row>
    <row r="5127" spans="2:2" x14ac:dyDescent="0.2">
      <c r="B5127" s="11"/>
    </row>
    <row r="5128" spans="2:2" x14ac:dyDescent="0.2">
      <c r="B5128" s="11"/>
    </row>
    <row r="5129" spans="2:2" x14ac:dyDescent="0.2">
      <c r="B5129" s="11"/>
    </row>
    <row r="5130" spans="2:2" x14ac:dyDescent="0.2">
      <c r="B5130" s="11"/>
    </row>
    <row r="5131" spans="2:2" x14ac:dyDescent="0.2">
      <c r="B5131" s="11"/>
    </row>
    <row r="5132" spans="2:2" x14ac:dyDescent="0.2">
      <c r="B5132" s="11"/>
    </row>
    <row r="5133" spans="2:2" x14ac:dyDescent="0.2">
      <c r="B5133" s="11"/>
    </row>
    <row r="5134" spans="2:2" x14ac:dyDescent="0.2">
      <c r="B5134" s="11"/>
    </row>
    <row r="5135" spans="2:2" x14ac:dyDescent="0.2">
      <c r="B5135" s="11"/>
    </row>
    <row r="5136" spans="2:2" x14ac:dyDescent="0.2">
      <c r="B5136" s="11"/>
    </row>
    <row r="5137" spans="2:2" x14ac:dyDescent="0.2">
      <c r="B5137" s="11"/>
    </row>
    <row r="5138" spans="2:2" x14ac:dyDescent="0.2">
      <c r="B5138" s="11"/>
    </row>
    <row r="5139" spans="2:2" x14ac:dyDescent="0.2">
      <c r="B5139" s="11"/>
    </row>
    <row r="5140" spans="2:2" x14ac:dyDescent="0.2">
      <c r="B5140" s="11"/>
    </row>
    <row r="5141" spans="2:2" x14ac:dyDescent="0.2">
      <c r="B5141" s="11"/>
    </row>
    <row r="5142" spans="2:2" x14ac:dyDescent="0.2">
      <c r="B5142" s="11"/>
    </row>
    <row r="5143" spans="2:2" x14ac:dyDescent="0.2">
      <c r="B5143" s="11"/>
    </row>
    <row r="5144" spans="2:2" x14ac:dyDescent="0.2">
      <c r="B5144" s="11"/>
    </row>
    <row r="5145" spans="2:2" x14ac:dyDescent="0.2">
      <c r="B5145" s="11"/>
    </row>
    <row r="5146" spans="2:2" x14ac:dyDescent="0.2">
      <c r="B5146" s="11"/>
    </row>
    <row r="5147" spans="2:2" x14ac:dyDescent="0.2">
      <c r="B5147" s="11"/>
    </row>
    <row r="5148" spans="2:2" x14ac:dyDescent="0.2">
      <c r="B5148" s="11"/>
    </row>
    <row r="5149" spans="2:2" x14ac:dyDescent="0.2">
      <c r="B5149" s="11"/>
    </row>
    <row r="5150" spans="2:2" x14ac:dyDescent="0.2">
      <c r="B5150" s="11"/>
    </row>
    <row r="5151" spans="2:2" x14ac:dyDescent="0.2">
      <c r="B5151" s="11"/>
    </row>
    <row r="5152" spans="2:2" x14ac:dyDescent="0.2">
      <c r="B5152" s="11"/>
    </row>
    <row r="5153" spans="2:2" x14ac:dyDescent="0.2">
      <c r="B5153" s="11"/>
    </row>
    <row r="5154" spans="2:2" x14ac:dyDescent="0.2">
      <c r="B5154" s="11"/>
    </row>
    <row r="5155" spans="2:2" x14ac:dyDescent="0.2">
      <c r="B5155" s="11"/>
    </row>
    <row r="5156" spans="2:2" x14ac:dyDescent="0.2">
      <c r="B5156" s="11"/>
    </row>
    <row r="5157" spans="2:2" x14ac:dyDescent="0.2">
      <c r="B5157" s="11"/>
    </row>
    <row r="5158" spans="2:2" x14ac:dyDescent="0.2">
      <c r="B5158" s="11"/>
    </row>
    <row r="5159" spans="2:2" x14ac:dyDescent="0.2">
      <c r="B5159" s="11"/>
    </row>
    <row r="5160" spans="2:2" x14ac:dyDescent="0.2">
      <c r="B5160" s="11"/>
    </row>
    <row r="5161" spans="2:2" x14ac:dyDescent="0.2">
      <c r="B5161" s="11"/>
    </row>
    <row r="5162" spans="2:2" x14ac:dyDescent="0.2">
      <c r="B5162" s="11"/>
    </row>
    <row r="5163" spans="2:2" x14ac:dyDescent="0.2">
      <c r="B5163" s="11"/>
    </row>
    <row r="5164" spans="2:2" x14ac:dyDescent="0.2">
      <c r="B5164" s="11"/>
    </row>
    <row r="5165" spans="2:2" x14ac:dyDescent="0.2">
      <c r="B5165" s="11"/>
    </row>
    <row r="5166" spans="2:2" x14ac:dyDescent="0.2">
      <c r="B5166" s="11"/>
    </row>
    <row r="5167" spans="2:2" x14ac:dyDescent="0.2">
      <c r="B5167" s="11"/>
    </row>
    <row r="5168" spans="2:2" x14ac:dyDescent="0.2">
      <c r="B5168" s="11"/>
    </row>
    <row r="5169" spans="2:2" x14ac:dyDescent="0.2">
      <c r="B5169" s="11"/>
    </row>
    <row r="5170" spans="2:2" x14ac:dyDescent="0.2">
      <c r="B5170" s="11"/>
    </row>
    <row r="5171" spans="2:2" x14ac:dyDescent="0.2">
      <c r="B5171" s="11"/>
    </row>
    <row r="5172" spans="2:2" x14ac:dyDescent="0.2">
      <c r="B5172" s="11"/>
    </row>
    <row r="5173" spans="2:2" x14ac:dyDescent="0.2">
      <c r="B5173" s="11"/>
    </row>
    <row r="5174" spans="2:2" x14ac:dyDescent="0.2">
      <c r="B5174" s="11"/>
    </row>
    <row r="5175" spans="2:2" x14ac:dyDescent="0.2">
      <c r="B5175" s="11"/>
    </row>
    <row r="5176" spans="2:2" x14ac:dyDescent="0.2">
      <c r="B5176" s="11"/>
    </row>
    <row r="5177" spans="2:2" x14ac:dyDescent="0.2">
      <c r="B5177" s="11"/>
    </row>
    <row r="5178" spans="2:2" x14ac:dyDescent="0.2">
      <c r="B5178" s="11"/>
    </row>
    <row r="5179" spans="2:2" x14ac:dyDescent="0.2">
      <c r="B5179" s="11"/>
    </row>
    <row r="5180" spans="2:2" x14ac:dyDescent="0.2">
      <c r="B5180" s="11"/>
    </row>
    <row r="5181" spans="2:2" x14ac:dyDescent="0.2">
      <c r="B5181" s="11"/>
    </row>
    <row r="5182" spans="2:2" x14ac:dyDescent="0.2">
      <c r="B5182" s="11"/>
    </row>
    <row r="5183" spans="2:2" x14ac:dyDescent="0.2">
      <c r="B5183" s="11"/>
    </row>
    <row r="5184" spans="2:2" x14ac:dyDescent="0.2">
      <c r="B5184" s="11"/>
    </row>
    <row r="5185" spans="2:2" x14ac:dyDescent="0.2">
      <c r="B5185" s="11"/>
    </row>
    <row r="5186" spans="2:2" x14ac:dyDescent="0.2">
      <c r="B5186" s="11"/>
    </row>
    <row r="5187" spans="2:2" x14ac:dyDescent="0.2">
      <c r="B5187" s="11"/>
    </row>
    <row r="5188" spans="2:2" x14ac:dyDescent="0.2">
      <c r="B5188" s="11"/>
    </row>
    <row r="5189" spans="2:2" x14ac:dyDescent="0.2">
      <c r="B5189" s="11"/>
    </row>
    <row r="5190" spans="2:2" x14ac:dyDescent="0.2">
      <c r="B5190" s="11"/>
    </row>
    <row r="5191" spans="2:2" x14ac:dyDescent="0.2">
      <c r="B5191" s="11"/>
    </row>
    <row r="5192" spans="2:2" x14ac:dyDescent="0.2">
      <c r="B5192" s="11"/>
    </row>
    <row r="5193" spans="2:2" x14ac:dyDescent="0.2">
      <c r="B5193" s="11"/>
    </row>
    <row r="5194" spans="2:2" x14ac:dyDescent="0.2">
      <c r="B5194" s="11"/>
    </row>
    <row r="5195" spans="2:2" x14ac:dyDescent="0.2">
      <c r="B5195" s="11"/>
    </row>
    <row r="5196" spans="2:2" x14ac:dyDescent="0.2">
      <c r="B5196" s="11"/>
    </row>
    <row r="5197" spans="2:2" x14ac:dyDescent="0.2">
      <c r="B5197" s="11"/>
    </row>
    <row r="5198" spans="2:2" x14ac:dyDescent="0.2">
      <c r="B5198" s="11"/>
    </row>
    <row r="5199" spans="2:2" x14ac:dyDescent="0.2">
      <c r="B5199" s="11"/>
    </row>
    <row r="5200" spans="2:2" x14ac:dyDescent="0.2">
      <c r="B5200" s="11"/>
    </row>
    <row r="5201" spans="2:2" x14ac:dyDescent="0.2">
      <c r="B5201" s="11"/>
    </row>
    <row r="5202" spans="2:2" x14ac:dyDescent="0.2">
      <c r="B5202" s="11"/>
    </row>
    <row r="5203" spans="2:2" x14ac:dyDescent="0.2">
      <c r="B5203" s="11"/>
    </row>
    <row r="5204" spans="2:2" x14ac:dyDescent="0.2">
      <c r="B5204" s="11"/>
    </row>
    <row r="5205" spans="2:2" x14ac:dyDescent="0.2">
      <c r="B5205" s="11"/>
    </row>
    <row r="5206" spans="2:2" x14ac:dyDescent="0.2">
      <c r="B5206" s="11"/>
    </row>
    <row r="5207" spans="2:2" x14ac:dyDescent="0.2">
      <c r="B5207" s="11"/>
    </row>
    <row r="5208" spans="2:2" x14ac:dyDescent="0.2">
      <c r="B5208" s="11"/>
    </row>
    <row r="5209" spans="2:2" x14ac:dyDescent="0.2">
      <c r="B5209" s="11"/>
    </row>
    <row r="5210" spans="2:2" x14ac:dyDescent="0.2">
      <c r="B5210" s="11"/>
    </row>
    <row r="5211" spans="2:2" x14ac:dyDescent="0.2">
      <c r="B5211" s="11"/>
    </row>
    <row r="5212" spans="2:2" x14ac:dyDescent="0.2">
      <c r="B5212" s="11"/>
    </row>
    <row r="5213" spans="2:2" x14ac:dyDescent="0.2">
      <c r="B5213" s="11"/>
    </row>
    <row r="5214" spans="2:2" x14ac:dyDescent="0.2">
      <c r="B5214" s="11"/>
    </row>
    <row r="5215" spans="2:2" x14ac:dyDescent="0.2">
      <c r="B5215" s="11"/>
    </row>
    <row r="5216" spans="2:2" x14ac:dyDescent="0.2">
      <c r="B5216" s="11"/>
    </row>
    <row r="5217" spans="2:2" x14ac:dyDescent="0.2">
      <c r="B5217" s="11"/>
    </row>
    <row r="5218" spans="2:2" x14ac:dyDescent="0.2">
      <c r="B5218" s="11"/>
    </row>
    <row r="5219" spans="2:2" x14ac:dyDescent="0.2">
      <c r="B5219" s="11"/>
    </row>
    <row r="5220" spans="2:2" x14ac:dyDescent="0.2">
      <c r="B5220" s="11"/>
    </row>
    <row r="5221" spans="2:2" x14ac:dyDescent="0.2">
      <c r="B5221" s="11"/>
    </row>
    <row r="5222" spans="2:2" x14ac:dyDescent="0.2">
      <c r="B5222" s="11"/>
    </row>
    <row r="5223" spans="2:2" x14ac:dyDescent="0.2">
      <c r="B5223" s="11"/>
    </row>
    <row r="5224" spans="2:2" x14ac:dyDescent="0.2">
      <c r="B5224" s="11"/>
    </row>
    <row r="5225" spans="2:2" x14ac:dyDescent="0.2">
      <c r="B5225" s="11"/>
    </row>
    <row r="5226" spans="2:2" x14ac:dyDescent="0.2">
      <c r="B5226" s="11"/>
    </row>
    <row r="5227" spans="2:2" x14ac:dyDescent="0.2">
      <c r="B5227" s="11"/>
    </row>
    <row r="5228" spans="2:2" x14ac:dyDescent="0.2">
      <c r="B5228" s="11"/>
    </row>
    <row r="5229" spans="2:2" x14ac:dyDescent="0.2">
      <c r="B5229" s="11"/>
    </row>
    <row r="5230" spans="2:2" x14ac:dyDescent="0.2">
      <c r="B5230" s="11"/>
    </row>
    <row r="5231" spans="2:2" x14ac:dyDescent="0.2">
      <c r="B5231" s="11"/>
    </row>
    <row r="5232" spans="2:2" x14ac:dyDescent="0.2">
      <c r="B5232" s="11"/>
    </row>
    <row r="5233" spans="2:2" x14ac:dyDescent="0.2">
      <c r="B5233" s="11"/>
    </row>
    <row r="5234" spans="2:2" x14ac:dyDescent="0.2">
      <c r="B5234" s="11"/>
    </row>
    <row r="5235" spans="2:2" x14ac:dyDescent="0.2">
      <c r="B5235" s="11"/>
    </row>
    <row r="5236" spans="2:2" x14ac:dyDescent="0.2">
      <c r="B5236" s="11"/>
    </row>
    <row r="5237" spans="2:2" x14ac:dyDescent="0.2">
      <c r="B5237" s="11"/>
    </row>
    <row r="5238" spans="2:2" x14ac:dyDescent="0.2">
      <c r="B5238" s="11"/>
    </row>
    <row r="5239" spans="2:2" x14ac:dyDescent="0.2">
      <c r="B5239" s="11"/>
    </row>
    <row r="5240" spans="2:2" x14ac:dyDescent="0.2">
      <c r="B5240" s="11"/>
    </row>
    <row r="5241" spans="2:2" x14ac:dyDescent="0.2">
      <c r="B5241" s="11"/>
    </row>
    <row r="5242" spans="2:2" x14ac:dyDescent="0.2">
      <c r="B5242" s="11"/>
    </row>
    <row r="5243" spans="2:2" x14ac:dyDescent="0.2">
      <c r="B5243" s="11"/>
    </row>
    <row r="5244" spans="2:2" x14ac:dyDescent="0.2">
      <c r="B5244" s="11"/>
    </row>
    <row r="5245" spans="2:2" x14ac:dyDescent="0.2">
      <c r="B5245" s="11"/>
    </row>
    <row r="5246" spans="2:2" x14ac:dyDescent="0.2">
      <c r="B5246" s="11"/>
    </row>
    <row r="5247" spans="2:2" x14ac:dyDescent="0.2">
      <c r="B5247" s="11"/>
    </row>
    <row r="5248" spans="2:2" x14ac:dyDescent="0.2">
      <c r="B5248" s="11"/>
    </row>
    <row r="5249" spans="2:2" x14ac:dyDescent="0.2">
      <c r="B5249" s="11"/>
    </row>
    <row r="5250" spans="2:2" x14ac:dyDescent="0.2">
      <c r="B5250" s="11"/>
    </row>
    <row r="5251" spans="2:2" x14ac:dyDescent="0.2">
      <c r="B5251" s="11"/>
    </row>
    <row r="5252" spans="2:2" x14ac:dyDescent="0.2">
      <c r="B5252" s="11"/>
    </row>
    <row r="5253" spans="2:2" x14ac:dyDescent="0.2">
      <c r="B5253" s="11"/>
    </row>
    <row r="5254" spans="2:2" x14ac:dyDescent="0.2">
      <c r="B5254" s="11"/>
    </row>
    <row r="5255" spans="2:2" x14ac:dyDescent="0.2">
      <c r="B5255" s="11"/>
    </row>
    <row r="5256" spans="2:2" x14ac:dyDescent="0.2">
      <c r="B5256" s="11"/>
    </row>
    <row r="5257" spans="2:2" x14ac:dyDescent="0.2">
      <c r="B5257" s="11"/>
    </row>
    <row r="5258" spans="2:2" x14ac:dyDescent="0.2">
      <c r="B5258" s="11"/>
    </row>
    <row r="5259" spans="2:2" x14ac:dyDescent="0.2">
      <c r="B5259" s="11"/>
    </row>
    <row r="5260" spans="2:2" x14ac:dyDescent="0.2">
      <c r="B5260" s="11"/>
    </row>
    <row r="5261" spans="2:2" x14ac:dyDescent="0.2">
      <c r="B5261" s="11"/>
    </row>
    <row r="5262" spans="2:2" x14ac:dyDescent="0.2">
      <c r="B5262" s="11"/>
    </row>
    <row r="5263" spans="2:2" x14ac:dyDescent="0.2">
      <c r="B5263" s="11"/>
    </row>
    <row r="5264" spans="2:2" x14ac:dyDescent="0.2">
      <c r="B5264" s="11"/>
    </row>
    <row r="5265" spans="2:2" x14ac:dyDescent="0.2">
      <c r="B5265" s="11"/>
    </row>
    <row r="5266" spans="2:2" x14ac:dyDescent="0.2">
      <c r="B5266" s="11"/>
    </row>
    <row r="5267" spans="2:2" x14ac:dyDescent="0.2">
      <c r="B5267" s="11"/>
    </row>
    <row r="5268" spans="2:2" x14ac:dyDescent="0.2">
      <c r="B5268" s="11"/>
    </row>
    <row r="5269" spans="2:2" x14ac:dyDescent="0.2">
      <c r="B5269" s="11"/>
    </row>
    <row r="5270" spans="2:2" x14ac:dyDescent="0.2">
      <c r="B5270" s="11"/>
    </row>
    <row r="5271" spans="2:2" x14ac:dyDescent="0.2">
      <c r="B5271" s="11"/>
    </row>
    <row r="5272" spans="2:2" x14ac:dyDescent="0.2">
      <c r="B5272" s="11"/>
    </row>
    <row r="5273" spans="2:2" x14ac:dyDescent="0.2">
      <c r="B5273" s="11"/>
    </row>
    <row r="5274" spans="2:2" x14ac:dyDescent="0.2">
      <c r="B5274" s="11"/>
    </row>
    <row r="5275" spans="2:2" x14ac:dyDescent="0.2">
      <c r="B5275" s="11"/>
    </row>
    <row r="5276" spans="2:2" x14ac:dyDescent="0.2">
      <c r="B5276" s="11"/>
    </row>
    <row r="5277" spans="2:2" x14ac:dyDescent="0.2">
      <c r="B5277" s="11"/>
    </row>
    <row r="5278" spans="2:2" x14ac:dyDescent="0.2">
      <c r="B5278" s="11"/>
    </row>
    <row r="5279" spans="2:2" x14ac:dyDescent="0.2">
      <c r="B5279" s="11"/>
    </row>
    <row r="5280" spans="2:2" x14ac:dyDescent="0.2">
      <c r="B5280" s="11"/>
    </row>
    <row r="5281" spans="2:2" x14ac:dyDescent="0.2">
      <c r="B5281" s="11"/>
    </row>
    <row r="5282" spans="2:2" x14ac:dyDescent="0.2">
      <c r="B5282" s="11"/>
    </row>
    <row r="5283" spans="2:2" x14ac:dyDescent="0.2">
      <c r="B5283" s="11"/>
    </row>
    <row r="5284" spans="2:2" x14ac:dyDescent="0.2">
      <c r="B5284" s="11"/>
    </row>
    <row r="5285" spans="2:2" x14ac:dyDescent="0.2">
      <c r="B5285" s="11"/>
    </row>
    <row r="5286" spans="2:2" x14ac:dyDescent="0.2">
      <c r="B5286" s="11"/>
    </row>
    <row r="5287" spans="2:2" x14ac:dyDescent="0.2">
      <c r="B5287" s="11"/>
    </row>
    <row r="5288" spans="2:2" x14ac:dyDescent="0.2">
      <c r="B5288" s="11"/>
    </row>
    <row r="5289" spans="2:2" x14ac:dyDescent="0.2">
      <c r="B5289" s="11"/>
    </row>
    <row r="5290" spans="2:2" x14ac:dyDescent="0.2">
      <c r="B5290" s="11"/>
    </row>
    <row r="5291" spans="2:2" x14ac:dyDescent="0.2">
      <c r="B5291" s="11"/>
    </row>
    <row r="5292" spans="2:2" x14ac:dyDescent="0.2">
      <c r="B5292" s="11"/>
    </row>
    <row r="5293" spans="2:2" x14ac:dyDescent="0.2">
      <c r="B5293" s="11"/>
    </row>
    <row r="5294" spans="2:2" x14ac:dyDescent="0.2">
      <c r="B5294" s="11"/>
    </row>
    <row r="5295" spans="2:2" x14ac:dyDescent="0.2">
      <c r="B5295" s="11"/>
    </row>
    <row r="5296" spans="2:2" x14ac:dyDescent="0.2">
      <c r="B5296" s="11"/>
    </row>
    <row r="5297" spans="2:2" x14ac:dyDescent="0.2">
      <c r="B5297" s="11"/>
    </row>
    <row r="5298" spans="2:2" x14ac:dyDescent="0.2">
      <c r="B5298" s="11"/>
    </row>
    <row r="5299" spans="2:2" x14ac:dyDescent="0.2">
      <c r="B5299" s="11"/>
    </row>
    <row r="5300" spans="2:2" x14ac:dyDescent="0.2">
      <c r="B5300" s="11"/>
    </row>
    <row r="5301" spans="2:2" x14ac:dyDescent="0.2">
      <c r="B5301" s="11"/>
    </row>
    <row r="5302" spans="2:2" x14ac:dyDescent="0.2">
      <c r="B5302" s="11"/>
    </row>
    <row r="5303" spans="2:2" x14ac:dyDescent="0.2">
      <c r="B5303" s="11"/>
    </row>
    <row r="5304" spans="2:2" x14ac:dyDescent="0.2">
      <c r="B5304" s="11"/>
    </row>
    <row r="5305" spans="2:2" x14ac:dyDescent="0.2">
      <c r="B5305" s="11"/>
    </row>
    <row r="5306" spans="2:2" x14ac:dyDescent="0.2">
      <c r="B5306" s="11"/>
    </row>
    <row r="5307" spans="2:2" x14ac:dyDescent="0.2">
      <c r="B5307" s="11"/>
    </row>
    <row r="5308" spans="2:2" x14ac:dyDescent="0.2">
      <c r="B5308" s="11"/>
    </row>
    <row r="5309" spans="2:2" x14ac:dyDescent="0.2">
      <c r="B5309" s="11"/>
    </row>
    <row r="5310" spans="2:2" x14ac:dyDescent="0.2">
      <c r="B5310" s="11"/>
    </row>
    <row r="5311" spans="2:2" x14ac:dyDescent="0.2">
      <c r="B5311" s="11"/>
    </row>
    <row r="5312" spans="2:2" x14ac:dyDescent="0.2">
      <c r="B5312" s="11"/>
    </row>
    <row r="5313" spans="2:2" x14ac:dyDescent="0.2">
      <c r="B5313" s="11"/>
    </row>
    <row r="5314" spans="2:2" x14ac:dyDescent="0.2">
      <c r="B5314" s="11"/>
    </row>
    <row r="5315" spans="2:2" x14ac:dyDescent="0.2">
      <c r="B5315" s="11"/>
    </row>
    <row r="5316" spans="2:2" x14ac:dyDescent="0.2">
      <c r="B5316" s="11"/>
    </row>
    <row r="5317" spans="2:2" x14ac:dyDescent="0.2">
      <c r="B5317" s="11"/>
    </row>
    <row r="5318" spans="2:2" x14ac:dyDescent="0.2">
      <c r="B5318" s="11"/>
    </row>
    <row r="5319" spans="2:2" x14ac:dyDescent="0.2">
      <c r="B5319" s="11"/>
    </row>
    <row r="5320" spans="2:2" x14ac:dyDescent="0.2">
      <c r="B5320" s="11"/>
    </row>
    <row r="5321" spans="2:2" x14ac:dyDescent="0.2">
      <c r="B5321" s="11"/>
    </row>
    <row r="5322" spans="2:2" x14ac:dyDescent="0.2">
      <c r="B5322" s="11"/>
    </row>
    <row r="5323" spans="2:2" x14ac:dyDescent="0.2">
      <c r="B5323" s="11"/>
    </row>
    <row r="5324" spans="2:2" x14ac:dyDescent="0.2">
      <c r="B5324" s="11"/>
    </row>
    <row r="5325" spans="2:2" x14ac:dyDescent="0.2">
      <c r="B5325" s="11"/>
    </row>
    <row r="5326" spans="2:2" x14ac:dyDescent="0.2">
      <c r="B5326" s="11"/>
    </row>
    <row r="5327" spans="2:2" x14ac:dyDescent="0.2">
      <c r="B5327" s="11"/>
    </row>
    <row r="5328" spans="2:2" x14ac:dyDescent="0.2">
      <c r="B5328" s="11"/>
    </row>
    <row r="5329" spans="2:2" x14ac:dyDescent="0.2">
      <c r="B5329" s="11"/>
    </row>
    <row r="5330" spans="2:2" x14ac:dyDescent="0.2">
      <c r="B5330" s="11"/>
    </row>
    <row r="5331" spans="2:2" x14ac:dyDescent="0.2">
      <c r="B5331" s="11"/>
    </row>
    <row r="5332" spans="2:2" x14ac:dyDescent="0.2">
      <c r="B5332" s="11"/>
    </row>
    <row r="5333" spans="2:2" x14ac:dyDescent="0.2">
      <c r="B5333" s="11"/>
    </row>
    <row r="5334" spans="2:2" x14ac:dyDescent="0.2">
      <c r="B5334" s="11"/>
    </row>
    <row r="5335" spans="2:2" x14ac:dyDescent="0.2">
      <c r="B5335" s="11"/>
    </row>
    <row r="5336" spans="2:2" x14ac:dyDescent="0.2">
      <c r="B5336" s="11"/>
    </row>
    <row r="5337" spans="2:2" x14ac:dyDescent="0.2">
      <c r="B5337" s="11"/>
    </row>
    <row r="5338" spans="2:2" x14ac:dyDescent="0.2">
      <c r="B5338" s="11"/>
    </row>
    <row r="5339" spans="2:2" x14ac:dyDescent="0.2">
      <c r="B5339" s="11"/>
    </row>
    <row r="5340" spans="2:2" x14ac:dyDescent="0.2">
      <c r="B5340" s="11"/>
    </row>
    <row r="5341" spans="2:2" x14ac:dyDescent="0.2">
      <c r="B5341" s="11"/>
    </row>
    <row r="5342" spans="2:2" x14ac:dyDescent="0.2">
      <c r="B5342" s="11"/>
    </row>
    <row r="5343" spans="2:2" x14ac:dyDescent="0.2">
      <c r="B5343" s="11"/>
    </row>
    <row r="5344" spans="2:2" x14ac:dyDescent="0.2">
      <c r="B5344" s="11"/>
    </row>
    <row r="5345" spans="2:2" x14ac:dyDescent="0.2">
      <c r="B5345" s="11"/>
    </row>
    <row r="5346" spans="2:2" x14ac:dyDescent="0.2">
      <c r="B5346" s="11"/>
    </row>
    <row r="5347" spans="2:2" x14ac:dyDescent="0.2">
      <c r="B5347" s="11"/>
    </row>
    <row r="5348" spans="2:2" x14ac:dyDescent="0.2">
      <c r="B5348" s="11"/>
    </row>
    <row r="5349" spans="2:2" x14ac:dyDescent="0.2">
      <c r="B5349" s="11"/>
    </row>
    <row r="5350" spans="2:2" x14ac:dyDescent="0.2">
      <c r="B5350" s="11"/>
    </row>
    <row r="5351" spans="2:2" x14ac:dyDescent="0.2">
      <c r="B5351" s="11"/>
    </row>
    <row r="5352" spans="2:2" x14ac:dyDescent="0.2">
      <c r="B5352" s="11"/>
    </row>
    <row r="5353" spans="2:2" x14ac:dyDescent="0.2">
      <c r="B5353" s="11"/>
    </row>
    <row r="5354" spans="2:2" x14ac:dyDescent="0.2">
      <c r="B5354" s="11"/>
    </row>
    <row r="5355" spans="2:2" x14ac:dyDescent="0.2">
      <c r="B5355" s="11"/>
    </row>
    <row r="5356" spans="2:2" x14ac:dyDescent="0.2">
      <c r="B5356" s="11"/>
    </row>
    <row r="5357" spans="2:2" x14ac:dyDescent="0.2">
      <c r="B5357" s="11"/>
    </row>
    <row r="5358" spans="2:2" x14ac:dyDescent="0.2">
      <c r="B5358" s="11"/>
    </row>
    <row r="5359" spans="2:2" x14ac:dyDescent="0.2">
      <c r="B5359" s="11"/>
    </row>
    <row r="5360" spans="2:2" x14ac:dyDescent="0.2">
      <c r="B5360" s="11"/>
    </row>
    <row r="5361" spans="2:2" x14ac:dyDescent="0.2">
      <c r="B5361" s="11"/>
    </row>
    <row r="5362" spans="2:2" x14ac:dyDescent="0.2">
      <c r="B5362" s="11"/>
    </row>
    <row r="5363" spans="2:2" x14ac:dyDescent="0.2">
      <c r="B5363" s="11"/>
    </row>
    <row r="5364" spans="2:2" x14ac:dyDescent="0.2">
      <c r="B5364" s="11"/>
    </row>
    <row r="5365" spans="2:2" x14ac:dyDescent="0.2">
      <c r="B5365" s="11"/>
    </row>
    <row r="5366" spans="2:2" x14ac:dyDescent="0.2">
      <c r="B5366" s="11"/>
    </row>
    <row r="5367" spans="2:2" x14ac:dyDescent="0.2">
      <c r="B5367" s="11"/>
    </row>
    <row r="5368" spans="2:2" x14ac:dyDescent="0.2">
      <c r="B5368" s="11"/>
    </row>
    <row r="5369" spans="2:2" x14ac:dyDescent="0.2">
      <c r="B5369" s="11"/>
    </row>
    <row r="5370" spans="2:2" x14ac:dyDescent="0.2">
      <c r="B5370" s="11"/>
    </row>
    <row r="5371" spans="2:2" x14ac:dyDescent="0.2">
      <c r="B5371" s="11"/>
    </row>
    <row r="5372" spans="2:2" x14ac:dyDescent="0.2">
      <c r="B5372" s="11"/>
    </row>
    <row r="5373" spans="2:2" x14ac:dyDescent="0.2">
      <c r="B5373" s="11"/>
    </row>
    <row r="5374" spans="2:2" x14ac:dyDescent="0.2">
      <c r="B5374" s="11"/>
    </row>
    <row r="5375" spans="2:2" x14ac:dyDescent="0.2">
      <c r="B5375" s="11"/>
    </row>
    <row r="5376" spans="2:2" x14ac:dyDescent="0.2">
      <c r="B5376" s="11"/>
    </row>
    <row r="5377" spans="2:2" x14ac:dyDescent="0.2">
      <c r="B5377" s="11"/>
    </row>
    <row r="5378" spans="2:2" x14ac:dyDescent="0.2">
      <c r="B5378" s="11"/>
    </row>
    <row r="5379" spans="2:2" x14ac:dyDescent="0.2">
      <c r="B5379" s="11"/>
    </row>
    <row r="5380" spans="2:2" x14ac:dyDescent="0.2">
      <c r="B5380" s="11"/>
    </row>
    <row r="5381" spans="2:2" x14ac:dyDescent="0.2">
      <c r="B5381" s="11"/>
    </row>
    <row r="5382" spans="2:2" x14ac:dyDescent="0.2">
      <c r="B5382" s="11"/>
    </row>
    <row r="5383" spans="2:2" x14ac:dyDescent="0.2">
      <c r="B5383" s="11"/>
    </row>
    <row r="5384" spans="2:2" x14ac:dyDescent="0.2">
      <c r="B5384" s="11"/>
    </row>
    <row r="5385" spans="2:2" x14ac:dyDescent="0.2">
      <c r="B5385" s="11"/>
    </row>
    <row r="5386" spans="2:2" x14ac:dyDescent="0.2">
      <c r="B5386" s="11"/>
    </row>
    <row r="5387" spans="2:2" x14ac:dyDescent="0.2">
      <c r="B5387" s="11"/>
    </row>
    <row r="5388" spans="2:2" x14ac:dyDescent="0.2">
      <c r="B5388" s="11"/>
    </row>
    <row r="5389" spans="2:2" x14ac:dyDescent="0.2">
      <c r="B5389" s="11"/>
    </row>
    <row r="5390" spans="2:2" x14ac:dyDescent="0.2">
      <c r="B5390" s="11"/>
    </row>
    <row r="5391" spans="2:2" x14ac:dyDescent="0.2">
      <c r="B5391" s="11"/>
    </row>
    <row r="5392" spans="2:2" x14ac:dyDescent="0.2">
      <c r="B5392" s="11"/>
    </row>
    <row r="5393" spans="2:2" x14ac:dyDescent="0.2">
      <c r="B5393" s="11"/>
    </row>
    <row r="5394" spans="2:2" x14ac:dyDescent="0.2">
      <c r="B5394" s="11"/>
    </row>
    <row r="5395" spans="2:2" x14ac:dyDescent="0.2">
      <c r="B5395" s="11"/>
    </row>
    <row r="5396" spans="2:2" x14ac:dyDescent="0.2">
      <c r="B5396" s="11"/>
    </row>
    <row r="5397" spans="2:2" x14ac:dyDescent="0.2">
      <c r="B5397" s="11"/>
    </row>
    <row r="5398" spans="2:2" x14ac:dyDescent="0.2">
      <c r="B5398" s="11"/>
    </row>
    <row r="5399" spans="2:2" x14ac:dyDescent="0.2">
      <c r="B5399" s="11"/>
    </row>
    <row r="5400" spans="2:2" x14ac:dyDescent="0.2">
      <c r="B5400" s="11"/>
    </row>
    <row r="5401" spans="2:2" x14ac:dyDescent="0.2">
      <c r="B5401" s="11"/>
    </row>
    <row r="5402" spans="2:2" x14ac:dyDescent="0.2">
      <c r="B5402" s="11"/>
    </row>
    <row r="5403" spans="2:2" x14ac:dyDescent="0.2">
      <c r="B5403" s="11"/>
    </row>
    <row r="5404" spans="2:2" x14ac:dyDescent="0.2">
      <c r="B5404" s="11"/>
    </row>
    <row r="5405" spans="2:2" x14ac:dyDescent="0.2">
      <c r="B5405" s="11"/>
    </row>
    <row r="5406" spans="2:2" x14ac:dyDescent="0.2">
      <c r="B5406" s="11"/>
    </row>
    <row r="5407" spans="2:2" x14ac:dyDescent="0.2">
      <c r="B5407" s="11"/>
    </row>
    <row r="5408" spans="2:2" x14ac:dyDescent="0.2">
      <c r="B5408" s="11"/>
    </row>
    <row r="5409" spans="2:2" x14ac:dyDescent="0.2">
      <c r="B5409" s="11"/>
    </row>
    <row r="5410" spans="2:2" x14ac:dyDescent="0.2">
      <c r="B5410" s="11"/>
    </row>
    <row r="5411" spans="2:2" x14ac:dyDescent="0.2">
      <c r="B5411" s="11"/>
    </row>
    <row r="5412" spans="2:2" x14ac:dyDescent="0.2">
      <c r="B5412" s="11"/>
    </row>
    <row r="5413" spans="2:2" x14ac:dyDescent="0.2">
      <c r="B5413" s="11"/>
    </row>
    <row r="5414" spans="2:2" x14ac:dyDescent="0.2">
      <c r="B5414" s="11"/>
    </row>
    <row r="5415" spans="2:2" x14ac:dyDescent="0.2">
      <c r="B5415" s="11"/>
    </row>
    <row r="5416" spans="2:2" x14ac:dyDescent="0.2">
      <c r="B5416" s="11"/>
    </row>
    <row r="5417" spans="2:2" x14ac:dyDescent="0.2">
      <c r="B5417" s="11"/>
    </row>
    <row r="5418" spans="2:2" x14ac:dyDescent="0.2">
      <c r="B5418" s="11"/>
    </row>
    <row r="5419" spans="2:2" x14ac:dyDescent="0.2">
      <c r="B5419" s="11"/>
    </row>
    <row r="5420" spans="2:2" x14ac:dyDescent="0.2">
      <c r="B5420" s="11"/>
    </row>
    <row r="5421" spans="2:2" x14ac:dyDescent="0.2">
      <c r="B5421" s="11"/>
    </row>
    <row r="5422" spans="2:2" x14ac:dyDescent="0.2">
      <c r="B5422" s="11"/>
    </row>
    <row r="5423" spans="2:2" x14ac:dyDescent="0.2">
      <c r="B5423" s="11"/>
    </row>
    <row r="5424" spans="2:2" x14ac:dyDescent="0.2">
      <c r="B5424" s="11"/>
    </row>
    <row r="5425" spans="2:2" x14ac:dyDescent="0.2">
      <c r="B5425" s="11"/>
    </row>
    <row r="5426" spans="2:2" x14ac:dyDescent="0.2">
      <c r="B5426" s="11"/>
    </row>
    <row r="5427" spans="2:2" x14ac:dyDescent="0.2">
      <c r="B5427" s="11"/>
    </row>
    <row r="5428" spans="2:2" x14ac:dyDescent="0.2">
      <c r="B5428" s="11"/>
    </row>
    <row r="5429" spans="2:2" x14ac:dyDescent="0.2">
      <c r="B5429" s="11"/>
    </row>
    <row r="5430" spans="2:2" x14ac:dyDescent="0.2">
      <c r="B5430" s="11"/>
    </row>
    <row r="5431" spans="2:2" x14ac:dyDescent="0.2">
      <c r="B5431" s="11"/>
    </row>
    <row r="5432" spans="2:2" x14ac:dyDescent="0.2">
      <c r="B5432" s="11"/>
    </row>
    <row r="5433" spans="2:2" x14ac:dyDescent="0.2">
      <c r="B5433" s="11"/>
    </row>
    <row r="5434" spans="2:2" x14ac:dyDescent="0.2">
      <c r="B5434" s="11"/>
    </row>
    <row r="5435" spans="2:2" x14ac:dyDescent="0.2">
      <c r="B5435" s="11"/>
    </row>
    <row r="5436" spans="2:2" x14ac:dyDescent="0.2">
      <c r="B5436" s="11"/>
    </row>
    <row r="5437" spans="2:2" x14ac:dyDescent="0.2">
      <c r="B5437" s="11"/>
    </row>
    <row r="5438" spans="2:2" x14ac:dyDescent="0.2">
      <c r="B5438" s="11"/>
    </row>
    <row r="5439" spans="2:2" x14ac:dyDescent="0.2">
      <c r="B5439" s="11"/>
    </row>
    <row r="5440" spans="2:2" x14ac:dyDescent="0.2">
      <c r="B5440" s="11"/>
    </row>
    <row r="5441" spans="2:2" x14ac:dyDescent="0.2">
      <c r="B5441" s="11"/>
    </row>
    <row r="5442" spans="2:2" x14ac:dyDescent="0.2">
      <c r="B5442" s="11"/>
    </row>
    <row r="5443" spans="2:2" x14ac:dyDescent="0.2">
      <c r="B5443" s="11"/>
    </row>
    <row r="5444" spans="2:2" x14ac:dyDescent="0.2">
      <c r="B5444" s="11"/>
    </row>
    <row r="5445" spans="2:2" x14ac:dyDescent="0.2">
      <c r="B5445" s="11"/>
    </row>
    <row r="5446" spans="2:2" x14ac:dyDescent="0.2">
      <c r="B5446" s="11"/>
    </row>
    <row r="5447" spans="2:2" x14ac:dyDescent="0.2">
      <c r="B5447" s="11"/>
    </row>
    <row r="5448" spans="2:2" x14ac:dyDescent="0.2">
      <c r="B5448" s="11"/>
    </row>
    <row r="5449" spans="2:2" x14ac:dyDescent="0.2">
      <c r="B5449" s="11"/>
    </row>
    <row r="5450" spans="2:2" x14ac:dyDescent="0.2">
      <c r="B5450" s="11"/>
    </row>
    <row r="5451" spans="2:2" x14ac:dyDescent="0.2">
      <c r="B5451" s="11"/>
    </row>
    <row r="5452" spans="2:2" x14ac:dyDescent="0.2">
      <c r="B5452" s="11"/>
    </row>
    <row r="5453" spans="2:2" x14ac:dyDescent="0.2">
      <c r="B5453" s="11"/>
    </row>
    <row r="5454" spans="2:2" x14ac:dyDescent="0.2">
      <c r="B5454" s="11"/>
    </row>
    <row r="5455" spans="2:2" x14ac:dyDescent="0.2">
      <c r="B5455" s="11"/>
    </row>
    <row r="5456" spans="2:2" x14ac:dyDescent="0.2">
      <c r="B5456" s="11"/>
    </row>
    <row r="5457" spans="2:2" x14ac:dyDescent="0.2">
      <c r="B5457" s="11"/>
    </row>
    <row r="5458" spans="2:2" x14ac:dyDescent="0.2">
      <c r="B5458" s="11"/>
    </row>
    <row r="5459" spans="2:2" x14ac:dyDescent="0.2">
      <c r="B5459" s="11"/>
    </row>
    <row r="5460" spans="2:2" x14ac:dyDescent="0.2">
      <c r="B5460" s="11"/>
    </row>
    <row r="5461" spans="2:2" x14ac:dyDescent="0.2">
      <c r="B5461" s="11"/>
    </row>
    <row r="5462" spans="2:2" x14ac:dyDescent="0.2">
      <c r="B5462" s="11"/>
    </row>
    <row r="5463" spans="2:2" x14ac:dyDescent="0.2">
      <c r="B5463" s="11"/>
    </row>
    <row r="5464" spans="2:2" x14ac:dyDescent="0.2">
      <c r="B5464" s="11"/>
    </row>
    <row r="5465" spans="2:2" x14ac:dyDescent="0.2">
      <c r="B5465" s="11"/>
    </row>
    <row r="5466" spans="2:2" x14ac:dyDescent="0.2">
      <c r="B5466" s="11"/>
    </row>
    <row r="5467" spans="2:2" x14ac:dyDescent="0.2">
      <c r="B5467" s="11"/>
    </row>
    <row r="5468" spans="2:2" x14ac:dyDescent="0.2">
      <c r="B5468" s="11"/>
    </row>
    <row r="5469" spans="2:2" x14ac:dyDescent="0.2">
      <c r="B5469" s="11"/>
    </row>
    <row r="5470" spans="2:2" x14ac:dyDescent="0.2">
      <c r="B5470" s="11"/>
    </row>
    <row r="5471" spans="2:2" x14ac:dyDescent="0.2">
      <c r="B5471" s="11"/>
    </row>
    <row r="5472" spans="2:2" x14ac:dyDescent="0.2">
      <c r="B5472" s="11"/>
    </row>
    <row r="5473" spans="2:2" x14ac:dyDescent="0.2">
      <c r="B5473" s="11"/>
    </row>
    <row r="5474" spans="2:2" x14ac:dyDescent="0.2">
      <c r="B5474" s="11"/>
    </row>
    <row r="5475" spans="2:2" x14ac:dyDescent="0.2">
      <c r="B5475" s="11"/>
    </row>
    <row r="5476" spans="2:2" x14ac:dyDescent="0.2">
      <c r="B5476" s="11"/>
    </row>
    <row r="5477" spans="2:2" x14ac:dyDescent="0.2">
      <c r="B5477" s="11"/>
    </row>
    <row r="5478" spans="2:2" x14ac:dyDescent="0.2">
      <c r="B5478" s="11"/>
    </row>
    <row r="5479" spans="2:2" x14ac:dyDescent="0.2">
      <c r="B5479" s="11"/>
    </row>
    <row r="5480" spans="2:2" x14ac:dyDescent="0.2">
      <c r="B5480" s="11"/>
    </row>
    <row r="5481" spans="2:2" x14ac:dyDescent="0.2">
      <c r="B5481" s="11"/>
    </row>
    <row r="5482" spans="2:2" x14ac:dyDescent="0.2">
      <c r="B5482" s="11"/>
    </row>
    <row r="5483" spans="2:2" x14ac:dyDescent="0.2">
      <c r="B5483" s="11"/>
    </row>
    <row r="5484" spans="2:2" x14ac:dyDescent="0.2">
      <c r="B5484" s="11"/>
    </row>
    <row r="5485" spans="2:2" x14ac:dyDescent="0.2">
      <c r="B5485" s="11"/>
    </row>
    <row r="5486" spans="2:2" x14ac:dyDescent="0.2">
      <c r="B5486" s="11"/>
    </row>
    <row r="5487" spans="2:2" x14ac:dyDescent="0.2">
      <c r="B5487" s="11"/>
    </row>
    <row r="5488" spans="2:2" x14ac:dyDescent="0.2">
      <c r="B5488" s="11"/>
    </row>
    <row r="5489" spans="2:2" x14ac:dyDescent="0.2">
      <c r="B5489" s="11"/>
    </row>
    <row r="5490" spans="2:2" x14ac:dyDescent="0.2">
      <c r="B5490" s="11"/>
    </row>
    <row r="5491" spans="2:2" x14ac:dyDescent="0.2">
      <c r="B5491" s="11"/>
    </row>
    <row r="5492" spans="2:2" x14ac:dyDescent="0.2">
      <c r="B5492" s="11"/>
    </row>
    <row r="5493" spans="2:2" x14ac:dyDescent="0.2">
      <c r="B5493" s="11"/>
    </row>
    <row r="5494" spans="2:2" x14ac:dyDescent="0.2">
      <c r="B5494" s="11"/>
    </row>
    <row r="5495" spans="2:2" x14ac:dyDescent="0.2">
      <c r="B5495" s="11"/>
    </row>
    <row r="5496" spans="2:2" x14ac:dyDescent="0.2">
      <c r="B5496" s="11"/>
    </row>
    <row r="5497" spans="2:2" x14ac:dyDescent="0.2">
      <c r="B5497" s="11"/>
    </row>
    <row r="5498" spans="2:2" x14ac:dyDescent="0.2">
      <c r="B5498" s="11"/>
    </row>
    <row r="5499" spans="2:2" x14ac:dyDescent="0.2">
      <c r="B5499" s="11"/>
    </row>
    <row r="5500" spans="2:2" x14ac:dyDescent="0.2">
      <c r="B5500" s="11"/>
    </row>
    <row r="5501" spans="2:2" x14ac:dyDescent="0.2">
      <c r="B5501" s="11"/>
    </row>
    <row r="5502" spans="2:2" x14ac:dyDescent="0.2">
      <c r="B5502" s="11"/>
    </row>
    <row r="5503" spans="2:2" x14ac:dyDescent="0.2">
      <c r="B5503" s="11"/>
    </row>
    <row r="5504" spans="2:2" x14ac:dyDescent="0.2">
      <c r="B5504" s="11"/>
    </row>
    <row r="5505" spans="2:2" x14ac:dyDescent="0.2">
      <c r="B5505" s="11"/>
    </row>
    <row r="5506" spans="2:2" x14ac:dyDescent="0.2">
      <c r="B5506" s="11"/>
    </row>
    <row r="5507" spans="2:2" x14ac:dyDescent="0.2">
      <c r="B5507" s="11"/>
    </row>
    <row r="5508" spans="2:2" x14ac:dyDescent="0.2">
      <c r="B5508" s="11"/>
    </row>
    <row r="5509" spans="2:2" x14ac:dyDescent="0.2">
      <c r="B5509" s="11"/>
    </row>
    <row r="5510" spans="2:2" x14ac:dyDescent="0.2">
      <c r="B5510" s="11"/>
    </row>
    <row r="5511" spans="2:2" x14ac:dyDescent="0.2">
      <c r="B5511" s="11"/>
    </row>
    <row r="5512" spans="2:2" x14ac:dyDescent="0.2">
      <c r="B5512" s="11"/>
    </row>
    <row r="5513" spans="2:2" x14ac:dyDescent="0.2">
      <c r="B5513" s="11"/>
    </row>
    <row r="5514" spans="2:2" x14ac:dyDescent="0.2">
      <c r="B5514" s="11"/>
    </row>
    <row r="5515" spans="2:2" x14ac:dyDescent="0.2">
      <c r="B5515" s="11"/>
    </row>
    <row r="5516" spans="2:2" x14ac:dyDescent="0.2">
      <c r="B5516" s="11"/>
    </row>
    <row r="5517" spans="2:2" x14ac:dyDescent="0.2">
      <c r="B5517" s="11"/>
    </row>
    <row r="5518" spans="2:2" x14ac:dyDescent="0.2">
      <c r="B5518" s="11"/>
    </row>
    <row r="5519" spans="2:2" x14ac:dyDescent="0.2">
      <c r="B5519" s="11"/>
    </row>
    <row r="5520" spans="2:2" x14ac:dyDescent="0.2">
      <c r="B5520" s="11"/>
    </row>
    <row r="5521" spans="2:2" x14ac:dyDescent="0.2">
      <c r="B5521" s="11"/>
    </row>
    <row r="5522" spans="2:2" x14ac:dyDescent="0.2">
      <c r="B5522" s="11"/>
    </row>
    <row r="5523" spans="2:2" x14ac:dyDescent="0.2">
      <c r="B5523" s="11"/>
    </row>
    <row r="5524" spans="2:2" x14ac:dyDescent="0.2">
      <c r="B5524" s="11"/>
    </row>
    <row r="5525" spans="2:2" x14ac:dyDescent="0.2">
      <c r="B5525" s="11"/>
    </row>
    <row r="5526" spans="2:2" x14ac:dyDescent="0.2">
      <c r="B5526" s="11"/>
    </row>
    <row r="5527" spans="2:2" x14ac:dyDescent="0.2">
      <c r="B5527" s="11"/>
    </row>
    <row r="5528" spans="2:2" x14ac:dyDescent="0.2">
      <c r="B5528" s="11"/>
    </row>
    <row r="5529" spans="2:2" x14ac:dyDescent="0.2">
      <c r="B5529" s="11"/>
    </row>
    <row r="5530" spans="2:2" x14ac:dyDescent="0.2">
      <c r="B5530" s="11"/>
    </row>
    <row r="5531" spans="2:2" x14ac:dyDescent="0.2">
      <c r="B5531" s="11"/>
    </row>
    <row r="5532" spans="2:2" x14ac:dyDescent="0.2">
      <c r="B5532" s="11"/>
    </row>
    <row r="5533" spans="2:2" x14ac:dyDescent="0.2">
      <c r="B5533" s="11"/>
    </row>
    <row r="5534" spans="2:2" x14ac:dyDescent="0.2">
      <c r="B5534" s="11"/>
    </row>
    <row r="5535" spans="2:2" x14ac:dyDescent="0.2">
      <c r="B5535" s="11"/>
    </row>
    <row r="5536" spans="2:2" x14ac:dyDescent="0.2">
      <c r="B5536" s="11"/>
    </row>
    <row r="5537" spans="2:2" x14ac:dyDescent="0.2">
      <c r="B5537" s="11"/>
    </row>
    <row r="5538" spans="2:2" x14ac:dyDescent="0.2">
      <c r="B5538" s="11"/>
    </row>
    <row r="5539" spans="2:2" x14ac:dyDescent="0.2">
      <c r="B5539" s="11"/>
    </row>
    <row r="5540" spans="2:2" x14ac:dyDescent="0.2">
      <c r="B5540" s="11"/>
    </row>
    <row r="5541" spans="2:2" x14ac:dyDescent="0.2">
      <c r="B5541" s="11"/>
    </row>
    <row r="5542" spans="2:2" x14ac:dyDescent="0.2">
      <c r="B5542" s="11"/>
    </row>
    <row r="5543" spans="2:2" x14ac:dyDescent="0.2">
      <c r="B5543" s="11"/>
    </row>
    <row r="5544" spans="2:2" x14ac:dyDescent="0.2">
      <c r="B5544" s="11"/>
    </row>
    <row r="5545" spans="2:2" x14ac:dyDescent="0.2">
      <c r="B5545" s="11"/>
    </row>
    <row r="5546" spans="2:2" x14ac:dyDescent="0.2">
      <c r="B5546" s="11"/>
    </row>
    <row r="5547" spans="2:2" x14ac:dyDescent="0.2">
      <c r="B5547" s="11"/>
    </row>
    <row r="5548" spans="2:2" x14ac:dyDescent="0.2">
      <c r="B5548" s="11"/>
    </row>
    <row r="5549" spans="2:2" x14ac:dyDescent="0.2">
      <c r="B5549" s="11"/>
    </row>
    <row r="5550" spans="2:2" x14ac:dyDescent="0.2">
      <c r="B5550" s="11"/>
    </row>
    <row r="5551" spans="2:2" x14ac:dyDescent="0.2">
      <c r="B5551" s="11"/>
    </row>
    <row r="5552" spans="2:2" x14ac:dyDescent="0.2">
      <c r="B5552" s="11"/>
    </row>
    <row r="5553" spans="2:2" x14ac:dyDescent="0.2">
      <c r="B5553" s="11"/>
    </row>
    <row r="5554" spans="2:2" x14ac:dyDescent="0.2">
      <c r="B5554" s="11"/>
    </row>
    <row r="5555" spans="2:2" x14ac:dyDescent="0.2">
      <c r="B5555" s="11"/>
    </row>
    <row r="5556" spans="2:2" x14ac:dyDescent="0.2">
      <c r="B5556" s="11"/>
    </row>
    <row r="5557" spans="2:2" x14ac:dyDescent="0.2">
      <c r="B5557" s="11"/>
    </row>
    <row r="5558" spans="2:2" x14ac:dyDescent="0.2">
      <c r="B5558" s="11"/>
    </row>
    <row r="5559" spans="2:2" x14ac:dyDescent="0.2">
      <c r="B5559" s="11"/>
    </row>
    <row r="5560" spans="2:2" x14ac:dyDescent="0.2">
      <c r="B5560" s="11"/>
    </row>
    <row r="5561" spans="2:2" x14ac:dyDescent="0.2">
      <c r="B5561" s="11"/>
    </row>
    <row r="5562" spans="2:2" x14ac:dyDescent="0.2">
      <c r="B5562" s="11"/>
    </row>
    <row r="5563" spans="2:2" x14ac:dyDescent="0.2">
      <c r="B5563" s="11"/>
    </row>
    <row r="5564" spans="2:2" x14ac:dyDescent="0.2">
      <c r="B5564" s="11"/>
    </row>
    <row r="5565" spans="2:2" x14ac:dyDescent="0.2">
      <c r="B5565" s="11"/>
    </row>
    <row r="5566" spans="2:2" x14ac:dyDescent="0.2">
      <c r="B5566" s="11"/>
    </row>
    <row r="5567" spans="2:2" x14ac:dyDescent="0.2">
      <c r="B5567" s="11"/>
    </row>
    <row r="5568" spans="2:2" x14ac:dyDescent="0.2">
      <c r="B5568" s="11"/>
    </row>
    <row r="5569" spans="2:2" x14ac:dyDescent="0.2">
      <c r="B5569" s="11"/>
    </row>
    <row r="5570" spans="2:2" x14ac:dyDescent="0.2">
      <c r="B5570" s="11"/>
    </row>
    <row r="5571" spans="2:2" x14ac:dyDescent="0.2">
      <c r="B5571" s="11"/>
    </row>
    <row r="5572" spans="2:2" x14ac:dyDescent="0.2">
      <c r="B5572" s="11"/>
    </row>
    <row r="5573" spans="2:2" x14ac:dyDescent="0.2">
      <c r="B5573" s="11"/>
    </row>
    <row r="5574" spans="2:2" x14ac:dyDescent="0.2">
      <c r="B5574" s="11"/>
    </row>
    <row r="5575" spans="2:2" x14ac:dyDescent="0.2">
      <c r="B5575" s="11"/>
    </row>
    <row r="5576" spans="2:2" x14ac:dyDescent="0.2">
      <c r="B5576" s="11"/>
    </row>
    <row r="5577" spans="2:2" x14ac:dyDescent="0.2">
      <c r="B5577" s="11"/>
    </row>
    <row r="5578" spans="2:2" x14ac:dyDescent="0.2">
      <c r="B5578" s="11"/>
    </row>
    <row r="5579" spans="2:2" x14ac:dyDescent="0.2">
      <c r="B5579" s="11"/>
    </row>
    <row r="5580" spans="2:2" x14ac:dyDescent="0.2">
      <c r="B5580" s="11"/>
    </row>
    <row r="5581" spans="2:2" x14ac:dyDescent="0.2">
      <c r="B5581" s="11"/>
    </row>
    <row r="5582" spans="2:2" x14ac:dyDescent="0.2">
      <c r="B5582" s="11"/>
    </row>
    <row r="5583" spans="2:2" x14ac:dyDescent="0.2">
      <c r="B5583" s="11"/>
    </row>
    <row r="5584" spans="2:2" x14ac:dyDescent="0.2">
      <c r="B5584" s="11"/>
    </row>
    <row r="5585" spans="2:2" x14ac:dyDescent="0.2">
      <c r="B5585" s="11"/>
    </row>
    <row r="5586" spans="2:2" x14ac:dyDescent="0.2">
      <c r="B5586" s="11"/>
    </row>
    <row r="5587" spans="2:2" x14ac:dyDescent="0.2">
      <c r="B5587" s="11"/>
    </row>
    <row r="5588" spans="2:2" x14ac:dyDescent="0.2">
      <c r="B5588" s="11"/>
    </row>
    <row r="5589" spans="2:2" x14ac:dyDescent="0.2">
      <c r="B5589" s="11"/>
    </row>
    <row r="5590" spans="2:2" x14ac:dyDescent="0.2">
      <c r="B5590" s="11"/>
    </row>
    <row r="5591" spans="2:2" x14ac:dyDescent="0.2">
      <c r="B5591" s="11"/>
    </row>
    <row r="5592" spans="2:2" x14ac:dyDescent="0.2">
      <c r="B5592" s="11"/>
    </row>
    <row r="5593" spans="2:2" x14ac:dyDescent="0.2">
      <c r="B5593" s="11"/>
    </row>
    <row r="5594" spans="2:2" x14ac:dyDescent="0.2">
      <c r="B5594" s="11"/>
    </row>
    <row r="5595" spans="2:2" x14ac:dyDescent="0.2">
      <c r="B5595" s="11"/>
    </row>
    <row r="5596" spans="2:2" x14ac:dyDescent="0.2">
      <c r="B5596" s="11"/>
    </row>
    <row r="5597" spans="2:2" x14ac:dyDescent="0.2">
      <c r="B5597" s="11"/>
    </row>
    <row r="5598" spans="2:2" x14ac:dyDescent="0.2">
      <c r="B5598" s="11"/>
    </row>
    <row r="5599" spans="2:2" x14ac:dyDescent="0.2">
      <c r="B5599" s="11"/>
    </row>
    <row r="5600" spans="2:2" x14ac:dyDescent="0.2">
      <c r="B5600" s="11"/>
    </row>
    <row r="5601" spans="2:2" x14ac:dyDescent="0.2">
      <c r="B5601" s="11"/>
    </row>
    <row r="5602" spans="2:2" x14ac:dyDescent="0.2">
      <c r="B5602" s="11"/>
    </row>
    <row r="5603" spans="2:2" x14ac:dyDescent="0.2">
      <c r="B5603" s="11"/>
    </row>
    <row r="5604" spans="2:2" x14ac:dyDescent="0.2">
      <c r="B5604" s="11"/>
    </row>
    <row r="5605" spans="2:2" x14ac:dyDescent="0.2">
      <c r="B5605" s="11"/>
    </row>
    <row r="5606" spans="2:2" x14ac:dyDescent="0.2">
      <c r="B5606" s="11"/>
    </row>
    <row r="5607" spans="2:2" x14ac:dyDescent="0.2">
      <c r="B5607" s="11"/>
    </row>
    <row r="5608" spans="2:2" x14ac:dyDescent="0.2">
      <c r="B5608" s="11"/>
    </row>
    <row r="5609" spans="2:2" x14ac:dyDescent="0.2">
      <c r="B5609" s="11"/>
    </row>
    <row r="5610" spans="2:2" x14ac:dyDescent="0.2">
      <c r="B5610" s="11"/>
    </row>
    <row r="5611" spans="2:2" x14ac:dyDescent="0.2">
      <c r="B5611" s="11"/>
    </row>
    <row r="5612" spans="2:2" x14ac:dyDescent="0.2">
      <c r="B5612" s="11"/>
    </row>
    <row r="5613" spans="2:2" x14ac:dyDescent="0.2">
      <c r="B5613" s="11"/>
    </row>
    <row r="5614" spans="2:2" x14ac:dyDescent="0.2">
      <c r="B5614" s="11"/>
    </row>
    <row r="5615" spans="2:2" x14ac:dyDescent="0.2">
      <c r="B5615" s="11"/>
    </row>
    <row r="5616" spans="2:2" x14ac:dyDescent="0.2">
      <c r="B5616" s="11"/>
    </row>
    <row r="5617" spans="2:2" x14ac:dyDescent="0.2">
      <c r="B5617" s="11"/>
    </row>
    <row r="5618" spans="2:2" x14ac:dyDescent="0.2">
      <c r="B5618" s="11"/>
    </row>
    <row r="5619" spans="2:2" x14ac:dyDescent="0.2">
      <c r="B5619" s="11"/>
    </row>
    <row r="5620" spans="2:2" x14ac:dyDescent="0.2">
      <c r="B5620" s="11"/>
    </row>
    <row r="5621" spans="2:2" x14ac:dyDescent="0.2">
      <c r="B5621" s="11"/>
    </row>
    <row r="5622" spans="2:2" x14ac:dyDescent="0.2">
      <c r="B5622" s="11"/>
    </row>
    <row r="5623" spans="2:2" x14ac:dyDescent="0.2">
      <c r="B5623" s="11"/>
    </row>
    <row r="5624" spans="2:2" x14ac:dyDescent="0.2">
      <c r="B5624" s="11"/>
    </row>
    <row r="5625" spans="2:2" x14ac:dyDescent="0.2">
      <c r="B5625" s="11"/>
    </row>
    <row r="5626" spans="2:2" x14ac:dyDescent="0.2">
      <c r="B5626" s="11"/>
    </row>
    <row r="5627" spans="2:2" x14ac:dyDescent="0.2">
      <c r="B5627" s="11"/>
    </row>
    <row r="5628" spans="2:2" x14ac:dyDescent="0.2">
      <c r="B5628" s="11"/>
    </row>
    <row r="5629" spans="2:2" x14ac:dyDescent="0.2">
      <c r="B5629" s="11"/>
    </row>
    <row r="5630" spans="2:2" x14ac:dyDescent="0.2">
      <c r="B5630" s="11"/>
    </row>
    <row r="5631" spans="2:2" x14ac:dyDescent="0.2">
      <c r="B5631" s="11"/>
    </row>
    <row r="5632" spans="2:2" x14ac:dyDescent="0.2">
      <c r="B5632" s="11"/>
    </row>
    <row r="5633" spans="2:2" x14ac:dyDescent="0.2">
      <c r="B5633" s="11"/>
    </row>
    <row r="5634" spans="2:2" x14ac:dyDescent="0.2">
      <c r="B5634" s="11"/>
    </row>
    <row r="5635" spans="2:2" x14ac:dyDescent="0.2">
      <c r="B5635" s="11"/>
    </row>
    <row r="5636" spans="2:2" x14ac:dyDescent="0.2">
      <c r="B5636" s="11"/>
    </row>
    <row r="5637" spans="2:2" x14ac:dyDescent="0.2">
      <c r="B5637" s="11"/>
    </row>
    <row r="5638" spans="2:2" x14ac:dyDescent="0.2">
      <c r="B5638" s="11"/>
    </row>
    <row r="5639" spans="2:2" x14ac:dyDescent="0.2">
      <c r="B5639" s="11"/>
    </row>
    <row r="5640" spans="2:2" x14ac:dyDescent="0.2">
      <c r="B5640" s="11"/>
    </row>
    <row r="5641" spans="2:2" x14ac:dyDescent="0.2">
      <c r="B5641" s="11"/>
    </row>
    <row r="5642" spans="2:2" x14ac:dyDescent="0.2">
      <c r="B5642" s="11"/>
    </row>
    <row r="5643" spans="2:2" x14ac:dyDescent="0.2">
      <c r="B5643" s="11"/>
    </row>
    <row r="5644" spans="2:2" x14ac:dyDescent="0.2">
      <c r="B5644" s="11"/>
    </row>
    <row r="5645" spans="2:2" x14ac:dyDescent="0.2">
      <c r="B5645" s="11"/>
    </row>
    <row r="5646" spans="2:2" x14ac:dyDescent="0.2">
      <c r="B5646" s="11"/>
    </row>
    <row r="5647" spans="2:2" x14ac:dyDescent="0.2">
      <c r="B5647" s="11"/>
    </row>
    <row r="5648" spans="2:2" x14ac:dyDescent="0.2">
      <c r="B5648" s="11"/>
    </row>
    <row r="5649" spans="2:2" x14ac:dyDescent="0.2">
      <c r="B5649" s="11"/>
    </row>
    <row r="5650" spans="2:2" x14ac:dyDescent="0.2">
      <c r="B5650" s="11"/>
    </row>
    <row r="5651" spans="2:2" x14ac:dyDescent="0.2">
      <c r="B5651" s="11"/>
    </row>
    <row r="5652" spans="2:2" x14ac:dyDescent="0.2">
      <c r="B5652" s="11"/>
    </row>
    <row r="5653" spans="2:2" x14ac:dyDescent="0.2">
      <c r="B5653" s="11"/>
    </row>
    <row r="5654" spans="2:2" x14ac:dyDescent="0.2">
      <c r="B5654" s="11"/>
    </row>
    <row r="5655" spans="2:2" x14ac:dyDescent="0.2">
      <c r="B5655" s="11"/>
    </row>
    <row r="5656" spans="2:2" x14ac:dyDescent="0.2">
      <c r="B5656" s="11"/>
    </row>
    <row r="5657" spans="2:2" x14ac:dyDescent="0.2">
      <c r="B5657" s="11"/>
    </row>
    <row r="5658" spans="2:2" x14ac:dyDescent="0.2">
      <c r="B5658" s="11"/>
    </row>
    <row r="5659" spans="2:2" x14ac:dyDescent="0.2">
      <c r="B5659" s="11"/>
    </row>
    <row r="5660" spans="2:2" x14ac:dyDescent="0.2">
      <c r="B5660" s="11"/>
    </row>
    <row r="5661" spans="2:2" x14ac:dyDescent="0.2">
      <c r="B5661" s="11"/>
    </row>
    <row r="5662" spans="2:2" x14ac:dyDescent="0.2">
      <c r="B5662" s="11"/>
    </row>
    <row r="5663" spans="2:2" x14ac:dyDescent="0.2">
      <c r="B5663" s="11"/>
    </row>
    <row r="5664" spans="2:2" x14ac:dyDescent="0.2">
      <c r="B5664" s="11"/>
    </row>
    <row r="5665" spans="2:2" x14ac:dyDescent="0.2">
      <c r="B5665" s="11"/>
    </row>
    <row r="5666" spans="2:2" x14ac:dyDescent="0.2">
      <c r="B5666" s="11"/>
    </row>
    <row r="5667" spans="2:2" x14ac:dyDescent="0.2">
      <c r="B5667" s="11"/>
    </row>
    <row r="5668" spans="2:2" x14ac:dyDescent="0.2">
      <c r="B5668" s="11"/>
    </row>
    <row r="5669" spans="2:2" x14ac:dyDescent="0.2">
      <c r="B5669" s="11"/>
    </row>
    <row r="5670" spans="2:2" x14ac:dyDescent="0.2">
      <c r="B5670" s="11"/>
    </row>
    <row r="5671" spans="2:2" x14ac:dyDescent="0.2">
      <c r="B5671" s="11"/>
    </row>
    <row r="5672" spans="2:2" x14ac:dyDescent="0.2">
      <c r="B5672" s="11"/>
    </row>
    <row r="5673" spans="2:2" x14ac:dyDescent="0.2">
      <c r="B5673" s="11"/>
    </row>
    <row r="5674" spans="2:2" x14ac:dyDescent="0.2">
      <c r="B5674" s="11"/>
    </row>
    <row r="5675" spans="2:2" x14ac:dyDescent="0.2">
      <c r="B5675" s="11"/>
    </row>
    <row r="5676" spans="2:2" x14ac:dyDescent="0.2">
      <c r="B5676" s="11"/>
    </row>
    <row r="5677" spans="2:2" x14ac:dyDescent="0.2">
      <c r="B5677" s="11"/>
    </row>
    <row r="5678" spans="2:2" x14ac:dyDescent="0.2">
      <c r="B5678" s="11"/>
    </row>
    <row r="5679" spans="2:2" x14ac:dyDescent="0.2">
      <c r="B5679" s="11"/>
    </row>
    <row r="5680" spans="2:2" x14ac:dyDescent="0.2">
      <c r="B5680" s="11"/>
    </row>
    <row r="5681" spans="2:2" x14ac:dyDescent="0.2">
      <c r="B5681" s="11"/>
    </row>
    <row r="5682" spans="2:2" x14ac:dyDescent="0.2">
      <c r="B5682" s="11"/>
    </row>
    <row r="5683" spans="2:2" x14ac:dyDescent="0.2">
      <c r="B5683" s="11"/>
    </row>
    <row r="5684" spans="2:2" x14ac:dyDescent="0.2">
      <c r="B5684" s="11"/>
    </row>
    <row r="5685" spans="2:2" x14ac:dyDescent="0.2">
      <c r="B5685" s="11"/>
    </row>
    <row r="5686" spans="2:2" x14ac:dyDescent="0.2">
      <c r="B5686" s="11"/>
    </row>
    <row r="5687" spans="2:2" x14ac:dyDescent="0.2">
      <c r="B5687" s="11"/>
    </row>
    <row r="5688" spans="2:2" x14ac:dyDescent="0.2">
      <c r="B5688" s="11"/>
    </row>
    <row r="5689" spans="2:2" x14ac:dyDescent="0.2">
      <c r="B5689" s="11"/>
    </row>
    <row r="5690" spans="2:2" x14ac:dyDescent="0.2">
      <c r="B5690" s="11"/>
    </row>
    <row r="5691" spans="2:2" x14ac:dyDescent="0.2">
      <c r="B5691" s="11"/>
    </row>
    <row r="5692" spans="2:2" x14ac:dyDescent="0.2">
      <c r="B5692" s="11"/>
    </row>
    <row r="5693" spans="2:2" x14ac:dyDescent="0.2">
      <c r="B5693" s="11"/>
    </row>
    <row r="5694" spans="2:2" x14ac:dyDescent="0.2">
      <c r="B5694" s="11"/>
    </row>
    <row r="5695" spans="2:2" x14ac:dyDescent="0.2">
      <c r="B5695" s="11"/>
    </row>
    <row r="5696" spans="2:2" x14ac:dyDescent="0.2">
      <c r="B5696" s="11"/>
    </row>
    <row r="5697" spans="2:2" x14ac:dyDescent="0.2">
      <c r="B5697" s="11"/>
    </row>
    <row r="5698" spans="2:2" x14ac:dyDescent="0.2">
      <c r="B5698" s="11"/>
    </row>
    <row r="5699" spans="2:2" x14ac:dyDescent="0.2">
      <c r="B5699" s="11"/>
    </row>
    <row r="5700" spans="2:2" x14ac:dyDescent="0.2">
      <c r="B5700" s="11"/>
    </row>
    <row r="5701" spans="2:2" x14ac:dyDescent="0.2">
      <c r="B5701" s="11"/>
    </row>
    <row r="5702" spans="2:2" x14ac:dyDescent="0.2">
      <c r="B5702" s="11"/>
    </row>
    <row r="5703" spans="2:2" x14ac:dyDescent="0.2">
      <c r="B5703" s="11"/>
    </row>
    <row r="5704" spans="2:2" x14ac:dyDescent="0.2">
      <c r="B5704" s="11"/>
    </row>
    <row r="5705" spans="2:2" x14ac:dyDescent="0.2">
      <c r="B5705" s="11"/>
    </row>
    <row r="5706" spans="2:2" x14ac:dyDescent="0.2">
      <c r="B5706" s="11"/>
    </row>
    <row r="5707" spans="2:2" x14ac:dyDescent="0.2">
      <c r="B5707" s="11"/>
    </row>
    <row r="5708" spans="2:2" x14ac:dyDescent="0.2">
      <c r="B5708" s="11"/>
    </row>
    <row r="5709" spans="2:2" x14ac:dyDescent="0.2">
      <c r="B5709" s="11"/>
    </row>
    <row r="5710" spans="2:2" x14ac:dyDescent="0.2">
      <c r="B5710" s="11"/>
    </row>
    <row r="5711" spans="2:2" x14ac:dyDescent="0.2">
      <c r="B5711" s="11"/>
    </row>
    <row r="5712" spans="2:2" x14ac:dyDescent="0.2">
      <c r="B5712" s="11"/>
    </row>
    <row r="5713" spans="2:2" x14ac:dyDescent="0.2">
      <c r="B5713" s="11"/>
    </row>
    <row r="5714" spans="2:2" x14ac:dyDescent="0.2">
      <c r="B5714" s="11"/>
    </row>
    <row r="5715" spans="2:2" x14ac:dyDescent="0.2">
      <c r="B5715" s="11"/>
    </row>
    <row r="5716" spans="2:2" x14ac:dyDescent="0.2">
      <c r="B5716" s="11"/>
    </row>
    <row r="5717" spans="2:2" x14ac:dyDescent="0.2">
      <c r="B5717" s="11"/>
    </row>
    <row r="5718" spans="2:2" x14ac:dyDescent="0.2">
      <c r="B5718" s="11"/>
    </row>
    <row r="5719" spans="2:2" x14ac:dyDescent="0.2">
      <c r="B5719" s="11"/>
    </row>
    <row r="5720" spans="2:2" x14ac:dyDescent="0.2">
      <c r="B5720" s="11"/>
    </row>
    <row r="5721" spans="2:2" x14ac:dyDescent="0.2">
      <c r="B5721" s="11"/>
    </row>
    <row r="5722" spans="2:2" x14ac:dyDescent="0.2">
      <c r="B5722" s="11"/>
    </row>
    <row r="5723" spans="2:2" x14ac:dyDescent="0.2">
      <c r="B5723" s="11"/>
    </row>
    <row r="5724" spans="2:2" x14ac:dyDescent="0.2">
      <c r="B5724" s="11"/>
    </row>
    <row r="5725" spans="2:2" x14ac:dyDescent="0.2">
      <c r="B5725" s="11"/>
    </row>
    <row r="5726" spans="2:2" x14ac:dyDescent="0.2">
      <c r="B5726" s="11"/>
    </row>
    <row r="5727" spans="2:2" x14ac:dyDescent="0.2">
      <c r="B5727" s="11"/>
    </row>
    <row r="5728" spans="2:2" x14ac:dyDescent="0.2">
      <c r="B5728" s="11"/>
    </row>
    <row r="5729" spans="2:2" x14ac:dyDescent="0.2">
      <c r="B5729" s="11"/>
    </row>
    <row r="5730" spans="2:2" x14ac:dyDescent="0.2">
      <c r="B5730" s="11"/>
    </row>
    <row r="5731" spans="2:2" x14ac:dyDescent="0.2">
      <c r="B5731" s="11"/>
    </row>
    <row r="5732" spans="2:2" x14ac:dyDescent="0.2">
      <c r="B5732" s="11"/>
    </row>
    <row r="5733" spans="2:2" x14ac:dyDescent="0.2">
      <c r="B5733" s="11"/>
    </row>
    <row r="5734" spans="2:2" x14ac:dyDescent="0.2">
      <c r="B5734" s="11"/>
    </row>
    <row r="5735" spans="2:2" x14ac:dyDescent="0.2">
      <c r="B5735" s="11"/>
    </row>
    <row r="5736" spans="2:2" x14ac:dyDescent="0.2">
      <c r="B5736" s="11"/>
    </row>
    <row r="5737" spans="2:2" x14ac:dyDescent="0.2">
      <c r="B5737" s="11"/>
    </row>
    <row r="5738" spans="2:2" x14ac:dyDescent="0.2">
      <c r="B5738" s="11"/>
    </row>
    <row r="5739" spans="2:2" x14ac:dyDescent="0.2">
      <c r="B5739" s="11"/>
    </row>
    <row r="5740" spans="2:2" x14ac:dyDescent="0.2">
      <c r="B5740" s="11"/>
    </row>
    <row r="5741" spans="2:2" x14ac:dyDescent="0.2">
      <c r="B5741" s="11"/>
    </row>
    <row r="5742" spans="2:2" x14ac:dyDescent="0.2">
      <c r="B5742" s="11"/>
    </row>
    <row r="5743" spans="2:2" x14ac:dyDescent="0.2">
      <c r="B5743" s="11"/>
    </row>
    <row r="5744" spans="2:2" x14ac:dyDescent="0.2">
      <c r="B5744" s="11"/>
    </row>
    <row r="5745" spans="2:2" x14ac:dyDescent="0.2">
      <c r="B5745" s="11"/>
    </row>
    <row r="5746" spans="2:2" x14ac:dyDescent="0.2">
      <c r="B5746" s="11"/>
    </row>
    <row r="5747" spans="2:2" x14ac:dyDescent="0.2">
      <c r="B5747" s="11"/>
    </row>
    <row r="5748" spans="2:2" x14ac:dyDescent="0.2">
      <c r="B5748" s="11"/>
    </row>
    <row r="5749" spans="2:2" x14ac:dyDescent="0.2">
      <c r="B5749" s="11"/>
    </row>
    <row r="5750" spans="2:2" x14ac:dyDescent="0.2">
      <c r="B5750" s="11"/>
    </row>
    <row r="5751" spans="2:2" x14ac:dyDescent="0.2">
      <c r="B5751" s="11"/>
    </row>
    <row r="5752" spans="2:2" x14ac:dyDescent="0.2">
      <c r="B5752" s="11"/>
    </row>
    <row r="5753" spans="2:2" x14ac:dyDescent="0.2">
      <c r="B5753" s="11"/>
    </row>
    <row r="5754" spans="2:2" x14ac:dyDescent="0.2">
      <c r="B5754" s="11"/>
    </row>
    <row r="5755" spans="2:2" x14ac:dyDescent="0.2">
      <c r="B5755" s="11"/>
    </row>
    <row r="5756" spans="2:2" x14ac:dyDescent="0.2">
      <c r="B5756" s="11"/>
    </row>
    <row r="5757" spans="2:2" x14ac:dyDescent="0.2">
      <c r="B5757" s="11"/>
    </row>
    <row r="5758" spans="2:2" x14ac:dyDescent="0.2">
      <c r="B5758" s="11"/>
    </row>
    <row r="5759" spans="2:2" x14ac:dyDescent="0.2">
      <c r="B5759" s="11"/>
    </row>
    <row r="5760" spans="2:2" x14ac:dyDescent="0.2">
      <c r="B5760" s="11"/>
    </row>
    <row r="5761" spans="2:2" x14ac:dyDescent="0.2">
      <c r="B5761" s="11"/>
    </row>
    <row r="5762" spans="2:2" x14ac:dyDescent="0.2">
      <c r="B5762" s="11"/>
    </row>
    <row r="5763" spans="2:2" x14ac:dyDescent="0.2">
      <c r="B5763" s="11"/>
    </row>
    <row r="5764" spans="2:2" x14ac:dyDescent="0.2">
      <c r="B5764" s="11"/>
    </row>
    <row r="5765" spans="2:2" x14ac:dyDescent="0.2">
      <c r="B5765" s="11"/>
    </row>
    <row r="5766" spans="2:2" x14ac:dyDescent="0.2">
      <c r="B5766" s="11"/>
    </row>
    <row r="5767" spans="2:2" x14ac:dyDescent="0.2">
      <c r="B5767" s="11"/>
    </row>
    <row r="5768" spans="2:2" x14ac:dyDescent="0.2">
      <c r="B5768" s="11"/>
    </row>
    <row r="5769" spans="2:2" x14ac:dyDescent="0.2">
      <c r="B5769" s="11"/>
    </row>
    <row r="5770" spans="2:2" x14ac:dyDescent="0.2">
      <c r="B5770" s="11"/>
    </row>
    <row r="5771" spans="2:2" x14ac:dyDescent="0.2">
      <c r="B5771" s="11"/>
    </row>
    <row r="5772" spans="2:2" x14ac:dyDescent="0.2">
      <c r="B5772" s="11"/>
    </row>
    <row r="5773" spans="2:2" x14ac:dyDescent="0.2">
      <c r="B5773" s="11"/>
    </row>
    <row r="5774" spans="2:2" x14ac:dyDescent="0.2">
      <c r="B5774" s="11"/>
    </row>
    <row r="5775" spans="2:2" x14ac:dyDescent="0.2">
      <c r="B5775" s="11"/>
    </row>
    <row r="5776" spans="2:2" x14ac:dyDescent="0.2">
      <c r="B5776" s="11"/>
    </row>
    <row r="5777" spans="2:2" x14ac:dyDescent="0.2">
      <c r="B5777" s="11"/>
    </row>
    <row r="5778" spans="2:2" x14ac:dyDescent="0.2">
      <c r="B5778" s="11"/>
    </row>
    <row r="5779" spans="2:2" x14ac:dyDescent="0.2">
      <c r="B5779" s="11"/>
    </row>
    <row r="5780" spans="2:2" x14ac:dyDescent="0.2">
      <c r="B5780" s="11"/>
    </row>
    <row r="5781" spans="2:2" x14ac:dyDescent="0.2">
      <c r="B5781" s="11"/>
    </row>
    <row r="5782" spans="2:2" x14ac:dyDescent="0.2">
      <c r="B5782" s="11"/>
    </row>
    <row r="5783" spans="2:2" x14ac:dyDescent="0.2">
      <c r="B5783" s="11"/>
    </row>
    <row r="5784" spans="2:2" x14ac:dyDescent="0.2">
      <c r="B5784" s="11"/>
    </row>
    <row r="5785" spans="2:2" x14ac:dyDescent="0.2">
      <c r="B5785" s="11"/>
    </row>
    <row r="5786" spans="2:2" x14ac:dyDescent="0.2">
      <c r="B5786" s="11"/>
    </row>
    <row r="5787" spans="2:2" x14ac:dyDescent="0.2">
      <c r="B5787" s="11"/>
    </row>
    <row r="5788" spans="2:2" x14ac:dyDescent="0.2">
      <c r="B5788" s="11"/>
    </row>
    <row r="5789" spans="2:2" x14ac:dyDescent="0.2">
      <c r="B5789" s="11"/>
    </row>
    <row r="5790" spans="2:2" x14ac:dyDescent="0.2">
      <c r="B5790" s="11"/>
    </row>
    <row r="5791" spans="2:2" x14ac:dyDescent="0.2">
      <c r="B5791" s="11"/>
    </row>
    <row r="5792" spans="2:2" x14ac:dyDescent="0.2">
      <c r="B5792" s="11"/>
    </row>
    <row r="5793" spans="2:2" x14ac:dyDescent="0.2">
      <c r="B5793" s="11"/>
    </row>
    <row r="5794" spans="2:2" x14ac:dyDescent="0.2">
      <c r="B5794" s="11"/>
    </row>
    <row r="5795" spans="2:2" x14ac:dyDescent="0.2">
      <c r="B5795" s="11"/>
    </row>
    <row r="5796" spans="2:2" x14ac:dyDescent="0.2">
      <c r="B5796" s="11"/>
    </row>
    <row r="5797" spans="2:2" x14ac:dyDescent="0.2">
      <c r="B5797" s="11"/>
    </row>
    <row r="5798" spans="2:2" x14ac:dyDescent="0.2">
      <c r="B5798" s="11"/>
    </row>
    <row r="5799" spans="2:2" x14ac:dyDescent="0.2">
      <c r="B5799" s="11"/>
    </row>
    <row r="5800" spans="2:2" x14ac:dyDescent="0.2">
      <c r="B5800" s="11"/>
    </row>
    <row r="5801" spans="2:2" x14ac:dyDescent="0.2">
      <c r="B5801" s="11"/>
    </row>
    <row r="5802" spans="2:2" x14ac:dyDescent="0.2">
      <c r="B5802" s="11"/>
    </row>
    <row r="5803" spans="2:2" x14ac:dyDescent="0.2">
      <c r="B5803" s="11"/>
    </row>
    <row r="5804" spans="2:2" x14ac:dyDescent="0.2">
      <c r="B5804" s="11"/>
    </row>
    <row r="5805" spans="2:2" x14ac:dyDescent="0.2">
      <c r="B5805" s="11"/>
    </row>
    <row r="5806" spans="2:2" x14ac:dyDescent="0.2">
      <c r="B5806" s="11"/>
    </row>
    <row r="5807" spans="2:2" x14ac:dyDescent="0.2">
      <c r="B5807" s="11"/>
    </row>
    <row r="5808" spans="2:2" x14ac:dyDescent="0.2">
      <c r="B5808" s="11"/>
    </row>
    <row r="5809" spans="2:2" x14ac:dyDescent="0.2">
      <c r="B5809" s="11"/>
    </row>
    <row r="5810" spans="2:2" x14ac:dyDescent="0.2">
      <c r="B5810" s="11"/>
    </row>
    <row r="5811" spans="2:2" x14ac:dyDescent="0.2">
      <c r="B5811" s="11"/>
    </row>
    <row r="5812" spans="2:2" x14ac:dyDescent="0.2">
      <c r="B5812" s="11"/>
    </row>
    <row r="5813" spans="2:2" x14ac:dyDescent="0.2">
      <c r="B5813" s="11"/>
    </row>
    <row r="5814" spans="2:2" x14ac:dyDescent="0.2">
      <c r="B5814" s="11"/>
    </row>
    <row r="5815" spans="2:2" x14ac:dyDescent="0.2">
      <c r="B5815" s="11"/>
    </row>
    <row r="5816" spans="2:2" x14ac:dyDescent="0.2">
      <c r="B5816" s="11"/>
    </row>
    <row r="5817" spans="2:2" x14ac:dyDescent="0.2">
      <c r="B5817" s="11"/>
    </row>
    <row r="5818" spans="2:2" x14ac:dyDescent="0.2">
      <c r="B5818" s="11"/>
    </row>
    <row r="5819" spans="2:2" x14ac:dyDescent="0.2">
      <c r="B5819" s="11"/>
    </row>
    <row r="5820" spans="2:2" x14ac:dyDescent="0.2">
      <c r="B5820" s="11"/>
    </row>
    <row r="5821" spans="2:2" x14ac:dyDescent="0.2">
      <c r="B5821" s="11"/>
    </row>
    <row r="5822" spans="2:2" x14ac:dyDescent="0.2">
      <c r="B5822" s="11"/>
    </row>
    <row r="5823" spans="2:2" x14ac:dyDescent="0.2">
      <c r="B5823" s="11"/>
    </row>
    <row r="5824" spans="2:2" x14ac:dyDescent="0.2">
      <c r="B5824" s="11"/>
    </row>
    <row r="5825" spans="2:2" x14ac:dyDescent="0.2">
      <c r="B5825" s="11"/>
    </row>
    <row r="5826" spans="2:2" x14ac:dyDescent="0.2">
      <c r="B5826" s="11"/>
    </row>
    <row r="5827" spans="2:2" x14ac:dyDescent="0.2">
      <c r="B5827" s="11"/>
    </row>
    <row r="5828" spans="2:2" x14ac:dyDescent="0.2">
      <c r="B5828" s="11"/>
    </row>
    <row r="5829" spans="2:2" x14ac:dyDescent="0.2">
      <c r="B5829" s="11"/>
    </row>
    <row r="5830" spans="2:2" x14ac:dyDescent="0.2">
      <c r="B5830" s="11"/>
    </row>
    <row r="5831" spans="2:2" x14ac:dyDescent="0.2">
      <c r="B5831" s="11"/>
    </row>
    <row r="5832" spans="2:2" x14ac:dyDescent="0.2">
      <c r="B5832" s="11"/>
    </row>
    <row r="5833" spans="2:2" x14ac:dyDescent="0.2">
      <c r="B5833" s="11"/>
    </row>
    <row r="5834" spans="2:2" x14ac:dyDescent="0.2">
      <c r="B5834" s="11"/>
    </row>
    <row r="5835" spans="2:2" x14ac:dyDescent="0.2">
      <c r="B5835" s="11"/>
    </row>
    <row r="5836" spans="2:2" x14ac:dyDescent="0.2">
      <c r="B5836" s="11"/>
    </row>
    <row r="5837" spans="2:2" x14ac:dyDescent="0.2">
      <c r="B5837" s="11"/>
    </row>
    <row r="5838" spans="2:2" x14ac:dyDescent="0.2">
      <c r="B5838" s="11"/>
    </row>
    <row r="5839" spans="2:2" x14ac:dyDescent="0.2">
      <c r="B5839" s="11"/>
    </row>
    <row r="5840" spans="2:2" x14ac:dyDescent="0.2">
      <c r="B5840" s="11"/>
    </row>
    <row r="5841" spans="2:2" x14ac:dyDescent="0.2">
      <c r="B5841" s="11"/>
    </row>
    <row r="5842" spans="2:2" x14ac:dyDescent="0.2">
      <c r="B5842" s="11"/>
    </row>
    <row r="5843" spans="2:2" x14ac:dyDescent="0.2">
      <c r="B5843" s="11"/>
    </row>
    <row r="5844" spans="2:2" x14ac:dyDescent="0.2">
      <c r="B5844" s="11"/>
    </row>
    <row r="5845" spans="2:2" x14ac:dyDescent="0.2">
      <c r="B5845" s="11"/>
    </row>
    <row r="5846" spans="2:2" x14ac:dyDescent="0.2">
      <c r="B5846" s="11"/>
    </row>
    <row r="5847" spans="2:2" x14ac:dyDescent="0.2">
      <c r="B5847" s="11"/>
    </row>
    <row r="5848" spans="2:2" x14ac:dyDescent="0.2">
      <c r="B5848" s="11"/>
    </row>
    <row r="5849" spans="2:2" x14ac:dyDescent="0.2">
      <c r="B5849" s="11"/>
    </row>
    <row r="5850" spans="2:2" x14ac:dyDescent="0.2">
      <c r="B5850" s="11"/>
    </row>
    <row r="5851" spans="2:2" x14ac:dyDescent="0.2">
      <c r="B5851" s="11"/>
    </row>
    <row r="5852" spans="2:2" x14ac:dyDescent="0.2">
      <c r="B5852" s="11"/>
    </row>
    <row r="5853" spans="2:2" x14ac:dyDescent="0.2">
      <c r="B5853" s="11"/>
    </row>
    <row r="5854" spans="2:2" x14ac:dyDescent="0.2">
      <c r="B5854" s="11"/>
    </row>
    <row r="5855" spans="2:2" x14ac:dyDescent="0.2">
      <c r="B5855" s="11"/>
    </row>
    <row r="5856" spans="2:2" x14ac:dyDescent="0.2">
      <c r="B5856" s="11"/>
    </row>
    <row r="5857" spans="2:2" x14ac:dyDescent="0.2">
      <c r="B5857" s="11"/>
    </row>
    <row r="5858" spans="2:2" x14ac:dyDescent="0.2">
      <c r="B5858" s="11"/>
    </row>
    <row r="5859" spans="2:2" x14ac:dyDescent="0.2">
      <c r="B5859" s="11"/>
    </row>
    <row r="5860" spans="2:2" x14ac:dyDescent="0.2">
      <c r="B5860" s="11"/>
    </row>
    <row r="5861" spans="2:2" x14ac:dyDescent="0.2">
      <c r="B5861" s="11"/>
    </row>
    <row r="5862" spans="2:2" x14ac:dyDescent="0.2">
      <c r="B5862" s="11"/>
    </row>
    <row r="5863" spans="2:2" x14ac:dyDescent="0.2">
      <c r="B5863" s="11"/>
    </row>
    <row r="5864" spans="2:2" x14ac:dyDescent="0.2">
      <c r="B5864" s="11"/>
    </row>
    <row r="5865" spans="2:2" x14ac:dyDescent="0.2">
      <c r="B5865" s="11"/>
    </row>
    <row r="5866" spans="2:2" x14ac:dyDescent="0.2">
      <c r="B5866" s="11"/>
    </row>
    <row r="5867" spans="2:2" x14ac:dyDescent="0.2">
      <c r="B5867" s="11"/>
    </row>
    <row r="5868" spans="2:2" x14ac:dyDescent="0.2">
      <c r="B5868" s="11"/>
    </row>
    <row r="5869" spans="2:2" x14ac:dyDescent="0.2">
      <c r="B5869" s="11"/>
    </row>
    <row r="5870" spans="2:2" x14ac:dyDescent="0.2">
      <c r="B5870" s="11"/>
    </row>
    <row r="5871" spans="2:2" x14ac:dyDescent="0.2">
      <c r="B5871" s="11"/>
    </row>
    <row r="5872" spans="2:2" x14ac:dyDescent="0.2">
      <c r="B5872" s="11"/>
    </row>
    <row r="5873" spans="2:2" x14ac:dyDescent="0.2">
      <c r="B5873" s="11"/>
    </row>
    <row r="5874" spans="2:2" x14ac:dyDescent="0.2">
      <c r="B5874" s="11"/>
    </row>
    <row r="5875" spans="2:2" x14ac:dyDescent="0.2">
      <c r="B5875" s="11"/>
    </row>
    <row r="5876" spans="2:2" x14ac:dyDescent="0.2">
      <c r="B5876" s="11"/>
    </row>
    <row r="5877" spans="2:2" x14ac:dyDescent="0.2">
      <c r="B5877" s="11"/>
    </row>
    <row r="5878" spans="2:2" x14ac:dyDescent="0.2">
      <c r="B5878" s="11"/>
    </row>
    <row r="5879" spans="2:2" x14ac:dyDescent="0.2">
      <c r="B5879" s="11"/>
    </row>
    <row r="5880" spans="2:2" x14ac:dyDescent="0.2">
      <c r="B5880" s="11"/>
    </row>
    <row r="5881" spans="2:2" x14ac:dyDescent="0.2">
      <c r="B5881" s="11"/>
    </row>
    <row r="5882" spans="2:2" x14ac:dyDescent="0.2">
      <c r="B5882" s="11"/>
    </row>
    <row r="5883" spans="2:2" x14ac:dyDescent="0.2">
      <c r="B5883" s="11"/>
    </row>
    <row r="5884" spans="2:2" x14ac:dyDescent="0.2">
      <c r="B5884" s="11"/>
    </row>
    <row r="5885" spans="2:2" x14ac:dyDescent="0.2">
      <c r="B5885" s="11"/>
    </row>
    <row r="5886" spans="2:2" x14ac:dyDescent="0.2">
      <c r="B5886" s="11"/>
    </row>
    <row r="5887" spans="2:2" x14ac:dyDescent="0.2">
      <c r="B5887" s="11"/>
    </row>
    <row r="5888" spans="2:2" x14ac:dyDescent="0.2">
      <c r="B5888" s="11"/>
    </row>
    <row r="5889" spans="2:2" x14ac:dyDescent="0.2">
      <c r="B5889" s="11"/>
    </row>
    <row r="5890" spans="2:2" x14ac:dyDescent="0.2">
      <c r="B5890" s="11"/>
    </row>
    <row r="5891" spans="2:2" x14ac:dyDescent="0.2">
      <c r="B5891" s="11"/>
    </row>
    <row r="5892" spans="2:2" x14ac:dyDescent="0.2">
      <c r="B5892" s="11"/>
    </row>
    <row r="5893" spans="2:2" x14ac:dyDescent="0.2">
      <c r="B5893" s="11"/>
    </row>
    <row r="5894" spans="2:2" x14ac:dyDescent="0.2">
      <c r="B5894" s="11"/>
    </row>
    <row r="5895" spans="2:2" x14ac:dyDescent="0.2">
      <c r="B5895" s="11"/>
    </row>
    <row r="5896" spans="2:2" x14ac:dyDescent="0.2">
      <c r="B5896" s="11"/>
    </row>
    <row r="5897" spans="2:2" x14ac:dyDescent="0.2">
      <c r="B5897" s="11"/>
    </row>
    <row r="5898" spans="2:2" x14ac:dyDescent="0.2">
      <c r="B5898" s="11"/>
    </row>
    <row r="5899" spans="2:2" x14ac:dyDescent="0.2">
      <c r="B5899" s="11"/>
    </row>
    <row r="5900" spans="2:2" x14ac:dyDescent="0.2">
      <c r="B5900" s="11"/>
    </row>
    <row r="5901" spans="2:2" x14ac:dyDescent="0.2">
      <c r="B5901" s="11"/>
    </row>
    <row r="5902" spans="2:2" x14ac:dyDescent="0.2">
      <c r="B5902" s="11"/>
    </row>
    <row r="5903" spans="2:2" x14ac:dyDescent="0.2">
      <c r="B5903" s="11"/>
    </row>
    <row r="5904" spans="2:2" x14ac:dyDescent="0.2">
      <c r="B5904" s="11"/>
    </row>
    <row r="5905" spans="2:2" x14ac:dyDescent="0.2">
      <c r="B5905" s="11"/>
    </row>
    <row r="5906" spans="2:2" x14ac:dyDescent="0.2">
      <c r="B5906" s="11"/>
    </row>
    <row r="5907" spans="2:2" x14ac:dyDescent="0.2">
      <c r="B5907" s="11"/>
    </row>
    <row r="5908" spans="2:2" x14ac:dyDescent="0.2">
      <c r="B5908" s="11"/>
    </row>
    <row r="5909" spans="2:2" x14ac:dyDescent="0.2">
      <c r="B5909" s="11"/>
    </row>
    <row r="5910" spans="2:2" x14ac:dyDescent="0.2">
      <c r="B5910" s="11"/>
    </row>
    <row r="5911" spans="2:2" x14ac:dyDescent="0.2">
      <c r="B5911" s="11"/>
    </row>
    <row r="5912" spans="2:2" x14ac:dyDescent="0.2">
      <c r="B5912" s="11"/>
    </row>
    <row r="5913" spans="2:2" x14ac:dyDescent="0.2">
      <c r="B5913" s="11"/>
    </row>
    <row r="5914" spans="2:2" x14ac:dyDescent="0.2">
      <c r="B5914" s="11"/>
    </row>
    <row r="5915" spans="2:2" x14ac:dyDescent="0.2">
      <c r="B5915" s="11"/>
    </row>
    <row r="5916" spans="2:2" x14ac:dyDescent="0.2">
      <c r="B5916" s="11"/>
    </row>
    <row r="5917" spans="2:2" x14ac:dyDescent="0.2">
      <c r="B5917" s="11"/>
    </row>
    <row r="5918" spans="2:2" x14ac:dyDescent="0.2">
      <c r="B5918" s="11"/>
    </row>
    <row r="5919" spans="2:2" x14ac:dyDescent="0.2">
      <c r="B5919" s="11"/>
    </row>
    <row r="5920" spans="2:2" x14ac:dyDescent="0.2">
      <c r="B5920" s="11"/>
    </row>
    <row r="5921" spans="2:2" x14ac:dyDescent="0.2">
      <c r="B5921" s="11"/>
    </row>
    <row r="5922" spans="2:2" x14ac:dyDescent="0.2">
      <c r="B5922" s="11"/>
    </row>
    <row r="5923" spans="2:2" x14ac:dyDescent="0.2">
      <c r="B5923" s="11"/>
    </row>
    <row r="5924" spans="2:2" x14ac:dyDescent="0.2">
      <c r="B5924" s="11"/>
    </row>
    <row r="5925" spans="2:2" x14ac:dyDescent="0.2">
      <c r="B5925" s="11"/>
    </row>
    <row r="5926" spans="2:2" x14ac:dyDescent="0.2">
      <c r="B5926" s="11"/>
    </row>
    <row r="5927" spans="2:2" x14ac:dyDescent="0.2">
      <c r="B5927" s="11"/>
    </row>
    <row r="5928" spans="2:2" x14ac:dyDescent="0.2">
      <c r="B5928" s="11"/>
    </row>
    <row r="5929" spans="2:2" x14ac:dyDescent="0.2">
      <c r="B5929" s="11"/>
    </row>
    <row r="5930" spans="2:2" x14ac:dyDescent="0.2">
      <c r="B5930" s="11"/>
    </row>
    <row r="5931" spans="2:2" x14ac:dyDescent="0.2">
      <c r="B5931" s="11"/>
    </row>
    <row r="5932" spans="2:2" x14ac:dyDescent="0.2">
      <c r="B5932" s="11"/>
    </row>
    <row r="5933" spans="2:2" x14ac:dyDescent="0.2">
      <c r="B5933" s="11"/>
    </row>
    <row r="5934" spans="2:2" x14ac:dyDescent="0.2">
      <c r="B5934" s="11"/>
    </row>
    <row r="5935" spans="2:2" x14ac:dyDescent="0.2">
      <c r="B5935" s="11"/>
    </row>
    <row r="5936" spans="2:2" x14ac:dyDescent="0.2">
      <c r="B5936" s="11"/>
    </row>
    <row r="5937" spans="2:2" x14ac:dyDescent="0.2">
      <c r="B5937" s="11"/>
    </row>
    <row r="5938" spans="2:2" x14ac:dyDescent="0.2">
      <c r="B5938" s="11"/>
    </row>
    <row r="5939" spans="2:2" x14ac:dyDescent="0.2">
      <c r="B5939" s="11"/>
    </row>
    <row r="5940" spans="2:2" x14ac:dyDescent="0.2">
      <c r="B5940" s="11"/>
    </row>
    <row r="5941" spans="2:2" x14ac:dyDescent="0.2">
      <c r="B5941" s="11"/>
    </row>
    <row r="5942" spans="2:2" x14ac:dyDescent="0.2">
      <c r="B5942" s="11"/>
    </row>
    <row r="5943" spans="2:2" x14ac:dyDescent="0.2">
      <c r="B5943" s="11"/>
    </row>
    <row r="5944" spans="2:2" x14ac:dyDescent="0.2">
      <c r="B5944" s="11"/>
    </row>
    <row r="5945" spans="2:2" x14ac:dyDescent="0.2">
      <c r="B5945" s="11"/>
    </row>
    <row r="5946" spans="2:2" x14ac:dyDescent="0.2">
      <c r="B5946" s="11"/>
    </row>
    <row r="5947" spans="2:2" x14ac:dyDescent="0.2">
      <c r="B5947" s="11"/>
    </row>
    <row r="5948" spans="2:2" x14ac:dyDescent="0.2">
      <c r="B5948" s="11"/>
    </row>
    <row r="5949" spans="2:2" x14ac:dyDescent="0.2">
      <c r="B5949" s="11"/>
    </row>
    <row r="5950" spans="2:2" x14ac:dyDescent="0.2">
      <c r="B5950" s="11"/>
    </row>
    <row r="5951" spans="2:2" x14ac:dyDescent="0.2">
      <c r="B5951" s="11"/>
    </row>
    <row r="5952" spans="2:2" x14ac:dyDescent="0.2">
      <c r="B5952" s="11"/>
    </row>
    <row r="5953" spans="2:2" x14ac:dyDescent="0.2">
      <c r="B5953" s="11"/>
    </row>
    <row r="5954" spans="2:2" x14ac:dyDescent="0.2">
      <c r="B5954" s="11"/>
    </row>
    <row r="5955" spans="2:2" x14ac:dyDescent="0.2">
      <c r="B5955" s="11"/>
    </row>
    <row r="5956" spans="2:2" x14ac:dyDescent="0.2">
      <c r="B5956" s="11"/>
    </row>
    <row r="5957" spans="2:2" x14ac:dyDescent="0.2">
      <c r="B5957" s="11"/>
    </row>
    <row r="5958" spans="2:2" x14ac:dyDescent="0.2">
      <c r="B5958" s="11"/>
    </row>
    <row r="5959" spans="2:2" x14ac:dyDescent="0.2">
      <c r="B5959" s="11"/>
    </row>
    <row r="5960" spans="2:2" x14ac:dyDescent="0.2">
      <c r="B5960" s="11"/>
    </row>
    <row r="5961" spans="2:2" x14ac:dyDescent="0.2">
      <c r="B5961" s="11"/>
    </row>
    <row r="5962" spans="2:2" x14ac:dyDescent="0.2">
      <c r="B5962" s="11"/>
    </row>
    <row r="5963" spans="2:2" x14ac:dyDescent="0.2">
      <c r="B5963" s="11"/>
    </row>
    <row r="5964" spans="2:2" x14ac:dyDescent="0.2">
      <c r="B5964" s="11"/>
    </row>
    <row r="5965" spans="2:2" x14ac:dyDescent="0.2">
      <c r="B5965" s="11"/>
    </row>
    <row r="5966" spans="2:2" x14ac:dyDescent="0.2">
      <c r="B5966" s="11"/>
    </row>
    <row r="5967" spans="2:2" x14ac:dyDescent="0.2">
      <c r="B5967" s="11"/>
    </row>
    <row r="5968" spans="2:2" x14ac:dyDescent="0.2">
      <c r="B5968" s="11"/>
    </row>
    <row r="5969" spans="2:2" x14ac:dyDescent="0.2">
      <c r="B5969" s="11"/>
    </row>
    <row r="5970" spans="2:2" x14ac:dyDescent="0.2">
      <c r="B5970" s="11"/>
    </row>
    <row r="5971" spans="2:2" x14ac:dyDescent="0.2">
      <c r="B5971" s="11"/>
    </row>
    <row r="5972" spans="2:2" x14ac:dyDescent="0.2">
      <c r="B5972" s="11"/>
    </row>
    <row r="5973" spans="2:2" x14ac:dyDescent="0.2">
      <c r="B5973" s="11"/>
    </row>
    <row r="5974" spans="2:2" x14ac:dyDescent="0.2">
      <c r="B5974" s="11"/>
    </row>
    <row r="5975" spans="2:2" x14ac:dyDescent="0.2">
      <c r="B5975" s="11"/>
    </row>
    <row r="5976" spans="2:2" x14ac:dyDescent="0.2">
      <c r="B5976" s="11"/>
    </row>
    <row r="5977" spans="2:2" x14ac:dyDescent="0.2">
      <c r="B5977" s="11"/>
    </row>
    <row r="5978" spans="2:2" x14ac:dyDescent="0.2">
      <c r="B5978" s="11"/>
    </row>
    <row r="5979" spans="2:2" x14ac:dyDescent="0.2">
      <c r="B5979" s="11"/>
    </row>
    <row r="5980" spans="2:2" x14ac:dyDescent="0.2">
      <c r="B5980" s="11"/>
    </row>
    <row r="5981" spans="2:2" x14ac:dyDescent="0.2">
      <c r="B5981" s="11"/>
    </row>
    <row r="5982" spans="2:2" x14ac:dyDescent="0.2">
      <c r="B5982" s="11"/>
    </row>
    <row r="5983" spans="2:2" x14ac:dyDescent="0.2">
      <c r="B5983" s="11"/>
    </row>
    <row r="5984" spans="2:2" x14ac:dyDescent="0.2">
      <c r="B5984" s="11"/>
    </row>
    <row r="5985" spans="2:2" x14ac:dyDescent="0.2">
      <c r="B5985" s="11"/>
    </row>
    <row r="5986" spans="2:2" x14ac:dyDescent="0.2">
      <c r="B5986" s="11"/>
    </row>
    <row r="5987" spans="2:2" x14ac:dyDescent="0.2">
      <c r="B5987" s="11"/>
    </row>
    <row r="5988" spans="2:2" x14ac:dyDescent="0.2">
      <c r="B5988" s="11"/>
    </row>
    <row r="5989" spans="2:2" x14ac:dyDescent="0.2">
      <c r="B5989" s="11"/>
    </row>
    <row r="5990" spans="2:2" x14ac:dyDescent="0.2">
      <c r="B5990" s="11"/>
    </row>
    <row r="5991" spans="2:2" x14ac:dyDescent="0.2">
      <c r="B5991" s="11"/>
    </row>
    <row r="5992" spans="2:2" x14ac:dyDescent="0.2">
      <c r="B5992" s="11"/>
    </row>
    <row r="5993" spans="2:2" x14ac:dyDescent="0.2">
      <c r="B5993" s="11"/>
    </row>
    <row r="5994" spans="2:2" x14ac:dyDescent="0.2">
      <c r="B5994" s="11"/>
    </row>
    <row r="5995" spans="2:2" x14ac:dyDescent="0.2">
      <c r="B5995" s="11"/>
    </row>
    <row r="5996" spans="2:2" x14ac:dyDescent="0.2">
      <c r="B5996" s="11"/>
    </row>
    <row r="5997" spans="2:2" x14ac:dyDescent="0.2">
      <c r="B5997" s="11"/>
    </row>
    <row r="5998" spans="2:2" x14ac:dyDescent="0.2">
      <c r="B5998" s="11"/>
    </row>
    <row r="5999" spans="2:2" x14ac:dyDescent="0.2">
      <c r="B5999" s="11"/>
    </row>
    <row r="6000" spans="2:2" x14ac:dyDescent="0.2">
      <c r="B6000" s="11"/>
    </row>
    <row r="6001" spans="2:2" x14ac:dyDescent="0.2">
      <c r="B6001" s="11"/>
    </row>
    <row r="6002" spans="2:2" x14ac:dyDescent="0.2">
      <c r="B6002" s="11"/>
    </row>
    <row r="6003" spans="2:2" x14ac:dyDescent="0.2">
      <c r="B6003" s="11"/>
    </row>
    <row r="6004" spans="2:2" x14ac:dyDescent="0.2">
      <c r="B6004" s="11"/>
    </row>
    <row r="6005" spans="2:2" x14ac:dyDescent="0.2">
      <c r="B6005" s="11"/>
    </row>
    <row r="6006" spans="2:2" x14ac:dyDescent="0.2">
      <c r="B6006" s="11"/>
    </row>
    <row r="6007" spans="2:2" x14ac:dyDescent="0.2">
      <c r="B6007" s="11"/>
    </row>
    <row r="6008" spans="2:2" x14ac:dyDescent="0.2">
      <c r="B6008" s="11"/>
    </row>
    <row r="6009" spans="2:2" x14ac:dyDescent="0.2">
      <c r="B6009" s="11"/>
    </row>
    <row r="6010" spans="2:2" x14ac:dyDescent="0.2">
      <c r="B6010" s="11"/>
    </row>
    <row r="6011" spans="2:2" x14ac:dyDescent="0.2">
      <c r="B6011" s="11"/>
    </row>
    <row r="6012" spans="2:2" x14ac:dyDescent="0.2">
      <c r="B6012" s="11"/>
    </row>
    <row r="6013" spans="2:2" x14ac:dyDescent="0.2">
      <c r="B6013" s="11"/>
    </row>
    <row r="6014" spans="2:2" x14ac:dyDescent="0.2">
      <c r="B6014" s="11"/>
    </row>
    <row r="6015" spans="2:2" x14ac:dyDescent="0.2">
      <c r="B6015" s="11"/>
    </row>
    <row r="6016" spans="2:2" x14ac:dyDescent="0.2">
      <c r="B6016" s="11"/>
    </row>
    <row r="6017" spans="2:2" x14ac:dyDescent="0.2">
      <c r="B6017" s="11"/>
    </row>
    <row r="6018" spans="2:2" x14ac:dyDescent="0.2">
      <c r="B6018" s="11"/>
    </row>
    <row r="6019" spans="2:2" x14ac:dyDescent="0.2">
      <c r="B6019" s="11"/>
    </row>
    <row r="6020" spans="2:2" x14ac:dyDescent="0.2">
      <c r="B6020" s="11"/>
    </row>
    <row r="6021" spans="2:2" x14ac:dyDescent="0.2">
      <c r="B6021" s="11"/>
    </row>
    <row r="6022" spans="2:2" x14ac:dyDescent="0.2">
      <c r="B6022" s="11"/>
    </row>
    <row r="6023" spans="2:2" x14ac:dyDescent="0.2">
      <c r="B6023" s="11"/>
    </row>
    <row r="6024" spans="2:2" x14ac:dyDescent="0.2">
      <c r="B6024" s="11"/>
    </row>
    <row r="6025" spans="2:2" x14ac:dyDescent="0.2">
      <c r="B6025" s="11"/>
    </row>
    <row r="6026" spans="2:2" x14ac:dyDescent="0.2">
      <c r="B6026" s="11"/>
    </row>
    <row r="6027" spans="2:2" x14ac:dyDescent="0.2">
      <c r="B6027" s="11"/>
    </row>
    <row r="6028" spans="2:2" x14ac:dyDescent="0.2">
      <c r="B6028" s="11"/>
    </row>
    <row r="6029" spans="2:2" x14ac:dyDescent="0.2">
      <c r="B6029" s="11"/>
    </row>
    <row r="6030" spans="2:2" x14ac:dyDescent="0.2">
      <c r="B6030" s="11"/>
    </row>
    <row r="6031" spans="2:2" x14ac:dyDescent="0.2">
      <c r="B6031" s="11"/>
    </row>
    <row r="6032" spans="2:2" x14ac:dyDescent="0.2">
      <c r="B6032" s="11"/>
    </row>
    <row r="6033" spans="2:2" x14ac:dyDescent="0.2">
      <c r="B6033" s="11"/>
    </row>
    <row r="6034" spans="2:2" x14ac:dyDescent="0.2">
      <c r="B6034" s="11"/>
    </row>
    <row r="6035" spans="2:2" x14ac:dyDescent="0.2">
      <c r="B6035" s="11"/>
    </row>
    <row r="6036" spans="2:2" x14ac:dyDescent="0.2">
      <c r="B6036" s="11"/>
    </row>
    <row r="6037" spans="2:2" x14ac:dyDescent="0.2">
      <c r="B6037" s="11"/>
    </row>
    <row r="6038" spans="2:2" x14ac:dyDescent="0.2">
      <c r="B6038" s="11"/>
    </row>
    <row r="6039" spans="2:2" x14ac:dyDescent="0.2">
      <c r="B6039" s="11"/>
    </row>
    <row r="6040" spans="2:2" x14ac:dyDescent="0.2">
      <c r="B6040" s="11"/>
    </row>
    <row r="6041" spans="2:2" x14ac:dyDescent="0.2">
      <c r="B6041" s="11"/>
    </row>
    <row r="6042" spans="2:2" x14ac:dyDescent="0.2">
      <c r="B6042" s="11"/>
    </row>
    <row r="6043" spans="2:2" x14ac:dyDescent="0.2">
      <c r="B6043" s="11"/>
    </row>
    <row r="6044" spans="2:2" x14ac:dyDescent="0.2">
      <c r="B6044" s="11"/>
    </row>
    <row r="6045" spans="2:2" x14ac:dyDescent="0.2">
      <c r="B6045" s="11"/>
    </row>
    <row r="6046" spans="2:2" x14ac:dyDescent="0.2">
      <c r="B6046" s="11"/>
    </row>
    <row r="6047" spans="2:2" x14ac:dyDescent="0.2">
      <c r="B6047" s="11"/>
    </row>
    <row r="6048" spans="2:2" x14ac:dyDescent="0.2">
      <c r="B6048" s="11"/>
    </row>
    <row r="6049" spans="2:2" x14ac:dyDescent="0.2">
      <c r="B6049" s="11"/>
    </row>
    <row r="6050" spans="2:2" x14ac:dyDescent="0.2">
      <c r="B6050" s="11"/>
    </row>
    <row r="6051" spans="2:2" x14ac:dyDescent="0.2">
      <c r="B6051" s="11"/>
    </row>
    <row r="6052" spans="2:2" x14ac:dyDescent="0.2">
      <c r="B6052" s="11"/>
    </row>
    <row r="6053" spans="2:2" x14ac:dyDescent="0.2">
      <c r="B6053" s="11"/>
    </row>
    <row r="6054" spans="2:2" x14ac:dyDescent="0.2">
      <c r="B6054" s="11"/>
    </row>
    <row r="6055" spans="2:2" x14ac:dyDescent="0.2">
      <c r="B6055" s="11"/>
    </row>
    <row r="6056" spans="2:2" x14ac:dyDescent="0.2">
      <c r="B6056" s="11"/>
    </row>
    <row r="6057" spans="2:2" x14ac:dyDescent="0.2">
      <c r="B6057" s="11"/>
    </row>
    <row r="6058" spans="2:2" x14ac:dyDescent="0.2">
      <c r="B6058" s="11"/>
    </row>
    <row r="6059" spans="2:2" x14ac:dyDescent="0.2">
      <c r="B6059" s="11"/>
    </row>
    <row r="6060" spans="2:2" x14ac:dyDescent="0.2">
      <c r="B6060" s="11"/>
    </row>
    <row r="6061" spans="2:2" x14ac:dyDescent="0.2">
      <c r="B6061" s="11"/>
    </row>
    <row r="6062" spans="2:2" x14ac:dyDescent="0.2">
      <c r="B6062" s="11"/>
    </row>
    <row r="6063" spans="2:2" x14ac:dyDescent="0.2">
      <c r="B6063" s="11"/>
    </row>
    <row r="6064" spans="2:2" x14ac:dyDescent="0.2">
      <c r="B6064" s="11"/>
    </row>
    <row r="6065" spans="2:2" x14ac:dyDescent="0.2">
      <c r="B6065" s="11"/>
    </row>
    <row r="6066" spans="2:2" x14ac:dyDescent="0.2">
      <c r="B6066" s="11"/>
    </row>
    <row r="6067" spans="2:2" x14ac:dyDescent="0.2">
      <c r="B6067" s="11"/>
    </row>
    <row r="6068" spans="2:2" x14ac:dyDescent="0.2">
      <c r="B6068" s="11"/>
    </row>
    <row r="6069" spans="2:2" x14ac:dyDescent="0.2">
      <c r="B6069" s="11"/>
    </row>
    <row r="6070" spans="2:2" x14ac:dyDescent="0.2">
      <c r="B6070" s="11"/>
    </row>
    <row r="6071" spans="2:2" x14ac:dyDescent="0.2">
      <c r="B6071" s="11"/>
    </row>
    <row r="6072" spans="2:2" x14ac:dyDescent="0.2">
      <c r="B6072" s="11"/>
    </row>
    <row r="6073" spans="2:2" x14ac:dyDescent="0.2">
      <c r="B6073" s="11"/>
    </row>
    <row r="6074" spans="2:2" x14ac:dyDescent="0.2">
      <c r="B6074" s="11"/>
    </row>
    <row r="6075" spans="2:2" x14ac:dyDescent="0.2">
      <c r="B6075" s="11"/>
    </row>
    <row r="6076" spans="2:2" x14ac:dyDescent="0.2">
      <c r="B6076" s="11"/>
    </row>
    <row r="6077" spans="2:2" x14ac:dyDescent="0.2">
      <c r="B6077" s="11"/>
    </row>
    <row r="6078" spans="2:2" x14ac:dyDescent="0.2">
      <c r="B6078" s="11"/>
    </row>
    <row r="6079" spans="2:2" x14ac:dyDescent="0.2">
      <c r="B6079" s="11"/>
    </row>
    <row r="6080" spans="2:2" x14ac:dyDescent="0.2">
      <c r="B6080" s="11"/>
    </row>
    <row r="6081" spans="2:2" x14ac:dyDescent="0.2">
      <c r="B6081" s="11"/>
    </row>
    <row r="6082" spans="2:2" x14ac:dyDescent="0.2">
      <c r="B6082" s="11"/>
    </row>
    <row r="6083" spans="2:2" x14ac:dyDescent="0.2">
      <c r="B6083" s="11"/>
    </row>
    <row r="6084" spans="2:2" x14ac:dyDescent="0.2">
      <c r="B6084" s="11"/>
    </row>
    <row r="6085" spans="2:2" x14ac:dyDescent="0.2">
      <c r="B6085" s="11"/>
    </row>
    <row r="6086" spans="2:2" x14ac:dyDescent="0.2">
      <c r="B6086" s="11"/>
    </row>
    <row r="6087" spans="2:2" x14ac:dyDescent="0.2">
      <c r="B6087" s="11"/>
    </row>
    <row r="6088" spans="2:2" x14ac:dyDescent="0.2">
      <c r="B6088" s="11"/>
    </row>
    <row r="6089" spans="2:2" x14ac:dyDescent="0.2">
      <c r="B6089" s="11"/>
    </row>
    <row r="6090" spans="2:2" x14ac:dyDescent="0.2">
      <c r="B6090" s="11"/>
    </row>
    <row r="6091" spans="2:2" x14ac:dyDescent="0.2">
      <c r="B6091" s="11"/>
    </row>
    <row r="6092" spans="2:2" x14ac:dyDescent="0.2">
      <c r="B6092" s="11"/>
    </row>
    <row r="6093" spans="2:2" x14ac:dyDescent="0.2">
      <c r="B6093" s="11"/>
    </row>
    <row r="6094" spans="2:2" x14ac:dyDescent="0.2">
      <c r="B6094" s="11"/>
    </row>
    <row r="6095" spans="2:2" x14ac:dyDescent="0.2">
      <c r="B6095" s="11"/>
    </row>
    <row r="6096" spans="2:2" x14ac:dyDescent="0.2">
      <c r="B6096" s="11"/>
    </row>
    <row r="6097" spans="2:2" x14ac:dyDescent="0.2">
      <c r="B6097" s="11"/>
    </row>
    <row r="6098" spans="2:2" x14ac:dyDescent="0.2">
      <c r="B6098" s="11"/>
    </row>
    <row r="6099" spans="2:2" x14ac:dyDescent="0.2">
      <c r="B6099" s="11"/>
    </row>
    <row r="6100" spans="2:2" x14ac:dyDescent="0.2">
      <c r="B6100" s="11"/>
    </row>
    <row r="6101" spans="2:2" x14ac:dyDescent="0.2">
      <c r="B6101" s="11"/>
    </row>
    <row r="6102" spans="2:2" x14ac:dyDescent="0.2">
      <c r="B6102" s="11"/>
    </row>
    <row r="6103" spans="2:2" x14ac:dyDescent="0.2">
      <c r="B6103" s="11"/>
    </row>
    <row r="6104" spans="2:2" x14ac:dyDescent="0.2">
      <c r="B6104" s="11"/>
    </row>
    <row r="6105" spans="2:2" x14ac:dyDescent="0.2">
      <c r="B6105" s="11"/>
    </row>
    <row r="6106" spans="2:2" x14ac:dyDescent="0.2">
      <c r="B6106" s="11"/>
    </row>
    <row r="6107" spans="2:2" x14ac:dyDescent="0.2">
      <c r="B6107" s="11"/>
    </row>
    <row r="6108" spans="2:2" x14ac:dyDescent="0.2">
      <c r="B6108" s="11"/>
    </row>
    <row r="6109" spans="2:2" x14ac:dyDescent="0.2">
      <c r="B6109" s="11"/>
    </row>
    <row r="6110" spans="2:2" x14ac:dyDescent="0.2">
      <c r="B6110" s="11"/>
    </row>
    <row r="6111" spans="2:2" x14ac:dyDescent="0.2">
      <c r="B6111" s="11"/>
    </row>
    <row r="6112" spans="2:2" x14ac:dyDescent="0.2">
      <c r="B6112" s="11"/>
    </row>
    <row r="6113" spans="2:2" x14ac:dyDescent="0.2">
      <c r="B6113" s="11"/>
    </row>
    <row r="6114" spans="2:2" x14ac:dyDescent="0.2">
      <c r="B6114" s="11"/>
    </row>
    <row r="6115" spans="2:2" x14ac:dyDescent="0.2">
      <c r="B6115" s="11"/>
    </row>
    <row r="6116" spans="2:2" x14ac:dyDescent="0.2">
      <c r="B6116" s="11"/>
    </row>
    <row r="6117" spans="2:2" x14ac:dyDescent="0.2">
      <c r="B6117" s="11"/>
    </row>
    <row r="6118" spans="2:2" x14ac:dyDescent="0.2">
      <c r="B6118" s="11"/>
    </row>
    <row r="6119" spans="2:2" x14ac:dyDescent="0.2">
      <c r="B6119" s="11"/>
    </row>
    <row r="6120" spans="2:2" x14ac:dyDescent="0.2">
      <c r="B6120" s="11"/>
    </row>
    <row r="6121" spans="2:2" x14ac:dyDescent="0.2">
      <c r="B6121" s="11"/>
    </row>
    <row r="6122" spans="2:2" x14ac:dyDescent="0.2">
      <c r="B6122" s="11"/>
    </row>
    <row r="6123" spans="2:2" x14ac:dyDescent="0.2">
      <c r="B6123" s="11"/>
    </row>
    <row r="6124" spans="2:2" x14ac:dyDescent="0.2">
      <c r="B6124" s="11"/>
    </row>
    <row r="6125" spans="2:2" x14ac:dyDescent="0.2">
      <c r="B6125" s="11"/>
    </row>
    <row r="6126" spans="2:2" x14ac:dyDescent="0.2">
      <c r="B6126" s="11"/>
    </row>
    <row r="6127" spans="2:2" x14ac:dyDescent="0.2">
      <c r="B6127" s="11"/>
    </row>
    <row r="6128" spans="2:2" x14ac:dyDescent="0.2">
      <c r="B6128" s="11"/>
    </row>
    <row r="6129" spans="2:2" x14ac:dyDescent="0.2">
      <c r="B6129" s="11"/>
    </row>
    <row r="6130" spans="2:2" x14ac:dyDescent="0.2">
      <c r="B6130" s="11"/>
    </row>
    <row r="6131" spans="2:2" x14ac:dyDescent="0.2">
      <c r="B6131" s="11"/>
    </row>
    <row r="6132" spans="2:2" x14ac:dyDescent="0.2">
      <c r="B6132" s="11"/>
    </row>
    <row r="6133" spans="2:2" x14ac:dyDescent="0.2">
      <c r="B6133" s="11"/>
    </row>
    <row r="6134" spans="2:2" x14ac:dyDescent="0.2">
      <c r="B6134" s="11"/>
    </row>
    <row r="6135" spans="2:2" x14ac:dyDescent="0.2">
      <c r="B6135" s="11"/>
    </row>
    <row r="6136" spans="2:2" x14ac:dyDescent="0.2">
      <c r="B6136" s="11"/>
    </row>
    <row r="6137" spans="2:2" x14ac:dyDescent="0.2">
      <c r="B6137" s="11"/>
    </row>
    <row r="6138" spans="2:2" x14ac:dyDescent="0.2">
      <c r="B6138" s="11"/>
    </row>
    <row r="6139" spans="2:2" x14ac:dyDescent="0.2">
      <c r="B6139" s="11"/>
    </row>
    <row r="6140" spans="2:2" x14ac:dyDescent="0.2">
      <c r="B6140" s="11"/>
    </row>
    <row r="6141" spans="2:2" x14ac:dyDescent="0.2">
      <c r="B6141" s="11"/>
    </row>
    <row r="6142" spans="2:2" x14ac:dyDescent="0.2">
      <c r="B6142" s="11"/>
    </row>
    <row r="6143" spans="2:2" x14ac:dyDescent="0.2">
      <c r="B6143" s="11"/>
    </row>
    <row r="6144" spans="2:2" x14ac:dyDescent="0.2">
      <c r="B6144" s="11"/>
    </row>
    <row r="6145" spans="2:2" x14ac:dyDescent="0.2">
      <c r="B6145" s="11"/>
    </row>
    <row r="6146" spans="2:2" x14ac:dyDescent="0.2">
      <c r="B6146" s="11"/>
    </row>
    <row r="6147" spans="2:2" x14ac:dyDescent="0.2">
      <c r="B6147" s="11"/>
    </row>
    <row r="6148" spans="2:2" x14ac:dyDescent="0.2">
      <c r="B6148" s="11"/>
    </row>
    <row r="6149" spans="2:2" x14ac:dyDescent="0.2">
      <c r="B6149" s="11"/>
    </row>
    <row r="6150" spans="2:2" x14ac:dyDescent="0.2">
      <c r="B6150" s="11"/>
    </row>
    <row r="6151" spans="2:2" x14ac:dyDescent="0.2">
      <c r="B6151" s="11"/>
    </row>
    <row r="6152" spans="2:2" x14ac:dyDescent="0.2">
      <c r="B6152" s="11"/>
    </row>
    <row r="6153" spans="2:2" x14ac:dyDescent="0.2">
      <c r="B6153" s="11"/>
    </row>
    <row r="6154" spans="2:2" x14ac:dyDescent="0.2">
      <c r="B6154" s="11"/>
    </row>
    <row r="6155" spans="2:2" x14ac:dyDescent="0.2">
      <c r="B6155" s="11"/>
    </row>
    <row r="6156" spans="2:2" x14ac:dyDescent="0.2">
      <c r="B6156" s="11"/>
    </row>
    <row r="6157" spans="2:2" x14ac:dyDescent="0.2">
      <c r="B6157" s="11"/>
    </row>
    <row r="6158" spans="2:2" x14ac:dyDescent="0.2">
      <c r="B6158" s="11"/>
    </row>
    <row r="6159" spans="2:2" x14ac:dyDescent="0.2">
      <c r="B6159" s="11"/>
    </row>
    <row r="6160" spans="2:2" x14ac:dyDescent="0.2">
      <c r="B6160" s="11"/>
    </row>
    <row r="6161" spans="2:2" x14ac:dyDescent="0.2">
      <c r="B6161" s="11"/>
    </row>
    <row r="6162" spans="2:2" x14ac:dyDescent="0.2">
      <c r="B6162" s="11"/>
    </row>
    <row r="6163" spans="2:2" x14ac:dyDescent="0.2">
      <c r="B6163" s="11"/>
    </row>
    <row r="6164" spans="2:2" x14ac:dyDescent="0.2">
      <c r="B6164" s="11"/>
    </row>
    <row r="6165" spans="2:2" x14ac:dyDescent="0.2">
      <c r="B6165" s="11"/>
    </row>
    <row r="6166" spans="2:2" x14ac:dyDescent="0.2">
      <c r="B6166" s="11"/>
    </row>
    <row r="6167" spans="2:2" x14ac:dyDescent="0.2">
      <c r="B6167" s="11"/>
    </row>
    <row r="6168" spans="2:2" x14ac:dyDescent="0.2">
      <c r="B6168" s="11"/>
    </row>
    <row r="6169" spans="2:2" x14ac:dyDescent="0.2">
      <c r="B6169" s="11"/>
    </row>
    <row r="6170" spans="2:2" x14ac:dyDescent="0.2">
      <c r="B6170" s="11"/>
    </row>
    <row r="6171" spans="2:2" x14ac:dyDescent="0.2">
      <c r="B6171" s="11"/>
    </row>
    <row r="6172" spans="2:2" x14ac:dyDescent="0.2">
      <c r="B6172" s="11"/>
    </row>
    <row r="6173" spans="2:2" x14ac:dyDescent="0.2">
      <c r="B6173" s="11"/>
    </row>
    <row r="6174" spans="2:2" x14ac:dyDescent="0.2">
      <c r="B6174" s="11"/>
    </row>
    <row r="6175" spans="2:2" x14ac:dyDescent="0.2">
      <c r="B6175" s="11"/>
    </row>
    <row r="6176" spans="2:2" x14ac:dyDescent="0.2">
      <c r="B6176" s="11"/>
    </row>
    <row r="6177" spans="2:2" x14ac:dyDescent="0.2">
      <c r="B6177" s="11"/>
    </row>
    <row r="6178" spans="2:2" x14ac:dyDescent="0.2">
      <c r="B6178" s="11"/>
    </row>
    <row r="6179" spans="2:2" x14ac:dyDescent="0.2">
      <c r="B6179" s="11"/>
    </row>
    <row r="6180" spans="2:2" x14ac:dyDescent="0.2">
      <c r="B6180" s="11"/>
    </row>
    <row r="6181" spans="2:2" x14ac:dyDescent="0.2">
      <c r="B6181" s="11"/>
    </row>
    <row r="6182" spans="2:2" x14ac:dyDescent="0.2">
      <c r="B6182" s="11"/>
    </row>
    <row r="6183" spans="2:2" x14ac:dyDescent="0.2">
      <c r="B6183" s="11"/>
    </row>
    <row r="6184" spans="2:2" x14ac:dyDescent="0.2">
      <c r="B6184" s="11"/>
    </row>
    <row r="6185" spans="2:2" x14ac:dyDescent="0.2">
      <c r="B6185" s="11"/>
    </row>
    <row r="6186" spans="2:2" x14ac:dyDescent="0.2">
      <c r="B6186" s="11"/>
    </row>
    <row r="6187" spans="2:2" x14ac:dyDescent="0.2">
      <c r="B6187" s="11"/>
    </row>
    <row r="6188" spans="2:2" x14ac:dyDescent="0.2">
      <c r="B6188" s="11"/>
    </row>
    <row r="6189" spans="2:2" x14ac:dyDescent="0.2">
      <c r="B6189" s="11"/>
    </row>
    <row r="6190" spans="2:2" x14ac:dyDescent="0.2">
      <c r="B6190" s="11"/>
    </row>
    <row r="6191" spans="2:2" x14ac:dyDescent="0.2">
      <c r="B6191" s="11"/>
    </row>
    <row r="6192" spans="2:2" x14ac:dyDescent="0.2">
      <c r="B6192" s="11"/>
    </row>
    <row r="6193" spans="2:2" x14ac:dyDescent="0.2">
      <c r="B6193" s="11"/>
    </row>
    <row r="6194" spans="2:2" x14ac:dyDescent="0.2">
      <c r="B6194" s="11"/>
    </row>
    <row r="6195" spans="2:2" x14ac:dyDescent="0.2">
      <c r="B6195" s="11"/>
    </row>
    <row r="6196" spans="2:2" x14ac:dyDescent="0.2">
      <c r="B6196" s="11"/>
    </row>
    <row r="6197" spans="2:2" x14ac:dyDescent="0.2">
      <c r="B6197" s="11"/>
    </row>
    <row r="6198" spans="2:2" x14ac:dyDescent="0.2">
      <c r="B6198" s="11"/>
    </row>
    <row r="6199" spans="2:2" x14ac:dyDescent="0.2">
      <c r="B6199" s="11"/>
    </row>
    <row r="6200" spans="2:2" x14ac:dyDescent="0.2">
      <c r="B6200" s="11"/>
    </row>
    <row r="6201" spans="2:2" x14ac:dyDescent="0.2">
      <c r="B6201" s="11"/>
    </row>
    <row r="6202" spans="2:2" x14ac:dyDescent="0.2">
      <c r="B6202" s="11"/>
    </row>
    <row r="6203" spans="2:2" x14ac:dyDescent="0.2">
      <c r="B6203" s="11"/>
    </row>
    <row r="6204" spans="2:2" x14ac:dyDescent="0.2">
      <c r="B6204" s="11"/>
    </row>
    <row r="6205" spans="2:2" x14ac:dyDescent="0.2">
      <c r="B6205" s="11"/>
    </row>
    <row r="6206" spans="2:2" x14ac:dyDescent="0.2">
      <c r="B6206" s="11"/>
    </row>
    <row r="6207" spans="2:2" x14ac:dyDescent="0.2">
      <c r="B6207" s="11"/>
    </row>
    <row r="6208" spans="2:2" x14ac:dyDescent="0.2">
      <c r="B6208" s="11"/>
    </row>
    <row r="6209" spans="2:2" x14ac:dyDescent="0.2">
      <c r="B6209" s="11"/>
    </row>
    <row r="6210" spans="2:2" x14ac:dyDescent="0.2">
      <c r="B6210" s="11"/>
    </row>
    <row r="6211" spans="2:2" x14ac:dyDescent="0.2">
      <c r="B6211" s="11"/>
    </row>
    <row r="6212" spans="2:2" x14ac:dyDescent="0.2">
      <c r="B6212" s="11"/>
    </row>
    <row r="6213" spans="2:2" x14ac:dyDescent="0.2">
      <c r="B6213" s="11"/>
    </row>
    <row r="6214" spans="2:2" x14ac:dyDescent="0.2">
      <c r="B6214" s="11"/>
    </row>
    <row r="6215" spans="2:2" x14ac:dyDescent="0.2">
      <c r="B6215" s="11"/>
    </row>
    <row r="6216" spans="2:2" x14ac:dyDescent="0.2">
      <c r="B6216" s="11"/>
    </row>
    <row r="6217" spans="2:2" x14ac:dyDescent="0.2">
      <c r="B6217" s="11"/>
    </row>
    <row r="6218" spans="2:2" x14ac:dyDescent="0.2">
      <c r="B6218" s="11"/>
    </row>
    <row r="6219" spans="2:2" x14ac:dyDescent="0.2">
      <c r="B6219" s="11"/>
    </row>
    <row r="6220" spans="2:2" x14ac:dyDescent="0.2">
      <c r="B6220" s="11"/>
    </row>
    <row r="6221" spans="2:2" x14ac:dyDescent="0.2">
      <c r="B6221" s="11"/>
    </row>
    <row r="6222" spans="2:2" x14ac:dyDescent="0.2">
      <c r="B6222" s="11"/>
    </row>
    <row r="6223" spans="2:2" x14ac:dyDescent="0.2">
      <c r="B6223" s="11"/>
    </row>
    <row r="6224" spans="2:2" x14ac:dyDescent="0.2">
      <c r="B6224" s="11"/>
    </row>
    <row r="6225" spans="2:2" x14ac:dyDescent="0.2">
      <c r="B6225" s="11"/>
    </row>
    <row r="6226" spans="2:2" x14ac:dyDescent="0.2">
      <c r="B6226" s="11"/>
    </row>
    <row r="6227" spans="2:2" x14ac:dyDescent="0.2">
      <c r="B6227" s="11"/>
    </row>
    <row r="6228" spans="2:2" x14ac:dyDescent="0.2">
      <c r="B6228" s="11"/>
    </row>
    <row r="6229" spans="2:2" x14ac:dyDescent="0.2">
      <c r="B6229" s="11"/>
    </row>
    <row r="6230" spans="2:2" x14ac:dyDescent="0.2">
      <c r="B6230" s="11"/>
    </row>
    <row r="6231" spans="2:2" x14ac:dyDescent="0.2">
      <c r="B6231" s="11"/>
    </row>
    <row r="6232" spans="2:2" x14ac:dyDescent="0.2">
      <c r="B6232" s="11"/>
    </row>
    <row r="6233" spans="2:2" x14ac:dyDescent="0.2">
      <c r="B6233" s="11"/>
    </row>
    <row r="6234" spans="2:2" x14ac:dyDescent="0.2">
      <c r="B6234" s="11"/>
    </row>
    <row r="6235" spans="2:2" x14ac:dyDescent="0.2">
      <c r="B6235" s="11"/>
    </row>
    <row r="6236" spans="2:2" x14ac:dyDescent="0.2">
      <c r="B6236" s="11"/>
    </row>
    <row r="6237" spans="2:2" x14ac:dyDescent="0.2">
      <c r="B6237" s="11"/>
    </row>
    <row r="6238" spans="2:2" x14ac:dyDescent="0.2">
      <c r="B6238" s="11"/>
    </row>
    <row r="6239" spans="2:2" x14ac:dyDescent="0.2">
      <c r="B6239" s="11"/>
    </row>
    <row r="6240" spans="2:2" x14ac:dyDescent="0.2">
      <c r="B6240" s="11"/>
    </row>
    <row r="6241" spans="2:2" x14ac:dyDescent="0.2">
      <c r="B6241" s="11"/>
    </row>
    <row r="6242" spans="2:2" x14ac:dyDescent="0.2">
      <c r="B6242" s="11"/>
    </row>
    <row r="6243" spans="2:2" x14ac:dyDescent="0.2">
      <c r="B6243" s="11"/>
    </row>
    <row r="6244" spans="2:2" x14ac:dyDescent="0.2">
      <c r="B6244" s="11"/>
    </row>
    <row r="6245" spans="2:2" x14ac:dyDescent="0.2">
      <c r="B6245" s="11"/>
    </row>
    <row r="6246" spans="2:2" x14ac:dyDescent="0.2">
      <c r="B6246" s="11"/>
    </row>
    <row r="6247" spans="2:2" x14ac:dyDescent="0.2">
      <c r="B6247" s="11"/>
    </row>
    <row r="6248" spans="2:2" x14ac:dyDescent="0.2">
      <c r="B6248" s="11"/>
    </row>
    <row r="6249" spans="2:2" x14ac:dyDescent="0.2">
      <c r="B6249" s="11"/>
    </row>
    <row r="6250" spans="2:2" x14ac:dyDescent="0.2">
      <c r="B6250" s="11"/>
    </row>
    <row r="6251" spans="2:2" x14ac:dyDescent="0.2">
      <c r="B6251" s="11"/>
    </row>
    <row r="6252" spans="2:2" x14ac:dyDescent="0.2">
      <c r="B6252" s="11"/>
    </row>
    <row r="6253" spans="2:2" x14ac:dyDescent="0.2">
      <c r="B6253" s="11"/>
    </row>
    <row r="6254" spans="2:2" x14ac:dyDescent="0.2">
      <c r="B6254" s="11"/>
    </row>
    <row r="6255" spans="2:2" x14ac:dyDescent="0.2">
      <c r="B6255" s="11"/>
    </row>
    <row r="6256" spans="2:2" x14ac:dyDescent="0.2">
      <c r="B6256" s="11"/>
    </row>
    <row r="6257" spans="2:2" x14ac:dyDescent="0.2">
      <c r="B6257" s="11"/>
    </row>
    <row r="6258" spans="2:2" x14ac:dyDescent="0.2">
      <c r="B6258" s="11"/>
    </row>
    <row r="6259" spans="2:2" x14ac:dyDescent="0.2">
      <c r="B6259" s="11"/>
    </row>
    <row r="6260" spans="2:2" x14ac:dyDescent="0.2">
      <c r="B6260" s="11"/>
    </row>
    <row r="6261" spans="2:2" x14ac:dyDescent="0.2">
      <c r="B6261" s="11"/>
    </row>
    <row r="6262" spans="2:2" x14ac:dyDescent="0.2">
      <c r="B6262" s="11"/>
    </row>
    <row r="6263" spans="2:2" x14ac:dyDescent="0.2">
      <c r="B6263" s="11"/>
    </row>
    <row r="6264" spans="2:2" x14ac:dyDescent="0.2">
      <c r="B6264" s="11"/>
    </row>
    <row r="6265" spans="2:2" x14ac:dyDescent="0.2">
      <c r="B6265" s="11"/>
    </row>
    <row r="6266" spans="2:2" x14ac:dyDescent="0.2">
      <c r="B6266" s="11"/>
    </row>
    <row r="6267" spans="2:2" x14ac:dyDescent="0.2">
      <c r="B6267" s="11"/>
    </row>
    <row r="6268" spans="2:2" x14ac:dyDescent="0.2">
      <c r="B6268" s="11"/>
    </row>
    <row r="6269" spans="2:2" x14ac:dyDescent="0.2">
      <c r="B6269" s="11"/>
    </row>
    <row r="6270" spans="2:2" x14ac:dyDescent="0.2">
      <c r="B6270" s="11"/>
    </row>
    <row r="6271" spans="2:2" x14ac:dyDescent="0.2">
      <c r="B6271" s="11"/>
    </row>
    <row r="6272" spans="2:2" x14ac:dyDescent="0.2">
      <c r="B6272" s="11"/>
    </row>
    <row r="6273" spans="2:2" x14ac:dyDescent="0.2">
      <c r="B6273" s="11"/>
    </row>
    <row r="6274" spans="2:2" x14ac:dyDescent="0.2">
      <c r="B6274" s="11"/>
    </row>
    <row r="6275" spans="2:2" x14ac:dyDescent="0.2">
      <c r="B6275" s="11"/>
    </row>
    <row r="6276" spans="2:2" x14ac:dyDescent="0.2">
      <c r="B6276" s="11"/>
    </row>
    <row r="6277" spans="2:2" x14ac:dyDescent="0.2">
      <c r="B6277" s="11"/>
    </row>
    <row r="6278" spans="2:2" x14ac:dyDescent="0.2">
      <c r="B6278" s="11"/>
    </row>
    <row r="6279" spans="2:2" x14ac:dyDescent="0.2">
      <c r="B6279" s="11"/>
    </row>
    <row r="6280" spans="2:2" x14ac:dyDescent="0.2">
      <c r="B6280" s="11"/>
    </row>
    <row r="6281" spans="2:2" x14ac:dyDescent="0.2">
      <c r="B6281" s="11"/>
    </row>
    <row r="6282" spans="2:2" x14ac:dyDescent="0.2">
      <c r="B6282" s="11"/>
    </row>
    <row r="6283" spans="2:2" x14ac:dyDescent="0.2">
      <c r="B6283" s="11"/>
    </row>
    <row r="6284" spans="2:2" x14ac:dyDescent="0.2">
      <c r="B6284" s="11"/>
    </row>
    <row r="6285" spans="2:2" x14ac:dyDescent="0.2">
      <c r="B6285" s="11"/>
    </row>
    <row r="6286" spans="2:2" x14ac:dyDescent="0.2">
      <c r="B6286" s="11"/>
    </row>
    <row r="6287" spans="2:2" x14ac:dyDescent="0.2">
      <c r="B6287" s="11"/>
    </row>
    <row r="6288" spans="2:2" x14ac:dyDescent="0.2">
      <c r="B6288" s="11"/>
    </row>
    <row r="6289" spans="2:2" x14ac:dyDescent="0.2">
      <c r="B6289" s="11"/>
    </row>
    <row r="6290" spans="2:2" x14ac:dyDescent="0.2">
      <c r="B6290" s="11"/>
    </row>
    <row r="6291" spans="2:2" x14ac:dyDescent="0.2">
      <c r="B6291" s="11"/>
    </row>
    <row r="6292" spans="2:2" x14ac:dyDescent="0.2">
      <c r="B6292" s="11"/>
    </row>
    <row r="6293" spans="2:2" x14ac:dyDescent="0.2">
      <c r="B6293" s="11"/>
    </row>
    <row r="6294" spans="2:2" x14ac:dyDescent="0.2">
      <c r="B6294" s="11"/>
    </row>
    <row r="6295" spans="2:2" x14ac:dyDescent="0.2">
      <c r="B6295" s="11"/>
    </row>
    <row r="6296" spans="2:2" x14ac:dyDescent="0.2">
      <c r="B6296" s="11"/>
    </row>
    <row r="6297" spans="2:2" x14ac:dyDescent="0.2">
      <c r="B6297" s="11"/>
    </row>
    <row r="6298" spans="2:2" x14ac:dyDescent="0.2">
      <c r="B6298" s="11"/>
    </row>
    <row r="6299" spans="2:2" x14ac:dyDescent="0.2">
      <c r="B6299" s="11"/>
    </row>
    <row r="6300" spans="2:2" x14ac:dyDescent="0.2">
      <c r="B6300" s="11"/>
    </row>
    <row r="6301" spans="2:2" x14ac:dyDescent="0.2">
      <c r="B6301" s="11"/>
    </row>
    <row r="6302" spans="2:2" x14ac:dyDescent="0.2">
      <c r="B6302" s="11"/>
    </row>
    <row r="6303" spans="2:2" x14ac:dyDescent="0.2">
      <c r="B6303" s="11"/>
    </row>
    <row r="6304" spans="2:2" x14ac:dyDescent="0.2">
      <c r="B6304" s="11"/>
    </row>
    <row r="6305" spans="2:2" x14ac:dyDescent="0.2">
      <c r="B6305" s="11"/>
    </row>
    <row r="6306" spans="2:2" x14ac:dyDescent="0.2">
      <c r="B6306" s="11"/>
    </row>
    <row r="6307" spans="2:2" x14ac:dyDescent="0.2">
      <c r="B6307" s="11"/>
    </row>
    <row r="6308" spans="2:2" x14ac:dyDescent="0.2">
      <c r="B6308" s="11"/>
    </row>
    <row r="6309" spans="2:2" x14ac:dyDescent="0.2">
      <c r="B6309" s="11"/>
    </row>
    <row r="6310" spans="2:2" x14ac:dyDescent="0.2">
      <c r="B6310" s="11"/>
    </row>
    <row r="6311" spans="2:2" x14ac:dyDescent="0.2">
      <c r="B6311" s="11"/>
    </row>
    <row r="6312" spans="2:2" x14ac:dyDescent="0.2">
      <c r="B6312" s="11"/>
    </row>
    <row r="6313" spans="2:2" x14ac:dyDescent="0.2">
      <c r="B6313" s="11"/>
    </row>
    <row r="6314" spans="2:2" x14ac:dyDescent="0.2">
      <c r="B6314" s="11"/>
    </row>
    <row r="6315" spans="2:2" x14ac:dyDescent="0.2">
      <c r="B6315" s="11"/>
    </row>
    <row r="6316" spans="2:2" x14ac:dyDescent="0.2">
      <c r="B6316" s="11"/>
    </row>
    <row r="6317" spans="2:2" x14ac:dyDescent="0.2">
      <c r="B6317" s="11"/>
    </row>
    <row r="6318" spans="2:2" x14ac:dyDescent="0.2">
      <c r="B6318" s="11"/>
    </row>
    <row r="6319" spans="2:2" x14ac:dyDescent="0.2">
      <c r="B6319" s="11"/>
    </row>
    <row r="6320" spans="2:2" x14ac:dyDescent="0.2">
      <c r="B6320" s="11"/>
    </row>
    <row r="6321" spans="2:2" x14ac:dyDescent="0.2">
      <c r="B6321" s="11"/>
    </row>
    <row r="6322" spans="2:2" x14ac:dyDescent="0.2">
      <c r="B6322" s="11"/>
    </row>
    <row r="6323" spans="2:2" x14ac:dyDescent="0.2">
      <c r="B6323" s="11"/>
    </row>
    <row r="6324" spans="2:2" x14ac:dyDescent="0.2">
      <c r="B6324" s="11"/>
    </row>
    <row r="6325" spans="2:2" x14ac:dyDescent="0.2">
      <c r="B6325" s="11"/>
    </row>
    <row r="6326" spans="2:2" x14ac:dyDescent="0.2">
      <c r="B6326" s="11"/>
    </row>
    <row r="6327" spans="2:2" x14ac:dyDescent="0.2">
      <c r="B6327" s="11"/>
    </row>
    <row r="6328" spans="2:2" x14ac:dyDescent="0.2">
      <c r="B6328" s="11"/>
    </row>
    <row r="6329" spans="2:2" x14ac:dyDescent="0.2">
      <c r="B6329" s="11"/>
    </row>
    <row r="6330" spans="2:2" x14ac:dyDescent="0.2">
      <c r="B6330" s="11"/>
    </row>
    <row r="6331" spans="2:2" x14ac:dyDescent="0.2">
      <c r="B6331" s="11"/>
    </row>
    <row r="6332" spans="2:2" x14ac:dyDescent="0.2">
      <c r="B6332" s="11"/>
    </row>
    <row r="6333" spans="2:2" x14ac:dyDescent="0.2">
      <c r="B6333" s="11"/>
    </row>
    <row r="6334" spans="2:2" x14ac:dyDescent="0.2">
      <c r="B6334" s="11"/>
    </row>
    <row r="6335" spans="2:2" x14ac:dyDescent="0.2">
      <c r="B6335" s="11"/>
    </row>
    <row r="6336" spans="2:2" x14ac:dyDescent="0.2">
      <c r="B6336" s="11"/>
    </row>
    <row r="6337" spans="2:2" x14ac:dyDescent="0.2">
      <c r="B6337" s="11"/>
    </row>
    <row r="6338" spans="2:2" x14ac:dyDescent="0.2">
      <c r="B6338" s="11"/>
    </row>
    <row r="6339" spans="2:2" x14ac:dyDescent="0.2">
      <c r="B6339" s="11"/>
    </row>
    <row r="6340" spans="2:2" x14ac:dyDescent="0.2">
      <c r="B6340" s="11"/>
    </row>
    <row r="6341" spans="2:2" x14ac:dyDescent="0.2">
      <c r="B6341" s="11"/>
    </row>
    <row r="6342" spans="2:2" x14ac:dyDescent="0.2">
      <c r="B6342" s="11"/>
    </row>
    <row r="6343" spans="2:2" x14ac:dyDescent="0.2">
      <c r="B6343" s="11"/>
    </row>
    <row r="6344" spans="2:2" x14ac:dyDescent="0.2">
      <c r="B6344" s="11"/>
    </row>
    <row r="6345" spans="2:2" x14ac:dyDescent="0.2">
      <c r="B6345" s="11"/>
    </row>
    <row r="6346" spans="2:2" x14ac:dyDescent="0.2">
      <c r="B6346" s="11"/>
    </row>
    <row r="6347" spans="2:2" x14ac:dyDescent="0.2">
      <c r="B6347" s="11"/>
    </row>
    <row r="6348" spans="2:2" x14ac:dyDescent="0.2">
      <c r="B6348" s="11"/>
    </row>
    <row r="6349" spans="2:2" x14ac:dyDescent="0.2">
      <c r="B6349" s="11"/>
    </row>
    <row r="6350" spans="2:2" x14ac:dyDescent="0.2">
      <c r="B6350" s="11"/>
    </row>
    <row r="6351" spans="2:2" x14ac:dyDescent="0.2">
      <c r="B6351" s="11"/>
    </row>
    <row r="6352" spans="2:2" x14ac:dyDescent="0.2">
      <c r="B6352" s="11"/>
    </row>
    <row r="6353" spans="2:2" x14ac:dyDescent="0.2">
      <c r="B6353" s="11"/>
    </row>
    <row r="6354" spans="2:2" x14ac:dyDescent="0.2">
      <c r="B6354" s="11"/>
    </row>
    <row r="6355" spans="2:2" x14ac:dyDescent="0.2">
      <c r="B6355" s="11"/>
    </row>
    <row r="6356" spans="2:2" x14ac:dyDescent="0.2">
      <c r="B6356" s="11"/>
    </row>
    <row r="6357" spans="2:2" x14ac:dyDescent="0.2">
      <c r="B6357" s="11"/>
    </row>
    <row r="6358" spans="2:2" x14ac:dyDescent="0.2">
      <c r="B6358" s="11"/>
    </row>
    <row r="6359" spans="2:2" x14ac:dyDescent="0.2">
      <c r="B6359" s="11"/>
    </row>
    <row r="6360" spans="2:2" x14ac:dyDescent="0.2">
      <c r="B6360" s="11"/>
    </row>
    <row r="6361" spans="2:2" x14ac:dyDescent="0.2">
      <c r="B6361" s="11"/>
    </row>
    <row r="6362" spans="2:2" x14ac:dyDescent="0.2">
      <c r="B6362" s="11"/>
    </row>
    <row r="6363" spans="2:2" x14ac:dyDescent="0.2">
      <c r="B6363" s="11"/>
    </row>
    <row r="6364" spans="2:2" x14ac:dyDescent="0.2">
      <c r="B6364" s="11"/>
    </row>
    <row r="6365" spans="2:2" x14ac:dyDescent="0.2">
      <c r="B6365" s="11"/>
    </row>
    <row r="6366" spans="2:2" x14ac:dyDescent="0.2">
      <c r="B6366" s="11"/>
    </row>
    <row r="6367" spans="2:2" x14ac:dyDescent="0.2">
      <c r="B6367" s="11"/>
    </row>
    <row r="6368" spans="2:2" x14ac:dyDescent="0.2">
      <c r="B6368" s="11"/>
    </row>
    <row r="6369" spans="2:2" x14ac:dyDescent="0.2">
      <c r="B6369" s="11"/>
    </row>
    <row r="6370" spans="2:2" x14ac:dyDescent="0.2">
      <c r="B6370" s="11"/>
    </row>
    <row r="6371" spans="2:2" x14ac:dyDescent="0.2">
      <c r="B6371" s="11"/>
    </row>
    <row r="6372" spans="2:2" x14ac:dyDescent="0.2">
      <c r="B6372" s="11"/>
    </row>
    <row r="6373" spans="2:2" x14ac:dyDescent="0.2">
      <c r="B6373" s="11"/>
    </row>
    <row r="6374" spans="2:2" x14ac:dyDescent="0.2">
      <c r="B6374" s="11"/>
    </row>
    <row r="6375" spans="2:2" x14ac:dyDescent="0.2">
      <c r="B6375" s="11"/>
    </row>
    <row r="6376" spans="2:2" x14ac:dyDescent="0.2">
      <c r="B6376" s="11"/>
    </row>
    <row r="6377" spans="2:2" x14ac:dyDescent="0.2">
      <c r="B6377" s="11"/>
    </row>
    <row r="6378" spans="2:2" x14ac:dyDescent="0.2">
      <c r="B6378" s="11"/>
    </row>
    <row r="6379" spans="2:2" x14ac:dyDescent="0.2">
      <c r="B6379" s="11"/>
    </row>
    <row r="6380" spans="2:2" x14ac:dyDescent="0.2">
      <c r="B6380" s="11"/>
    </row>
    <row r="6381" spans="2:2" x14ac:dyDescent="0.2">
      <c r="B6381" s="11"/>
    </row>
    <row r="6382" spans="2:2" x14ac:dyDescent="0.2">
      <c r="B6382" s="11"/>
    </row>
    <row r="6383" spans="2:2" x14ac:dyDescent="0.2">
      <c r="B6383" s="11"/>
    </row>
    <row r="6384" spans="2:2" x14ac:dyDescent="0.2">
      <c r="B6384" s="11"/>
    </row>
    <row r="6385" spans="2:2" x14ac:dyDescent="0.2">
      <c r="B6385" s="11"/>
    </row>
    <row r="6386" spans="2:2" x14ac:dyDescent="0.2">
      <c r="B6386" s="11"/>
    </row>
    <row r="6387" spans="2:2" x14ac:dyDescent="0.2">
      <c r="B6387" s="11"/>
    </row>
    <row r="6388" spans="2:2" x14ac:dyDescent="0.2">
      <c r="B6388" s="11"/>
    </row>
    <row r="6389" spans="2:2" x14ac:dyDescent="0.2">
      <c r="B6389" s="11"/>
    </row>
    <row r="6390" spans="2:2" x14ac:dyDescent="0.2">
      <c r="B6390" s="11"/>
    </row>
    <row r="6391" spans="2:2" x14ac:dyDescent="0.2">
      <c r="B6391" s="11"/>
    </row>
    <row r="6392" spans="2:2" x14ac:dyDescent="0.2">
      <c r="B6392" s="11"/>
    </row>
    <row r="6393" spans="2:2" x14ac:dyDescent="0.2">
      <c r="B6393" s="11"/>
    </row>
    <row r="6394" spans="2:2" x14ac:dyDescent="0.2">
      <c r="B6394" s="11"/>
    </row>
    <row r="6395" spans="2:2" x14ac:dyDescent="0.2">
      <c r="B6395" s="11"/>
    </row>
    <row r="6396" spans="2:2" x14ac:dyDescent="0.2">
      <c r="B6396" s="11"/>
    </row>
    <row r="6397" spans="2:2" x14ac:dyDescent="0.2">
      <c r="B6397" s="11"/>
    </row>
    <row r="6398" spans="2:2" x14ac:dyDescent="0.2">
      <c r="B6398" s="11"/>
    </row>
    <row r="6399" spans="2:2" x14ac:dyDescent="0.2">
      <c r="B6399" s="11"/>
    </row>
    <row r="6400" spans="2:2" x14ac:dyDescent="0.2">
      <c r="B6400" s="11"/>
    </row>
    <row r="6401" spans="2:2" x14ac:dyDescent="0.2">
      <c r="B6401" s="11"/>
    </row>
    <row r="6402" spans="2:2" x14ac:dyDescent="0.2">
      <c r="B6402" s="11"/>
    </row>
    <row r="6403" spans="2:2" x14ac:dyDescent="0.2">
      <c r="B6403" s="11"/>
    </row>
    <row r="6404" spans="2:2" x14ac:dyDescent="0.2">
      <c r="B6404" s="11"/>
    </row>
    <row r="6405" spans="2:2" x14ac:dyDescent="0.2">
      <c r="B6405" s="11"/>
    </row>
    <row r="6406" spans="2:2" x14ac:dyDescent="0.2">
      <c r="B6406" s="11"/>
    </row>
    <row r="6407" spans="2:2" x14ac:dyDescent="0.2">
      <c r="B6407" s="11"/>
    </row>
    <row r="6408" spans="2:2" x14ac:dyDescent="0.2">
      <c r="B6408" s="11"/>
    </row>
    <row r="6409" spans="2:2" x14ac:dyDescent="0.2">
      <c r="B6409" s="11"/>
    </row>
    <row r="6410" spans="2:2" x14ac:dyDescent="0.2">
      <c r="B6410" s="11"/>
    </row>
    <row r="6411" spans="2:2" x14ac:dyDescent="0.2">
      <c r="B6411" s="11"/>
    </row>
    <row r="6412" spans="2:2" x14ac:dyDescent="0.2">
      <c r="B6412" s="11"/>
    </row>
    <row r="6413" spans="2:2" x14ac:dyDescent="0.2">
      <c r="B6413" s="11"/>
    </row>
    <row r="6414" spans="2:2" x14ac:dyDescent="0.2">
      <c r="B6414" s="11"/>
    </row>
    <row r="6415" spans="2:2" x14ac:dyDescent="0.2">
      <c r="B6415" s="11"/>
    </row>
    <row r="6416" spans="2:2" x14ac:dyDescent="0.2">
      <c r="B6416" s="11"/>
    </row>
    <row r="6417" spans="2:2" x14ac:dyDescent="0.2">
      <c r="B6417" s="11"/>
    </row>
    <row r="6418" spans="2:2" x14ac:dyDescent="0.2">
      <c r="B6418" s="11"/>
    </row>
    <row r="6419" spans="2:2" x14ac:dyDescent="0.2">
      <c r="B6419" s="11"/>
    </row>
    <row r="6420" spans="2:2" x14ac:dyDescent="0.2">
      <c r="B6420" s="11"/>
    </row>
    <row r="6421" spans="2:2" x14ac:dyDescent="0.2">
      <c r="B6421" s="11"/>
    </row>
    <row r="6422" spans="2:2" x14ac:dyDescent="0.2">
      <c r="B6422" s="11"/>
    </row>
    <row r="6423" spans="2:2" x14ac:dyDescent="0.2">
      <c r="B6423" s="11"/>
    </row>
    <row r="6424" spans="2:2" x14ac:dyDescent="0.2">
      <c r="B6424" s="11"/>
    </row>
    <row r="6425" spans="2:2" x14ac:dyDescent="0.2">
      <c r="B6425" s="11"/>
    </row>
    <row r="6426" spans="2:2" x14ac:dyDescent="0.2">
      <c r="B6426" s="11"/>
    </row>
    <row r="6427" spans="2:2" x14ac:dyDescent="0.2">
      <c r="B6427" s="11"/>
    </row>
    <row r="6428" spans="2:2" x14ac:dyDescent="0.2">
      <c r="B6428" s="11"/>
    </row>
    <row r="6429" spans="2:2" x14ac:dyDescent="0.2">
      <c r="B6429" s="11"/>
    </row>
    <row r="6430" spans="2:2" x14ac:dyDescent="0.2">
      <c r="B6430" s="11"/>
    </row>
    <row r="6431" spans="2:2" x14ac:dyDescent="0.2">
      <c r="B6431" s="11"/>
    </row>
    <row r="6432" spans="2:2" x14ac:dyDescent="0.2">
      <c r="B6432" s="11"/>
    </row>
    <row r="6433" spans="2:2" x14ac:dyDescent="0.2">
      <c r="B6433" s="11"/>
    </row>
    <row r="6434" spans="2:2" x14ac:dyDescent="0.2">
      <c r="B6434" s="11"/>
    </row>
    <row r="6435" spans="2:2" x14ac:dyDescent="0.2">
      <c r="B6435" s="11"/>
    </row>
    <row r="6436" spans="2:2" x14ac:dyDescent="0.2">
      <c r="B6436" s="11"/>
    </row>
    <row r="6437" spans="2:2" x14ac:dyDescent="0.2">
      <c r="B6437" s="11"/>
    </row>
    <row r="6438" spans="2:2" x14ac:dyDescent="0.2">
      <c r="B6438" s="11"/>
    </row>
    <row r="6439" spans="2:2" x14ac:dyDescent="0.2">
      <c r="B6439" s="11"/>
    </row>
    <row r="6440" spans="2:2" x14ac:dyDescent="0.2">
      <c r="B6440" s="11"/>
    </row>
    <row r="6441" spans="2:2" x14ac:dyDescent="0.2">
      <c r="B6441" s="11"/>
    </row>
    <row r="6442" spans="2:2" x14ac:dyDescent="0.2">
      <c r="B6442" s="11"/>
    </row>
    <row r="6443" spans="2:2" x14ac:dyDescent="0.2">
      <c r="B6443" s="11"/>
    </row>
    <row r="6444" spans="2:2" x14ac:dyDescent="0.2">
      <c r="B6444" s="11"/>
    </row>
    <row r="6445" spans="2:2" x14ac:dyDescent="0.2">
      <c r="B6445" s="11"/>
    </row>
    <row r="6446" spans="2:2" x14ac:dyDescent="0.2">
      <c r="B6446" s="11"/>
    </row>
    <row r="6447" spans="2:2" x14ac:dyDescent="0.2">
      <c r="B6447" s="11"/>
    </row>
    <row r="6448" spans="2:2" x14ac:dyDescent="0.2">
      <c r="B6448" s="11"/>
    </row>
    <row r="6449" spans="2:2" x14ac:dyDescent="0.2">
      <c r="B6449" s="11"/>
    </row>
    <row r="6450" spans="2:2" x14ac:dyDescent="0.2">
      <c r="B6450" s="11"/>
    </row>
    <row r="6451" spans="2:2" x14ac:dyDescent="0.2">
      <c r="B6451" s="11"/>
    </row>
    <row r="6452" spans="2:2" x14ac:dyDescent="0.2">
      <c r="B6452" s="11"/>
    </row>
    <row r="6453" spans="2:2" x14ac:dyDescent="0.2">
      <c r="B6453" s="11"/>
    </row>
    <row r="6454" spans="2:2" x14ac:dyDescent="0.2">
      <c r="B6454" s="11"/>
    </row>
    <row r="6455" spans="2:2" x14ac:dyDescent="0.2">
      <c r="B6455" s="11"/>
    </row>
    <row r="6456" spans="2:2" x14ac:dyDescent="0.2">
      <c r="B6456" s="11"/>
    </row>
    <row r="6457" spans="2:2" x14ac:dyDescent="0.2">
      <c r="B6457" s="11"/>
    </row>
    <row r="6458" spans="2:2" x14ac:dyDescent="0.2">
      <c r="B6458" s="11"/>
    </row>
    <row r="6459" spans="2:2" x14ac:dyDescent="0.2">
      <c r="B6459" s="11"/>
    </row>
    <row r="6460" spans="2:2" x14ac:dyDescent="0.2">
      <c r="B6460" s="11"/>
    </row>
    <row r="6461" spans="2:2" x14ac:dyDescent="0.2">
      <c r="B6461" s="11"/>
    </row>
    <row r="6462" spans="2:2" x14ac:dyDescent="0.2">
      <c r="B6462" s="11"/>
    </row>
    <row r="6463" spans="2:2" x14ac:dyDescent="0.2">
      <c r="B6463" s="11"/>
    </row>
    <row r="6464" spans="2:2" x14ac:dyDescent="0.2">
      <c r="B6464" s="11"/>
    </row>
    <row r="6465" spans="2:2" x14ac:dyDescent="0.2">
      <c r="B6465" s="11"/>
    </row>
    <row r="6466" spans="2:2" x14ac:dyDescent="0.2">
      <c r="B6466" s="11"/>
    </row>
    <row r="6467" spans="2:2" x14ac:dyDescent="0.2">
      <c r="B6467" s="11"/>
    </row>
    <row r="6468" spans="2:2" x14ac:dyDescent="0.2">
      <c r="B6468" s="11"/>
    </row>
    <row r="6469" spans="2:2" x14ac:dyDescent="0.2">
      <c r="B6469" s="11"/>
    </row>
    <row r="6470" spans="2:2" x14ac:dyDescent="0.2">
      <c r="B6470" s="11"/>
    </row>
    <row r="6471" spans="2:2" x14ac:dyDescent="0.2">
      <c r="B6471" s="11"/>
    </row>
    <row r="6472" spans="2:2" x14ac:dyDescent="0.2">
      <c r="B6472" s="11"/>
    </row>
    <row r="6473" spans="2:2" x14ac:dyDescent="0.2">
      <c r="B6473" s="11"/>
    </row>
    <row r="6474" spans="2:2" x14ac:dyDescent="0.2">
      <c r="B6474" s="11"/>
    </row>
    <row r="6475" spans="2:2" x14ac:dyDescent="0.2">
      <c r="B6475" s="11"/>
    </row>
    <row r="6476" spans="2:2" x14ac:dyDescent="0.2">
      <c r="B6476" s="11"/>
    </row>
    <row r="6477" spans="2:2" x14ac:dyDescent="0.2">
      <c r="B6477" s="11"/>
    </row>
    <row r="6478" spans="2:2" x14ac:dyDescent="0.2">
      <c r="B6478" s="11"/>
    </row>
    <row r="6479" spans="2:2" x14ac:dyDescent="0.2">
      <c r="B6479" s="11"/>
    </row>
    <row r="6480" spans="2:2" x14ac:dyDescent="0.2">
      <c r="B6480" s="11"/>
    </row>
    <row r="6481" spans="2:2" x14ac:dyDescent="0.2">
      <c r="B6481" s="11"/>
    </row>
    <row r="6482" spans="2:2" x14ac:dyDescent="0.2">
      <c r="B6482" s="11"/>
    </row>
    <row r="6483" spans="2:2" x14ac:dyDescent="0.2">
      <c r="B6483" s="11"/>
    </row>
    <row r="6484" spans="2:2" x14ac:dyDescent="0.2">
      <c r="B6484" s="11"/>
    </row>
    <row r="6485" spans="2:2" x14ac:dyDescent="0.2">
      <c r="B6485" s="11"/>
    </row>
    <row r="6486" spans="2:2" x14ac:dyDescent="0.2">
      <c r="B6486" s="11"/>
    </row>
    <row r="6487" spans="2:2" x14ac:dyDescent="0.2">
      <c r="B6487" s="11"/>
    </row>
    <row r="6488" spans="2:2" x14ac:dyDescent="0.2">
      <c r="B6488" s="11"/>
    </row>
    <row r="6489" spans="2:2" x14ac:dyDescent="0.2">
      <c r="B6489" s="11"/>
    </row>
    <row r="6490" spans="2:2" x14ac:dyDescent="0.2">
      <c r="B6490" s="11"/>
    </row>
    <row r="6491" spans="2:2" x14ac:dyDescent="0.2">
      <c r="B6491" s="11"/>
    </row>
    <row r="6492" spans="2:2" x14ac:dyDescent="0.2">
      <c r="B6492" s="11"/>
    </row>
    <row r="6493" spans="2:2" x14ac:dyDescent="0.2">
      <c r="B6493" s="11"/>
    </row>
    <row r="6494" spans="2:2" x14ac:dyDescent="0.2">
      <c r="B6494" s="11"/>
    </row>
    <row r="6495" spans="2:2" x14ac:dyDescent="0.2">
      <c r="B6495" s="11"/>
    </row>
    <row r="6496" spans="2:2" x14ac:dyDescent="0.2">
      <c r="B6496" s="11"/>
    </row>
    <row r="6497" spans="2:2" x14ac:dyDescent="0.2">
      <c r="B6497" s="11"/>
    </row>
    <row r="6498" spans="2:2" x14ac:dyDescent="0.2">
      <c r="B6498" s="11"/>
    </row>
    <row r="6499" spans="2:2" x14ac:dyDescent="0.2">
      <c r="B6499" s="11"/>
    </row>
    <row r="6500" spans="2:2" x14ac:dyDescent="0.2">
      <c r="B6500" s="11"/>
    </row>
    <row r="6501" spans="2:2" x14ac:dyDescent="0.2">
      <c r="B6501" s="11"/>
    </row>
    <row r="6502" spans="2:2" x14ac:dyDescent="0.2">
      <c r="B6502" s="11"/>
    </row>
    <row r="6503" spans="2:2" x14ac:dyDescent="0.2">
      <c r="B6503" s="11"/>
    </row>
    <row r="6504" spans="2:2" x14ac:dyDescent="0.2">
      <c r="B6504" s="11"/>
    </row>
    <row r="6505" spans="2:2" x14ac:dyDescent="0.2">
      <c r="B6505" s="11"/>
    </row>
    <row r="6506" spans="2:2" x14ac:dyDescent="0.2">
      <c r="B6506" s="11"/>
    </row>
    <row r="6507" spans="2:2" x14ac:dyDescent="0.2">
      <c r="B6507" s="11"/>
    </row>
    <row r="6508" spans="2:2" x14ac:dyDescent="0.2">
      <c r="B6508" s="11"/>
    </row>
    <row r="6509" spans="2:2" x14ac:dyDescent="0.2">
      <c r="B6509" s="11"/>
    </row>
    <row r="6510" spans="2:2" x14ac:dyDescent="0.2">
      <c r="B6510" s="11"/>
    </row>
    <row r="6511" spans="2:2" x14ac:dyDescent="0.2">
      <c r="B6511" s="11"/>
    </row>
    <row r="6512" spans="2:2" x14ac:dyDescent="0.2">
      <c r="B6512" s="11"/>
    </row>
    <row r="6513" spans="2:2" x14ac:dyDescent="0.2">
      <c r="B6513" s="11"/>
    </row>
    <row r="6514" spans="2:2" x14ac:dyDescent="0.2">
      <c r="B6514" s="11"/>
    </row>
    <row r="6515" spans="2:2" x14ac:dyDescent="0.2">
      <c r="B6515" s="11"/>
    </row>
    <row r="6516" spans="2:2" x14ac:dyDescent="0.2">
      <c r="B6516" s="11"/>
    </row>
    <row r="6517" spans="2:2" x14ac:dyDescent="0.2">
      <c r="B6517" s="11"/>
    </row>
    <row r="6518" spans="2:2" x14ac:dyDescent="0.2">
      <c r="B6518" s="11"/>
    </row>
    <row r="6519" spans="2:2" x14ac:dyDescent="0.2">
      <c r="B6519" s="11"/>
    </row>
    <row r="6520" spans="2:2" x14ac:dyDescent="0.2">
      <c r="B6520" s="11"/>
    </row>
    <row r="6521" spans="2:2" x14ac:dyDescent="0.2">
      <c r="B6521" s="11"/>
    </row>
    <row r="6522" spans="2:2" x14ac:dyDescent="0.2">
      <c r="B6522" s="11"/>
    </row>
    <row r="6523" spans="2:2" x14ac:dyDescent="0.2">
      <c r="B6523" s="11"/>
    </row>
    <row r="6524" spans="2:2" x14ac:dyDescent="0.2">
      <c r="B6524" s="11"/>
    </row>
    <row r="6525" spans="2:2" x14ac:dyDescent="0.2">
      <c r="B6525" s="11"/>
    </row>
    <row r="6526" spans="2:2" x14ac:dyDescent="0.2">
      <c r="B6526" s="11"/>
    </row>
    <row r="6527" spans="2:2" x14ac:dyDescent="0.2">
      <c r="B6527" s="11"/>
    </row>
    <row r="6528" spans="2:2" x14ac:dyDescent="0.2">
      <c r="B6528" s="11"/>
    </row>
    <row r="6529" spans="2:2" x14ac:dyDescent="0.2">
      <c r="B6529" s="11"/>
    </row>
    <row r="6530" spans="2:2" x14ac:dyDescent="0.2">
      <c r="B6530" s="11"/>
    </row>
    <row r="6531" spans="2:2" x14ac:dyDescent="0.2">
      <c r="B6531" s="11"/>
    </row>
    <row r="6532" spans="2:2" x14ac:dyDescent="0.2">
      <c r="B6532" s="11"/>
    </row>
    <row r="6533" spans="2:2" x14ac:dyDescent="0.2">
      <c r="B6533" s="11"/>
    </row>
    <row r="6534" spans="2:2" x14ac:dyDescent="0.2">
      <c r="B6534" s="11"/>
    </row>
    <row r="6535" spans="2:2" x14ac:dyDescent="0.2">
      <c r="B6535" s="11"/>
    </row>
    <row r="6536" spans="2:2" x14ac:dyDescent="0.2">
      <c r="B6536" s="11"/>
    </row>
    <row r="6537" spans="2:2" x14ac:dyDescent="0.2">
      <c r="B6537" s="11"/>
    </row>
    <row r="6538" spans="2:2" x14ac:dyDescent="0.2">
      <c r="B6538" s="11"/>
    </row>
    <row r="6539" spans="2:2" x14ac:dyDescent="0.2">
      <c r="B6539" s="11"/>
    </row>
    <row r="6540" spans="2:2" x14ac:dyDescent="0.2">
      <c r="B6540" s="11"/>
    </row>
    <row r="6541" spans="2:2" x14ac:dyDescent="0.2">
      <c r="B6541" s="11"/>
    </row>
    <row r="6542" spans="2:2" x14ac:dyDescent="0.2">
      <c r="B6542" s="11"/>
    </row>
    <row r="6543" spans="2:2" x14ac:dyDescent="0.2">
      <c r="B6543" s="11"/>
    </row>
    <row r="6544" spans="2:2" x14ac:dyDescent="0.2">
      <c r="B6544" s="11"/>
    </row>
    <row r="6545" spans="2:2" x14ac:dyDescent="0.2">
      <c r="B6545" s="11"/>
    </row>
    <row r="6546" spans="2:2" x14ac:dyDescent="0.2">
      <c r="B6546" s="11"/>
    </row>
    <row r="6547" spans="2:2" x14ac:dyDescent="0.2">
      <c r="B6547" s="11"/>
    </row>
    <row r="6548" spans="2:2" x14ac:dyDescent="0.2">
      <c r="B6548" s="11"/>
    </row>
    <row r="6549" spans="2:2" x14ac:dyDescent="0.2">
      <c r="B6549" s="11"/>
    </row>
    <row r="6550" spans="2:2" x14ac:dyDescent="0.2">
      <c r="B6550" s="11"/>
    </row>
    <row r="6551" spans="2:2" x14ac:dyDescent="0.2">
      <c r="B6551" s="11"/>
    </row>
    <row r="6552" spans="2:2" x14ac:dyDescent="0.2">
      <c r="B6552" s="11"/>
    </row>
    <row r="6553" spans="2:2" x14ac:dyDescent="0.2">
      <c r="B6553" s="11"/>
    </row>
    <row r="6554" spans="2:2" x14ac:dyDescent="0.2">
      <c r="B6554" s="11"/>
    </row>
    <row r="6555" spans="2:2" x14ac:dyDescent="0.2">
      <c r="B6555" s="11"/>
    </row>
    <row r="6556" spans="2:2" x14ac:dyDescent="0.2">
      <c r="B6556" s="11"/>
    </row>
    <row r="6557" spans="2:2" x14ac:dyDescent="0.2">
      <c r="B6557" s="11"/>
    </row>
    <row r="6558" spans="2:2" x14ac:dyDescent="0.2">
      <c r="B6558" s="11"/>
    </row>
    <row r="6559" spans="2:2" x14ac:dyDescent="0.2">
      <c r="B6559" s="11"/>
    </row>
    <row r="6560" spans="2:2" x14ac:dyDescent="0.2">
      <c r="B6560" s="11"/>
    </row>
    <row r="6561" spans="2:2" x14ac:dyDescent="0.2">
      <c r="B6561" s="11"/>
    </row>
    <row r="6562" spans="2:2" x14ac:dyDescent="0.2">
      <c r="B6562" s="11"/>
    </row>
    <row r="6563" spans="2:2" x14ac:dyDescent="0.2">
      <c r="B6563" s="11"/>
    </row>
    <row r="6564" spans="2:2" x14ac:dyDescent="0.2">
      <c r="B6564" s="11"/>
    </row>
    <row r="6565" spans="2:2" x14ac:dyDescent="0.2">
      <c r="B6565" s="11"/>
    </row>
    <row r="6566" spans="2:2" x14ac:dyDescent="0.2">
      <c r="B6566" s="11"/>
    </row>
    <row r="6567" spans="2:2" x14ac:dyDescent="0.2">
      <c r="B6567" s="11"/>
    </row>
    <row r="6568" spans="2:2" x14ac:dyDescent="0.2">
      <c r="B6568" s="11"/>
    </row>
    <row r="6569" spans="2:2" x14ac:dyDescent="0.2">
      <c r="B6569" s="11"/>
    </row>
    <row r="6570" spans="2:2" x14ac:dyDescent="0.2">
      <c r="B6570" s="11"/>
    </row>
    <row r="6571" spans="2:2" x14ac:dyDescent="0.2">
      <c r="B6571" s="11"/>
    </row>
    <row r="6572" spans="2:2" x14ac:dyDescent="0.2">
      <c r="B6572" s="11"/>
    </row>
    <row r="6573" spans="2:2" x14ac:dyDescent="0.2">
      <c r="B6573" s="11"/>
    </row>
    <row r="6574" spans="2:2" x14ac:dyDescent="0.2">
      <c r="B6574" s="11"/>
    </row>
    <row r="6575" spans="2:2" x14ac:dyDescent="0.2">
      <c r="B6575" s="11"/>
    </row>
    <row r="6576" spans="2:2" x14ac:dyDescent="0.2">
      <c r="B6576" s="11"/>
    </row>
    <row r="6577" spans="2:2" x14ac:dyDescent="0.2">
      <c r="B6577" s="11"/>
    </row>
    <row r="6578" spans="2:2" x14ac:dyDescent="0.2">
      <c r="B6578" s="11"/>
    </row>
    <row r="6579" spans="2:2" x14ac:dyDescent="0.2">
      <c r="B6579" s="11"/>
    </row>
    <row r="6580" spans="2:2" x14ac:dyDescent="0.2">
      <c r="B6580" s="11"/>
    </row>
    <row r="6581" spans="2:2" x14ac:dyDescent="0.2">
      <c r="B6581" s="11"/>
    </row>
    <row r="6582" spans="2:2" x14ac:dyDescent="0.2">
      <c r="B6582" s="11"/>
    </row>
    <row r="6583" spans="2:2" x14ac:dyDescent="0.2">
      <c r="B6583" s="11"/>
    </row>
    <row r="6584" spans="2:2" x14ac:dyDescent="0.2">
      <c r="B6584" s="11"/>
    </row>
    <row r="6585" spans="2:2" x14ac:dyDescent="0.2">
      <c r="B6585" s="11"/>
    </row>
    <row r="6586" spans="2:2" x14ac:dyDescent="0.2">
      <c r="B6586" s="11"/>
    </row>
    <row r="6587" spans="2:2" x14ac:dyDescent="0.2">
      <c r="B6587" s="11"/>
    </row>
    <row r="6588" spans="2:2" x14ac:dyDescent="0.2">
      <c r="B6588" s="11"/>
    </row>
    <row r="6589" spans="2:2" x14ac:dyDescent="0.2">
      <c r="B6589" s="11"/>
    </row>
    <row r="6590" spans="2:2" x14ac:dyDescent="0.2">
      <c r="B6590" s="11"/>
    </row>
    <row r="6591" spans="2:2" x14ac:dyDescent="0.2">
      <c r="B6591" s="11"/>
    </row>
    <row r="6592" spans="2:2" x14ac:dyDescent="0.2">
      <c r="B6592" s="11"/>
    </row>
    <row r="6593" spans="2:2" x14ac:dyDescent="0.2">
      <c r="B6593" s="11"/>
    </row>
    <row r="6594" spans="2:2" x14ac:dyDescent="0.2">
      <c r="B6594" s="11"/>
    </row>
    <row r="6595" spans="2:2" x14ac:dyDescent="0.2">
      <c r="B6595" s="11"/>
    </row>
    <row r="6596" spans="2:2" x14ac:dyDescent="0.2">
      <c r="B6596" s="11"/>
    </row>
    <row r="6597" spans="2:2" x14ac:dyDescent="0.2">
      <c r="B6597" s="11"/>
    </row>
    <row r="6598" spans="2:2" x14ac:dyDescent="0.2">
      <c r="B6598" s="11"/>
    </row>
    <row r="6599" spans="2:2" x14ac:dyDescent="0.2">
      <c r="B6599" s="11"/>
    </row>
    <row r="6600" spans="2:2" x14ac:dyDescent="0.2">
      <c r="B6600" s="11"/>
    </row>
    <row r="6601" spans="2:2" x14ac:dyDescent="0.2">
      <c r="B6601" s="11"/>
    </row>
    <row r="6602" spans="2:2" x14ac:dyDescent="0.2">
      <c r="B6602" s="11"/>
    </row>
    <row r="6603" spans="2:2" x14ac:dyDescent="0.2">
      <c r="B6603" s="11"/>
    </row>
    <row r="6604" spans="2:2" x14ac:dyDescent="0.2">
      <c r="B6604" s="11"/>
    </row>
    <row r="6605" spans="2:2" x14ac:dyDescent="0.2">
      <c r="B6605" s="11"/>
    </row>
    <row r="6606" spans="2:2" x14ac:dyDescent="0.2">
      <c r="B6606" s="11"/>
    </row>
    <row r="6607" spans="2:2" x14ac:dyDescent="0.2">
      <c r="B6607" s="11"/>
    </row>
    <row r="6608" spans="2:2" x14ac:dyDescent="0.2">
      <c r="B6608" s="11"/>
    </row>
    <row r="6609" spans="2:2" x14ac:dyDescent="0.2">
      <c r="B6609" s="11"/>
    </row>
    <row r="6610" spans="2:2" x14ac:dyDescent="0.2">
      <c r="B6610" s="11"/>
    </row>
    <row r="6611" spans="2:2" x14ac:dyDescent="0.2">
      <c r="B6611" s="11"/>
    </row>
    <row r="6612" spans="2:2" x14ac:dyDescent="0.2">
      <c r="B6612" s="11"/>
    </row>
    <row r="6613" spans="2:2" x14ac:dyDescent="0.2">
      <c r="B6613" s="11"/>
    </row>
    <row r="6614" spans="2:2" x14ac:dyDescent="0.2">
      <c r="B6614" s="11"/>
    </row>
    <row r="6615" spans="2:2" x14ac:dyDescent="0.2">
      <c r="B6615" s="11"/>
    </row>
    <row r="6616" spans="2:2" x14ac:dyDescent="0.2">
      <c r="B6616" s="11"/>
    </row>
    <row r="6617" spans="2:2" x14ac:dyDescent="0.2">
      <c r="B6617" s="11"/>
    </row>
    <row r="6618" spans="2:2" x14ac:dyDescent="0.2">
      <c r="B6618" s="11"/>
    </row>
    <row r="6619" spans="2:2" x14ac:dyDescent="0.2">
      <c r="B6619" s="11"/>
    </row>
    <row r="6620" spans="2:2" x14ac:dyDescent="0.2">
      <c r="B6620" s="11"/>
    </row>
    <row r="6621" spans="2:2" x14ac:dyDescent="0.2">
      <c r="B6621" s="11"/>
    </row>
    <row r="6622" spans="2:2" x14ac:dyDescent="0.2">
      <c r="B6622" s="11"/>
    </row>
    <row r="6623" spans="2:2" x14ac:dyDescent="0.2">
      <c r="B6623" s="11"/>
    </row>
    <row r="6624" spans="2:2" x14ac:dyDescent="0.2">
      <c r="B6624" s="11"/>
    </row>
    <row r="6625" spans="2:2" x14ac:dyDescent="0.2">
      <c r="B6625" s="11"/>
    </row>
    <row r="6626" spans="2:2" x14ac:dyDescent="0.2">
      <c r="B6626" s="11"/>
    </row>
    <row r="6627" spans="2:2" x14ac:dyDescent="0.2">
      <c r="B6627" s="11"/>
    </row>
    <row r="6628" spans="2:2" x14ac:dyDescent="0.2">
      <c r="B6628" s="11"/>
    </row>
    <row r="6629" spans="2:2" x14ac:dyDescent="0.2">
      <c r="B6629" s="11"/>
    </row>
    <row r="6630" spans="2:2" x14ac:dyDescent="0.2">
      <c r="B6630" s="11"/>
    </row>
    <row r="6631" spans="2:2" x14ac:dyDescent="0.2">
      <c r="B6631" s="11"/>
    </row>
    <row r="6632" spans="2:2" x14ac:dyDescent="0.2">
      <c r="B6632" s="11"/>
    </row>
    <row r="6633" spans="2:2" x14ac:dyDescent="0.2">
      <c r="B6633" s="11"/>
    </row>
    <row r="6634" spans="2:2" x14ac:dyDescent="0.2">
      <c r="B6634" s="11"/>
    </row>
    <row r="6635" spans="2:2" x14ac:dyDescent="0.2">
      <c r="B6635" s="11"/>
    </row>
    <row r="6636" spans="2:2" x14ac:dyDescent="0.2">
      <c r="B6636" s="11"/>
    </row>
    <row r="6637" spans="2:2" x14ac:dyDescent="0.2">
      <c r="B6637" s="11"/>
    </row>
    <row r="6638" spans="2:2" x14ac:dyDescent="0.2">
      <c r="B6638" s="11"/>
    </row>
    <row r="6639" spans="2:2" x14ac:dyDescent="0.2">
      <c r="B6639" s="11"/>
    </row>
    <row r="6640" spans="2:2" x14ac:dyDescent="0.2">
      <c r="B6640" s="11"/>
    </row>
    <row r="6641" spans="2:2" x14ac:dyDescent="0.2">
      <c r="B6641" s="11"/>
    </row>
    <row r="6642" spans="2:2" x14ac:dyDescent="0.2">
      <c r="B6642" s="11"/>
    </row>
    <row r="6643" spans="2:2" x14ac:dyDescent="0.2">
      <c r="B6643" s="11"/>
    </row>
    <row r="6644" spans="2:2" x14ac:dyDescent="0.2">
      <c r="B6644" s="11"/>
    </row>
    <row r="6645" spans="2:2" x14ac:dyDescent="0.2">
      <c r="B6645" s="11"/>
    </row>
    <row r="6646" spans="2:2" x14ac:dyDescent="0.2">
      <c r="B6646" s="11"/>
    </row>
    <row r="6647" spans="2:2" x14ac:dyDescent="0.2">
      <c r="B6647" s="11"/>
    </row>
    <row r="6648" spans="2:2" x14ac:dyDescent="0.2">
      <c r="B6648" s="11"/>
    </row>
    <row r="6649" spans="2:2" x14ac:dyDescent="0.2">
      <c r="B6649" s="11"/>
    </row>
    <row r="6650" spans="2:2" x14ac:dyDescent="0.2">
      <c r="B6650" s="11"/>
    </row>
    <row r="6651" spans="2:2" x14ac:dyDescent="0.2">
      <c r="B6651" s="11"/>
    </row>
    <row r="6652" spans="2:2" x14ac:dyDescent="0.2">
      <c r="B6652" s="11"/>
    </row>
    <row r="6653" spans="2:2" x14ac:dyDescent="0.2">
      <c r="B6653" s="11"/>
    </row>
    <row r="6654" spans="2:2" x14ac:dyDescent="0.2">
      <c r="B6654" s="11"/>
    </row>
    <row r="6655" spans="2:2" x14ac:dyDescent="0.2">
      <c r="B6655" s="11"/>
    </row>
    <row r="6656" spans="2:2" x14ac:dyDescent="0.2">
      <c r="B6656" s="11"/>
    </row>
    <row r="6657" spans="2:2" x14ac:dyDescent="0.2">
      <c r="B6657" s="11"/>
    </row>
    <row r="6658" spans="2:2" x14ac:dyDescent="0.2">
      <c r="B6658" s="11"/>
    </row>
    <row r="6659" spans="2:2" x14ac:dyDescent="0.2">
      <c r="B6659" s="11"/>
    </row>
    <row r="6660" spans="2:2" x14ac:dyDescent="0.2">
      <c r="B6660" s="11"/>
    </row>
    <row r="6661" spans="2:2" x14ac:dyDescent="0.2">
      <c r="B6661" s="11"/>
    </row>
    <row r="6662" spans="2:2" x14ac:dyDescent="0.2">
      <c r="B6662" s="11"/>
    </row>
    <row r="6663" spans="2:2" x14ac:dyDescent="0.2">
      <c r="B6663" s="11"/>
    </row>
    <row r="6664" spans="2:2" x14ac:dyDescent="0.2">
      <c r="B6664" s="11"/>
    </row>
    <row r="6665" spans="2:2" x14ac:dyDescent="0.2">
      <c r="B6665" s="11"/>
    </row>
    <row r="6666" spans="2:2" x14ac:dyDescent="0.2">
      <c r="B6666" s="11"/>
    </row>
    <row r="6667" spans="2:2" x14ac:dyDescent="0.2">
      <c r="B6667" s="11"/>
    </row>
    <row r="6668" spans="2:2" x14ac:dyDescent="0.2">
      <c r="B6668" s="11"/>
    </row>
    <row r="6669" spans="2:2" x14ac:dyDescent="0.2">
      <c r="B6669" s="11"/>
    </row>
    <row r="6670" spans="2:2" x14ac:dyDescent="0.2">
      <c r="B6670" s="11"/>
    </row>
    <row r="6671" spans="2:2" x14ac:dyDescent="0.2">
      <c r="B6671" s="11"/>
    </row>
    <row r="6672" spans="2:2" x14ac:dyDescent="0.2">
      <c r="B6672" s="11"/>
    </row>
    <row r="6673" spans="2:2" x14ac:dyDescent="0.2">
      <c r="B6673" s="11"/>
    </row>
    <row r="6674" spans="2:2" x14ac:dyDescent="0.2">
      <c r="B6674" s="11"/>
    </row>
    <row r="6675" spans="2:2" x14ac:dyDescent="0.2">
      <c r="B6675" s="11"/>
    </row>
    <row r="6676" spans="2:2" x14ac:dyDescent="0.2">
      <c r="B6676" s="11"/>
    </row>
    <row r="6677" spans="2:2" x14ac:dyDescent="0.2">
      <c r="B6677" s="11"/>
    </row>
    <row r="6678" spans="2:2" x14ac:dyDescent="0.2">
      <c r="B6678" s="11"/>
    </row>
    <row r="6679" spans="2:2" x14ac:dyDescent="0.2">
      <c r="B6679" s="11"/>
    </row>
    <row r="6680" spans="2:2" x14ac:dyDescent="0.2">
      <c r="B6680" s="11"/>
    </row>
    <row r="6681" spans="2:2" x14ac:dyDescent="0.2">
      <c r="B6681" s="11"/>
    </row>
    <row r="6682" spans="2:2" x14ac:dyDescent="0.2">
      <c r="B6682" s="11"/>
    </row>
    <row r="6683" spans="2:2" x14ac:dyDescent="0.2">
      <c r="B6683" s="11"/>
    </row>
    <row r="6684" spans="2:2" x14ac:dyDescent="0.2">
      <c r="B6684" s="11"/>
    </row>
    <row r="6685" spans="2:2" x14ac:dyDescent="0.2">
      <c r="B6685" s="11"/>
    </row>
    <row r="6686" spans="2:2" x14ac:dyDescent="0.2">
      <c r="B6686" s="11"/>
    </row>
    <row r="6687" spans="2:2" x14ac:dyDescent="0.2">
      <c r="B6687" s="11"/>
    </row>
    <row r="6688" spans="2:2" x14ac:dyDescent="0.2">
      <c r="B6688" s="11"/>
    </row>
    <row r="6689" spans="2:2" x14ac:dyDescent="0.2">
      <c r="B6689" s="11"/>
    </row>
    <row r="6690" spans="2:2" x14ac:dyDescent="0.2">
      <c r="B6690" s="11"/>
    </row>
    <row r="6691" spans="2:2" x14ac:dyDescent="0.2">
      <c r="B6691" s="11"/>
    </row>
    <row r="6692" spans="2:2" x14ac:dyDescent="0.2">
      <c r="B6692" s="11"/>
    </row>
    <row r="6693" spans="2:2" x14ac:dyDescent="0.2">
      <c r="B6693" s="11"/>
    </row>
    <row r="6694" spans="2:2" x14ac:dyDescent="0.2">
      <c r="B6694" s="11"/>
    </row>
    <row r="6695" spans="2:2" x14ac:dyDescent="0.2">
      <c r="B6695" s="11"/>
    </row>
    <row r="6696" spans="2:2" x14ac:dyDescent="0.2">
      <c r="B6696" s="11"/>
    </row>
    <row r="6697" spans="2:2" x14ac:dyDescent="0.2">
      <c r="B6697" s="11"/>
    </row>
    <row r="6698" spans="2:2" x14ac:dyDescent="0.2">
      <c r="B6698" s="11"/>
    </row>
    <row r="6699" spans="2:2" x14ac:dyDescent="0.2">
      <c r="B6699" s="11"/>
    </row>
    <row r="6700" spans="2:2" x14ac:dyDescent="0.2">
      <c r="B6700" s="11"/>
    </row>
    <row r="6701" spans="2:2" x14ac:dyDescent="0.2">
      <c r="B6701" s="11"/>
    </row>
    <row r="6702" spans="2:2" x14ac:dyDescent="0.2">
      <c r="B6702" s="11"/>
    </row>
    <row r="6703" spans="2:2" x14ac:dyDescent="0.2">
      <c r="B6703" s="11"/>
    </row>
    <row r="6704" spans="2:2" x14ac:dyDescent="0.2">
      <c r="B6704" s="11"/>
    </row>
    <row r="6705" spans="2:2" x14ac:dyDescent="0.2">
      <c r="B6705" s="11"/>
    </row>
    <row r="6706" spans="2:2" x14ac:dyDescent="0.2">
      <c r="B6706" s="11"/>
    </row>
    <row r="6707" spans="2:2" x14ac:dyDescent="0.2">
      <c r="B6707" s="11"/>
    </row>
    <row r="6708" spans="2:2" x14ac:dyDescent="0.2">
      <c r="B6708" s="11"/>
    </row>
    <row r="6709" spans="2:2" x14ac:dyDescent="0.2">
      <c r="B6709" s="11"/>
    </row>
    <row r="6710" spans="2:2" x14ac:dyDescent="0.2">
      <c r="B6710" s="11"/>
    </row>
    <row r="6711" spans="2:2" x14ac:dyDescent="0.2">
      <c r="B6711" s="11"/>
    </row>
    <row r="6712" spans="2:2" x14ac:dyDescent="0.2">
      <c r="B6712" s="11"/>
    </row>
    <row r="6713" spans="2:2" x14ac:dyDescent="0.2">
      <c r="B6713" s="11"/>
    </row>
    <row r="6714" spans="2:2" x14ac:dyDescent="0.2">
      <c r="B6714" s="11"/>
    </row>
    <row r="6715" spans="2:2" x14ac:dyDescent="0.2">
      <c r="B6715" s="11"/>
    </row>
    <row r="6716" spans="2:2" x14ac:dyDescent="0.2">
      <c r="B6716" s="11"/>
    </row>
    <row r="6717" spans="2:2" x14ac:dyDescent="0.2">
      <c r="B6717" s="11"/>
    </row>
    <row r="6718" spans="2:2" x14ac:dyDescent="0.2">
      <c r="B6718" s="11"/>
    </row>
    <row r="6719" spans="2:2" x14ac:dyDescent="0.2">
      <c r="B6719" s="11"/>
    </row>
    <row r="6720" spans="2:2" x14ac:dyDescent="0.2">
      <c r="B6720" s="11"/>
    </row>
    <row r="6721" spans="2:2" x14ac:dyDescent="0.2">
      <c r="B6721" s="11"/>
    </row>
    <row r="6722" spans="2:2" x14ac:dyDescent="0.2">
      <c r="B6722" s="11"/>
    </row>
    <row r="6723" spans="2:2" x14ac:dyDescent="0.2">
      <c r="B6723" s="11"/>
    </row>
    <row r="6724" spans="2:2" x14ac:dyDescent="0.2">
      <c r="B6724" s="11"/>
    </row>
    <row r="6725" spans="2:2" x14ac:dyDescent="0.2">
      <c r="B6725" s="11"/>
    </row>
    <row r="6726" spans="2:2" x14ac:dyDescent="0.2">
      <c r="B6726" s="11"/>
    </row>
    <row r="6727" spans="2:2" x14ac:dyDescent="0.2">
      <c r="B6727" s="11"/>
    </row>
    <row r="6728" spans="2:2" x14ac:dyDescent="0.2">
      <c r="B6728" s="11"/>
    </row>
    <row r="6729" spans="2:2" x14ac:dyDescent="0.2">
      <c r="B6729" s="11"/>
    </row>
    <row r="6730" spans="2:2" x14ac:dyDescent="0.2">
      <c r="B6730" s="11"/>
    </row>
    <row r="6731" spans="2:2" x14ac:dyDescent="0.2">
      <c r="B6731" s="11"/>
    </row>
    <row r="6732" spans="2:2" x14ac:dyDescent="0.2">
      <c r="B6732" s="11"/>
    </row>
    <row r="6733" spans="2:2" x14ac:dyDescent="0.2">
      <c r="B6733" s="11"/>
    </row>
    <row r="6734" spans="2:2" x14ac:dyDescent="0.2">
      <c r="B6734" s="11"/>
    </row>
    <row r="6735" spans="2:2" x14ac:dyDescent="0.2">
      <c r="B6735" s="11"/>
    </row>
    <row r="6736" spans="2:2" x14ac:dyDescent="0.2">
      <c r="B6736" s="11"/>
    </row>
    <row r="6737" spans="2:2" x14ac:dyDescent="0.2">
      <c r="B6737" s="11"/>
    </row>
    <row r="6738" spans="2:2" x14ac:dyDescent="0.2">
      <c r="B6738" s="11"/>
    </row>
    <row r="6739" spans="2:2" x14ac:dyDescent="0.2">
      <c r="B6739" s="11"/>
    </row>
    <row r="6740" spans="2:2" x14ac:dyDescent="0.2">
      <c r="B6740" s="11"/>
    </row>
    <row r="6741" spans="2:2" x14ac:dyDescent="0.2">
      <c r="B6741" s="11"/>
    </row>
    <row r="6742" spans="2:2" x14ac:dyDescent="0.2">
      <c r="B6742" s="11"/>
    </row>
    <row r="6743" spans="2:2" x14ac:dyDescent="0.2">
      <c r="B6743" s="11"/>
    </row>
    <row r="6744" spans="2:2" x14ac:dyDescent="0.2">
      <c r="B6744" s="11"/>
    </row>
    <row r="6745" spans="2:2" x14ac:dyDescent="0.2">
      <c r="B6745" s="11"/>
    </row>
    <row r="6746" spans="2:2" x14ac:dyDescent="0.2">
      <c r="B6746" s="11"/>
    </row>
    <row r="6747" spans="2:2" x14ac:dyDescent="0.2">
      <c r="B6747" s="11"/>
    </row>
    <row r="6748" spans="2:2" x14ac:dyDescent="0.2">
      <c r="B6748" s="11"/>
    </row>
    <row r="6749" spans="2:2" x14ac:dyDescent="0.2">
      <c r="B6749" s="11"/>
    </row>
    <row r="6750" spans="2:2" x14ac:dyDescent="0.2">
      <c r="B6750" s="11"/>
    </row>
    <row r="6751" spans="2:2" x14ac:dyDescent="0.2">
      <c r="B6751" s="11"/>
    </row>
    <row r="6752" spans="2:2" x14ac:dyDescent="0.2">
      <c r="B6752" s="11"/>
    </row>
    <row r="6753" spans="2:2" x14ac:dyDescent="0.2">
      <c r="B6753" s="11"/>
    </row>
    <row r="6754" spans="2:2" x14ac:dyDescent="0.2">
      <c r="B6754" s="11"/>
    </row>
    <row r="6755" spans="2:2" x14ac:dyDescent="0.2">
      <c r="B6755" s="11"/>
    </row>
    <row r="6756" spans="2:2" x14ac:dyDescent="0.2">
      <c r="B6756" s="11"/>
    </row>
    <row r="6757" spans="2:2" x14ac:dyDescent="0.2">
      <c r="B6757" s="11"/>
    </row>
    <row r="6758" spans="2:2" x14ac:dyDescent="0.2">
      <c r="B6758" s="11"/>
    </row>
    <row r="6759" spans="2:2" x14ac:dyDescent="0.2">
      <c r="B6759" s="11"/>
    </row>
    <row r="6760" spans="2:2" x14ac:dyDescent="0.2">
      <c r="B6760" s="11"/>
    </row>
    <row r="6761" spans="2:2" x14ac:dyDescent="0.2">
      <c r="B6761" s="11"/>
    </row>
    <row r="6762" spans="2:2" x14ac:dyDescent="0.2">
      <c r="B6762" s="11"/>
    </row>
    <row r="6763" spans="2:2" x14ac:dyDescent="0.2">
      <c r="B6763" s="11"/>
    </row>
    <row r="6764" spans="2:2" x14ac:dyDescent="0.2">
      <c r="B6764" s="11"/>
    </row>
    <row r="6765" spans="2:2" x14ac:dyDescent="0.2">
      <c r="B6765" s="11"/>
    </row>
    <row r="6766" spans="2:2" x14ac:dyDescent="0.2">
      <c r="B6766" s="11"/>
    </row>
    <row r="6767" spans="2:2" x14ac:dyDescent="0.2">
      <c r="B6767" s="11"/>
    </row>
    <row r="6768" spans="2:2" x14ac:dyDescent="0.2">
      <c r="B6768" s="11"/>
    </row>
    <row r="6769" spans="2:2" x14ac:dyDescent="0.2">
      <c r="B6769" s="11"/>
    </row>
    <row r="6770" spans="2:2" x14ac:dyDescent="0.2">
      <c r="B6770" s="11"/>
    </row>
    <row r="6771" spans="2:2" x14ac:dyDescent="0.2">
      <c r="B6771" s="11"/>
    </row>
    <row r="6772" spans="2:2" x14ac:dyDescent="0.2">
      <c r="B6772" s="11"/>
    </row>
    <row r="6773" spans="2:2" x14ac:dyDescent="0.2">
      <c r="B6773" s="11"/>
    </row>
    <row r="6774" spans="2:2" x14ac:dyDescent="0.2">
      <c r="B6774" s="11"/>
    </row>
    <row r="6775" spans="2:2" x14ac:dyDescent="0.2">
      <c r="B6775" s="11"/>
    </row>
    <row r="6776" spans="2:2" x14ac:dyDescent="0.2">
      <c r="B6776" s="11"/>
    </row>
    <row r="6777" spans="2:2" x14ac:dyDescent="0.2">
      <c r="B6777" s="11"/>
    </row>
    <row r="6778" spans="2:2" x14ac:dyDescent="0.2">
      <c r="B6778" s="11"/>
    </row>
    <row r="6779" spans="2:2" x14ac:dyDescent="0.2">
      <c r="B6779" s="11"/>
    </row>
    <row r="6780" spans="2:2" x14ac:dyDescent="0.2">
      <c r="B6780" s="11"/>
    </row>
    <row r="6781" spans="2:2" x14ac:dyDescent="0.2">
      <c r="B6781" s="11"/>
    </row>
    <row r="6782" spans="2:2" x14ac:dyDescent="0.2">
      <c r="B6782" s="11"/>
    </row>
    <row r="6783" spans="2:2" x14ac:dyDescent="0.2">
      <c r="B6783" s="11"/>
    </row>
    <row r="6784" spans="2:2" x14ac:dyDescent="0.2">
      <c r="B6784" s="11"/>
    </row>
    <row r="6785" spans="2:2" x14ac:dyDescent="0.2">
      <c r="B6785" s="11"/>
    </row>
    <row r="6786" spans="2:2" x14ac:dyDescent="0.2">
      <c r="B6786" s="11"/>
    </row>
    <row r="6787" spans="2:2" x14ac:dyDescent="0.2">
      <c r="B6787" s="11"/>
    </row>
    <row r="6788" spans="2:2" x14ac:dyDescent="0.2">
      <c r="B6788" s="11"/>
    </row>
    <row r="6789" spans="2:2" x14ac:dyDescent="0.2">
      <c r="B6789" s="11"/>
    </row>
    <row r="6790" spans="2:2" x14ac:dyDescent="0.2">
      <c r="B6790" s="11"/>
    </row>
    <row r="6791" spans="2:2" x14ac:dyDescent="0.2">
      <c r="B6791" s="11"/>
    </row>
    <row r="6792" spans="2:2" x14ac:dyDescent="0.2">
      <c r="B6792" s="11"/>
    </row>
    <row r="6793" spans="2:2" x14ac:dyDescent="0.2">
      <c r="B6793" s="11"/>
    </row>
    <row r="6794" spans="2:2" x14ac:dyDescent="0.2">
      <c r="B6794" s="11"/>
    </row>
    <row r="6795" spans="2:2" x14ac:dyDescent="0.2">
      <c r="B6795" s="11"/>
    </row>
    <row r="6796" spans="2:2" x14ac:dyDescent="0.2">
      <c r="B6796" s="11"/>
    </row>
    <row r="6797" spans="2:2" x14ac:dyDescent="0.2">
      <c r="B6797" s="11"/>
    </row>
    <row r="6798" spans="2:2" x14ac:dyDescent="0.2">
      <c r="B6798" s="11"/>
    </row>
    <row r="6799" spans="2:2" x14ac:dyDescent="0.2">
      <c r="B6799" s="11"/>
    </row>
    <row r="6800" spans="2:2" x14ac:dyDescent="0.2">
      <c r="B6800" s="11"/>
    </row>
    <row r="6801" spans="2:2" x14ac:dyDescent="0.2">
      <c r="B6801" s="11"/>
    </row>
    <row r="6802" spans="2:2" x14ac:dyDescent="0.2">
      <c r="B6802" s="11"/>
    </row>
    <row r="6803" spans="2:2" x14ac:dyDescent="0.2">
      <c r="B6803" s="11"/>
    </row>
    <row r="6804" spans="2:2" x14ac:dyDescent="0.2">
      <c r="B6804" s="11"/>
    </row>
    <row r="6805" spans="2:2" x14ac:dyDescent="0.2">
      <c r="B6805" s="11"/>
    </row>
    <row r="6806" spans="2:2" x14ac:dyDescent="0.2">
      <c r="B6806" s="11"/>
    </row>
    <row r="6807" spans="2:2" x14ac:dyDescent="0.2">
      <c r="B6807" s="11"/>
    </row>
    <row r="6808" spans="2:2" x14ac:dyDescent="0.2">
      <c r="B6808" s="11"/>
    </row>
    <row r="6809" spans="2:2" x14ac:dyDescent="0.2">
      <c r="B6809" s="11"/>
    </row>
    <row r="6810" spans="2:2" x14ac:dyDescent="0.2">
      <c r="B6810" s="11"/>
    </row>
    <row r="6811" spans="2:2" x14ac:dyDescent="0.2">
      <c r="B6811" s="11"/>
    </row>
    <row r="6812" spans="2:2" x14ac:dyDescent="0.2">
      <c r="B6812" s="11"/>
    </row>
    <row r="6813" spans="2:2" x14ac:dyDescent="0.2">
      <c r="B6813" s="11"/>
    </row>
    <row r="6814" spans="2:2" x14ac:dyDescent="0.2">
      <c r="B6814" s="11"/>
    </row>
    <row r="6815" spans="2:2" x14ac:dyDescent="0.2">
      <c r="B6815" s="11"/>
    </row>
    <row r="6816" spans="2:2" x14ac:dyDescent="0.2">
      <c r="B6816" s="11"/>
    </row>
    <row r="6817" spans="2:2" x14ac:dyDescent="0.2">
      <c r="B6817" s="11"/>
    </row>
    <row r="6818" spans="2:2" x14ac:dyDescent="0.2">
      <c r="B6818" s="11"/>
    </row>
    <row r="6819" spans="2:2" x14ac:dyDescent="0.2">
      <c r="B6819" s="11"/>
    </row>
    <row r="6820" spans="2:2" x14ac:dyDescent="0.2">
      <c r="B6820" s="11"/>
    </row>
    <row r="6821" spans="2:2" x14ac:dyDescent="0.2">
      <c r="B6821" s="11"/>
    </row>
    <row r="6822" spans="2:2" x14ac:dyDescent="0.2">
      <c r="B6822" s="11"/>
    </row>
    <row r="6823" spans="2:2" x14ac:dyDescent="0.2">
      <c r="B6823" s="11"/>
    </row>
    <row r="6824" spans="2:2" x14ac:dyDescent="0.2">
      <c r="B6824" s="11"/>
    </row>
    <row r="6825" spans="2:2" x14ac:dyDescent="0.2">
      <c r="B6825" s="11"/>
    </row>
    <row r="6826" spans="2:2" x14ac:dyDescent="0.2">
      <c r="B6826" s="11"/>
    </row>
    <row r="6827" spans="2:2" x14ac:dyDescent="0.2">
      <c r="B6827" s="11"/>
    </row>
    <row r="6828" spans="2:2" x14ac:dyDescent="0.2">
      <c r="B6828" s="11"/>
    </row>
    <row r="6829" spans="2:2" x14ac:dyDescent="0.2">
      <c r="B6829" s="11"/>
    </row>
    <row r="6830" spans="2:2" x14ac:dyDescent="0.2">
      <c r="B6830" s="11"/>
    </row>
    <row r="6831" spans="2:2" x14ac:dyDescent="0.2">
      <c r="B6831" s="11"/>
    </row>
    <row r="6832" spans="2:2" x14ac:dyDescent="0.2">
      <c r="B6832" s="11"/>
    </row>
    <row r="6833" spans="2:2" x14ac:dyDescent="0.2">
      <c r="B6833" s="11"/>
    </row>
    <row r="6834" spans="2:2" x14ac:dyDescent="0.2">
      <c r="B6834" s="11"/>
    </row>
    <row r="6835" spans="2:2" x14ac:dyDescent="0.2">
      <c r="B6835" s="11"/>
    </row>
    <row r="6836" spans="2:2" x14ac:dyDescent="0.2">
      <c r="B6836" s="11"/>
    </row>
    <row r="6837" spans="2:2" x14ac:dyDescent="0.2">
      <c r="B6837" s="11"/>
    </row>
    <row r="6838" spans="2:2" x14ac:dyDescent="0.2">
      <c r="B6838" s="11"/>
    </row>
    <row r="6839" spans="2:2" x14ac:dyDescent="0.2">
      <c r="B6839" s="11"/>
    </row>
    <row r="6840" spans="2:2" x14ac:dyDescent="0.2">
      <c r="B6840" s="11"/>
    </row>
    <row r="6841" spans="2:2" x14ac:dyDescent="0.2">
      <c r="B6841" s="11"/>
    </row>
    <row r="6842" spans="2:2" x14ac:dyDescent="0.2">
      <c r="B6842" s="11"/>
    </row>
    <row r="6843" spans="2:2" x14ac:dyDescent="0.2">
      <c r="B6843" s="11"/>
    </row>
    <row r="6844" spans="2:2" x14ac:dyDescent="0.2">
      <c r="B6844" s="11"/>
    </row>
    <row r="6845" spans="2:2" x14ac:dyDescent="0.2">
      <c r="B6845" s="11"/>
    </row>
    <row r="6846" spans="2:2" x14ac:dyDescent="0.2">
      <c r="B6846" s="11"/>
    </row>
    <row r="6847" spans="2:2" x14ac:dyDescent="0.2">
      <c r="B6847" s="11"/>
    </row>
    <row r="6848" spans="2:2" x14ac:dyDescent="0.2">
      <c r="B6848" s="11"/>
    </row>
    <row r="6849" spans="2:2" x14ac:dyDescent="0.2">
      <c r="B6849" s="11"/>
    </row>
    <row r="6850" spans="2:2" x14ac:dyDescent="0.2">
      <c r="B6850" s="11"/>
    </row>
    <row r="6851" spans="2:2" x14ac:dyDescent="0.2">
      <c r="B6851" s="11"/>
    </row>
    <row r="6852" spans="2:2" x14ac:dyDescent="0.2">
      <c r="B6852" s="11"/>
    </row>
    <row r="6853" spans="2:2" x14ac:dyDescent="0.2">
      <c r="B6853" s="11"/>
    </row>
    <row r="6854" spans="2:2" x14ac:dyDescent="0.2">
      <c r="B6854" s="11"/>
    </row>
    <row r="6855" spans="2:2" x14ac:dyDescent="0.2">
      <c r="B6855" s="11"/>
    </row>
    <row r="6856" spans="2:2" x14ac:dyDescent="0.2">
      <c r="B6856" s="11"/>
    </row>
    <row r="6857" spans="2:2" x14ac:dyDescent="0.2">
      <c r="B6857" s="11"/>
    </row>
    <row r="6858" spans="2:2" x14ac:dyDescent="0.2">
      <c r="B6858" s="11"/>
    </row>
    <row r="6859" spans="2:2" x14ac:dyDescent="0.2">
      <c r="B6859" s="11"/>
    </row>
    <row r="6860" spans="2:2" x14ac:dyDescent="0.2">
      <c r="B6860" s="11"/>
    </row>
    <row r="6861" spans="2:2" x14ac:dyDescent="0.2">
      <c r="B6861" s="11"/>
    </row>
    <row r="6862" spans="2:2" x14ac:dyDescent="0.2">
      <c r="B6862" s="11"/>
    </row>
    <row r="6863" spans="2:2" x14ac:dyDescent="0.2">
      <c r="B6863" s="11"/>
    </row>
    <row r="6864" spans="2:2" x14ac:dyDescent="0.2">
      <c r="B6864" s="11"/>
    </row>
    <row r="6865" spans="2:2" x14ac:dyDescent="0.2">
      <c r="B6865" s="11"/>
    </row>
    <row r="6866" spans="2:2" x14ac:dyDescent="0.2">
      <c r="B6866" s="11"/>
    </row>
    <row r="6867" spans="2:2" x14ac:dyDescent="0.2">
      <c r="B6867" s="11"/>
    </row>
    <row r="6868" spans="2:2" x14ac:dyDescent="0.2">
      <c r="B6868" s="11"/>
    </row>
    <row r="6869" spans="2:2" x14ac:dyDescent="0.2">
      <c r="B6869" s="11"/>
    </row>
    <row r="6870" spans="2:2" x14ac:dyDescent="0.2">
      <c r="B6870" s="11"/>
    </row>
    <row r="6871" spans="2:2" x14ac:dyDescent="0.2">
      <c r="B6871" s="11"/>
    </row>
    <row r="6872" spans="2:2" x14ac:dyDescent="0.2">
      <c r="B6872" s="11"/>
    </row>
    <row r="6873" spans="2:2" x14ac:dyDescent="0.2">
      <c r="B6873" s="11"/>
    </row>
    <row r="6874" spans="2:2" x14ac:dyDescent="0.2">
      <c r="B6874" s="11"/>
    </row>
    <row r="6875" spans="2:2" x14ac:dyDescent="0.2">
      <c r="B6875" s="11"/>
    </row>
    <row r="6876" spans="2:2" x14ac:dyDescent="0.2">
      <c r="B6876" s="11"/>
    </row>
    <row r="6877" spans="2:2" x14ac:dyDescent="0.2">
      <c r="B6877" s="11"/>
    </row>
    <row r="6878" spans="2:2" x14ac:dyDescent="0.2">
      <c r="B6878" s="11"/>
    </row>
    <row r="6879" spans="2:2" x14ac:dyDescent="0.2">
      <c r="B6879" s="11"/>
    </row>
    <row r="6880" spans="2:2" x14ac:dyDescent="0.2">
      <c r="B6880" s="11"/>
    </row>
    <row r="6881" spans="2:2" x14ac:dyDescent="0.2">
      <c r="B6881" s="11"/>
    </row>
    <row r="6882" spans="2:2" x14ac:dyDescent="0.2">
      <c r="B6882" s="11"/>
    </row>
    <row r="6883" spans="2:2" x14ac:dyDescent="0.2">
      <c r="B6883" s="11"/>
    </row>
    <row r="6884" spans="2:2" x14ac:dyDescent="0.2">
      <c r="B6884" s="11"/>
    </row>
    <row r="6885" spans="2:2" x14ac:dyDescent="0.2">
      <c r="B6885" s="11"/>
    </row>
    <row r="6886" spans="2:2" x14ac:dyDescent="0.2">
      <c r="B6886" s="11"/>
    </row>
    <row r="6887" spans="2:2" x14ac:dyDescent="0.2">
      <c r="B6887" s="11"/>
    </row>
    <row r="6888" spans="2:2" x14ac:dyDescent="0.2">
      <c r="B6888" s="11"/>
    </row>
    <row r="6889" spans="2:2" x14ac:dyDescent="0.2">
      <c r="B6889" s="11"/>
    </row>
    <row r="6890" spans="2:2" x14ac:dyDescent="0.2">
      <c r="B6890" s="11"/>
    </row>
    <row r="6891" spans="2:2" x14ac:dyDescent="0.2">
      <c r="B6891" s="11"/>
    </row>
    <row r="6892" spans="2:2" x14ac:dyDescent="0.2">
      <c r="B6892" s="11"/>
    </row>
    <row r="6893" spans="2:2" x14ac:dyDescent="0.2">
      <c r="B6893" s="11"/>
    </row>
    <row r="6894" spans="2:2" x14ac:dyDescent="0.2">
      <c r="B6894" s="11"/>
    </row>
    <row r="6895" spans="2:2" x14ac:dyDescent="0.2">
      <c r="B6895" s="11"/>
    </row>
    <row r="6896" spans="2:2" x14ac:dyDescent="0.2">
      <c r="B6896" s="11"/>
    </row>
    <row r="6897" spans="2:2" x14ac:dyDescent="0.2">
      <c r="B6897" s="11"/>
    </row>
    <row r="6898" spans="2:2" x14ac:dyDescent="0.2">
      <c r="B6898" s="11"/>
    </row>
    <row r="6899" spans="2:2" x14ac:dyDescent="0.2">
      <c r="B6899" s="11"/>
    </row>
    <row r="6900" spans="2:2" x14ac:dyDescent="0.2">
      <c r="B6900" s="11"/>
    </row>
    <row r="6901" spans="2:2" x14ac:dyDescent="0.2">
      <c r="B6901" s="11"/>
    </row>
    <row r="6902" spans="2:2" x14ac:dyDescent="0.2">
      <c r="B6902" s="11"/>
    </row>
    <row r="6903" spans="2:2" x14ac:dyDescent="0.2">
      <c r="B6903" s="11"/>
    </row>
    <row r="6904" spans="2:2" x14ac:dyDescent="0.2">
      <c r="B6904" s="11"/>
    </row>
    <row r="6905" spans="2:2" x14ac:dyDescent="0.2">
      <c r="B6905" s="11"/>
    </row>
    <row r="6906" spans="2:2" x14ac:dyDescent="0.2">
      <c r="B6906" s="11"/>
    </row>
    <row r="6907" spans="2:2" x14ac:dyDescent="0.2">
      <c r="B6907" s="11"/>
    </row>
    <row r="6908" spans="2:2" x14ac:dyDescent="0.2">
      <c r="B6908" s="11"/>
    </row>
    <row r="6909" spans="2:2" x14ac:dyDescent="0.2">
      <c r="B6909" s="11"/>
    </row>
    <row r="6910" spans="2:2" x14ac:dyDescent="0.2">
      <c r="B6910" s="11"/>
    </row>
    <row r="6911" spans="2:2" x14ac:dyDescent="0.2">
      <c r="B6911" s="11"/>
    </row>
    <row r="6912" spans="2:2" x14ac:dyDescent="0.2">
      <c r="B6912" s="11"/>
    </row>
    <row r="6913" spans="2:2" x14ac:dyDescent="0.2">
      <c r="B6913" s="11"/>
    </row>
    <row r="6914" spans="2:2" x14ac:dyDescent="0.2">
      <c r="B6914" s="11"/>
    </row>
    <row r="6915" spans="2:2" x14ac:dyDescent="0.2">
      <c r="B6915" s="11"/>
    </row>
    <row r="6916" spans="2:2" x14ac:dyDescent="0.2">
      <c r="B6916" s="11"/>
    </row>
    <row r="6917" spans="2:2" x14ac:dyDescent="0.2">
      <c r="B6917" s="11"/>
    </row>
    <row r="6918" spans="2:2" x14ac:dyDescent="0.2">
      <c r="B6918" s="11"/>
    </row>
    <row r="6919" spans="2:2" x14ac:dyDescent="0.2">
      <c r="B6919" s="11"/>
    </row>
    <row r="6920" spans="2:2" x14ac:dyDescent="0.2">
      <c r="B6920" s="11"/>
    </row>
    <row r="6921" spans="2:2" x14ac:dyDescent="0.2">
      <c r="B6921" s="11"/>
    </row>
    <row r="6922" spans="2:2" x14ac:dyDescent="0.2">
      <c r="B6922" s="11"/>
    </row>
    <row r="6923" spans="2:2" x14ac:dyDescent="0.2">
      <c r="B6923" s="11"/>
    </row>
    <row r="6924" spans="2:2" x14ac:dyDescent="0.2">
      <c r="B6924" s="11"/>
    </row>
    <row r="6925" spans="2:2" x14ac:dyDescent="0.2">
      <c r="B6925" s="11"/>
    </row>
    <row r="6926" spans="2:2" x14ac:dyDescent="0.2">
      <c r="B6926" s="11"/>
    </row>
    <row r="6927" spans="2:2" x14ac:dyDescent="0.2">
      <c r="B6927" s="11"/>
    </row>
    <row r="6928" spans="2:2" x14ac:dyDescent="0.2">
      <c r="B6928" s="11"/>
    </row>
    <row r="6929" spans="2:2" x14ac:dyDescent="0.2">
      <c r="B6929" s="11"/>
    </row>
    <row r="6930" spans="2:2" x14ac:dyDescent="0.2">
      <c r="B6930" s="11"/>
    </row>
    <row r="6931" spans="2:2" x14ac:dyDescent="0.2">
      <c r="B6931" s="11"/>
    </row>
    <row r="6932" spans="2:2" x14ac:dyDescent="0.2">
      <c r="B6932" s="11"/>
    </row>
    <row r="6933" spans="2:2" x14ac:dyDescent="0.2">
      <c r="B6933" s="11"/>
    </row>
    <row r="6934" spans="2:2" x14ac:dyDescent="0.2">
      <c r="B6934" s="11"/>
    </row>
    <row r="6935" spans="2:2" x14ac:dyDescent="0.2">
      <c r="B6935" s="11"/>
    </row>
    <row r="6936" spans="2:2" x14ac:dyDescent="0.2">
      <c r="B6936" s="11"/>
    </row>
    <row r="6937" spans="2:2" x14ac:dyDescent="0.2">
      <c r="B6937" s="11"/>
    </row>
    <row r="6938" spans="2:2" x14ac:dyDescent="0.2">
      <c r="B6938" s="11"/>
    </row>
    <row r="6939" spans="2:2" x14ac:dyDescent="0.2">
      <c r="B6939" s="11"/>
    </row>
    <row r="6940" spans="2:2" x14ac:dyDescent="0.2">
      <c r="B6940" s="11"/>
    </row>
    <row r="6941" spans="2:2" x14ac:dyDescent="0.2">
      <c r="B6941" s="11"/>
    </row>
    <row r="6942" spans="2:2" x14ac:dyDescent="0.2">
      <c r="B6942" s="11"/>
    </row>
    <row r="6943" spans="2:2" x14ac:dyDescent="0.2">
      <c r="B6943" s="11"/>
    </row>
    <row r="6944" spans="2:2" x14ac:dyDescent="0.2">
      <c r="B6944" s="11"/>
    </row>
    <row r="6945" spans="2:2" x14ac:dyDescent="0.2">
      <c r="B6945" s="11"/>
    </row>
    <row r="6946" spans="2:2" x14ac:dyDescent="0.2">
      <c r="B6946" s="11"/>
    </row>
    <row r="6947" spans="2:2" x14ac:dyDescent="0.2">
      <c r="B6947" s="11"/>
    </row>
    <row r="6948" spans="2:2" x14ac:dyDescent="0.2">
      <c r="B6948" s="11"/>
    </row>
    <row r="6949" spans="2:2" x14ac:dyDescent="0.2">
      <c r="B6949" s="11"/>
    </row>
    <row r="6950" spans="2:2" x14ac:dyDescent="0.2">
      <c r="B6950" s="11"/>
    </row>
    <row r="6951" spans="2:2" x14ac:dyDescent="0.2">
      <c r="B6951" s="11"/>
    </row>
    <row r="6952" spans="2:2" x14ac:dyDescent="0.2">
      <c r="B6952" s="11"/>
    </row>
    <row r="6953" spans="2:2" x14ac:dyDescent="0.2">
      <c r="B6953" s="11"/>
    </row>
    <row r="6954" spans="2:2" x14ac:dyDescent="0.2">
      <c r="B6954" s="11"/>
    </row>
    <row r="6955" spans="2:2" x14ac:dyDescent="0.2">
      <c r="B6955" s="11"/>
    </row>
    <row r="6956" spans="2:2" x14ac:dyDescent="0.2">
      <c r="B6956" s="11"/>
    </row>
    <row r="6957" spans="2:2" x14ac:dyDescent="0.2">
      <c r="B6957" s="11"/>
    </row>
    <row r="6958" spans="2:2" x14ac:dyDescent="0.2">
      <c r="B6958" s="11"/>
    </row>
    <row r="6959" spans="2:2" x14ac:dyDescent="0.2">
      <c r="B6959" s="11"/>
    </row>
    <row r="6960" spans="2:2" x14ac:dyDescent="0.2">
      <c r="B6960" s="11"/>
    </row>
    <row r="6961" spans="2:2" x14ac:dyDescent="0.2">
      <c r="B6961" s="11"/>
    </row>
    <row r="6962" spans="2:2" x14ac:dyDescent="0.2">
      <c r="B6962" s="11"/>
    </row>
    <row r="6963" spans="2:2" x14ac:dyDescent="0.2">
      <c r="B6963" s="11"/>
    </row>
    <row r="6964" spans="2:2" x14ac:dyDescent="0.2">
      <c r="B6964" s="11"/>
    </row>
    <row r="6965" spans="2:2" x14ac:dyDescent="0.2">
      <c r="B6965" s="11"/>
    </row>
    <row r="6966" spans="2:2" x14ac:dyDescent="0.2">
      <c r="B6966" s="11"/>
    </row>
    <row r="6967" spans="2:2" x14ac:dyDescent="0.2">
      <c r="B6967" s="11"/>
    </row>
    <row r="6968" spans="2:2" x14ac:dyDescent="0.2">
      <c r="B6968" s="11"/>
    </row>
    <row r="6969" spans="2:2" x14ac:dyDescent="0.2">
      <c r="B6969" s="11"/>
    </row>
    <row r="6970" spans="2:2" x14ac:dyDescent="0.2">
      <c r="B6970" s="11"/>
    </row>
    <row r="6971" spans="2:2" x14ac:dyDescent="0.2">
      <c r="B6971" s="11"/>
    </row>
    <row r="6972" spans="2:2" x14ac:dyDescent="0.2">
      <c r="B6972" s="11"/>
    </row>
    <row r="6973" spans="2:2" x14ac:dyDescent="0.2">
      <c r="B6973" s="11"/>
    </row>
    <row r="6974" spans="2:2" x14ac:dyDescent="0.2">
      <c r="B6974" s="11"/>
    </row>
    <row r="6975" spans="2:2" x14ac:dyDescent="0.2">
      <c r="B6975" s="11"/>
    </row>
    <row r="6976" spans="2:2" x14ac:dyDescent="0.2">
      <c r="B6976" s="11"/>
    </row>
    <row r="6977" spans="2:2" x14ac:dyDescent="0.2">
      <c r="B6977" s="11"/>
    </row>
    <row r="6978" spans="2:2" x14ac:dyDescent="0.2">
      <c r="B6978" s="11"/>
    </row>
    <row r="6979" spans="2:2" x14ac:dyDescent="0.2">
      <c r="B6979" s="11"/>
    </row>
    <row r="6980" spans="2:2" x14ac:dyDescent="0.2">
      <c r="B6980" s="11"/>
    </row>
    <row r="6981" spans="2:2" x14ac:dyDescent="0.2">
      <c r="B6981" s="11"/>
    </row>
    <row r="6982" spans="2:2" x14ac:dyDescent="0.2">
      <c r="B6982" s="11"/>
    </row>
    <row r="6983" spans="2:2" x14ac:dyDescent="0.2">
      <c r="B6983" s="11"/>
    </row>
    <row r="6984" spans="2:2" x14ac:dyDescent="0.2">
      <c r="B6984" s="11"/>
    </row>
    <row r="6985" spans="2:2" x14ac:dyDescent="0.2">
      <c r="B6985" s="11"/>
    </row>
    <row r="6986" spans="2:2" x14ac:dyDescent="0.2">
      <c r="B6986" s="11"/>
    </row>
    <row r="6987" spans="2:2" x14ac:dyDescent="0.2">
      <c r="B6987" s="11"/>
    </row>
    <row r="6988" spans="2:2" x14ac:dyDescent="0.2">
      <c r="B6988" s="11"/>
    </row>
    <row r="6989" spans="2:2" x14ac:dyDescent="0.2">
      <c r="B6989" s="11"/>
    </row>
    <row r="6990" spans="2:2" x14ac:dyDescent="0.2">
      <c r="B6990" s="11"/>
    </row>
    <row r="6991" spans="2:2" x14ac:dyDescent="0.2">
      <c r="B6991" s="11"/>
    </row>
    <row r="6992" spans="2:2" x14ac:dyDescent="0.2">
      <c r="B6992" s="11"/>
    </row>
    <row r="6993" spans="2:2" x14ac:dyDescent="0.2">
      <c r="B6993" s="11"/>
    </row>
    <row r="6994" spans="2:2" x14ac:dyDescent="0.2">
      <c r="B6994" s="11"/>
    </row>
    <row r="6995" spans="2:2" x14ac:dyDescent="0.2">
      <c r="B6995" s="11"/>
    </row>
    <row r="6996" spans="2:2" x14ac:dyDescent="0.2">
      <c r="B6996" s="11"/>
    </row>
    <row r="6997" spans="2:2" x14ac:dyDescent="0.2">
      <c r="B6997" s="11"/>
    </row>
    <row r="6998" spans="2:2" x14ac:dyDescent="0.2">
      <c r="B6998" s="11"/>
    </row>
    <row r="6999" spans="2:2" x14ac:dyDescent="0.2">
      <c r="B6999" s="11"/>
    </row>
    <row r="7000" spans="2:2" x14ac:dyDescent="0.2">
      <c r="B7000" s="11"/>
    </row>
    <row r="7001" spans="2:2" x14ac:dyDescent="0.2">
      <c r="B7001" s="11"/>
    </row>
    <row r="7002" spans="2:2" x14ac:dyDescent="0.2">
      <c r="B7002" s="11"/>
    </row>
    <row r="7003" spans="2:2" x14ac:dyDescent="0.2">
      <c r="B7003" s="11"/>
    </row>
    <row r="7004" spans="2:2" x14ac:dyDescent="0.2">
      <c r="B7004" s="11"/>
    </row>
    <row r="7005" spans="2:2" x14ac:dyDescent="0.2">
      <c r="B7005" s="11"/>
    </row>
    <row r="7006" spans="2:2" x14ac:dyDescent="0.2">
      <c r="B7006" s="11"/>
    </row>
    <row r="7007" spans="2:2" x14ac:dyDescent="0.2">
      <c r="B7007" s="11"/>
    </row>
    <row r="7008" spans="2:2" x14ac:dyDescent="0.2">
      <c r="B7008" s="11"/>
    </row>
    <row r="7009" spans="2:2" x14ac:dyDescent="0.2">
      <c r="B7009" s="11"/>
    </row>
    <row r="7010" spans="2:2" x14ac:dyDescent="0.2">
      <c r="B7010" s="11"/>
    </row>
    <row r="7011" spans="2:2" x14ac:dyDescent="0.2">
      <c r="B7011" s="11"/>
    </row>
    <row r="7012" spans="2:2" x14ac:dyDescent="0.2">
      <c r="B7012" s="11"/>
    </row>
    <row r="7013" spans="2:2" x14ac:dyDescent="0.2">
      <c r="B7013" s="11"/>
    </row>
    <row r="7014" spans="2:2" x14ac:dyDescent="0.2">
      <c r="B7014" s="11"/>
    </row>
    <row r="7015" spans="2:2" x14ac:dyDescent="0.2">
      <c r="B7015" s="11"/>
    </row>
    <row r="7016" spans="2:2" x14ac:dyDescent="0.2">
      <c r="B7016" s="11"/>
    </row>
    <row r="7017" spans="2:2" x14ac:dyDescent="0.2">
      <c r="B7017" s="11"/>
    </row>
    <row r="7018" spans="2:2" x14ac:dyDescent="0.2">
      <c r="B7018" s="11"/>
    </row>
    <row r="7019" spans="2:2" x14ac:dyDescent="0.2">
      <c r="B7019" s="11"/>
    </row>
    <row r="7020" spans="2:2" x14ac:dyDescent="0.2">
      <c r="B7020" s="11"/>
    </row>
    <row r="7021" spans="2:2" x14ac:dyDescent="0.2">
      <c r="B7021" s="11"/>
    </row>
    <row r="7022" spans="2:2" x14ac:dyDescent="0.2">
      <c r="B7022" s="11"/>
    </row>
    <row r="7023" spans="2:2" x14ac:dyDescent="0.2">
      <c r="B7023" s="11"/>
    </row>
    <row r="7024" spans="2:2" x14ac:dyDescent="0.2">
      <c r="B7024" s="11"/>
    </row>
    <row r="7025" spans="2:2" x14ac:dyDescent="0.2">
      <c r="B7025" s="11"/>
    </row>
    <row r="7026" spans="2:2" x14ac:dyDescent="0.2">
      <c r="B7026" s="11"/>
    </row>
    <row r="7027" spans="2:2" x14ac:dyDescent="0.2">
      <c r="B7027" s="11"/>
    </row>
    <row r="7028" spans="2:2" x14ac:dyDescent="0.2">
      <c r="B7028" s="11"/>
    </row>
    <row r="7029" spans="2:2" x14ac:dyDescent="0.2">
      <c r="B7029" s="11"/>
    </row>
    <row r="7030" spans="2:2" x14ac:dyDescent="0.2">
      <c r="B7030" s="11"/>
    </row>
    <row r="7031" spans="2:2" x14ac:dyDescent="0.2">
      <c r="B7031" s="11"/>
    </row>
    <row r="7032" spans="2:2" x14ac:dyDescent="0.2">
      <c r="B7032" s="11"/>
    </row>
    <row r="7033" spans="2:2" x14ac:dyDescent="0.2">
      <c r="B7033" s="11"/>
    </row>
    <row r="7034" spans="2:2" x14ac:dyDescent="0.2">
      <c r="B7034" s="11"/>
    </row>
    <row r="7035" spans="2:2" x14ac:dyDescent="0.2">
      <c r="B7035" s="11"/>
    </row>
    <row r="7036" spans="2:2" x14ac:dyDescent="0.2">
      <c r="B7036" s="11"/>
    </row>
    <row r="7037" spans="2:2" x14ac:dyDescent="0.2">
      <c r="B7037" s="11"/>
    </row>
    <row r="7038" spans="2:2" x14ac:dyDescent="0.2">
      <c r="B7038" s="11"/>
    </row>
    <row r="7039" spans="2:2" x14ac:dyDescent="0.2">
      <c r="B7039" s="11"/>
    </row>
    <row r="7040" spans="2:2" x14ac:dyDescent="0.2">
      <c r="B7040" s="11"/>
    </row>
    <row r="7041" spans="2:2" x14ac:dyDescent="0.2">
      <c r="B7041" s="11"/>
    </row>
    <row r="7042" spans="2:2" x14ac:dyDescent="0.2">
      <c r="B7042" s="11"/>
    </row>
    <row r="7043" spans="2:2" x14ac:dyDescent="0.2">
      <c r="B7043" s="11"/>
    </row>
    <row r="7044" spans="2:2" x14ac:dyDescent="0.2">
      <c r="B7044" s="11"/>
    </row>
    <row r="7045" spans="2:2" x14ac:dyDescent="0.2">
      <c r="B7045" s="11"/>
    </row>
    <row r="7046" spans="2:2" x14ac:dyDescent="0.2">
      <c r="B7046" s="11"/>
    </row>
    <row r="7047" spans="2:2" x14ac:dyDescent="0.2">
      <c r="B7047" s="11"/>
    </row>
    <row r="7048" spans="2:2" x14ac:dyDescent="0.2">
      <c r="B7048" s="11"/>
    </row>
    <row r="7049" spans="2:2" x14ac:dyDescent="0.2">
      <c r="B7049" s="11"/>
    </row>
    <row r="7050" spans="2:2" x14ac:dyDescent="0.2">
      <c r="B7050" s="11"/>
    </row>
    <row r="7051" spans="2:2" x14ac:dyDescent="0.2">
      <c r="B7051" s="11"/>
    </row>
    <row r="7052" spans="2:2" x14ac:dyDescent="0.2">
      <c r="B7052" s="11"/>
    </row>
    <row r="7053" spans="2:2" x14ac:dyDescent="0.2">
      <c r="B7053" s="11"/>
    </row>
    <row r="7054" spans="2:2" x14ac:dyDescent="0.2">
      <c r="B7054" s="11"/>
    </row>
    <row r="7055" spans="2:2" x14ac:dyDescent="0.2">
      <c r="B7055" s="11"/>
    </row>
    <row r="7056" spans="2:2" x14ac:dyDescent="0.2">
      <c r="B7056" s="11"/>
    </row>
    <row r="7057" spans="2:2" x14ac:dyDescent="0.2">
      <c r="B7057" s="11"/>
    </row>
    <row r="7058" spans="2:2" x14ac:dyDescent="0.2">
      <c r="B7058" s="11"/>
    </row>
    <row r="7059" spans="2:2" x14ac:dyDescent="0.2">
      <c r="B7059" s="11"/>
    </row>
    <row r="7060" spans="2:2" x14ac:dyDescent="0.2">
      <c r="B7060" s="11"/>
    </row>
    <row r="7061" spans="2:2" x14ac:dyDescent="0.2">
      <c r="B7061" s="11"/>
    </row>
    <row r="7062" spans="2:2" x14ac:dyDescent="0.2">
      <c r="B7062" s="11"/>
    </row>
    <row r="7063" spans="2:2" x14ac:dyDescent="0.2">
      <c r="B7063" s="11"/>
    </row>
    <row r="7064" spans="2:2" x14ac:dyDescent="0.2">
      <c r="B7064" s="11"/>
    </row>
    <row r="7065" spans="2:2" x14ac:dyDescent="0.2">
      <c r="B7065" s="11"/>
    </row>
    <row r="7066" spans="2:2" x14ac:dyDescent="0.2">
      <c r="B7066" s="11"/>
    </row>
    <row r="7067" spans="2:2" x14ac:dyDescent="0.2">
      <c r="B7067" s="11"/>
    </row>
    <row r="7068" spans="2:2" x14ac:dyDescent="0.2">
      <c r="B7068" s="11"/>
    </row>
    <row r="7069" spans="2:2" x14ac:dyDescent="0.2">
      <c r="B7069" s="11"/>
    </row>
    <row r="7070" spans="2:2" x14ac:dyDescent="0.2">
      <c r="B7070" s="11"/>
    </row>
    <row r="7071" spans="2:2" x14ac:dyDescent="0.2">
      <c r="B7071" s="11"/>
    </row>
    <row r="7072" spans="2:2" x14ac:dyDescent="0.2">
      <c r="B7072" s="11"/>
    </row>
    <row r="7073" spans="2:2" x14ac:dyDescent="0.2">
      <c r="B7073" s="11"/>
    </row>
    <row r="7074" spans="2:2" x14ac:dyDescent="0.2">
      <c r="B7074" s="11"/>
    </row>
    <row r="7075" spans="2:2" x14ac:dyDescent="0.2">
      <c r="B7075" s="11"/>
    </row>
    <row r="7076" spans="2:2" x14ac:dyDescent="0.2">
      <c r="B7076" s="11"/>
    </row>
    <row r="7077" spans="2:2" x14ac:dyDescent="0.2">
      <c r="B7077" s="11"/>
    </row>
    <row r="7078" spans="2:2" x14ac:dyDescent="0.2">
      <c r="B7078" s="11"/>
    </row>
    <row r="7079" spans="2:2" x14ac:dyDescent="0.2">
      <c r="B7079" s="11"/>
    </row>
    <row r="7080" spans="2:2" x14ac:dyDescent="0.2">
      <c r="B7080" s="11"/>
    </row>
    <row r="7081" spans="2:2" x14ac:dyDescent="0.2">
      <c r="B7081" s="11"/>
    </row>
    <row r="7082" spans="2:2" x14ac:dyDescent="0.2">
      <c r="B7082" s="11"/>
    </row>
    <row r="7083" spans="2:2" x14ac:dyDescent="0.2">
      <c r="B7083" s="11"/>
    </row>
    <row r="7084" spans="2:2" x14ac:dyDescent="0.2">
      <c r="B7084" s="11"/>
    </row>
    <row r="7085" spans="2:2" x14ac:dyDescent="0.2">
      <c r="B7085" s="11"/>
    </row>
    <row r="7086" spans="2:2" x14ac:dyDescent="0.2">
      <c r="B7086" s="11"/>
    </row>
    <row r="7087" spans="2:2" x14ac:dyDescent="0.2">
      <c r="B7087" s="11"/>
    </row>
    <row r="7088" spans="2:2" x14ac:dyDescent="0.2">
      <c r="B7088" s="11"/>
    </row>
    <row r="7089" spans="2:2" x14ac:dyDescent="0.2">
      <c r="B7089" s="11"/>
    </row>
    <row r="7090" spans="2:2" x14ac:dyDescent="0.2">
      <c r="B7090" s="11"/>
    </row>
    <row r="7091" spans="2:2" x14ac:dyDescent="0.2">
      <c r="B7091" s="11"/>
    </row>
    <row r="7092" spans="2:2" x14ac:dyDescent="0.2">
      <c r="B7092" s="11"/>
    </row>
    <row r="7093" spans="2:2" x14ac:dyDescent="0.2">
      <c r="B7093" s="11"/>
    </row>
    <row r="7094" spans="2:2" x14ac:dyDescent="0.2">
      <c r="B7094" s="11"/>
    </row>
    <row r="7095" spans="2:2" x14ac:dyDescent="0.2">
      <c r="B7095" s="11"/>
    </row>
    <row r="7096" spans="2:2" x14ac:dyDescent="0.2">
      <c r="B7096" s="11"/>
    </row>
    <row r="7097" spans="2:2" x14ac:dyDescent="0.2">
      <c r="B7097" s="11"/>
    </row>
    <row r="7098" spans="2:2" x14ac:dyDescent="0.2">
      <c r="B7098" s="11"/>
    </row>
    <row r="7099" spans="2:2" x14ac:dyDescent="0.2">
      <c r="B7099" s="11"/>
    </row>
    <row r="7100" spans="2:2" x14ac:dyDescent="0.2">
      <c r="B7100" s="11"/>
    </row>
    <row r="7101" spans="2:2" x14ac:dyDescent="0.2">
      <c r="B7101" s="11"/>
    </row>
    <row r="7102" spans="2:2" x14ac:dyDescent="0.2">
      <c r="B7102" s="11"/>
    </row>
    <row r="7103" spans="2:2" x14ac:dyDescent="0.2">
      <c r="B7103" s="11"/>
    </row>
    <row r="7104" spans="2:2" x14ac:dyDescent="0.2">
      <c r="B7104" s="11"/>
    </row>
    <row r="7105" spans="2:2" x14ac:dyDescent="0.2">
      <c r="B7105" s="11"/>
    </row>
    <row r="7106" spans="2:2" x14ac:dyDescent="0.2">
      <c r="B7106" s="11"/>
    </row>
    <row r="7107" spans="2:2" x14ac:dyDescent="0.2">
      <c r="B7107" s="11"/>
    </row>
    <row r="7108" spans="2:2" x14ac:dyDescent="0.2">
      <c r="B7108" s="11"/>
    </row>
    <row r="7109" spans="2:2" x14ac:dyDescent="0.2">
      <c r="B7109" s="11"/>
    </row>
    <row r="7110" spans="2:2" x14ac:dyDescent="0.2">
      <c r="B7110" s="11"/>
    </row>
    <row r="7111" spans="2:2" x14ac:dyDescent="0.2">
      <c r="B7111" s="11"/>
    </row>
    <row r="7112" spans="2:2" x14ac:dyDescent="0.2">
      <c r="B7112" s="11"/>
    </row>
    <row r="7113" spans="2:2" x14ac:dyDescent="0.2">
      <c r="B7113" s="11"/>
    </row>
    <row r="7114" spans="2:2" x14ac:dyDescent="0.2">
      <c r="B7114" s="11"/>
    </row>
    <row r="7115" spans="2:2" x14ac:dyDescent="0.2">
      <c r="B7115" s="11"/>
    </row>
    <row r="7116" spans="2:2" x14ac:dyDescent="0.2">
      <c r="B7116" s="11"/>
    </row>
    <row r="7117" spans="2:2" x14ac:dyDescent="0.2">
      <c r="B7117" s="11"/>
    </row>
    <row r="7118" spans="2:2" x14ac:dyDescent="0.2">
      <c r="B7118" s="11"/>
    </row>
    <row r="7119" spans="2:2" x14ac:dyDescent="0.2">
      <c r="B7119" s="11"/>
    </row>
    <row r="7120" spans="2:2" x14ac:dyDescent="0.2">
      <c r="B7120" s="11"/>
    </row>
    <row r="7121" spans="2:2" x14ac:dyDescent="0.2">
      <c r="B7121" s="11"/>
    </row>
    <row r="7122" spans="2:2" x14ac:dyDescent="0.2">
      <c r="B7122" s="11"/>
    </row>
    <row r="7123" spans="2:2" x14ac:dyDescent="0.2">
      <c r="B7123" s="11"/>
    </row>
    <row r="7124" spans="2:2" x14ac:dyDescent="0.2">
      <c r="B7124" s="11"/>
    </row>
    <row r="7125" spans="2:2" x14ac:dyDescent="0.2">
      <c r="B7125" s="11"/>
    </row>
    <row r="7126" spans="2:2" x14ac:dyDescent="0.2">
      <c r="B7126" s="11"/>
    </row>
    <row r="7127" spans="2:2" x14ac:dyDescent="0.2">
      <c r="B7127" s="11"/>
    </row>
    <row r="7128" spans="2:2" x14ac:dyDescent="0.2">
      <c r="B7128" s="11"/>
    </row>
    <row r="7129" spans="2:2" x14ac:dyDescent="0.2">
      <c r="B7129" s="11"/>
    </row>
    <row r="7130" spans="2:2" x14ac:dyDescent="0.2">
      <c r="B7130" s="11"/>
    </row>
    <row r="7131" spans="2:2" x14ac:dyDescent="0.2">
      <c r="B7131" s="11"/>
    </row>
    <row r="7132" spans="2:2" x14ac:dyDescent="0.2">
      <c r="B7132" s="11"/>
    </row>
    <row r="7133" spans="2:2" x14ac:dyDescent="0.2">
      <c r="B7133" s="11"/>
    </row>
    <row r="7134" spans="2:2" x14ac:dyDescent="0.2">
      <c r="B7134" s="11"/>
    </row>
    <row r="7135" spans="2:2" x14ac:dyDescent="0.2">
      <c r="B7135" s="11"/>
    </row>
    <row r="7136" spans="2:2" x14ac:dyDescent="0.2">
      <c r="B7136" s="11"/>
    </row>
    <row r="7137" spans="2:2" x14ac:dyDescent="0.2">
      <c r="B7137" s="11"/>
    </row>
    <row r="7138" spans="2:2" x14ac:dyDescent="0.2">
      <c r="B7138" s="11"/>
    </row>
    <row r="7139" spans="2:2" x14ac:dyDescent="0.2">
      <c r="B7139" s="11"/>
    </row>
    <row r="7140" spans="2:2" x14ac:dyDescent="0.2">
      <c r="B7140" s="11"/>
    </row>
    <row r="7141" spans="2:2" x14ac:dyDescent="0.2">
      <c r="B7141" s="11"/>
    </row>
    <row r="7142" spans="2:2" x14ac:dyDescent="0.2">
      <c r="B7142" s="11"/>
    </row>
    <row r="7143" spans="2:2" x14ac:dyDescent="0.2">
      <c r="B7143" s="11"/>
    </row>
    <row r="7144" spans="2:2" x14ac:dyDescent="0.2">
      <c r="B7144" s="11"/>
    </row>
    <row r="7145" spans="2:2" x14ac:dyDescent="0.2">
      <c r="B7145" s="11"/>
    </row>
    <row r="7146" spans="2:2" x14ac:dyDescent="0.2">
      <c r="B7146" s="11"/>
    </row>
    <row r="7147" spans="2:2" x14ac:dyDescent="0.2">
      <c r="B7147" s="11"/>
    </row>
    <row r="7148" spans="2:2" x14ac:dyDescent="0.2">
      <c r="B7148" s="11"/>
    </row>
    <row r="7149" spans="2:2" x14ac:dyDescent="0.2">
      <c r="B7149" s="11"/>
    </row>
    <row r="7150" spans="2:2" x14ac:dyDescent="0.2">
      <c r="B7150" s="11"/>
    </row>
    <row r="7151" spans="2:2" x14ac:dyDescent="0.2">
      <c r="B7151" s="11"/>
    </row>
    <row r="7152" spans="2:2" x14ac:dyDescent="0.2">
      <c r="B7152" s="11"/>
    </row>
    <row r="7153" spans="2:2" x14ac:dyDescent="0.2">
      <c r="B7153" s="11"/>
    </row>
    <row r="7154" spans="2:2" x14ac:dyDescent="0.2">
      <c r="B7154" s="11"/>
    </row>
    <row r="7155" spans="2:2" x14ac:dyDescent="0.2">
      <c r="B7155" s="11"/>
    </row>
    <row r="7156" spans="2:2" x14ac:dyDescent="0.2">
      <c r="B7156" s="11"/>
    </row>
    <row r="7157" spans="2:2" x14ac:dyDescent="0.2">
      <c r="B7157" s="11"/>
    </row>
    <row r="7158" spans="2:2" x14ac:dyDescent="0.2">
      <c r="B7158" s="11"/>
    </row>
    <row r="7159" spans="2:2" x14ac:dyDescent="0.2">
      <c r="B7159" s="11"/>
    </row>
    <row r="7160" spans="2:2" x14ac:dyDescent="0.2">
      <c r="B7160" s="11"/>
    </row>
    <row r="7161" spans="2:2" x14ac:dyDescent="0.2">
      <c r="B7161" s="11"/>
    </row>
    <row r="7162" spans="2:2" x14ac:dyDescent="0.2">
      <c r="B7162" s="11"/>
    </row>
    <row r="7163" spans="2:2" x14ac:dyDescent="0.2">
      <c r="B7163" s="11"/>
    </row>
    <row r="7164" spans="2:2" x14ac:dyDescent="0.2">
      <c r="B7164" s="11"/>
    </row>
    <row r="7165" spans="2:2" x14ac:dyDescent="0.2">
      <c r="B7165" s="11"/>
    </row>
    <row r="7166" spans="2:2" x14ac:dyDescent="0.2">
      <c r="B7166" s="11"/>
    </row>
    <row r="7167" spans="2:2" x14ac:dyDescent="0.2">
      <c r="B7167" s="11"/>
    </row>
    <row r="7168" spans="2:2" x14ac:dyDescent="0.2">
      <c r="B7168" s="11"/>
    </row>
    <row r="7169" spans="2:2" x14ac:dyDescent="0.2">
      <c r="B7169" s="11"/>
    </row>
    <row r="7170" spans="2:2" x14ac:dyDescent="0.2">
      <c r="B7170" s="11"/>
    </row>
    <row r="7171" spans="2:2" x14ac:dyDescent="0.2">
      <c r="B7171" s="11"/>
    </row>
    <row r="7172" spans="2:2" x14ac:dyDescent="0.2">
      <c r="B7172" s="11"/>
    </row>
    <row r="7173" spans="2:2" x14ac:dyDescent="0.2">
      <c r="B7173" s="11"/>
    </row>
    <row r="7174" spans="2:2" x14ac:dyDescent="0.2">
      <c r="B7174" s="11"/>
    </row>
    <row r="7175" spans="2:2" x14ac:dyDescent="0.2">
      <c r="B7175" s="11"/>
    </row>
    <row r="7176" spans="2:2" x14ac:dyDescent="0.2">
      <c r="B7176" s="11"/>
    </row>
    <row r="7177" spans="2:2" x14ac:dyDescent="0.2">
      <c r="B7177" s="11"/>
    </row>
    <row r="7178" spans="2:2" x14ac:dyDescent="0.2">
      <c r="B7178" s="11"/>
    </row>
    <row r="7179" spans="2:2" x14ac:dyDescent="0.2">
      <c r="B7179" s="11"/>
    </row>
    <row r="7180" spans="2:2" x14ac:dyDescent="0.2">
      <c r="B7180" s="11"/>
    </row>
    <row r="7181" spans="2:2" x14ac:dyDescent="0.2">
      <c r="B7181" s="11"/>
    </row>
    <row r="7182" spans="2:2" x14ac:dyDescent="0.2">
      <c r="B7182" s="11"/>
    </row>
    <row r="7183" spans="2:2" x14ac:dyDescent="0.2">
      <c r="B7183" s="11"/>
    </row>
    <row r="7184" spans="2:2" x14ac:dyDescent="0.2">
      <c r="B7184" s="11"/>
    </row>
    <row r="7185" spans="2:2" x14ac:dyDescent="0.2">
      <c r="B7185" s="11"/>
    </row>
    <row r="7186" spans="2:2" x14ac:dyDescent="0.2">
      <c r="B7186" s="11"/>
    </row>
    <row r="7187" spans="2:2" x14ac:dyDescent="0.2">
      <c r="B7187" s="11"/>
    </row>
    <row r="7188" spans="2:2" x14ac:dyDescent="0.2">
      <c r="B7188" s="11"/>
    </row>
    <row r="7189" spans="2:2" x14ac:dyDescent="0.2">
      <c r="B7189" s="11"/>
    </row>
    <row r="7190" spans="2:2" x14ac:dyDescent="0.2">
      <c r="B7190" s="11"/>
    </row>
    <row r="7191" spans="2:2" x14ac:dyDescent="0.2">
      <c r="B7191" s="11"/>
    </row>
    <row r="7192" spans="2:2" x14ac:dyDescent="0.2">
      <c r="B7192" s="11"/>
    </row>
    <row r="7193" spans="2:2" x14ac:dyDescent="0.2">
      <c r="B7193" s="11"/>
    </row>
    <row r="7194" spans="2:2" x14ac:dyDescent="0.2">
      <c r="B7194" s="11"/>
    </row>
    <row r="7195" spans="2:2" x14ac:dyDescent="0.2">
      <c r="B7195" s="11"/>
    </row>
    <row r="7196" spans="2:2" x14ac:dyDescent="0.2">
      <c r="B7196" s="11"/>
    </row>
    <row r="7197" spans="2:2" x14ac:dyDescent="0.2">
      <c r="B7197" s="11"/>
    </row>
    <row r="7198" spans="2:2" x14ac:dyDescent="0.2">
      <c r="B7198" s="11"/>
    </row>
    <row r="7199" spans="2:2" x14ac:dyDescent="0.2">
      <c r="B7199" s="11"/>
    </row>
    <row r="7200" spans="2:2" x14ac:dyDescent="0.2">
      <c r="B7200" s="11"/>
    </row>
    <row r="7201" spans="2:2" x14ac:dyDescent="0.2">
      <c r="B7201" s="11"/>
    </row>
    <row r="7202" spans="2:2" x14ac:dyDescent="0.2">
      <c r="B7202" s="11"/>
    </row>
    <row r="7203" spans="2:2" x14ac:dyDescent="0.2">
      <c r="B7203" s="11"/>
    </row>
    <row r="7204" spans="2:2" x14ac:dyDescent="0.2">
      <c r="B7204" s="11"/>
    </row>
    <row r="7205" spans="2:2" x14ac:dyDescent="0.2">
      <c r="B7205" s="11"/>
    </row>
    <row r="7206" spans="2:2" x14ac:dyDescent="0.2">
      <c r="B7206" s="11"/>
    </row>
    <row r="7207" spans="2:2" x14ac:dyDescent="0.2">
      <c r="B7207" s="11"/>
    </row>
    <row r="7208" spans="2:2" x14ac:dyDescent="0.2">
      <c r="B7208" s="11"/>
    </row>
    <row r="7209" spans="2:2" x14ac:dyDescent="0.2">
      <c r="B7209" s="11"/>
    </row>
    <row r="7210" spans="2:2" x14ac:dyDescent="0.2">
      <c r="B7210" s="11"/>
    </row>
    <row r="7211" spans="2:2" x14ac:dyDescent="0.2">
      <c r="B7211" s="11"/>
    </row>
    <row r="7212" spans="2:2" x14ac:dyDescent="0.2">
      <c r="B7212" s="11"/>
    </row>
    <row r="7213" spans="2:2" x14ac:dyDescent="0.2">
      <c r="B7213" s="11"/>
    </row>
    <row r="7214" spans="2:2" x14ac:dyDescent="0.2">
      <c r="B7214" s="11"/>
    </row>
    <row r="7215" spans="2:2" x14ac:dyDescent="0.2">
      <c r="B7215" s="11"/>
    </row>
    <row r="7216" spans="2:2" x14ac:dyDescent="0.2">
      <c r="B7216" s="11"/>
    </row>
    <row r="7217" spans="2:2" x14ac:dyDescent="0.2">
      <c r="B7217" s="11"/>
    </row>
    <row r="7218" spans="2:2" x14ac:dyDescent="0.2">
      <c r="B7218" s="11"/>
    </row>
    <row r="7219" spans="2:2" x14ac:dyDescent="0.2">
      <c r="B7219" s="11"/>
    </row>
    <row r="7220" spans="2:2" x14ac:dyDescent="0.2">
      <c r="B7220" s="11"/>
    </row>
    <row r="7221" spans="2:2" x14ac:dyDescent="0.2">
      <c r="B7221" s="11"/>
    </row>
    <row r="7222" spans="2:2" x14ac:dyDescent="0.2">
      <c r="B7222" s="11"/>
    </row>
    <row r="7223" spans="2:2" x14ac:dyDescent="0.2">
      <c r="B7223" s="11"/>
    </row>
    <row r="7224" spans="2:2" x14ac:dyDescent="0.2">
      <c r="B7224" s="11"/>
    </row>
    <row r="7225" spans="2:2" x14ac:dyDescent="0.2">
      <c r="B7225" s="11"/>
    </row>
    <row r="7226" spans="2:2" x14ac:dyDescent="0.2">
      <c r="B7226" s="11"/>
    </row>
    <row r="7227" spans="2:2" x14ac:dyDescent="0.2">
      <c r="B7227" s="11"/>
    </row>
    <row r="7228" spans="2:2" x14ac:dyDescent="0.2">
      <c r="B7228" s="11"/>
    </row>
    <row r="7229" spans="2:2" x14ac:dyDescent="0.2">
      <c r="B7229" s="11"/>
    </row>
    <row r="7230" spans="2:2" x14ac:dyDescent="0.2">
      <c r="B7230" s="11"/>
    </row>
    <row r="7231" spans="2:2" x14ac:dyDescent="0.2">
      <c r="B7231" s="11"/>
    </row>
    <row r="7232" spans="2:2" x14ac:dyDescent="0.2">
      <c r="B7232" s="11"/>
    </row>
    <row r="7233" spans="2:2" x14ac:dyDescent="0.2">
      <c r="B7233" s="11"/>
    </row>
    <row r="7234" spans="2:2" x14ac:dyDescent="0.2">
      <c r="B7234" s="11"/>
    </row>
    <row r="7235" spans="2:2" x14ac:dyDescent="0.2">
      <c r="B7235" s="11"/>
    </row>
    <row r="7236" spans="2:2" x14ac:dyDescent="0.2">
      <c r="B7236" s="11"/>
    </row>
    <row r="7237" spans="2:2" x14ac:dyDescent="0.2">
      <c r="B7237" s="11"/>
    </row>
    <row r="7238" spans="2:2" x14ac:dyDescent="0.2">
      <c r="B7238" s="11"/>
    </row>
    <row r="7239" spans="2:2" x14ac:dyDescent="0.2">
      <c r="B7239" s="11"/>
    </row>
    <row r="7240" spans="2:2" x14ac:dyDescent="0.2">
      <c r="B7240" s="11"/>
    </row>
    <row r="7241" spans="2:2" x14ac:dyDescent="0.2">
      <c r="B7241" s="11"/>
    </row>
    <row r="7242" spans="2:2" x14ac:dyDescent="0.2">
      <c r="B7242" s="11"/>
    </row>
    <row r="7243" spans="2:2" x14ac:dyDescent="0.2">
      <c r="B7243" s="11"/>
    </row>
    <row r="7244" spans="2:2" x14ac:dyDescent="0.2">
      <c r="B7244" s="11"/>
    </row>
    <row r="7245" spans="2:2" x14ac:dyDescent="0.2">
      <c r="B7245" s="11"/>
    </row>
    <row r="7246" spans="2:2" x14ac:dyDescent="0.2">
      <c r="B7246" s="11"/>
    </row>
    <row r="7247" spans="2:2" x14ac:dyDescent="0.2">
      <c r="B7247" s="11"/>
    </row>
    <row r="7248" spans="2:2" x14ac:dyDescent="0.2">
      <c r="B7248" s="11"/>
    </row>
    <row r="7249" spans="2:2" x14ac:dyDescent="0.2">
      <c r="B7249" s="11"/>
    </row>
    <row r="7250" spans="2:2" x14ac:dyDescent="0.2">
      <c r="B7250" s="11"/>
    </row>
    <row r="7251" spans="2:2" x14ac:dyDescent="0.2">
      <c r="B7251" s="11"/>
    </row>
    <row r="7252" spans="2:2" x14ac:dyDescent="0.2">
      <c r="B7252" s="11"/>
    </row>
    <row r="7253" spans="2:2" x14ac:dyDescent="0.2">
      <c r="B7253" s="11"/>
    </row>
    <row r="7254" spans="2:2" x14ac:dyDescent="0.2">
      <c r="B7254" s="11"/>
    </row>
    <row r="7255" spans="2:2" x14ac:dyDescent="0.2">
      <c r="B7255" s="11"/>
    </row>
    <row r="7256" spans="2:2" x14ac:dyDescent="0.2">
      <c r="B7256" s="11"/>
    </row>
    <row r="7257" spans="2:2" x14ac:dyDescent="0.2">
      <c r="B7257" s="11"/>
    </row>
    <row r="7258" spans="2:2" x14ac:dyDescent="0.2">
      <c r="B7258" s="11"/>
    </row>
    <row r="7259" spans="2:2" x14ac:dyDescent="0.2">
      <c r="B7259" s="11"/>
    </row>
    <row r="7260" spans="2:2" x14ac:dyDescent="0.2">
      <c r="B7260" s="11"/>
    </row>
    <row r="7261" spans="2:2" x14ac:dyDescent="0.2">
      <c r="B7261" s="11"/>
    </row>
    <row r="7262" spans="2:2" x14ac:dyDescent="0.2">
      <c r="B7262" s="11"/>
    </row>
    <row r="7263" spans="2:2" x14ac:dyDescent="0.2">
      <c r="B7263" s="11"/>
    </row>
    <row r="7264" spans="2:2" x14ac:dyDescent="0.2">
      <c r="B7264" s="11"/>
    </row>
    <row r="7265" spans="2:2" x14ac:dyDescent="0.2">
      <c r="B7265" s="11"/>
    </row>
    <row r="7266" spans="2:2" x14ac:dyDescent="0.2">
      <c r="B7266" s="11"/>
    </row>
    <row r="7267" spans="2:2" x14ac:dyDescent="0.2">
      <c r="B7267" s="11"/>
    </row>
    <row r="7268" spans="2:2" x14ac:dyDescent="0.2">
      <c r="B7268" s="11"/>
    </row>
    <row r="7269" spans="2:2" x14ac:dyDescent="0.2">
      <c r="B7269" s="11"/>
    </row>
    <row r="7270" spans="2:2" x14ac:dyDescent="0.2">
      <c r="B7270" s="11"/>
    </row>
    <row r="7271" spans="2:2" x14ac:dyDescent="0.2">
      <c r="B7271" s="11"/>
    </row>
    <row r="7272" spans="2:2" x14ac:dyDescent="0.2">
      <c r="B7272" s="11"/>
    </row>
    <row r="7273" spans="2:2" x14ac:dyDescent="0.2">
      <c r="B7273" s="11"/>
    </row>
    <row r="7274" spans="2:2" x14ac:dyDescent="0.2">
      <c r="B7274" s="11"/>
    </row>
    <row r="7275" spans="2:2" x14ac:dyDescent="0.2">
      <c r="B7275" s="11"/>
    </row>
    <row r="7276" spans="2:2" x14ac:dyDescent="0.2">
      <c r="B7276" s="11"/>
    </row>
    <row r="7277" spans="2:2" x14ac:dyDescent="0.2">
      <c r="B7277" s="11"/>
    </row>
    <row r="7278" spans="2:2" x14ac:dyDescent="0.2">
      <c r="B7278" s="11"/>
    </row>
    <row r="7279" spans="2:2" x14ac:dyDescent="0.2">
      <c r="B7279" s="11"/>
    </row>
    <row r="7280" spans="2:2" x14ac:dyDescent="0.2">
      <c r="B7280" s="11"/>
    </row>
    <row r="7281" spans="2:2" x14ac:dyDescent="0.2">
      <c r="B7281" s="11"/>
    </row>
    <row r="7282" spans="2:2" x14ac:dyDescent="0.2">
      <c r="B7282" s="11"/>
    </row>
    <row r="7283" spans="2:2" x14ac:dyDescent="0.2">
      <c r="B7283" s="11"/>
    </row>
    <row r="7284" spans="2:2" x14ac:dyDescent="0.2">
      <c r="B7284" s="11"/>
    </row>
    <row r="7285" spans="2:2" x14ac:dyDescent="0.2">
      <c r="B7285" s="11"/>
    </row>
    <row r="7286" spans="2:2" x14ac:dyDescent="0.2">
      <c r="B7286" s="11"/>
    </row>
    <row r="7287" spans="2:2" x14ac:dyDescent="0.2">
      <c r="B7287" s="11"/>
    </row>
    <row r="7288" spans="2:2" x14ac:dyDescent="0.2">
      <c r="B7288" s="11"/>
    </row>
    <row r="7289" spans="2:2" x14ac:dyDescent="0.2">
      <c r="B7289" s="11"/>
    </row>
    <row r="7290" spans="2:2" x14ac:dyDescent="0.2">
      <c r="B7290" s="11"/>
    </row>
    <row r="7291" spans="2:2" x14ac:dyDescent="0.2">
      <c r="B7291" s="11"/>
    </row>
    <row r="7292" spans="2:2" x14ac:dyDescent="0.2">
      <c r="B7292" s="11"/>
    </row>
    <row r="7293" spans="2:2" x14ac:dyDescent="0.2">
      <c r="B7293" s="11"/>
    </row>
    <row r="7294" spans="2:2" x14ac:dyDescent="0.2">
      <c r="B7294" s="11"/>
    </row>
    <row r="7295" spans="2:2" x14ac:dyDescent="0.2">
      <c r="B7295" s="11"/>
    </row>
    <row r="7296" spans="2:2" x14ac:dyDescent="0.2">
      <c r="B7296" s="11"/>
    </row>
    <row r="7297" spans="2:2" x14ac:dyDescent="0.2">
      <c r="B7297" s="11"/>
    </row>
    <row r="7298" spans="2:2" x14ac:dyDescent="0.2">
      <c r="B7298" s="11"/>
    </row>
    <row r="7299" spans="2:2" x14ac:dyDescent="0.2">
      <c r="B7299" s="11"/>
    </row>
    <row r="7300" spans="2:2" x14ac:dyDescent="0.2">
      <c r="B7300" s="11"/>
    </row>
    <row r="7301" spans="2:2" x14ac:dyDescent="0.2">
      <c r="B7301" s="11"/>
    </row>
    <row r="7302" spans="2:2" x14ac:dyDescent="0.2">
      <c r="B7302" s="11"/>
    </row>
    <row r="7303" spans="2:2" x14ac:dyDescent="0.2">
      <c r="B7303" s="11"/>
    </row>
    <row r="7304" spans="2:2" x14ac:dyDescent="0.2">
      <c r="B7304" s="11"/>
    </row>
    <row r="7305" spans="2:2" x14ac:dyDescent="0.2">
      <c r="B7305" s="11"/>
    </row>
    <row r="7306" spans="2:2" x14ac:dyDescent="0.2">
      <c r="B7306" s="11"/>
    </row>
    <row r="7307" spans="2:2" x14ac:dyDescent="0.2">
      <c r="B7307" s="11"/>
    </row>
    <row r="7308" spans="2:2" x14ac:dyDescent="0.2">
      <c r="B7308" s="11"/>
    </row>
    <row r="7309" spans="2:2" x14ac:dyDescent="0.2">
      <c r="B7309" s="11"/>
    </row>
    <row r="7310" spans="2:2" x14ac:dyDescent="0.2">
      <c r="B7310" s="11"/>
    </row>
    <row r="7311" spans="2:2" x14ac:dyDescent="0.2">
      <c r="B7311" s="11"/>
    </row>
    <row r="7312" spans="2:2" x14ac:dyDescent="0.2">
      <c r="B7312" s="11"/>
    </row>
    <row r="7313" spans="2:2" x14ac:dyDescent="0.2">
      <c r="B7313" s="11"/>
    </row>
    <row r="7314" spans="2:2" x14ac:dyDescent="0.2">
      <c r="B7314" s="11"/>
    </row>
    <row r="7315" spans="2:2" x14ac:dyDescent="0.2">
      <c r="B7315" s="11"/>
    </row>
    <row r="7316" spans="2:2" x14ac:dyDescent="0.2">
      <c r="B7316" s="11"/>
    </row>
    <row r="7317" spans="2:2" x14ac:dyDescent="0.2">
      <c r="B7317" s="11"/>
    </row>
    <row r="7318" spans="2:2" x14ac:dyDescent="0.2">
      <c r="B7318" s="11"/>
    </row>
    <row r="7319" spans="2:2" x14ac:dyDescent="0.2">
      <c r="B7319" s="11"/>
    </row>
    <row r="7320" spans="2:2" x14ac:dyDescent="0.2">
      <c r="B7320" s="11"/>
    </row>
    <row r="7321" spans="2:2" x14ac:dyDescent="0.2">
      <c r="B7321" s="11"/>
    </row>
    <row r="7322" spans="2:2" x14ac:dyDescent="0.2">
      <c r="B7322" s="11"/>
    </row>
    <row r="7323" spans="2:2" x14ac:dyDescent="0.2">
      <c r="B7323" s="11"/>
    </row>
    <row r="7324" spans="2:2" x14ac:dyDescent="0.2">
      <c r="B7324" s="11"/>
    </row>
    <row r="7325" spans="2:2" x14ac:dyDescent="0.2">
      <c r="B7325" s="11"/>
    </row>
    <row r="7326" spans="2:2" x14ac:dyDescent="0.2">
      <c r="B7326" s="11"/>
    </row>
    <row r="7327" spans="2:2" x14ac:dyDescent="0.2">
      <c r="B7327" s="11"/>
    </row>
    <row r="7328" spans="2:2" x14ac:dyDescent="0.2">
      <c r="B7328" s="11"/>
    </row>
    <row r="7329" spans="2:2" x14ac:dyDescent="0.2">
      <c r="B7329" s="11"/>
    </row>
    <row r="7330" spans="2:2" x14ac:dyDescent="0.2">
      <c r="B7330" s="11"/>
    </row>
    <row r="7331" spans="2:2" x14ac:dyDescent="0.2">
      <c r="B7331" s="11"/>
    </row>
    <row r="7332" spans="2:2" x14ac:dyDescent="0.2">
      <c r="B7332" s="11"/>
    </row>
    <row r="7333" spans="2:2" x14ac:dyDescent="0.2">
      <c r="B7333" s="11"/>
    </row>
    <row r="7334" spans="2:2" x14ac:dyDescent="0.2">
      <c r="B7334" s="11"/>
    </row>
    <row r="7335" spans="2:2" x14ac:dyDescent="0.2">
      <c r="B7335" s="11"/>
    </row>
    <row r="7336" spans="2:2" x14ac:dyDescent="0.2">
      <c r="B7336" s="11"/>
    </row>
    <row r="7337" spans="2:2" x14ac:dyDescent="0.2">
      <c r="B7337" s="11"/>
    </row>
    <row r="7338" spans="2:2" x14ac:dyDescent="0.2">
      <c r="B7338" s="11"/>
    </row>
    <row r="7339" spans="2:2" x14ac:dyDescent="0.2">
      <c r="B7339" s="11"/>
    </row>
    <row r="7340" spans="2:2" x14ac:dyDescent="0.2">
      <c r="B7340" s="11"/>
    </row>
    <row r="7341" spans="2:2" x14ac:dyDescent="0.2">
      <c r="B7341" s="11"/>
    </row>
    <row r="7342" spans="2:2" x14ac:dyDescent="0.2">
      <c r="B7342" s="11"/>
    </row>
    <row r="7343" spans="2:2" x14ac:dyDescent="0.2">
      <c r="B7343" s="11"/>
    </row>
    <row r="7344" spans="2:2" x14ac:dyDescent="0.2">
      <c r="B7344" s="11"/>
    </row>
    <row r="7345" spans="2:2" x14ac:dyDescent="0.2">
      <c r="B7345" s="11"/>
    </row>
    <row r="7346" spans="2:2" x14ac:dyDescent="0.2">
      <c r="B7346" s="11"/>
    </row>
    <row r="7347" spans="2:2" x14ac:dyDescent="0.2">
      <c r="B7347" s="11"/>
    </row>
    <row r="7348" spans="2:2" x14ac:dyDescent="0.2">
      <c r="B7348" s="11"/>
    </row>
    <row r="7349" spans="2:2" x14ac:dyDescent="0.2">
      <c r="B7349" s="11"/>
    </row>
    <row r="7350" spans="2:2" x14ac:dyDescent="0.2">
      <c r="B7350" s="11"/>
    </row>
    <row r="7351" spans="2:2" x14ac:dyDescent="0.2">
      <c r="B7351" s="11"/>
    </row>
    <row r="7352" spans="2:2" x14ac:dyDescent="0.2">
      <c r="B7352" s="11"/>
    </row>
    <row r="7353" spans="2:2" x14ac:dyDescent="0.2">
      <c r="B7353" s="11"/>
    </row>
    <row r="7354" spans="2:2" x14ac:dyDescent="0.2">
      <c r="B7354" s="11"/>
    </row>
    <row r="7355" spans="2:2" x14ac:dyDescent="0.2">
      <c r="B7355" s="11"/>
    </row>
    <row r="7356" spans="2:2" x14ac:dyDescent="0.2">
      <c r="B7356" s="11"/>
    </row>
    <row r="7357" spans="2:2" x14ac:dyDescent="0.2">
      <c r="B7357" s="11"/>
    </row>
    <row r="7358" spans="2:2" x14ac:dyDescent="0.2">
      <c r="B7358" s="11"/>
    </row>
    <row r="7359" spans="2:2" x14ac:dyDescent="0.2">
      <c r="B7359" s="11"/>
    </row>
    <row r="7360" spans="2:2" x14ac:dyDescent="0.2">
      <c r="B7360" s="11"/>
    </row>
    <row r="7361" spans="2:2" x14ac:dyDescent="0.2">
      <c r="B7361" s="11"/>
    </row>
    <row r="7362" spans="2:2" x14ac:dyDescent="0.2">
      <c r="B7362" s="11"/>
    </row>
    <row r="7363" spans="2:2" x14ac:dyDescent="0.2">
      <c r="B7363" s="11"/>
    </row>
    <row r="7364" spans="2:2" x14ac:dyDescent="0.2">
      <c r="B7364" s="11"/>
    </row>
    <row r="7365" spans="2:2" x14ac:dyDescent="0.2">
      <c r="B7365" s="11"/>
    </row>
    <row r="7366" spans="2:2" x14ac:dyDescent="0.2">
      <c r="B7366" s="11"/>
    </row>
    <row r="7367" spans="2:2" x14ac:dyDescent="0.2">
      <c r="B7367" s="11"/>
    </row>
    <row r="7368" spans="2:2" x14ac:dyDescent="0.2">
      <c r="B7368" s="11"/>
    </row>
    <row r="7369" spans="2:2" x14ac:dyDescent="0.2">
      <c r="B7369" s="11"/>
    </row>
    <row r="7370" spans="2:2" x14ac:dyDescent="0.2">
      <c r="B7370" s="11"/>
    </row>
    <row r="7371" spans="2:2" x14ac:dyDescent="0.2">
      <c r="B7371" s="11"/>
    </row>
    <row r="7372" spans="2:2" x14ac:dyDescent="0.2">
      <c r="B7372" s="11"/>
    </row>
    <row r="7373" spans="2:2" x14ac:dyDescent="0.2">
      <c r="B7373" s="11"/>
    </row>
    <row r="7374" spans="2:2" x14ac:dyDescent="0.2">
      <c r="B7374" s="11"/>
    </row>
    <row r="7375" spans="2:2" x14ac:dyDescent="0.2">
      <c r="B7375" s="11"/>
    </row>
    <row r="7376" spans="2:2" x14ac:dyDescent="0.2">
      <c r="B7376" s="11"/>
    </row>
    <row r="7377" spans="2:2" x14ac:dyDescent="0.2">
      <c r="B7377" s="11"/>
    </row>
    <row r="7378" spans="2:2" x14ac:dyDescent="0.2">
      <c r="B7378" s="11"/>
    </row>
    <row r="7379" spans="2:2" x14ac:dyDescent="0.2">
      <c r="B7379" s="11"/>
    </row>
    <row r="7380" spans="2:2" x14ac:dyDescent="0.2">
      <c r="B7380" s="11"/>
    </row>
    <row r="7381" spans="2:2" x14ac:dyDescent="0.2">
      <c r="B7381" s="11"/>
    </row>
    <row r="7382" spans="2:2" x14ac:dyDescent="0.2">
      <c r="B7382" s="11"/>
    </row>
    <row r="7383" spans="2:2" x14ac:dyDescent="0.2">
      <c r="B7383" s="11"/>
    </row>
    <row r="7384" spans="2:2" x14ac:dyDescent="0.2">
      <c r="B7384" s="11"/>
    </row>
    <row r="7385" spans="2:2" x14ac:dyDescent="0.2">
      <c r="B7385" s="11"/>
    </row>
    <row r="7386" spans="2:2" x14ac:dyDescent="0.2">
      <c r="B7386" s="11"/>
    </row>
    <row r="7387" spans="2:2" x14ac:dyDescent="0.2">
      <c r="B7387" s="11"/>
    </row>
    <row r="7388" spans="2:2" x14ac:dyDescent="0.2">
      <c r="B7388" s="11"/>
    </row>
    <row r="7389" spans="2:2" x14ac:dyDescent="0.2">
      <c r="B7389" s="11"/>
    </row>
    <row r="7390" spans="2:2" x14ac:dyDescent="0.2">
      <c r="B7390" s="11"/>
    </row>
    <row r="7391" spans="2:2" x14ac:dyDescent="0.2">
      <c r="B7391" s="11"/>
    </row>
    <row r="7392" spans="2:2" x14ac:dyDescent="0.2">
      <c r="B7392" s="11"/>
    </row>
    <row r="7393" spans="2:2" x14ac:dyDescent="0.2">
      <c r="B7393" s="11"/>
    </row>
    <row r="7394" spans="2:2" x14ac:dyDescent="0.2">
      <c r="B7394" s="11"/>
    </row>
    <row r="7395" spans="2:2" x14ac:dyDescent="0.2">
      <c r="B7395" s="11"/>
    </row>
    <row r="7396" spans="2:2" x14ac:dyDescent="0.2">
      <c r="B7396" s="11"/>
    </row>
    <row r="7397" spans="2:2" x14ac:dyDescent="0.2">
      <c r="B7397" s="11"/>
    </row>
    <row r="7398" spans="2:2" x14ac:dyDescent="0.2">
      <c r="B7398" s="11"/>
    </row>
    <row r="7399" spans="2:2" x14ac:dyDescent="0.2">
      <c r="B7399" s="11"/>
    </row>
    <row r="7400" spans="2:2" x14ac:dyDescent="0.2">
      <c r="B7400" s="11"/>
    </row>
    <row r="7401" spans="2:2" x14ac:dyDescent="0.2">
      <c r="B7401" s="11"/>
    </row>
    <row r="7402" spans="2:2" x14ac:dyDescent="0.2">
      <c r="B7402" s="11"/>
    </row>
    <row r="7403" spans="2:2" x14ac:dyDescent="0.2">
      <c r="B7403" s="11"/>
    </row>
    <row r="7404" spans="2:2" x14ac:dyDescent="0.2">
      <c r="B7404" s="11"/>
    </row>
    <row r="7405" spans="2:2" x14ac:dyDescent="0.2">
      <c r="B7405" s="11"/>
    </row>
    <row r="7406" spans="2:2" x14ac:dyDescent="0.2">
      <c r="B7406" s="11"/>
    </row>
    <row r="7407" spans="2:2" x14ac:dyDescent="0.2">
      <c r="B7407" s="11"/>
    </row>
    <row r="7408" spans="2:2" x14ac:dyDescent="0.2">
      <c r="B7408" s="11"/>
    </row>
    <row r="7409" spans="2:2" x14ac:dyDescent="0.2">
      <c r="B7409" s="11"/>
    </row>
    <row r="7410" spans="2:2" x14ac:dyDescent="0.2">
      <c r="B7410" s="11"/>
    </row>
    <row r="7411" spans="2:2" x14ac:dyDescent="0.2">
      <c r="B7411" s="11"/>
    </row>
    <row r="7412" spans="2:2" x14ac:dyDescent="0.2">
      <c r="B7412" s="11"/>
    </row>
    <row r="7413" spans="2:2" x14ac:dyDescent="0.2">
      <c r="B7413" s="11"/>
    </row>
    <row r="7414" spans="2:2" x14ac:dyDescent="0.2">
      <c r="B7414" s="11"/>
    </row>
    <row r="7415" spans="2:2" x14ac:dyDescent="0.2">
      <c r="B7415" s="11"/>
    </row>
    <row r="7416" spans="2:2" x14ac:dyDescent="0.2">
      <c r="B7416" s="11"/>
    </row>
    <row r="7417" spans="2:2" x14ac:dyDescent="0.2">
      <c r="B7417" s="11"/>
    </row>
    <row r="7418" spans="2:2" x14ac:dyDescent="0.2">
      <c r="B7418" s="11"/>
    </row>
    <row r="7419" spans="2:2" x14ac:dyDescent="0.2">
      <c r="B7419" s="11"/>
    </row>
    <row r="7420" spans="2:2" x14ac:dyDescent="0.2">
      <c r="B7420" s="11"/>
    </row>
    <row r="7421" spans="2:2" x14ac:dyDescent="0.2">
      <c r="B7421" s="11"/>
    </row>
    <row r="7422" spans="2:2" x14ac:dyDescent="0.2">
      <c r="B7422" s="11"/>
    </row>
    <row r="7423" spans="2:2" x14ac:dyDescent="0.2">
      <c r="B7423" s="11"/>
    </row>
    <row r="7424" spans="2:2" x14ac:dyDescent="0.2">
      <c r="B7424" s="11"/>
    </row>
    <row r="7425" spans="2:2" x14ac:dyDescent="0.2">
      <c r="B7425" s="11"/>
    </row>
    <row r="7426" spans="2:2" x14ac:dyDescent="0.2">
      <c r="B7426" s="11"/>
    </row>
    <row r="7427" spans="2:2" x14ac:dyDescent="0.2">
      <c r="B7427" s="11"/>
    </row>
    <row r="7428" spans="2:2" x14ac:dyDescent="0.2">
      <c r="B7428" s="11"/>
    </row>
    <row r="7429" spans="2:2" x14ac:dyDescent="0.2">
      <c r="B7429" s="11"/>
    </row>
    <row r="7430" spans="2:2" x14ac:dyDescent="0.2">
      <c r="B7430" s="11"/>
    </row>
    <row r="7431" spans="2:2" x14ac:dyDescent="0.2">
      <c r="B7431" s="11"/>
    </row>
    <row r="7432" spans="2:2" x14ac:dyDescent="0.2">
      <c r="B7432" s="11"/>
    </row>
    <row r="7433" spans="2:2" x14ac:dyDescent="0.2">
      <c r="B7433" s="11"/>
    </row>
    <row r="7434" spans="2:2" x14ac:dyDescent="0.2">
      <c r="B7434" s="11"/>
    </row>
    <row r="7435" spans="2:2" x14ac:dyDescent="0.2">
      <c r="B7435" s="11"/>
    </row>
    <row r="7436" spans="2:2" x14ac:dyDescent="0.2">
      <c r="B7436" s="11"/>
    </row>
    <row r="7437" spans="2:2" x14ac:dyDescent="0.2">
      <c r="B7437" s="11"/>
    </row>
    <row r="7438" spans="2:2" x14ac:dyDescent="0.2">
      <c r="B7438" s="11"/>
    </row>
    <row r="7439" spans="2:2" x14ac:dyDescent="0.2">
      <c r="B7439" s="11"/>
    </row>
    <row r="7440" spans="2:2" x14ac:dyDescent="0.2">
      <c r="B7440" s="11"/>
    </row>
    <row r="7441" spans="2:2" x14ac:dyDescent="0.2">
      <c r="B7441" s="11"/>
    </row>
    <row r="7442" spans="2:2" x14ac:dyDescent="0.2">
      <c r="B7442" s="11"/>
    </row>
    <row r="7443" spans="2:2" x14ac:dyDescent="0.2">
      <c r="B7443" s="11"/>
    </row>
    <row r="7444" spans="2:2" x14ac:dyDescent="0.2">
      <c r="B7444" s="11"/>
    </row>
    <row r="7445" spans="2:2" x14ac:dyDescent="0.2">
      <c r="B7445" s="11"/>
    </row>
    <row r="7446" spans="2:2" x14ac:dyDescent="0.2">
      <c r="B7446" s="11"/>
    </row>
    <row r="7447" spans="2:2" x14ac:dyDescent="0.2">
      <c r="B7447" s="11"/>
    </row>
    <row r="7448" spans="2:2" x14ac:dyDescent="0.2">
      <c r="B7448" s="11"/>
    </row>
    <row r="7449" spans="2:2" x14ac:dyDescent="0.2">
      <c r="B7449" s="11"/>
    </row>
    <row r="7450" spans="2:2" x14ac:dyDescent="0.2">
      <c r="B7450" s="11"/>
    </row>
    <row r="7451" spans="2:2" x14ac:dyDescent="0.2">
      <c r="B7451" s="11"/>
    </row>
    <row r="7452" spans="2:2" x14ac:dyDescent="0.2">
      <c r="B7452" s="11"/>
    </row>
    <row r="7453" spans="2:2" x14ac:dyDescent="0.2">
      <c r="B7453" s="11"/>
    </row>
    <row r="7454" spans="2:2" x14ac:dyDescent="0.2">
      <c r="B7454" s="11"/>
    </row>
    <row r="7455" spans="2:2" x14ac:dyDescent="0.2">
      <c r="B7455" s="11"/>
    </row>
    <row r="7456" spans="2:2" x14ac:dyDescent="0.2">
      <c r="B7456" s="11"/>
    </row>
    <row r="7457" spans="2:2" x14ac:dyDescent="0.2">
      <c r="B7457" s="11"/>
    </row>
    <row r="7458" spans="2:2" x14ac:dyDescent="0.2">
      <c r="B7458" s="11"/>
    </row>
    <row r="7459" spans="2:2" x14ac:dyDescent="0.2">
      <c r="B7459" s="11"/>
    </row>
    <row r="7460" spans="2:2" x14ac:dyDescent="0.2">
      <c r="B7460" s="11"/>
    </row>
    <row r="7461" spans="2:2" x14ac:dyDescent="0.2">
      <c r="B7461" s="11"/>
    </row>
    <row r="7462" spans="2:2" x14ac:dyDescent="0.2">
      <c r="B7462" s="11"/>
    </row>
    <row r="7463" spans="2:2" x14ac:dyDescent="0.2">
      <c r="B7463" s="11"/>
    </row>
    <row r="7464" spans="2:2" x14ac:dyDescent="0.2">
      <c r="B7464" s="11"/>
    </row>
    <row r="7465" spans="2:2" x14ac:dyDescent="0.2">
      <c r="B7465" s="11"/>
    </row>
    <row r="7466" spans="2:2" x14ac:dyDescent="0.2">
      <c r="B7466" s="11"/>
    </row>
    <row r="7467" spans="2:2" x14ac:dyDescent="0.2">
      <c r="B7467" s="11"/>
    </row>
    <row r="7468" spans="2:2" x14ac:dyDescent="0.2">
      <c r="B7468" s="11"/>
    </row>
    <row r="7469" spans="2:2" x14ac:dyDescent="0.2">
      <c r="B7469" s="11"/>
    </row>
    <row r="7470" spans="2:2" x14ac:dyDescent="0.2">
      <c r="B7470" s="11"/>
    </row>
    <row r="7471" spans="2:2" x14ac:dyDescent="0.2">
      <c r="B7471" s="11"/>
    </row>
    <row r="7472" spans="2:2" x14ac:dyDescent="0.2">
      <c r="B7472" s="11"/>
    </row>
    <row r="7473" spans="2:2" x14ac:dyDescent="0.2">
      <c r="B7473" s="11"/>
    </row>
    <row r="7474" spans="2:2" x14ac:dyDescent="0.2">
      <c r="B7474" s="11"/>
    </row>
    <row r="7475" spans="2:2" x14ac:dyDescent="0.2">
      <c r="B7475" s="11"/>
    </row>
    <row r="7476" spans="2:2" x14ac:dyDescent="0.2">
      <c r="B7476" s="11"/>
    </row>
    <row r="7477" spans="2:2" x14ac:dyDescent="0.2">
      <c r="B7477" s="11"/>
    </row>
    <row r="7478" spans="2:2" x14ac:dyDescent="0.2">
      <c r="B7478" s="11"/>
    </row>
    <row r="7479" spans="2:2" x14ac:dyDescent="0.2">
      <c r="B7479" s="11"/>
    </row>
    <row r="7480" spans="2:2" x14ac:dyDescent="0.2">
      <c r="B7480" s="11"/>
    </row>
    <row r="7481" spans="2:2" x14ac:dyDescent="0.2">
      <c r="B7481" s="11"/>
    </row>
    <row r="7482" spans="2:2" x14ac:dyDescent="0.2">
      <c r="B7482" s="11"/>
    </row>
    <row r="7483" spans="2:2" x14ac:dyDescent="0.2">
      <c r="B7483" s="11"/>
    </row>
    <row r="7484" spans="2:2" x14ac:dyDescent="0.2">
      <c r="B7484" s="11"/>
    </row>
    <row r="7485" spans="2:2" x14ac:dyDescent="0.2">
      <c r="B7485" s="11"/>
    </row>
    <row r="7486" spans="2:2" x14ac:dyDescent="0.2">
      <c r="B7486" s="11"/>
    </row>
    <row r="7487" spans="2:2" x14ac:dyDescent="0.2">
      <c r="B7487" s="11"/>
    </row>
    <row r="7488" spans="2:2" x14ac:dyDescent="0.2">
      <c r="B7488" s="11"/>
    </row>
    <row r="7489" spans="2:2" x14ac:dyDescent="0.2">
      <c r="B7489" s="11"/>
    </row>
    <row r="7490" spans="2:2" x14ac:dyDescent="0.2">
      <c r="B7490" s="11"/>
    </row>
    <row r="7491" spans="2:2" x14ac:dyDescent="0.2">
      <c r="B7491" s="11"/>
    </row>
    <row r="7492" spans="2:2" x14ac:dyDescent="0.2">
      <c r="B7492" s="11"/>
    </row>
    <row r="7493" spans="2:2" x14ac:dyDescent="0.2">
      <c r="B7493" s="11"/>
    </row>
    <row r="7494" spans="2:2" x14ac:dyDescent="0.2">
      <c r="B7494" s="11"/>
    </row>
    <row r="7495" spans="2:2" x14ac:dyDescent="0.2">
      <c r="B7495" s="11"/>
    </row>
    <row r="7496" spans="2:2" x14ac:dyDescent="0.2">
      <c r="B7496" s="11"/>
    </row>
    <row r="7497" spans="2:2" x14ac:dyDescent="0.2">
      <c r="B7497" s="11"/>
    </row>
    <row r="7498" spans="2:2" x14ac:dyDescent="0.2">
      <c r="B7498" s="11"/>
    </row>
    <row r="7499" spans="2:2" x14ac:dyDescent="0.2">
      <c r="B7499" s="11"/>
    </row>
    <row r="7500" spans="2:2" x14ac:dyDescent="0.2">
      <c r="B7500" s="11"/>
    </row>
    <row r="7501" spans="2:2" x14ac:dyDescent="0.2">
      <c r="B7501" s="11"/>
    </row>
    <row r="7502" spans="2:2" x14ac:dyDescent="0.2">
      <c r="B7502" s="11"/>
    </row>
    <row r="7503" spans="2:2" x14ac:dyDescent="0.2">
      <c r="B7503" s="11"/>
    </row>
    <row r="7504" spans="2:2" x14ac:dyDescent="0.2">
      <c r="B7504" s="11"/>
    </row>
    <row r="7505" spans="2:2" x14ac:dyDescent="0.2">
      <c r="B7505" s="11"/>
    </row>
    <row r="7506" spans="2:2" x14ac:dyDescent="0.2">
      <c r="B7506" s="11"/>
    </row>
    <row r="7507" spans="2:2" x14ac:dyDescent="0.2">
      <c r="B7507" s="11"/>
    </row>
    <row r="7508" spans="2:2" x14ac:dyDescent="0.2">
      <c r="B7508" s="11"/>
    </row>
    <row r="7509" spans="2:2" x14ac:dyDescent="0.2">
      <c r="B7509" s="11"/>
    </row>
    <row r="7510" spans="2:2" x14ac:dyDescent="0.2">
      <c r="B7510" s="11"/>
    </row>
    <row r="7511" spans="2:2" x14ac:dyDescent="0.2">
      <c r="B7511" s="11"/>
    </row>
    <row r="7512" spans="2:2" x14ac:dyDescent="0.2">
      <c r="B7512" s="11"/>
    </row>
    <row r="7513" spans="2:2" x14ac:dyDescent="0.2">
      <c r="B7513" s="11"/>
    </row>
    <row r="7514" spans="2:2" x14ac:dyDescent="0.2">
      <c r="B7514" s="11"/>
    </row>
    <row r="7515" spans="2:2" x14ac:dyDescent="0.2">
      <c r="B7515" s="11"/>
    </row>
    <row r="7516" spans="2:2" x14ac:dyDescent="0.2">
      <c r="B7516" s="11"/>
    </row>
    <row r="7517" spans="2:2" x14ac:dyDescent="0.2">
      <c r="B7517" s="11"/>
    </row>
    <row r="7518" spans="2:2" x14ac:dyDescent="0.2">
      <c r="B7518" s="11"/>
    </row>
    <row r="7519" spans="2:2" x14ac:dyDescent="0.2">
      <c r="B7519" s="11"/>
    </row>
    <row r="7520" spans="2:2" x14ac:dyDescent="0.2">
      <c r="B7520" s="11"/>
    </row>
    <row r="7521" spans="2:2" x14ac:dyDescent="0.2">
      <c r="B7521" s="11"/>
    </row>
    <row r="7522" spans="2:2" x14ac:dyDescent="0.2">
      <c r="B7522" s="11"/>
    </row>
    <row r="7523" spans="2:2" x14ac:dyDescent="0.2">
      <c r="B7523" s="11"/>
    </row>
    <row r="7524" spans="2:2" x14ac:dyDescent="0.2">
      <c r="B7524" s="11"/>
    </row>
    <row r="7525" spans="2:2" x14ac:dyDescent="0.2">
      <c r="B7525" s="11"/>
    </row>
    <row r="7526" spans="2:2" x14ac:dyDescent="0.2">
      <c r="B7526" s="11"/>
    </row>
    <row r="7527" spans="2:2" x14ac:dyDescent="0.2">
      <c r="B7527" s="11"/>
    </row>
    <row r="7528" spans="2:2" x14ac:dyDescent="0.2">
      <c r="B7528" s="11"/>
    </row>
    <row r="7529" spans="2:2" x14ac:dyDescent="0.2">
      <c r="B7529" s="11"/>
    </row>
    <row r="7530" spans="2:2" x14ac:dyDescent="0.2">
      <c r="B7530" s="11"/>
    </row>
    <row r="7531" spans="2:2" x14ac:dyDescent="0.2">
      <c r="B7531" s="11"/>
    </row>
    <row r="7532" spans="2:2" x14ac:dyDescent="0.2">
      <c r="B7532" s="11"/>
    </row>
    <row r="7533" spans="2:2" x14ac:dyDescent="0.2">
      <c r="B7533" s="11"/>
    </row>
    <row r="7534" spans="2:2" x14ac:dyDescent="0.2">
      <c r="B7534" s="11"/>
    </row>
    <row r="7535" spans="2:2" x14ac:dyDescent="0.2">
      <c r="B7535" s="11"/>
    </row>
    <row r="7536" spans="2:2" x14ac:dyDescent="0.2">
      <c r="B7536" s="11"/>
    </row>
    <row r="7537" spans="2:2" x14ac:dyDescent="0.2">
      <c r="B7537" s="11"/>
    </row>
    <row r="7538" spans="2:2" x14ac:dyDescent="0.2">
      <c r="B7538" s="11"/>
    </row>
    <row r="7539" spans="2:2" x14ac:dyDescent="0.2">
      <c r="B7539" s="11"/>
    </row>
    <row r="7540" spans="2:2" x14ac:dyDescent="0.2">
      <c r="B7540" s="11"/>
    </row>
    <row r="7541" spans="2:2" x14ac:dyDescent="0.2">
      <c r="B7541" s="11"/>
    </row>
    <row r="7542" spans="2:2" x14ac:dyDescent="0.2">
      <c r="B7542" s="11"/>
    </row>
    <row r="7543" spans="2:2" x14ac:dyDescent="0.2">
      <c r="B7543" s="11"/>
    </row>
    <row r="7544" spans="2:2" x14ac:dyDescent="0.2">
      <c r="B7544" s="11"/>
    </row>
    <row r="7545" spans="2:2" x14ac:dyDescent="0.2">
      <c r="B7545" s="11"/>
    </row>
    <row r="7546" spans="2:2" x14ac:dyDescent="0.2">
      <c r="B7546" s="11"/>
    </row>
    <row r="7547" spans="2:2" x14ac:dyDescent="0.2">
      <c r="B7547" s="11"/>
    </row>
    <row r="7548" spans="2:2" x14ac:dyDescent="0.2">
      <c r="B7548" s="11"/>
    </row>
    <row r="7549" spans="2:2" x14ac:dyDescent="0.2">
      <c r="B7549" s="11"/>
    </row>
    <row r="7550" spans="2:2" x14ac:dyDescent="0.2">
      <c r="B7550" s="11"/>
    </row>
    <row r="7551" spans="2:2" x14ac:dyDescent="0.2">
      <c r="B7551" s="11"/>
    </row>
    <row r="7552" spans="2:2" x14ac:dyDescent="0.2">
      <c r="B7552" s="11"/>
    </row>
    <row r="7553" spans="2:2" x14ac:dyDescent="0.2">
      <c r="B7553" s="11"/>
    </row>
    <row r="7554" spans="2:2" x14ac:dyDescent="0.2">
      <c r="B7554" s="11"/>
    </row>
    <row r="7555" spans="2:2" x14ac:dyDescent="0.2">
      <c r="B7555" s="11"/>
    </row>
    <row r="7556" spans="2:2" x14ac:dyDescent="0.2">
      <c r="B7556" s="11"/>
    </row>
    <row r="7557" spans="2:2" x14ac:dyDescent="0.2">
      <c r="B7557" s="11"/>
    </row>
    <row r="7558" spans="2:2" x14ac:dyDescent="0.2">
      <c r="B7558" s="11"/>
    </row>
    <row r="7559" spans="2:2" x14ac:dyDescent="0.2">
      <c r="B7559" s="11"/>
    </row>
    <row r="7560" spans="2:2" x14ac:dyDescent="0.2">
      <c r="B7560" s="11"/>
    </row>
    <row r="7561" spans="2:2" x14ac:dyDescent="0.2">
      <c r="B7561" s="11"/>
    </row>
    <row r="7562" spans="2:2" x14ac:dyDescent="0.2">
      <c r="B7562" s="11"/>
    </row>
    <row r="7563" spans="2:2" x14ac:dyDescent="0.2">
      <c r="B7563" s="11"/>
    </row>
    <row r="7564" spans="2:2" x14ac:dyDescent="0.2">
      <c r="B7564" s="11"/>
    </row>
    <row r="7565" spans="2:2" x14ac:dyDescent="0.2">
      <c r="B7565" s="11"/>
    </row>
    <row r="7566" spans="2:2" x14ac:dyDescent="0.2">
      <c r="B7566" s="11"/>
    </row>
    <row r="7567" spans="2:2" x14ac:dyDescent="0.2">
      <c r="B7567" s="11"/>
    </row>
    <row r="7568" spans="2:2" x14ac:dyDescent="0.2">
      <c r="B7568" s="11"/>
    </row>
    <row r="7569" spans="2:2" x14ac:dyDescent="0.2">
      <c r="B7569" s="11"/>
    </row>
    <row r="7570" spans="2:2" x14ac:dyDescent="0.2">
      <c r="B7570" s="11"/>
    </row>
    <row r="7571" spans="2:2" x14ac:dyDescent="0.2">
      <c r="B7571" s="11"/>
    </row>
    <row r="7572" spans="2:2" x14ac:dyDescent="0.2">
      <c r="B7572" s="11"/>
    </row>
    <row r="7573" spans="2:2" x14ac:dyDescent="0.2">
      <c r="B7573" s="11"/>
    </row>
    <row r="7574" spans="2:2" x14ac:dyDescent="0.2">
      <c r="B7574" s="11"/>
    </row>
    <row r="7575" spans="2:2" x14ac:dyDescent="0.2">
      <c r="B7575" s="11"/>
    </row>
    <row r="7576" spans="2:2" x14ac:dyDescent="0.2">
      <c r="B7576" s="11"/>
    </row>
    <row r="7577" spans="2:2" x14ac:dyDescent="0.2">
      <c r="B7577" s="11"/>
    </row>
    <row r="7578" spans="2:2" x14ac:dyDescent="0.2">
      <c r="B7578" s="11"/>
    </row>
    <row r="7579" spans="2:2" x14ac:dyDescent="0.2">
      <c r="B7579" s="11"/>
    </row>
    <row r="7580" spans="2:2" x14ac:dyDescent="0.2">
      <c r="B7580" s="11"/>
    </row>
    <row r="7581" spans="2:2" x14ac:dyDescent="0.2">
      <c r="B7581" s="11"/>
    </row>
    <row r="7582" spans="2:2" x14ac:dyDescent="0.2">
      <c r="B7582" s="11"/>
    </row>
    <row r="7583" spans="2:2" x14ac:dyDescent="0.2">
      <c r="B7583" s="11"/>
    </row>
    <row r="7584" spans="2:2" x14ac:dyDescent="0.2">
      <c r="B7584" s="11"/>
    </row>
    <row r="7585" spans="2:2" x14ac:dyDescent="0.2">
      <c r="B7585" s="11"/>
    </row>
    <row r="7586" spans="2:2" x14ac:dyDescent="0.2">
      <c r="B7586" s="11"/>
    </row>
    <row r="7587" spans="2:2" x14ac:dyDescent="0.2">
      <c r="B7587" s="11"/>
    </row>
    <row r="7588" spans="2:2" x14ac:dyDescent="0.2">
      <c r="B7588" s="11"/>
    </row>
    <row r="7589" spans="2:2" x14ac:dyDescent="0.2">
      <c r="B7589" s="11"/>
    </row>
    <row r="7590" spans="2:2" x14ac:dyDescent="0.2">
      <c r="B7590" s="11"/>
    </row>
    <row r="7591" spans="2:2" x14ac:dyDescent="0.2">
      <c r="B7591" s="11"/>
    </row>
    <row r="7592" spans="2:2" x14ac:dyDescent="0.2">
      <c r="B7592" s="11"/>
    </row>
    <row r="7593" spans="2:2" x14ac:dyDescent="0.2">
      <c r="B7593" s="11"/>
    </row>
    <row r="7594" spans="2:2" x14ac:dyDescent="0.2">
      <c r="B7594" s="11"/>
    </row>
    <row r="7595" spans="2:2" x14ac:dyDescent="0.2">
      <c r="B7595" s="11"/>
    </row>
    <row r="7596" spans="2:2" x14ac:dyDescent="0.2">
      <c r="B7596" s="11"/>
    </row>
    <row r="7597" spans="2:2" x14ac:dyDescent="0.2">
      <c r="B7597" s="11"/>
    </row>
    <row r="7598" spans="2:2" x14ac:dyDescent="0.2">
      <c r="B7598" s="11"/>
    </row>
    <row r="7599" spans="2:2" x14ac:dyDescent="0.2">
      <c r="B7599" s="11"/>
    </row>
    <row r="7600" spans="2:2" x14ac:dyDescent="0.2">
      <c r="B7600" s="11"/>
    </row>
    <row r="7601" spans="2:2" x14ac:dyDescent="0.2">
      <c r="B7601" s="11"/>
    </row>
    <row r="7602" spans="2:2" x14ac:dyDescent="0.2">
      <c r="B7602" s="11"/>
    </row>
    <row r="7603" spans="2:2" x14ac:dyDescent="0.2">
      <c r="B7603" s="11"/>
    </row>
    <row r="7604" spans="2:2" x14ac:dyDescent="0.2">
      <c r="B7604" s="11"/>
    </row>
    <row r="7605" spans="2:2" x14ac:dyDescent="0.2">
      <c r="B7605" s="11"/>
    </row>
    <row r="7606" spans="2:2" x14ac:dyDescent="0.2">
      <c r="B7606" s="11"/>
    </row>
    <row r="7607" spans="2:2" x14ac:dyDescent="0.2">
      <c r="B7607" s="11"/>
    </row>
    <row r="7608" spans="2:2" x14ac:dyDescent="0.2">
      <c r="B7608" s="11"/>
    </row>
    <row r="7609" spans="2:2" x14ac:dyDescent="0.2">
      <c r="B7609" s="11"/>
    </row>
    <row r="7610" spans="2:2" x14ac:dyDescent="0.2">
      <c r="B7610" s="11"/>
    </row>
    <row r="7611" spans="2:2" x14ac:dyDescent="0.2">
      <c r="B7611" s="11"/>
    </row>
    <row r="7612" spans="2:2" x14ac:dyDescent="0.2">
      <c r="B7612" s="11"/>
    </row>
    <row r="7613" spans="2:2" x14ac:dyDescent="0.2">
      <c r="B7613" s="11"/>
    </row>
    <row r="7614" spans="2:2" x14ac:dyDescent="0.2">
      <c r="B7614" s="11"/>
    </row>
    <row r="7615" spans="2:2" x14ac:dyDescent="0.2">
      <c r="B7615" s="11"/>
    </row>
    <row r="7616" spans="2:2" x14ac:dyDescent="0.2">
      <c r="B7616" s="11"/>
    </row>
    <row r="7617" spans="2:2" x14ac:dyDescent="0.2">
      <c r="B7617" s="11"/>
    </row>
    <row r="7618" spans="2:2" x14ac:dyDescent="0.2">
      <c r="B7618" s="11"/>
    </row>
    <row r="7619" spans="2:2" x14ac:dyDescent="0.2">
      <c r="B7619" s="11"/>
    </row>
    <row r="7620" spans="2:2" x14ac:dyDescent="0.2">
      <c r="B7620" s="11"/>
    </row>
    <row r="7621" spans="2:2" x14ac:dyDescent="0.2">
      <c r="B7621" s="11"/>
    </row>
    <row r="7622" spans="2:2" x14ac:dyDescent="0.2">
      <c r="B7622" s="11"/>
    </row>
    <row r="7623" spans="2:2" x14ac:dyDescent="0.2">
      <c r="B7623" s="11"/>
    </row>
    <row r="7624" spans="2:2" x14ac:dyDescent="0.2">
      <c r="B7624" s="11"/>
    </row>
    <row r="7625" spans="2:2" x14ac:dyDescent="0.2">
      <c r="B7625" s="11"/>
    </row>
    <row r="7626" spans="2:2" x14ac:dyDescent="0.2">
      <c r="B7626" s="11"/>
    </row>
    <row r="7627" spans="2:2" x14ac:dyDescent="0.2">
      <c r="B7627" s="11"/>
    </row>
    <row r="7628" spans="2:2" x14ac:dyDescent="0.2">
      <c r="B7628" s="11"/>
    </row>
    <row r="7629" spans="2:2" x14ac:dyDescent="0.2">
      <c r="B7629" s="11"/>
    </row>
    <row r="7630" spans="2:2" x14ac:dyDescent="0.2">
      <c r="B7630" s="11"/>
    </row>
    <row r="7631" spans="2:2" x14ac:dyDescent="0.2">
      <c r="B7631" s="11"/>
    </row>
    <row r="7632" spans="2:2" x14ac:dyDescent="0.2">
      <c r="B7632" s="11"/>
    </row>
    <row r="7633" spans="2:2" x14ac:dyDescent="0.2">
      <c r="B7633" s="11"/>
    </row>
    <row r="7634" spans="2:2" x14ac:dyDescent="0.2">
      <c r="B7634" s="11"/>
    </row>
    <row r="7635" spans="2:2" x14ac:dyDescent="0.2">
      <c r="B7635" s="11"/>
    </row>
    <row r="7636" spans="2:2" x14ac:dyDescent="0.2">
      <c r="B7636" s="11"/>
    </row>
    <row r="7637" spans="2:2" x14ac:dyDescent="0.2">
      <c r="B7637" s="11"/>
    </row>
    <row r="7638" spans="2:2" x14ac:dyDescent="0.2">
      <c r="B7638" s="11"/>
    </row>
    <row r="7639" spans="2:2" x14ac:dyDescent="0.2">
      <c r="B7639" s="11"/>
    </row>
    <row r="7640" spans="2:2" x14ac:dyDescent="0.2">
      <c r="B7640" s="11"/>
    </row>
    <row r="7641" spans="2:2" x14ac:dyDescent="0.2">
      <c r="B7641" s="11"/>
    </row>
    <row r="7642" spans="2:2" x14ac:dyDescent="0.2">
      <c r="B7642" s="11"/>
    </row>
    <row r="7643" spans="2:2" x14ac:dyDescent="0.2">
      <c r="B7643" s="11"/>
    </row>
    <row r="7644" spans="2:2" x14ac:dyDescent="0.2">
      <c r="B7644" s="11"/>
    </row>
    <row r="7645" spans="2:2" x14ac:dyDescent="0.2">
      <c r="B7645" s="11"/>
    </row>
    <row r="7646" spans="2:2" x14ac:dyDescent="0.2">
      <c r="B7646" s="11"/>
    </row>
    <row r="7647" spans="2:2" x14ac:dyDescent="0.2">
      <c r="B7647" s="11"/>
    </row>
    <row r="7648" spans="2:2" x14ac:dyDescent="0.2">
      <c r="B7648" s="11"/>
    </row>
    <row r="7649" spans="2:2" x14ac:dyDescent="0.2">
      <c r="B7649" s="11"/>
    </row>
    <row r="7650" spans="2:2" x14ac:dyDescent="0.2">
      <c r="B7650" s="11"/>
    </row>
    <row r="7651" spans="2:2" x14ac:dyDescent="0.2">
      <c r="B7651" s="11"/>
    </row>
    <row r="7652" spans="2:2" x14ac:dyDescent="0.2">
      <c r="B7652" s="11"/>
    </row>
    <row r="7653" spans="2:2" x14ac:dyDescent="0.2">
      <c r="B7653" s="11"/>
    </row>
    <row r="7654" spans="2:2" x14ac:dyDescent="0.2">
      <c r="B7654" s="11"/>
    </row>
    <row r="7655" spans="2:2" x14ac:dyDescent="0.2">
      <c r="B7655" s="11"/>
    </row>
    <row r="7656" spans="2:2" x14ac:dyDescent="0.2">
      <c r="B7656" s="11"/>
    </row>
    <row r="7657" spans="2:2" x14ac:dyDescent="0.2">
      <c r="B7657" s="11"/>
    </row>
    <row r="7658" spans="2:2" x14ac:dyDescent="0.2">
      <c r="B7658" s="11"/>
    </row>
    <row r="7659" spans="2:2" x14ac:dyDescent="0.2">
      <c r="B7659" s="11"/>
    </row>
    <row r="7660" spans="2:2" x14ac:dyDescent="0.2">
      <c r="B7660" s="11"/>
    </row>
    <row r="7661" spans="2:2" x14ac:dyDescent="0.2">
      <c r="B7661" s="11"/>
    </row>
    <row r="7662" spans="2:2" x14ac:dyDescent="0.2">
      <c r="B7662" s="11"/>
    </row>
    <row r="7663" spans="2:2" x14ac:dyDescent="0.2">
      <c r="B7663" s="11"/>
    </row>
    <row r="7664" spans="2:2" x14ac:dyDescent="0.2">
      <c r="B7664" s="11"/>
    </row>
    <row r="7665" spans="2:2" x14ac:dyDescent="0.2">
      <c r="B7665" s="11"/>
    </row>
    <row r="7666" spans="2:2" x14ac:dyDescent="0.2">
      <c r="B7666" s="11"/>
    </row>
    <row r="7667" spans="2:2" x14ac:dyDescent="0.2">
      <c r="B7667" s="11"/>
    </row>
    <row r="7668" spans="2:2" x14ac:dyDescent="0.2">
      <c r="B7668" s="11"/>
    </row>
    <row r="7669" spans="2:2" x14ac:dyDescent="0.2">
      <c r="B7669" s="11"/>
    </row>
    <row r="7670" spans="2:2" x14ac:dyDescent="0.2">
      <c r="B7670" s="11"/>
    </row>
    <row r="7671" spans="2:2" x14ac:dyDescent="0.2">
      <c r="B7671" s="11"/>
    </row>
    <row r="7672" spans="2:2" x14ac:dyDescent="0.2">
      <c r="B7672" s="11"/>
    </row>
    <row r="7673" spans="2:2" x14ac:dyDescent="0.2">
      <c r="B7673" s="11"/>
    </row>
    <row r="7674" spans="2:2" x14ac:dyDescent="0.2">
      <c r="B7674" s="11"/>
    </row>
    <row r="7675" spans="2:2" x14ac:dyDescent="0.2">
      <c r="B7675" s="11"/>
    </row>
    <row r="7676" spans="2:2" x14ac:dyDescent="0.2">
      <c r="B7676" s="11"/>
    </row>
    <row r="7677" spans="2:2" x14ac:dyDescent="0.2">
      <c r="B7677" s="11"/>
    </row>
    <row r="7678" spans="2:2" x14ac:dyDescent="0.2">
      <c r="B7678" s="11"/>
    </row>
    <row r="7679" spans="2:2" x14ac:dyDescent="0.2">
      <c r="B7679" s="11"/>
    </row>
    <row r="7680" spans="2:2" x14ac:dyDescent="0.2">
      <c r="B7680" s="11"/>
    </row>
    <row r="7681" spans="2:2" x14ac:dyDescent="0.2">
      <c r="B7681" s="11"/>
    </row>
    <row r="7682" spans="2:2" x14ac:dyDescent="0.2">
      <c r="B7682" s="11"/>
    </row>
    <row r="7683" spans="2:2" x14ac:dyDescent="0.2">
      <c r="B7683" s="11"/>
    </row>
    <row r="7684" spans="2:2" x14ac:dyDescent="0.2">
      <c r="B7684" s="11"/>
    </row>
    <row r="7685" spans="2:2" x14ac:dyDescent="0.2">
      <c r="B7685" s="11"/>
    </row>
    <row r="7686" spans="2:2" x14ac:dyDescent="0.2">
      <c r="B7686" s="11"/>
    </row>
    <row r="7687" spans="2:2" x14ac:dyDescent="0.2">
      <c r="B7687" s="11"/>
    </row>
    <row r="7688" spans="2:2" x14ac:dyDescent="0.2">
      <c r="B7688" s="11"/>
    </row>
    <row r="7689" spans="2:2" x14ac:dyDescent="0.2">
      <c r="B7689" s="11"/>
    </row>
    <row r="7690" spans="2:2" x14ac:dyDescent="0.2">
      <c r="B7690" s="11"/>
    </row>
    <row r="7691" spans="2:2" x14ac:dyDescent="0.2">
      <c r="B7691" s="11"/>
    </row>
    <row r="7692" spans="2:2" x14ac:dyDescent="0.2">
      <c r="B7692" s="11"/>
    </row>
    <row r="7693" spans="2:2" x14ac:dyDescent="0.2">
      <c r="B7693" s="11"/>
    </row>
    <row r="7694" spans="2:2" x14ac:dyDescent="0.2">
      <c r="B7694" s="11"/>
    </row>
    <row r="7695" spans="2:2" x14ac:dyDescent="0.2">
      <c r="B7695" s="11"/>
    </row>
    <row r="7696" spans="2:2" x14ac:dyDescent="0.2">
      <c r="B7696" s="11"/>
    </row>
    <row r="7697" spans="2:2" x14ac:dyDescent="0.2">
      <c r="B7697" s="11"/>
    </row>
    <row r="7698" spans="2:2" x14ac:dyDescent="0.2">
      <c r="B7698" s="11"/>
    </row>
    <row r="7699" spans="2:2" x14ac:dyDescent="0.2">
      <c r="B7699" s="11"/>
    </row>
    <row r="7700" spans="2:2" x14ac:dyDescent="0.2">
      <c r="B7700" s="11"/>
    </row>
    <row r="7701" spans="2:2" x14ac:dyDescent="0.2">
      <c r="B7701" s="11"/>
    </row>
    <row r="7702" spans="2:2" x14ac:dyDescent="0.2">
      <c r="B7702" s="11"/>
    </row>
    <row r="7703" spans="2:2" x14ac:dyDescent="0.2">
      <c r="B7703" s="11"/>
    </row>
    <row r="7704" spans="2:2" x14ac:dyDescent="0.2">
      <c r="B7704" s="11"/>
    </row>
    <row r="7705" spans="2:2" x14ac:dyDescent="0.2">
      <c r="B7705" s="11"/>
    </row>
    <row r="7706" spans="2:2" x14ac:dyDescent="0.2">
      <c r="B7706" s="11"/>
    </row>
    <row r="7707" spans="2:2" x14ac:dyDescent="0.2">
      <c r="B7707" s="11"/>
    </row>
    <row r="7708" spans="2:2" x14ac:dyDescent="0.2">
      <c r="B7708" s="11"/>
    </row>
    <row r="7709" spans="2:2" x14ac:dyDescent="0.2">
      <c r="B7709" s="11"/>
    </row>
    <row r="7710" spans="2:2" x14ac:dyDescent="0.2">
      <c r="B7710" s="11"/>
    </row>
    <row r="7711" spans="2:2" x14ac:dyDescent="0.2">
      <c r="B7711" s="11"/>
    </row>
    <row r="7712" spans="2:2" x14ac:dyDescent="0.2">
      <c r="B7712" s="11"/>
    </row>
    <row r="7713" spans="2:2" x14ac:dyDescent="0.2">
      <c r="B7713" s="11"/>
    </row>
    <row r="7714" spans="2:2" x14ac:dyDescent="0.2">
      <c r="B7714" s="11"/>
    </row>
    <row r="7715" spans="2:2" x14ac:dyDescent="0.2">
      <c r="B7715" s="11"/>
    </row>
    <row r="7716" spans="2:2" x14ac:dyDescent="0.2">
      <c r="B7716" s="11"/>
    </row>
    <row r="7717" spans="2:2" x14ac:dyDescent="0.2">
      <c r="B7717" s="11"/>
    </row>
    <row r="7718" spans="2:2" x14ac:dyDescent="0.2">
      <c r="B7718" s="11"/>
    </row>
    <row r="7719" spans="2:2" x14ac:dyDescent="0.2">
      <c r="B7719" s="11"/>
    </row>
    <row r="7720" spans="2:2" x14ac:dyDescent="0.2">
      <c r="B7720" s="11"/>
    </row>
    <row r="7721" spans="2:2" x14ac:dyDescent="0.2">
      <c r="B7721" s="11"/>
    </row>
    <row r="7722" spans="2:2" x14ac:dyDescent="0.2">
      <c r="B7722" s="11"/>
    </row>
    <row r="7723" spans="2:2" x14ac:dyDescent="0.2">
      <c r="B7723" s="11"/>
    </row>
    <row r="7724" spans="2:2" x14ac:dyDescent="0.2">
      <c r="B7724" s="11"/>
    </row>
    <row r="7725" spans="2:2" x14ac:dyDescent="0.2">
      <c r="B7725" s="11"/>
    </row>
    <row r="7726" spans="2:2" x14ac:dyDescent="0.2">
      <c r="B7726" s="11"/>
    </row>
    <row r="7727" spans="2:2" x14ac:dyDescent="0.2">
      <c r="B7727" s="11"/>
    </row>
    <row r="7728" spans="2:2" x14ac:dyDescent="0.2">
      <c r="B7728" s="11"/>
    </row>
    <row r="7729" spans="2:2" x14ac:dyDescent="0.2">
      <c r="B7729" s="11"/>
    </row>
    <row r="7730" spans="2:2" x14ac:dyDescent="0.2">
      <c r="B7730" s="11"/>
    </row>
    <row r="7731" spans="2:2" x14ac:dyDescent="0.2">
      <c r="B7731" s="11"/>
    </row>
    <row r="7732" spans="2:2" x14ac:dyDescent="0.2">
      <c r="B7732" s="11"/>
    </row>
    <row r="7733" spans="2:2" x14ac:dyDescent="0.2">
      <c r="B7733" s="11"/>
    </row>
    <row r="7734" spans="2:2" x14ac:dyDescent="0.2">
      <c r="B7734" s="11"/>
    </row>
    <row r="7735" spans="2:2" x14ac:dyDescent="0.2">
      <c r="B7735" s="11"/>
    </row>
    <row r="7736" spans="2:2" x14ac:dyDescent="0.2">
      <c r="B7736" s="11"/>
    </row>
    <row r="7737" spans="2:2" x14ac:dyDescent="0.2">
      <c r="B7737" s="11"/>
    </row>
    <row r="7738" spans="2:2" x14ac:dyDescent="0.2">
      <c r="B7738" s="11"/>
    </row>
    <row r="7739" spans="2:2" x14ac:dyDescent="0.2">
      <c r="B7739" s="11"/>
    </row>
    <row r="7740" spans="2:2" x14ac:dyDescent="0.2">
      <c r="B7740" s="11"/>
    </row>
    <row r="7741" spans="2:2" x14ac:dyDescent="0.2">
      <c r="B7741" s="11"/>
    </row>
    <row r="7742" spans="2:2" x14ac:dyDescent="0.2">
      <c r="B7742" s="11"/>
    </row>
    <row r="7743" spans="2:2" x14ac:dyDescent="0.2">
      <c r="B7743" s="11"/>
    </row>
    <row r="7744" spans="2:2" x14ac:dyDescent="0.2">
      <c r="B7744" s="11"/>
    </row>
    <row r="7745" spans="2:2" x14ac:dyDescent="0.2">
      <c r="B7745" s="11"/>
    </row>
    <row r="7746" spans="2:2" x14ac:dyDescent="0.2">
      <c r="B7746" s="11"/>
    </row>
    <row r="7747" spans="2:2" x14ac:dyDescent="0.2">
      <c r="B7747" s="11"/>
    </row>
    <row r="7748" spans="2:2" x14ac:dyDescent="0.2">
      <c r="B7748" s="11"/>
    </row>
    <row r="7749" spans="2:2" x14ac:dyDescent="0.2">
      <c r="B7749" s="11"/>
    </row>
    <row r="7750" spans="2:2" x14ac:dyDescent="0.2">
      <c r="B7750" s="11"/>
    </row>
    <row r="7751" spans="2:2" x14ac:dyDescent="0.2">
      <c r="B7751" s="11"/>
    </row>
    <row r="7752" spans="2:2" x14ac:dyDescent="0.2">
      <c r="B7752" s="11"/>
    </row>
    <row r="7753" spans="2:2" x14ac:dyDescent="0.2">
      <c r="B7753" s="11"/>
    </row>
    <row r="7754" spans="2:2" x14ac:dyDescent="0.2">
      <c r="B7754" s="11"/>
    </row>
    <row r="7755" spans="2:2" x14ac:dyDescent="0.2">
      <c r="B7755" s="11"/>
    </row>
    <row r="7756" spans="2:2" x14ac:dyDescent="0.2">
      <c r="B7756" s="11"/>
    </row>
    <row r="7757" spans="2:2" x14ac:dyDescent="0.2">
      <c r="B7757" s="11"/>
    </row>
    <row r="7758" spans="2:2" x14ac:dyDescent="0.2">
      <c r="B7758" s="11"/>
    </row>
    <row r="7759" spans="2:2" x14ac:dyDescent="0.2">
      <c r="B7759" s="11"/>
    </row>
    <row r="7760" spans="2:2" x14ac:dyDescent="0.2">
      <c r="B7760" s="11"/>
    </row>
    <row r="7761" spans="2:2" x14ac:dyDescent="0.2">
      <c r="B7761" s="11"/>
    </row>
    <row r="7762" spans="2:2" x14ac:dyDescent="0.2">
      <c r="B7762" s="11"/>
    </row>
    <row r="7763" spans="2:2" x14ac:dyDescent="0.2">
      <c r="B7763" s="11"/>
    </row>
    <row r="7764" spans="2:2" x14ac:dyDescent="0.2">
      <c r="B7764" s="11"/>
    </row>
    <row r="7765" spans="2:2" x14ac:dyDescent="0.2">
      <c r="B7765" s="11"/>
    </row>
    <row r="7766" spans="2:2" x14ac:dyDescent="0.2">
      <c r="B7766" s="11"/>
    </row>
    <row r="7767" spans="2:2" x14ac:dyDescent="0.2">
      <c r="B7767" s="11"/>
    </row>
    <row r="7768" spans="2:2" x14ac:dyDescent="0.2">
      <c r="B7768" s="11"/>
    </row>
    <row r="7769" spans="2:2" x14ac:dyDescent="0.2">
      <c r="B7769" s="11"/>
    </row>
    <row r="7770" spans="2:2" x14ac:dyDescent="0.2">
      <c r="B7770" s="11"/>
    </row>
    <row r="7771" spans="2:2" x14ac:dyDescent="0.2">
      <c r="B7771" s="11"/>
    </row>
    <row r="7772" spans="2:2" x14ac:dyDescent="0.2">
      <c r="B7772" s="11"/>
    </row>
    <row r="7773" spans="2:2" x14ac:dyDescent="0.2">
      <c r="B7773" s="11"/>
    </row>
    <row r="7774" spans="2:2" x14ac:dyDescent="0.2">
      <c r="B7774" s="11"/>
    </row>
    <row r="7775" spans="2:2" x14ac:dyDescent="0.2">
      <c r="B7775" s="11"/>
    </row>
    <row r="7776" spans="2:2" x14ac:dyDescent="0.2">
      <c r="B7776" s="11"/>
    </row>
    <row r="7777" spans="2:2" x14ac:dyDescent="0.2">
      <c r="B7777" s="11"/>
    </row>
    <row r="7778" spans="2:2" x14ac:dyDescent="0.2">
      <c r="B7778" s="11"/>
    </row>
    <row r="7779" spans="2:2" x14ac:dyDescent="0.2">
      <c r="B7779" s="11"/>
    </row>
    <row r="7780" spans="2:2" x14ac:dyDescent="0.2">
      <c r="B7780" s="11"/>
    </row>
    <row r="7781" spans="2:2" x14ac:dyDescent="0.2">
      <c r="B7781" s="11"/>
    </row>
    <row r="7782" spans="2:2" x14ac:dyDescent="0.2">
      <c r="B7782" s="11"/>
    </row>
    <row r="7783" spans="2:2" x14ac:dyDescent="0.2">
      <c r="B7783" s="11"/>
    </row>
    <row r="7784" spans="2:2" x14ac:dyDescent="0.2">
      <c r="B7784" s="11"/>
    </row>
    <row r="7785" spans="2:2" x14ac:dyDescent="0.2">
      <c r="B7785" s="11"/>
    </row>
    <row r="7786" spans="2:2" x14ac:dyDescent="0.2">
      <c r="B7786" s="11"/>
    </row>
    <row r="7787" spans="2:2" x14ac:dyDescent="0.2">
      <c r="B7787" s="11"/>
    </row>
    <row r="7788" spans="2:2" x14ac:dyDescent="0.2">
      <c r="B7788" s="11"/>
    </row>
    <row r="7789" spans="2:2" x14ac:dyDescent="0.2">
      <c r="B7789" s="11"/>
    </row>
    <row r="7790" spans="2:2" x14ac:dyDescent="0.2">
      <c r="B7790" s="11"/>
    </row>
    <row r="7791" spans="2:2" x14ac:dyDescent="0.2">
      <c r="B7791" s="11"/>
    </row>
    <row r="7792" spans="2:2" x14ac:dyDescent="0.2">
      <c r="B7792" s="11"/>
    </row>
    <row r="7793" spans="2:2" x14ac:dyDescent="0.2">
      <c r="B7793" s="11"/>
    </row>
    <row r="7794" spans="2:2" x14ac:dyDescent="0.2">
      <c r="B7794" s="11"/>
    </row>
    <row r="7795" spans="2:2" x14ac:dyDescent="0.2">
      <c r="B7795" s="11"/>
    </row>
    <row r="7796" spans="2:2" x14ac:dyDescent="0.2">
      <c r="B7796" s="11"/>
    </row>
    <row r="7797" spans="2:2" x14ac:dyDescent="0.2">
      <c r="B7797" s="11"/>
    </row>
    <row r="7798" spans="2:2" x14ac:dyDescent="0.2">
      <c r="B7798" s="11"/>
    </row>
    <row r="7799" spans="2:2" x14ac:dyDescent="0.2">
      <c r="B7799" s="11"/>
    </row>
    <row r="7800" spans="2:2" x14ac:dyDescent="0.2">
      <c r="B7800" s="11"/>
    </row>
    <row r="7801" spans="2:2" x14ac:dyDescent="0.2">
      <c r="B7801" s="11"/>
    </row>
    <row r="7802" spans="2:2" x14ac:dyDescent="0.2">
      <c r="B7802" s="11"/>
    </row>
    <row r="7803" spans="2:2" x14ac:dyDescent="0.2">
      <c r="B7803" s="11"/>
    </row>
    <row r="7804" spans="2:2" x14ac:dyDescent="0.2">
      <c r="B7804" s="11"/>
    </row>
    <row r="7805" spans="2:2" x14ac:dyDescent="0.2">
      <c r="B7805" s="11"/>
    </row>
    <row r="7806" spans="2:2" x14ac:dyDescent="0.2">
      <c r="B7806" s="11"/>
    </row>
    <row r="7807" spans="2:2" x14ac:dyDescent="0.2">
      <c r="B7807" s="11"/>
    </row>
    <row r="7808" spans="2:2" x14ac:dyDescent="0.2">
      <c r="B7808" s="11"/>
    </row>
    <row r="7809" spans="2:2" x14ac:dyDescent="0.2">
      <c r="B7809" s="11"/>
    </row>
    <row r="7810" spans="2:2" x14ac:dyDescent="0.2">
      <c r="B7810" s="11"/>
    </row>
    <row r="7811" spans="2:2" x14ac:dyDescent="0.2">
      <c r="B7811" s="11"/>
    </row>
    <row r="7812" spans="2:2" x14ac:dyDescent="0.2">
      <c r="B7812" s="11"/>
    </row>
    <row r="7813" spans="2:2" x14ac:dyDescent="0.2">
      <c r="B7813" s="11"/>
    </row>
    <row r="7814" spans="2:2" x14ac:dyDescent="0.2">
      <c r="B7814" s="11"/>
    </row>
    <row r="7815" spans="2:2" x14ac:dyDescent="0.2">
      <c r="B7815" s="11"/>
    </row>
    <row r="7816" spans="2:2" x14ac:dyDescent="0.2">
      <c r="B7816" s="11"/>
    </row>
    <row r="7817" spans="2:2" x14ac:dyDescent="0.2">
      <c r="B7817" s="11"/>
    </row>
    <row r="7818" spans="2:2" x14ac:dyDescent="0.2">
      <c r="B7818" s="11"/>
    </row>
    <row r="7819" spans="2:2" x14ac:dyDescent="0.2">
      <c r="B7819" s="11"/>
    </row>
    <row r="7820" spans="2:2" x14ac:dyDescent="0.2">
      <c r="B7820" s="11"/>
    </row>
    <row r="7821" spans="2:2" x14ac:dyDescent="0.2">
      <c r="B7821" s="11"/>
    </row>
    <row r="7822" spans="2:2" x14ac:dyDescent="0.2">
      <c r="B7822" s="11"/>
    </row>
    <row r="7823" spans="2:2" x14ac:dyDescent="0.2">
      <c r="B7823" s="11"/>
    </row>
    <row r="7824" spans="2:2" x14ac:dyDescent="0.2">
      <c r="B7824" s="11"/>
    </row>
    <row r="7825" spans="2:2" x14ac:dyDescent="0.2">
      <c r="B7825" s="11"/>
    </row>
    <row r="7826" spans="2:2" x14ac:dyDescent="0.2">
      <c r="B7826" s="11"/>
    </row>
    <row r="7827" spans="2:2" x14ac:dyDescent="0.2">
      <c r="B7827" s="11"/>
    </row>
    <row r="7828" spans="2:2" x14ac:dyDescent="0.2">
      <c r="B7828" s="11"/>
    </row>
    <row r="7829" spans="2:2" x14ac:dyDescent="0.2">
      <c r="B7829" s="11"/>
    </row>
    <row r="7830" spans="2:2" x14ac:dyDescent="0.2">
      <c r="B7830" s="11"/>
    </row>
    <row r="7831" spans="2:2" x14ac:dyDescent="0.2">
      <c r="B7831" s="11"/>
    </row>
    <row r="7832" spans="2:2" x14ac:dyDescent="0.2">
      <c r="B7832" s="11"/>
    </row>
    <row r="7833" spans="2:2" x14ac:dyDescent="0.2">
      <c r="B7833" s="11"/>
    </row>
    <row r="7834" spans="2:2" x14ac:dyDescent="0.2">
      <c r="B7834" s="11"/>
    </row>
    <row r="7835" spans="2:2" x14ac:dyDescent="0.2">
      <c r="B7835" s="11"/>
    </row>
    <row r="7836" spans="2:2" x14ac:dyDescent="0.2">
      <c r="B7836" s="11"/>
    </row>
    <row r="7837" spans="2:2" x14ac:dyDescent="0.2">
      <c r="B7837" s="11"/>
    </row>
    <row r="7838" spans="2:2" x14ac:dyDescent="0.2">
      <c r="B7838" s="11"/>
    </row>
    <row r="7839" spans="2:2" x14ac:dyDescent="0.2">
      <c r="B7839" s="11"/>
    </row>
    <row r="7840" spans="2:2" x14ac:dyDescent="0.2">
      <c r="B7840" s="11"/>
    </row>
    <row r="7841" spans="2:2" x14ac:dyDescent="0.2">
      <c r="B7841" s="11"/>
    </row>
    <row r="7842" spans="2:2" x14ac:dyDescent="0.2">
      <c r="B7842" s="11"/>
    </row>
    <row r="7843" spans="2:2" x14ac:dyDescent="0.2">
      <c r="B7843" s="11"/>
    </row>
    <row r="7844" spans="2:2" x14ac:dyDescent="0.2">
      <c r="B7844" s="11"/>
    </row>
    <row r="7845" spans="2:2" x14ac:dyDescent="0.2">
      <c r="B7845" s="11"/>
    </row>
    <row r="7846" spans="2:2" x14ac:dyDescent="0.2">
      <c r="B7846" s="11"/>
    </row>
    <row r="7847" spans="2:2" x14ac:dyDescent="0.2">
      <c r="B7847" s="11"/>
    </row>
    <row r="7848" spans="2:2" x14ac:dyDescent="0.2">
      <c r="B7848" s="11"/>
    </row>
    <row r="7849" spans="2:2" x14ac:dyDescent="0.2">
      <c r="B7849" s="11"/>
    </row>
    <row r="7850" spans="2:2" x14ac:dyDescent="0.2">
      <c r="B7850" s="11"/>
    </row>
    <row r="7851" spans="2:2" x14ac:dyDescent="0.2">
      <c r="B7851" s="11"/>
    </row>
    <row r="7852" spans="2:2" x14ac:dyDescent="0.2">
      <c r="B7852" s="11"/>
    </row>
    <row r="7853" spans="2:2" x14ac:dyDescent="0.2">
      <c r="B7853" s="11"/>
    </row>
    <row r="7854" spans="2:2" x14ac:dyDescent="0.2">
      <c r="B7854" s="11"/>
    </row>
    <row r="7855" spans="2:2" x14ac:dyDescent="0.2">
      <c r="B7855" s="11"/>
    </row>
    <row r="7856" spans="2:2" x14ac:dyDescent="0.2">
      <c r="B7856" s="11"/>
    </row>
    <row r="7857" spans="2:2" x14ac:dyDescent="0.2">
      <c r="B7857" s="11"/>
    </row>
    <row r="7858" spans="2:2" x14ac:dyDescent="0.2">
      <c r="B7858" s="11"/>
    </row>
    <row r="7859" spans="2:2" x14ac:dyDescent="0.2">
      <c r="B7859" s="11"/>
    </row>
    <row r="7860" spans="2:2" x14ac:dyDescent="0.2">
      <c r="B7860" s="11"/>
    </row>
    <row r="7861" spans="2:2" x14ac:dyDescent="0.2">
      <c r="B7861" s="11"/>
    </row>
    <row r="7862" spans="2:2" x14ac:dyDescent="0.2">
      <c r="B7862" s="11"/>
    </row>
    <row r="7863" spans="2:2" x14ac:dyDescent="0.2">
      <c r="B7863" s="11"/>
    </row>
    <row r="7864" spans="2:2" x14ac:dyDescent="0.2">
      <c r="B7864" s="11"/>
    </row>
    <row r="7865" spans="2:2" x14ac:dyDescent="0.2">
      <c r="B7865" s="11"/>
    </row>
    <row r="7866" spans="2:2" x14ac:dyDescent="0.2">
      <c r="B7866" s="11"/>
    </row>
    <row r="7867" spans="2:2" x14ac:dyDescent="0.2">
      <c r="B7867" s="11"/>
    </row>
    <row r="7868" spans="2:2" x14ac:dyDescent="0.2">
      <c r="B7868" s="11"/>
    </row>
    <row r="7869" spans="2:2" x14ac:dyDescent="0.2">
      <c r="B7869" s="11"/>
    </row>
    <row r="7870" spans="2:2" x14ac:dyDescent="0.2">
      <c r="B7870" s="11"/>
    </row>
    <row r="7871" spans="2:2" x14ac:dyDescent="0.2">
      <c r="B7871" s="11"/>
    </row>
    <row r="7872" spans="2:2" x14ac:dyDescent="0.2">
      <c r="B7872" s="11"/>
    </row>
    <row r="7873" spans="2:2" x14ac:dyDescent="0.2">
      <c r="B7873" s="11"/>
    </row>
    <row r="7874" spans="2:2" x14ac:dyDescent="0.2">
      <c r="B7874" s="11"/>
    </row>
    <row r="7875" spans="2:2" x14ac:dyDescent="0.2">
      <c r="B7875" s="11"/>
    </row>
    <row r="7876" spans="2:2" x14ac:dyDescent="0.2">
      <c r="B7876" s="11"/>
    </row>
    <row r="7877" spans="2:2" x14ac:dyDescent="0.2">
      <c r="B7877" s="11"/>
    </row>
    <row r="7878" spans="2:2" x14ac:dyDescent="0.2">
      <c r="B7878" s="11"/>
    </row>
    <row r="7879" spans="2:2" x14ac:dyDescent="0.2">
      <c r="B7879" s="11"/>
    </row>
    <row r="7880" spans="2:2" x14ac:dyDescent="0.2">
      <c r="B7880" s="11"/>
    </row>
    <row r="7881" spans="2:2" x14ac:dyDescent="0.2">
      <c r="B7881" s="11"/>
    </row>
    <row r="7882" spans="2:2" x14ac:dyDescent="0.2">
      <c r="B7882" s="11"/>
    </row>
    <row r="7883" spans="2:2" x14ac:dyDescent="0.2">
      <c r="B7883" s="11"/>
    </row>
    <row r="7884" spans="2:2" x14ac:dyDescent="0.2">
      <c r="B7884" s="11"/>
    </row>
    <row r="7885" spans="2:2" x14ac:dyDescent="0.2">
      <c r="B7885" s="11"/>
    </row>
    <row r="7886" spans="2:2" x14ac:dyDescent="0.2">
      <c r="B7886" s="11"/>
    </row>
    <row r="7887" spans="2:2" x14ac:dyDescent="0.2">
      <c r="B7887" s="11"/>
    </row>
    <row r="7888" spans="2:2" x14ac:dyDescent="0.2">
      <c r="B7888" s="11"/>
    </row>
    <row r="7889" spans="2:2" x14ac:dyDescent="0.2">
      <c r="B7889" s="11"/>
    </row>
    <row r="7890" spans="2:2" x14ac:dyDescent="0.2">
      <c r="B7890" s="11"/>
    </row>
    <row r="7891" spans="2:2" x14ac:dyDescent="0.2">
      <c r="B7891" s="11"/>
    </row>
    <row r="7892" spans="2:2" x14ac:dyDescent="0.2">
      <c r="B7892" s="11"/>
    </row>
    <row r="7893" spans="2:2" x14ac:dyDescent="0.2">
      <c r="B7893" s="11"/>
    </row>
    <row r="7894" spans="2:2" x14ac:dyDescent="0.2">
      <c r="B7894" s="11"/>
    </row>
    <row r="7895" spans="2:2" x14ac:dyDescent="0.2">
      <c r="B7895" s="11"/>
    </row>
    <row r="7896" spans="2:2" x14ac:dyDescent="0.2">
      <c r="B7896" s="11"/>
    </row>
    <row r="7897" spans="2:2" x14ac:dyDescent="0.2">
      <c r="B7897" s="11"/>
    </row>
    <row r="7898" spans="2:2" x14ac:dyDescent="0.2">
      <c r="B7898" s="11"/>
    </row>
    <row r="7899" spans="2:2" x14ac:dyDescent="0.2">
      <c r="B7899" s="11"/>
    </row>
    <row r="7900" spans="2:2" x14ac:dyDescent="0.2">
      <c r="B7900" s="11"/>
    </row>
    <row r="7901" spans="2:2" x14ac:dyDescent="0.2">
      <c r="B7901" s="11"/>
    </row>
    <row r="7902" spans="2:2" x14ac:dyDescent="0.2">
      <c r="B7902" s="11"/>
    </row>
    <row r="7903" spans="2:2" x14ac:dyDescent="0.2">
      <c r="B7903" s="11"/>
    </row>
    <row r="7904" spans="2:2" x14ac:dyDescent="0.2">
      <c r="B7904" s="11"/>
    </row>
    <row r="7905" spans="2:2" x14ac:dyDescent="0.2">
      <c r="B7905" s="11"/>
    </row>
    <row r="7906" spans="2:2" x14ac:dyDescent="0.2">
      <c r="B7906" s="11"/>
    </row>
    <row r="7907" spans="2:2" x14ac:dyDescent="0.2">
      <c r="B7907" s="11"/>
    </row>
    <row r="7908" spans="2:2" x14ac:dyDescent="0.2">
      <c r="B7908" s="11"/>
    </row>
    <row r="7909" spans="2:2" x14ac:dyDescent="0.2">
      <c r="B7909" s="11"/>
    </row>
    <row r="7910" spans="2:2" x14ac:dyDescent="0.2">
      <c r="B7910" s="11"/>
    </row>
    <row r="7911" spans="2:2" x14ac:dyDescent="0.2">
      <c r="B7911" s="11"/>
    </row>
    <row r="7912" spans="2:2" x14ac:dyDescent="0.2">
      <c r="B7912" s="11"/>
    </row>
    <row r="7913" spans="2:2" x14ac:dyDescent="0.2">
      <c r="B7913" s="11"/>
    </row>
    <row r="7914" spans="2:2" x14ac:dyDescent="0.2">
      <c r="B7914" s="11"/>
    </row>
    <row r="7915" spans="2:2" x14ac:dyDescent="0.2">
      <c r="B7915" s="11"/>
    </row>
    <row r="7916" spans="2:2" x14ac:dyDescent="0.2">
      <c r="B7916" s="11"/>
    </row>
    <row r="7917" spans="2:2" x14ac:dyDescent="0.2">
      <c r="B7917" s="11"/>
    </row>
    <row r="7918" spans="2:2" x14ac:dyDescent="0.2">
      <c r="B7918" s="11"/>
    </row>
    <row r="7919" spans="2:2" x14ac:dyDescent="0.2">
      <c r="B7919" s="11"/>
    </row>
    <row r="7920" spans="2:2" x14ac:dyDescent="0.2">
      <c r="B7920" s="11"/>
    </row>
    <row r="7921" spans="2:2" x14ac:dyDescent="0.2">
      <c r="B7921" s="11"/>
    </row>
    <row r="7922" spans="2:2" x14ac:dyDescent="0.2">
      <c r="B7922" s="11"/>
    </row>
    <row r="7923" spans="2:2" x14ac:dyDescent="0.2">
      <c r="B7923" s="11"/>
    </row>
    <row r="7924" spans="2:2" x14ac:dyDescent="0.2">
      <c r="B7924" s="11"/>
    </row>
    <row r="7925" spans="2:2" x14ac:dyDescent="0.2">
      <c r="B7925" s="11"/>
    </row>
    <row r="7926" spans="2:2" x14ac:dyDescent="0.2">
      <c r="B7926" s="11"/>
    </row>
    <row r="7927" spans="2:2" x14ac:dyDescent="0.2">
      <c r="B7927" s="11"/>
    </row>
    <row r="7928" spans="2:2" x14ac:dyDescent="0.2">
      <c r="B7928" s="11"/>
    </row>
    <row r="7929" spans="2:2" x14ac:dyDescent="0.2">
      <c r="B7929" s="11"/>
    </row>
    <row r="7930" spans="2:2" x14ac:dyDescent="0.2">
      <c r="B7930" s="11"/>
    </row>
    <row r="7931" spans="2:2" x14ac:dyDescent="0.2">
      <c r="B7931" s="11"/>
    </row>
    <row r="7932" spans="2:2" x14ac:dyDescent="0.2">
      <c r="B7932" s="11"/>
    </row>
    <row r="7933" spans="2:2" x14ac:dyDescent="0.2">
      <c r="B7933" s="11"/>
    </row>
    <row r="7934" spans="2:2" x14ac:dyDescent="0.2">
      <c r="B7934" s="11"/>
    </row>
    <row r="7935" spans="2:2" x14ac:dyDescent="0.2">
      <c r="B7935" s="11"/>
    </row>
    <row r="7936" spans="2:2" x14ac:dyDescent="0.2">
      <c r="B7936" s="11"/>
    </row>
    <row r="7937" spans="2:2" x14ac:dyDescent="0.2">
      <c r="B7937" s="11"/>
    </row>
    <row r="7938" spans="2:2" x14ac:dyDescent="0.2">
      <c r="B7938" s="11"/>
    </row>
    <row r="7939" spans="2:2" x14ac:dyDescent="0.2">
      <c r="B7939" s="11"/>
    </row>
    <row r="7940" spans="2:2" x14ac:dyDescent="0.2">
      <c r="B7940" s="11"/>
    </row>
    <row r="7941" spans="2:2" x14ac:dyDescent="0.2">
      <c r="B7941" s="11"/>
    </row>
    <row r="7942" spans="2:2" x14ac:dyDescent="0.2">
      <c r="B7942" s="11"/>
    </row>
    <row r="7943" spans="2:2" x14ac:dyDescent="0.2">
      <c r="B7943" s="11"/>
    </row>
    <row r="7944" spans="2:2" x14ac:dyDescent="0.2">
      <c r="B7944" s="11"/>
    </row>
    <row r="7945" spans="2:2" x14ac:dyDescent="0.2">
      <c r="B7945" s="11"/>
    </row>
    <row r="7946" spans="2:2" x14ac:dyDescent="0.2">
      <c r="B7946" s="11"/>
    </row>
    <row r="7947" spans="2:2" x14ac:dyDescent="0.2">
      <c r="B7947" s="11"/>
    </row>
    <row r="7948" spans="2:2" x14ac:dyDescent="0.2">
      <c r="B7948" s="11"/>
    </row>
    <row r="7949" spans="2:2" x14ac:dyDescent="0.2">
      <c r="B7949" s="11"/>
    </row>
    <row r="7950" spans="2:2" x14ac:dyDescent="0.2">
      <c r="B7950" s="11"/>
    </row>
    <row r="7951" spans="2:2" x14ac:dyDescent="0.2">
      <c r="B7951" s="11"/>
    </row>
    <row r="7952" spans="2:2" x14ac:dyDescent="0.2">
      <c r="B7952" s="11"/>
    </row>
    <row r="7953" spans="2:2" x14ac:dyDescent="0.2">
      <c r="B7953" s="11"/>
    </row>
    <row r="7954" spans="2:2" x14ac:dyDescent="0.2">
      <c r="B7954" s="11"/>
    </row>
    <row r="7955" spans="2:2" x14ac:dyDescent="0.2">
      <c r="B7955" s="11"/>
    </row>
    <row r="7956" spans="2:2" x14ac:dyDescent="0.2">
      <c r="B7956" s="11"/>
    </row>
    <row r="7957" spans="2:2" x14ac:dyDescent="0.2">
      <c r="B7957" s="11"/>
    </row>
    <row r="7958" spans="2:2" x14ac:dyDescent="0.2">
      <c r="B7958" s="11"/>
    </row>
    <row r="7959" spans="2:2" x14ac:dyDescent="0.2">
      <c r="B7959" s="11"/>
    </row>
    <row r="7960" spans="2:2" x14ac:dyDescent="0.2">
      <c r="B7960" s="11"/>
    </row>
    <row r="7961" spans="2:2" x14ac:dyDescent="0.2">
      <c r="B7961" s="11"/>
    </row>
    <row r="7962" spans="2:2" x14ac:dyDescent="0.2">
      <c r="B7962" s="11"/>
    </row>
    <row r="7963" spans="2:2" x14ac:dyDescent="0.2">
      <c r="B7963" s="11"/>
    </row>
    <row r="7964" spans="2:2" x14ac:dyDescent="0.2">
      <c r="B7964" s="11"/>
    </row>
    <row r="7965" spans="2:2" x14ac:dyDescent="0.2">
      <c r="B7965" s="11"/>
    </row>
    <row r="7966" spans="2:2" x14ac:dyDescent="0.2">
      <c r="B7966" s="11"/>
    </row>
    <row r="7967" spans="2:2" x14ac:dyDescent="0.2">
      <c r="B7967" s="11"/>
    </row>
    <row r="7968" spans="2:2" x14ac:dyDescent="0.2">
      <c r="B7968" s="11"/>
    </row>
    <row r="7969" spans="2:2" x14ac:dyDescent="0.2">
      <c r="B7969" s="11"/>
    </row>
    <row r="7970" spans="2:2" x14ac:dyDescent="0.2">
      <c r="B7970" s="11"/>
    </row>
    <row r="7971" spans="2:2" x14ac:dyDescent="0.2">
      <c r="B7971" s="11"/>
    </row>
    <row r="7972" spans="2:2" x14ac:dyDescent="0.2">
      <c r="B7972" s="11"/>
    </row>
    <row r="7973" spans="2:2" x14ac:dyDescent="0.2">
      <c r="B7973" s="11"/>
    </row>
    <row r="7974" spans="2:2" x14ac:dyDescent="0.2">
      <c r="B7974" s="11"/>
    </row>
    <row r="7975" spans="2:2" x14ac:dyDescent="0.2">
      <c r="B7975" s="11"/>
    </row>
    <row r="7976" spans="2:2" x14ac:dyDescent="0.2">
      <c r="B7976" s="11"/>
    </row>
    <row r="7977" spans="2:2" x14ac:dyDescent="0.2">
      <c r="B7977" s="11"/>
    </row>
    <row r="7978" spans="2:2" x14ac:dyDescent="0.2">
      <c r="B7978" s="11"/>
    </row>
    <row r="7979" spans="2:2" x14ac:dyDescent="0.2">
      <c r="B7979" s="11"/>
    </row>
    <row r="7980" spans="2:2" x14ac:dyDescent="0.2">
      <c r="B7980" s="11"/>
    </row>
    <row r="7981" spans="2:2" x14ac:dyDescent="0.2">
      <c r="B7981" s="11"/>
    </row>
    <row r="7982" spans="2:2" x14ac:dyDescent="0.2">
      <c r="B7982" s="11"/>
    </row>
    <row r="7983" spans="2:2" x14ac:dyDescent="0.2">
      <c r="B7983" s="11"/>
    </row>
    <row r="7984" spans="2:2" x14ac:dyDescent="0.2">
      <c r="B7984" s="11"/>
    </row>
    <row r="7985" spans="2:2" x14ac:dyDescent="0.2">
      <c r="B7985" s="11"/>
    </row>
    <row r="7986" spans="2:2" x14ac:dyDescent="0.2">
      <c r="B7986" s="11"/>
    </row>
    <row r="7987" spans="2:2" x14ac:dyDescent="0.2">
      <c r="B7987" s="11"/>
    </row>
    <row r="7988" spans="2:2" x14ac:dyDescent="0.2">
      <c r="B7988" s="11"/>
    </row>
    <row r="7989" spans="2:2" x14ac:dyDescent="0.2">
      <c r="B7989" s="11"/>
    </row>
    <row r="7990" spans="2:2" x14ac:dyDescent="0.2">
      <c r="B7990" s="11"/>
    </row>
    <row r="7991" spans="2:2" x14ac:dyDescent="0.2">
      <c r="B7991" s="11"/>
    </row>
    <row r="7992" spans="2:2" x14ac:dyDescent="0.2">
      <c r="B7992" s="11"/>
    </row>
    <row r="7993" spans="2:2" x14ac:dyDescent="0.2">
      <c r="B7993" s="11"/>
    </row>
    <row r="7994" spans="2:2" x14ac:dyDescent="0.2">
      <c r="B7994" s="11"/>
    </row>
    <row r="7995" spans="2:2" x14ac:dyDescent="0.2">
      <c r="B7995" s="11"/>
    </row>
    <row r="7996" spans="2:2" x14ac:dyDescent="0.2">
      <c r="B7996" s="11"/>
    </row>
    <row r="7997" spans="2:2" x14ac:dyDescent="0.2">
      <c r="B7997" s="11"/>
    </row>
    <row r="7998" spans="2:2" x14ac:dyDescent="0.2">
      <c r="B7998" s="11"/>
    </row>
    <row r="7999" spans="2:2" x14ac:dyDescent="0.2">
      <c r="B7999" s="11"/>
    </row>
    <row r="8000" spans="2:2" x14ac:dyDescent="0.2">
      <c r="B8000" s="11"/>
    </row>
    <row r="8001" spans="2:2" x14ac:dyDescent="0.2">
      <c r="B8001" s="11"/>
    </row>
    <row r="8002" spans="2:2" x14ac:dyDescent="0.2">
      <c r="B8002" s="11"/>
    </row>
    <row r="8003" spans="2:2" x14ac:dyDescent="0.2">
      <c r="B8003" s="11"/>
    </row>
    <row r="8004" spans="2:2" x14ac:dyDescent="0.2">
      <c r="B8004" s="11"/>
    </row>
    <row r="8005" spans="2:2" x14ac:dyDescent="0.2">
      <c r="B8005" s="11"/>
    </row>
    <row r="8006" spans="2:2" x14ac:dyDescent="0.2">
      <c r="B8006" s="11"/>
    </row>
    <row r="8007" spans="2:2" x14ac:dyDescent="0.2">
      <c r="B8007" s="11"/>
    </row>
    <row r="8008" spans="2:2" x14ac:dyDescent="0.2">
      <c r="B8008" s="11"/>
    </row>
    <row r="8009" spans="2:2" x14ac:dyDescent="0.2">
      <c r="B8009" s="11"/>
    </row>
    <row r="8010" spans="2:2" x14ac:dyDescent="0.2">
      <c r="B8010" s="11"/>
    </row>
    <row r="8011" spans="2:2" x14ac:dyDescent="0.2">
      <c r="B8011" s="11"/>
    </row>
    <row r="8012" spans="2:2" x14ac:dyDescent="0.2">
      <c r="B8012" s="11"/>
    </row>
    <row r="8013" spans="2:2" x14ac:dyDescent="0.2">
      <c r="B8013" s="11"/>
    </row>
    <row r="8014" spans="2:2" x14ac:dyDescent="0.2">
      <c r="B8014" s="11"/>
    </row>
    <row r="8015" spans="2:2" x14ac:dyDescent="0.2">
      <c r="B8015" s="11"/>
    </row>
    <row r="8016" spans="2:2" x14ac:dyDescent="0.2">
      <c r="B8016" s="11"/>
    </row>
    <row r="8017" spans="2:2" x14ac:dyDescent="0.2">
      <c r="B8017" s="11"/>
    </row>
    <row r="8018" spans="2:2" x14ac:dyDescent="0.2">
      <c r="B8018" s="11"/>
    </row>
    <row r="8019" spans="2:2" x14ac:dyDescent="0.2">
      <c r="B8019" s="11"/>
    </row>
    <row r="8020" spans="2:2" x14ac:dyDescent="0.2">
      <c r="B8020" s="11"/>
    </row>
    <row r="8021" spans="2:2" x14ac:dyDescent="0.2">
      <c r="B8021" s="11"/>
    </row>
    <row r="8022" spans="2:2" x14ac:dyDescent="0.2">
      <c r="B8022" s="11"/>
    </row>
    <row r="8023" spans="2:2" x14ac:dyDescent="0.2">
      <c r="B8023" s="11"/>
    </row>
    <row r="8024" spans="2:2" x14ac:dyDescent="0.2">
      <c r="B8024" s="11"/>
    </row>
    <row r="8025" spans="2:2" x14ac:dyDescent="0.2">
      <c r="B8025" s="11"/>
    </row>
    <row r="8026" spans="2:2" x14ac:dyDescent="0.2">
      <c r="B8026" s="11"/>
    </row>
    <row r="8027" spans="2:2" x14ac:dyDescent="0.2">
      <c r="B8027" s="11"/>
    </row>
    <row r="8028" spans="2:2" x14ac:dyDescent="0.2">
      <c r="B8028" s="11"/>
    </row>
    <row r="8029" spans="2:2" x14ac:dyDescent="0.2">
      <c r="B8029" s="11"/>
    </row>
    <row r="8030" spans="2:2" x14ac:dyDescent="0.2">
      <c r="B8030" s="11"/>
    </row>
    <row r="8031" spans="2:2" x14ac:dyDescent="0.2">
      <c r="B8031" s="11"/>
    </row>
    <row r="8032" spans="2:2" x14ac:dyDescent="0.2">
      <c r="B8032" s="11"/>
    </row>
    <row r="8033" spans="2:2" x14ac:dyDescent="0.2">
      <c r="B8033" s="11"/>
    </row>
    <row r="8034" spans="2:2" x14ac:dyDescent="0.2">
      <c r="B8034" s="11"/>
    </row>
    <row r="8035" spans="2:2" x14ac:dyDescent="0.2">
      <c r="B8035" s="11"/>
    </row>
    <row r="8036" spans="2:2" x14ac:dyDescent="0.2">
      <c r="B8036" s="11"/>
    </row>
    <row r="8037" spans="2:2" x14ac:dyDescent="0.2">
      <c r="B8037" s="11"/>
    </row>
    <row r="8038" spans="2:2" x14ac:dyDescent="0.2">
      <c r="B8038" s="11"/>
    </row>
    <row r="8039" spans="2:2" x14ac:dyDescent="0.2">
      <c r="B8039" s="11"/>
    </row>
    <row r="8040" spans="2:2" x14ac:dyDescent="0.2">
      <c r="B8040" s="11"/>
    </row>
    <row r="8041" spans="2:2" x14ac:dyDescent="0.2">
      <c r="B8041" s="11"/>
    </row>
    <row r="8042" spans="2:2" x14ac:dyDescent="0.2">
      <c r="B8042" s="11"/>
    </row>
    <row r="8043" spans="2:2" x14ac:dyDescent="0.2">
      <c r="B8043" s="11"/>
    </row>
    <row r="8044" spans="2:2" x14ac:dyDescent="0.2">
      <c r="B8044" s="11"/>
    </row>
    <row r="8045" spans="2:2" x14ac:dyDescent="0.2">
      <c r="B8045" s="11"/>
    </row>
    <row r="8046" spans="2:2" x14ac:dyDescent="0.2">
      <c r="B8046" s="11"/>
    </row>
    <row r="8047" spans="2:2" x14ac:dyDescent="0.2">
      <c r="B8047" s="11"/>
    </row>
    <row r="8048" spans="2:2" x14ac:dyDescent="0.2">
      <c r="B8048" s="11"/>
    </row>
    <row r="8049" spans="2:2" x14ac:dyDescent="0.2">
      <c r="B8049" s="11"/>
    </row>
    <row r="8050" spans="2:2" x14ac:dyDescent="0.2">
      <c r="B8050" s="11"/>
    </row>
    <row r="8051" spans="2:2" x14ac:dyDescent="0.2">
      <c r="B8051" s="11"/>
    </row>
    <row r="8052" spans="2:2" x14ac:dyDescent="0.2">
      <c r="B8052" s="11"/>
    </row>
    <row r="8053" spans="2:2" x14ac:dyDescent="0.2">
      <c r="B8053" s="11"/>
    </row>
    <row r="8054" spans="2:2" x14ac:dyDescent="0.2">
      <c r="B8054" s="11"/>
    </row>
    <row r="8055" spans="2:2" x14ac:dyDescent="0.2">
      <c r="B8055" s="11"/>
    </row>
    <row r="8056" spans="2:2" x14ac:dyDescent="0.2">
      <c r="B8056" s="11"/>
    </row>
    <row r="8057" spans="2:2" x14ac:dyDescent="0.2">
      <c r="B8057" s="11"/>
    </row>
    <row r="8058" spans="2:2" x14ac:dyDescent="0.2">
      <c r="B8058" s="11"/>
    </row>
    <row r="8059" spans="2:2" x14ac:dyDescent="0.2">
      <c r="B8059" s="11"/>
    </row>
    <row r="8060" spans="2:2" x14ac:dyDescent="0.2">
      <c r="B8060" s="11"/>
    </row>
    <row r="8061" spans="2:2" x14ac:dyDescent="0.2">
      <c r="B8061" s="11"/>
    </row>
    <row r="8062" spans="2:2" x14ac:dyDescent="0.2">
      <c r="B8062" s="11"/>
    </row>
    <row r="8063" spans="2:2" x14ac:dyDescent="0.2">
      <c r="B8063" s="11"/>
    </row>
    <row r="8064" spans="2:2" x14ac:dyDescent="0.2">
      <c r="B8064" s="11"/>
    </row>
    <row r="8065" spans="2:2" x14ac:dyDescent="0.2">
      <c r="B8065" s="11"/>
    </row>
    <row r="8066" spans="2:2" x14ac:dyDescent="0.2">
      <c r="B8066" s="11"/>
    </row>
    <row r="8067" spans="2:2" x14ac:dyDescent="0.2">
      <c r="B8067" s="11"/>
    </row>
    <row r="8068" spans="2:2" x14ac:dyDescent="0.2">
      <c r="B8068" s="11"/>
    </row>
    <row r="8069" spans="2:2" x14ac:dyDescent="0.2">
      <c r="B8069" s="11"/>
    </row>
    <row r="8070" spans="2:2" x14ac:dyDescent="0.2">
      <c r="B8070" s="11"/>
    </row>
    <row r="8071" spans="2:2" x14ac:dyDescent="0.2">
      <c r="B8071" s="11"/>
    </row>
    <row r="8072" spans="2:2" x14ac:dyDescent="0.2">
      <c r="B8072" s="11"/>
    </row>
    <row r="8073" spans="2:2" x14ac:dyDescent="0.2">
      <c r="B8073" s="11"/>
    </row>
    <row r="8074" spans="2:2" x14ac:dyDescent="0.2">
      <c r="B8074" s="11"/>
    </row>
    <row r="8075" spans="2:2" x14ac:dyDescent="0.2">
      <c r="B8075" s="11"/>
    </row>
    <row r="8076" spans="2:2" x14ac:dyDescent="0.2">
      <c r="B8076" s="11"/>
    </row>
    <row r="8077" spans="2:2" x14ac:dyDescent="0.2">
      <c r="B8077" s="11"/>
    </row>
    <row r="8078" spans="2:2" x14ac:dyDescent="0.2">
      <c r="B8078" s="11"/>
    </row>
    <row r="8079" spans="2:2" x14ac:dyDescent="0.2">
      <c r="B8079" s="11"/>
    </row>
    <row r="8080" spans="2:2" x14ac:dyDescent="0.2">
      <c r="B8080" s="11"/>
    </row>
    <row r="8081" spans="2:2" x14ac:dyDescent="0.2">
      <c r="B8081" s="11"/>
    </row>
    <row r="8082" spans="2:2" x14ac:dyDescent="0.2">
      <c r="B8082" s="11"/>
    </row>
    <row r="8083" spans="2:2" x14ac:dyDescent="0.2">
      <c r="B8083" s="11"/>
    </row>
    <row r="8084" spans="2:2" x14ac:dyDescent="0.2">
      <c r="B8084" s="11"/>
    </row>
    <row r="8085" spans="2:2" x14ac:dyDescent="0.2">
      <c r="B8085" s="11"/>
    </row>
    <row r="8086" spans="2:2" x14ac:dyDescent="0.2">
      <c r="B8086" s="11"/>
    </row>
    <row r="8087" spans="2:2" x14ac:dyDescent="0.2">
      <c r="B8087" s="11"/>
    </row>
    <row r="8088" spans="2:2" x14ac:dyDescent="0.2">
      <c r="B8088" s="11"/>
    </row>
    <row r="8089" spans="2:2" x14ac:dyDescent="0.2">
      <c r="B8089" s="11"/>
    </row>
    <row r="8090" spans="2:2" x14ac:dyDescent="0.2">
      <c r="B8090" s="11"/>
    </row>
    <row r="8091" spans="2:2" x14ac:dyDescent="0.2">
      <c r="B8091" s="11"/>
    </row>
    <row r="8092" spans="2:2" x14ac:dyDescent="0.2">
      <c r="B8092" s="11"/>
    </row>
    <row r="8093" spans="2:2" x14ac:dyDescent="0.2">
      <c r="B8093" s="11"/>
    </row>
    <row r="8094" spans="2:2" x14ac:dyDescent="0.2">
      <c r="B8094" s="11"/>
    </row>
    <row r="8095" spans="2:2" x14ac:dyDescent="0.2">
      <c r="B8095" s="11"/>
    </row>
    <row r="8096" spans="2:2" x14ac:dyDescent="0.2">
      <c r="B8096" s="11"/>
    </row>
    <row r="8097" spans="2:2" x14ac:dyDescent="0.2">
      <c r="B8097" s="11"/>
    </row>
    <row r="8098" spans="2:2" x14ac:dyDescent="0.2">
      <c r="B8098" s="11"/>
    </row>
    <row r="8099" spans="2:2" x14ac:dyDescent="0.2">
      <c r="B8099" s="11"/>
    </row>
    <row r="8100" spans="2:2" x14ac:dyDescent="0.2">
      <c r="B8100" s="11"/>
    </row>
    <row r="8101" spans="2:2" x14ac:dyDescent="0.2">
      <c r="B8101" s="11"/>
    </row>
    <row r="8102" spans="2:2" x14ac:dyDescent="0.2">
      <c r="B8102" s="11"/>
    </row>
    <row r="8103" spans="2:2" x14ac:dyDescent="0.2">
      <c r="B8103" s="11"/>
    </row>
    <row r="8104" spans="2:2" x14ac:dyDescent="0.2">
      <c r="B8104" s="11"/>
    </row>
    <row r="8105" spans="2:2" x14ac:dyDescent="0.2">
      <c r="B8105" s="11"/>
    </row>
    <row r="8106" spans="2:2" x14ac:dyDescent="0.2">
      <c r="B8106" s="11"/>
    </row>
    <row r="8107" spans="2:2" x14ac:dyDescent="0.2">
      <c r="B8107" s="11"/>
    </row>
    <row r="8108" spans="2:2" x14ac:dyDescent="0.2">
      <c r="B8108" s="11"/>
    </row>
    <row r="8109" spans="2:2" x14ac:dyDescent="0.2">
      <c r="B8109" s="11"/>
    </row>
    <row r="8110" spans="2:2" x14ac:dyDescent="0.2">
      <c r="B8110" s="11"/>
    </row>
    <row r="8111" spans="2:2" x14ac:dyDescent="0.2">
      <c r="B8111" s="11"/>
    </row>
    <row r="8112" spans="2:2" x14ac:dyDescent="0.2">
      <c r="B8112" s="11"/>
    </row>
    <row r="8113" spans="2:2" x14ac:dyDescent="0.2">
      <c r="B8113" s="11"/>
    </row>
    <row r="8114" spans="2:2" x14ac:dyDescent="0.2">
      <c r="B8114" s="11"/>
    </row>
    <row r="8115" spans="2:2" x14ac:dyDescent="0.2">
      <c r="B8115" s="11"/>
    </row>
    <row r="8116" spans="2:2" x14ac:dyDescent="0.2">
      <c r="B8116" s="11"/>
    </row>
    <row r="8117" spans="2:2" x14ac:dyDescent="0.2">
      <c r="B8117" s="11"/>
    </row>
    <row r="8118" spans="2:2" x14ac:dyDescent="0.2">
      <c r="B8118" s="11"/>
    </row>
    <row r="8119" spans="2:2" x14ac:dyDescent="0.2">
      <c r="B8119" s="11"/>
    </row>
    <row r="8120" spans="2:2" x14ac:dyDescent="0.2">
      <c r="B8120" s="11"/>
    </row>
    <row r="8121" spans="2:2" x14ac:dyDescent="0.2">
      <c r="B8121" s="11"/>
    </row>
    <row r="8122" spans="2:2" x14ac:dyDescent="0.2">
      <c r="B8122" s="11"/>
    </row>
    <row r="8123" spans="2:2" x14ac:dyDescent="0.2">
      <c r="B8123" s="11"/>
    </row>
    <row r="8124" spans="2:2" x14ac:dyDescent="0.2">
      <c r="B8124" s="11"/>
    </row>
    <row r="8125" spans="2:2" x14ac:dyDescent="0.2">
      <c r="B8125" s="11"/>
    </row>
    <row r="8126" spans="2:2" x14ac:dyDescent="0.2">
      <c r="B8126" s="11"/>
    </row>
    <row r="8127" spans="2:2" x14ac:dyDescent="0.2">
      <c r="B8127" s="11"/>
    </row>
    <row r="8128" spans="2:2" x14ac:dyDescent="0.2">
      <c r="B8128" s="11"/>
    </row>
    <row r="8129" spans="2:2" x14ac:dyDescent="0.2">
      <c r="B8129" s="11"/>
    </row>
    <row r="8130" spans="2:2" x14ac:dyDescent="0.2">
      <c r="B8130" s="11"/>
    </row>
    <row r="8131" spans="2:2" x14ac:dyDescent="0.2">
      <c r="B8131" s="11"/>
    </row>
    <row r="8132" spans="2:2" x14ac:dyDescent="0.2">
      <c r="B8132" s="11"/>
    </row>
    <row r="8133" spans="2:2" x14ac:dyDescent="0.2">
      <c r="B8133" s="11"/>
    </row>
    <row r="8134" spans="2:2" x14ac:dyDescent="0.2">
      <c r="B8134" s="11"/>
    </row>
    <row r="8135" spans="2:2" x14ac:dyDescent="0.2">
      <c r="B8135" s="11"/>
    </row>
    <row r="8136" spans="2:2" x14ac:dyDescent="0.2">
      <c r="B8136" s="11"/>
    </row>
    <row r="8137" spans="2:2" x14ac:dyDescent="0.2">
      <c r="B8137" s="11"/>
    </row>
    <row r="8138" spans="2:2" x14ac:dyDescent="0.2">
      <c r="B8138" s="11"/>
    </row>
    <row r="8139" spans="2:2" x14ac:dyDescent="0.2">
      <c r="B8139" s="11"/>
    </row>
    <row r="8140" spans="2:2" x14ac:dyDescent="0.2">
      <c r="B8140" s="11"/>
    </row>
    <row r="8141" spans="2:2" x14ac:dyDescent="0.2">
      <c r="B8141" s="11"/>
    </row>
    <row r="8142" spans="2:2" x14ac:dyDescent="0.2">
      <c r="B8142" s="11"/>
    </row>
    <row r="8143" spans="2:2" x14ac:dyDescent="0.2">
      <c r="B8143" s="11"/>
    </row>
    <row r="8144" spans="2:2" x14ac:dyDescent="0.2">
      <c r="B8144" s="11"/>
    </row>
    <row r="8145" spans="2:2" x14ac:dyDescent="0.2">
      <c r="B8145" s="11"/>
    </row>
    <row r="8146" spans="2:2" x14ac:dyDescent="0.2">
      <c r="B8146" s="11"/>
    </row>
    <row r="8147" spans="2:2" x14ac:dyDescent="0.2">
      <c r="B8147" s="11"/>
    </row>
    <row r="8148" spans="2:2" x14ac:dyDescent="0.2">
      <c r="B8148" s="11"/>
    </row>
    <row r="8149" spans="2:2" x14ac:dyDescent="0.2">
      <c r="B8149" s="11"/>
    </row>
    <row r="8150" spans="2:2" x14ac:dyDescent="0.2">
      <c r="B8150" s="11"/>
    </row>
    <row r="8151" spans="2:2" x14ac:dyDescent="0.2">
      <c r="B8151" s="11"/>
    </row>
    <row r="8152" spans="2:2" x14ac:dyDescent="0.2">
      <c r="B8152" s="11"/>
    </row>
    <row r="8153" spans="2:2" x14ac:dyDescent="0.2">
      <c r="B8153" s="11"/>
    </row>
    <row r="8154" spans="2:2" x14ac:dyDescent="0.2">
      <c r="B8154" s="11"/>
    </row>
    <row r="8155" spans="2:2" x14ac:dyDescent="0.2">
      <c r="B8155" s="11"/>
    </row>
    <row r="8156" spans="2:2" x14ac:dyDescent="0.2">
      <c r="B8156" s="11"/>
    </row>
    <row r="8157" spans="2:2" x14ac:dyDescent="0.2">
      <c r="B8157" s="11"/>
    </row>
    <row r="8158" spans="2:2" x14ac:dyDescent="0.2">
      <c r="B8158" s="11"/>
    </row>
    <row r="8159" spans="2:2" x14ac:dyDescent="0.2">
      <c r="B8159" s="11"/>
    </row>
    <row r="8160" spans="2:2" x14ac:dyDescent="0.2">
      <c r="B8160" s="11"/>
    </row>
    <row r="8161" spans="2:2" x14ac:dyDescent="0.2">
      <c r="B8161" s="11"/>
    </row>
    <row r="8162" spans="2:2" x14ac:dyDescent="0.2">
      <c r="B8162" s="11"/>
    </row>
    <row r="8163" spans="2:2" x14ac:dyDescent="0.2">
      <c r="B8163" s="11"/>
    </row>
    <row r="8164" spans="2:2" x14ac:dyDescent="0.2">
      <c r="B8164" s="11"/>
    </row>
    <row r="8165" spans="2:2" x14ac:dyDescent="0.2">
      <c r="B8165" s="11"/>
    </row>
    <row r="8166" spans="2:2" x14ac:dyDescent="0.2">
      <c r="B8166" s="11"/>
    </row>
    <row r="8167" spans="2:2" x14ac:dyDescent="0.2">
      <c r="B8167" s="11"/>
    </row>
    <row r="8168" spans="2:2" x14ac:dyDescent="0.2">
      <c r="B8168" s="11"/>
    </row>
    <row r="8169" spans="2:2" x14ac:dyDescent="0.2">
      <c r="B8169" s="11"/>
    </row>
    <row r="8170" spans="2:2" x14ac:dyDescent="0.2">
      <c r="B8170" s="11"/>
    </row>
    <row r="8171" spans="2:2" x14ac:dyDescent="0.2">
      <c r="B8171" s="11"/>
    </row>
    <row r="8172" spans="2:2" x14ac:dyDescent="0.2">
      <c r="B8172" s="11"/>
    </row>
    <row r="8173" spans="2:2" x14ac:dyDescent="0.2">
      <c r="B8173" s="11"/>
    </row>
    <row r="8174" spans="2:2" x14ac:dyDescent="0.2">
      <c r="B8174" s="11"/>
    </row>
    <row r="8175" spans="2:2" x14ac:dyDescent="0.2">
      <c r="B8175" s="11"/>
    </row>
    <row r="8176" spans="2:2" x14ac:dyDescent="0.2">
      <c r="B8176" s="11"/>
    </row>
    <row r="8177" spans="2:2" x14ac:dyDescent="0.2">
      <c r="B8177" s="11"/>
    </row>
    <row r="8178" spans="2:2" x14ac:dyDescent="0.2">
      <c r="B8178" s="11"/>
    </row>
    <row r="8179" spans="2:2" x14ac:dyDescent="0.2">
      <c r="B8179" s="11"/>
    </row>
    <row r="8180" spans="2:2" x14ac:dyDescent="0.2">
      <c r="B8180" s="11"/>
    </row>
    <row r="8181" spans="2:2" x14ac:dyDescent="0.2">
      <c r="B8181" s="11"/>
    </row>
    <row r="8182" spans="2:2" x14ac:dyDescent="0.2">
      <c r="B8182" s="11"/>
    </row>
    <row r="8183" spans="2:2" x14ac:dyDescent="0.2">
      <c r="B8183" s="11"/>
    </row>
    <row r="8184" spans="2:2" x14ac:dyDescent="0.2">
      <c r="B8184" s="11"/>
    </row>
    <row r="8185" spans="2:2" x14ac:dyDescent="0.2">
      <c r="B8185" s="11"/>
    </row>
    <row r="8186" spans="2:2" x14ac:dyDescent="0.2">
      <c r="B8186" s="11"/>
    </row>
    <row r="8187" spans="2:2" x14ac:dyDescent="0.2">
      <c r="B8187" s="11"/>
    </row>
    <row r="8188" spans="2:2" x14ac:dyDescent="0.2">
      <c r="B8188" s="11"/>
    </row>
    <row r="8189" spans="2:2" x14ac:dyDescent="0.2">
      <c r="B8189" s="11"/>
    </row>
    <row r="8190" spans="2:2" x14ac:dyDescent="0.2">
      <c r="B8190" s="11"/>
    </row>
    <row r="8191" spans="2:2" x14ac:dyDescent="0.2">
      <c r="B8191" s="11"/>
    </row>
    <row r="8192" spans="2:2" x14ac:dyDescent="0.2">
      <c r="B8192" s="11"/>
    </row>
    <row r="8193" spans="2:2" x14ac:dyDescent="0.2">
      <c r="B8193" s="11"/>
    </row>
    <row r="8194" spans="2:2" x14ac:dyDescent="0.2">
      <c r="B8194" s="11"/>
    </row>
    <row r="8195" spans="2:2" x14ac:dyDescent="0.2">
      <c r="B8195" s="11"/>
    </row>
    <row r="8196" spans="2:2" x14ac:dyDescent="0.2">
      <c r="B8196" s="11"/>
    </row>
    <row r="8197" spans="2:2" x14ac:dyDescent="0.2">
      <c r="B8197" s="11"/>
    </row>
    <row r="8198" spans="2:2" x14ac:dyDescent="0.2">
      <c r="B8198" s="11"/>
    </row>
    <row r="8199" spans="2:2" x14ac:dyDescent="0.2">
      <c r="B8199" s="11"/>
    </row>
    <row r="8200" spans="2:2" x14ac:dyDescent="0.2">
      <c r="B8200" s="11"/>
    </row>
    <row r="8201" spans="2:2" x14ac:dyDescent="0.2">
      <c r="B8201" s="11"/>
    </row>
    <row r="8202" spans="2:2" x14ac:dyDescent="0.2">
      <c r="B8202" s="11"/>
    </row>
    <row r="8203" spans="2:2" x14ac:dyDescent="0.2">
      <c r="B8203" s="11"/>
    </row>
    <row r="8204" spans="2:2" x14ac:dyDescent="0.2">
      <c r="B8204" s="11"/>
    </row>
    <row r="8205" spans="2:2" x14ac:dyDescent="0.2">
      <c r="B8205" s="11"/>
    </row>
    <row r="8206" spans="2:2" x14ac:dyDescent="0.2">
      <c r="B8206" s="11"/>
    </row>
    <row r="8207" spans="2:2" x14ac:dyDescent="0.2">
      <c r="B8207" s="11"/>
    </row>
    <row r="8208" spans="2:2" x14ac:dyDescent="0.2">
      <c r="B8208" s="11"/>
    </row>
    <row r="8209" spans="2:2" x14ac:dyDescent="0.2">
      <c r="B8209" s="11"/>
    </row>
    <row r="8210" spans="2:2" x14ac:dyDescent="0.2">
      <c r="B8210" s="11"/>
    </row>
    <row r="8211" spans="2:2" x14ac:dyDescent="0.2">
      <c r="B8211" s="11"/>
    </row>
    <row r="8212" spans="2:2" x14ac:dyDescent="0.2">
      <c r="B8212" s="11"/>
    </row>
    <row r="8213" spans="2:2" x14ac:dyDescent="0.2">
      <c r="B8213" s="11"/>
    </row>
    <row r="8214" spans="2:2" x14ac:dyDescent="0.2">
      <c r="B8214" s="11"/>
    </row>
    <row r="8215" spans="2:2" x14ac:dyDescent="0.2">
      <c r="B8215" s="11"/>
    </row>
    <row r="8216" spans="2:2" x14ac:dyDescent="0.2">
      <c r="B8216" s="11"/>
    </row>
    <row r="8217" spans="2:2" x14ac:dyDescent="0.2">
      <c r="B8217" s="11"/>
    </row>
    <row r="8218" spans="2:2" x14ac:dyDescent="0.2">
      <c r="B8218" s="11"/>
    </row>
    <row r="8219" spans="2:2" x14ac:dyDescent="0.2">
      <c r="B8219" s="11"/>
    </row>
    <row r="8220" spans="2:2" x14ac:dyDescent="0.2">
      <c r="B8220" s="11"/>
    </row>
    <row r="8221" spans="2:2" x14ac:dyDescent="0.2">
      <c r="B8221" s="11"/>
    </row>
    <row r="8222" spans="2:2" x14ac:dyDescent="0.2">
      <c r="B8222" s="11"/>
    </row>
    <row r="8223" spans="2:2" x14ac:dyDescent="0.2">
      <c r="B8223" s="11"/>
    </row>
    <row r="8224" spans="2:2" x14ac:dyDescent="0.2">
      <c r="B8224" s="11"/>
    </row>
    <row r="8225" spans="2:2" x14ac:dyDescent="0.2">
      <c r="B8225" s="11"/>
    </row>
    <row r="8226" spans="2:2" x14ac:dyDescent="0.2">
      <c r="B8226" s="11"/>
    </row>
    <row r="8227" spans="2:2" x14ac:dyDescent="0.2">
      <c r="B8227" s="11"/>
    </row>
    <row r="8228" spans="2:2" x14ac:dyDescent="0.2">
      <c r="B8228" s="11"/>
    </row>
    <row r="8229" spans="2:2" x14ac:dyDescent="0.2">
      <c r="B8229" s="11"/>
    </row>
    <row r="8230" spans="2:2" x14ac:dyDescent="0.2">
      <c r="B8230" s="11"/>
    </row>
    <row r="8231" spans="2:2" x14ac:dyDescent="0.2">
      <c r="B8231" s="11"/>
    </row>
    <row r="8232" spans="2:2" x14ac:dyDescent="0.2">
      <c r="B8232" s="11"/>
    </row>
    <row r="8233" spans="2:2" x14ac:dyDescent="0.2">
      <c r="B8233" s="11"/>
    </row>
    <row r="8234" spans="2:2" x14ac:dyDescent="0.2">
      <c r="B8234" s="11"/>
    </row>
    <row r="8235" spans="2:2" x14ac:dyDescent="0.2">
      <c r="B8235" s="11"/>
    </row>
    <row r="8236" spans="2:2" x14ac:dyDescent="0.2">
      <c r="B8236" s="11"/>
    </row>
    <row r="8237" spans="2:2" x14ac:dyDescent="0.2">
      <c r="B8237" s="11"/>
    </row>
    <row r="8238" spans="2:2" x14ac:dyDescent="0.2">
      <c r="B8238" s="11"/>
    </row>
    <row r="8239" spans="2:2" x14ac:dyDescent="0.2">
      <c r="B8239" s="11"/>
    </row>
    <row r="8240" spans="2:2" x14ac:dyDescent="0.2">
      <c r="B8240" s="11"/>
    </row>
    <row r="8241" spans="2:2" x14ac:dyDescent="0.2">
      <c r="B8241" s="11"/>
    </row>
    <row r="8242" spans="2:2" x14ac:dyDescent="0.2">
      <c r="B8242" s="11"/>
    </row>
    <row r="8243" spans="2:2" x14ac:dyDescent="0.2">
      <c r="B8243" s="11"/>
    </row>
    <row r="8244" spans="2:2" x14ac:dyDescent="0.2">
      <c r="B8244" s="11"/>
    </row>
    <row r="8245" spans="2:2" x14ac:dyDescent="0.2">
      <c r="B8245" s="11"/>
    </row>
    <row r="8246" spans="2:2" x14ac:dyDescent="0.2">
      <c r="B8246" s="11"/>
    </row>
    <row r="8247" spans="2:2" x14ac:dyDescent="0.2">
      <c r="B8247" s="11"/>
    </row>
    <row r="8248" spans="2:2" x14ac:dyDescent="0.2">
      <c r="B8248" s="11"/>
    </row>
    <row r="8249" spans="2:2" x14ac:dyDescent="0.2">
      <c r="B8249" s="11"/>
    </row>
    <row r="8250" spans="2:2" x14ac:dyDescent="0.2">
      <c r="B8250" s="11"/>
    </row>
    <row r="8251" spans="2:2" x14ac:dyDescent="0.2">
      <c r="B8251" s="11"/>
    </row>
    <row r="8252" spans="2:2" x14ac:dyDescent="0.2">
      <c r="B8252" s="11"/>
    </row>
    <row r="8253" spans="2:2" x14ac:dyDescent="0.2">
      <c r="B8253" s="11"/>
    </row>
    <row r="8254" spans="2:2" x14ac:dyDescent="0.2">
      <c r="B8254" s="11"/>
    </row>
    <row r="8255" spans="2:2" x14ac:dyDescent="0.2">
      <c r="B8255" s="11"/>
    </row>
    <row r="8256" spans="2:2" x14ac:dyDescent="0.2">
      <c r="B8256" s="11"/>
    </row>
    <row r="8257" spans="2:2" x14ac:dyDescent="0.2">
      <c r="B8257" s="11"/>
    </row>
    <row r="8258" spans="2:2" x14ac:dyDescent="0.2">
      <c r="B8258" s="11"/>
    </row>
    <row r="8259" spans="2:2" x14ac:dyDescent="0.2">
      <c r="B8259" s="11"/>
    </row>
    <row r="8260" spans="2:2" x14ac:dyDescent="0.2">
      <c r="B8260" s="11"/>
    </row>
    <row r="8261" spans="2:2" x14ac:dyDescent="0.2">
      <c r="B8261" s="11"/>
    </row>
    <row r="8262" spans="2:2" x14ac:dyDescent="0.2">
      <c r="B8262" s="11"/>
    </row>
    <row r="8263" spans="2:2" x14ac:dyDescent="0.2">
      <c r="B8263" s="11"/>
    </row>
    <row r="8264" spans="2:2" x14ac:dyDescent="0.2">
      <c r="B8264" s="11"/>
    </row>
    <row r="8265" spans="2:2" x14ac:dyDescent="0.2">
      <c r="B8265" s="11"/>
    </row>
    <row r="8266" spans="2:2" x14ac:dyDescent="0.2">
      <c r="B8266" s="11"/>
    </row>
    <row r="8267" spans="2:2" x14ac:dyDescent="0.2">
      <c r="B8267" s="11"/>
    </row>
    <row r="8268" spans="2:2" x14ac:dyDescent="0.2">
      <c r="B8268" s="11"/>
    </row>
    <row r="8269" spans="2:2" x14ac:dyDescent="0.2">
      <c r="B8269" s="11"/>
    </row>
    <row r="8270" spans="2:2" x14ac:dyDescent="0.2">
      <c r="B8270" s="11"/>
    </row>
    <row r="8271" spans="2:2" x14ac:dyDescent="0.2">
      <c r="B8271" s="11"/>
    </row>
    <row r="8272" spans="2:2" x14ac:dyDescent="0.2">
      <c r="B8272" s="11"/>
    </row>
    <row r="8273" spans="2:2" x14ac:dyDescent="0.2">
      <c r="B8273" s="11"/>
    </row>
    <row r="8274" spans="2:2" x14ac:dyDescent="0.2">
      <c r="B8274" s="11"/>
    </row>
    <row r="8275" spans="2:2" x14ac:dyDescent="0.2">
      <c r="B8275" s="11"/>
    </row>
    <row r="8276" spans="2:2" x14ac:dyDescent="0.2">
      <c r="B8276" s="11"/>
    </row>
    <row r="8277" spans="2:2" x14ac:dyDescent="0.2">
      <c r="B8277" s="11"/>
    </row>
    <row r="8278" spans="2:2" x14ac:dyDescent="0.2">
      <c r="B8278" s="11"/>
    </row>
    <row r="8279" spans="2:2" x14ac:dyDescent="0.2">
      <c r="B8279" s="11"/>
    </row>
    <row r="8280" spans="2:2" x14ac:dyDescent="0.2">
      <c r="B8280" s="11"/>
    </row>
    <row r="8281" spans="2:2" x14ac:dyDescent="0.2">
      <c r="B8281" s="11"/>
    </row>
    <row r="8282" spans="2:2" x14ac:dyDescent="0.2">
      <c r="B8282" s="11"/>
    </row>
    <row r="8283" spans="2:2" x14ac:dyDescent="0.2">
      <c r="B8283" s="11"/>
    </row>
    <row r="8284" spans="2:2" x14ac:dyDescent="0.2">
      <c r="B8284" s="11"/>
    </row>
    <row r="8285" spans="2:2" x14ac:dyDescent="0.2">
      <c r="B8285" s="11"/>
    </row>
    <row r="8286" spans="2:2" x14ac:dyDescent="0.2">
      <c r="B8286" s="11"/>
    </row>
    <row r="8287" spans="2:2" x14ac:dyDescent="0.2">
      <c r="B8287" s="11"/>
    </row>
    <row r="8288" spans="2:2" x14ac:dyDescent="0.2">
      <c r="B8288" s="11"/>
    </row>
    <row r="8289" spans="2:2" x14ac:dyDescent="0.2">
      <c r="B8289" s="11"/>
    </row>
    <row r="8290" spans="2:2" x14ac:dyDescent="0.2">
      <c r="B8290" s="11"/>
    </row>
    <row r="8291" spans="2:2" x14ac:dyDescent="0.2">
      <c r="B8291" s="11"/>
    </row>
    <row r="8292" spans="2:2" x14ac:dyDescent="0.2">
      <c r="B8292" s="11"/>
    </row>
    <row r="8293" spans="2:2" x14ac:dyDescent="0.2">
      <c r="B8293" s="11"/>
    </row>
    <row r="8294" spans="2:2" x14ac:dyDescent="0.2">
      <c r="B8294" s="11"/>
    </row>
    <row r="8295" spans="2:2" x14ac:dyDescent="0.2">
      <c r="B8295" s="11"/>
    </row>
    <row r="8296" spans="2:2" x14ac:dyDescent="0.2">
      <c r="B8296" s="11"/>
    </row>
    <row r="8297" spans="2:2" x14ac:dyDescent="0.2">
      <c r="B8297" s="11"/>
    </row>
    <row r="8298" spans="2:2" x14ac:dyDescent="0.2">
      <c r="B8298" s="11"/>
    </row>
    <row r="8299" spans="2:2" x14ac:dyDescent="0.2">
      <c r="B8299" s="11"/>
    </row>
    <row r="8300" spans="2:2" x14ac:dyDescent="0.2">
      <c r="B8300" s="11"/>
    </row>
    <row r="8301" spans="2:2" x14ac:dyDescent="0.2">
      <c r="B8301" s="11"/>
    </row>
    <row r="8302" spans="2:2" x14ac:dyDescent="0.2">
      <c r="B8302" s="11"/>
    </row>
    <row r="8303" spans="2:2" x14ac:dyDescent="0.2">
      <c r="B8303" s="11"/>
    </row>
    <row r="8304" spans="2:2" x14ac:dyDescent="0.2">
      <c r="B8304" s="11"/>
    </row>
    <row r="8305" spans="2:2" x14ac:dyDescent="0.2">
      <c r="B8305" s="11"/>
    </row>
    <row r="8306" spans="2:2" x14ac:dyDescent="0.2">
      <c r="B8306" s="11"/>
    </row>
    <row r="8307" spans="2:2" x14ac:dyDescent="0.2">
      <c r="B8307" s="11"/>
    </row>
    <row r="8308" spans="2:2" x14ac:dyDescent="0.2">
      <c r="B8308" s="11"/>
    </row>
    <row r="8309" spans="2:2" x14ac:dyDescent="0.2">
      <c r="B8309" s="11"/>
    </row>
    <row r="8310" spans="2:2" x14ac:dyDescent="0.2">
      <c r="B8310" s="11"/>
    </row>
    <row r="8311" spans="2:2" x14ac:dyDescent="0.2">
      <c r="B8311" s="11"/>
    </row>
    <row r="8312" spans="2:2" x14ac:dyDescent="0.2">
      <c r="B8312" s="11"/>
    </row>
    <row r="8313" spans="2:2" x14ac:dyDescent="0.2">
      <c r="B8313" s="11"/>
    </row>
    <row r="8314" spans="2:2" x14ac:dyDescent="0.2">
      <c r="B8314" s="11"/>
    </row>
    <row r="8315" spans="2:2" x14ac:dyDescent="0.2">
      <c r="B8315" s="11"/>
    </row>
    <row r="8316" spans="2:2" x14ac:dyDescent="0.2">
      <c r="B8316" s="11"/>
    </row>
    <row r="8317" spans="2:2" x14ac:dyDescent="0.2">
      <c r="B8317" s="11"/>
    </row>
    <row r="8318" spans="2:2" x14ac:dyDescent="0.2">
      <c r="B8318" s="11"/>
    </row>
    <row r="8319" spans="2:2" x14ac:dyDescent="0.2">
      <c r="B8319" s="11"/>
    </row>
    <row r="8320" spans="2:2" x14ac:dyDescent="0.2">
      <c r="B8320" s="11"/>
    </row>
    <row r="8321" spans="2:2" x14ac:dyDescent="0.2">
      <c r="B8321" s="11"/>
    </row>
    <row r="8322" spans="2:2" x14ac:dyDescent="0.2">
      <c r="B8322" s="11"/>
    </row>
    <row r="8323" spans="2:2" x14ac:dyDescent="0.2">
      <c r="B8323" s="11"/>
    </row>
    <row r="8324" spans="2:2" x14ac:dyDescent="0.2">
      <c r="B8324" s="11"/>
    </row>
    <row r="8325" spans="2:2" x14ac:dyDescent="0.2">
      <c r="B8325" s="11"/>
    </row>
    <row r="8326" spans="2:2" x14ac:dyDescent="0.2">
      <c r="B8326" s="11"/>
    </row>
    <row r="8327" spans="2:2" x14ac:dyDescent="0.2">
      <c r="B8327" s="11"/>
    </row>
    <row r="8328" spans="2:2" x14ac:dyDescent="0.2">
      <c r="B8328" s="11"/>
    </row>
    <row r="8329" spans="2:2" x14ac:dyDescent="0.2">
      <c r="B8329" s="11"/>
    </row>
    <row r="8330" spans="2:2" x14ac:dyDescent="0.2">
      <c r="B8330" s="11"/>
    </row>
    <row r="8331" spans="2:2" x14ac:dyDescent="0.2">
      <c r="B8331" s="11"/>
    </row>
    <row r="8332" spans="2:2" x14ac:dyDescent="0.2">
      <c r="B8332" s="11"/>
    </row>
    <row r="8333" spans="2:2" x14ac:dyDescent="0.2">
      <c r="B8333" s="11"/>
    </row>
    <row r="8334" spans="2:2" x14ac:dyDescent="0.2">
      <c r="B8334" s="11"/>
    </row>
    <row r="8335" spans="2:2" x14ac:dyDescent="0.2">
      <c r="B8335" s="11"/>
    </row>
    <row r="8336" spans="2:2" x14ac:dyDescent="0.2">
      <c r="B8336" s="11"/>
    </row>
    <row r="8337" spans="2:2" x14ac:dyDescent="0.2">
      <c r="B8337" s="11"/>
    </row>
    <row r="8338" spans="2:2" x14ac:dyDescent="0.2">
      <c r="B8338" s="11"/>
    </row>
    <row r="8339" spans="2:2" x14ac:dyDescent="0.2">
      <c r="B8339" s="11"/>
    </row>
    <row r="8340" spans="2:2" x14ac:dyDescent="0.2">
      <c r="B8340" s="11"/>
    </row>
    <row r="8341" spans="2:2" x14ac:dyDescent="0.2">
      <c r="B8341" s="11"/>
    </row>
    <row r="8342" spans="2:2" x14ac:dyDescent="0.2">
      <c r="B8342" s="11"/>
    </row>
    <row r="8343" spans="2:2" x14ac:dyDescent="0.2">
      <c r="B8343" s="11"/>
    </row>
    <row r="8344" spans="2:2" x14ac:dyDescent="0.2">
      <c r="B8344" s="11"/>
    </row>
    <row r="8345" spans="2:2" x14ac:dyDescent="0.2">
      <c r="B8345" s="11"/>
    </row>
    <row r="8346" spans="2:2" x14ac:dyDescent="0.2">
      <c r="B8346" s="11"/>
    </row>
    <row r="8347" spans="2:2" x14ac:dyDescent="0.2">
      <c r="B8347" s="11"/>
    </row>
    <row r="8348" spans="2:2" x14ac:dyDescent="0.2">
      <c r="B8348" s="11"/>
    </row>
    <row r="8349" spans="2:2" x14ac:dyDescent="0.2">
      <c r="B8349" s="11"/>
    </row>
    <row r="8350" spans="2:2" x14ac:dyDescent="0.2">
      <c r="B8350" s="11"/>
    </row>
    <row r="8351" spans="2:2" x14ac:dyDescent="0.2">
      <c r="B8351" s="11"/>
    </row>
    <row r="8352" spans="2:2" x14ac:dyDescent="0.2">
      <c r="B8352" s="11"/>
    </row>
    <row r="8353" spans="2:2" x14ac:dyDescent="0.2">
      <c r="B8353" s="11"/>
    </row>
    <row r="8354" spans="2:2" x14ac:dyDescent="0.2">
      <c r="B8354" s="11"/>
    </row>
    <row r="8355" spans="2:2" x14ac:dyDescent="0.2">
      <c r="B8355" s="11"/>
    </row>
    <row r="8356" spans="2:2" x14ac:dyDescent="0.2">
      <c r="B8356" s="11"/>
    </row>
    <row r="8357" spans="2:2" x14ac:dyDescent="0.2">
      <c r="B8357" s="11"/>
    </row>
    <row r="8358" spans="2:2" x14ac:dyDescent="0.2">
      <c r="B8358" s="11"/>
    </row>
    <row r="8359" spans="2:2" x14ac:dyDescent="0.2">
      <c r="B8359" s="11"/>
    </row>
    <row r="8360" spans="2:2" x14ac:dyDescent="0.2">
      <c r="B8360" s="11"/>
    </row>
    <row r="8361" spans="2:2" x14ac:dyDescent="0.2">
      <c r="B8361" s="11"/>
    </row>
    <row r="8362" spans="2:2" x14ac:dyDescent="0.2">
      <c r="B8362" s="11"/>
    </row>
    <row r="8363" spans="2:2" x14ac:dyDescent="0.2">
      <c r="B8363" s="11"/>
    </row>
    <row r="8364" spans="2:2" x14ac:dyDescent="0.2">
      <c r="B8364" s="11"/>
    </row>
    <row r="8365" spans="2:2" x14ac:dyDescent="0.2">
      <c r="B8365" s="11"/>
    </row>
    <row r="8366" spans="2:2" x14ac:dyDescent="0.2">
      <c r="B8366" s="11"/>
    </row>
    <row r="8367" spans="2:2" x14ac:dyDescent="0.2">
      <c r="B8367" s="11"/>
    </row>
    <row r="8368" spans="2:2" x14ac:dyDescent="0.2">
      <c r="B8368" s="11"/>
    </row>
    <row r="8369" spans="2:2" x14ac:dyDescent="0.2">
      <c r="B8369" s="11"/>
    </row>
    <row r="8370" spans="2:2" x14ac:dyDescent="0.2">
      <c r="B8370" s="11"/>
    </row>
    <row r="8371" spans="2:2" x14ac:dyDescent="0.2">
      <c r="B8371" s="11"/>
    </row>
    <row r="8372" spans="2:2" x14ac:dyDescent="0.2">
      <c r="B8372" s="11"/>
    </row>
    <row r="8373" spans="2:2" x14ac:dyDescent="0.2">
      <c r="B8373" s="11"/>
    </row>
    <row r="8374" spans="2:2" x14ac:dyDescent="0.2">
      <c r="B8374" s="11"/>
    </row>
    <row r="8375" spans="2:2" x14ac:dyDescent="0.2">
      <c r="B8375" s="11"/>
    </row>
    <row r="8376" spans="2:2" x14ac:dyDescent="0.2">
      <c r="B8376" s="11"/>
    </row>
    <row r="8377" spans="2:2" x14ac:dyDescent="0.2">
      <c r="B8377" s="11"/>
    </row>
    <row r="8378" spans="2:2" x14ac:dyDescent="0.2">
      <c r="B8378" s="11"/>
    </row>
    <row r="8379" spans="2:2" x14ac:dyDescent="0.2">
      <c r="B8379" s="11"/>
    </row>
    <row r="8380" spans="2:2" x14ac:dyDescent="0.2">
      <c r="B8380" s="11"/>
    </row>
    <row r="8381" spans="2:2" x14ac:dyDescent="0.2">
      <c r="B8381" s="11"/>
    </row>
    <row r="8382" spans="2:2" x14ac:dyDescent="0.2">
      <c r="B8382" s="11"/>
    </row>
    <row r="8383" spans="2:2" x14ac:dyDescent="0.2">
      <c r="B8383" s="11"/>
    </row>
    <row r="8384" spans="2:2" x14ac:dyDescent="0.2">
      <c r="B8384" s="11"/>
    </row>
    <row r="8385" spans="2:2" x14ac:dyDescent="0.2">
      <c r="B8385" s="11"/>
    </row>
    <row r="8386" spans="2:2" x14ac:dyDescent="0.2">
      <c r="B8386" s="11"/>
    </row>
    <row r="8387" spans="2:2" x14ac:dyDescent="0.2">
      <c r="B8387" s="11"/>
    </row>
    <row r="8388" spans="2:2" x14ac:dyDescent="0.2">
      <c r="B8388" s="11"/>
    </row>
    <row r="8389" spans="2:2" x14ac:dyDescent="0.2">
      <c r="B8389" s="11"/>
    </row>
    <row r="8390" spans="2:2" x14ac:dyDescent="0.2">
      <c r="B8390" s="11"/>
    </row>
    <row r="8391" spans="2:2" x14ac:dyDescent="0.2">
      <c r="B8391" s="11"/>
    </row>
    <row r="8392" spans="2:2" x14ac:dyDescent="0.2">
      <c r="B8392" s="11"/>
    </row>
    <row r="8393" spans="2:2" x14ac:dyDescent="0.2">
      <c r="B8393" s="11"/>
    </row>
    <row r="8394" spans="2:2" x14ac:dyDescent="0.2">
      <c r="B8394" s="11"/>
    </row>
    <row r="8395" spans="2:2" x14ac:dyDescent="0.2">
      <c r="B8395" s="11"/>
    </row>
    <row r="8396" spans="2:2" x14ac:dyDescent="0.2">
      <c r="B8396" s="11"/>
    </row>
    <row r="8397" spans="2:2" x14ac:dyDescent="0.2">
      <c r="B8397" s="11"/>
    </row>
    <row r="8398" spans="2:2" x14ac:dyDescent="0.2">
      <c r="B8398" s="11"/>
    </row>
    <row r="8399" spans="2:2" x14ac:dyDescent="0.2">
      <c r="B8399" s="11"/>
    </row>
    <row r="8400" spans="2:2" x14ac:dyDescent="0.2">
      <c r="B8400" s="11"/>
    </row>
    <row r="8401" spans="2:2" x14ac:dyDescent="0.2">
      <c r="B8401" s="11"/>
    </row>
    <row r="8402" spans="2:2" x14ac:dyDescent="0.2">
      <c r="B8402" s="11"/>
    </row>
    <row r="8403" spans="2:2" x14ac:dyDescent="0.2">
      <c r="B8403" s="11"/>
    </row>
    <row r="8404" spans="2:2" x14ac:dyDescent="0.2">
      <c r="B8404" s="11"/>
    </row>
    <row r="8405" spans="2:2" x14ac:dyDescent="0.2">
      <c r="B8405" s="11"/>
    </row>
    <row r="8406" spans="2:2" x14ac:dyDescent="0.2">
      <c r="B8406" s="11"/>
    </row>
    <row r="8407" spans="2:2" x14ac:dyDescent="0.2">
      <c r="B8407" s="11"/>
    </row>
    <row r="8408" spans="2:2" x14ac:dyDescent="0.2">
      <c r="B8408" s="11"/>
    </row>
    <row r="8409" spans="2:2" x14ac:dyDescent="0.2">
      <c r="B8409" s="11"/>
    </row>
    <row r="8410" spans="2:2" x14ac:dyDescent="0.2">
      <c r="B8410" s="11"/>
    </row>
    <row r="8411" spans="2:2" x14ac:dyDescent="0.2">
      <c r="B8411" s="11"/>
    </row>
    <row r="8412" spans="2:2" x14ac:dyDescent="0.2">
      <c r="B8412" s="11"/>
    </row>
    <row r="8413" spans="2:2" x14ac:dyDescent="0.2">
      <c r="B8413" s="11"/>
    </row>
    <row r="8414" spans="2:2" x14ac:dyDescent="0.2">
      <c r="B8414" s="11"/>
    </row>
    <row r="8415" spans="2:2" x14ac:dyDescent="0.2">
      <c r="B8415" s="11"/>
    </row>
    <row r="8416" spans="2:2" x14ac:dyDescent="0.2">
      <c r="B8416" s="11"/>
    </row>
    <row r="8417" spans="2:2" x14ac:dyDescent="0.2">
      <c r="B8417" s="11"/>
    </row>
    <row r="8418" spans="2:2" x14ac:dyDescent="0.2">
      <c r="B8418" s="11"/>
    </row>
    <row r="8419" spans="2:2" x14ac:dyDescent="0.2">
      <c r="B8419" s="11"/>
    </row>
    <row r="8420" spans="2:2" x14ac:dyDescent="0.2">
      <c r="B8420" s="11"/>
    </row>
    <row r="8421" spans="2:2" x14ac:dyDescent="0.2">
      <c r="B8421" s="11"/>
    </row>
    <row r="8422" spans="2:2" x14ac:dyDescent="0.2">
      <c r="B8422" s="11"/>
    </row>
    <row r="8423" spans="2:2" x14ac:dyDescent="0.2">
      <c r="B8423" s="11"/>
    </row>
    <row r="8424" spans="2:2" x14ac:dyDescent="0.2">
      <c r="B8424" s="11"/>
    </row>
    <row r="8425" spans="2:2" x14ac:dyDescent="0.2">
      <c r="B8425" s="11"/>
    </row>
    <row r="8426" spans="2:2" x14ac:dyDescent="0.2">
      <c r="B8426" s="11"/>
    </row>
    <row r="8427" spans="2:2" x14ac:dyDescent="0.2">
      <c r="B8427" s="11"/>
    </row>
    <row r="8428" spans="2:2" x14ac:dyDescent="0.2">
      <c r="B8428" s="11"/>
    </row>
    <row r="8429" spans="2:2" x14ac:dyDescent="0.2">
      <c r="B8429" s="11"/>
    </row>
    <row r="8430" spans="2:2" x14ac:dyDescent="0.2">
      <c r="B8430" s="11"/>
    </row>
    <row r="8431" spans="2:2" x14ac:dyDescent="0.2">
      <c r="B8431" s="11"/>
    </row>
    <row r="8432" spans="2:2" x14ac:dyDescent="0.2">
      <c r="B8432" s="11"/>
    </row>
    <row r="8433" spans="2:2" x14ac:dyDescent="0.2">
      <c r="B8433" s="11"/>
    </row>
    <row r="8434" spans="2:2" x14ac:dyDescent="0.2">
      <c r="B8434" s="11"/>
    </row>
    <row r="8435" spans="2:2" x14ac:dyDescent="0.2">
      <c r="B8435" s="11"/>
    </row>
    <row r="8436" spans="2:2" x14ac:dyDescent="0.2">
      <c r="B8436" s="11"/>
    </row>
    <row r="8437" spans="2:2" x14ac:dyDescent="0.2">
      <c r="B8437" s="11"/>
    </row>
    <row r="8438" spans="2:2" x14ac:dyDescent="0.2">
      <c r="B8438" s="11"/>
    </row>
    <row r="8439" spans="2:2" x14ac:dyDescent="0.2">
      <c r="B8439" s="11"/>
    </row>
    <row r="8440" spans="2:2" x14ac:dyDescent="0.2">
      <c r="B8440" s="11"/>
    </row>
    <row r="8441" spans="2:2" x14ac:dyDescent="0.2">
      <c r="B8441" s="11"/>
    </row>
    <row r="8442" spans="2:2" x14ac:dyDescent="0.2">
      <c r="B8442" s="11"/>
    </row>
    <row r="8443" spans="2:2" x14ac:dyDescent="0.2">
      <c r="B8443" s="11"/>
    </row>
    <row r="8444" spans="2:2" x14ac:dyDescent="0.2">
      <c r="B8444" s="11"/>
    </row>
    <row r="8445" spans="2:2" x14ac:dyDescent="0.2">
      <c r="B8445" s="11"/>
    </row>
    <row r="8446" spans="2:2" x14ac:dyDescent="0.2">
      <c r="B8446" s="11"/>
    </row>
    <row r="8447" spans="2:2" x14ac:dyDescent="0.2">
      <c r="B8447" s="11"/>
    </row>
    <row r="8448" spans="2:2" x14ac:dyDescent="0.2">
      <c r="B8448" s="11"/>
    </row>
    <row r="8449" spans="2:2" x14ac:dyDescent="0.2">
      <c r="B8449" s="11"/>
    </row>
    <row r="8450" spans="2:2" x14ac:dyDescent="0.2">
      <c r="B8450" s="11"/>
    </row>
    <row r="8451" spans="2:2" x14ac:dyDescent="0.2">
      <c r="B8451" s="11"/>
    </row>
    <row r="8452" spans="2:2" x14ac:dyDescent="0.2">
      <c r="B8452" s="11"/>
    </row>
    <row r="8453" spans="2:2" x14ac:dyDescent="0.2">
      <c r="B8453" s="11"/>
    </row>
    <row r="8454" spans="2:2" x14ac:dyDescent="0.2">
      <c r="B8454" s="11"/>
    </row>
    <row r="8455" spans="2:2" x14ac:dyDescent="0.2">
      <c r="B8455" s="11"/>
    </row>
    <row r="8456" spans="2:2" x14ac:dyDescent="0.2">
      <c r="B8456" s="11"/>
    </row>
    <row r="8457" spans="2:2" x14ac:dyDescent="0.2">
      <c r="B8457" s="11"/>
    </row>
    <row r="8458" spans="2:2" x14ac:dyDescent="0.2">
      <c r="B8458" s="11"/>
    </row>
    <row r="8459" spans="2:2" x14ac:dyDescent="0.2">
      <c r="B8459" s="11"/>
    </row>
    <row r="8460" spans="2:2" x14ac:dyDescent="0.2">
      <c r="B8460" s="11"/>
    </row>
    <row r="8461" spans="2:2" x14ac:dyDescent="0.2">
      <c r="B8461" s="11"/>
    </row>
    <row r="8462" spans="2:2" x14ac:dyDescent="0.2">
      <c r="B8462" s="11"/>
    </row>
    <row r="8463" spans="2:2" x14ac:dyDescent="0.2">
      <c r="B8463" s="11"/>
    </row>
    <row r="8464" spans="2:2" x14ac:dyDescent="0.2">
      <c r="B8464" s="11"/>
    </row>
    <row r="8465" spans="2:2" x14ac:dyDescent="0.2">
      <c r="B8465" s="11"/>
    </row>
    <row r="8466" spans="2:2" x14ac:dyDescent="0.2">
      <c r="B8466" s="11"/>
    </row>
    <row r="8467" spans="2:2" x14ac:dyDescent="0.2">
      <c r="B8467" s="11"/>
    </row>
    <row r="8468" spans="2:2" x14ac:dyDescent="0.2">
      <c r="B8468" s="11"/>
    </row>
    <row r="8469" spans="2:2" x14ac:dyDescent="0.2">
      <c r="B8469" s="11"/>
    </row>
    <row r="8470" spans="2:2" x14ac:dyDescent="0.2">
      <c r="B8470" s="11"/>
    </row>
    <row r="8471" spans="2:2" x14ac:dyDescent="0.2">
      <c r="B8471" s="11"/>
    </row>
    <row r="8472" spans="2:2" x14ac:dyDescent="0.2">
      <c r="B8472" s="11"/>
    </row>
    <row r="8473" spans="2:2" x14ac:dyDescent="0.2">
      <c r="B8473" s="11"/>
    </row>
    <row r="8474" spans="2:2" x14ac:dyDescent="0.2">
      <c r="B8474" s="11"/>
    </row>
    <row r="8475" spans="2:2" x14ac:dyDescent="0.2">
      <c r="B8475" s="11"/>
    </row>
    <row r="8476" spans="2:2" x14ac:dyDescent="0.2">
      <c r="B8476" s="11"/>
    </row>
    <row r="8477" spans="2:2" x14ac:dyDescent="0.2">
      <c r="B8477" s="11"/>
    </row>
    <row r="8478" spans="2:2" x14ac:dyDescent="0.2">
      <c r="B8478" s="11"/>
    </row>
    <row r="8479" spans="2:2" x14ac:dyDescent="0.2">
      <c r="B8479" s="11"/>
    </row>
    <row r="8480" spans="2:2" x14ac:dyDescent="0.2">
      <c r="B8480" s="11"/>
    </row>
    <row r="8481" spans="2:2" x14ac:dyDescent="0.2">
      <c r="B8481" s="11"/>
    </row>
    <row r="8482" spans="2:2" x14ac:dyDescent="0.2">
      <c r="B8482" s="11"/>
    </row>
    <row r="8483" spans="2:2" x14ac:dyDescent="0.2">
      <c r="B8483" s="11"/>
    </row>
    <row r="8484" spans="2:2" x14ac:dyDescent="0.2">
      <c r="B8484" s="11"/>
    </row>
    <row r="8485" spans="2:2" x14ac:dyDescent="0.2">
      <c r="B8485" s="11"/>
    </row>
    <row r="8486" spans="2:2" x14ac:dyDescent="0.2">
      <c r="B8486" s="11"/>
    </row>
    <row r="8487" spans="2:2" x14ac:dyDescent="0.2">
      <c r="B8487" s="11"/>
    </row>
    <row r="8488" spans="2:2" x14ac:dyDescent="0.2">
      <c r="B8488" s="11"/>
    </row>
    <row r="8489" spans="2:2" x14ac:dyDescent="0.2">
      <c r="B8489" s="11"/>
    </row>
    <row r="8490" spans="2:2" x14ac:dyDescent="0.2">
      <c r="B8490" s="11"/>
    </row>
    <row r="8491" spans="2:2" x14ac:dyDescent="0.2">
      <c r="B8491" s="11"/>
    </row>
    <row r="8492" spans="2:2" x14ac:dyDescent="0.2">
      <c r="B8492" s="11"/>
    </row>
    <row r="8493" spans="2:2" x14ac:dyDescent="0.2">
      <c r="B8493" s="11"/>
    </row>
    <row r="8494" spans="2:2" x14ac:dyDescent="0.2">
      <c r="B8494" s="11"/>
    </row>
    <row r="8495" spans="2:2" x14ac:dyDescent="0.2">
      <c r="B8495" s="11"/>
    </row>
    <row r="8496" spans="2:2" x14ac:dyDescent="0.2">
      <c r="B8496" s="11"/>
    </row>
    <row r="8497" spans="2:2" x14ac:dyDescent="0.2">
      <c r="B8497" s="11"/>
    </row>
    <row r="8498" spans="2:2" x14ac:dyDescent="0.2">
      <c r="B8498" s="11"/>
    </row>
    <row r="8499" spans="2:2" x14ac:dyDescent="0.2">
      <c r="B8499" s="11"/>
    </row>
    <row r="8500" spans="2:2" x14ac:dyDescent="0.2">
      <c r="B8500" s="11"/>
    </row>
    <row r="8501" spans="2:2" x14ac:dyDescent="0.2">
      <c r="B8501" s="11"/>
    </row>
    <row r="8502" spans="2:2" x14ac:dyDescent="0.2">
      <c r="B8502" s="11"/>
    </row>
    <row r="8503" spans="2:2" x14ac:dyDescent="0.2">
      <c r="B8503" s="11"/>
    </row>
    <row r="8504" spans="2:2" x14ac:dyDescent="0.2">
      <c r="B8504" s="11"/>
    </row>
    <row r="8505" spans="2:2" x14ac:dyDescent="0.2">
      <c r="B8505" s="11"/>
    </row>
    <row r="8506" spans="2:2" x14ac:dyDescent="0.2">
      <c r="B8506" s="11"/>
    </row>
    <row r="8507" spans="2:2" x14ac:dyDescent="0.2">
      <c r="B8507" s="11"/>
    </row>
    <row r="8508" spans="2:2" x14ac:dyDescent="0.2">
      <c r="B8508" s="11"/>
    </row>
    <row r="8509" spans="2:2" x14ac:dyDescent="0.2">
      <c r="B8509" s="11"/>
    </row>
    <row r="8510" spans="2:2" x14ac:dyDescent="0.2">
      <c r="B8510" s="11"/>
    </row>
    <row r="8511" spans="2:2" x14ac:dyDescent="0.2">
      <c r="B8511" s="11"/>
    </row>
    <row r="8512" spans="2:2" x14ac:dyDescent="0.2">
      <c r="B8512" s="11"/>
    </row>
    <row r="8513" spans="2:2" x14ac:dyDescent="0.2">
      <c r="B8513" s="11"/>
    </row>
    <row r="8514" spans="2:2" x14ac:dyDescent="0.2">
      <c r="B8514" s="11"/>
    </row>
    <row r="8515" spans="2:2" x14ac:dyDescent="0.2">
      <c r="B8515" s="11"/>
    </row>
    <row r="8516" spans="2:2" x14ac:dyDescent="0.2">
      <c r="B8516" s="11"/>
    </row>
    <row r="8517" spans="2:2" x14ac:dyDescent="0.2">
      <c r="B8517" s="11"/>
    </row>
    <row r="8518" spans="2:2" x14ac:dyDescent="0.2">
      <c r="B8518" s="11"/>
    </row>
    <row r="8519" spans="2:2" x14ac:dyDescent="0.2">
      <c r="B8519" s="11"/>
    </row>
    <row r="8520" spans="2:2" x14ac:dyDescent="0.2">
      <c r="B8520" s="11"/>
    </row>
    <row r="8521" spans="2:2" x14ac:dyDescent="0.2">
      <c r="B8521" s="11"/>
    </row>
    <row r="8522" spans="2:2" x14ac:dyDescent="0.2">
      <c r="B8522" s="11"/>
    </row>
    <row r="8523" spans="2:2" x14ac:dyDescent="0.2">
      <c r="B8523" s="11"/>
    </row>
    <row r="8524" spans="2:2" x14ac:dyDescent="0.2">
      <c r="B8524" s="11"/>
    </row>
    <row r="8525" spans="2:2" x14ac:dyDescent="0.2">
      <c r="B8525" s="11"/>
    </row>
    <row r="8526" spans="2:2" x14ac:dyDescent="0.2">
      <c r="B8526" s="11"/>
    </row>
    <row r="8527" spans="2:2" x14ac:dyDescent="0.2">
      <c r="B8527" s="11"/>
    </row>
    <row r="8528" spans="2:2" x14ac:dyDescent="0.2">
      <c r="B8528" s="11"/>
    </row>
    <row r="8529" spans="2:2" x14ac:dyDescent="0.2">
      <c r="B8529" s="11"/>
    </row>
    <row r="8530" spans="2:2" x14ac:dyDescent="0.2">
      <c r="B8530" s="11"/>
    </row>
    <row r="8531" spans="2:2" x14ac:dyDescent="0.2">
      <c r="B8531" s="11"/>
    </row>
    <row r="8532" spans="2:2" x14ac:dyDescent="0.2">
      <c r="B8532" s="11"/>
    </row>
    <row r="8533" spans="2:2" x14ac:dyDescent="0.2">
      <c r="B8533" s="11"/>
    </row>
    <row r="8534" spans="2:2" x14ac:dyDescent="0.2">
      <c r="B8534" s="11"/>
    </row>
    <row r="8535" spans="2:2" x14ac:dyDescent="0.2">
      <c r="B8535" s="11"/>
    </row>
    <row r="8536" spans="2:2" x14ac:dyDescent="0.2">
      <c r="B8536" s="11"/>
    </row>
    <row r="8537" spans="2:2" x14ac:dyDescent="0.2">
      <c r="B8537" s="11"/>
    </row>
    <row r="8538" spans="2:2" x14ac:dyDescent="0.2">
      <c r="B8538" s="11"/>
    </row>
    <row r="8539" spans="2:2" x14ac:dyDescent="0.2">
      <c r="B8539" s="11"/>
    </row>
    <row r="8540" spans="2:2" x14ac:dyDescent="0.2">
      <c r="B8540" s="11"/>
    </row>
    <row r="8541" spans="2:2" x14ac:dyDescent="0.2">
      <c r="B8541" s="11"/>
    </row>
    <row r="8542" spans="2:2" x14ac:dyDescent="0.2">
      <c r="B8542" s="11"/>
    </row>
    <row r="8543" spans="2:2" x14ac:dyDescent="0.2">
      <c r="B8543" s="11"/>
    </row>
    <row r="8544" spans="2:2" x14ac:dyDescent="0.2">
      <c r="B8544" s="11"/>
    </row>
    <row r="8545" spans="2:2" x14ac:dyDescent="0.2">
      <c r="B8545" s="11"/>
    </row>
    <row r="8546" spans="2:2" x14ac:dyDescent="0.2">
      <c r="B8546" s="11"/>
    </row>
    <row r="8547" spans="2:2" x14ac:dyDescent="0.2">
      <c r="B8547" s="11"/>
    </row>
    <row r="8548" spans="2:2" x14ac:dyDescent="0.2">
      <c r="B8548" s="11"/>
    </row>
    <row r="8549" spans="2:2" x14ac:dyDescent="0.2">
      <c r="B8549" s="11"/>
    </row>
    <row r="8550" spans="2:2" x14ac:dyDescent="0.2">
      <c r="B8550" s="11"/>
    </row>
    <row r="8551" spans="2:2" x14ac:dyDescent="0.2">
      <c r="B8551" s="11"/>
    </row>
    <row r="8552" spans="2:2" x14ac:dyDescent="0.2">
      <c r="B8552" s="11"/>
    </row>
    <row r="8553" spans="2:2" x14ac:dyDescent="0.2">
      <c r="B8553" s="11"/>
    </row>
    <row r="8554" spans="2:2" x14ac:dyDescent="0.2">
      <c r="B8554" s="11"/>
    </row>
    <row r="8555" spans="2:2" x14ac:dyDescent="0.2">
      <c r="B8555" s="11"/>
    </row>
    <row r="8556" spans="2:2" x14ac:dyDescent="0.2">
      <c r="B8556" s="11"/>
    </row>
    <row r="8557" spans="2:2" x14ac:dyDescent="0.2">
      <c r="B8557" s="11"/>
    </row>
    <row r="8558" spans="2:2" x14ac:dyDescent="0.2">
      <c r="B8558" s="11"/>
    </row>
    <row r="8559" spans="2:2" x14ac:dyDescent="0.2">
      <c r="B8559" s="11"/>
    </row>
    <row r="8560" spans="2:2" x14ac:dyDescent="0.2">
      <c r="B8560" s="11"/>
    </row>
    <row r="8561" spans="2:2" x14ac:dyDescent="0.2">
      <c r="B8561" s="11"/>
    </row>
    <row r="8562" spans="2:2" x14ac:dyDescent="0.2">
      <c r="B8562" s="11"/>
    </row>
    <row r="8563" spans="2:2" x14ac:dyDescent="0.2">
      <c r="B8563" s="11"/>
    </row>
    <row r="8564" spans="2:2" x14ac:dyDescent="0.2">
      <c r="B8564" s="11"/>
    </row>
    <row r="8565" spans="2:2" x14ac:dyDescent="0.2">
      <c r="B8565" s="11"/>
    </row>
    <row r="8566" spans="2:2" x14ac:dyDescent="0.2">
      <c r="B8566" s="11"/>
    </row>
    <row r="8567" spans="2:2" x14ac:dyDescent="0.2">
      <c r="B8567" s="11"/>
    </row>
    <row r="8568" spans="2:2" x14ac:dyDescent="0.2">
      <c r="B8568" s="11"/>
    </row>
    <row r="8569" spans="2:2" x14ac:dyDescent="0.2">
      <c r="B8569" s="11"/>
    </row>
    <row r="8570" spans="2:2" x14ac:dyDescent="0.2">
      <c r="B8570" s="11"/>
    </row>
    <row r="8571" spans="2:2" x14ac:dyDescent="0.2">
      <c r="B8571" s="11"/>
    </row>
    <row r="8572" spans="2:2" x14ac:dyDescent="0.2">
      <c r="B8572" s="11"/>
    </row>
    <row r="8573" spans="2:2" x14ac:dyDescent="0.2">
      <c r="B8573" s="11"/>
    </row>
    <row r="8574" spans="2:2" x14ac:dyDescent="0.2">
      <c r="B8574" s="11"/>
    </row>
    <row r="8575" spans="2:2" x14ac:dyDescent="0.2">
      <c r="B8575" s="11"/>
    </row>
    <row r="8576" spans="2:2" x14ac:dyDescent="0.2">
      <c r="B8576" s="11"/>
    </row>
    <row r="8577" spans="2:2" x14ac:dyDescent="0.2">
      <c r="B8577" s="11"/>
    </row>
    <row r="8578" spans="2:2" x14ac:dyDescent="0.2">
      <c r="B8578" s="11"/>
    </row>
    <row r="8579" spans="2:2" x14ac:dyDescent="0.2">
      <c r="B8579" s="11"/>
    </row>
    <row r="8580" spans="2:2" x14ac:dyDescent="0.2">
      <c r="B8580" s="11"/>
    </row>
    <row r="8581" spans="2:2" x14ac:dyDescent="0.2">
      <c r="B8581" s="11"/>
    </row>
    <row r="8582" spans="2:2" x14ac:dyDescent="0.2">
      <c r="B8582" s="11"/>
    </row>
    <row r="8583" spans="2:2" x14ac:dyDescent="0.2">
      <c r="B8583" s="11"/>
    </row>
    <row r="8584" spans="2:2" x14ac:dyDescent="0.2">
      <c r="B8584" s="11"/>
    </row>
    <row r="8585" spans="2:2" x14ac:dyDescent="0.2">
      <c r="B8585" s="11"/>
    </row>
    <row r="8586" spans="2:2" x14ac:dyDescent="0.2">
      <c r="B8586" s="11"/>
    </row>
    <row r="8587" spans="2:2" x14ac:dyDescent="0.2">
      <c r="B8587" s="11"/>
    </row>
    <row r="8588" spans="2:2" x14ac:dyDescent="0.2">
      <c r="B8588" s="11"/>
    </row>
    <row r="8589" spans="2:2" x14ac:dyDescent="0.2">
      <c r="B8589" s="11"/>
    </row>
    <row r="8590" spans="2:2" x14ac:dyDescent="0.2">
      <c r="B8590" s="11"/>
    </row>
    <row r="8591" spans="2:2" x14ac:dyDescent="0.2">
      <c r="B8591" s="11"/>
    </row>
    <row r="8592" spans="2:2" x14ac:dyDescent="0.2">
      <c r="B8592" s="11"/>
    </row>
    <row r="8593" spans="2:2" x14ac:dyDescent="0.2">
      <c r="B8593" s="11"/>
    </row>
    <row r="8594" spans="2:2" x14ac:dyDescent="0.2">
      <c r="B8594" s="11"/>
    </row>
    <row r="8595" spans="2:2" x14ac:dyDescent="0.2">
      <c r="B8595" s="11"/>
    </row>
    <row r="8596" spans="2:2" x14ac:dyDescent="0.2">
      <c r="B8596" s="11"/>
    </row>
    <row r="8597" spans="2:2" x14ac:dyDescent="0.2">
      <c r="B8597" s="11"/>
    </row>
    <row r="8598" spans="2:2" x14ac:dyDescent="0.2">
      <c r="B8598" s="11"/>
    </row>
    <row r="8599" spans="2:2" x14ac:dyDescent="0.2">
      <c r="B8599" s="11"/>
    </row>
    <row r="8600" spans="2:2" x14ac:dyDescent="0.2">
      <c r="B8600" s="11"/>
    </row>
    <row r="8601" spans="2:2" x14ac:dyDescent="0.2">
      <c r="B8601" s="11"/>
    </row>
    <row r="8602" spans="2:2" x14ac:dyDescent="0.2">
      <c r="B8602" s="11"/>
    </row>
    <row r="8603" spans="2:2" x14ac:dyDescent="0.2">
      <c r="B8603" s="11"/>
    </row>
    <row r="8604" spans="2:2" x14ac:dyDescent="0.2">
      <c r="B8604" s="11"/>
    </row>
    <row r="8605" spans="2:2" x14ac:dyDescent="0.2">
      <c r="B8605" s="11"/>
    </row>
    <row r="8606" spans="2:2" x14ac:dyDescent="0.2">
      <c r="B8606" s="11"/>
    </row>
    <row r="8607" spans="2:2" x14ac:dyDescent="0.2">
      <c r="B8607" s="11"/>
    </row>
    <row r="8608" spans="2:2" x14ac:dyDescent="0.2">
      <c r="B8608" s="11"/>
    </row>
    <row r="8609" spans="2:2" x14ac:dyDescent="0.2">
      <c r="B8609" s="11"/>
    </row>
    <row r="8610" spans="2:2" x14ac:dyDescent="0.2">
      <c r="B8610" s="11"/>
    </row>
    <row r="8611" spans="2:2" x14ac:dyDescent="0.2">
      <c r="B8611" s="11"/>
    </row>
    <row r="8612" spans="2:2" x14ac:dyDescent="0.2">
      <c r="B8612" s="11"/>
    </row>
    <row r="8613" spans="2:2" x14ac:dyDescent="0.2">
      <c r="B8613" s="11"/>
    </row>
    <row r="8614" spans="2:2" x14ac:dyDescent="0.2">
      <c r="B8614" s="11"/>
    </row>
    <row r="8615" spans="2:2" x14ac:dyDescent="0.2">
      <c r="B8615" s="11"/>
    </row>
    <row r="8616" spans="2:2" x14ac:dyDescent="0.2">
      <c r="B8616" s="11"/>
    </row>
    <row r="8617" spans="2:2" x14ac:dyDescent="0.2">
      <c r="B8617" s="11"/>
    </row>
    <row r="8618" spans="2:2" x14ac:dyDescent="0.2">
      <c r="B8618" s="11"/>
    </row>
    <row r="8619" spans="2:2" x14ac:dyDescent="0.2">
      <c r="B8619" s="11"/>
    </row>
    <row r="8620" spans="2:2" x14ac:dyDescent="0.2">
      <c r="B8620" s="11"/>
    </row>
    <row r="8621" spans="2:2" x14ac:dyDescent="0.2">
      <c r="B8621" s="11"/>
    </row>
    <row r="8622" spans="2:2" x14ac:dyDescent="0.2">
      <c r="B8622" s="11"/>
    </row>
    <row r="8623" spans="2:2" x14ac:dyDescent="0.2">
      <c r="B8623" s="11"/>
    </row>
    <row r="8624" spans="2:2" x14ac:dyDescent="0.2">
      <c r="B8624" s="11"/>
    </row>
    <row r="8625" spans="2:2" x14ac:dyDescent="0.2">
      <c r="B8625" s="11"/>
    </row>
    <row r="8626" spans="2:2" x14ac:dyDescent="0.2">
      <c r="B8626" s="11"/>
    </row>
    <row r="8627" spans="2:2" x14ac:dyDescent="0.2">
      <c r="B8627" s="11"/>
    </row>
    <row r="8628" spans="2:2" x14ac:dyDescent="0.2">
      <c r="B8628" s="11"/>
    </row>
    <row r="8629" spans="2:2" x14ac:dyDescent="0.2">
      <c r="B8629" s="11"/>
    </row>
    <row r="8630" spans="2:2" x14ac:dyDescent="0.2">
      <c r="B8630" s="11"/>
    </row>
    <row r="8631" spans="2:2" x14ac:dyDescent="0.2">
      <c r="B8631" s="11"/>
    </row>
    <row r="8632" spans="2:2" x14ac:dyDescent="0.2">
      <c r="B8632" s="11"/>
    </row>
    <row r="8633" spans="2:2" x14ac:dyDescent="0.2">
      <c r="B8633" s="11"/>
    </row>
    <row r="8634" spans="2:2" x14ac:dyDescent="0.2">
      <c r="B8634" s="11"/>
    </row>
    <row r="8635" spans="2:2" x14ac:dyDescent="0.2">
      <c r="B8635" s="11"/>
    </row>
    <row r="8636" spans="2:2" x14ac:dyDescent="0.2">
      <c r="B8636" s="11"/>
    </row>
    <row r="8637" spans="2:2" x14ac:dyDescent="0.2">
      <c r="B8637" s="11"/>
    </row>
    <row r="8638" spans="2:2" x14ac:dyDescent="0.2">
      <c r="B8638" s="11"/>
    </row>
    <row r="8639" spans="2:2" x14ac:dyDescent="0.2">
      <c r="B8639" s="11"/>
    </row>
    <row r="8640" spans="2:2" x14ac:dyDescent="0.2">
      <c r="B8640" s="11"/>
    </row>
    <row r="8641" spans="2:2" x14ac:dyDescent="0.2">
      <c r="B8641" s="11"/>
    </row>
    <row r="8642" spans="2:2" x14ac:dyDescent="0.2">
      <c r="B8642" s="11"/>
    </row>
    <row r="8643" spans="2:2" x14ac:dyDescent="0.2">
      <c r="B8643" s="11"/>
    </row>
    <row r="8644" spans="2:2" x14ac:dyDescent="0.2">
      <c r="B8644" s="11"/>
    </row>
    <row r="8645" spans="2:2" x14ac:dyDescent="0.2">
      <c r="B8645" s="11"/>
    </row>
    <row r="8646" spans="2:2" x14ac:dyDescent="0.2">
      <c r="B8646" s="11"/>
    </row>
    <row r="8647" spans="2:2" x14ac:dyDescent="0.2">
      <c r="B8647" s="11"/>
    </row>
    <row r="8648" spans="2:2" x14ac:dyDescent="0.2">
      <c r="B8648" s="11"/>
    </row>
    <row r="8649" spans="2:2" x14ac:dyDescent="0.2">
      <c r="B8649" s="11"/>
    </row>
    <row r="8650" spans="2:2" x14ac:dyDescent="0.2">
      <c r="B8650" s="11"/>
    </row>
    <row r="8651" spans="2:2" x14ac:dyDescent="0.2">
      <c r="B8651" s="11"/>
    </row>
    <row r="8652" spans="2:2" x14ac:dyDescent="0.2">
      <c r="B8652" s="11"/>
    </row>
    <row r="8653" spans="2:2" x14ac:dyDescent="0.2">
      <c r="B8653" s="11"/>
    </row>
    <row r="8654" spans="2:2" x14ac:dyDescent="0.2">
      <c r="B8654" s="11"/>
    </row>
    <row r="8655" spans="2:2" x14ac:dyDescent="0.2">
      <c r="B8655" s="11"/>
    </row>
    <row r="8656" spans="2:2" x14ac:dyDescent="0.2">
      <c r="B8656" s="11"/>
    </row>
    <row r="8657" spans="2:2" x14ac:dyDescent="0.2">
      <c r="B8657" s="11"/>
    </row>
    <row r="8658" spans="2:2" x14ac:dyDescent="0.2">
      <c r="B8658" s="11"/>
    </row>
    <row r="8659" spans="2:2" x14ac:dyDescent="0.2">
      <c r="B8659" s="11"/>
    </row>
    <row r="8660" spans="2:2" x14ac:dyDescent="0.2">
      <c r="B8660" s="11"/>
    </row>
    <row r="8661" spans="2:2" x14ac:dyDescent="0.2">
      <c r="B8661" s="11"/>
    </row>
    <row r="8662" spans="2:2" x14ac:dyDescent="0.2">
      <c r="B8662" s="11"/>
    </row>
    <row r="8663" spans="2:2" x14ac:dyDescent="0.2">
      <c r="B8663" s="11"/>
    </row>
    <row r="8664" spans="2:2" x14ac:dyDescent="0.2">
      <c r="B8664" s="11"/>
    </row>
    <row r="8665" spans="2:2" x14ac:dyDescent="0.2">
      <c r="B8665" s="11"/>
    </row>
    <row r="8666" spans="2:2" x14ac:dyDescent="0.2">
      <c r="B8666" s="11"/>
    </row>
    <row r="8667" spans="2:2" x14ac:dyDescent="0.2">
      <c r="B8667" s="11"/>
    </row>
    <row r="8668" spans="2:2" x14ac:dyDescent="0.2">
      <c r="B8668" s="11"/>
    </row>
    <row r="8669" spans="2:2" x14ac:dyDescent="0.2">
      <c r="B8669" s="11"/>
    </row>
    <row r="8670" spans="2:2" x14ac:dyDescent="0.2">
      <c r="B8670" s="11"/>
    </row>
    <row r="8671" spans="2:2" x14ac:dyDescent="0.2">
      <c r="B8671" s="11"/>
    </row>
    <row r="8672" spans="2:2" x14ac:dyDescent="0.2">
      <c r="B8672" s="11"/>
    </row>
    <row r="8673" spans="2:2" x14ac:dyDescent="0.2">
      <c r="B8673" s="11"/>
    </row>
    <row r="8674" spans="2:2" x14ac:dyDescent="0.2">
      <c r="B8674" s="11"/>
    </row>
    <row r="8675" spans="2:2" x14ac:dyDescent="0.2">
      <c r="B8675" s="11"/>
    </row>
    <row r="8676" spans="2:2" x14ac:dyDescent="0.2">
      <c r="B8676" s="11"/>
    </row>
    <row r="8677" spans="2:2" x14ac:dyDescent="0.2">
      <c r="B8677" s="11"/>
    </row>
    <row r="8678" spans="2:2" x14ac:dyDescent="0.2">
      <c r="B8678" s="11"/>
    </row>
    <row r="8679" spans="2:2" x14ac:dyDescent="0.2">
      <c r="B8679" s="11"/>
    </row>
    <row r="8680" spans="2:2" x14ac:dyDescent="0.2">
      <c r="B8680" s="11"/>
    </row>
    <row r="8681" spans="2:2" x14ac:dyDescent="0.2">
      <c r="B8681" s="11"/>
    </row>
    <row r="8682" spans="2:2" x14ac:dyDescent="0.2">
      <c r="B8682" s="11"/>
    </row>
    <row r="8683" spans="2:2" x14ac:dyDescent="0.2">
      <c r="B8683" s="11"/>
    </row>
    <row r="8684" spans="2:2" x14ac:dyDescent="0.2">
      <c r="B8684" s="11"/>
    </row>
    <row r="8685" spans="2:2" x14ac:dyDescent="0.2">
      <c r="B8685" s="11"/>
    </row>
    <row r="8686" spans="2:2" x14ac:dyDescent="0.2">
      <c r="B8686" s="11"/>
    </row>
    <row r="8687" spans="2:2" x14ac:dyDescent="0.2">
      <c r="B8687" s="11"/>
    </row>
    <row r="8688" spans="2:2" x14ac:dyDescent="0.2">
      <c r="B8688" s="11"/>
    </row>
    <row r="8689" spans="2:2" x14ac:dyDescent="0.2">
      <c r="B8689" s="11"/>
    </row>
    <row r="8690" spans="2:2" x14ac:dyDescent="0.2">
      <c r="B8690" s="11"/>
    </row>
    <row r="8691" spans="2:2" x14ac:dyDescent="0.2">
      <c r="B8691" s="11"/>
    </row>
    <row r="8692" spans="2:2" x14ac:dyDescent="0.2">
      <c r="B8692" s="11"/>
    </row>
    <row r="8693" spans="2:2" x14ac:dyDescent="0.2">
      <c r="B8693" s="11"/>
    </row>
    <row r="8694" spans="2:2" x14ac:dyDescent="0.2">
      <c r="B8694" s="11"/>
    </row>
    <row r="8695" spans="2:2" x14ac:dyDescent="0.2">
      <c r="B8695" s="11"/>
    </row>
    <row r="8696" spans="2:2" x14ac:dyDescent="0.2">
      <c r="B8696" s="11"/>
    </row>
    <row r="8697" spans="2:2" x14ac:dyDescent="0.2">
      <c r="B8697" s="11"/>
    </row>
    <row r="8698" spans="2:2" x14ac:dyDescent="0.2">
      <c r="B8698" s="11"/>
    </row>
    <row r="8699" spans="2:2" x14ac:dyDescent="0.2">
      <c r="B8699" s="11"/>
    </row>
    <row r="8700" spans="2:2" x14ac:dyDescent="0.2">
      <c r="B8700" s="11"/>
    </row>
    <row r="8701" spans="2:2" x14ac:dyDescent="0.2">
      <c r="B8701" s="11"/>
    </row>
    <row r="8702" spans="2:2" x14ac:dyDescent="0.2">
      <c r="B8702" s="11"/>
    </row>
    <row r="8703" spans="2:2" x14ac:dyDescent="0.2">
      <c r="B8703" s="11"/>
    </row>
    <row r="8704" spans="2:2" x14ac:dyDescent="0.2">
      <c r="B8704" s="11"/>
    </row>
    <row r="8705" spans="2:2" x14ac:dyDescent="0.2">
      <c r="B8705" s="11"/>
    </row>
    <row r="8706" spans="2:2" x14ac:dyDescent="0.2">
      <c r="B8706" s="11"/>
    </row>
    <row r="8707" spans="2:2" x14ac:dyDescent="0.2">
      <c r="B8707" s="11"/>
    </row>
    <row r="8708" spans="2:2" x14ac:dyDescent="0.2">
      <c r="B8708" s="11"/>
    </row>
    <row r="8709" spans="2:2" x14ac:dyDescent="0.2">
      <c r="B8709" s="11"/>
    </row>
    <row r="8710" spans="2:2" x14ac:dyDescent="0.2">
      <c r="B8710" s="11"/>
    </row>
    <row r="8711" spans="2:2" x14ac:dyDescent="0.2">
      <c r="B8711" s="11"/>
    </row>
    <row r="8712" spans="2:2" x14ac:dyDescent="0.2">
      <c r="B8712" s="11"/>
    </row>
    <row r="8713" spans="2:2" x14ac:dyDescent="0.2">
      <c r="B8713" s="11"/>
    </row>
    <row r="8714" spans="2:2" x14ac:dyDescent="0.2">
      <c r="B8714" s="11"/>
    </row>
    <row r="8715" spans="2:2" x14ac:dyDescent="0.2">
      <c r="B8715" s="11"/>
    </row>
    <row r="8716" spans="2:2" x14ac:dyDescent="0.2">
      <c r="B8716" s="11"/>
    </row>
    <row r="8717" spans="2:2" x14ac:dyDescent="0.2">
      <c r="B8717" s="11"/>
    </row>
    <row r="8718" spans="2:2" x14ac:dyDescent="0.2">
      <c r="B8718" s="11"/>
    </row>
    <row r="8719" spans="2:2" x14ac:dyDescent="0.2">
      <c r="B8719" s="11"/>
    </row>
    <row r="8720" spans="2:2" x14ac:dyDescent="0.2">
      <c r="B8720" s="11"/>
    </row>
    <row r="8721" spans="2:2" x14ac:dyDescent="0.2">
      <c r="B8721" s="11"/>
    </row>
    <row r="8722" spans="2:2" x14ac:dyDescent="0.2">
      <c r="B8722" s="11"/>
    </row>
    <row r="8723" spans="2:2" x14ac:dyDescent="0.2">
      <c r="B8723" s="11"/>
    </row>
    <row r="8724" spans="2:2" x14ac:dyDescent="0.2">
      <c r="B8724" s="11"/>
    </row>
    <row r="8725" spans="2:2" x14ac:dyDescent="0.2">
      <c r="B8725" s="11"/>
    </row>
    <row r="8726" spans="2:2" x14ac:dyDescent="0.2">
      <c r="B8726" s="11"/>
    </row>
    <row r="8727" spans="2:2" x14ac:dyDescent="0.2">
      <c r="B8727" s="11"/>
    </row>
    <row r="8728" spans="2:2" x14ac:dyDescent="0.2">
      <c r="B8728" s="11"/>
    </row>
    <row r="8729" spans="2:2" x14ac:dyDescent="0.2">
      <c r="B8729" s="11"/>
    </row>
    <row r="8730" spans="2:2" x14ac:dyDescent="0.2">
      <c r="B8730" s="11"/>
    </row>
    <row r="8731" spans="2:2" x14ac:dyDescent="0.2">
      <c r="B8731" s="11"/>
    </row>
    <row r="8732" spans="2:2" x14ac:dyDescent="0.2">
      <c r="B8732" s="11"/>
    </row>
    <row r="8733" spans="2:2" x14ac:dyDescent="0.2">
      <c r="B8733" s="11"/>
    </row>
    <row r="8734" spans="2:2" x14ac:dyDescent="0.2">
      <c r="B8734" s="11"/>
    </row>
    <row r="8735" spans="2:2" x14ac:dyDescent="0.2">
      <c r="B8735" s="11"/>
    </row>
    <row r="8736" spans="2:2" x14ac:dyDescent="0.2">
      <c r="B8736" s="11"/>
    </row>
    <row r="8737" spans="2:2" x14ac:dyDescent="0.2">
      <c r="B8737" s="11"/>
    </row>
    <row r="8738" spans="2:2" x14ac:dyDescent="0.2">
      <c r="B8738" s="11"/>
    </row>
    <row r="8739" spans="2:2" x14ac:dyDescent="0.2">
      <c r="B8739" s="11"/>
    </row>
    <row r="8740" spans="2:2" x14ac:dyDescent="0.2">
      <c r="B8740" s="11"/>
    </row>
    <row r="8741" spans="2:2" x14ac:dyDescent="0.2">
      <c r="B8741" s="11"/>
    </row>
    <row r="8742" spans="2:2" x14ac:dyDescent="0.2">
      <c r="B8742" s="11"/>
    </row>
    <row r="8743" spans="2:2" x14ac:dyDescent="0.2">
      <c r="B8743" s="11"/>
    </row>
    <row r="8744" spans="2:2" x14ac:dyDescent="0.2">
      <c r="B8744" s="11"/>
    </row>
    <row r="8745" spans="2:2" x14ac:dyDescent="0.2">
      <c r="B8745" s="11"/>
    </row>
    <row r="8746" spans="2:2" x14ac:dyDescent="0.2">
      <c r="B8746" s="11"/>
    </row>
    <row r="8747" spans="2:2" x14ac:dyDescent="0.2">
      <c r="B8747" s="11"/>
    </row>
    <row r="8748" spans="2:2" x14ac:dyDescent="0.2">
      <c r="B8748" s="11"/>
    </row>
    <row r="8749" spans="2:2" x14ac:dyDescent="0.2">
      <c r="B8749" s="11"/>
    </row>
    <row r="8750" spans="2:2" x14ac:dyDescent="0.2">
      <c r="B8750" s="11"/>
    </row>
    <row r="8751" spans="2:2" x14ac:dyDescent="0.2">
      <c r="B8751" s="11"/>
    </row>
    <row r="8752" spans="2:2" x14ac:dyDescent="0.2">
      <c r="B8752" s="11"/>
    </row>
    <row r="8753" spans="2:2" x14ac:dyDescent="0.2">
      <c r="B8753" s="11"/>
    </row>
    <row r="8754" spans="2:2" x14ac:dyDescent="0.2">
      <c r="B8754" s="11"/>
    </row>
    <row r="8755" spans="2:2" x14ac:dyDescent="0.2">
      <c r="B8755" s="11"/>
    </row>
    <row r="8756" spans="2:2" x14ac:dyDescent="0.2">
      <c r="B8756" s="11"/>
    </row>
    <row r="8757" spans="2:2" x14ac:dyDescent="0.2">
      <c r="B8757" s="11"/>
    </row>
    <row r="8758" spans="2:2" x14ac:dyDescent="0.2">
      <c r="B8758" s="11"/>
    </row>
    <row r="8759" spans="2:2" x14ac:dyDescent="0.2">
      <c r="B8759" s="11"/>
    </row>
    <row r="8760" spans="2:2" x14ac:dyDescent="0.2">
      <c r="B8760" s="11"/>
    </row>
    <row r="8761" spans="2:2" x14ac:dyDescent="0.2">
      <c r="B8761" s="11"/>
    </row>
    <row r="8762" spans="2:2" x14ac:dyDescent="0.2">
      <c r="B8762" s="11"/>
    </row>
    <row r="8763" spans="2:2" x14ac:dyDescent="0.2">
      <c r="B8763" s="11"/>
    </row>
    <row r="8764" spans="2:2" x14ac:dyDescent="0.2">
      <c r="B8764" s="11"/>
    </row>
    <row r="8765" spans="2:2" x14ac:dyDescent="0.2">
      <c r="B8765" s="11"/>
    </row>
    <row r="8766" spans="2:2" x14ac:dyDescent="0.2">
      <c r="B8766" s="11"/>
    </row>
    <row r="8767" spans="2:2" x14ac:dyDescent="0.2">
      <c r="B8767" s="11"/>
    </row>
    <row r="8768" spans="2:2" x14ac:dyDescent="0.2">
      <c r="B8768" s="11"/>
    </row>
    <row r="8769" spans="2:2" x14ac:dyDescent="0.2">
      <c r="B8769" s="11"/>
    </row>
    <row r="8770" spans="2:2" x14ac:dyDescent="0.2">
      <c r="B8770" s="11"/>
    </row>
    <row r="8771" spans="2:2" x14ac:dyDescent="0.2">
      <c r="B8771" s="11"/>
    </row>
    <row r="8772" spans="2:2" x14ac:dyDescent="0.2">
      <c r="B8772" s="11"/>
    </row>
    <row r="8773" spans="2:2" x14ac:dyDescent="0.2">
      <c r="B8773" s="11"/>
    </row>
    <row r="8774" spans="2:2" x14ac:dyDescent="0.2">
      <c r="B8774" s="11"/>
    </row>
    <row r="8775" spans="2:2" x14ac:dyDescent="0.2">
      <c r="B8775" s="11"/>
    </row>
    <row r="8776" spans="2:2" x14ac:dyDescent="0.2">
      <c r="B8776" s="11"/>
    </row>
    <row r="8777" spans="2:2" x14ac:dyDescent="0.2">
      <c r="B8777" s="11"/>
    </row>
    <row r="8778" spans="2:2" x14ac:dyDescent="0.2">
      <c r="B8778" s="11"/>
    </row>
    <row r="8779" spans="2:2" x14ac:dyDescent="0.2">
      <c r="B8779" s="11"/>
    </row>
    <row r="8780" spans="2:2" x14ac:dyDescent="0.2">
      <c r="B8780" s="11"/>
    </row>
    <row r="8781" spans="2:2" x14ac:dyDescent="0.2">
      <c r="B8781" s="11"/>
    </row>
    <row r="8782" spans="2:2" x14ac:dyDescent="0.2">
      <c r="B8782" s="11"/>
    </row>
    <row r="8783" spans="2:2" x14ac:dyDescent="0.2">
      <c r="B8783" s="11"/>
    </row>
    <row r="8784" spans="2:2" x14ac:dyDescent="0.2">
      <c r="B8784" s="11"/>
    </row>
    <row r="8785" spans="2:2" x14ac:dyDescent="0.2">
      <c r="B8785" s="11"/>
    </row>
    <row r="8786" spans="2:2" x14ac:dyDescent="0.2">
      <c r="B8786" s="11"/>
    </row>
    <row r="8787" spans="2:2" x14ac:dyDescent="0.2">
      <c r="B8787" s="11"/>
    </row>
    <row r="8788" spans="2:2" x14ac:dyDescent="0.2">
      <c r="B8788" s="11"/>
    </row>
    <row r="8789" spans="2:2" x14ac:dyDescent="0.2">
      <c r="B8789" s="11"/>
    </row>
    <row r="8790" spans="2:2" x14ac:dyDescent="0.2">
      <c r="B8790" s="11"/>
    </row>
    <row r="8791" spans="2:2" x14ac:dyDescent="0.2">
      <c r="B8791" s="11"/>
    </row>
    <row r="8792" spans="2:2" x14ac:dyDescent="0.2">
      <c r="B8792" s="11"/>
    </row>
    <row r="8793" spans="2:2" x14ac:dyDescent="0.2">
      <c r="B8793" s="11"/>
    </row>
    <row r="8794" spans="2:2" x14ac:dyDescent="0.2">
      <c r="B8794" s="11"/>
    </row>
    <row r="8795" spans="2:2" x14ac:dyDescent="0.2">
      <c r="B8795" s="11"/>
    </row>
    <row r="8796" spans="2:2" x14ac:dyDescent="0.2">
      <c r="B8796" s="11"/>
    </row>
    <row r="8797" spans="2:2" x14ac:dyDescent="0.2">
      <c r="B8797" s="11"/>
    </row>
    <row r="8798" spans="2:2" x14ac:dyDescent="0.2">
      <c r="B8798" s="11"/>
    </row>
    <row r="8799" spans="2:2" x14ac:dyDescent="0.2">
      <c r="B8799" s="11"/>
    </row>
    <row r="8800" spans="2:2" x14ac:dyDescent="0.2">
      <c r="B8800" s="11"/>
    </row>
    <row r="8801" spans="2:2" x14ac:dyDescent="0.2">
      <c r="B8801" s="11"/>
    </row>
    <row r="8802" spans="2:2" x14ac:dyDescent="0.2">
      <c r="B8802" s="11"/>
    </row>
    <row r="8803" spans="2:2" x14ac:dyDescent="0.2">
      <c r="B8803" s="11"/>
    </row>
    <row r="8804" spans="2:2" x14ac:dyDescent="0.2">
      <c r="B8804" s="11"/>
    </row>
    <row r="8805" spans="2:2" x14ac:dyDescent="0.2">
      <c r="B8805" s="11"/>
    </row>
    <row r="8806" spans="2:2" x14ac:dyDescent="0.2">
      <c r="B8806" s="11"/>
    </row>
    <row r="8807" spans="2:2" x14ac:dyDescent="0.2">
      <c r="B8807" s="11"/>
    </row>
    <row r="8808" spans="2:2" x14ac:dyDescent="0.2">
      <c r="B8808" s="11"/>
    </row>
    <row r="8809" spans="2:2" x14ac:dyDescent="0.2">
      <c r="B8809" s="11"/>
    </row>
    <row r="8810" spans="2:2" x14ac:dyDescent="0.2">
      <c r="B8810" s="11"/>
    </row>
    <row r="8811" spans="2:2" x14ac:dyDescent="0.2">
      <c r="B8811" s="11"/>
    </row>
    <row r="8812" spans="2:2" x14ac:dyDescent="0.2">
      <c r="B8812" s="11"/>
    </row>
    <row r="8813" spans="2:2" x14ac:dyDescent="0.2">
      <c r="B8813" s="11"/>
    </row>
    <row r="8814" spans="2:2" x14ac:dyDescent="0.2">
      <c r="B8814" s="11"/>
    </row>
    <row r="8815" spans="2:2" x14ac:dyDescent="0.2">
      <c r="B8815" s="11"/>
    </row>
    <row r="8816" spans="2:2" x14ac:dyDescent="0.2">
      <c r="B8816" s="11"/>
    </row>
    <row r="8817" spans="2:2" x14ac:dyDescent="0.2">
      <c r="B8817" s="11"/>
    </row>
    <row r="8818" spans="2:2" x14ac:dyDescent="0.2">
      <c r="B8818" s="11"/>
    </row>
    <row r="8819" spans="2:2" x14ac:dyDescent="0.2">
      <c r="B8819" s="11"/>
    </row>
    <row r="8820" spans="2:2" x14ac:dyDescent="0.2">
      <c r="B8820" s="11"/>
    </row>
    <row r="8821" spans="2:2" x14ac:dyDescent="0.2">
      <c r="B8821" s="11"/>
    </row>
    <row r="8822" spans="2:2" x14ac:dyDescent="0.2">
      <c r="B8822" s="11"/>
    </row>
    <row r="8823" spans="2:2" x14ac:dyDescent="0.2">
      <c r="B8823" s="11"/>
    </row>
    <row r="8824" spans="2:2" x14ac:dyDescent="0.2">
      <c r="B8824" s="11"/>
    </row>
    <row r="8825" spans="2:2" x14ac:dyDescent="0.2">
      <c r="B8825" s="11"/>
    </row>
    <row r="8826" spans="2:2" x14ac:dyDescent="0.2">
      <c r="B8826" s="11"/>
    </row>
    <row r="8827" spans="2:2" x14ac:dyDescent="0.2">
      <c r="B8827" s="11"/>
    </row>
    <row r="8828" spans="2:2" x14ac:dyDescent="0.2">
      <c r="B8828" s="11"/>
    </row>
    <row r="8829" spans="2:2" x14ac:dyDescent="0.2">
      <c r="B8829" s="11"/>
    </row>
    <row r="8830" spans="2:2" x14ac:dyDescent="0.2">
      <c r="B8830" s="11"/>
    </row>
    <row r="8831" spans="2:2" x14ac:dyDescent="0.2">
      <c r="B8831" s="11"/>
    </row>
    <row r="8832" spans="2:2" x14ac:dyDescent="0.2">
      <c r="B8832" s="11"/>
    </row>
    <row r="8833" spans="2:2" x14ac:dyDescent="0.2">
      <c r="B8833" s="11"/>
    </row>
    <row r="8834" spans="2:2" x14ac:dyDescent="0.2">
      <c r="B8834" s="11"/>
    </row>
    <row r="8835" spans="2:2" x14ac:dyDescent="0.2">
      <c r="B8835" s="11"/>
    </row>
    <row r="8836" spans="2:2" x14ac:dyDescent="0.2">
      <c r="B8836" s="11"/>
    </row>
    <row r="8837" spans="2:2" x14ac:dyDescent="0.2">
      <c r="B8837" s="11"/>
    </row>
    <row r="8838" spans="2:2" x14ac:dyDescent="0.2">
      <c r="B8838" s="11"/>
    </row>
    <row r="8839" spans="2:2" x14ac:dyDescent="0.2">
      <c r="B8839" s="11"/>
    </row>
    <row r="8840" spans="2:2" x14ac:dyDescent="0.2">
      <c r="B8840" s="11"/>
    </row>
    <row r="8841" spans="2:2" x14ac:dyDescent="0.2">
      <c r="B8841" s="11"/>
    </row>
    <row r="8842" spans="2:2" x14ac:dyDescent="0.2">
      <c r="B8842" s="11"/>
    </row>
    <row r="8843" spans="2:2" x14ac:dyDescent="0.2">
      <c r="B8843" s="11"/>
    </row>
    <row r="8844" spans="2:2" x14ac:dyDescent="0.2">
      <c r="B8844" s="11"/>
    </row>
    <row r="8845" spans="2:2" x14ac:dyDescent="0.2">
      <c r="B8845" s="11"/>
    </row>
    <row r="8846" spans="2:2" x14ac:dyDescent="0.2">
      <c r="B8846" s="11"/>
    </row>
    <row r="8847" spans="2:2" x14ac:dyDescent="0.2">
      <c r="B8847" s="11"/>
    </row>
    <row r="8848" spans="2:2" x14ac:dyDescent="0.2">
      <c r="B8848" s="11"/>
    </row>
    <row r="8849" spans="2:2" x14ac:dyDescent="0.2">
      <c r="B8849" s="11"/>
    </row>
    <row r="8850" spans="2:2" x14ac:dyDescent="0.2">
      <c r="B8850" s="11"/>
    </row>
    <row r="8851" spans="2:2" x14ac:dyDescent="0.2">
      <c r="B8851" s="11"/>
    </row>
    <row r="8852" spans="2:2" x14ac:dyDescent="0.2">
      <c r="B8852" s="11"/>
    </row>
    <row r="8853" spans="2:2" x14ac:dyDescent="0.2">
      <c r="B8853" s="11"/>
    </row>
    <row r="8854" spans="2:2" x14ac:dyDescent="0.2">
      <c r="B8854" s="11"/>
    </row>
    <row r="8855" spans="2:2" x14ac:dyDescent="0.2">
      <c r="B8855" s="11"/>
    </row>
    <row r="8856" spans="2:2" x14ac:dyDescent="0.2">
      <c r="B8856" s="11"/>
    </row>
    <row r="8857" spans="2:2" x14ac:dyDescent="0.2">
      <c r="B8857" s="11"/>
    </row>
    <row r="8858" spans="2:2" x14ac:dyDescent="0.2">
      <c r="B8858" s="11"/>
    </row>
    <row r="8859" spans="2:2" x14ac:dyDescent="0.2">
      <c r="B8859" s="11"/>
    </row>
    <row r="8860" spans="2:2" x14ac:dyDescent="0.2">
      <c r="B8860" s="11"/>
    </row>
    <row r="8861" spans="2:2" x14ac:dyDescent="0.2">
      <c r="B8861" s="11"/>
    </row>
    <row r="8862" spans="2:2" x14ac:dyDescent="0.2">
      <c r="B8862" s="11"/>
    </row>
    <row r="8863" spans="2:2" x14ac:dyDescent="0.2">
      <c r="B8863" s="11"/>
    </row>
    <row r="8864" spans="2:2" x14ac:dyDescent="0.2">
      <c r="B8864" s="11"/>
    </row>
    <row r="8865" spans="2:2" x14ac:dyDescent="0.2">
      <c r="B8865" s="11"/>
    </row>
    <row r="8866" spans="2:2" x14ac:dyDescent="0.2">
      <c r="B8866" s="11"/>
    </row>
    <row r="8867" spans="2:2" x14ac:dyDescent="0.2">
      <c r="B8867" s="11"/>
    </row>
    <row r="8868" spans="2:2" x14ac:dyDescent="0.2">
      <c r="B8868" s="11"/>
    </row>
    <row r="8869" spans="2:2" x14ac:dyDescent="0.2">
      <c r="B8869" s="11"/>
    </row>
    <row r="8870" spans="2:2" x14ac:dyDescent="0.2">
      <c r="B8870" s="11"/>
    </row>
    <row r="8871" spans="2:2" x14ac:dyDescent="0.2">
      <c r="B8871" s="11"/>
    </row>
    <row r="8872" spans="2:2" x14ac:dyDescent="0.2">
      <c r="B8872" s="11"/>
    </row>
    <row r="8873" spans="2:2" x14ac:dyDescent="0.2">
      <c r="B8873" s="11"/>
    </row>
    <row r="8874" spans="2:2" x14ac:dyDescent="0.2">
      <c r="B8874" s="11"/>
    </row>
    <row r="8875" spans="2:2" x14ac:dyDescent="0.2">
      <c r="B8875" s="11"/>
    </row>
    <row r="8876" spans="2:2" x14ac:dyDescent="0.2">
      <c r="B8876" s="11"/>
    </row>
    <row r="8877" spans="2:2" x14ac:dyDescent="0.2">
      <c r="B8877" s="11"/>
    </row>
    <row r="8878" spans="2:2" x14ac:dyDescent="0.2">
      <c r="B8878" s="11"/>
    </row>
    <row r="8879" spans="2:2" x14ac:dyDescent="0.2">
      <c r="B8879" s="11"/>
    </row>
    <row r="8880" spans="2:2" x14ac:dyDescent="0.2">
      <c r="B8880" s="11"/>
    </row>
    <row r="8881" spans="2:2" x14ac:dyDescent="0.2">
      <c r="B8881" s="11"/>
    </row>
    <row r="8882" spans="2:2" x14ac:dyDescent="0.2">
      <c r="B8882" s="11"/>
    </row>
    <row r="8883" spans="2:2" x14ac:dyDescent="0.2">
      <c r="B8883" s="11"/>
    </row>
    <row r="8884" spans="2:2" x14ac:dyDescent="0.2">
      <c r="B8884" s="11"/>
    </row>
    <row r="8885" spans="2:2" x14ac:dyDescent="0.2">
      <c r="B8885" s="11"/>
    </row>
    <row r="8886" spans="2:2" x14ac:dyDescent="0.2">
      <c r="B8886" s="11"/>
    </row>
    <row r="8887" spans="2:2" x14ac:dyDescent="0.2">
      <c r="B8887" s="11"/>
    </row>
    <row r="8888" spans="2:2" x14ac:dyDescent="0.2">
      <c r="B8888" s="11"/>
    </row>
    <row r="8889" spans="2:2" x14ac:dyDescent="0.2">
      <c r="B8889" s="11"/>
    </row>
    <row r="8890" spans="2:2" x14ac:dyDescent="0.2">
      <c r="B8890" s="11"/>
    </row>
    <row r="8891" spans="2:2" x14ac:dyDescent="0.2">
      <c r="B8891" s="11"/>
    </row>
    <row r="8892" spans="2:2" x14ac:dyDescent="0.2">
      <c r="B8892" s="11"/>
    </row>
    <row r="8893" spans="2:2" x14ac:dyDescent="0.2">
      <c r="B8893" s="11"/>
    </row>
    <row r="8894" spans="2:2" x14ac:dyDescent="0.2">
      <c r="B8894" s="11"/>
    </row>
    <row r="8895" spans="2:2" x14ac:dyDescent="0.2">
      <c r="B8895" s="11"/>
    </row>
    <row r="8896" spans="2:2" x14ac:dyDescent="0.2">
      <c r="B8896" s="11"/>
    </row>
    <row r="8897" spans="2:2" x14ac:dyDescent="0.2">
      <c r="B8897" s="11"/>
    </row>
    <row r="8898" spans="2:2" x14ac:dyDescent="0.2">
      <c r="B8898" s="11"/>
    </row>
    <row r="8899" spans="2:2" x14ac:dyDescent="0.2">
      <c r="B8899" s="11"/>
    </row>
    <row r="8900" spans="2:2" x14ac:dyDescent="0.2">
      <c r="B8900" s="11"/>
    </row>
    <row r="8901" spans="2:2" x14ac:dyDescent="0.2">
      <c r="B8901" s="11"/>
    </row>
    <row r="8902" spans="2:2" x14ac:dyDescent="0.2">
      <c r="B8902" s="11"/>
    </row>
    <row r="8903" spans="2:2" x14ac:dyDescent="0.2">
      <c r="B8903" s="11"/>
    </row>
    <row r="8904" spans="2:2" x14ac:dyDescent="0.2">
      <c r="B8904" s="11"/>
    </row>
    <row r="8905" spans="2:2" x14ac:dyDescent="0.2">
      <c r="B8905" s="11"/>
    </row>
    <row r="8906" spans="2:2" x14ac:dyDescent="0.2">
      <c r="B8906" s="11"/>
    </row>
    <row r="8907" spans="2:2" x14ac:dyDescent="0.2">
      <c r="B8907" s="11"/>
    </row>
    <row r="8908" spans="2:2" x14ac:dyDescent="0.2">
      <c r="B8908" s="11"/>
    </row>
    <row r="8909" spans="2:2" x14ac:dyDescent="0.2">
      <c r="B8909" s="11"/>
    </row>
    <row r="8910" spans="2:2" x14ac:dyDescent="0.2">
      <c r="B8910" s="11"/>
    </row>
    <row r="8911" spans="2:2" x14ac:dyDescent="0.2">
      <c r="B8911" s="11"/>
    </row>
    <row r="8912" spans="2:2" x14ac:dyDescent="0.2">
      <c r="B8912" s="11"/>
    </row>
    <row r="8913" spans="2:2" x14ac:dyDescent="0.2">
      <c r="B8913" s="11"/>
    </row>
    <row r="8914" spans="2:2" x14ac:dyDescent="0.2">
      <c r="B8914" s="11"/>
    </row>
    <row r="8915" spans="2:2" x14ac:dyDescent="0.2">
      <c r="B8915" s="11"/>
    </row>
    <row r="8916" spans="2:2" x14ac:dyDescent="0.2">
      <c r="B8916" s="11"/>
    </row>
    <row r="8917" spans="2:2" x14ac:dyDescent="0.2">
      <c r="B8917" s="11"/>
    </row>
    <row r="8918" spans="2:2" x14ac:dyDescent="0.2">
      <c r="B8918" s="11"/>
    </row>
    <row r="8919" spans="2:2" x14ac:dyDescent="0.2">
      <c r="B8919" s="11"/>
    </row>
    <row r="8920" spans="2:2" x14ac:dyDescent="0.2">
      <c r="B8920" s="11"/>
    </row>
    <row r="8921" spans="2:2" x14ac:dyDescent="0.2">
      <c r="B8921" s="11"/>
    </row>
    <row r="8922" spans="2:2" x14ac:dyDescent="0.2">
      <c r="B8922" s="11"/>
    </row>
    <row r="8923" spans="2:2" x14ac:dyDescent="0.2">
      <c r="B8923" s="11"/>
    </row>
    <row r="8924" spans="2:2" x14ac:dyDescent="0.2">
      <c r="B8924" s="11"/>
    </row>
    <row r="8925" spans="2:2" x14ac:dyDescent="0.2">
      <c r="B8925" s="11"/>
    </row>
    <row r="8926" spans="2:2" x14ac:dyDescent="0.2">
      <c r="B8926" s="11"/>
    </row>
    <row r="8927" spans="2:2" x14ac:dyDescent="0.2">
      <c r="B8927" s="11"/>
    </row>
    <row r="8928" spans="2:2" x14ac:dyDescent="0.2">
      <c r="B8928" s="11"/>
    </row>
    <row r="8929" spans="2:2" x14ac:dyDescent="0.2">
      <c r="B8929" s="11"/>
    </row>
    <row r="8930" spans="2:2" x14ac:dyDescent="0.2">
      <c r="B8930" s="11"/>
    </row>
    <row r="8931" spans="2:2" x14ac:dyDescent="0.2">
      <c r="B8931" s="11"/>
    </row>
    <row r="8932" spans="2:2" x14ac:dyDescent="0.2">
      <c r="B8932" s="11"/>
    </row>
    <row r="8933" spans="2:2" x14ac:dyDescent="0.2">
      <c r="B8933" s="11"/>
    </row>
    <row r="8934" spans="2:2" x14ac:dyDescent="0.2">
      <c r="B8934" s="11"/>
    </row>
    <row r="8935" spans="2:2" x14ac:dyDescent="0.2">
      <c r="B8935" s="11"/>
    </row>
    <row r="8936" spans="2:2" x14ac:dyDescent="0.2">
      <c r="B8936" s="11"/>
    </row>
    <row r="8937" spans="2:2" x14ac:dyDescent="0.2">
      <c r="B8937" s="11"/>
    </row>
    <row r="8938" spans="2:2" x14ac:dyDescent="0.2">
      <c r="B8938" s="11"/>
    </row>
    <row r="8939" spans="2:2" x14ac:dyDescent="0.2">
      <c r="B8939" s="11"/>
    </row>
    <row r="8940" spans="2:2" x14ac:dyDescent="0.2">
      <c r="B8940" s="11"/>
    </row>
    <row r="8941" spans="2:2" x14ac:dyDescent="0.2">
      <c r="B8941" s="11"/>
    </row>
    <row r="8942" spans="2:2" x14ac:dyDescent="0.2">
      <c r="B8942" s="11"/>
    </row>
    <row r="8943" spans="2:2" x14ac:dyDescent="0.2">
      <c r="B8943" s="11"/>
    </row>
    <row r="8944" spans="2:2" x14ac:dyDescent="0.2">
      <c r="B8944" s="11"/>
    </row>
    <row r="8945" spans="2:2" x14ac:dyDescent="0.2">
      <c r="B8945" s="11"/>
    </row>
    <row r="8946" spans="2:2" x14ac:dyDescent="0.2">
      <c r="B8946" s="11"/>
    </row>
    <row r="8947" spans="2:2" x14ac:dyDescent="0.2">
      <c r="B8947" s="11"/>
    </row>
    <row r="8948" spans="2:2" x14ac:dyDescent="0.2">
      <c r="B8948" s="11"/>
    </row>
    <row r="8949" spans="2:2" x14ac:dyDescent="0.2">
      <c r="B8949" s="11"/>
    </row>
    <row r="8950" spans="2:2" x14ac:dyDescent="0.2">
      <c r="B8950" s="11"/>
    </row>
    <row r="8951" spans="2:2" x14ac:dyDescent="0.2">
      <c r="B8951" s="11"/>
    </row>
    <row r="8952" spans="2:2" x14ac:dyDescent="0.2">
      <c r="B8952" s="11"/>
    </row>
    <row r="8953" spans="2:2" x14ac:dyDescent="0.2">
      <c r="B8953" s="11"/>
    </row>
    <row r="8954" spans="2:2" x14ac:dyDescent="0.2">
      <c r="B8954" s="11"/>
    </row>
    <row r="8955" spans="2:2" x14ac:dyDescent="0.2">
      <c r="B8955" s="11"/>
    </row>
    <row r="8956" spans="2:2" x14ac:dyDescent="0.2">
      <c r="B8956" s="11"/>
    </row>
    <row r="8957" spans="2:2" x14ac:dyDescent="0.2">
      <c r="B8957" s="11"/>
    </row>
    <row r="8958" spans="2:2" x14ac:dyDescent="0.2">
      <c r="B8958" s="11"/>
    </row>
    <row r="8959" spans="2:2" x14ac:dyDescent="0.2">
      <c r="B8959" s="11"/>
    </row>
    <row r="8960" spans="2:2" x14ac:dyDescent="0.2">
      <c r="B8960" s="11"/>
    </row>
    <row r="8961" spans="2:2" x14ac:dyDescent="0.2">
      <c r="B8961" s="11"/>
    </row>
    <row r="8962" spans="2:2" x14ac:dyDescent="0.2">
      <c r="B8962" s="11"/>
    </row>
    <row r="8963" spans="2:2" x14ac:dyDescent="0.2">
      <c r="B8963" s="11"/>
    </row>
    <row r="8964" spans="2:2" x14ac:dyDescent="0.2">
      <c r="B8964" s="11"/>
    </row>
    <row r="8965" spans="2:2" x14ac:dyDescent="0.2">
      <c r="B8965" s="11"/>
    </row>
    <row r="8966" spans="2:2" x14ac:dyDescent="0.2">
      <c r="B8966" s="11"/>
    </row>
    <row r="8967" spans="2:2" x14ac:dyDescent="0.2">
      <c r="B8967" s="11"/>
    </row>
    <row r="8968" spans="2:2" x14ac:dyDescent="0.2">
      <c r="B8968" s="11"/>
    </row>
    <row r="8969" spans="2:2" x14ac:dyDescent="0.2">
      <c r="B8969" s="11"/>
    </row>
    <row r="8970" spans="2:2" x14ac:dyDescent="0.2">
      <c r="B8970" s="11"/>
    </row>
    <row r="8971" spans="2:2" x14ac:dyDescent="0.2">
      <c r="B8971" s="11"/>
    </row>
    <row r="8972" spans="2:2" x14ac:dyDescent="0.2">
      <c r="B8972" s="11"/>
    </row>
    <row r="8973" spans="2:2" x14ac:dyDescent="0.2">
      <c r="B8973" s="11"/>
    </row>
    <row r="8974" spans="2:2" x14ac:dyDescent="0.2">
      <c r="B8974" s="11"/>
    </row>
    <row r="8975" spans="2:2" x14ac:dyDescent="0.2">
      <c r="B8975" s="11"/>
    </row>
    <row r="8976" spans="2:2" x14ac:dyDescent="0.2">
      <c r="B8976" s="11"/>
    </row>
    <row r="8977" spans="2:2" x14ac:dyDescent="0.2">
      <c r="B8977" s="11"/>
    </row>
    <row r="8978" spans="2:2" x14ac:dyDescent="0.2">
      <c r="B8978" s="11"/>
    </row>
    <row r="8979" spans="2:2" x14ac:dyDescent="0.2">
      <c r="B8979" s="11"/>
    </row>
    <row r="8980" spans="2:2" x14ac:dyDescent="0.2">
      <c r="B8980" s="11"/>
    </row>
    <row r="8981" spans="2:2" x14ac:dyDescent="0.2">
      <c r="B8981" s="11"/>
    </row>
    <row r="8982" spans="2:2" x14ac:dyDescent="0.2">
      <c r="B8982" s="11"/>
    </row>
    <row r="8983" spans="2:2" x14ac:dyDescent="0.2">
      <c r="B8983" s="11"/>
    </row>
    <row r="8984" spans="2:2" x14ac:dyDescent="0.2">
      <c r="B8984" s="11"/>
    </row>
    <row r="8985" spans="2:2" x14ac:dyDescent="0.2">
      <c r="B8985" s="11"/>
    </row>
    <row r="8986" spans="2:2" x14ac:dyDescent="0.2">
      <c r="B8986" s="11"/>
    </row>
    <row r="8987" spans="2:2" x14ac:dyDescent="0.2">
      <c r="B8987" s="11"/>
    </row>
    <row r="8988" spans="2:2" x14ac:dyDescent="0.2">
      <c r="B8988" s="11"/>
    </row>
    <row r="8989" spans="2:2" x14ac:dyDescent="0.2">
      <c r="B8989" s="11"/>
    </row>
    <row r="8990" spans="2:2" x14ac:dyDescent="0.2">
      <c r="B8990" s="11"/>
    </row>
    <row r="8991" spans="2:2" x14ac:dyDescent="0.2">
      <c r="B8991" s="11"/>
    </row>
    <row r="8992" spans="2:2" x14ac:dyDescent="0.2">
      <c r="B8992" s="11"/>
    </row>
    <row r="8993" spans="2:2" x14ac:dyDescent="0.2">
      <c r="B8993" s="11"/>
    </row>
    <row r="8994" spans="2:2" x14ac:dyDescent="0.2">
      <c r="B8994" s="11"/>
    </row>
    <row r="8995" spans="2:2" x14ac:dyDescent="0.2">
      <c r="B8995" s="11"/>
    </row>
    <row r="8996" spans="2:2" x14ac:dyDescent="0.2">
      <c r="B8996" s="11"/>
    </row>
    <row r="8997" spans="2:2" x14ac:dyDescent="0.2">
      <c r="B8997" s="11"/>
    </row>
    <row r="8998" spans="2:2" x14ac:dyDescent="0.2">
      <c r="B8998" s="11"/>
    </row>
    <row r="8999" spans="2:2" x14ac:dyDescent="0.2">
      <c r="B8999" s="11"/>
    </row>
    <row r="9000" spans="2:2" x14ac:dyDescent="0.2">
      <c r="B9000" s="11"/>
    </row>
    <row r="9001" spans="2:2" x14ac:dyDescent="0.2">
      <c r="B9001" s="11"/>
    </row>
    <row r="9002" spans="2:2" x14ac:dyDescent="0.2">
      <c r="B9002" s="11"/>
    </row>
    <row r="9003" spans="2:2" x14ac:dyDescent="0.2">
      <c r="B9003" s="11"/>
    </row>
    <row r="9004" spans="2:2" x14ac:dyDescent="0.2">
      <c r="B9004" s="11"/>
    </row>
    <row r="9005" spans="2:2" x14ac:dyDescent="0.2">
      <c r="B9005" s="11"/>
    </row>
    <row r="9006" spans="2:2" x14ac:dyDescent="0.2">
      <c r="B9006" s="11"/>
    </row>
    <row r="9007" spans="2:2" x14ac:dyDescent="0.2">
      <c r="B9007" s="11"/>
    </row>
    <row r="9008" spans="2:2" x14ac:dyDescent="0.2">
      <c r="B9008" s="11"/>
    </row>
    <row r="9009" spans="2:2" x14ac:dyDescent="0.2">
      <c r="B9009" s="11"/>
    </row>
    <row r="9010" spans="2:2" x14ac:dyDescent="0.2">
      <c r="B9010" s="11"/>
    </row>
    <row r="9011" spans="2:2" x14ac:dyDescent="0.2">
      <c r="B9011" s="11"/>
    </row>
    <row r="9012" spans="2:2" x14ac:dyDescent="0.2">
      <c r="B9012" s="11"/>
    </row>
    <row r="9013" spans="2:2" x14ac:dyDescent="0.2">
      <c r="B9013" s="11"/>
    </row>
    <row r="9014" spans="2:2" x14ac:dyDescent="0.2">
      <c r="B9014" s="11"/>
    </row>
    <row r="9015" spans="2:2" x14ac:dyDescent="0.2">
      <c r="B9015" s="11"/>
    </row>
    <row r="9016" spans="2:2" x14ac:dyDescent="0.2">
      <c r="B9016" s="11"/>
    </row>
    <row r="9017" spans="2:2" x14ac:dyDescent="0.2">
      <c r="B9017" s="11"/>
    </row>
    <row r="9018" spans="2:2" x14ac:dyDescent="0.2">
      <c r="B9018" s="11"/>
    </row>
    <row r="9019" spans="2:2" x14ac:dyDescent="0.2">
      <c r="B9019" s="11"/>
    </row>
    <row r="9020" spans="2:2" x14ac:dyDescent="0.2">
      <c r="B9020" s="11"/>
    </row>
    <row r="9021" spans="2:2" x14ac:dyDescent="0.2">
      <c r="B9021" s="11"/>
    </row>
    <row r="9022" spans="2:2" x14ac:dyDescent="0.2">
      <c r="B9022" s="11"/>
    </row>
    <row r="9023" spans="2:2" x14ac:dyDescent="0.2">
      <c r="B9023" s="11"/>
    </row>
    <row r="9024" spans="2:2" x14ac:dyDescent="0.2">
      <c r="B9024" s="11"/>
    </row>
    <row r="9025" spans="2:2" x14ac:dyDescent="0.2">
      <c r="B9025" s="11"/>
    </row>
    <row r="9026" spans="2:2" x14ac:dyDescent="0.2">
      <c r="B9026" s="11"/>
    </row>
    <row r="9027" spans="2:2" x14ac:dyDescent="0.2">
      <c r="B9027" s="11"/>
    </row>
    <row r="9028" spans="2:2" x14ac:dyDescent="0.2">
      <c r="B9028" s="11"/>
    </row>
    <row r="9029" spans="2:2" x14ac:dyDescent="0.2">
      <c r="B9029" s="11"/>
    </row>
    <row r="9030" spans="2:2" x14ac:dyDescent="0.2">
      <c r="B9030" s="11"/>
    </row>
    <row r="9031" spans="2:2" x14ac:dyDescent="0.2">
      <c r="B9031" s="11"/>
    </row>
    <row r="9032" spans="2:2" x14ac:dyDescent="0.2">
      <c r="B9032" s="11"/>
    </row>
    <row r="9033" spans="2:2" x14ac:dyDescent="0.2">
      <c r="B9033" s="11"/>
    </row>
    <row r="9034" spans="2:2" x14ac:dyDescent="0.2">
      <c r="B9034" s="11"/>
    </row>
    <row r="9035" spans="2:2" x14ac:dyDescent="0.2">
      <c r="B9035" s="11"/>
    </row>
    <row r="9036" spans="2:2" x14ac:dyDescent="0.2">
      <c r="B9036" s="11"/>
    </row>
    <row r="9037" spans="2:2" x14ac:dyDescent="0.2">
      <c r="B9037" s="11"/>
    </row>
    <row r="9038" spans="2:2" x14ac:dyDescent="0.2">
      <c r="B9038" s="11"/>
    </row>
    <row r="9039" spans="2:2" x14ac:dyDescent="0.2">
      <c r="B9039" s="11"/>
    </row>
    <row r="9040" spans="2:2" x14ac:dyDescent="0.2">
      <c r="B9040" s="11"/>
    </row>
    <row r="9041" spans="2:2" x14ac:dyDescent="0.2">
      <c r="B9041" s="11"/>
    </row>
    <row r="9042" spans="2:2" x14ac:dyDescent="0.2">
      <c r="B9042" s="11"/>
    </row>
    <row r="9043" spans="2:2" x14ac:dyDescent="0.2">
      <c r="B9043" s="11"/>
    </row>
    <row r="9044" spans="2:2" x14ac:dyDescent="0.2">
      <c r="B9044" s="11"/>
    </row>
    <row r="9045" spans="2:2" x14ac:dyDescent="0.2">
      <c r="B9045" s="11"/>
    </row>
    <row r="9046" spans="2:2" x14ac:dyDescent="0.2">
      <c r="B9046" s="11"/>
    </row>
    <row r="9047" spans="2:2" x14ac:dyDescent="0.2">
      <c r="B9047" s="11"/>
    </row>
    <row r="9048" spans="2:2" x14ac:dyDescent="0.2">
      <c r="B9048" s="11"/>
    </row>
    <row r="9049" spans="2:2" x14ac:dyDescent="0.2">
      <c r="B9049" s="11"/>
    </row>
    <row r="9050" spans="2:2" x14ac:dyDescent="0.2">
      <c r="B9050" s="11"/>
    </row>
    <row r="9051" spans="2:2" x14ac:dyDescent="0.2">
      <c r="B9051" s="11"/>
    </row>
    <row r="9052" spans="2:2" x14ac:dyDescent="0.2">
      <c r="B9052" s="11"/>
    </row>
    <row r="9053" spans="2:2" x14ac:dyDescent="0.2">
      <c r="B9053" s="11"/>
    </row>
    <row r="9054" spans="2:2" x14ac:dyDescent="0.2">
      <c r="B9054" s="11"/>
    </row>
    <row r="9055" spans="2:2" x14ac:dyDescent="0.2">
      <c r="B9055" s="11"/>
    </row>
    <row r="9056" spans="2:2" x14ac:dyDescent="0.2">
      <c r="B9056" s="11"/>
    </row>
    <row r="9057" spans="2:2" x14ac:dyDescent="0.2">
      <c r="B9057" s="11"/>
    </row>
    <row r="9058" spans="2:2" x14ac:dyDescent="0.2">
      <c r="B9058" s="11"/>
    </row>
    <row r="9059" spans="2:2" x14ac:dyDescent="0.2">
      <c r="B9059" s="11"/>
    </row>
    <row r="9060" spans="2:2" x14ac:dyDescent="0.2">
      <c r="B9060" s="11"/>
    </row>
    <row r="9061" spans="2:2" x14ac:dyDescent="0.2">
      <c r="B9061" s="11"/>
    </row>
    <row r="9062" spans="2:2" x14ac:dyDescent="0.2">
      <c r="B9062" s="11"/>
    </row>
    <row r="9063" spans="2:2" x14ac:dyDescent="0.2">
      <c r="B9063" s="11"/>
    </row>
    <row r="9064" spans="2:2" x14ac:dyDescent="0.2">
      <c r="B9064" s="11"/>
    </row>
    <row r="9065" spans="2:2" x14ac:dyDescent="0.2">
      <c r="B9065" s="11"/>
    </row>
    <row r="9066" spans="2:2" x14ac:dyDescent="0.2">
      <c r="B9066" s="11"/>
    </row>
    <row r="9067" spans="2:2" x14ac:dyDescent="0.2">
      <c r="B9067" s="11"/>
    </row>
    <row r="9068" spans="2:2" x14ac:dyDescent="0.2">
      <c r="B9068" s="11"/>
    </row>
    <row r="9069" spans="2:2" x14ac:dyDescent="0.2">
      <c r="B9069" s="11"/>
    </row>
    <row r="9070" spans="2:2" x14ac:dyDescent="0.2">
      <c r="B9070" s="11"/>
    </row>
    <row r="9071" spans="2:2" x14ac:dyDescent="0.2">
      <c r="B9071" s="11"/>
    </row>
    <row r="9072" spans="2:2" x14ac:dyDescent="0.2">
      <c r="B9072" s="11"/>
    </row>
    <row r="9073" spans="2:2" x14ac:dyDescent="0.2">
      <c r="B9073" s="11"/>
    </row>
    <row r="9074" spans="2:2" x14ac:dyDescent="0.2">
      <c r="B9074" s="11"/>
    </row>
    <row r="9075" spans="2:2" x14ac:dyDescent="0.2">
      <c r="B9075" s="11"/>
    </row>
    <row r="9076" spans="2:2" x14ac:dyDescent="0.2">
      <c r="B9076" s="11"/>
    </row>
    <row r="9077" spans="2:2" x14ac:dyDescent="0.2">
      <c r="B9077" s="11"/>
    </row>
    <row r="9078" spans="2:2" x14ac:dyDescent="0.2">
      <c r="B9078" s="11"/>
    </row>
    <row r="9079" spans="2:2" x14ac:dyDescent="0.2">
      <c r="B9079" s="11"/>
    </row>
    <row r="9080" spans="2:2" x14ac:dyDescent="0.2">
      <c r="B9080" s="11"/>
    </row>
    <row r="9081" spans="2:2" x14ac:dyDescent="0.2">
      <c r="B9081" s="11"/>
    </row>
    <row r="9082" spans="2:2" x14ac:dyDescent="0.2">
      <c r="B9082" s="11"/>
    </row>
    <row r="9083" spans="2:2" x14ac:dyDescent="0.2">
      <c r="B9083" s="11"/>
    </row>
    <row r="9084" spans="2:2" x14ac:dyDescent="0.2">
      <c r="B9084" s="11"/>
    </row>
    <row r="9085" spans="2:2" x14ac:dyDescent="0.2">
      <c r="B9085" s="11"/>
    </row>
    <row r="9086" spans="2:2" x14ac:dyDescent="0.2">
      <c r="B9086" s="11"/>
    </row>
    <row r="9087" spans="2:2" x14ac:dyDescent="0.2">
      <c r="B9087" s="11"/>
    </row>
    <row r="9088" spans="2:2" x14ac:dyDescent="0.2">
      <c r="B9088" s="11"/>
    </row>
    <row r="9089" spans="2:2" x14ac:dyDescent="0.2">
      <c r="B9089" s="11"/>
    </row>
    <row r="9090" spans="2:2" x14ac:dyDescent="0.2">
      <c r="B9090" s="11"/>
    </row>
    <row r="9091" spans="2:2" x14ac:dyDescent="0.2">
      <c r="B9091" s="11"/>
    </row>
    <row r="9092" spans="2:2" x14ac:dyDescent="0.2">
      <c r="B9092" s="11"/>
    </row>
    <row r="9093" spans="2:2" x14ac:dyDescent="0.2">
      <c r="B9093" s="11"/>
    </row>
    <row r="9094" spans="2:2" x14ac:dyDescent="0.2">
      <c r="B9094" s="11"/>
    </row>
    <row r="9095" spans="2:2" x14ac:dyDescent="0.2">
      <c r="B9095" s="11"/>
    </row>
    <row r="9096" spans="2:2" x14ac:dyDescent="0.2">
      <c r="B9096" s="11"/>
    </row>
    <row r="9097" spans="2:2" x14ac:dyDescent="0.2">
      <c r="B9097" s="11"/>
    </row>
    <row r="9098" spans="2:2" x14ac:dyDescent="0.2">
      <c r="B9098" s="11"/>
    </row>
    <row r="9099" spans="2:2" x14ac:dyDescent="0.2">
      <c r="B9099" s="11"/>
    </row>
    <row r="9100" spans="2:2" x14ac:dyDescent="0.2">
      <c r="B9100" s="11"/>
    </row>
    <row r="9101" spans="2:2" x14ac:dyDescent="0.2">
      <c r="B9101" s="11"/>
    </row>
    <row r="9102" spans="2:2" x14ac:dyDescent="0.2">
      <c r="B9102" s="11"/>
    </row>
    <row r="9103" spans="2:2" x14ac:dyDescent="0.2">
      <c r="B9103" s="11"/>
    </row>
    <row r="9104" spans="2:2" x14ac:dyDescent="0.2">
      <c r="B9104" s="11"/>
    </row>
    <row r="9105" spans="2:2" x14ac:dyDescent="0.2">
      <c r="B9105" s="11"/>
    </row>
    <row r="9106" spans="2:2" x14ac:dyDescent="0.2">
      <c r="B9106" s="11"/>
    </row>
    <row r="9107" spans="2:2" x14ac:dyDescent="0.2">
      <c r="B9107" s="11"/>
    </row>
    <row r="9108" spans="2:2" x14ac:dyDescent="0.2">
      <c r="B9108" s="11"/>
    </row>
    <row r="9109" spans="2:2" x14ac:dyDescent="0.2">
      <c r="B9109" s="11"/>
    </row>
    <row r="9110" spans="2:2" x14ac:dyDescent="0.2">
      <c r="B9110" s="11"/>
    </row>
    <row r="9111" spans="2:2" x14ac:dyDescent="0.2">
      <c r="B9111" s="11"/>
    </row>
    <row r="9112" spans="2:2" x14ac:dyDescent="0.2">
      <c r="B9112" s="11"/>
    </row>
    <row r="9113" spans="2:2" x14ac:dyDescent="0.2">
      <c r="B9113" s="11"/>
    </row>
    <row r="9114" spans="2:2" x14ac:dyDescent="0.2">
      <c r="B9114" s="11"/>
    </row>
    <row r="9115" spans="2:2" x14ac:dyDescent="0.2">
      <c r="B9115" s="11"/>
    </row>
    <row r="9116" spans="2:2" x14ac:dyDescent="0.2">
      <c r="B9116" s="11"/>
    </row>
    <row r="9117" spans="2:2" x14ac:dyDescent="0.2">
      <c r="B9117" s="11"/>
    </row>
    <row r="9118" spans="2:2" x14ac:dyDescent="0.2">
      <c r="B9118" s="11"/>
    </row>
    <row r="9119" spans="2:2" x14ac:dyDescent="0.2">
      <c r="B9119" s="11"/>
    </row>
    <row r="9120" spans="2:2" x14ac:dyDescent="0.2">
      <c r="B9120" s="11"/>
    </row>
    <row r="9121" spans="2:2" x14ac:dyDescent="0.2">
      <c r="B9121" s="11"/>
    </row>
    <row r="9122" spans="2:2" x14ac:dyDescent="0.2">
      <c r="B9122" s="11"/>
    </row>
    <row r="9123" spans="2:2" x14ac:dyDescent="0.2">
      <c r="B9123" s="11"/>
    </row>
    <row r="9124" spans="2:2" x14ac:dyDescent="0.2">
      <c r="B9124" s="11"/>
    </row>
    <row r="9125" spans="2:2" x14ac:dyDescent="0.2">
      <c r="B9125" s="11"/>
    </row>
    <row r="9126" spans="2:2" x14ac:dyDescent="0.2">
      <c r="B9126" s="11"/>
    </row>
    <row r="9127" spans="2:2" x14ac:dyDescent="0.2">
      <c r="B9127" s="11"/>
    </row>
    <row r="9128" spans="2:2" x14ac:dyDescent="0.2">
      <c r="B9128" s="11"/>
    </row>
    <row r="9129" spans="2:2" x14ac:dyDescent="0.2">
      <c r="B9129" s="11"/>
    </row>
    <row r="9130" spans="2:2" x14ac:dyDescent="0.2">
      <c r="B9130" s="11"/>
    </row>
    <row r="9131" spans="2:2" x14ac:dyDescent="0.2">
      <c r="B9131" s="11"/>
    </row>
    <row r="9132" spans="2:2" x14ac:dyDescent="0.2">
      <c r="B9132" s="11"/>
    </row>
    <row r="9133" spans="2:2" x14ac:dyDescent="0.2">
      <c r="B9133" s="11"/>
    </row>
    <row r="9134" spans="2:2" x14ac:dyDescent="0.2">
      <c r="B9134" s="11"/>
    </row>
    <row r="9135" spans="2:2" x14ac:dyDescent="0.2">
      <c r="B9135" s="11"/>
    </row>
    <row r="9136" spans="2:2" x14ac:dyDescent="0.2">
      <c r="B9136" s="11"/>
    </row>
    <row r="9137" spans="2:2" x14ac:dyDescent="0.2">
      <c r="B9137" s="11"/>
    </row>
    <row r="9138" spans="2:2" x14ac:dyDescent="0.2">
      <c r="B9138" s="11"/>
    </row>
    <row r="9139" spans="2:2" x14ac:dyDescent="0.2">
      <c r="B9139" s="11"/>
    </row>
    <row r="9140" spans="2:2" x14ac:dyDescent="0.2">
      <c r="B9140" s="11"/>
    </row>
    <row r="9141" spans="2:2" x14ac:dyDescent="0.2">
      <c r="B9141" s="11"/>
    </row>
    <row r="9142" spans="2:2" x14ac:dyDescent="0.2">
      <c r="B9142" s="11"/>
    </row>
    <row r="9143" spans="2:2" x14ac:dyDescent="0.2">
      <c r="B9143" s="11"/>
    </row>
    <row r="9144" spans="2:2" x14ac:dyDescent="0.2">
      <c r="B9144" s="11"/>
    </row>
    <row r="9145" spans="2:2" x14ac:dyDescent="0.2">
      <c r="B9145" s="11"/>
    </row>
    <row r="9146" spans="2:2" x14ac:dyDescent="0.2">
      <c r="B9146" s="11"/>
    </row>
    <row r="9147" spans="2:2" x14ac:dyDescent="0.2">
      <c r="B9147" s="11"/>
    </row>
    <row r="9148" spans="2:2" x14ac:dyDescent="0.2">
      <c r="B9148" s="11"/>
    </row>
    <row r="9149" spans="2:2" x14ac:dyDescent="0.2">
      <c r="B9149" s="11"/>
    </row>
    <row r="9150" spans="2:2" x14ac:dyDescent="0.2">
      <c r="B9150" s="11"/>
    </row>
    <row r="9151" spans="2:2" x14ac:dyDescent="0.2">
      <c r="B9151" s="11"/>
    </row>
    <row r="9152" spans="2:2" x14ac:dyDescent="0.2">
      <c r="B9152" s="11"/>
    </row>
    <row r="9153" spans="2:2" x14ac:dyDescent="0.2">
      <c r="B9153" s="11"/>
    </row>
    <row r="9154" spans="2:2" x14ac:dyDescent="0.2">
      <c r="B9154" s="11"/>
    </row>
    <row r="9155" spans="2:2" x14ac:dyDescent="0.2">
      <c r="B9155" s="11"/>
    </row>
    <row r="9156" spans="2:2" x14ac:dyDescent="0.2">
      <c r="B9156" s="11"/>
    </row>
    <row r="9157" spans="2:2" x14ac:dyDescent="0.2">
      <c r="B9157" s="11"/>
    </row>
    <row r="9158" spans="2:2" x14ac:dyDescent="0.2">
      <c r="B9158" s="11"/>
    </row>
    <row r="9159" spans="2:2" x14ac:dyDescent="0.2">
      <c r="B9159" s="11"/>
    </row>
    <row r="9160" spans="2:2" x14ac:dyDescent="0.2">
      <c r="B9160" s="11"/>
    </row>
    <row r="9161" spans="2:2" x14ac:dyDescent="0.2">
      <c r="B9161" s="11"/>
    </row>
    <row r="9162" spans="2:2" x14ac:dyDescent="0.2">
      <c r="B9162" s="11"/>
    </row>
    <row r="9163" spans="2:2" x14ac:dyDescent="0.2">
      <c r="B9163" s="11"/>
    </row>
    <row r="9164" spans="2:2" x14ac:dyDescent="0.2">
      <c r="B9164" s="11"/>
    </row>
    <row r="9165" spans="2:2" x14ac:dyDescent="0.2">
      <c r="B9165" s="11"/>
    </row>
    <row r="9166" spans="2:2" x14ac:dyDescent="0.2">
      <c r="B9166" s="11"/>
    </row>
    <row r="9167" spans="2:2" x14ac:dyDescent="0.2">
      <c r="B9167" s="11"/>
    </row>
    <row r="9168" spans="2:2" x14ac:dyDescent="0.2">
      <c r="B9168" s="11"/>
    </row>
    <row r="9169" spans="2:2" x14ac:dyDescent="0.2">
      <c r="B9169" s="11"/>
    </row>
    <row r="9170" spans="2:2" x14ac:dyDescent="0.2">
      <c r="B9170" s="11"/>
    </row>
    <row r="9171" spans="2:2" x14ac:dyDescent="0.2">
      <c r="B9171" s="11"/>
    </row>
    <row r="9172" spans="2:2" x14ac:dyDescent="0.2">
      <c r="B9172" s="11"/>
    </row>
    <row r="9173" spans="2:2" x14ac:dyDescent="0.2">
      <c r="B9173" s="11"/>
    </row>
    <row r="9174" spans="2:2" x14ac:dyDescent="0.2">
      <c r="B9174" s="11"/>
    </row>
    <row r="9175" spans="2:2" x14ac:dyDescent="0.2">
      <c r="B9175" s="11"/>
    </row>
    <row r="9176" spans="2:2" x14ac:dyDescent="0.2">
      <c r="B9176" s="11"/>
    </row>
    <row r="9177" spans="2:2" x14ac:dyDescent="0.2">
      <c r="B9177" s="11"/>
    </row>
    <row r="9178" spans="2:2" x14ac:dyDescent="0.2">
      <c r="B9178" s="11"/>
    </row>
    <row r="9179" spans="2:2" x14ac:dyDescent="0.2">
      <c r="B9179" s="11"/>
    </row>
    <row r="9180" spans="2:2" x14ac:dyDescent="0.2">
      <c r="B9180" s="11"/>
    </row>
    <row r="9181" spans="2:2" x14ac:dyDescent="0.2">
      <c r="B9181" s="11"/>
    </row>
    <row r="9182" spans="2:2" x14ac:dyDescent="0.2">
      <c r="B9182" s="11"/>
    </row>
    <row r="9183" spans="2:2" x14ac:dyDescent="0.2">
      <c r="B9183" s="11"/>
    </row>
    <row r="9184" spans="2:2" x14ac:dyDescent="0.2">
      <c r="B9184" s="11"/>
    </row>
    <row r="9185" spans="2:2" x14ac:dyDescent="0.2">
      <c r="B9185" s="11"/>
    </row>
    <row r="9186" spans="2:2" x14ac:dyDescent="0.2">
      <c r="B9186" s="11"/>
    </row>
    <row r="9187" spans="2:2" x14ac:dyDescent="0.2">
      <c r="B9187" s="11"/>
    </row>
    <row r="9188" spans="2:2" x14ac:dyDescent="0.2">
      <c r="B9188" s="11"/>
    </row>
    <row r="9189" spans="2:2" x14ac:dyDescent="0.2">
      <c r="B9189" s="11"/>
    </row>
    <row r="9190" spans="2:2" x14ac:dyDescent="0.2">
      <c r="B9190" s="11"/>
    </row>
    <row r="9191" spans="2:2" x14ac:dyDescent="0.2">
      <c r="B9191" s="11"/>
    </row>
    <row r="9192" spans="2:2" x14ac:dyDescent="0.2">
      <c r="B9192" s="11"/>
    </row>
    <row r="9193" spans="2:2" x14ac:dyDescent="0.2">
      <c r="B9193" s="11"/>
    </row>
    <row r="9194" spans="2:2" x14ac:dyDescent="0.2">
      <c r="B9194" s="11"/>
    </row>
    <row r="9195" spans="2:2" x14ac:dyDescent="0.2">
      <c r="B9195" s="11"/>
    </row>
    <row r="9196" spans="2:2" x14ac:dyDescent="0.2">
      <c r="B9196" s="11"/>
    </row>
    <row r="9197" spans="2:2" x14ac:dyDescent="0.2">
      <c r="B9197" s="11"/>
    </row>
    <row r="9198" spans="2:2" x14ac:dyDescent="0.2">
      <c r="B9198" s="11"/>
    </row>
    <row r="9199" spans="2:2" x14ac:dyDescent="0.2">
      <c r="B9199" s="11"/>
    </row>
    <row r="9200" spans="2:2" x14ac:dyDescent="0.2">
      <c r="B9200" s="11"/>
    </row>
    <row r="9201" spans="2:2" x14ac:dyDescent="0.2">
      <c r="B9201" s="11"/>
    </row>
    <row r="9202" spans="2:2" x14ac:dyDescent="0.2">
      <c r="B9202" s="11"/>
    </row>
    <row r="9203" spans="2:2" x14ac:dyDescent="0.2">
      <c r="B9203" s="11"/>
    </row>
    <row r="9204" spans="2:2" x14ac:dyDescent="0.2">
      <c r="B9204" s="11"/>
    </row>
    <row r="9205" spans="2:2" x14ac:dyDescent="0.2">
      <c r="B9205" s="11"/>
    </row>
    <row r="9206" spans="2:2" x14ac:dyDescent="0.2">
      <c r="B9206" s="11"/>
    </row>
    <row r="9207" spans="2:2" x14ac:dyDescent="0.2">
      <c r="B9207" s="11"/>
    </row>
    <row r="9208" spans="2:2" x14ac:dyDescent="0.2">
      <c r="B9208" s="11"/>
    </row>
    <row r="9209" spans="2:2" x14ac:dyDescent="0.2">
      <c r="B9209" s="11"/>
    </row>
    <row r="9210" spans="2:2" x14ac:dyDescent="0.2">
      <c r="B9210" s="11"/>
    </row>
    <row r="9211" spans="2:2" x14ac:dyDescent="0.2">
      <c r="B9211" s="11"/>
    </row>
    <row r="9212" spans="2:2" x14ac:dyDescent="0.2">
      <c r="B9212" s="11"/>
    </row>
    <row r="9213" spans="2:2" x14ac:dyDescent="0.2">
      <c r="B9213" s="11"/>
    </row>
    <row r="9214" spans="2:2" x14ac:dyDescent="0.2">
      <c r="B9214" s="11"/>
    </row>
    <row r="9215" spans="2:2" x14ac:dyDescent="0.2">
      <c r="B9215" s="11"/>
    </row>
    <row r="9216" spans="2:2" x14ac:dyDescent="0.2">
      <c r="B9216" s="11"/>
    </row>
    <row r="9217" spans="2:2" x14ac:dyDescent="0.2">
      <c r="B9217" s="11"/>
    </row>
    <row r="9218" spans="2:2" x14ac:dyDescent="0.2">
      <c r="B9218" s="11"/>
    </row>
    <row r="9219" spans="2:2" x14ac:dyDescent="0.2">
      <c r="B9219" s="11"/>
    </row>
    <row r="9220" spans="2:2" x14ac:dyDescent="0.2">
      <c r="B9220" s="11"/>
    </row>
    <row r="9221" spans="2:2" x14ac:dyDescent="0.2">
      <c r="B9221" s="11"/>
    </row>
    <row r="9222" spans="2:2" x14ac:dyDescent="0.2">
      <c r="B9222" s="11"/>
    </row>
    <row r="9223" spans="2:2" x14ac:dyDescent="0.2">
      <c r="B9223" s="11"/>
    </row>
    <row r="9224" spans="2:2" x14ac:dyDescent="0.2">
      <c r="B9224" s="11"/>
    </row>
    <row r="9225" spans="2:2" x14ac:dyDescent="0.2">
      <c r="B9225" s="11"/>
    </row>
    <row r="9226" spans="2:2" x14ac:dyDescent="0.2">
      <c r="B9226" s="11"/>
    </row>
    <row r="9227" spans="2:2" x14ac:dyDescent="0.2">
      <c r="B9227" s="11"/>
    </row>
    <row r="9228" spans="2:2" x14ac:dyDescent="0.2">
      <c r="B9228" s="11"/>
    </row>
    <row r="9229" spans="2:2" x14ac:dyDescent="0.2">
      <c r="B9229" s="11"/>
    </row>
    <row r="9230" spans="2:2" x14ac:dyDescent="0.2">
      <c r="B9230" s="11"/>
    </row>
    <row r="9231" spans="2:2" x14ac:dyDescent="0.2">
      <c r="B9231" s="11"/>
    </row>
    <row r="9232" spans="2:2" x14ac:dyDescent="0.2">
      <c r="B9232" s="11"/>
    </row>
    <row r="9233" spans="2:2" x14ac:dyDescent="0.2">
      <c r="B9233" s="11"/>
    </row>
    <row r="9234" spans="2:2" x14ac:dyDescent="0.2">
      <c r="B9234" s="11"/>
    </row>
    <row r="9235" spans="2:2" x14ac:dyDescent="0.2">
      <c r="B9235" s="11"/>
    </row>
    <row r="9236" spans="2:2" x14ac:dyDescent="0.2">
      <c r="B9236" s="11"/>
    </row>
    <row r="9237" spans="2:2" x14ac:dyDescent="0.2">
      <c r="B9237" s="11"/>
    </row>
    <row r="9238" spans="2:2" x14ac:dyDescent="0.2">
      <c r="B9238" s="11"/>
    </row>
    <row r="9239" spans="2:2" x14ac:dyDescent="0.2">
      <c r="B9239" s="11"/>
    </row>
    <row r="9240" spans="2:2" x14ac:dyDescent="0.2">
      <c r="B9240" s="11"/>
    </row>
    <row r="9241" spans="2:2" x14ac:dyDescent="0.2">
      <c r="B9241" s="11"/>
    </row>
    <row r="9242" spans="2:2" x14ac:dyDescent="0.2">
      <c r="B9242" s="11"/>
    </row>
    <row r="9243" spans="2:2" x14ac:dyDescent="0.2">
      <c r="B9243" s="11"/>
    </row>
    <row r="9244" spans="2:2" x14ac:dyDescent="0.2">
      <c r="B9244" s="11"/>
    </row>
    <row r="9245" spans="2:2" x14ac:dyDescent="0.2">
      <c r="B9245" s="11"/>
    </row>
    <row r="9246" spans="2:2" x14ac:dyDescent="0.2">
      <c r="B9246" s="11"/>
    </row>
    <row r="9247" spans="2:2" x14ac:dyDescent="0.2">
      <c r="B9247" s="11"/>
    </row>
    <row r="9248" spans="2:2" x14ac:dyDescent="0.2">
      <c r="B9248" s="11"/>
    </row>
    <row r="9249" spans="2:2" x14ac:dyDescent="0.2">
      <c r="B9249" s="11"/>
    </row>
    <row r="9250" spans="2:2" x14ac:dyDescent="0.2">
      <c r="B9250" s="11"/>
    </row>
    <row r="9251" spans="2:2" x14ac:dyDescent="0.2">
      <c r="B9251" s="11"/>
    </row>
    <row r="9252" spans="2:2" x14ac:dyDescent="0.2">
      <c r="B9252" s="11"/>
    </row>
    <row r="9253" spans="2:2" x14ac:dyDescent="0.2">
      <c r="B9253" s="11"/>
    </row>
    <row r="9254" spans="2:2" x14ac:dyDescent="0.2">
      <c r="B9254" s="11"/>
    </row>
    <row r="9255" spans="2:2" x14ac:dyDescent="0.2">
      <c r="B9255" s="11"/>
    </row>
    <row r="9256" spans="2:2" x14ac:dyDescent="0.2">
      <c r="B9256" s="11"/>
    </row>
    <row r="9257" spans="2:2" x14ac:dyDescent="0.2">
      <c r="B9257" s="11"/>
    </row>
    <row r="9258" spans="2:2" x14ac:dyDescent="0.2">
      <c r="B9258" s="11"/>
    </row>
    <row r="9259" spans="2:2" x14ac:dyDescent="0.2">
      <c r="B9259" s="11"/>
    </row>
    <row r="9260" spans="2:2" x14ac:dyDescent="0.2">
      <c r="B9260" s="11"/>
    </row>
    <row r="9261" spans="2:2" x14ac:dyDescent="0.2">
      <c r="B9261" s="11"/>
    </row>
    <row r="9262" spans="2:2" x14ac:dyDescent="0.2">
      <c r="B9262" s="11"/>
    </row>
    <row r="9263" spans="2:2" x14ac:dyDescent="0.2">
      <c r="B9263" s="11"/>
    </row>
    <row r="9264" spans="2:2" x14ac:dyDescent="0.2">
      <c r="B9264" s="11"/>
    </row>
    <row r="9265" spans="2:2" x14ac:dyDescent="0.2">
      <c r="B9265" s="11"/>
    </row>
    <row r="9266" spans="2:2" x14ac:dyDescent="0.2">
      <c r="B9266" s="11"/>
    </row>
    <row r="9267" spans="2:2" x14ac:dyDescent="0.2">
      <c r="B9267" s="11"/>
    </row>
    <row r="9268" spans="2:2" x14ac:dyDescent="0.2">
      <c r="B9268" s="11"/>
    </row>
    <row r="9269" spans="2:2" x14ac:dyDescent="0.2">
      <c r="B9269" s="11"/>
    </row>
    <row r="9270" spans="2:2" x14ac:dyDescent="0.2">
      <c r="B9270" s="11"/>
    </row>
    <row r="9271" spans="2:2" x14ac:dyDescent="0.2">
      <c r="B9271" s="11"/>
    </row>
    <row r="9272" spans="2:2" x14ac:dyDescent="0.2">
      <c r="B9272" s="11"/>
    </row>
    <row r="9273" spans="2:2" x14ac:dyDescent="0.2">
      <c r="B9273" s="11"/>
    </row>
    <row r="9274" spans="2:2" x14ac:dyDescent="0.2">
      <c r="B9274" s="11"/>
    </row>
    <row r="9275" spans="2:2" x14ac:dyDescent="0.2">
      <c r="B9275" s="11"/>
    </row>
    <row r="9276" spans="2:2" x14ac:dyDescent="0.2">
      <c r="B9276" s="11"/>
    </row>
    <row r="9277" spans="2:2" x14ac:dyDescent="0.2">
      <c r="B9277" s="11"/>
    </row>
    <row r="9278" spans="2:2" x14ac:dyDescent="0.2">
      <c r="B9278" s="11"/>
    </row>
    <row r="9279" spans="2:2" x14ac:dyDescent="0.2">
      <c r="B9279" s="11"/>
    </row>
    <row r="9280" spans="2:2" x14ac:dyDescent="0.2">
      <c r="B9280" s="11"/>
    </row>
    <row r="9281" spans="2:2" x14ac:dyDescent="0.2">
      <c r="B9281" s="11"/>
    </row>
    <row r="9282" spans="2:2" x14ac:dyDescent="0.2">
      <c r="B9282" s="11"/>
    </row>
    <row r="9283" spans="2:2" x14ac:dyDescent="0.2">
      <c r="B9283" s="11"/>
    </row>
    <row r="9284" spans="2:2" x14ac:dyDescent="0.2">
      <c r="B9284" s="11"/>
    </row>
    <row r="9285" spans="2:2" x14ac:dyDescent="0.2">
      <c r="B9285" s="11"/>
    </row>
    <row r="9286" spans="2:2" x14ac:dyDescent="0.2">
      <c r="B9286" s="11"/>
    </row>
    <row r="9287" spans="2:2" x14ac:dyDescent="0.2">
      <c r="B9287" s="11"/>
    </row>
    <row r="9288" spans="2:2" x14ac:dyDescent="0.2">
      <c r="B9288" s="11"/>
    </row>
    <row r="9289" spans="2:2" x14ac:dyDescent="0.2">
      <c r="B9289" s="11"/>
    </row>
    <row r="9290" spans="2:2" x14ac:dyDescent="0.2">
      <c r="B9290" s="11"/>
    </row>
    <row r="9291" spans="2:2" x14ac:dyDescent="0.2">
      <c r="B9291" s="11"/>
    </row>
    <row r="9292" spans="2:2" x14ac:dyDescent="0.2">
      <c r="B9292" s="11"/>
    </row>
    <row r="9293" spans="2:2" x14ac:dyDescent="0.2">
      <c r="B9293" s="11"/>
    </row>
    <row r="9294" spans="2:2" x14ac:dyDescent="0.2">
      <c r="B9294" s="11"/>
    </row>
    <row r="9295" spans="2:2" x14ac:dyDescent="0.2">
      <c r="B9295" s="11"/>
    </row>
    <row r="9296" spans="2:2" x14ac:dyDescent="0.2">
      <c r="B9296" s="11"/>
    </row>
    <row r="9297" spans="2:2" x14ac:dyDescent="0.2">
      <c r="B9297" s="11"/>
    </row>
    <row r="9298" spans="2:2" x14ac:dyDescent="0.2">
      <c r="B9298" s="11"/>
    </row>
    <row r="9299" spans="2:2" x14ac:dyDescent="0.2">
      <c r="B9299" s="11"/>
    </row>
    <row r="9300" spans="2:2" x14ac:dyDescent="0.2">
      <c r="B9300" s="11"/>
    </row>
    <row r="9301" spans="2:2" x14ac:dyDescent="0.2">
      <c r="B9301" s="11"/>
    </row>
    <row r="9302" spans="2:2" x14ac:dyDescent="0.2">
      <c r="B9302" s="11"/>
    </row>
    <row r="9303" spans="2:2" x14ac:dyDescent="0.2">
      <c r="B9303" s="11"/>
    </row>
    <row r="9304" spans="2:2" x14ac:dyDescent="0.2">
      <c r="B9304" s="11"/>
    </row>
    <row r="9305" spans="2:2" x14ac:dyDescent="0.2">
      <c r="B9305" s="11"/>
    </row>
    <row r="9306" spans="2:2" x14ac:dyDescent="0.2">
      <c r="B9306" s="11"/>
    </row>
    <row r="9307" spans="2:2" x14ac:dyDescent="0.2">
      <c r="B9307" s="11"/>
    </row>
    <row r="9308" spans="2:2" x14ac:dyDescent="0.2">
      <c r="B9308" s="11"/>
    </row>
    <row r="9309" spans="2:2" x14ac:dyDescent="0.2">
      <c r="B9309" s="11"/>
    </row>
    <row r="9310" spans="2:2" x14ac:dyDescent="0.2">
      <c r="B9310" s="11"/>
    </row>
    <row r="9311" spans="2:2" x14ac:dyDescent="0.2">
      <c r="B9311" s="11"/>
    </row>
    <row r="9312" spans="2:2" x14ac:dyDescent="0.2">
      <c r="B9312" s="11"/>
    </row>
    <row r="9313" spans="2:2" x14ac:dyDescent="0.2">
      <c r="B9313" s="11"/>
    </row>
    <row r="9314" spans="2:2" x14ac:dyDescent="0.2">
      <c r="B9314" s="11"/>
    </row>
    <row r="9315" spans="2:2" x14ac:dyDescent="0.2">
      <c r="B9315" s="11"/>
    </row>
    <row r="9316" spans="2:2" x14ac:dyDescent="0.2">
      <c r="B9316" s="11"/>
    </row>
    <row r="9317" spans="2:2" x14ac:dyDescent="0.2">
      <c r="B9317" s="11"/>
    </row>
    <row r="9318" spans="2:2" x14ac:dyDescent="0.2">
      <c r="B9318" s="11"/>
    </row>
    <row r="9319" spans="2:2" x14ac:dyDescent="0.2">
      <c r="B9319" s="11"/>
    </row>
    <row r="9320" spans="2:2" x14ac:dyDescent="0.2">
      <c r="B9320" s="11"/>
    </row>
    <row r="9321" spans="2:2" x14ac:dyDescent="0.2">
      <c r="B9321" s="11"/>
    </row>
    <row r="9322" spans="2:2" x14ac:dyDescent="0.2">
      <c r="B9322" s="11"/>
    </row>
    <row r="9323" spans="2:2" x14ac:dyDescent="0.2">
      <c r="B9323" s="11"/>
    </row>
    <row r="9324" spans="2:2" x14ac:dyDescent="0.2">
      <c r="B9324" s="11"/>
    </row>
    <row r="9325" spans="2:2" x14ac:dyDescent="0.2">
      <c r="B9325" s="11"/>
    </row>
    <row r="9326" spans="2:2" x14ac:dyDescent="0.2">
      <c r="B9326" s="11"/>
    </row>
    <row r="9327" spans="2:2" x14ac:dyDescent="0.2">
      <c r="B9327" s="11"/>
    </row>
    <row r="9328" spans="2:2" x14ac:dyDescent="0.2">
      <c r="B9328" s="11"/>
    </row>
    <row r="9329" spans="2:2" x14ac:dyDescent="0.2">
      <c r="B9329" s="11"/>
    </row>
    <row r="9330" spans="2:2" x14ac:dyDescent="0.2">
      <c r="B9330" s="11"/>
    </row>
    <row r="9331" spans="2:2" x14ac:dyDescent="0.2">
      <c r="B9331" s="11"/>
    </row>
    <row r="9332" spans="2:2" x14ac:dyDescent="0.2">
      <c r="B9332" s="11"/>
    </row>
    <row r="9333" spans="2:2" x14ac:dyDescent="0.2">
      <c r="B9333" s="11"/>
    </row>
    <row r="9334" spans="2:2" x14ac:dyDescent="0.2">
      <c r="B9334" s="11"/>
    </row>
    <row r="9335" spans="2:2" x14ac:dyDescent="0.2">
      <c r="B9335" s="11"/>
    </row>
    <row r="9336" spans="2:2" x14ac:dyDescent="0.2">
      <c r="B9336" s="11"/>
    </row>
    <row r="9337" spans="2:2" x14ac:dyDescent="0.2">
      <c r="B9337" s="11"/>
    </row>
    <row r="9338" spans="2:2" x14ac:dyDescent="0.2">
      <c r="B9338" s="11"/>
    </row>
    <row r="9339" spans="2:2" x14ac:dyDescent="0.2">
      <c r="B9339" s="11"/>
    </row>
    <row r="9340" spans="2:2" x14ac:dyDescent="0.2">
      <c r="B9340" s="11"/>
    </row>
    <row r="9341" spans="2:2" x14ac:dyDescent="0.2">
      <c r="B9341" s="11"/>
    </row>
    <row r="9342" spans="2:2" x14ac:dyDescent="0.2">
      <c r="B9342" s="11"/>
    </row>
    <row r="9343" spans="2:2" x14ac:dyDescent="0.2">
      <c r="B9343" s="11"/>
    </row>
    <row r="9344" spans="2:2" x14ac:dyDescent="0.2">
      <c r="B9344" s="11"/>
    </row>
    <row r="9345" spans="2:2" x14ac:dyDescent="0.2">
      <c r="B9345" s="11"/>
    </row>
    <row r="9346" spans="2:2" x14ac:dyDescent="0.2">
      <c r="B9346" s="11"/>
    </row>
    <row r="9347" spans="2:2" x14ac:dyDescent="0.2">
      <c r="B9347" s="11"/>
    </row>
    <row r="9348" spans="2:2" x14ac:dyDescent="0.2">
      <c r="B9348" s="11"/>
    </row>
    <row r="9349" spans="2:2" x14ac:dyDescent="0.2">
      <c r="B9349" s="11"/>
    </row>
    <row r="9350" spans="2:2" x14ac:dyDescent="0.2">
      <c r="B9350" s="11"/>
    </row>
    <row r="9351" spans="2:2" x14ac:dyDescent="0.2">
      <c r="B9351" s="11"/>
    </row>
    <row r="9352" spans="2:2" x14ac:dyDescent="0.2">
      <c r="B9352" s="11"/>
    </row>
    <row r="9353" spans="2:2" x14ac:dyDescent="0.2">
      <c r="B9353" s="11"/>
    </row>
    <row r="9354" spans="2:2" x14ac:dyDescent="0.2">
      <c r="B9354" s="11"/>
    </row>
    <row r="9355" spans="2:2" x14ac:dyDescent="0.2">
      <c r="B9355" s="11"/>
    </row>
    <row r="9356" spans="2:2" x14ac:dyDescent="0.2">
      <c r="B9356" s="11"/>
    </row>
    <row r="9357" spans="2:2" x14ac:dyDescent="0.2">
      <c r="B9357" s="11"/>
    </row>
    <row r="9358" spans="2:2" x14ac:dyDescent="0.2">
      <c r="B9358" s="11"/>
    </row>
    <row r="9359" spans="2:2" x14ac:dyDescent="0.2">
      <c r="B9359" s="11"/>
    </row>
    <row r="9360" spans="2:2" x14ac:dyDescent="0.2">
      <c r="B9360" s="11"/>
    </row>
    <row r="9361" spans="2:2" x14ac:dyDescent="0.2">
      <c r="B9361" s="11"/>
    </row>
    <row r="9362" spans="2:2" x14ac:dyDescent="0.2">
      <c r="B9362" s="11"/>
    </row>
    <row r="9363" spans="2:2" x14ac:dyDescent="0.2">
      <c r="B9363" s="11"/>
    </row>
    <row r="9364" spans="2:2" x14ac:dyDescent="0.2">
      <c r="B9364" s="11"/>
    </row>
    <row r="9365" spans="2:2" x14ac:dyDescent="0.2">
      <c r="B9365" s="11"/>
    </row>
    <row r="9366" spans="2:2" x14ac:dyDescent="0.2">
      <c r="B9366" s="11"/>
    </row>
    <row r="9367" spans="2:2" x14ac:dyDescent="0.2">
      <c r="B9367" s="11"/>
    </row>
    <row r="9368" spans="2:2" x14ac:dyDescent="0.2">
      <c r="B9368" s="11"/>
    </row>
    <row r="9369" spans="2:2" x14ac:dyDescent="0.2">
      <c r="B9369" s="11"/>
    </row>
    <row r="9370" spans="2:2" x14ac:dyDescent="0.2">
      <c r="B9370" s="11"/>
    </row>
    <row r="9371" spans="2:2" x14ac:dyDescent="0.2">
      <c r="B9371" s="11"/>
    </row>
    <row r="9372" spans="2:2" x14ac:dyDescent="0.2">
      <c r="B9372" s="11"/>
    </row>
    <row r="9373" spans="2:2" x14ac:dyDescent="0.2">
      <c r="B9373" s="11"/>
    </row>
    <row r="9374" spans="2:2" x14ac:dyDescent="0.2">
      <c r="B9374" s="11"/>
    </row>
    <row r="9375" spans="2:2" x14ac:dyDescent="0.2">
      <c r="B9375" s="11"/>
    </row>
    <row r="9376" spans="2:2" x14ac:dyDescent="0.2">
      <c r="B9376" s="11"/>
    </row>
    <row r="9377" spans="2:2" x14ac:dyDescent="0.2">
      <c r="B9377" s="11"/>
    </row>
    <row r="9378" spans="2:2" x14ac:dyDescent="0.2">
      <c r="B9378" s="11"/>
    </row>
    <row r="9379" spans="2:2" x14ac:dyDescent="0.2">
      <c r="B9379" s="11"/>
    </row>
    <row r="9380" spans="2:2" x14ac:dyDescent="0.2">
      <c r="B9380" s="11"/>
    </row>
    <row r="9381" spans="2:2" x14ac:dyDescent="0.2">
      <c r="B9381" s="11"/>
    </row>
    <row r="9382" spans="2:2" x14ac:dyDescent="0.2">
      <c r="B9382" s="11"/>
    </row>
    <row r="9383" spans="2:2" x14ac:dyDescent="0.2">
      <c r="B9383" s="11"/>
    </row>
    <row r="9384" spans="2:2" x14ac:dyDescent="0.2">
      <c r="B9384" s="11"/>
    </row>
    <row r="9385" spans="2:2" x14ac:dyDescent="0.2">
      <c r="B9385" s="11"/>
    </row>
    <row r="9386" spans="2:2" x14ac:dyDescent="0.2">
      <c r="B9386" s="11"/>
    </row>
    <row r="9387" spans="2:2" x14ac:dyDescent="0.2">
      <c r="B9387" s="11"/>
    </row>
    <row r="9388" spans="2:2" x14ac:dyDescent="0.2">
      <c r="B9388" s="11"/>
    </row>
    <row r="9389" spans="2:2" x14ac:dyDescent="0.2">
      <c r="B9389" s="11"/>
    </row>
    <row r="9390" spans="2:2" x14ac:dyDescent="0.2">
      <c r="B9390" s="11"/>
    </row>
    <row r="9391" spans="2:2" x14ac:dyDescent="0.2">
      <c r="B9391" s="11"/>
    </row>
    <row r="9392" spans="2:2" x14ac:dyDescent="0.2">
      <c r="B9392" s="11"/>
    </row>
    <row r="9393" spans="2:2" x14ac:dyDescent="0.2">
      <c r="B9393" s="11"/>
    </row>
    <row r="9394" spans="2:2" x14ac:dyDescent="0.2">
      <c r="B9394" s="11"/>
    </row>
    <row r="9395" spans="2:2" x14ac:dyDescent="0.2">
      <c r="B9395" s="11"/>
    </row>
    <row r="9396" spans="2:2" x14ac:dyDescent="0.2">
      <c r="B9396" s="11"/>
    </row>
    <row r="9397" spans="2:2" x14ac:dyDescent="0.2">
      <c r="B9397" s="11"/>
    </row>
    <row r="9398" spans="2:2" x14ac:dyDescent="0.2">
      <c r="B9398" s="11"/>
    </row>
    <row r="9399" spans="2:2" x14ac:dyDescent="0.2">
      <c r="B9399" s="11"/>
    </row>
    <row r="9400" spans="2:2" x14ac:dyDescent="0.2">
      <c r="B9400" s="11"/>
    </row>
    <row r="9401" spans="2:2" x14ac:dyDescent="0.2">
      <c r="B9401" s="11"/>
    </row>
    <row r="9402" spans="2:2" x14ac:dyDescent="0.2">
      <c r="B9402" s="11"/>
    </row>
    <row r="9403" spans="2:2" x14ac:dyDescent="0.2">
      <c r="B9403" s="11"/>
    </row>
    <row r="9404" spans="2:2" x14ac:dyDescent="0.2">
      <c r="B9404" s="11"/>
    </row>
    <row r="9405" spans="2:2" x14ac:dyDescent="0.2">
      <c r="B9405" s="11"/>
    </row>
    <row r="9406" spans="2:2" x14ac:dyDescent="0.2">
      <c r="B9406" s="11"/>
    </row>
    <row r="9407" spans="2:2" x14ac:dyDescent="0.2">
      <c r="B9407" s="11"/>
    </row>
    <row r="9408" spans="2:2" x14ac:dyDescent="0.2">
      <c r="B9408" s="11"/>
    </row>
    <row r="9409" spans="2:2" x14ac:dyDescent="0.2">
      <c r="B9409" s="11"/>
    </row>
    <row r="9410" spans="2:2" x14ac:dyDescent="0.2">
      <c r="B9410" s="11"/>
    </row>
    <row r="9411" spans="2:2" x14ac:dyDescent="0.2">
      <c r="B9411" s="11"/>
    </row>
    <row r="9412" spans="2:2" x14ac:dyDescent="0.2">
      <c r="B9412" s="11"/>
    </row>
    <row r="9413" spans="2:2" x14ac:dyDescent="0.2">
      <c r="B9413" s="11"/>
    </row>
    <row r="9414" spans="2:2" x14ac:dyDescent="0.2">
      <c r="B9414" s="11"/>
    </row>
    <row r="9415" spans="2:2" x14ac:dyDescent="0.2">
      <c r="B9415" s="11"/>
    </row>
    <row r="9416" spans="2:2" x14ac:dyDescent="0.2">
      <c r="B9416" s="11"/>
    </row>
    <row r="9417" spans="2:2" x14ac:dyDescent="0.2">
      <c r="B9417" s="11"/>
    </row>
    <row r="9418" spans="2:2" x14ac:dyDescent="0.2">
      <c r="B9418" s="11"/>
    </row>
    <row r="9419" spans="2:2" x14ac:dyDescent="0.2">
      <c r="B9419" s="11"/>
    </row>
    <row r="9420" spans="2:2" x14ac:dyDescent="0.2">
      <c r="B9420" s="11"/>
    </row>
    <row r="9421" spans="2:2" x14ac:dyDescent="0.2">
      <c r="B9421" s="11"/>
    </row>
    <row r="9422" spans="2:2" x14ac:dyDescent="0.2">
      <c r="B9422" s="11"/>
    </row>
    <row r="9423" spans="2:2" x14ac:dyDescent="0.2">
      <c r="B9423" s="11"/>
    </row>
    <row r="9424" spans="2:2" x14ac:dyDescent="0.2">
      <c r="B9424" s="11"/>
    </row>
    <row r="9425" spans="2:2" x14ac:dyDescent="0.2">
      <c r="B9425" s="11"/>
    </row>
    <row r="9426" spans="2:2" x14ac:dyDescent="0.2">
      <c r="B9426" s="11"/>
    </row>
    <row r="9427" spans="2:2" x14ac:dyDescent="0.2">
      <c r="B9427" s="11"/>
    </row>
    <row r="9428" spans="2:2" x14ac:dyDescent="0.2">
      <c r="B9428" s="11"/>
    </row>
    <row r="9429" spans="2:2" x14ac:dyDescent="0.2">
      <c r="B9429" s="11"/>
    </row>
    <row r="9430" spans="2:2" x14ac:dyDescent="0.2">
      <c r="B9430" s="11"/>
    </row>
    <row r="9431" spans="2:2" x14ac:dyDescent="0.2">
      <c r="B9431" s="11"/>
    </row>
    <row r="9432" spans="2:2" x14ac:dyDescent="0.2">
      <c r="B9432" s="11"/>
    </row>
    <row r="9433" spans="2:2" x14ac:dyDescent="0.2">
      <c r="B9433" s="11"/>
    </row>
    <row r="9434" spans="2:2" x14ac:dyDescent="0.2">
      <c r="B9434" s="11"/>
    </row>
    <row r="9435" spans="2:2" x14ac:dyDescent="0.2">
      <c r="B9435" s="11"/>
    </row>
    <row r="9436" spans="2:2" x14ac:dyDescent="0.2">
      <c r="B9436" s="11"/>
    </row>
    <row r="9437" spans="2:2" x14ac:dyDescent="0.2">
      <c r="B9437" s="11"/>
    </row>
    <row r="9438" spans="2:2" x14ac:dyDescent="0.2">
      <c r="B9438" s="11"/>
    </row>
    <row r="9439" spans="2:2" x14ac:dyDescent="0.2">
      <c r="B9439" s="11"/>
    </row>
    <row r="9440" spans="2:2" x14ac:dyDescent="0.2">
      <c r="B9440" s="11"/>
    </row>
    <row r="9441" spans="2:2" x14ac:dyDescent="0.2">
      <c r="B9441" s="11"/>
    </row>
    <row r="9442" spans="2:2" x14ac:dyDescent="0.2">
      <c r="B9442" s="11"/>
    </row>
    <row r="9443" spans="2:2" x14ac:dyDescent="0.2">
      <c r="B9443" s="11"/>
    </row>
    <row r="9444" spans="2:2" x14ac:dyDescent="0.2">
      <c r="B9444" s="11"/>
    </row>
    <row r="9445" spans="2:2" x14ac:dyDescent="0.2">
      <c r="B9445" s="11"/>
    </row>
    <row r="9446" spans="2:2" x14ac:dyDescent="0.2">
      <c r="B9446" s="11"/>
    </row>
    <row r="9447" spans="2:2" x14ac:dyDescent="0.2">
      <c r="B9447" s="11"/>
    </row>
    <row r="9448" spans="2:2" x14ac:dyDescent="0.2">
      <c r="B9448" s="11"/>
    </row>
    <row r="9449" spans="2:2" x14ac:dyDescent="0.2">
      <c r="B9449" s="11"/>
    </row>
    <row r="9450" spans="2:2" x14ac:dyDescent="0.2">
      <c r="B9450" s="11"/>
    </row>
    <row r="9451" spans="2:2" x14ac:dyDescent="0.2">
      <c r="B9451" s="11"/>
    </row>
    <row r="9452" spans="2:2" x14ac:dyDescent="0.2">
      <c r="B9452" s="11"/>
    </row>
    <row r="9453" spans="2:2" x14ac:dyDescent="0.2">
      <c r="B9453" s="11"/>
    </row>
    <row r="9454" spans="2:2" x14ac:dyDescent="0.2">
      <c r="B9454" s="11"/>
    </row>
    <row r="9455" spans="2:2" x14ac:dyDescent="0.2">
      <c r="B9455" s="11"/>
    </row>
    <row r="9456" spans="2:2" x14ac:dyDescent="0.2">
      <c r="B9456" s="11"/>
    </row>
    <row r="9457" spans="2:2" x14ac:dyDescent="0.2">
      <c r="B9457" s="11"/>
    </row>
    <row r="9458" spans="2:2" x14ac:dyDescent="0.2">
      <c r="B9458" s="11"/>
    </row>
    <row r="9459" spans="2:2" x14ac:dyDescent="0.2">
      <c r="B9459" s="11"/>
    </row>
    <row r="9460" spans="2:2" x14ac:dyDescent="0.2">
      <c r="B9460" s="11"/>
    </row>
    <row r="9461" spans="2:2" x14ac:dyDescent="0.2">
      <c r="B9461" s="11"/>
    </row>
    <row r="9462" spans="2:2" x14ac:dyDescent="0.2">
      <c r="B9462" s="11"/>
    </row>
    <row r="9463" spans="2:2" x14ac:dyDescent="0.2">
      <c r="B9463" s="11"/>
    </row>
    <row r="9464" spans="2:2" x14ac:dyDescent="0.2">
      <c r="B9464" s="11"/>
    </row>
    <row r="9465" spans="2:2" x14ac:dyDescent="0.2">
      <c r="B9465" s="11"/>
    </row>
    <row r="9466" spans="2:2" x14ac:dyDescent="0.2">
      <c r="B9466" s="11"/>
    </row>
    <row r="9467" spans="2:2" x14ac:dyDescent="0.2">
      <c r="B9467" s="11"/>
    </row>
    <row r="9468" spans="2:2" x14ac:dyDescent="0.2">
      <c r="B9468" s="11"/>
    </row>
    <row r="9469" spans="2:2" x14ac:dyDescent="0.2">
      <c r="B9469" s="11"/>
    </row>
    <row r="9470" spans="2:2" x14ac:dyDescent="0.2">
      <c r="B9470" s="11"/>
    </row>
    <row r="9471" spans="2:2" x14ac:dyDescent="0.2">
      <c r="B9471" s="11"/>
    </row>
    <row r="9472" spans="2:2" x14ac:dyDescent="0.2">
      <c r="B9472" s="11"/>
    </row>
    <row r="9473" spans="2:2" x14ac:dyDescent="0.2">
      <c r="B9473" s="11"/>
    </row>
    <row r="9474" spans="2:2" x14ac:dyDescent="0.2">
      <c r="B9474" s="11"/>
    </row>
    <row r="9475" spans="2:2" x14ac:dyDescent="0.2">
      <c r="B9475" s="11"/>
    </row>
    <row r="9476" spans="2:2" x14ac:dyDescent="0.2">
      <c r="B9476" s="11"/>
    </row>
    <row r="9477" spans="2:2" x14ac:dyDescent="0.2">
      <c r="B9477" s="11"/>
    </row>
    <row r="9478" spans="2:2" x14ac:dyDescent="0.2">
      <c r="B9478" s="11"/>
    </row>
    <row r="9479" spans="2:2" x14ac:dyDescent="0.2">
      <c r="B9479" s="11"/>
    </row>
    <row r="9480" spans="2:2" x14ac:dyDescent="0.2">
      <c r="B9480" s="11"/>
    </row>
    <row r="9481" spans="2:2" x14ac:dyDescent="0.2">
      <c r="B9481" s="11"/>
    </row>
    <row r="9482" spans="2:2" x14ac:dyDescent="0.2">
      <c r="B9482" s="11"/>
    </row>
    <row r="9483" spans="2:2" x14ac:dyDescent="0.2">
      <c r="B9483" s="11"/>
    </row>
    <row r="9484" spans="2:2" x14ac:dyDescent="0.2">
      <c r="B9484" s="11"/>
    </row>
    <row r="9485" spans="2:2" x14ac:dyDescent="0.2">
      <c r="B9485" s="11"/>
    </row>
    <row r="9486" spans="2:2" x14ac:dyDescent="0.2">
      <c r="B9486" s="11"/>
    </row>
    <row r="9487" spans="2:2" x14ac:dyDescent="0.2">
      <c r="B9487" s="11"/>
    </row>
    <row r="9488" spans="2:2" x14ac:dyDescent="0.2">
      <c r="B9488" s="11"/>
    </row>
    <row r="9489" spans="2:2" x14ac:dyDescent="0.2">
      <c r="B9489" s="11"/>
    </row>
    <row r="9490" spans="2:2" x14ac:dyDescent="0.2">
      <c r="B9490" s="11"/>
    </row>
    <row r="9491" spans="2:2" x14ac:dyDescent="0.2">
      <c r="B9491" s="11"/>
    </row>
    <row r="9492" spans="2:2" x14ac:dyDescent="0.2">
      <c r="B9492" s="11"/>
    </row>
    <row r="9493" spans="2:2" x14ac:dyDescent="0.2">
      <c r="B9493" s="11"/>
    </row>
    <row r="9494" spans="2:2" x14ac:dyDescent="0.2">
      <c r="B9494" s="11"/>
    </row>
    <row r="9495" spans="2:2" x14ac:dyDescent="0.2">
      <c r="B9495" s="11"/>
    </row>
    <row r="9496" spans="2:2" x14ac:dyDescent="0.2">
      <c r="B9496" s="11"/>
    </row>
    <row r="9497" spans="2:2" x14ac:dyDescent="0.2">
      <c r="B9497" s="11"/>
    </row>
    <row r="9498" spans="2:2" x14ac:dyDescent="0.2">
      <c r="B9498" s="11"/>
    </row>
    <row r="9499" spans="2:2" x14ac:dyDescent="0.2">
      <c r="B9499" s="11"/>
    </row>
    <row r="9500" spans="2:2" x14ac:dyDescent="0.2">
      <c r="B9500" s="11"/>
    </row>
    <row r="9501" spans="2:2" x14ac:dyDescent="0.2">
      <c r="B9501" s="11"/>
    </row>
    <row r="9502" spans="2:2" x14ac:dyDescent="0.2">
      <c r="B9502" s="11"/>
    </row>
    <row r="9503" spans="2:2" x14ac:dyDescent="0.2">
      <c r="B9503" s="11"/>
    </row>
    <row r="9504" spans="2:2" x14ac:dyDescent="0.2">
      <c r="B9504" s="11"/>
    </row>
    <row r="9505" spans="2:2" x14ac:dyDescent="0.2">
      <c r="B9505" s="11"/>
    </row>
    <row r="9506" spans="2:2" x14ac:dyDescent="0.2">
      <c r="B9506" s="11"/>
    </row>
    <row r="9507" spans="2:2" x14ac:dyDescent="0.2">
      <c r="B9507" s="11"/>
    </row>
    <row r="9508" spans="2:2" x14ac:dyDescent="0.2">
      <c r="B9508" s="11"/>
    </row>
    <row r="9509" spans="2:2" x14ac:dyDescent="0.2">
      <c r="B9509" s="11"/>
    </row>
    <row r="9510" spans="2:2" x14ac:dyDescent="0.2">
      <c r="B9510" s="11"/>
    </row>
    <row r="9511" spans="2:2" x14ac:dyDescent="0.2">
      <c r="B9511" s="11"/>
    </row>
    <row r="9512" spans="2:2" x14ac:dyDescent="0.2">
      <c r="B9512" s="11"/>
    </row>
    <row r="9513" spans="2:2" x14ac:dyDescent="0.2">
      <c r="B9513" s="11"/>
    </row>
    <row r="9514" spans="2:2" x14ac:dyDescent="0.2">
      <c r="B9514" s="11"/>
    </row>
    <row r="9515" spans="2:2" x14ac:dyDescent="0.2">
      <c r="B9515" s="11"/>
    </row>
    <row r="9516" spans="2:2" x14ac:dyDescent="0.2">
      <c r="B9516" s="11"/>
    </row>
    <row r="9517" spans="2:2" x14ac:dyDescent="0.2">
      <c r="B9517" s="11"/>
    </row>
    <row r="9518" spans="2:2" x14ac:dyDescent="0.2">
      <c r="B9518" s="11"/>
    </row>
    <row r="9519" spans="2:2" x14ac:dyDescent="0.2">
      <c r="B9519" s="11"/>
    </row>
    <row r="9520" spans="2:2" x14ac:dyDescent="0.2">
      <c r="B9520" s="11"/>
    </row>
    <row r="9521" spans="2:2" x14ac:dyDescent="0.2">
      <c r="B9521" s="11"/>
    </row>
    <row r="9522" spans="2:2" x14ac:dyDescent="0.2">
      <c r="B9522" s="11"/>
    </row>
    <row r="9523" spans="2:2" x14ac:dyDescent="0.2">
      <c r="B9523" s="11"/>
    </row>
    <row r="9524" spans="2:2" x14ac:dyDescent="0.2">
      <c r="B9524" s="11"/>
    </row>
    <row r="9525" spans="2:2" x14ac:dyDescent="0.2">
      <c r="B9525" s="11"/>
    </row>
    <row r="9526" spans="2:2" x14ac:dyDescent="0.2">
      <c r="B9526" s="11"/>
    </row>
    <row r="9527" spans="2:2" x14ac:dyDescent="0.2">
      <c r="B9527" s="11"/>
    </row>
    <row r="9528" spans="2:2" x14ac:dyDescent="0.2">
      <c r="B9528" s="11"/>
    </row>
    <row r="9529" spans="2:2" x14ac:dyDescent="0.2">
      <c r="B9529" s="11"/>
    </row>
    <row r="9530" spans="2:2" x14ac:dyDescent="0.2">
      <c r="B9530" s="11"/>
    </row>
    <row r="9531" spans="2:2" x14ac:dyDescent="0.2">
      <c r="B9531" s="11"/>
    </row>
    <row r="9532" spans="2:2" x14ac:dyDescent="0.2">
      <c r="B9532" s="11"/>
    </row>
    <row r="9533" spans="2:2" x14ac:dyDescent="0.2">
      <c r="B9533" s="11"/>
    </row>
    <row r="9534" spans="2:2" x14ac:dyDescent="0.2">
      <c r="B9534" s="11"/>
    </row>
    <row r="9535" spans="2:2" x14ac:dyDescent="0.2">
      <c r="B9535" s="11"/>
    </row>
    <row r="9536" spans="2:2" x14ac:dyDescent="0.2">
      <c r="B9536" s="11"/>
    </row>
    <row r="9537" spans="2:2" x14ac:dyDescent="0.2">
      <c r="B9537" s="11"/>
    </row>
    <row r="9538" spans="2:2" x14ac:dyDescent="0.2">
      <c r="B9538" s="11"/>
    </row>
    <row r="9539" spans="2:2" x14ac:dyDescent="0.2">
      <c r="B9539" s="11"/>
    </row>
    <row r="9540" spans="2:2" x14ac:dyDescent="0.2">
      <c r="B9540" s="11"/>
    </row>
    <row r="9541" spans="2:2" x14ac:dyDescent="0.2">
      <c r="B9541" s="11"/>
    </row>
    <row r="9542" spans="2:2" x14ac:dyDescent="0.2">
      <c r="B9542" s="11"/>
    </row>
    <row r="9543" spans="2:2" x14ac:dyDescent="0.2">
      <c r="B9543" s="11"/>
    </row>
    <row r="9544" spans="2:2" x14ac:dyDescent="0.2">
      <c r="B9544" s="11"/>
    </row>
    <row r="9545" spans="2:2" x14ac:dyDescent="0.2">
      <c r="B9545" s="11"/>
    </row>
    <row r="9546" spans="2:2" x14ac:dyDescent="0.2">
      <c r="B9546" s="11"/>
    </row>
    <row r="9547" spans="2:2" x14ac:dyDescent="0.2">
      <c r="B9547" s="11"/>
    </row>
    <row r="9548" spans="2:2" x14ac:dyDescent="0.2">
      <c r="B9548" s="11"/>
    </row>
    <row r="9549" spans="2:2" x14ac:dyDescent="0.2">
      <c r="B9549" s="11"/>
    </row>
    <row r="9550" spans="2:2" x14ac:dyDescent="0.2">
      <c r="B9550" s="11"/>
    </row>
    <row r="9551" spans="2:2" x14ac:dyDescent="0.2">
      <c r="B9551" s="11"/>
    </row>
    <row r="9552" spans="2:2" x14ac:dyDescent="0.2">
      <c r="B9552" s="11"/>
    </row>
    <row r="9553" spans="2:2" x14ac:dyDescent="0.2">
      <c r="B9553" s="11"/>
    </row>
    <row r="9554" spans="2:2" x14ac:dyDescent="0.2">
      <c r="B9554" s="11"/>
    </row>
    <row r="9555" spans="2:2" x14ac:dyDescent="0.2">
      <c r="B9555" s="11"/>
    </row>
    <row r="9556" spans="2:2" x14ac:dyDescent="0.2">
      <c r="B9556" s="11"/>
    </row>
    <row r="9557" spans="2:2" x14ac:dyDescent="0.2">
      <c r="B9557" s="11"/>
    </row>
    <row r="9558" spans="2:2" x14ac:dyDescent="0.2">
      <c r="B9558" s="11"/>
    </row>
    <row r="9559" spans="2:2" x14ac:dyDescent="0.2">
      <c r="B9559" s="11"/>
    </row>
    <row r="9560" spans="2:2" x14ac:dyDescent="0.2">
      <c r="B9560" s="11"/>
    </row>
    <row r="9561" spans="2:2" x14ac:dyDescent="0.2">
      <c r="B9561" s="11"/>
    </row>
    <row r="9562" spans="2:2" x14ac:dyDescent="0.2">
      <c r="B9562" s="11"/>
    </row>
    <row r="9563" spans="2:2" x14ac:dyDescent="0.2">
      <c r="B9563" s="11"/>
    </row>
    <row r="9564" spans="2:2" x14ac:dyDescent="0.2">
      <c r="B9564" s="11"/>
    </row>
    <row r="9565" spans="2:2" x14ac:dyDescent="0.2">
      <c r="B9565" s="11"/>
    </row>
    <row r="9566" spans="2:2" x14ac:dyDescent="0.2">
      <c r="B9566" s="11"/>
    </row>
    <row r="9567" spans="2:2" x14ac:dyDescent="0.2">
      <c r="B9567" s="11"/>
    </row>
    <row r="9568" spans="2:2" x14ac:dyDescent="0.2">
      <c r="B9568" s="11"/>
    </row>
    <row r="9569" spans="2:2" x14ac:dyDescent="0.2">
      <c r="B9569" s="11"/>
    </row>
    <row r="9570" spans="2:2" x14ac:dyDescent="0.2">
      <c r="B9570" s="11"/>
    </row>
    <row r="9571" spans="2:2" x14ac:dyDescent="0.2">
      <c r="B9571" s="11"/>
    </row>
    <row r="9572" spans="2:2" x14ac:dyDescent="0.2">
      <c r="B9572" s="11"/>
    </row>
    <row r="9573" spans="2:2" x14ac:dyDescent="0.2">
      <c r="B9573" s="11"/>
    </row>
    <row r="9574" spans="2:2" x14ac:dyDescent="0.2">
      <c r="B9574" s="11"/>
    </row>
    <row r="9575" spans="2:2" x14ac:dyDescent="0.2">
      <c r="B9575" s="11"/>
    </row>
    <row r="9576" spans="2:2" x14ac:dyDescent="0.2">
      <c r="B9576" s="11"/>
    </row>
    <row r="9577" spans="2:2" x14ac:dyDescent="0.2">
      <c r="B9577" s="11"/>
    </row>
    <row r="9578" spans="2:2" x14ac:dyDescent="0.2">
      <c r="B9578" s="11"/>
    </row>
    <row r="9579" spans="2:2" x14ac:dyDescent="0.2">
      <c r="B9579" s="11"/>
    </row>
    <row r="9580" spans="2:2" x14ac:dyDescent="0.2">
      <c r="B9580" s="11"/>
    </row>
    <row r="9581" spans="2:2" x14ac:dyDescent="0.2">
      <c r="B9581" s="11"/>
    </row>
    <row r="9582" spans="2:2" x14ac:dyDescent="0.2">
      <c r="B9582" s="11"/>
    </row>
    <row r="9583" spans="2:2" x14ac:dyDescent="0.2">
      <c r="B9583" s="11"/>
    </row>
    <row r="9584" spans="2:2" x14ac:dyDescent="0.2">
      <c r="B9584" s="11"/>
    </row>
    <row r="9585" spans="2:2" x14ac:dyDescent="0.2">
      <c r="B9585" s="11"/>
    </row>
    <row r="9586" spans="2:2" x14ac:dyDescent="0.2">
      <c r="B9586" s="11"/>
    </row>
    <row r="9587" spans="2:2" x14ac:dyDescent="0.2">
      <c r="B9587" s="11"/>
    </row>
    <row r="9588" spans="2:2" x14ac:dyDescent="0.2">
      <c r="B9588" s="11"/>
    </row>
    <row r="9589" spans="2:2" x14ac:dyDescent="0.2">
      <c r="B9589" s="11"/>
    </row>
    <row r="9590" spans="2:2" x14ac:dyDescent="0.2">
      <c r="B9590" s="11"/>
    </row>
    <row r="9591" spans="2:2" x14ac:dyDescent="0.2">
      <c r="B9591" s="11"/>
    </row>
    <row r="9592" spans="2:2" x14ac:dyDescent="0.2">
      <c r="B9592" s="11"/>
    </row>
    <row r="9593" spans="2:2" x14ac:dyDescent="0.2">
      <c r="B9593" s="11"/>
    </row>
    <row r="9594" spans="2:2" x14ac:dyDescent="0.2">
      <c r="B9594" s="11"/>
    </row>
    <row r="9595" spans="2:2" x14ac:dyDescent="0.2">
      <c r="B9595" s="11"/>
    </row>
    <row r="9596" spans="2:2" x14ac:dyDescent="0.2">
      <c r="B9596" s="11"/>
    </row>
    <row r="9597" spans="2:2" x14ac:dyDescent="0.2">
      <c r="B9597" s="11"/>
    </row>
    <row r="9598" spans="2:2" x14ac:dyDescent="0.2">
      <c r="B9598" s="11"/>
    </row>
    <row r="9599" spans="2:2" x14ac:dyDescent="0.2">
      <c r="B9599" s="11"/>
    </row>
    <row r="9600" spans="2:2" x14ac:dyDescent="0.2">
      <c r="B9600" s="11"/>
    </row>
    <row r="9601" spans="2:2" x14ac:dyDescent="0.2">
      <c r="B9601" s="11"/>
    </row>
    <row r="9602" spans="2:2" x14ac:dyDescent="0.2">
      <c r="B9602" s="11"/>
    </row>
    <row r="9603" spans="2:2" x14ac:dyDescent="0.2">
      <c r="B9603" s="11"/>
    </row>
    <row r="9604" spans="2:2" x14ac:dyDescent="0.2">
      <c r="B9604" s="11"/>
    </row>
    <row r="9605" spans="2:2" x14ac:dyDescent="0.2">
      <c r="B9605" s="11"/>
    </row>
    <row r="9606" spans="2:2" x14ac:dyDescent="0.2">
      <c r="B9606" s="11"/>
    </row>
    <row r="9607" spans="2:2" x14ac:dyDescent="0.2">
      <c r="B9607" s="11"/>
    </row>
    <row r="9608" spans="2:2" x14ac:dyDescent="0.2">
      <c r="B9608" s="11"/>
    </row>
    <row r="9609" spans="2:2" x14ac:dyDescent="0.2">
      <c r="B9609" s="11"/>
    </row>
    <row r="9610" spans="2:2" x14ac:dyDescent="0.2">
      <c r="B9610" s="11"/>
    </row>
    <row r="9611" spans="2:2" x14ac:dyDescent="0.2">
      <c r="B9611" s="11"/>
    </row>
    <row r="9612" spans="2:2" x14ac:dyDescent="0.2">
      <c r="B9612" s="11"/>
    </row>
    <row r="9613" spans="2:2" x14ac:dyDescent="0.2">
      <c r="B9613" s="11"/>
    </row>
    <row r="9614" spans="2:2" x14ac:dyDescent="0.2">
      <c r="B9614" s="11"/>
    </row>
    <row r="9615" spans="2:2" x14ac:dyDescent="0.2">
      <c r="B9615" s="11"/>
    </row>
    <row r="9616" spans="2:2" x14ac:dyDescent="0.2">
      <c r="B9616" s="11"/>
    </row>
    <row r="9617" spans="2:2" x14ac:dyDescent="0.2">
      <c r="B9617" s="11"/>
    </row>
    <row r="9618" spans="2:2" x14ac:dyDescent="0.2">
      <c r="B9618" s="11"/>
    </row>
    <row r="9619" spans="2:2" x14ac:dyDescent="0.2">
      <c r="B9619" s="11"/>
    </row>
    <row r="9620" spans="2:2" x14ac:dyDescent="0.2">
      <c r="B9620" s="11"/>
    </row>
    <row r="9621" spans="2:2" x14ac:dyDescent="0.2">
      <c r="B9621" s="11"/>
    </row>
    <row r="9622" spans="2:2" x14ac:dyDescent="0.2">
      <c r="B9622" s="11"/>
    </row>
    <row r="9623" spans="2:2" x14ac:dyDescent="0.2">
      <c r="B9623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0D7A-A6D8-466C-B941-05EFD77A5F36}">
  <sheetPr codeName="Sheet5">
    <tabColor rgb="FFFF0000"/>
  </sheetPr>
  <dimension ref="A1:BB603"/>
  <sheetViews>
    <sheetView tabSelected="1" workbookViewId="0">
      <pane xSplit="1" ySplit="1" topLeftCell="AF229" activePane="bottomRight" state="frozen"/>
      <selection pane="topRight" activeCell="B1" sqref="B1"/>
      <selection pane="bottomLeft" activeCell="A2" sqref="A2"/>
      <selection pane="bottomRight" activeCell="AO254" sqref="AO254"/>
    </sheetView>
  </sheetViews>
  <sheetFormatPr defaultRowHeight="15" x14ac:dyDescent="0.25"/>
  <cols>
    <col min="1" max="1" width="10.7109375" bestFit="1" customWidth="1"/>
    <col min="2" max="2" width="8.85546875" customWidth="1"/>
    <col min="3" max="25" width="10" customWidth="1"/>
  </cols>
  <sheetData>
    <row r="1" spans="1:54" s="31" customFormat="1" ht="18" customHeight="1" x14ac:dyDescent="0.25">
      <c r="B1" s="32" t="s">
        <v>361</v>
      </c>
      <c r="C1" s="32" t="s">
        <v>379</v>
      </c>
      <c r="D1" s="32" t="s">
        <v>380</v>
      </c>
      <c r="E1" s="32" t="s">
        <v>381</v>
      </c>
      <c r="F1" s="32" t="s">
        <v>382</v>
      </c>
      <c r="G1" s="32" t="s">
        <v>383</v>
      </c>
      <c r="H1" s="32" t="s">
        <v>378</v>
      </c>
      <c r="I1" s="30" t="s">
        <v>374</v>
      </c>
      <c r="J1" s="30" t="s">
        <v>375</v>
      </c>
      <c r="K1" s="30" t="s">
        <v>376</v>
      </c>
      <c r="L1" s="30" t="s">
        <v>550</v>
      </c>
      <c r="M1" t="s">
        <v>364</v>
      </c>
      <c r="N1" t="s">
        <v>365</v>
      </c>
      <c r="O1" t="s">
        <v>366</v>
      </c>
      <c r="P1" t="s">
        <v>362</v>
      </c>
      <c r="Q1" t="s">
        <v>367</v>
      </c>
      <c r="R1" t="s">
        <v>368</v>
      </c>
      <c r="S1" t="s">
        <v>507</v>
      </c>
      <c r="T1" t="s">
        <v>508</v>
      </c>
      <c r="U1" t="s">
        <v>511</v>
      </c>
      <c r="V1" t="s">
        <v>369</v>
      </c>
      <c r="W1" t="s">
        <v>370</v>
      </c>
      <c r="X1" t="s">
        <v>371</v>
      </c>
      <c r="Y1" t="s">
        <v>435</v>
      </c>
      <c r="Z1" t="s">
        <v>561</v>
      </c>
      <c r="AA1" t="s">
        <v>562</v>
      </c>
      <c r="AB1" t="s">
        <v>512</v>
      </c>
      <c r="AC1" t="s">
        <v>513</v>
      </c>
      <c r="AD1" t="s">
        <v>519</v>
      </c>
      <c r="AE1" t="s">
        <v>392</v>
      </c>
      <c r="AF1" t="s">
        <v>514</v>
      </c>
      <c r="AG1" t="s">
        <v>386</v>
      </c>
      <c r="AH1" t="s">
        <v>515</v>
      </c>
      <c r="AI1" t="s">
        <v>363</v>
      </c>
      <c r="AJ1" t="s">
        <v>373</v>
      </c>
      <c r="AK1" t="s">
        <v>516</v>
      </c>
      <c r="AL1" t="s">
        <v>517</v>
      </c>
      <c r="AM1" t="s">
        <v>518</v>
      </c>
      <c r="AN1" t="s">
        <v>520</v>
      </c>
      <c r="AO1" t="s">
        <v>372</v>
      </c>
      <c r="AP1" t="s">
        <v>521</v>
      </c>
      <c r="AQ1" t="s">
        <v>522</v>
      </c>
      <c r="AR1" t="s">
        <v>523</v>
      </c>
      <c r="AS1" t="s">
        <v>395</v>
      </c>
      <c r="AT1" t="s">
        <v>524</v>
      </c>
      <c r="AU1" t="s">
        <v>525</v>
      </c>
      <c r="AV1" t="s">
        <v>526</v>
      </c>
      <c r="AW1" t="s">
        <v>527</v>
      </c>
      <c r="AX1" t="s">
        <v>528</v>
      </c>
      <c r="AY1" t="s">
        <v>529</v>
      </c>
      <c r="AZ1" t="s">
        <v>530</v>
      </c>
      <c r="BA1" t="s">
        <v>531</v>
      </c>
      <c r="BB1"/>
    </row>
    <row r="2" spans="1:54" x14ac:dyDescent="0.25">
      <c r="A2" s="2">
        <v>36556</v>
      </c>
      <c r="B2" t="str">
        <f>IF(ISNUMBER(INDEX(Haver_Q!$B$1:$BD$1000,MATCH(data!$A2,Haver_Q!$B$1:$B$1000,0),MATCH(data!B$1,Haver_Q!$B$1:$BD$1,0))),100*INDEX(Haver_Q!$B$1:$BD$1000,MATCH(data!$A2,Haver_Q!$B$1:$B$1000,0),MATCH(data!B$1,Haver_Q!$B$1:$BD$1,0)),"na")</f>
        <v>na</v>
      </c>
      <c r="C2" t="str">
        <f>IF(ISNUMBER(INDEX(Haver_Q!$B$1:$BD$1000,MATCH(data!$A2,Haver_Q!$B$1:$B$1000,0),MATCH(data!C$1,Haver_Q!$B$1:$BD$1,0))),100*INDEX(Haver_Q!$B$1:$BD$1000,MATCH(data!$A2,Haver_Q!$B$1:$B$1000,0),MATCH(data!C$1,Haver_Q!$B$1:$BD$1,0)),"na")</f>
        <v>na</v>
      </c>
      <c r="D2" t="str">
        <f>IF(ISNUMBER(INDEX(Haver_Q!$B$1:$BD$1000,MATCH(data!$A2,Haver_Q!$B$1:$B$1000,0),MATCH(data!D$1,Haver_Q!$B$1:$BD$1,0))),100*INDEX(Haver_Q!$B$1:$BD$1000,MATCH(data!$A2,Haver_Q!$B$1:$B$1000,0),MATCH(data!D$1,Haver_Q!$B$1:$BD$1,0)),"na")</f>
        <v>na</v>
      </c>
      <c r="E2" t="str">
        <f>IF(ISNUMBER(INDEX(Haver_Q!$B$1:$BD$1000,MATCH(data!$A2,Haver_Q!$B$1:$B$1000,0),MATCH(data!E$1,Haver_Q!$B$1:$BD$1,0))),100*INDEX(Haver_Q!$B$1:$BD$1000,MATCH(data!$A2,Haver_Q!$B$1:$B$1000,0),MATCH(data!E$1,Haver_Q!$B$1:$BD$1,0)),"na")</f>
        <v>na</v>
      </c>
      <c r="F2" t="str">
        <f>IF(ISNUMBER(INDEX(Haver_Q!$B$1:$BD$1000,MATCH(data!$A2,Haver_Q!$B$1:$B$1000,0),MATCH(data!F$1,Haver_Q!$B$1:$BD$1,0))),100*INDEX(Haver_Q!$B$1:$BD$1000,MATCH(data!$A2,Haver_Q!$B$1:$B$1000,0),MATCH(data!F$1,Haver_Q!$B$1:$BD$1,0)),"na")</f>
        <v>na</v>
      </c>
      <c r="G2" t="str">
        <f>IF(ISNUMBER(INDEX(Haver_Q!$B$1:$BD$1000,MATCH(data!$A2,Haver_Q!$B$1:$B$1000,0),MATCH(data!G$1,Haver_Q!$B$1:$BD$1,0))),100*INDEX(Haver_Q!$B$1:$BD$1000,MATCH(data!$A2,Haver_Q!$B$1:$B$1000,0),MATCH(data!G$1,Haver_Q!$B$1:$BD$1,0)),"na")</f>
        <v>na</v>
      </c>
      <c r="H2" t="str">
        <f>IF(ISNUMBER(INDEX(Haver_Q!$B$1:$BD$1000,MATCH(data!$A2,Haver_Q!$B$1:$B$1000,0),MATCH(data!H$1,Haver_Q!$B$1:$BD$1,0))),100*INDEX(Haver_Q!$B$1:$BD$1000,MATCH(data!$A2,Haver_Q!$B$1:$B$1000,0),MATCH(data!H$1,Haver_Q!$B$1:$BD$1,0)),"na")</f>
        <v>na</v>
      </c>
      <c r="I2" s="3">
        <f>IF(ISNUMBER(Bloomberg_m!C18),Bloomberg_m!C18,"na")</f>
        <v>1371</v>
      </c>
      <c r="J2" s="3" t="str">
        <f>IF(ISNUMBER(Bloomberg_m!D18),Bloomberg_m!D18,"na")</f>
        <v>na</v>
      </c>
      <c r="K2" s="3" t="str">
        <f>IF(ISNUMBER(Bloomberg_m!E18),Bloomberg_m!E18,"na")</f>
        <v>na</v>
      </c>
      <c r="L2" s="3">
        <f>IF(ISNUMBER(Bloomberg_m!L18),Bloomberg_m!L18,"na")</f>
        <v>27.27</v>
      </c>
      <c r="M2" t="str">
        <f>IF(ISNUMBER(INDEX(Haver_M!$B$1:$ZN$1000,MATCH(data!$A2,Haver_M!$B$1:$B$1000,0),MATCH(data!M$1,Haver_M!$B$1:$ZN$1,0))),INDEX(Haver_M!$B$1:$ZN$1000,MATCH(data!$A2,Haver_M!$B$1:$B$1000,0),MATCH(data!M$1,Haver_M!$B$1:$ZN$1,0)),"na")</f>
        <v>na</v>
      </c>
      <c r="N2" t="str">
        <f>IF(ISNUMBER(INDEX(Haver_M!$B$1:$ZN$1000,MATCH(data!$A2,Haver_M!$B$1:$B$1000,0),MATCH(data!N$1,Haver_M!$B$1:$ZN$1,0))),INDEX(Haver_M!$B$1:$ZN$1000,MATCH(data!$A2,Haver_M!$B$1:$B$1000,0),MATCH(data!N$1,Haver_M!$B$1:$ZN$1,0)),"na")</f>
        <v>na</v>
      </c>
      <c r="O2">
        <f>IF(ISNUMBER(INDEX(Haver_M!$B$1:$ZN$1000,MATCH(data!$A2,Haver_M!$B$1:$B$1000,0),MATCH(data!O$1,Haver_M!$B$1:$ZN$1,0))),INDEX(Haver_M!$B$1:$ZN$1000,MATCH(data!$A2,Haver_M!$B$1:$B$1000,0),MATCH(data!O$1,Haver_M!$B$1:$ZN$1,0)),"na")</f>
        <v>113.55455000000001</v>
      </c>
      <c r="P2">
        <f>IF(ISNUMBER(INDEX(Haver_M!$B$1:$ZN$1000,MATCH(data!$A2,Haver_M!$B$1:$B$1000,0),MATCH(data!P$1,Haver_M!$B$1:$ZN$1,0))),INDEX(Haver_M!$B$1:$ZN$1000,MATCH(data!$A2,Haver_M!$B$1:$B$1000,0),MATCH(data!P$1,Haver_M!$B$1:$ZN$1,0)),"na")</f>
        <v>44.653300000000002</v>
      </c>
      <c r="Q2">
        <f>IF(ISNUMBER(INDEX(Haver_M!$B$1:$ZN$1000,MATCH(data!$A2,Haver_M!$B$1:$B$1000,0),MATCH(data!Q$1,Haver_M!$B$1:$ZN$1,0))),INDEX(Haver_M!$B$1:$ZN$1000,MATCH(data!$A2,Haver_M!$B$1:$B$1000,0),MATCH(data!Q$1,Haver_M!$B$1:$ZN$1,0)),"na")</f>
        <v>48.932000000000002</v>
      </c>
      <c r="R2">
        <f>IF(ISNUMBER(INDEX(Haver_M!$B$1:$ZN$1000,MATCH(data!$A2,Haver_M!$B$1:$B$1000,0),MATCH(data!R$1,Haver_M!$B$1:$ZN$1,0))),INDEX(Haver_M!$B$1:$ZN$1000,MATCH(data!$A2,Haver_M!$B$1:$B$1000,0),MATCH(data!R$1,Haver_M!$B$1:$ZN$1,0)),"na")</f>
        <v>89.346599999999995</v>
      </c>
      <c r="S2">
        <f>IF(ISNUMBER(INDEX(Haver_M!$B$1:$ZN$1000,MATCH(data!$A2,Haver_M!$B$1:$B$1000,0),MATCH(data!S$1,Haver_M!$B$1:$ZN$1,0))),INDEX(Haver_M!$B$1:$ZN$1000,MATCH(data!$A2,Haver_M!$B$1:$B$1000,0),MATCH(data!S$1,Haver_M!$B$1:$ZN$1,0)),"na")</f>
        <v>101.1315</v>
      </c>
      <c r="T2">
        <f>IF(ISNUMBER(INDEX(Haver_M!$B$1:$ZN$1000,MATCH(data!$A2,Haver_M!$B$1:$B$1000,0),MATCH(data!T$1,Haver_M!$B$1:$ZN$1,0))),INDEX(Haver_M!$B$1:$ZN$1000,MATCH(data!$A2,Haver_M!$B$1:$B$1000,0),MATCH(data!T$1,Haver_M!$B$1:$ZN$1,0)),"na")</f>
        <v>53.8108</v>
      </c>
      <c r="U2">
        <f>IF(ISNUMBER(INDEX(Haver_M!$B$1:$ZN$1000,MATCH(data!$A2,Haver_M!$B$1:$B$1000,0),MATCH(data!U$1,Haver_M!$B$1:$ZN$1,0))),INDEX(Haver_M!$B$1:$ZN$1000,MATCH(data!$A2,Haver_M!$B$1:$B$1000,0),MATCH(data!U$1,Haver_M!$B$1:$ZN$1,0)),"na")</f>
        <v>85.328599999999994</v>
      </c>
      <c r="V2">
        <f>IF(ISNUMBER(INDEX(Haver_M!$B$1:$ZN$1000,MATCH(data!$A2,Haver_M!$B$1:$B$1000,0),MATCH(data!V$1,Haver_M!$B$1:$ZN$1,0))),INDEX(Haver_M!$B$1:$ZN$1000,MATCH(data!$A2,Haver_M!$B$1:$B$1000,0),MATCH(data!V$1,Haver_M!$B$1:$ZN$1,0)),"na")</f>
        <v>89.968500000000006</v>
      </c>
      <c r="W2" t="str">
        <f>IF(ISNUMBER(INDEX(Haver_M!$B$1:$ZN$1000,MATCH(data!$A2,Haver_M!$B$1:$B$1000,0),MATCH(data!W$1,Haver_M!$B$1:$ZN$1,0))),INDEX(Haver_M!$B$1:$ZN$1000,MATCH(data!$A2,Haver_M!$B$1:$B$1000,0),MATCH(data!W$1,Haver_M!$B$1:$ZN$1,0)),"na")</f>
        <v>na</v>
      </c>
      <c r="X2" t="str">
        <f>IF(ISNUMBER(INDEX(Haver_M!$B$1:$ZN$1000,MATCH(data!$A2,Haver_M!$B$1:$B$1000,0),MATCH(data!X$1,Haver_M!$B$1:$ZN$1,0))),INDEX(Haver_M!$B$1:$ZN$1000,MATCH(data!$A2,Haver_M!$B$1:$B$1000,0),MATCH(data!X$1,Haver_M!$B$1:$ZN$1,0)),"na")</f>
        <v>na</v>
      </c>
      <c r="Y2">
        <f>IF(ISNUMBER(INDEX(Haver_M!$B$1:$ZN$1000,MATCH(data!$A2,Haver_M!$B$1:$B$1000,0),MATCH(data!Y$1,Haver_M!$B$1:$ZN$1,0))),INDEX(Haver_M!$B$1:$ZN$1000,MATCH(data!$A2,Haver_M!$B$1:$B$1000,0),MATCH(data!Y$1,Haver_M!$B$1:$ZN$1,0)),"na")</f>
        <v>101.39</v>
      </c>
      <c r="Z2">
        <f>IF(ISNUMBER(INDEX(Haver_M!$B$1:$ZN$1000,MATCH(data!$A2,Haver_M!$B$1:$B$1000,0),MATCH(data!Z$1,Haver_M!$B$1:$ZN$1,0))),INDEX(Haver_M!$B$1:$ZN$1000,MATCH(data!$A2,Haver_M!$B$1:$B$1000,0),MATCH(data!Z$1,Haver_M!$B$1:$ZN$1,0)),"na")</f>
        <v>73.528800000000004</v>
      </c>
      <c r="AA2" t="str">
        <f>IF(ISNUMBER(INDEX(Haver_M!$B$1:$ZN$1000,MATCH(data!$A2,Haver_M!$B$1:$B$1000,0),MATCH(data!AA$1,Haver_M!$B$1:$ZN$1,0))),INDEX(Haver_M!$B$1:$ZN$1000,MATCH(data!$A2,Haver_M!$B$1:$B$1000,0),MATCH(data!AA$1,Haver_M!$B$1:$ZN$1,0)),"na")</f>
        <v>na</v>
      </c>
      <c r="AB2">
        <f>IF(ISNUMBER(INDEX(Haver_M!$B$1:$ZN$1000,MATCH(data!$A2,Haver_M!$B$1:$B$1000,0),MATCH(data!AB$1,Haver_M!$B$1:$ZN$1,0))),INDEX(Haver_M!$B$1:$ZN$1000,MATCH(data!$A2,Haver_M!$B$1:$B$1000,0),MATCH(data!AB$1,Haver_M!$B$1:$ZN$1,0)),"na")</f>
        <v>13046</v>
      </c>
      <c r="AC2">
        <f>IF(ISNUMBER(INDEX(Haver_M!$B$1:$ZN$1000,MATCH(data!$A2,Haver_M!$B$1:$B$1000,0),MATCH(data!AC$1,Haver_M!$B$1:$ZN$1,0))),INDEX(Haver_M!$B$1:$ZN$1000,MATCH(data!$A2,Haver_M!$B$1:$B$1000,0),MATCH(data!AC$1,Haver_M!$B$1:$ZN$1,0)),"na")</f>
        <v>13621.5</v>
      </c>
      <c r="AD2">
        <f>IF(ISNUMBER(INDEX(Haver_M!$B$1:$ZN$1000,MATCH(data!$A2,Haver_M!$B$1:$B$1000,0),MATCH(data!AD$1,Haver_M!$B$1:$ZN$1,0))),INDEX(Haver_M!$B$1:$ZN$1000,MATCH(data!$A2,Haver_M!$B$1:$B$1000,0),MATCH(data!AD$1,Haver_M!$B$1:$ZN$1,0)),"na")</f>
        <v>101.2</v>
      </c>
      <c r="AE2" t="str">
        <f>IF(ISNUMBER(INDEX(Haver_M!$B$1:$ZN$1000,MATCH(data!$A2,Haver_M!$B$1:$B$1000,0),MATCH(data!AE$1,Haver_M!$B$1:$ZN$1,0))),INDEX(Haver_M!$B$1:$ZN$1000,MATCH(data!$A2,Haver_M!$B$1:$B$1000,0),MATCH(data!AE$1,Haver_M!$B$1:$ZN$1,0)),"na")</f>
        <v>na</v>
      </c>
      <c r="AF2" t="str">
        <f>IF(ISNUMBER(INDEX(Haver_M!$B$1:$ZN$1000,MATCH(data!$A2,Haver_M!$B$1:$B$1000,0),MATCH(data!AF$1,Haver_M!$B$1:$ZN$1,0))),INDEX(Haver_M!$B$1:$ZN$1000,MATCH(data!$A2,Haver_M!$B$1:$B$1000,0),MATCH(data!AF$1,Haver_M!$B$1:$ZN$1,0)),"na")</f>
        <v>na</v>
      </c>
      <c r="AG2" t="str">
        <f>IF(ISNUMBER(INDEX(Haver_M!$B$1:$ZN$1000,MATCH(data!$A2,Haver_M!$B$1:$B$1000,0),MATCH(data!AG$1,Haver_M!$B$1:$ZN$1,0))),INDEX(Haver_M!$B$1:$ZN$1000,MATCH(data!$A2,Haver_M!$B$1:$B$1000,0),MATCH(data!AG$1,Haver_M!$B$1:$ZN$1,0)),"na")</f>
        <v>na</v>
      </c>
      <c r="AH2" t="str">
        <f>IF(ISNUMBER(INDEX(Haver_M!$B$1:$ZN$1000,MATCH(data!$A2,Haver_M!$B$1:$B$1000,0),MATCH(data!AH$1,Haver_M!$B$1:$ZN$1,0))),INDEX(Haver_M!$B$1:$ZN$1000,MATCH(data!$A2,Haver_M!$B$1:$B$1000,0),MATCH(data!AH$1,Haver_M!$B$1:$ZN$1,0)),"na")</f>
        <v>na</v>
      </c>
      <c r="AI2" t="str">
        <f>IF(ISNUMBER(INDEX(Haver_M!$B$1:$ZN$1000,MATCH(data!$A2,Haver_M!$B$1:$B$1000,0),MATCH(data!AI$1,Haver_M!$B$1:$ZN$1,0))),INDEX(Haver_M!$B$1:$ZN$1000,MATCH(data!$A2,Haver_M!$B$1:$B$1000,0),MATCH(data!AI$1,Haver_M!$B$1:$ZN$1,0)),"na")</f>
        <v>na</v>
      </c>
      <c r="AJ2" t="str">
        <f>IF(ISNUMBER(INDEX(Haver_M!$B$1:$ZN$1000,MATCH(data!$A2,Haver_M!$B$1:$B$1000,0),MATCH(data!AJ$1,Haver_M!$B$1:$ZN$1,0))),INDEX(Haver_M!$B$1:$ZN$1000,MATCH(data!$A2,Haver_M!$B$1:$B$1000,0),MATCH(data!AJ$1,Haver_M!$B$1:$ZN$1,0)),"na")</f>
        <v>na</v>
      </c>
      <c r="AK2" t="str">
        <f>IF(ISNUMBER(INDEX(Haver_M!$B$1:$ZN$1000,MATCH(data!$A2,Haver_M!$B$1:$B$1000,0),MATCH(data!AK$1,Haver_M!$B$1:$ZN$1,0))),INDEX(Haver_M!$B$1:$ZN$1000,MATCH(data!$A2,Haver_M!$B$1:$B$1000,0),MATCH(data!AK$1,Haver_M!$B$1:$ZN$1,0)),"na")</f>
        <v>na</v>
      </c>
      <c r="AL2" t="str">
        <f>IF(ISNUMBER(INDEX(Haver_M!$B$1:$ZN$1000,MATCH(data!$A2,Haver_M!$B$1:$B$1000,0),MATCH(data!AL$1,Haver_M!$B$1:$ZN$1,0))),INDEX(Haver_M!$B$1:$ZN$1000,MATCH(data!$A2,Haver_M!$B$1:$B$1000,0),MATCH(data!AL$1,Haver_M!$B$1:$ZN$1,0)),"na")</f>
        <v>na</v>
      </c>
      <c r="AM2" t="str">
        <f>IF(ISNUMBER(INDEX(Haver_M!$B$1:$ZN$1000,MATCH(data!$A2,Haver_M!$B$1:$B$1000,0),MATCH(data!AM$1,Haver_M!$B$1:$ZN$1,0))),INDEX(Haver_M!$B$1:$ZN$1000,MATCH(data!$A2,Haver_M!$B$1:$B$1000,0),MATCH(data!AM$1,Haver_M!$B$1:$ZN$1,0)),"na")</f>
        <v>na</v>
      </c>
      <c r="AN2" t="str">
        <f>IF(ISNUMBER(INDEX(Haver_M!$B$1:$ZN$1000,MATCH(data!$A2,Haver_M!$B$1:$B$1000,0),MATCH(data!AN$1,Haver_M!$B$1:$ZN$1,0))),INDEX(Haver_M!$B$1:$ZN$1000,MATCH(data!$A2,Haver_M!$B$1:$B$1000,0),MATCH(data!AN$1,Haver_M!$B$1:$ZN$1,0)),"na")</f>
        <v>na</v>
      </c>
      <c r="AO2" t="str">
        <f>IF(ISNUMBER(INDEX(Haver_M!$B$1:$ZN$1000,MATCH(data!$A2,Haver_M!$B$1:$B$1000,0),MATCH(data!AO$1,Haver_M!$B$1:$ZN$1,0))),INDEX(Haver_M!$B$1:$ZN$1000,MATCH(data!$A2,Haver_M!$B$1:$B$1000,0),MATCH(data!AO$1,Haver_M!$B$1:$ZN$1,0)),"na")</f>
        <v>na</v>
      </c>
      <c r="AP2" t="str">
        <f>IF(ISNUMBER(INDEX(Haver_M!$B$1:$ZN$1000,MATCH(data!$A2,Haver_M!$B$1:$B$1000,0),MATCH(data!AP$1,Haver_M!$B$1:$ZN$1,0))),INDEX(Haver_M!$B$1:$ZN$1000,MATCH(data!$A2,Haver_M!$B$1:$B$1000,0),MATCH(data!AP$1,Haver_M!$B$1:$ZN$1,0)),"na")</f>
        <v>na</v>
      </c>
      <c r="AQ2" t="str">
        <f>IF(ISNUMBER(INDEX(Haver_M!$B$1:$ZN$1000,MATCH(data!$A2,Haver_M!$B$1:$B$1000,0),MATCH(data!AQ$1,Haver_M!$B$1:$ZN$1,0))),INDEX(Haver_M!$B$1:$ZN$1000,MATCH(data!$A2,Haver_M!$B$1:$B$1000,0),MATCH(data!AQ$1,Haver_M!$B$1:$ZN$1,0)),"na")</f>
        <v>na</v>
      </c>
      <c r="AR2" t="str">
        <f>IF(ISNUMBER(INDEX(Haver_M!$B$1:$ZN$1000,MATCH(data!$A2,Haver_M!$B$1:$B$1000,0),MATCH(data!AR$1,Haver_M!$B$1:$ZN$1,0))),INDEX(Haver_M!$B$1:$ZN$1000,MATCH(data!$A2,Haver_M!$B$1:$B$1000,0),MATCH(data!AR$1,Haver_M!$B$1:$ZN$1,0)),"na")</f>
        <v>na</v>
      </c>
      <c r="AS2">
        <f>IF(ISNUMBER(INDEX(Haver_M!$B$1:$ZN$1000,MATCH(data!$A2,Haver_M!$B$1:$B$1000,0),MATCH(data!AS$1,Haver_M!$B$1:$ZN$1,0))),INDEX(Haver_M!$B$1:$ZN$1000,MATCH(data!$A2,Haver_M!$B$1:$B$1000,0),MATCH(data!AS$1,Haver_M!$B$1:$ZN$1,0)),"na")</f>
        <v>7010.52</v>
      </c>
      <c r="AT2">
        <f>IF(ISNUMBER(INDEX(Haver_M!$B$1:$ZN$1000,MATCH(data!$A2,Haver_M!$B$1:$B$1000,0),MATCH(data!AT$1,Haver_M!$B$1:$ZN$1,0))),INDEX(Haver_M!$B$1:$ZN$1000,MATCH(data!$A2,Haver_M!$B$1:$B$1000,0),MATCH(data!AT$1,Haver_M!$B$1:$ZN$1,0)),"na")</f>
        <v>75.869</v>
      </c>
      <c r="AU2">
        <f>IF(ISNUMBER(INDEX(Haver_M!$B$1:$ZN$1000,MATCH(data!$A2,Haver_M!$B$1:$B$1000,0),MATCH(data!AU$1,Haver_M!$B$1:$ZN$1,0))),INDEX(Haver_M!$B$1:$ZN$1000,MATCH(data!$A2,Haver_M!$B$1:$B$1000,0),MATCH(data!AU$1,Haver_M!$B$1:$ZN$1,0)),"na")</f>
        <v>79.339849000000001</v>
      </c>
      <c r="AV2">
        <f>IF(ISNUMBER(INDEX(Haver_M!$B$1:$ZN$1000,MATCH(data!$A2,Haver_M!$B$1:$B$1000,0),MATCH(data!AV$1,Haver_M!$B$1:$ZN$1,0))),INDEX(Haver_M!$B$1:$ZN$1000,MATCH(data!$A2,Haver_M!$B$1:$B$1000,0),MATCH(data!AV$1,Haver_M!$B$1:$ZN$1,0)),"na")</f>
        <v>77.5</v>
      </c>
      <c r="AW2">
        <f>IF(ISNUMBER(INDEX(Haver_M!$B$1:$ZN$1000,MATCH(data!$A2,Haver_M!$B$1:$B$1000,0),MATCH(data!AW$1,Haver_M!$B$1:$ZN$1,0))),INDEX(Haver_M!$B$1:$ZN$1000,MATCH(data!$A2,Haver_M!$B$1:$B$1000,0),MATCH(data!AW$1,Haver_M!$B$1:$ZN$1,0)),"na")</f>
        <v>643302.8444862836</v>
      </c>
      <c r="AX2">
        <f>IF(ISNUMBER(INDEX(Haver_M!$B$1:$ZN$1000,MATCH(data!$A2,Haver_M!$B$1:$B$1000,0),MATCH(data!AX$1,Haver_M!$B$1:$ZN$1,0))),INDEX(Haver_M!$B$1:$ZN$1000,MATCH(data!$A2,Haver_M!$B$1:$B$1000,0),MATCH(data!AX$1,Haver_M!$B$1:$ZN$1,0)),"na")</f>
        <v>2964</v>
      </c>
      <c r="AY2">
        <f>IF(ISNUMBER(INDEX(Haver_M!$B$1:$ZN$1000,MATCH(data!$A2,Haver_M!$B$1:$B$1000,0),MATCH(data!AY$1,Haver_M!$B$1:$ZN$1,0))),INDEX(Haver_M!$B$1:$ZN$1000,MATCH(data!$A2,Haver_M!$B$1:$B$1000,0),MATCH(data!AY$1,Haver_M!$B$1:$ZN$1,0)),"na")</f>
        <v>1517</v>
      </c>
      <c r="AZ2" t="str">
        <f>IF(ISNUMBER(INDEX(Haver_M!$B$1:$ZN$1000,MATCH(data!$A2,Haver_M!$B$1:$B$1000,0),MATCH(data!AZ$1,Haver_M!$B$1:$ZN$1,0))),INDEX(Haver_M!$B$1:$ZN$1000,MATCH(data!$A2,Haver_M!$B$1:$B$1000,0),MATCH(data!AZ$1,Haver_M!$B$1:$ZN$1,0)),"na")</f>
        <v>na</v>
      </c>
      <c r="BA2">
        <f>IF(ISNUMBER(INDEX(Haver_M!$B$1:$ZN$1000,MATCH(data!$A2,Haver_M!$B$1:$B$1000,0),MATCH(data!BA$1,Haver_M!$B$1:$ZN$1,0))),INDEX(Haver_M!$B$1:$ZN$1000,MATCH(data!$A2,Haver_M!$B$1:$B$1000,0),MATCH(data!BA$1,Haver_M!$B$1:$ZN$1,0)),"na")</f>
        <v>129.33690584269155</v>
      </c>
      <c r="BB2" t="str">
        <f>IF(ISNUMBER(INDEX(Haver_M!$B$1:$ZN$1000,MATCH(data!$A2,Haver_M!$B$1:$B$1000,0),MATCH(data!BB$1,Haver_M!$B$1:$ZN$1,0))),INDEX(Haver_M!$B$1:$ZN$1000,MATCH(data!$A2,Haver_M!$B$1:$B$1000,0),MATCH(data!BB$1,Haver_M!$B$1:$ZN$1,0)),"")</f>
        <v/>
      </c>
    </row>
    <row r="3" spans="1:54" x14ac:dyDescent="0.25">
      <c r="A3" s="2">
        <v>36585</v>
      </c>
      <c r="B3" t="str">
        <f>IF(ISNUMBER(INDEX(Haver_Q!$B$1:$BD$1000,MATCH(data!$A3,Haver_Q!$B$1:$B$1000,0),MATCH(data!B$1,Haver_Q!$B$1:$BD$1,0))),100*INDEX(Haver_Q!$B$1:$BD$1000,MATCH(data!$A3,Haver_Q!$B$1:$B$1000,0),MATCH(data!B$1,Haver_Q!$B$1:$BD$1,0)),"na")</f>
        <v>na</v>
      </c>
      <c r="C3" t="str">
        <f>IF(ISNUMBER(INDEX(Haver_Q!$B$1:$BD$1000,MATCH(data!$A3,Haver_Q!$B$1:$B$1000,0),MATCH(data!C$1,Haver_Q!$B$1:$BD$1,0))),100*INDEX(Haver_Q!$B$1:$BD$1000,MATCH(data!$A3,Haver_Q!$B$1:$B$1000,0),MATCH(data!C$1,Haver_Q!$B$1:$BD$1,0)),"na")</f>
        <v>na</v>
      </c>
      <c r="D3" t="str">
        <f>IF(ISNUMBER(INDEX(Haver_Q!$B$1:$BD$1000,MATCH(data!$A3,Haver_Q!$B$1:$B$1000,0),MATCH(data!D$1,Haver_Q!$B$1:$BD$1,0))),100*INDEX(Haver_Q!$B$1:$BD$1000,MATCH(data!$A3,Haver_Q!$B$1:$B$1000,0),MATCH(data!D$1,Haver_Q!$B$1:$BD$1,0)),"na")</f>
        <v>na</v>
      </c>
      <c r="E3" t="str">
        <f>IF(ISNUMBER(INDEX(Haver_Q!$B$1:$BD$1000,MATCH(data!$A3,Haver_Q!$B$1:$B$1000,0),MATCH(data!E$1,Haver_Q!$B$1:$BD$1,0))),100*INDEX(Haver_Q!$B$1:$BD$1000,MATCH(data!$A3,Haver_Q!$B$1:$B$1000,0),MATCH(data!E$1,Haver_Q!$B$1:$BD$1,0)),"na")</f>
        <v>na</v>
      </c>
      <c r="F3" t="str">
        <f>IF(ISNUMBER(INDEX(Haver_Q!$B$1:$BD$1000,MATCH(data!$A3,Haver_Q!$B$1:$B$1000,0),MATCH(data!F$1,Haver_Q!$B$1:$BD$1,0))),100*INDEX(Haver_Q!$B$1:$BD$1000,MATCH(data!$A3,Haver_Q!$B$1:$B$1000,0),MATCH(data!F$1,Haver_Q!$B$1:$BD$1,0)),"na")</f>
        <v>na</v>
      </c>
      <c r="G3" t="str">
        <f>IF(ISNUMBER(INDEX(Haver_Q!$B$1:$BD$1000,MATCH(data!$A3,Haver_Q!$B$1:$B$1000,0),MATCH(data!G$1,Haver_Q!$B$1:$BD$1,0))),100*INDEX(Haver_Q!$B$1:$BD$1000,MATCH(data!$A3,Haver_Q!$B$1:$B$1000,0),MATCH(data!G$1,Haver_Q!$B$1:$BD$1,0)),"na")</f>
        <v>na</v>
      </c>
      <c r="H3" t="str">
        <f>IF(ISNUMBER(INDEX(Haver_Q!$B$1:$BD$1000,MATCH(data!$A3,Haver_Q!$B$1:$B$1000,0),MATCH(data!H$1,Haver_Q!$B$1:$BD$1,0))),100*INDEX(Haver_Q!$B$1:$BD$1000,MATCH(data!$A3,Haver_Q!$B$1:$B$1000,0),MATCH(data!H$1,Haver_Q!$B$1:$BD$1,0)),"na")</f>
        <v>na</v>
      </c>
      <c r="I3" s="3">
        <f>IF(ISNUMBER(Bloomberg_m!C19),Bloomberg_m!C19,"na")</f>
        <v>1393</v>
      </c>
      <c r="J3" s="3" t="str">
        <f>IF(ISNUMBER(Bloomberg_m!D19),Bloomberg_m!D19,"na")</f>
        <v>na</v>
      </c>
      <c r="K3" s="3" t="str">
        <f>IF(ISNUMBER(Bloomberg_m!E19),Bloomberg_m!E19,"na")</f>
        <v>na</v>
      </c>
      <c r="L3" s="3">
        <f>IF(ISNUMBER(Bloomberg_m!L19),Bloomberg_m!L19,"na")</f>
        <v>29.35</v>
      </c>
      <c r="M3" t="str">
        <f>IF(ISNUMBER(INDEX(Haver_M!$B$1:$ZN$1000,MATCH(data!$A3,Haver_M!$B$1:$B$1000,0),MATCH(data!M$1,Haver_M!$B$1:$ZN$1,0))),INDEX(Haver_M!$B$1:$ZN$1000,MATCH(data!$A3,Haver_M!$B$1:$B$1000,0),MATCH(data!M$1,Haver_M!$B$1:$ZN$1,0)),"na")</f>
        <v>na</v>
      </c>
      <c r="N3" t="str">
        <f>IF(ISNUMBER(INDEX(Haver_M!$B$1:$ZN$1000,MATCH(data!$A3,Haver_M!$B$1:$B$1000,0),MATCH(data!N$1,Haver_M!$B$1:$ZN$1,0))),INDEX(Haver_M!$B$1:$ZN$1000,MATCH(data!$A3,Haver_M!$B$1:$B$1000,0),MATCH(data!N$1,Haver_M!$B$1:$ZN$1,0)),"na")</f>
        <v>na</v>
      </c>
      <c r="O3">
        <f>IF(ISNUMBER(INDEX(Haver_M!$B$1:$ZN$1000,MATCH(data!$A3,Haver_M!$B$1:$B$1000,0),MATCH(data!O$1,Haver_M!$B$1:$ZN$1,0))),INDEX(Haver_M!$B$1:$ZN$1000,MATCH(data!$A3,Haver_M!$B$1:$B$1000,0),MATCH(data!O$1,Haver_M!$B$1:$ZN$1,0)),"na")</f>
        <v>115.46699</v>
      </c>
      <c r="P3">
        <f>IF(ISNUMBER(INDEX(Haver_M!$B$1:$ZN$1000,MATCH(data!$A3,Haver_M!$B$1:$B$1000,0),MATCH(data!P$1,Haver_M!$B$1:$ZN$1,0))),INDEX(Haver_M!$B$1:$ZN$1000,MATCH(data!$A3,Haver_M!$B$1:$B$1000,0),MATCH(data!P$1,Haver_M!$B$1:$ZN$1,0)),"na")</f>
        <v>44.999000000000002</v>
      </c>
      <c r="Q3">
        <f>IF(ISNUMBER(INDEX(Haver_M!$B$1:$ZN$1000,MATCH(data!$A3,Haver_M!$B$1:$B$1000,0),MATCH(data!Q$1,Haver_M!$B$1:$ZN$1,0))),INDEX(Haver_M!$B$1:$ZN$1000,MATCH(data!$A3,Haver_M!$B$1:$B$1000,0),MATCH(data!Q$1,Haver_M!$B$1:$ZN$1,0)),"na")</f>
        <v>49.3</v>
      </c>
      <c r="R3">
        <f>IF(ISNUMBER(INDEX(Haver_M!$B$1:$ZN$1000,MATCH(data!$A3,Haver_M!$B$1:$B$1000,0),MATCH(data!R$1,Haver_M!$B$1:$ZN$1,0))),INDEX(Haver_M!$B$1:$ZN$1000,MATCH(data!$A3,Haver_M!$B$1:$B$1000,0),MATCH(data!R$1,Haver_M!$B$1:$ZN$1,0)),"na")</f>
        <v>89.971400000000003</v>
      </c>
      <c r="S3">
        <f>IF(ISNUMBER(INDEX(Haver_M!$B$1:$ZN$1000,MATCH(data!$A3,Haver_M!$B$1:$B$1000,0),MATCH(data!S$1,Haver_M!$B$1:$ZN$1,0))),INDEX(Haver_M!$B$1:$ZN$1000,MATCH(data!$A3,Haver_M!$B$1:$B$1000,0),MATCH(data!S$1,Haver_M!$B$1:$ZN$1,0)),"na")</f>
        <v>99.6387</v>
      </c>
      <c r="T3">
        <f>IF(ISNUMBER(INDEX(Haver_M!$B$1:$ZN$1000,MATCH(data!$A3,Haver_M!$B$1:$B$1000,0),MATCH(data!T$1,Haver_M!$B$1:$ZN$1,0))),INDEX(Haver_M!$B$1:$ZN$1000,MATCH(data!$A3,Haver_M!$B$1:$B$1000,0),MATCH(data!T$1,Haver_M!$B$1:$ZN$1,0)),"na")</f>
        <v>54.600900000000003</v>
      </c>
      <c r="U3">
        <f>IF(ISNUMBER(INDEX(Haver_M!$B$1:$ZN$1000,MATCH(data!$A3,Haver_M!$B$1:$B$1000,0),MATCH(data!U$1,Haver_M!$B$1:$ZN$1,0))),INDEX(Haver_M!$B$1:$ZN$1000,MATCH(data!$A3,Haver_M!$B$1:$B$1000,0),MATCH(data!U$1,Haver_M!$B$1:$ZN$1,0)),"na")</f>
        <v>86.204099999999997</v>
      </c>
      <c r="V3">
        <f>IF(ISNUMBER(INDEX(Haver_M!$B$1:$ZN$1000,MATCH(data!$A3,Haver_M!$B$1:$B$1000,0),MATCH(data!V$1,Haver_M!$B$1:$ZN$1,0))),INDEX(Haver_M!$B$1:$ZN$1000,MATCH(data!$A3,Haver_M!$B$1:$B$1000,0),MATCH(data!V$1,Haver_M!$B$1:$ZN$1,0)),"na")</f>
        <v>90.687600000000003</v>
      </c>
      <c r="W3" t="str">
        <f>IF(ISNUMBER(INDEX(Haver_M!$B$1:$ZN$1000,MATCH(data!$A3,Haver_M!$B$1:$B$1000,0),MATCH(data!W$1,Haver_M!$B$1:$ZN$1,0))),INDEX(Haver_M!$B$1:$ZN$1000,MATCH(data!$A3,Haver_M!$B$1:$B$1000,0),MATCH(data!W$1,Haver_M!$B$1:$ZN$1,0)),"na")</f>
        <v>na</v>
      </c>
      <c r="X3" t="str">
        <f>IF(ISNUMBER(INDEX(Haver_M!$B$1:$ZN$1000,MATCH(data!$A3,Haver_M!$B$1:$B$1000,0),MATCH(data!X$1,Haver_M!$B$1:$ZN$1,0))),INDEX(Haver_M!$B$1:$ZN$1000,MATCH(data!$A3,Haver_M!$B$1:$B$1000,0),MATCH(data!X$1,Haver_M!$B$1:$ZN$1,0)),"na")</f>
        <v>na</v>
      </c>
      <c r="Y3">
        <f>IF(ISNUMBER(INDEX(Haver_M!$B$1:$ZN$1000,MATCH(data!$A3,Haver_M!$B$1:$B$1000,0),MATCH(data!Y$1,Haver_M!$B$1:$ZN$1,0))),INDEX(Haver_M!$B$1:$ZN$1000,MATCH(data!$A3,Haver_M!$B$1:$B$1000,0),MATCH(data!Y$1,Haver_M!$B$1:$ZN$1,0)),"na")</f>
        <v>101.49</v>
      </c>
      <c r="Z3">
        <f>IF(ISNUMBER(INDEX(Haver_M!$B$1:$ZN$1000,MATCH(data!$A3,Haver_M!$B$1:$B$1000,0),MATCH(data!Z$1,Haver_M!$B$1:$ZN$1,0))),INDEX(Haver_M!$B$1:$ZN$1000,MATCH(data!$A3,Haver_M!$B$1:$B$1000,0),MATCH(data!Z$1,Haver_M!$B$1:$ZN$1,0)),"na")</f>
        <v>73.774900000000002</v>
      </c>
      <c r="AA3" t="str">
        <f>IF(ISNUMBER(INDEX(Haver_M!$B$1:$ZN$1000,MATCH(data!$A3,Haver_M!$B$1:$B$1000,0),MATCH(data!AA$1,Haver_M!$B$1:$ZN$1,0))),INDEX(Haver_M!$B$1:$ZN$1000,MATCH(data!$A3,Haver_M!$B$1:$B$1000,0),MATCH(data!AA$1,Haver_M!$B$1:$ZN$1,0)),"na")</f>
        <v>na</v>
      </c>
      <c r="AB3">
        <f>IF(ISNUMBER(INDEX(Haver_M!$B$1:$ZN$1000,MATCH(data!$A3,Haver_M!$B$1:$B$1000,0),MATCH(data!AB$1,Haver_M!$B$1:$ZN$1,0))),INDEX(Haver_M!$B$1:$ZN$1000,MATCH(data!$A3,Haver_M!$B$1:$B$1000,0),MATCH(data!AB$1,Haver_M!$B$1:$ZN$1,0)),"na")</f>
        <v>13421.6</v>
      </c>
      <c r="AC3">
        <f>IF(ISNUMBER(INDEX(Haver_M!$B$1:$ZN$1000,MATCH(data!$A3,Haver_M!$B$1:$B$1000,0),MATCH(data!AC$1,Haver_M!$B$1:$ZN$1,0))),INDEX(Haver_M!$B$1:$ZN$1000,MATCH(data!$A3,Haver_M!$B$1:$B$1000,0),MATCH(data!AC$1,Haver_M!$B$1:$ZN$1,0)),"na")</f>
        <v>13734.9</v>
      </c>
      <c r="AD3">
        <f>IF(ISNUMBER(INDEX(Haver_M!$B$1:$ZN$1000,MATCH(data!$A3,Haver_M!$B$1:$B$1000,0),MATCH(data!AD$1,Haver_M!$B$1:$ZN$1,0))),INDEX(Haver_M!$B$1:$ZN$1000,MATCH(data!$A3,Haver_M!$B$1:$B$1000,0),MATCH(data!AD$1,Haver_M!$B$1:$ZN$1,0)),"na")</f>
        <v>101.34</v>
      </c>
      <c r="AE3" t="str">
        <f>IF(ISNUMBER(INDEX(Haver_M!$B$1:$ZN$1000,MATCH(data!$A3,Haver_M!$B$1:$B$1000,0),MATCH(data!AE$1,Haver_M!$B$1:$ZN$1,0))),INDEX(Haver_M!$B$1:$ZN$1000,MATCH(data!$A3,Haver_M!$B$1:$B$1000,0),MATCH(data!AE$1,Haver_M!$B$1:$ZN$1,0)),"na")</f>
        <v>na</v>
      </c>
      <c r="AF3" t="str">
        <f>IF(ISNUMBER(INDEX(Haver_M!$B$1:$ZN$1000,MATCH(data!$A3,Haver_M!$B$1:$B$1000,0),MATCH(data!AF$1,Haver_M!$B$1:$ZN$1,0))),INDEX(Haver_M!$B$1:$ZN$1000,MATCH(data!$A3,Haver_M!$B$1:$B$1000,0),MATCH(data!AF$1,Haver_M!$B$1:$ZN$1,0)),"na")</f>
        <v>na</v>
      </c>
      <c r="AG3" t="str">
        <f>IF(ISNUMBER(INDEX(Haver_M!$B$1:$ZN$1000,MATCH(data!$A3,Haver_M!$B$1:$B$1000,0),MATCH(data!AG$1,Haver_M!$B$1:$ZN$1,0))),INDEX(Haver_M!$B$1:$ZN$1000,MATCH(data!$A3,Haver_M!$B$1:$B$1000,0),MATCH(data!AG$1,Haver_M!$B$1:$ZN$1,0)),"na")</f>
        <v>na</v>
      </c>
      <c r="AH3" t="str">
        <f>IF(ISNUMBER(INDEX(Haver_M!$B$1:$ZN$1000,MATCH(data!$A3,Haver_M!$B$1:$B$1000,0),MATCH(data!AH$1,Haver_M!$B$1:$ZN$1,0))),INDEX(Haver_M!$B$1:$ZN$1000,MATCH(data!$A3,Haver_M!$B$1:$B$1000,0),MATCH(data!AH$1,Haver_M!$B$1:$ZN$1,0)),"na")</f>
        <v>na</v>
      </c>
      <c r="AI3" t="str">
        <f>IF(ISNUMBER(INDEX(Haver_M!$B$1:$ZN$1000,MATCH(data!$A3,Haver_M!$B$1:$B$1000,0),MATCH(data!AI$1,Haver_M!$B$1:$ZN$1,0))),INDEX(Haver_M!$B$1:$ZN$1000,MATCH(data!$A3,Haver_M!$B$1:$B$1000,0),MATCH(data!AI$1,Haver_M!$B$1:$ZN$1,0)),"na")</f>
        <v>na</v>
      </c>
      <c r="AJ3" t="str">
        <f>IF(ISNUMBER(INDEX(Haver_M!$B$1:$ZN$1000,MATCH(data!$A3,Haver_M!$B$1:$B$1000,0),MATCH(data!AJ$1,Haver_M!$B$1:$ZN$1,0))),INDEX(Haver_M!$B$1:$ZN$1000,MATCH(data!$A3,Haver_M!$B$1:$B$1000,0),MATCH(data!AJ$1,Haver_M!$B$1:$ZN$1,0)),"na")</f>
        <v>na</v>
      </c>
      <c r="AK3" t="str">
        <f>IF(ISNUMBER(INDEX(Haver_M!$B$1:$ZN$1000,MATCH(data!$A3,Haver_M!$B$1:$B$1000,0),MATCH(data!AK$1,Haver_M!$B$1:$ZN$1,0))),INDEX(Haver_M!$B$1:$ZN$1000,MATCH(data!$A3,Haver_M!$B$1:$B$1000,0),MATCH(data!AK$1,Haver_M!$B$1:$ZN$1,0)),"na")</f>
        <v>na</v>
      </c>
      <c r="AL3" t="str">
        <f>IF(ISNUMBER(INDEX(Haver_M!$B$1:$ZN$1000,MATCH(data!$A3,Haver_M!$B$1:$B$1000,0),MATCH(data!AL$1,Haver_M!$B$1:$ZN$1,0))),INDEX(Haver_M!$B$1:$ZN$1000,MATCH(data!$A3,Haver_M!$B$1:$B$1000,0),MATCH(data!AL$1,Haver_M!$B$1:$ZN$1,0)),"na")</f>
        <v>na</v>
      </c>
      <c r="AM3" t="str">
        <f>IF(ISNUMBER(INDEX(Haver_M!$B$1:$ZN$1000,MATCH(data!$A3,Haver_M!$B$1:$B$1000,0),MATCH(data!AM$1,Haver_M!$B$1:$ZN$1,0))),INDEX(Haver_M!$B$1:$ZN$1000,MATCH(data!$A3,Haver_M!$B$1:$B$1000,0),MATCH(data!AM$1,Haver_M!$B$1:$ZN$1,0)),"na")</f>
        <v>na</v>
      </c>
      <c r="AN3" t="str">
        <f>IF(ISNUMBER(INDEX(Haver_M!$B$1:$ZN$1000,MATCH(data!$A3,Haver_M!$B$1:$B$1000,0),MATCH(data!AN$1,Haver_M!$B$1:$ZN$1,0))),INDEX(Haver_M!$B$1:$ZN$1000,MATCH(data!$A3,Haver_M!$B$1:$B$1000,0),MATCH(data!AN$1,Haver_M!$B$1:$ZN$1,0)),"na")</f>
        <v>na</v>
      </c>
      <c r="AO3" t="str">
        <f>IF(ISNUMBER(INDEX(Haver_M!$B$1:$ZN$1000,MATCH(data!$A3,Haver_M!$B$1:$B$1000,0),MATCH(data!AO$1,Haver_M!$B$1:$ZN$1,0))),INDEX(Haver_M!$B$1:$ZN$1000,MATCH(data!$A3,Haver_M!$B$1:$B$1000,0),MATCH(data!AO$1,Haver_M!$B$1:$ZN$1,0)),"na")</f>
        <v>na</v>
      </c>
      <c r="AP3" t="str">
        <f>IF(ISNUMBER(INDEX(Haver_M!$B$1:$ZN$1000,MATCH(data!$A3,Haver_M!$B$1:$B$1000,0),MATCH(data!AP$1,Haver_M!$B$1:$ZN$1,0))),INDEX(Haver_M!$B$1:$ZN$1000,MATCH(data!$A3,Haver_M!$B$1:$B$1000,0),MATCH(data!AP$1,Haver_M!$B$1:$ZN$1,0)),"na")</f>
        <v>na</v>
      </c>
      <c r="AQ3" t="str">
        <f>IF(ISNUMBER(INDEX(Haver_M!$B$1:$ZN$1000,MATCH(data!$A3,Haver_M!$B$1:$B$1000,0),MATCH(data!AQ$1,Haver_M!$B$1:$ZN$1,0))),INDEX(Haver_M!$B$1:$ZN$1000,MATCH(data!$A3,Haver_M!$B$1:$B$1000,0),MATCH(data!AQ$1,Haver_M!$B$1:$ZN$1,0)),"na")</f>
        <v>na</v>
      </c>
      <c r="AR3" t="str">
        <f>IF(ISNUMBER(INDEX(Haver_M!$B$1:$ZN$1000,MATCH(data!$A3,Haver_M!$B$1:$B$1000,0),MATCH(data!AR$1,Haver_M!$B$1:$ZN$1,0))),INDEX(Haver_M!$B$1:$ZN$1000,MATCH(data!$A3,Haver_M!$B$1:$B$1000,0),MATCH(data!AR$1,Haver_M!$B$1:$ZN$1,0)),"na")</f>
        <v>na</v>
      </c>
      <c r="AS3">
        <f>IF(ISNUMBER(INDEX(Haver_M!$B$1:$ZN$1000,MATCH(data!$A3,Haver_M!$B$1:$B$1000,0),MATCH(data!AS$1,Haver_M!$B$1:$ZN$1,0))),INDEX(Haver_M!$B$1:$ZN$1000,MATCH(data!$A3,Haver_M!$B$1:$B$1000,0),MATCH(data!AS$1,Haver_M!$B$1:$ZN$1,0)),"na")</f>
        <v>7372.96</v>
      </c>
      <c r="AT3">
        <f>IF(ISNUMBER(INDEX(Haver_M!$B$1:$ZN$1000,MATCH(data!$A3,Haver_M!$B$1:$B$1000,0),MATCH(data!AT$1,Haver_M!$B$1:$ZN$1,0))),INDEX(Haver_M!$B$1:$ZN$1000,MATCH(data!$A3,Haver_M!$B$1:$B$1000,0),MATCH(data!AT$1,Haver_M!$B$1:$ZN$1,0)),"na")</f>
        <v>75.635000000000005</v>
      </c>
      <c r="AU3">
        <f>IF(ISNUMBER(INDEX(Haver_M!$B$1:$ZN$1000,MATCH(data!$A3,Haver_M!$B$1:$B$1000,0),MATCH(data!AU$1,Haver_M!$B$1:$ZN$1,0))),INDEX(Haver_M!$B$1:$ZN$1000,MATCH(data!$A3,Haver_M!$B$1:$B$1000,0),MATCH(data!AU$1,Haver_M!$B$1:$ZN$1,0)),"na")</f>
        <v>78.869913999999994</v>
      </c>
      <c r="AV3">
        <f>IF(ISNUMBER(INDEX(Haver_M!$B$1:$ZN$1000,MATCH(data!$A3,Haver_M!$B$1:$B$1000,0),MATCH(data!AV$1,Haver_M!$B$1:$ZN$1,0))),INDEX(Haver_M!$B$1:$ZN$1000,MATCH(data!$A3,Haver_M!$B$1:$B$1000,0),MATCH(data!AV$1,Haver_M!$B$1:$ZN$1,0)),"na")</f>
        <v>77.2</v>
      </c>
      <c r="AW3">
        <f>IF(ISNUMBER(INDEX(Haver_M!$B$1:$ZN$1000,MATCH(data!$A3,Haver_M!$B$1:$B$1000,0),MATCH(data!AW$1,Haver_M!$B$1:$ZN$1,0))),INDEX(Haver_M!$B$1:$ZN$1000,MATCH(data!$A3,Haver_M!$B$1:$B$1000,0),MATCH(data!AW$1,Haver_M!$B$1:$ZN$1,0)),"na")</f>
        <v>689953.40225935075</v>
      </c>
      <c r="AX3">
        <f>IF(ISNUMBER(INDEX(Haver_M!$B$1:$ZN$1000,MATCH(data!$A3,Haver_M!$B$1:$B$1000,0),MATCH(data!AX$1,Haver_M!$B$1:$ZN$1,0))),INDEX(Haver_M!$B$1:$ZN$1000,MATCH(data!$A3,Haver_M!$B$1:$B$1000,0),MATCH(data!AX$1,Haver_M!$B$1:$ZN$1,0)),"na")</f>
        <v>2890</v>
      </c>
      <c r="AY3">
        <f>IF(ISNUMBER(INDEX(Haver_M!$B$1:$ZN$1000,MATCH(data!$A3,Haver_M!$B$1:$B$1000,0),MATCH(data!AY$1,Haver_M!$B$1:$ZN$1,0))),INDEX(Haver_M!$B$1:$ZN$1000,MATCH(data!$A3,Haver_M!$B$1:$B$1000,0),MATCH(data!AY$1,Haver_M!$B$1:$ZN$1,0)),"na")</f>
        <v>1531</v>
      </c>
      <c r="AZ3" t="str">
        <f>IF(ISNUMBER(INDEX(Haver_M!$B$1:$ZN$1000,MATCH(data!$A3,Haver_M!$B$1:$B$1000,0),MATCH(data!AZ$1,Haver_M!$B$1:$ZN$1,0))),INDEX(Haver_M!$B$1:$ZN$1000,MATCH(data!$A3,Haver_M!$B$1:$B$1000,0),MATCH(data!AZ$1,Haver_M!$B$1:$ZN$1,0)),"na")</f>
        <v>na</v>
      </c>
      <c r="BA3">
        <f>IF(ISNUMBER(INDEX(Haver_M!$B$1:$ZN$1000,MATCH(data!$A3,Haver_M!$B$1:$B$1000,0),MATCH(data!BA$1,Haver_M!$B$1:$ZN$1,0))),INDEX(Haver_M!$B$1:$ZN$1000,MATCH(data!$A3,Haver_M!$B$1:$B$1000,0),MATCH(data!BA$1,Haver_M!$B$1:$ZN$1,0)),"na")</f>
        <v>182.08916026109918</v>
      </c>
      <c r="BB3" t="str">
        <f>IF(ISNUMBER(INDEX(Haver_M!$B$1:$ZN$1000,MATCH(data!$A3,Haver_M!$B$1:$B$1000,0),MATCH(data!BB$1,Haver_M!$B$1:$ZN$1,0))),INDEX(Haver_M!$B$1:$ZN$1000,MATCH(data!$A3,Haver_M!$B$1:$B$1000,0),MATCH(data!BB$1,Haver_M!$B$1:$ZN$1,0)),"")</f>
        <v/>
      </c>
    </row>
    <row r="4" spans="1:54" x14ac:dyDescent="0.25">
      <c r="A4" s="2">
        <v>36616</v>
      </c>
      <c r="B4">
        <f>IF(ISNUMBER(INDEX(Haver_Q!$B$1:$BD$1000,MATCH(data!$A4,Haver_Q!$B$1:$B$1000,0),MATCH(data!B$1,Haver_Q!$B$1:$BD$1,0))),100*INDEX(Haver_Q!$B$1:$BD$1000,MATCH(data!$A4,Haver_Q!$B$1:$B$1000,0),MATCH(data!B$1,Haver_Q!$B$1:$BD$1,0)),"na")</f>
        <v>7.8908208342084007</v>
      </c>
      <c r="C4">
        <f>IF(ISNUMBER(INDEX(Haver_Q!$B$1:$BD$1000,MATCH(data!$A4,Haver_Q!$B$1:$B$1000,0),MATCH(data!C$1,Haver_Q!$B$1:$BD$1,0))),100*INDEX(Haver_Q!$B$1:$BD$1000,MATCH(data!$A4,Haver_Q!$B$1:$B$1000,0),MATCH(data!C$1,Haver_Q!$B$1:$BD$1,0)),"na")</f>
        <v>12.149991758068367</v>
      </c>
      <c r="D4">
        <f>IF(ISNUMBER(INDEX(Haver_Q!$B$1:$BD$1000,MATCH(data!$A4,Haver_Q!$B$1:$B$1000,0),MATCH(data!D$1,Haver_Q!$B$1:$BD$1,0))),100*INDEX(Haver_Q!$B$1:$BD$1000,MATCH(data!$A4,Haver_Q!$B$1:$B$1000,0),MATCH(data!D$1,Haver_Q!$B$1:$BD$1,0)),"na")</f>
        <v>9.600458795869681</v>
      </c>
      <c r="E4">
        <f>IF(ISNUMBER(INDEX(Haver_Q!$B$1:$BD$1000,MATCH(data!$A4,Haver_Q!$B$1:$B$1000,0),MATCH(data!E$1,Haver_Q!$B$1:$BD$1,0))),100*INDEX(Haver_Q!$B$1:$BD$1000,MATCH(data!$A4,Haver_Q!$B$1:$B$1000,0),MATCH(data!E$1,Haver_Q!$B$1:$BD$1,0)),"na")</f>
        <v>14.07991602476133</v>
      </c>
      <c r="F4">
        <f>IF(ISNUMBER(INDEX(Haver_Q!$B$1:$BD$1000,MATCH(data!$A4,Haver_Q!$B$1:$B$1000,0),MATCH(data!F$1,Haver_Q!$B$1:$BD$1,0))),100*INDEX(Haver_Q!$B$1:$BD$1000,MATCH(data!$A4,Haver_Q!$B$1:$B$1000,0),MATCH(data!F$1,Haver_Q!$B$1:$BD$1,0)),"na")</f>
        <v>17.042392346403702</v>
      </c>
      <c r="G4">
        <f>IF(ISNUMBER(INDEX(Haver_Q!$B$1:$BD$1000,MATCH(data!$A4,Haver_Q!$B$1:$B$1000,0),MATCH(data!G$1,Haver_Q!$B$1:$BD$1,0))),100*INDEX(Haver_Q!$B$1:$BD$1000,MATCH(data!$A4,Haver_Q!$B$1:$B$1000,0),MATCH(data!G$1,Haver_Q!$B$1:$BD$1,0)),"na")</f>
        <v>27.546330239491734</v>
      </c>
      <c r="H4">
        <f>IF(ISNUMBER(INDEX(Haver_Q!$B$1:$BD$1000,MATCH(data!$A4,Haver_Q!$B$1:$B$1000,0),MATCH(data!H$1,Haver_Q!$B$1:$BD$1,0))),100*INDEX(Haver_Q!$B$1:$BD$1000,MATCH(data!$A4,Haver_Q!$B$1:$B$1000,0),MATCH(data!H$1,Haver_Q!$B$1:$BD$1,0)),"na")</f>
        <v>533.84294616773889</v>
      </c>
      <c r="I4" s="3">
        <f>IF(ISNUMBER(Bloomberg_m!C20),Bloomberg_m!C20,"na")</f>
        <v>1621</v>
      </c>
      <c r="J4" s="3" t="str">
        <f>IF(ISNUMBER(Bloomberg_m!D20),Bloomberg_m!D20,"na")</f>
        <v>na</v>
      </c>
      <c r="K4" s="3" t="str">
        <f>IF(ISNUMBER(Bloomberg_m!E20),Bloomberg_m!E20,"na")</f>
        <v>na</v>
      </c>
      <c r="L4" s="3">
        <f>IF(ISNUMBER(Bloomberg_m!L20),Bloomberg_m!L20,"na")</f>
        <v>29.89</v>
      </c>
      <c r="M4" t="str">
        <f>IF(ISNUMBER(INDEX(Haver_M!$B$1:$ZN$1000,MATCH(data!$A4,Haver_M!$B$1:$B$1000,0),MATCH(data!M$1,Haver_M!$B$1:$ZN$1,0))),INDEX(Haver_M!$B$1:$ZN$1000,MATCH(data!$A4,Haver_M!$B$1:$B$1000,0),MATCH(data!M$1,Haver_M!$B$1:$ZN$1,0)),"na")</f>
        <v>na</v>
      </c>
      <c r="N4" t="str">
        <f>IF(ISNUMBER(INDEX(Haver_M!$B$1:$ZN$1000,MATCH(data!$A4,Haver_M!$B$1:$B$1000,0),MATCH(data!N$1,Haver_M!$B$1:$ZN$1,0))),INDEX(Haver_M!$B$1:$ZN$1000,MATCH(data!$A4,Haver_M!$B$1:$B$1000,0),MATCH(data!N$1,Haver_M!$B$1:$ZN$1,0)),"na")</f>
        <v>na</v>
      </c>
      <c r="O4">
        <f>IF(ISNUMBER(INDEX(Haver_M!$B$1:$ZN$1000,MATCH(data!$A4,Haver_M!$B$1:$B$1000,0),MATCH(data!O$1,Haver_M!$B$1:$ZN$1,0))),INDEX(Haver_M!$B$1:$ZN$1000,MATCH(data!$A4,Haver_M!$B$1:$B$1000,0),MATCH(data!O$1,Haver_M!$B$1:$ZN$1,0)),"na")</f>
        <v>117.33534</v>
      </c>
      <c r="P4">
        <f>IF(ISNUMBER(INDEX(Haver_M!$B$1:$ZN$1000,MATCH(data!$A4,Haver_M!$B$1:$B$1000,0),MATCH(data!P$1,Haver_M!$B$1:$ZN$1,0))),INDEX(Haver_M!$B$1:$ZN$1000,MATCH(data!$A4,Haver_M!$B$1:$B$1000,0),MATCH(data!P$1,Haver_M!$B$1:$ZN$1,0)),"na")</f>
        <v>45.313499999999998</v>
      </c>
      <c r="Q4">
        <f>IF(ISNUMBER(INDEX(Haver_M!$B$1:$ZN$1000,MATCH(data!$A4,Haver_M!$B$1:$B$1000,0),MATCH(data!Q$1,Haver_M!$B$1:$ZN$1,0))),INDEX(Haver_M!$B$1:$ZN$1000,MATCH(data!$A4,Haver_M!$B$1:$B$1000,0),MATCH(data!Q$1,Haver_M!$B$1:$ZN$1,0)),"na")</f>
        <v>49.567100000000003</v>
      </c>
      <c r="R4">
        <f>IF(ISNUMBER(INDEX(Haver_M!$B$1:$ZN$1000,MATCH(data!$A4,Haver_M!$B$1:$B$1000,0),MATCH(data!R$1,Haver_M!$B$1:$ZN$1,0))),INDEX(Haver_M!$B$1:$ZN$1000,MATCH(data!$A4,Haver_M!$B$1:$B$1000,0),MATCH(data!R$1,Haver_M!$B$1:$ZN$1,0)),"na")</f>
        <v>89.9666</v>
      </c>
      <c r="S4">
        <f>IF(ISNUMBER(INDEX(Haver_M!$B$1:$ZN$1000,MATCH(data!$A4,Haver_M!$B$1:$B$1000,0),MATCH(data!S$1,Haver_M!$B$1:$ZN$1,0))),INDEX(Haver_M!$B$1:$ZN$1000,MATCH(data!$A4,Haver_M!$B$1:$B$1000,0),MATCH(data!S$1,Haver_M!$B$1:$ZN$1,0)),"na")</f>
        <v>101.1593</v>
      </c>
      <c r="T4">
        <f>IF(ISNUMBER(INDEX(Haver_M!$B$1:$ZN$1000,MATCH(data!$A4,Haver_M!$B$1:$B$1000,0),MATCH(data!T$1,Haver_M!$B$1:$ZN$1,0))),INDEX(Haver_M!$B$1:$ZN$1000,MATCH(data!$A4,Haver_M!$B$1:$B$1000,0),MATCH(data!T$1,Haver_M!$B$1:$ZN$1,0)),"na")</f>
        <v>55.207000000000001</v>
      </c>
      <c r="U4">
        <f>IF(ISNUMBER(INDEX(Haver_M!$B$1:$ZN$1000,MATCH(data!$A4,Haver_M!$B$1:$B$1000,0),MATCH(data!U$1,Haver_M!$B$1:$ZN$1,0))),INDEX(Haver_M!$B$1:$ZN$1000,MATCH(data!$A4,Haver_M!$B$1:$B$1000,0),MATCH(data!U$1,Haver_M!$B$1:$ZN$1,0)),"na")</f>
        <v>84.066699999999997</v>
      </c>
      <c r="V4">
        <f>IF(ISNUMBER(INDEX(Haver_M!$B$1:$ZN$1000,MATCH(data!$A4,Haver_M!$B$1:$B$1000,0),MATCH(data!V$1,Haver_M!$B$1:$ZN$1,0))),INDEX(Haver_M!$B$1:$ZN$1000,MATCH(data!$A4,Haver_M!$B$1:$B$1000,0),MATCH(data!V$1,Haver_M!$B$1:$ZN$1,0)),"na")</f>
        <v>90.8005</v>
      </c>
      <c r="W4" t="str">
        <f>IF(ISNUMBER(INDEX(Haver_M!$B$1:$ZN$1000,MATCH(data!$A4,Haver_M!$B$1:$B$1000,0),MATCH(data!W$1,Haver_M!$B$1:$ZN$1,0))),INDEX(Haver_M!$B$1:$ZN$1000,MATCH(data!$A4,Haver_M!$B$1:$B$1000,0),MATCH(data!W$1,Haver_M!$B$1:$ZN$1,0)),"na")</f>
        <v>na</v>
      </c>
      <c r="X4" t="str">
        <f>IF(ISNUMBER(INDEX(Haver_M!$B$1:$ZN$1000,MATCH(data!$A4,Haver_M!$B$1:$B$1000,0),MATCH(data!X$1,Haver_M!$B$1:$ZN$1,0))),INDEX(Haver_M!$B$1:$ZN$1000,MATCH(data!$A4,Haver_M!$B$1:$B$1000,0),MATCH(data!X$1,Haver_M!$B$1:$ZN$1,0)),"na")</f>
        <v>na</v>
      </c>
      <c r="Y4">
        <f>IF(ISNUMBER(INDEX(Haver_M!$B$1:$ZN$1000,MATCH(data!$A4,Haver_M!$B$1:$B$1000,0),MATCH(data!Y$1,Haver_M!$B$1:$ZN$1,0))),INDEX(Haver_M!$B$1:$ZN$1000,MATCH(data!$A4,Haver_M!$B$1:$B$1000,0),MATCH(data!Y$1,Haver_M!$B$1:$ZN$1,0)),"na")</f>
        <v>101.54</v>
      </c>
      <c r="Z4">
        <f>IF(ISNUMBER(INDEX(Haver_M!$B$1:$ZN$1000,MATCH(data!$A4,Haver_M!$B$1:$B$1000,0),MATCH(data!Z$1,Haver_M!$B$1:$ZN$1,0))),INDEX(Haver_M!$B$1:$ZN$1000,MATCH(data!$A4,Haver_M!$B$1:$B$1000,0),MATCH(data!Z$1,Haver_M!$B$1:$ZN$1,0)),"na")</f>
        <v>71.969499999999996</v>
      </c>
      <c r="AA4" t="str">
        <f>IF(ISNUMBER(INDEX(Haver_M!$B$1:$ZN$1000,MATCH(data!$A4,Haver_M!$B$1:$B$1000,0),MATCH(data!AA$1,Haver_M!$B$1:$ZN$1,0))),INDEX(Haver_M!$B$1:$ZN$1000,MATCH(data!$A4,Haver_M!$B$1:$B$1000,0),MATCH(data!AA$1,Haver_M!$B$1:$ZN$1,0)),"na")</f>
        <v>na</v>
      </c>
      <c r="AB4">
        <f>IF(ISNUMBER(INDEX(Haver_M!$B$1:$ZN$1000,MATCH(data!$A4,Haver_M!$B$1:$B$1000,0),MATCH(data!AB$1,Haver_M!$B$1:$ZN$1,0))),INDEX(Haver_M!$B$1:$ZN$1000,MATCH(data!$A4,Haver_M!$B$1:$B$1000,0),MATCH(data!AB$1,Haver_M!$B$1:$ZN$1,0)),"na")</f>
        <v>12899.9</v>
      </c>
      <c r="AC4">
        <f>IF(ISNUMBER(INDEX(Haver_M!$B$1:$ZN$1000,MATCH(data!$A4,Haver_M!$B$1:$B$1000,0),MATCH(data!AC$1,Haver_M!$B$1:$ZN$1,0))),INDEX(Haver_M!$B$1:$ZN$1000,MATCH(data!$A4,Haver_M!$B$1:$B$1000,0),MATCH(data!AC$1,Haver_M!$B$1:$ZN$1,0)),"na")</f>
        <v>13380.6</v>
      </c>
      <c r="AD4">
        <f>IF(ISNUMBER(INDEX(Haver_M!$B$1:$ZN$1000,MATCH(data!$A4,Haver_M!$B$1:$B$1000,0),MATCH(data!AD$1,Haver_M!$B$1:$ZN$1,0))),INDEX(Haver_M!$B$1:$ZN$1000,MATCH(data!$A4,Haver_M!$B$1:$B$1000,0),MATCH(data!AD$1,Haver_M!$B$1:$ZN$1,0)),"na")</f>
        <v>101.47</v>
      </c>
      <c r="AE4" t="str">
        <f>IF(ISNUMBER(INDEX(Haver_M!$B$1:$ZN$1000,MATCH(data!$A4,Haver_M!$B$1:$B$1000,0),MATCH(data!AE$1,Haver_M!$B$1:$ZN$1,0))),INDEX(Haver_M!$B$1:$ZN$1000,MATCH(data!$A4,Haver_M!$B$1:$B$1000,0),MATCH(data!AE$1,Haver_M!$B$1:$ZN$1,0)),"na")</f>
        <v>na</v>
      </c>
      <c r="AF4" t="str">
        <f>IF(ISNUMBER(INDEX(Haver_M!$B$1:$ZN$1000,MATCH(data!$A4,Haver_M!$B$1:$B$1000,0),MATCH(data!AF$1,Haver_M!$B$1:$ZN$1,0))),INDEX(Haver_M!$B$1:$ZN$1000,MATCH(data!$A4,Haver_M!$B$1:$B$1000,0),MATCH(data!AF$1,Haver_M!$B$1:$ZN$1,0)),"na")</f>
        <v>na</v>
      </c>
      <c r="AG4" t="str">
        <f>IF(ISNUMBER(INDEX(Haver_M!$B$1:$ZN$1000,MATCH(data!$A4,Haver_M!$B$1:$B$1000,0),MATCH(data!AG$1,Haver_M!$B$1:$ZN$1,0))),INDEX(Haver_M!$B$1:$ZN$1000,MATCH(data!$A4,Haver_M!$B$1:$B$1000,0),MATCH(data!AG$1,Haver_M!$B$1:$ZN$1,0)),"na")</f>
        <v>na</v>
      </c>
      <c r="AH4" t="str">
        <f>IF(ISNUMBER(INDEX(Haver_M!$B$1:$ZN$1000,MATCH(data!$A4,Haver_M!$B$1:$B$1000,0),MATCH(data!AH$1,Haver_M!$B$1:$ZN$1,0))),INDEX(Haver_M!$B$1:$ZN$1000,MATCH(data!$A4,Haver_M!$B$1:$B$1000,0),MATCH(data!AH$1,Haver_M!$B$1:$ZN$1,0)),"na")</f>
        <v>na</v>
      </c>
      <c r="AI4" t="str">
        <f>IF(ISNUMBER(INDEX(Haver_M!$B$1:$ZN$1000,MATCH(data!$A4,Haver_M!$B$1:$B$1000,0),MATCH(data!AI$1,Haver_M!$B$1:$ZN$1,0))),INDEX(Haver_M!$B$1:$ZN$1000,MATCH(data!$A4,Haver_M!$B$1:$B$1000,0),MATCH(data!AI$1,Haver_M!$B$1:$ZN$1,0)),"na")</f>
        <v>na</v>
      </c>
      <c r="AJ4" t="str">
        <f>IF(ISNUMBER(INDEX(Haver_M!$B$1:$ZN$1000,MATCH(data!$A4,Haver_M!$B$1:$B$1000,0),MATCH(data!AJ$1,Haver_M!$B$1:$ZN$1,0))),INDEX(Haver_M!$B$1:$ZN$1000,MATCH(data!$A4,Haver_M!$B$1:$B$1000,0),MATCH(data!AJ$1,Haver_M!$B$1:$ZN$1,0)),"na")</f>
        <v>na</v>
      </c>
      <c r="AK4" t="str">
        <f>IF(ISNUMBER(INDEX(Haver_M!$B$1:$ZN$1000,MATCH(data!$A4,Haver_M!$B$1:$B$1000,0),MATCH(data!AK$1,Haver_M!$B$1:$ZN$1,0))),INDEX(Haver_M!$B$1:$ZN$1000,MATCH(data!$A4,Haver_M!$B$1:$B$1000,0),MATCH(data!AK$1,Haver_M!$B$1:$ZN$1,0)),"na")</f>
        <v>na</v>
      </c>
      <c r="AL4" t="str">
        <f>IF(ISNUMBER(INDEX(Haver_M!$B$1:$ZN$1000,MATCH(data!$A4,Haver_M!$B$1:$B$1000,0),MATCH(data!AL$1,Haver_M!$B$1:$ZN$1,0))),INDEX(Haver_M!$B$1:$ZN$1000,MATCH(data!$A4,Haver_M!$B$1:$B$1000,0),MATCH(data!AL$1,Haver_M!$B$1:$ZN$1,0)),"na")</f>
        <v>na</v>
      </c>
      <c r="AM4" t="str">
        <f>IF(ISNUMBER(INDEX(Haver_M!$B$1:$ZN$1000,MATCH(data!$A4,Haver_M!$B$1:$B$1000,0),MATCH(data!AM$1,Haver_M!$B$1:$ZN$1,0))),INDEX(Haver_M!$B$1:$ZN$1000,MATCH(data!$A4,Haver_M!$B$1:$B$1000,0),MATCH(data!AM$1,Haver_M!$B$1:$ZN$1,0)),"na")</f>
        <v>na</v>
      </c>
      <c r="AN4" t="str">
        <f>IF(ISNUMBER(INDEX(Haver_M!$B$1:$ZN$1000,MATCH(data!$A4,Haver_M!$B$1:$B$1000,0),MATCH(data!AN$1,Haver_M!$B$1:$ZN$1,0))),INDEX(Haver_M!$B$1:$ZN$1000,MATCH(data!$A4,Haver_M!$B$1:$B$1000,0),MATCH(data!AN$1,Haver_M!$B$1:$ZN$1,0)),"na")</f>
        <v>na</v>
      </c>
      <c r="AO4" t="str">
        <f>IF(ISNUMBER(INDEX(Haver_M!$B$1:$ZN$1000,MATCH(data!$A4,Haver_M!$B$1:$B$1000,0),MATCH(data!AO$1,Haver_M!$B$1:$ZN$1,0))),INDEX(Haver_M!$B$1:$ZN$1000,MATCH(data!$A4,Haver_M!$B$1:$B$1000,0),MATCH(data!AO$1,Haver_M!$B$1:$ZN$1,0)),"na")</f>
        <v>na</v>
      </c>
      <c r="AP4" t="str">
        <f>IF(ISNUMBER(INDEX(Haver_M!$B$1:$ZN$1000,MATCH(data!$A4,Haver_M!$B$1:$B$1000,0),MATCH(data!AP$1,Haver_M!$B$1:$ZN$1,0))),INDEX(Haver_M!$B$1:$ZN$1000,MATCH(data!$A4,Haver_M!$B$1:$B$1000,0),MATCH(data!AP$1,Haver_M!$B$1:$ZN$1,0)),"na")</f>
        <v>na</v>
      </c>
      <c r="AQ4" t="str">
        <f>IF(ISNUMBER(INDEX(Haver_M!$B$1:$ZN$1000,MATCH(data!$A4,Haver_M!$B$1:$B$1000,0),MATCH(data!AQ$1,Haver_M!$B$1:$ZN$1,0))),INDEX(Haver_M!$B$1:$ZN$1000,MATCH(data!$A4,Haver_M!$B$1:$B$1000,0),MATCH(data!AQ$1,Haver_M!$B$1:$ZN$1,0)),"na")</f>
        <v>na</v>
      </c>
      <c r="AR4" t="str">
        <f>IF(ISNUMBER(INDEX(Haver_M!$B$1:$ZN$1000,MATCH(data!$A4,Haver_M!$B$1:$B$1000,0),MATCH(data!AR$1,Haver_M!$B$1:$ZN$1,0))),INDEX(Haver_M!$B$1:$ZN$1000,MATCH(data!$A4,Haver_M!$B$1:$B$1000,0),MATCH(data!AR$1,Haver_M!$B$1:$ZN$1,0)),"na")</f>
        <v>na</v>
      </c>
      <c r="AS4">
        <f>IF(ISNUMBER(INDEX(Haver_M!$B$1:$ZN$1000,MATCH(data!$A4,Haver_M!$B$1:$B$1000,0),MATCH(data!AS$1,Haver_M!$B$1:$ZN$1,0))),INDEX(Haver_M!$B$1:$ZN$1000,MATCH(data!$A4,Haver_M!$B$1:$B$1000,0),MATCH(data!AS$1,Haver_M!$B$1:$ZN$1,0)),"na")</f>
        <v>7958.76</v>
      </c>
      <c r="AT4">
        <f>IF(ISNUMBER(INDEX(Haver_M!$B$1:$ZN$1000,MATCH(data!$A4,Haver_M!$B$1:$B$1000,0),MATCH(data!AT$1,Haver_M!$B$1:$ZN$1,0))),INDEX(Haver_M!$B$1:$ZN$1000,MATCH(data!$A4,Haver_M!$B$1:$B$1000,0),MATCH(data!AT$1,Haver_M!$B$1:$ZN$1,0)),"na")</f>
        <v>75.914000000000001</v>
      </c>
      <c r="AU4">
        <f>IF(ISNUMBER(INDEX(Haver_M!$B$1:$ZN$1000,MATCH(data!$A4,Haver_M!$B$1:$B$1000,0),MATCH(data!AU$1,Haver_M!$B$1:$ZN$1,0))),INDEX(Haver_M!$B$1:$ZN$1000,MATCH(data!$A4,Haver_M!$B$1:$B$1000,0),MATCH(data!AU$1,Haver_M!$B$1:$ZN$1,0)),"na")</f>
        <v>78.657454999999999</v>
      </c>
      <c r="AV4">
        <f>IF(ISNUMBER(INDEX(Haver_M!$B$1:$ZN$1000,MATCH(data!$A4,Haver_M!$B$1:$B$1000,0),MATCH(data!AV$1,Haver_M!$B$1:$ZN$1,0))),INDEX(Haver_M!$B$1:$ZN$1000,MATCH(data!$A4,Haver_M!$B$1:$B$1000,0),MATCH(data!AV$1,Haver_M!$B$1:$ZN$1,0)),"na")</f>
        <v>74.599999999999994</v>
      </c>
      <c r="AW4">
        <f>IF(ISNUMBER(INDEX(Haver_M!$B$1:$ZN$1000,MATCH(data!$A4,Haver_M!$B$1:$B$1000,0),MATCH(data!AW$1,Haver_M!$B$1:$ZN$1,0))),INDEX(Haver_M!$B$1:$ZN$1000,MATCH(data!$A4,Haver_M!$B$1:$B$1000,0),MATCH(data!AW$1,Haver_M!$B$1:$ZN$1,0)),"na")</f>
        <v>692837.22765082971</v>
      </c>
      <c r="AX4">
        <f>IF(ISNUMBER(INDEX(Haver_M!$B$1:$ZN$1000,MATCH(data!$A4,Haver_M!$B$1:$B$1000,0),MATCH(data!AX$1,Haver_M!$B$1:$ZN$1,0))),INDEX(Haver_M!$B$1:$ZN$1000,MATCH(data!$A4,Haver_M!$B$1:$B$1000,0),MATCH(data!AX$1,Haver_M!$B$1:$ZN$1,0)),"na")</f>
        <v>2956</v>
      </c>
      <c r="AY4">
        <f>IF(ISNUMBER(INDEX(Haver_M!$B$1:$ZN$1000,MATCH(data!$A4,Haver_M!$B$1:$B$1000,0),MATCH(data!AY$1,Haver_M!$B$1:$ZN$1,0))),INDEX(Haver_M!$B$1:$ZN$1000,MATCH(data!$A4,Haver_M!$B$1:$B$1000,0),MATCH(data!AY$1,Haver_M!$B$1:$ZN$1,0)),"na")</f>
        <v>1534</v>
      </c>
      <c r="AZ4" t="str">
        <f>IF(ISNUMBER(INDEX(Haver_M!$B$1:$ZN$1000,MATCH(data!$A4,Haver_M!$B$1:$B$1000,0),MATCH(data!AZ$1,Haver_M!$B$1:$ZN$1,0))),INDEX(Haver_M!$B$1:$ZN$1000,MATCH(data!$A4,Haver_M!$B$1:$B$1000,0),MATCH(data!AZ$1,Haver_M!$B$1:$ZN$1,0)),"na")</f>
        <v>na</v>
      </c>
      <c r="BA4">
        <f>IF(ISNUMBER(INDEX(Haver_M!$B$1:$ZN$1000,MATCH(data!$A4,Haver_M!$B$1:$B$1000,0),MATCH(data!BA$1,Haver_M!$B$1:$ZN$1,0))),INDEX(Haver_M!$B$1:$ZN$1000,MATCH(data!$A4,Haver_M!$B$1:$B$1000,0),MATCH(data!BA$1,Haver_M!$B$1:$ZN$1,0)),"na")</f>
        <v>119.76351703709324</v>
      </c>
      <c r="BB4" t="str">
        <f>IF(ISNUMBER(INDEX(Haver_M!$B$1:$ZN$1000,MATCH(data!$A4,Haver_M!$B$1:$B$1000,0),MATCH(data!BB$1,Haver_M!$B$1:$ZN$1,0))),INDEX(Haver_M!$B$1:$ZN$1000,MATCH(data!$A4,Haver_M!$B$1:$B$1000,0),MATCH(data!BB$1,Haver_M!$B$1:$ZN$1,0)),"")</f>
        <v/>
      </c>
    </row>
    <row r="5" spans="1:54" x14ac:dyDescent="0.25">
      <c r="A5" s="2">
        <v>36646</v>
      </c>
      <c r="B5" t="str">
        <f>IF(ISNUMBER(INDEX(Haver_Q!$B$1:$BD$1000,MATCH(data!$A5,Haver_Q!$B$1:$B$1000,0),MATCH(data!B$1,Haver_Q!$B$1:$BD$1,0))),100*INDEX(Haver_Q!$B$1:$BD$1000,MATCH(data!$A5,Haver_Q!$B$1:$B$1000,0),MATCH(data!B$1,Haver_Q!$B$1:$BD$1,0)),"na")</f>
        <v>na</v>
      </c>
      <c r="C5" t="str">
        <f>IF(ISNUMBER(INDEX(Haver_Q!$B$1:$BD$1000,MATCH(data!$A5,Haver_Q!$B$1:$B$1000,0),MATCH(data!C$1,Haver_Q!$B$1:$BD$1,0))),100*INDEX(Haver_Q!$B$1:$BD$1000,MATCH(data!$A5,Haver_Q!$B$1:$B$1000,0),MATCH(data!C$1,Haver_Q!$B$1:$BD$1,0)),"na")</f>
        <v>na</v>
      </c>
      <c r="D5" t="str">
        <f>IF(ISNUMBER(INDEX(Haver_Q!$B$1:$BD$1000,MATCH(data!$A5,Haver_Q!$B$1:$B$1000,0),MATCH(data!D$1,Haver_Q!$B$1:$BD$1,0))),100*INDEX(Haver_Q!$B$1:$BD$1000,MATCH(data!$A5,Haver_Q!$B$1:$B$1000,0),MATCH(data!D$1,Haver_Q!$B$1:$BD$1,0)),"na")</f>
        <v>na</v>
      </c>
      <c r="E5" t="str">
        <f>IF(ISNUMBER(INDEX(Haver_Q!$B$1:$BD$1000,MATCH(data!$A5,Haver_Q!$B$1:$B$1000,0),MATCH(data!E$1,Haver_Q!$B$1:$BD$1,0))),100*INDEX(Haver_Q!$B$1:$BD$1000,MATCH(data!$A5,Haver_Q!$B$1:$B$1000,0),MATCH(data!E$1,Haver_Q!$B$1:$BD$1,0)),"na")</f>
        <v>na</v>
      </c>
      <c r="F5" t="str">
        <f>IF(ISNUMBER(INDEX(Haver_Q!$B$1:$BD$1000,MATCH(data!$A5,Haver_Q!$B$1:$B$1000,0),MATCH(data!F$1,Haver_Q!$B$1:$BD$1,0))),100*INDEX(Haver_Q!$B$1:$BD$1000,MATCH(data!$A5,Haver_Q!$B$1:$B$1000,0),MATCH(data!F$1,Haver_Q!$B$1:$BD$1,0)),"na")</f>
        <v>na</v>
      </c>
      <c r="G5" t="str">
        <f>IF(ISNUMBER(INDEX(Haver_Q!$B$1:$BD$1000,MATCH(data!$A5,Haver_Q!$B$1:$B$1000,0),MATCH(data!G$1,Haver_Q!$B$1:$BD$1,0))),100*INDEX(Haver_Q!$B$1:$BD$1000,MATCH(data!$A5,Haver_Q!$B$1:$B$1000,0),MATCH(data!G$1,Haver_Q!$B$1:$BD$1,0)),"na")</f>
        <v>na</v>
      </c>
      <c r="H5" t="str">
        <f>IF(ISNUMBER(INDEX(Haver_Q!$B$1:$BD$1000,MATCH(data!$A5,Haver_Q!$B$1:$B$1000,0),MATCH(data!H$1,Haver_Q!$B$1:$BD$1,0))),100*INDEX(Haver_Q!$B$1:$BD$1000,MATCH(data!$A5,Haver_Q!$B$1:$B$1000,0),MATCH(data!H$1,Haver_Q!$B$1:$BD$1,0)),"na")</f>
        <v>na</v>
      </c>
      <c r="I5" s="3">
        <f>IF(ISNUMBER(Bloomberg_m!C21),Bloomberg_m!C21,"na")</f>
        <v>1667</v>
      </c>
      <c r="J5" s="3" t="str">
        <f>IF(ISNUMBER(Bloomberg_m!D21),Bloomberg_m!D21,"na")</f>
        <v>na</v>
      </c>
      <c r="K5" s="3" t="str">
        <f>IF(ISNUMBER(Bloomberg_m!E21),Bloomberg_m!E21,"na")</f>
        <v>na</v>
      </c>
      <c r="L5" s="3">
        <f>IF(ISNUMBER(Bloomberg_m!L21),Bloomberg_m!L21,"na")</f>
        <v>25.78</v>
      </c>
      <c r="M5" t="str">
        <f>IF(ISNUMBER(INDEX(Haver_M!$B$1:$ZN$1000,MATCH(data!$A5,Haver_M!$B$1:$B$1000,0),MATCH(data!M$1,Haver_M!$B$1:$ZN$1,0))),INDEX(Haver_M!$B$1:$ZN$1000,MATCH(data!$A5,Haver_M!$B$1:$B$1000,0),MATCH(data!M$1,Haver_M!$B$1:$ZN$1,0)),"na")</f>
        <v>na</v>
      </c>
      <c r="N5" t="str">
        <f>IF(ISNUMBER(INDEX(Haver_M!$B$1:$ZN$1000,MATCH(data!$A5,Haver_M!$B$1:$B$1000,0),MATCH(data!N$1,Haver_M!$B$1:$ZN$1,0))),INDEX(Haver_M!$B$1:$ZN$1000,MATCH(data!$A5,Haver_M!$B$1:$B$1000,0),MATCH(data!N$1,Haver_M!$B$1:$ZN$1,0)),"na")</f>
        <v>na</v>
      </c>
      <c r="O5">
        <f>IF(ISNUMBER(INDEX(Haver_M!$B$1:$ZN$1000,MATCH(data!$A5,Haver_M!$B$1:$B$1000,0),MATCH(data!O$1,Haver_M!$B$1:$ZN$1,0))),INDEX(Haver_M!$B$1:$ZN$1000,MATCH(data!$A5,Haver_M!$B$1:$B$1000,0),MATCH(data!O$1,Haver_M!$B$1:$ZN$1,0)),"na")</f>
        <v>116.90303</v>
      </c>
      <c r="P5">
        <f>IF(ISNUMBER(INDEX(Haver_M!$B$1:$ZN$1000,MATCH(data!$A5,Haver_M!$B$1:$B$1000,0),MATCH(data!P$1,Haver_M!$B$1:$ZN$1,0))),INDEX(Haver_M!$B$1:$ZN$1000,MATCH(data!$A5,Haver_M!$B$1:$B$1000,0),MATCH(data!P$1,Haver_M!$B$1:$ZN$1,0)),"na")</f>
        <v>45.598500000000001</v>
      </c>
      <c r="Q5">
        <f>IF(ISNUMBER(INDEX(Haver_M!$B$1:$ZN$1000,MATCH(data!$A5,Haver_M!$B$1:$B$1000,0),MATCH(data!Q$1,Haver_M!$B$1:$ZN$1,0))),INDEX(Haver_M!$B$1:$ZN$1000,MATCH(data!$A5,Haver_M!$B$1:$B$1000,0),MATCH(data!Q$1,Haver_M!$B$1:$ZN$1,0)),"na")</f>
        <v>49.824599999999997</v>
      </c>
      <c r="R5">
        <f>IF(ISNUMBER(INDEX(Haver_M!$B$1:$ZN$1000,MATCH(data!$A5,Haver_M!$B$1:$B$1000,0),MATCH(data!R$1,Haver_M!$B$1:$ZN$1,0))),INDEX(Haver_M!$B$1:$ZN$1000,MATCH(data!$A5,Haver_M!$B$1:$B$1000,0),MATCH(data!R$1,Haver_M!$B$1:$ZN$1,0)),"na")</f>
        <v>90.303399999999996</v>
      </c>
      <c r="S5">
        <f>IF(ISNUMBER(INDEX(Haver_M!$B$1:$ZN$1000,MATCH(data!$A5,Haver_M!$B$1:$B$1000,0),MATCH(data!S$1,Haver_M!$B$1:$ZN$1,0))),INDEX(Haver_M!$B$1:$ZN$1000,MATCH(data!$A5,Haver_M!$B$1:$B$1000,0),MATCH(data!S$1,Haver_M!$B$1:$ZN$1,0)),"na")</f>
        <v>103.75149999999999</v>
      </c>
      <c r="T5">
        <f>IF(ISNUMBER(INDEX(Haver_M!$B$1:$ZN$1000,MATCH(data!$A5,Haver_M!$B$1:$B$1000,0),MATCH(data!T$1,Haver_M!$B$1:$ZN$1,0))),INDEX(Haver_M!$B$1:$ZN$1000,MATCH(data!$A5,Haver_M!$B$1:$B$1000,0),MATCH(data!T$1,Haver_M!$B$1:$ZN$1,0)),"na")</f>
        <v>54.952800000000003</v>
      </c>
      <c r="U5">
        <f>IF(ISNUMBER(INDEX(Haver_M!$B$1:$ZN$1000,MATCH(data!$A5,Haver_M!$B$1:$B$1000,0),MATCH(data!U$1,Haver_M!$B$1:$ZN$1,0))),INDEX(Haver_M!$B$1:$ZN$1000,MATCH(data!$A5,Haver_M!$B$1:$B$1000,0),MATCH(data!U$1,Haver_M!$B$1:$ZN$1,0)),"na")</f>
        <v>84.575400000000002</v>
      </c>
      <c r="V5">
        <f>IF(ISNUMBER(INDEX(Haver_M!$B$1:$ZN$1000,MATCH(data!$A5,Haver_M!$B$1:$B$1000,0),MATCH(data!V$1,Haver_M!$B$1:$ZN$1,0))),INDEX(Haver_M!$B$1:$ZN$1000,MATCH(data!$A5,Haver_M!$B$1:$B$1000,0),MATCH(data!V$1,Haver_M!$B$1:$ZN$1,0)),"na")</f>
        <v>90.844999999999999</v>
      </c>
      <c r="W5">
        <f>IF(ISNUMBER(INDEX(Haver_M!$B$1:$ZN$1000,MATCH(data!$A5,Haver_M!$B$1:$B$1000,0),MATCH(data!W$1,Haver_M!$B$1:$ZN$1,0))),INDEX(Haver_M!$B$1:$ZN$1000,MATCH(data!$A5,Haver_M!$B$1:$B$1000,0),MATCH(data!W$1,Haver_M!$B$1:$ZN$1,0)),"na")</f>
        <v>2.77</v>
      </c>
      <c r="X5" t="str">
        <f>IF(ISNUMBER(INDEX(Haver_M!$B$1:$ZN$1000,MATCH(data!$A5,Haver_M!$B$1:$B$1000,0),MATCH(data!X$1,Haver_M!$B$1:$ZN$1,0))),INDEX(Haver_M!$B$1:$ZN$1000,MATCH(data!$A5,Haver_M!$B$1:$B$1000,0),MATCH(data!X$1,Haver_M!$B$1:$ZN$1,0)),"na")</f>
        <v>na</v>
      </c>
      <c r="Y5">
        <f>IF(ISNUMBER(INDEX(Haver_M!$B$1:$ZN$1000,MATCH(data!$A5,Haver_M!$B$1:$B$1000,0),MATCH(data!Y$1,Haver_M!$B$1:$ZN$1,0))),INDEX(Haver_M!$B$1:$ZN$1000,MATCH(data!$A5,Haver_M!$B$1:$B$1000,0),MATCH(data!Y$1,Haver_M!$B$1:$ZN$1,0)),"na")</f>
        <v>101.52</v>
      </c>
      <c r="Z5">
        <f>IF(ISNUMBER(INDEX(Haver_M!$B$1:$ZN$1000,MATCH(data!$A5,Haver_M!$B$1:$B$1000,0),MATCH(data!Z$1,Haver_M!$B$1:$ZN$1,0))),INDEX(Haver_M!$B$1:$ZN$1000,MATCH(data!$A5,Haver_M!$B$1:$B$1000,0),MATCH(data!Z$1,Haver_M!$B$1:$ZN$1,0)),"na")</f>
        <v>75.744399999999999</v>
      </c>
      <c r="AA5" t="str">
        <f>IF(ISNUMBER(INDEX(Haver_M!$B$1:$ZN$1000,MATCH(data!$A5,Haver_M!$B$1:$B$1000,0),MATCH(data!AA$1,Haver_M!$B$1:$ZN$1,0))),INDEX(Haver_M!$B$1:$ZN$1000,MATCH(data!$A5,Haver_M!$B$1:$B$1000,0),MATCH(data!AA$1,Haver_M!$B$1:$ZN$1,0)),"na")</f>
        <v>na</v>
      </c>
      <c r="AB5">
        <f>IF(ISNUMBER(INDEX(Haver_M!$B$1:$ZN$1000,MATCH(data!$A5,Haver_M!$B$1:$B$1000,0),MATCH(data!AB$1,Haver_M!$B$1:$ZN$1,0))),INDEX(Haver_M!$B$1:$ZN$1000,MATCH(data!$A5,Haver_M!$B$1:$B$1000,0),MATCH(data!AB$1,Haver_M!$B$1:$ZN$1,0)),"na")</f>
        <v>13176.4</v>
      </c>
      <c r="AC5">
        <f>IF(ISNUMBER(INDEX(Haver_M!$B$1:$ZN$1000,MATCH(data!$A5,Haver_M!$B$1:$B$1000,0),MATCH(data!AC$1,Haver_M!$B$1:$ZN$1,0))),INDEX(Haver_M!$B$1:$ZN$1000,MATCH(data!$A5,Haver_M!$B$1:$B$1000,0),MATCH(data!AC$1,Haver_M!$B$1:$ZN$1,0)),"na")</f>
        <v>13844.5</v>
      </c>
      <c r="AD5">
        <f>IF(ISNUMBER(INDEX(Haver_M!$B$1:$ZN$1000,MATCH(data!$A5,Haver_M!$B$1:$B$1000,0),MATCH(data!AD$1,Haver_M!$B$1:$ZN$1,0))),INDEX(Haver_M!$B$1:$ZN$1000,MATCH(data!$A5,Haver_M!$B$1:$B$1000,0),MATCH(data!AD$1,Haver_M!$B$1:$ZN$1,0)),"na")</f>
        <v>101.61</v>
      </c>
      <c r="AE5" t="str">
        <f>IF(ISNUMBER(INDEX(Haver_M!$B$1:$ZN$1000,MATCH(data!$A5,Haver_M!$B$1:$B$1000,0),MATCH(data!AE$1,Haver_M!$B$1:$ZN$1,0))),INDEX(Haver_M!$B$1:$ZN$1000,MATCH(data!$A5,Haver_M!$B$1:$B$1000,0),MATCH(data!AE$1,Haver_M!$B$1:$ZN$1,0)),"na")</f>
        <v>na</v>
      </c>
      <c r="AF5" t="str">
        <f>IF(ISNUMBER(INDEX(Haver_M!$B$1:$ZN$1000,MATCH(data!$A5,Haver_M!$B$1:$B$1000,0),MATCH(data!AF$1,Haver_M!$B$1:$ZN$1,0))),INDEX(Haver_M!$B$1:$ZN$1000,MATCH(data!$A5,Haver_M!$B$1:$B$1000,0),MATCH(data!AF$1,Haver_M!$B$1:$ZN$1,0)),"na")</f>
        <v>na</v>
      </c>
      <c r="AG5" t="str">
        <f>IF(ISNUMBER(INDEX(Haver_M!$B$1:$ZN$1000,MATCH(data!$A5,Haver_M!$B$1:$B$1000,0),MATCH(data!AG$1,Haver_M!$B$1:$ZN$1,0))),INDEX(Haver_M!$B$1:$ZN$1000,MATCH(data!$A5,Haver_M!$B$1:$B$1000,0),MATCH(data!AG$1,Haver_M!$B$1:$ZN$1,0)),"na")</f>
        <v>na</v>
      </c>
      <c r="AH5" t="str">
        <f>IF(ISNUMBER(INDEX(Haver_M!$B$1:$ZN$1000,MATCH(data!$A5,Haver_M!$B$1:$B$1000,0),MATCH(data!AH$1,Haver_M!$B$1:$ZN$1,0))),INDEX(Haver_M!$B$1:$ZN$1000,MATCH(data!$A5,Haver_M!$B$1:$B$1000,0),MATCH(data!AH$1,Haver_M!$B$1:$ZN$1,0)),"na")</f>
        <v>na</v>
      </c>
      <c r="AI5" t="str">
        <f>IF(ISNUMBER(INDEX(Haver_M!$B$1:$ZN$1000,MATCH(data!$A5,Haver_M!$B$1:$B$1000,0),MATCH(data!AI$1,Haver_M!$B$1:$ZN$1,0))),INDEX(Haver_M!$B$1:$ZN$1000,MATCH(data!$A5,Haver_M!$B$1:$B$1000,0),MATCH(data!AI$1,Haver_M!$B$1:$ZN$1,0)),"na")</f>
        <v>na</v>
      </c>
      <c r="AJ5" t="str">
        <f>IF(ISNUMBER(INDEX(Haver_M!$B$1:$ZN$1000,MATCH(data!$A5,Haver_M!$B$1:$B$1000,0),MATCH(data!AJ$1,Haver_M!$B$1:$ZN$1,0))),INDEX(Haver_M!$B$1:$ZN$1000,MATCH(data!$A5,Haver_M!$B$1:$B$1000,0),MATCH(data!AJ$1,Haver_M!$B$1:$ZN$1,0)),"na")</f>
        <v>na</v>
      </c>
      <c r="AK5" t="str">
        <f>IF(ISNUMBER(INDEX(Haver_M!$B$1:$ZN$1000,MATCH(data!$A5,Haver_M!$B$1:$B$1000,0),MATCH(data!AK$1,Haver_M!$B$1:$ZN$1,0))),INDEX(Haver_M!$B$1:$ZN$1000,MATCH(data!$A5,Haver_M!$B$1:$B$1000,0),MATCH(data!AK$1,Haver_M!$B$1:$ZN$1,0)),"na")</f>
        <v>na</v>
      </c>
      <c r="AL5" t="str">
        <f>IF(ISNUMBER(INDEX(Haver_M!$B$1:$ZN$1000,MATCH(data!$A5,Haver_M!$B$1:$B$1000,0),MATCH(data!AL$1,Haver_M!$B$1:$ZN$1,0))),INDEX(Haver_M!$B$1:$ZN$1000,MATCH(data!$A5,Haver_M!$B$1:$B$1000,0),MATCH(data!AL$1,Haver_M!$B$1:$ZN$1,0)),"na")</f>
        <v>na</v>
      </c>
      <c r="AM5" t="str">
        <f>IF(ISNUMBER(INDEX(Haver_M!$B$1:$ZN$1000,MATCH(data!$A5,Haver_M!$B$1:$B$1000,0),MATCH(data!AM$1,Haver_M!$B$1:$ZN$1,0))),INDEX(Haver_M!$B$1:$ZN$1000,MATCH(data!$A5,Haver_M!$B$1:$B$1000,0),MATCH(data!AM$1,Haver_M!$B$1:$ZN$1,0)),"na")</f>
        <v>na</v>
      </c>
      <c r="AN5" t="str">
        <f>IF(ISNUMBER(INDEX(Haver_M!$B$1:$ZN$1000,MATCH(data!$A5,Haver_M!$B$1:$B$1000,0),MATCH(data!AN$1,Haver_M!$B$1:$ZN$1,0))),INDEX(Haver_M!$B$1:$ZN$1000,MATCH(data!$A5,Haver_M!$B$1:$B$1000,0),MATCH(data!AN$1,Haver_M!$B$1:$ZN$1,0)),"na")</f>
        <v>na</v>
      </c>
      <c r="AO5" t="str">
        <f>IF(ISNUMBER(INDEX(Haver_M!$B$1:$ZN$1000,MATCH(data!$A5,Haver_M!$B$1:$B$1000,0),MATCH(data!AO$1,Haver_M!$B$1:$ZN$1,0))),INDEX(Haver_M!$B$1:$ZN$1000,MATCH(data!$A5,Haver_M!$B$1:$B$1000,0),MATCH(data!AO$1,Haver_M!$B$1:$ZN$1,0)),"na")</f>
        <v>na</v>
      </c>
      <c r="AP5" t="str">
        <f>IF(ISNUMBER(INDEX(Haver_M!$B$1:$ZN$1000,MATCH(data!$A5,Haver_M!$B$1:$B$1000,0),MATCH(data!AP$1,Haver_M!$B$1:$ZN$1,0))),INDEX(Haver_M!$B$1:$ZN$1000,MATCH(data!$A5,Haver_M!$B$1:$B$1000,0),MATCH(data!AP$1,Haver_M!$B$1:$ZN$1,0)),"na")</f>
        <v>na</v>
      </c>
      <c r="AQ5" t="str">
        <f>IF(ISNUMBER(INDEX(Haver_M!$B$1:$ZN$1000,MATCH(data!$A5,Haver_M!$B$1:$B$1000,0),MATCH(data!AQ$1,Haver_M!$B$1:$ZN$1,0))),INDEX(Haver_M!$B$1:$ZN$1000,MATCH(data!$A5,Haver_M!$B$1:$B$1000,0),MATCH(data!AQ$1,Haver_M!$B$1:$ZN$1,0)),"na")</f>
        <v>na</v>
      </c>
      <c r="AR5" t="str">
        <f>IF(ISNUMBER(INDEX(Haver_M!$B$1:$ZN$1000,MATCH(data!$A5,Haver_M!$B$1:$B$1000,0),MATCH(data!AR$1,Haver_M!$B$1:$ZN$1,0))),INDEX(Haver_M!$B$1:$ZN$1000,MATCH(data!$A5,Haver_M!$B$1:$B$1000,0),MATCH(data!AR$1,Haver_M!$B$1:$ZN$1,0)),"na")</f>
        <v>na</v>
      </c>
      <c r="AS5">
        <f>IF(ISNUMBER(INDEX(Haver_M!$B$1:$ZN$1000,MATCH(data!$A5,Haver_M!$B$1:$B$1000,0),MATCH(data!AS$1,Haver_M!$B$1:$ZN$1,0))),INDEX(Haver_M!$B$1:$ZN$1000,MATCH(data!$A5,Haver_M!$B$1:$B$1000,0),MATCH(data!AS$1,Haver_M!$B$1:$ZN$1,0)),"na")</f>
        <v>6918.29</v>
      </c>
      <c r="AT5">
        <f>IF(ISNUMBER(INDEX(Haver_M!$B$1:$ZN$1000,MATCH(data!$A5,Haver_M!$B$1:$B$1000,0),MATCH(data!AT$1,Haver_M!$B$1:$ZN$1,0))),INDEX(Haver_M!$B$1:$ZN$1000,MATCH(data!$A5,Haver_M!$B$1:$B$1000,0),MATCH(data!AT$1,Haver_M!$B$1:$ZN$1,0)),"na")</f>
        <v>76.807000000000002</v>
      </c>
      <c r="AU5">
        <f>IF(ISNUMBER(INDEX(Haver_M!$B$1:$ZN$1000,MATCH(data!$A5,Haver_M!$B$1:$B$1000,0),MATCH(data!AU$1,Haver_M!$B$1:$ZN$1,0))),INDEX(Haver_M!$B$1:$ZN$1000,MATCH(data!$A5,Haver_M!$B$1:$B$1000,0),MATCH(data!AU$1,Haver_M!$B$1:$ZN$1,0)),"na")</f>
        <v>79.397634999999994</v>
      </c>
      <c r="AV5">
        <f>IF(ISNUMBER(INDEX(Haver_M!$B$1:$ZN$1000,MATCH(data!$A5,Haver_M!$B$1:$B$1000,0),MATCH(data!AV$1,Haver_M!$B$1:$ZN$1,0))),INDEX(Haver_M!$B$1:$ZN$1000,MATCH(data!$A5,Haver_M!$B$1:$B$1000,0),MATCH(data!AV$1,Haver_M!$B$1:$ZN$1,0)),"na")</f>
        <v>77.400000000000006</v>
      </c>
      <c r="AW5">
        <f>IF(ISNUMBER(INDEX(Haver_M!$B$1:$ZN$1000,MATCH(data!$A5,Haver_M!$B$1:$B$1000,0),MATCH(data!AW$1,Haver_M!$B$1:$ZN$1,0))),INDEX(Haver_M!$B$1:$ZN$1000,MATCH(data!$A5,Haver_M!$B$1:$B$1000,0),MATCH(data!AW$1,Haver_M!$B$1:$ZN$1,0)),"na")</f>
        <v>654738.81842873082</v>
      </c>
      <c r="AX5">
        <f>IF(ISNUMBER(INDEX(Haver_M!$B$1:$ZN$1000,MATCH(data!$A5,Haver_M!$B$1:$B$1000,0),MATCH(data!AX$1,Haver_M!$B$1:$ZN$1,0))),INDEX(Haver_M!$B$1:$ZN$1000,MATCH(data!$A5,Haver_M!$B$1:$B$1000,0),MATCH(data!AX$1,Haver_M!$B$1:$ZN$1,0)),"na")</f>
        <v>3053</v>
      </c>
      <c r="AY5">
        <f>IF(ISNUMBER(INDEX(Haver_M!$B$1:$ZN$1000,MATCH(data!$A5,Haver_M!$B$1:$B$1000,0),MATCH(data!AY$1,Haver_M!$B$1:$ZN$1,0))),INDEX(Haver_M!$B$1:$ZN$1000,MATCH(data!$A5,Haver_M!$B$1:$B$1000,0),MATCH(data!AY$1,Haver_M!$B$1:$ZN$1,0)),"na")</f>
        <v>1679</v>
      </c>
      <c r="AZ5" t="str">
        <f>IF(ISNUMBER(INDEX(Haver_M!$B$1:$ZN$1000,MATCH(data!$A5,Haver_M!$B$1:$B$1000,0),MATCH(data!AZ$1,Haver_M!$B$1:$ZN$1,0))),INDEX(Haver_M!$B$1:$ZN$1000,MATCH(data!$A5,Haver_M!$B$1:$B$1000,0),MATCH(data!AZ$1,Haver_M!$B$1:$ZN$1,0)),"na")</f>
        <v>na</v>
      </c>
      <c r="BA5">
        <f>IF(ISNUMBER(INDEX(Haver_M!$B$1:$ZN$1000,MATCH(data!$A5,Haver_M!$B$1:$B$1000,0),MATCH(data!BA$1,Haver_M!$B$1:$ZN$1,0))),INDEX(Haver_M!$B$1:$ZN$1000,MATCH(data!$A5,Haver_M!$B$1:$B$1000,0),MATCH(data!BA$1,Haver_M!$B$1:$ZN$1,0)),"na")</f>
        <v>108.5146426360256</v>
      </c>
      <c r="BB5" t="str">
        <f>IF(ISNUMBER(INDEX(Haver_M!$B$1:$ZN$1000,MATCH(data!$A5,Haver_M!$B$1:$B$1000,0),MATCH(data!BB$1,Haver_M!$B$1:$ZN$1,0))),INDEX(Haver_M!$B$1:$ZN$1000,MATCH(data!$A5,Haver_M!$B$1:$B$1000,0),MATCH(data!BB$1,Haver_M!$B$1:$ZN$1,0)),"")</f>
        <v/>
      </c>
    </row>
    <row r="6" spans="1:54" x14ac:dyDescent="0.25">
      <c r="A6" s="2">
        <v>36677</v>
      </c>
      <c r="B6" t="str">
        <f>IF(ISNUMBER(INDEX(Haver_Q!$B$1:$BD$1000,MATCH(data!$A6,Haver_Q!$B$1:$B$1000,0),MATCH(data!B$1,Haver_Q!$B$1:$BD$1,0))),100*INDEX(Haver_Q!$B$1:$BD$1000,MATCH(data!$A6,Haver_Q!$B$1:$B$1000,0),MATCH(data!B$1,Haver_Q!$B$1:$BD$1,0)),"na")</f>
        <v>na</v>
      </c>
      <c r="C6" t="str">
        <f>IF(ISNUMBER(INDEX(Haver_Q!$B$1:$BD$1000,MATCH(data!$A6,Haver_Q!$B$1:$B$1000,0),MATCH(data!C$1,Haver_Q!$B$1:$BD$1,0))),100*INDEX(Haver_Q!$B$1:$BD$1000,MATCH(data!$A6,Haver_Q!$B$1:$B$1000,0),MATCH(data!C$1,Haver_Q!$B$1:$BD$1,0)),"na")</f>
        <v>na</v>
      </c>
      <c r="D6" t="str">
        <f>IF(ISNUMBER(INDEX(Haver_Q!$B$1:$BD$1000,MATCH(data!$A6,Haver_Q!$B$1:$B$1000,0),MATCH(data!D$1,Haver_Q!$B$1:$BD$1,0))),100*INDEX(Haver_Q!$B$1:$BD$1000,MATCH(data!$A6,Haver_Q!$B$1:$B$1000,0),MATCH(data!D$1,Haver_Q!$B$1:$BD$1,0)),"na")</f>
        <v>na</v>
      </c>
      <c r="E6" t="str">
        <f>IF(ISNUMBER(INDEX(Haver_Q!$B$1:$BD$1000,MATCH(data!$A6,Haver_Q!$B$1:$B$1000,0),MATCH(data!E$1,Haver_Q!$B$1:$BD$1,0))),100*INDEX(Haver_Q!$B$1:$BD$1000,MATCH(data!$A6,Haver_Q!$B$1:$B$1000,0),MATCH(data!E$1,Haver_Q!$B$1:$BD$1,0)),"na")</f>
        <v>na</v>
      </c>
      <c r="F6" t="str">
        <f>IF(ISNUMBER(INDEX(Haver_Q!$B$1:$BD$1000,MATCH(data!$A6,Haver_Q!$B$1:$B$1000,0),MATCH(data!F$1,Haver_Q!$B$1:$BD$1,0))),100*INDEX(Haver_Q!$B$1:$BD$1000,MATCH(data!$A6,Haver_Q!$B$1:$B$1000,0),MATCH(data!F$1,Haver_Q!$B$1:$BD$1,0)),"na")</f>
        <v>na</v>
      </c>
      <c r="G6" t="str">
        <f>IF(ISNUMBER(INDEX(Haver_Q!$B$1:$BD$1000,MATCH(data!$A6,Haver_Q!$B$1:$B$1000,0),MATCH(data!G$1,Haver_Q!$B$1:$BD$1,0))),100*INDEX(Haver_Q!$B$1:$BD$1000,MATCH(data!$A6,Haver_Q!$B$1:$B$1000,0),MATCH(data!G$1,Haver_Q!$B$1:$BD$1,0)),"na")</f>
        <v>na</v>
      </c>
      <c r="H6" t="str">
        <f>IF(ISNUMBER(INDEX(Haver_Q!$B$1:$BD$1000,MATCH(data!$A6,Haver_Q!$B$1:$B$1000,0),MATCH(data!H$1,Haver_Q!$B$1:$BD$1,0))),100*INDEX(Haver_Q!$B$1:$BD$1000,MATCH(data!$A6,Haver_Q!$B$1:$B$1000,0),MATCH(data!H$1,Haver_Q!$B$1:$BD$1,0)),"na")</f>
        <v>na</v>
      </c>
      <c r="I6" s="3">
        <f>IF(ISNUMBER(Bloomberg_m!C22),Bloomberg_m!C22,"na")</f>
        <v>1602</v>
      </c>
      <c r="J6" s="3" t="str">
        <f>IF(ISNUMBER(Bloomberg_m!D22),Bloomberg_m!D22,"na")</f>
        <v>na</v>
      </c>
      <c r="K6" s="3" t="str">
        <f>IF(ISNUMBER(Bloomberg_m!E22),Bloomberg_m!E22,"na")</f>
        <v>na</v>
      </c>
      <c r="L6" s="3">
        <f>IF(ISNUMBER(Bloomberg_m!L22),Bloomberg_m!L22,"na")</f>
        <v>28.78</v>
      </c>
      <c r="M6" t="str">
        <f>IF(ISNUMBER(INDEX(Haver_M!$B$1:$ZN$1000,MATCH(data!$A6,Haver_M!$B$1:$B$1000,0),MATCH(data!M$1,Haver_M!$B$1:$ZN$1,0))),INDEX(Haver_M!$B$1:$ZN$1000,MATCH(data!$A6,Haver_M!$B$1:$B$1000,0),MATCH(data!M$1,Haver_M!$B$1:$ZN$1,0)),"na")</f>
        <v>na</v>
      </c>
      <c r="N6" t="str">
        <f>IF(ISNUMBER(INDEX(Haver_M!$B$1:$ZN$1000,MATCH(data!$A6,Haver_M!$B$1:$B$1000,0),MATCH(data!N$1,Haver_M!$B$1:$ZN$1,0))),INDEX(Haver_M!$B$1:$ZN$1000,MATCH(data!$A6,Haver_M!$B$1:$B$1000,0),MATCH(data!N$1,Haver_M!$B$1:$ZN$1,0)),"na")</f>
        <v>na</v>
      </c>
      <c r="O6">
        <f>IF(ISNUMBER(INDEX(Haver_M!$B$1:$ZN$1000,MATCH(data!$A6,Haver_M!$B$1:$B$1000,0),MATCH(data!O$1,Haver_M!$B$1:$ZN$1,0))),INDEX(Haver_M!$B$1:$ZN$1000,MATCH(data!$A6,Haver_M!$B$1:$B$1000,0),MATCH(data!O$1,Haver_M!$B$1:$ZN$1,0)),"na")</f>
        <v>116.64525999999999</v>
      </c>
      <c r="P6">
        <f>IF(ISNUMBER(INDEX(Haver_M!$B$1:$ZN$1000,MATCH(data!$A6,Haver_M!$B$1:$B$1000,0),MATCH(data!P$1,Haver_M!$B$1:$ZN$1,0))),INDEX(Haver_M!$B$1:$ZN$1000,MATCH(data!$A6,Haver_M!$B$1:$B$1000,0),MATCH(data!P$1,Haver_M!$B$1:$ZN$1,0)),"na")</f>
        <v>45.965499999999999</v>
      </c>
      <c r="Q6">
        <f>IF(ISNUMBER(INDEX(Haver_M!$B$1:$ZN$1000,MATCH(data!$A6,Haver_M!$B$1:$B$1000,0),MATCH(data!Q$1,Haver_M!$B$1:$ZN$1,0))),INDEX(Haver_M!$B$1:$ZN$1000,MATCH(data!$A6,Haver_M!$B$1:$B$1000,0),MATCH(data!Q$1,Haver_M!$B$1:$ZN$1,0)),"na")</f>
        <v>50.143999999999998</v>
      </c>
      <c r="R6">
        <f>IF(ISNUMBER(INDEX(Haver_M!$B$1:$ZN$1000,MATCH(data!$A6,Haver_M!$B$1:$B$1000,0),MATCH(data!R$1,Haver_M!$B$1:$ZN$1,0))),INDEX(Haver_M!$B$1:$ZN$1000,MATCH(data!$A6,Haver_M!$B$1:$B$1000,0),MATCH(data!R$1,Haver_M!$B$1:$ZN$1,0)),"na")</f>
        <v>91.172399999999996</v>
      </c>
      <c r="S6">
        <f>IF(ISNUMBER(INDEX(Haver_M!$B$1:$ZN$1000,MATCH(data!$A6,Haver_M!$B$1:$B$1000,0),MATCH(data!S$1,Haver_M!$B$1:$ZN$1,0))),INDEX(Haver_M!$B$1:$ZN$1000,MATCH(data!$A6,Haver_M!$B$1:$B$1000,0),MATCH(data!S$1,Haver_M!$B$1:$ZN$1,0)),"na")</f>
        <v>103.1344</v>
      </c>
      <c r="T6">
        <f>IF(ISNUMBER(INDEX(Haver_M!$B$1:$ZN$1000,MATCH(data!$A6,Haver_M!$B$1:$B$1000,0),MATCH(data!T$1,Haver_M!$B$1:$ZN$1,0))),INDEX(Haver_M!$B$1:$ZN$1000,MATCH(data!$A6,Haver_M!$B$1:$B$1000,0),MATCH(data!T$1,Haver_M!$B$1:$ZN$1,0)),"na")</f>
        <v>55.1982</v>
      </c>
      <c r="U6">
        <f>IF(ISNUMBER(INDEX(Haver_M!$B$1:$ZN$1000,MATCH(data!$A6,Haver_M!$B$1:$B$1000,0),MATCH(data!U$1,Haver_M!$B$1:$ZN$1,0))),INDEX(Haver_M!$B$1:$ZN$1000,MATCH(data!$A6,Haver_M!$B$1:$B$1000,0),MATCH(data!U$1,Haver_M!$B$1:$ZN$1,0)),"na")</f>
        <v>85.569500000000005</v>
      </c>
      <c r="V6">
        <f>IF(ISNUMBER(INDEX(Haver_M!$B$1:$ZN$1000,MATCH(data!$A6,Haver_M!$B$1:$B$1000,0),MATCH(data!V$1,Haver_M!$B$1:$ZN$1,0))),INDEX(Haver_M!$B$1:$ZN$1000,MATCH(data!$A6,Haver_M!$B$1:$B$1000,0),MATCH(data!V$1,Haver_M!$B$1:$ZN$1,0)),"na")</f>
        <v>91.627700000000004</v>
      </c>
      <c r="W6">
        <f>IF(ISNUMBER(INDEX(Haver_M!$B$1:$ZN$1000,MATCH(data!$A6,Haver_M!$B$1:$B$1000,0),MATCH(data!W$1,Haver_M!$B$1:$ZN$1,0))),INDEX(Haver_M!$B$1:$ZN$1000,MATCH(data!$A6,Haver_M!$B$1:$B$1000,0),MATCH(data!W$1,Haver_M!$B$1:$ZN$1,0)),"na")</f>
        <v>2.72</v>
      </c>
      <c r="X6" t="str">
        <f>IF(ISNUMBER(INDEX(Haver_M!$B$1:$ZN$1000,MATCH(data!$A6,Haver_M!$B$1:$B$1000,0),MATCH(data!X$1,Haver_M!$B$1:$ZN$1,0))),INDEX(Haver_M!$B$1:$ZN$1000,MATCH(data!$A6,Haver_M!$B$1:$B$1000,0),MATCH(data!X$1,Haver_M!$B$1:$ZN$1,0)),"na")</f>
        <v>na</v>
      </c>
      <c r="Y6">
        <f>IF(ISNUMBER(INDEX(Haver_M!$B$1:$ZN$1000,MATCH(data!$A6,Haver_M!$B$1:$B$1000,0),MATCH(data!Y$1,Haver_M!$B$1:$ZN$1,0))),INDEX(Haver_M!$B$1:$ZN$1000,MATCH(data!$A6,Haver_M!$B$1:$B$1000,0),MATCH(data!Y$1,Haver_M!$B$1:$ZN$1,0)),"na")</f>
        <v>101.44</v>
      </c>
      <c r="Z6">
        <f>IF(ISNUMBER(INDEX(Haver_M!$B$1:$ZN$1000,MATCH(data!$A6,Haver_M!$B$1:$B$1000,0),MATCH(data!Z$1,Haver_M!$B$1:$ZN$1,0))),INDEX(Haver_M!$B$1:$ZN$1000,MATCH(data!$A6,Haver_M!$B$1:$B$1000,0),MATCH(data!Z$1,Haver_M!$B$1:$ZN$1,0)),"na")</f>
        <v>76.811199999999999</v>
      </c>
      <c r="AA6" t="str">
        <f>IF(ISNUMBER(INDEX(Haver_M!$B$1:$ZN$1000,MATCH(data!$A6,Haver_M!$B$1:$B$1000,0),MATCH(data!AA$1,Haver_M!$B$1:$ZN$1,0))),INDEX(Haver_M!$B$1:$ZN$1000,MATCH(data!$A6,Haver_M!$B$1:$B$1000,0),MATCH(data!AA$1,Haver_M!$B$1:$ZN$1,0)),"na")</f>
        <v>na</v>
      </c>
      <c r="AB6">
        <f>IF(ISNUMBER(INDEX(Haver_M!$B$1:$ZN$1000,MATCH(data!$A6,Haver_M!$B$1:$B$1000,0),MATCH(data!AB$1,Haver_M!$B$1:$ZN$1,0))),INDEX(Haver_M!$B$1:$ZN$1000,MATCH(data!$A6,Haver_M!$B$1:$B$1000,0),MATCH(data!AB$1,Haver_M!$B$1:$ZN$1,0)),"na")</f>
        <v>13561.4</v>
      </c>
      <c r="AC6">
        <f>IF(ISNUMBER(INDEX(Haver_M!$B$1:$ZN$1000,MATCH(data!$A6,Haver_M!$B$1:$B$1000,0),MATCH(data!AC$1,Haver_M!$B$1:$ZN$1,0))),INDEX(Haver_M!$B$1:$ZN$1000,MATCH(data!$A6,Haver_M!$B$1:$B$1000,0),MATCH(data!AC$1,Haver_M!$B$1:$ZN$1,0)),"na")</f>
        <v>14366.8</v>
      </c>
      <c r="AD6">
        <f>IF(ISNUMBER(INDEX(Haver_M!$B$1:$ZN$1000,MATCH(data!$A6,Haver_M!$B$1:$B$1000,0),MATCH(data!AD$1,Haver_M!$B$1:$ZN$1,0))),INDEX(Haver_M!$B$1:$ZN$1000,MATCH(data!$A6,Haver_M!$B$1:$B$1000,0),MATCH(data!AD$1,Haver_M!$B$1:$ZN$1,0)),"na")</f>
        <v>101.74</v>
      </c>
      <c r="AE6" t="str">
        <f>IF(ISNUMBER(INDEX(Haver_M!$B$1:$ZN$1000,MATCH(data!$A6,Haver_M!$B$1:$B$1000,0),MATCH(data!AE$1,Haver_M!$B$1:$ZN$1,0))),INDEX(Haver_M!$B$1:$ZN$1000,MATCH(data!$A6,Haver_M!$B$1:$B$1000,0),MATCH(data!AE$1,Haver_M!$B$1:$ZN$1,0)),"na")</f>
        <v>na</v>
      </c>
      <c r="AF6" t="str">
        <f>IF(ISNUMBER(INDEX(Haver_M!$B$1:$ZN$1000,MATCH(data!$A6,Haver_M!$B$1:$B$1000,0),MATCH(data!AF$1,Haver_M!$B$1:$ZN$1,0))),INDEX(Haver_M!$B$1:$ZN$1000,MATCH(data!$A6,Haver_M!$B$1:$B$1000,0),MATCH(data!AF$1,Haver_M!$B$1:$ZN$1,0)),"na")</f>
        <v>na</v>
      </c>
      <c r="AG6" t="str">
        <f>IF(ISNUMBER(INDEX(Haver_M!$B$1:$ZN$1000,MATCH(data!$A6,Haver_M!$B$1:$B$1000,0),MATCH(data!AG$1,Haver_M!$B$1:$ZN$1,0))),INDEX(Haver_M!$B$1:$ZN$1000,MATCH(data!$A6,Haver_M!$B$1:$B$1000,0),MATCH(data!AG$1,Haver_M!$B$1:$ZN$1,0)),"na")</f>
        <v>na</v>
      </c>
      <c r="AH6" t="str">
        <f>IF(ISNUMBER(INDEX(Haver_M!$B$1:$ZN$1000,MATCH(data!$A6,Haver_M!$B$1:$B$1000,0),MATCH(data!AH$1,Haver_M!$B$1:$ZN$1,0))),INDEX(Haver_M!$B$1:$ZN$1000,MATCH(data!$A6,Haver_M!$B$1:$B$1000,0),MATCH(data!AH$1,Haver_M!$B$1:$ZN$1,0)),"na")</f>
        <v>na</v>
      </c>
      <c r="AI6" t="str">
        <f>IF(ISNUMBER(INDEX(Haver_M!$B$1:$ZN$1000,MATCH(data!$A6,Haver_M!$B$1:$B$1000,0),MATCH(data!AI$1,Haver_M!$B$1:$ZN$1,0))),INDEX(Haver_M!$B$1:$ZN$1000,MATCH(data!$A6,Haver_M!$B$1:$B$1000,0),MATCH(data!AI$1,Haver_M!$B$1:$ZN$1,0)),"na")</f>
        <v>na</v>
      </c>
      <c r="AJ6" t="str">
        <f>IF(ISNUMBER(INDEX(Haver_M!$B$1:$ZN$1000,MATCH(data!$A6,Haver_M!$B$1:$B$1000,0),MATCH(data!AJ$1,Haver_M!$B$1:$ZN$1,0))),INDEX(Haver_M!$B$1:$ZN$1000,MATCH(data!$A6,Haver_M!$B$1:$B$1000,0),MATCH(data!AJ$1,Haver_M!$B$1:$ZN$1,0)),"na")</f>
        <v>na</v>
      </c>
      <c r="AK6" t="str">
        <f>IF(ISNUMBER(INDEX(Haver_M!$B$1:$ZN$1000,MATCH(data!$A6,Haver_M!$B$1:$B$1000,0),MATCH(data!AK$1,Haver_M!$B$1:$ZN$1,0))),INDEX(Haver_M!$B$1:$ZN$1000,MATCH(data!$A6,Haver_M!$B$1:$B$1000,0),MATCH(data!AK$1,Haver_M!$B$1:$ZN$1,0)),"na")</f>
        <v>na</v>
      </c>
      <c r="AL6" t="str">
        <f>IF(ISNUMBER(INDEX(Haver_M!$B$1:$ZN$1000,MATCH(data!$A6,Haver_M!$B$1:$B$1000,0),MATCH(data!AL$1,Haver_M!$B$1:$ZN$1,0))),INDEX(Haver_M!$B$1:$ZN$1000,MATCH(data!$A6,Haver_M!$B$1:$B$1000,0),MATCH(data!AL$1,Haver_M!$B$1:$ZN$1,0)),"na")</f>
        <v>na</v>
      </c>
      <c r="AM6" t="str">
        <f>IF(ISNUMBER(INDEX(Haver_M!$B$1:$ZN$1000,MATCH(data!$A6,Haver_M!$B$1:$B$1000,0),MATCH(data!AM$1,Haver_M!$B$1:$ZN$1,0))),INDEX(Haver_M!$B$1:$ZN$1000,MATCH(data!$A6,Haver_M!$B$1:$B$1000,0),MATCH(data!AM$1,Haver_M!$B$1:$ZN$1,0)),"na")</f>
        <v>na</v>
      </c>
      <c r="AN6" t="str">
        <f>IF(ISNUMBER(INDEX(Haver_M!$B$1:$ZN$1000,MATCH(data!$A6,Haver_M!$B$1:$B$1000,0),MATCH(data!AN$1,Haver_M!$B$1:$ZN$1,0))),INDEX(Haver_M!$B$1:$ZN$1000,MATCH(data!$A6,Haver_M!$B$1:$B$1000,0),MATCH(data!AN$1,Haver_M!$B$1:$ZN$1,0)),"na")</f>
        <v>na</v>
      </c>
      <c r="AO6" t="str">
        <f>IF(ISNUMBER(INDEX(Haver_M!$B$1:$ZN$1000,MATCH(data!$A6,Haver_M!$B$1:$B$1000,0),MATCH(data!AO$1,Haver_M!$B$1:$ZN$1,0))),INDEX(Haver_M!$B$1:$ZN$1000,MATCH(data!$A6,Haver_M!$B$1:$B$1000,0),MATCH(data!AO$1,Haver_M!$B$1:$ZN$1,0)),"na")</f>
        <v>na</v>
      </c>
      <c r="AP6" t="str">
        <f>IF(ISNUMBER(INDEX(Haver_M!$B$1:$ZN$1000,MATCH(data!$A6,Haver_M!$B$1:$B$1000,0),MATCH(data!AP$1,Haver_M!$B$1:$ZN$1,0))),INDEX(Haver_M!$B$1:$ZN$1000,MATCH(data!$A6,Haver_M!$B$1:$B$1000,0),MATCH(data!AP$1,Haver_M!$B$1:$ZN$1,0)),"na")</f>
        <v>na</v>
      </c>
      <c r="AQ6" t="str">
        <f>IF(ISNUMBER(INDEX(Haver_M!$B$1:$ZN$1000,MATCH(data!$A6,Haver_M!$B$1:$B$1000,0),MATCH(data!AQ$1,Haver_M!$B$1:$ZN$1,0))),INDEX(Haver_M!$B$1:$ZN$1000,MATCH(data!$A6,Haver_M!$B$1:$B$1000,0),MATCH(data!AQ$1,Haver_M!$B$1:$ZN$1,0)),"na")</f>
        <v>na</v>
      </c>
      <c r="AR6" t="str">
        <f>IF(ISNUMBER(INDEX(Haver_M!$B$1:$ZN$1000,MATCH(data!$A6,Haver_M!$B$1:$B$1000,0),MATCH(data!AR$1,Haver_M!$B$1:$ZN$1,0))),INDEX(Haver_M!$B$1:$ZN$1000,MATCH(data!$A6,Haver_M!$B$1:$B$1000,0),MATCH(data!AR$1,Haver_M!$B$1:$ZN$1,0)),"na")</f>
        <v>na</v>
      </c>
      <c r="AS6">
        <f>IF(ISNUMBER(INDEX(Haver_M!$B$1:$ZN$1000,MATCH(data!$A6,Haver_M!$B$1:$B$1000,0),MATCH(data!AS$1,Haver_M!$B$1:$ZN$1,0))),INDEX(Haver_M!$B$1:$ZN$1000,MATCH(data!$A6,Haver_M!$B$1:$B$1000,0),MATCH(data!AS$1,Haver_M!$B$1:$ZN$1,0)),"na")</f>
        <v>6067.96</v>
      </c>
      <c r="AT6">
        <f>IF(ISNUMBER(INDEX(Haver_M!$B$1:$ZN$1000,MATCH(data!$A6,Haver_M!$B$1:$B$1000,0),MATCH(data!AT$1,Haver_M!$B$1:$ZN$1,0))),INDEX(Haver_M!$B$1:$ZN$1000,MATCH(data!$A6,Haver_M!$B$1:$B$1000,0),MATCH(data!AT$1,Haver_M!$B$1:$ZN$1,0)),"na")</f>
        <v>77.430000000000007</v>
      </c>
      <c r="AU6">
        <f>IF(ISNUMBER(INDEX(Haver_M!$B$1:$ZN$1000,MATCH(data!$A6,Haver_M!$B$1:$B$1000,0),MATCH(data!AU$1,Haver_M!$B$1:$ZN$1,0))),INDEX(Haver_M!$B$1:$ZN$1000,MATCH(data!$A6,Haver_M!$B$1:$B$1000,0),MATCH(data!AU$1,Haver_M!$B$1:$ZN$1,0)),"na")</f>
        <v>79.856351000000004</v>
      </c>
      <c r="AV6">
        <f>IF(ISNUMBER(INDEX(Haver_M!$B$1:$ZN$1000,MATCH(data!$A6,Haver_M!$B$1:$B$1000,0),MATCH(data!AV$1,Haver_M!$B$1:$ZN$1,0))),INDEX(Haver_M!$B$1:$ZN$1000,MATCH(data!$A6,Haver_M!$B$1:$B$1000,0),MATCH(data!AV$1,Haver_M!$B$1:$ZN$1,0)),"na")</f>
        <v>77.5</v>
      </c>
      <c r="AW6">
        <f>IF(ISNUMBER(INDEX(Haver_M!$B$1:$ZN$1000,MATCH(data!$A6,Haver_M!$B$1:$B$1000,0),MATCH(data!AW$1,Haver_M!$B$1:$ZN$1,0))),INDEX(Haver_M!$B$1:$ZN$1000,MATCH(data!$A6,Haver_M!$B$1:$B$1000,0),MATCH(data!AW$1,Haver_M!$B$1:$ZN$1,0)),"na")</f>
        <v>676591.82146025717</v>
      </c>
      <c r="AX6">
        <f>IF(ISNUMBER(INDEX(Haver_M!$B$1:$ZN$1000,MATCH(data!$A6,Haver_M!$B$1:$B$1000,0),MATCH(data!AX$1,Haver_M!$B$1:$ZN$1,0))),INDEX(Haver_M!$B$1:$ZN$1000,MATCH(data!$A6,Haver_M!$B$1:$B$1000,0),MATCH(data!AX$1,Haver_M!$B$1:$ZN$1,0)),"na")</f>
        <v>3044</v>
      </c>
      <c r="AY6">
        <f>IF(ISNUMBER(INDEX(Haver_M!$B$1:$ZN$1000,MATCH(data!$A6,Haver_M!$B$1:$B$1000,0),MATCH(data!AY$1,Haver_M!$B$1:$ZN$1,0))),INDEX(Haver_M!$B$1:$ZN$1000,MATCH(data!$A6,Haver_M!$B$1:$B$1000,0),MATCH(data!AY$1,Haver_M!$B$1:$ZN$1,0)),"na")</f>
        <v>1684</v>
      </c>
      <c r="AZ6" t="str">
        <f>IF(ISNUMBER(INDEX(Haver_M!$B$1:$ZN$1000,MATCH(data!$A6,Haver_M!$B$1:$B$1000,0),MATCH(data!AZ$1,Haver_M!$B$1:$ZN$1,0))),INDEX(Haver_M!$B$1:$ZN$1000,MATCH(data!$A6,Haver_M!$B$1:$B$1000,0),MATCH(data!AZ$1,Haver_M!$B$1:$ZN$1,0)),"na")</f>
        <v>na</v>
      </c>
      <c r="BA6">
        <f>IF(ISNUMBER(INDEX(Haver_M!$B$1:$ZN$1000,MATCH(data!$A6,Haver_M!$B$1:$B$1000,0),MATCH(data!BA$1,Haver_M!$B$1:$ZN$1,0))),INDEX(Haver_M!$B$1:$ZN$1000,MATCH(data!$A6,Haver_M!$B$1:$B$1000,0),MATCH(data!BA$1,Haver_M!$B$1:$ZN$1,0)),"na")</f>
        <v>149.5928469058077</v>
      </c>
      <c r="BB6" t="str">
        <f>IF(ISNUMBER(INDEX(Haver_M!$B$1:$ZN$1000,MATCH(data!$A6,Haver_M!$B$1:$B$1000,0),MATCH(data!BB$1,Haver_M!$B$1:$ZN$1,0))),INDEX(Haver_M!$B$1:$ZN$1000,MATCH(data!$A6,Haver_M!$B$1:$B$1000,0),MATCH(data!BB$1,Haver_M!$B$1:$ZN$1,0)),"")</f>
        <v/>
      </c>
    </row>
    <row r="7" spans="1:54" x14ac:dyDescent="0.25">
      <c r="A7" s="2">
        <v>36707</v>
      </c>
      <c r="B7">
        <f>IF(ISNUMBER(INDEX(Haver_Q!$B$1:$BD$1000,MATCH(data!$A7,Haver_Q!$B$1:$B$1000,0),MATCH(data!B$1,Haver_Q!$B$1:$BD$1,0))),100*INDEX(Haver_Q!$B$1:$BD$1000,MATCH(data!$A7,Haver_Q!$B$1:$B$1000,0),MATCH(data!B$1,Haver_Q!$B$1:$BD$1,0)),"na")</f>
        <v>6.2703482785712028</v>
      </c>
      <c r="C7">
        <f>IF(ISNUMBER(INDEX(Haver_Q!$B$1:$BD$1000,MATCH(data!$A7,Haver_Q!$B$1:$B$1000,0),MATCH(data!C$1,Haver_Q!$B$1:$BD$1,0))),100*INDEX(Haver_Q!$B$1:$BD$1000,MATCH(data!$A7,Haver_Q!$B$1:$B$1000,0),MATCH(data!C$1,Haver_Q!$B$1:$BD$1,0)),"na")</f>
        <v>-2.0346867472851859</v>
      </c>
      <c r="D7">
        <f>IF(ISNUMBER(INDEX(Haver_Q!$B$1:$BD$1000,MATCH(data!$A7,Haver_Q!$B$1:$B$1000,0),MATCH(data!D$1,Haver_Q!$B$1:$BD$1,0))),100*INDEX(Haver_Q!$B$1:$BD$1000,MATCH(data!$A7,Haver_Q!$B$1:$B$1000,0),MATCH(data!D$1,Haver_Q!$B$1:$BD$1,0)),"na")</f>
        <v>8.8398814353045196</v>
      </c>
      <c r="E7">
        <f>IF(ISNUMBER(INDEX(Haver_Q!$B$1:$BD$1000,MATCH(data!$A7,Haver_Q!$B$1:$B$1000,0),MATCH(data!E$1,Haver_Q!$B$1:$BD$1,0))),100*INDEX(Haver_Q!$B$1:$BD$1000,MATCH(data!$A7,Haver_Q!$B$1:$B$1000,0),MATCH(data!E$1,Haver_Q!$B$1:$BD$1,0)),"na")</f>
        <v>5.769600478942194</v>
      </c>
      <c r="F7">
        <f>IF(ISNUMBER(INDEX(Haver_Q!$B$1:$BD$1000,MATCH(data!$A7,Haver_Q!$B$1:$B$1000,0),MATCH(data!F$1,Haver_Q!$B$1:$BD$1,0))),100*INDEX(Haver_Q!$B$1:$BD$1000,MATCH(data!$A7,Haver_Q!$B$1:$B$1000,0),MATCH(data!F$1,Haver_Q!$B$1:$BD$1,0)),"na")</f>
        <v>12.937206705230619</v>
      </c>
      <c r="G7">
        <f>IF(ISNUMBER(INDEX(Haver_Q!$B$1:$BD$1000,MATCH(data!$A7,Haver_Q!$B$1:$B$1000,0),MATCH(data!G$1,Haver_Q!$B$1:$BD$1,0))),100*INDEX(Haver_Q!$B$1:$BD$1000,MATCH(data!$A7,Haver_Q!$B$1:$B$1000,0),MATCH(data!G$1,Haver_Q!$B$1:$BD$1,0)),"na")</f>
        <v>12.211141016630966</v>
      </c>
      <c r="H7">
        <f>IF(ISNUMBER(INDEX(Haver_Q!$B$1:$BD$1000,MATCH(data!$A7,Haver_Q!$B$1:$B$1000,0),MATCH(data!H$1,Haver_Q!$B$1:$BD$1,0))),100*INDEX(Haver_Q!$B$1:$BD$1000,MATCH(data!$A7,Haver_Q!$B$1:$B$1000,0),MATCH(data!H$1,Haver_Q!$B$1:$BD$1,0)),"na")</f>
        <v>503.14880030240687</v>
      </c>
      <c r="I7" s="3">
        <f>IF(ISNUMBER(Bloomberg_m!C23),Bloomberg_m!C23,"na")</f>
        <v>1589</v>
      </c>
      <c r="J7" s="3" t="str">
        <f>IF(ISNUMBER(Bloomberg_m!D23),Bloomberg_m!D23,"na")</f>
        <v>na</v>
      </c>
      <c r="K7" s="3" t="str">
        <f>IF(ISNUMBER(Bloomberg_m!E23),Bloomberg_m!E23,"na")</f>
        <v>na</v>
      </c>
      <c r="L7" s="3">
        <f>IF(ISNUMBER(Bloomberg_m!L23),Bloomberg_m!L23,"na")</f>
        <v>31.86</v>
      </c>
      <c r="M7" t="str">
        <f>IF(ISNUMBER(INDEX(Haver_M!$B$1:$ZN$1000,MATCH(data!$A7,Haver_M!$B$1:$B$1000,0),MATCH(data!M$1,Haver_M!$B$1:$ZN$1,0))),INDEX(Haver_M!$B$1:$ZN$1000,MATCH(data!$A7,Haver_M!$B$1:$B$1000,0),MATCH(data!M$1,Haver_M!$B$1:$ZN$1,0)),"na")</f>
        <v>na</v>
      </c>
      <c r="N7" t="str">
        <f>IF(ISNUMBER(INDEX(Haver_M!$B$1:$ZN$1000,MATCH(data!$A7,Haver_M!$B$1:$B$1000,0),MATCH(data!N$1,Haver_M!$B$1:$ZN$1,0))),INDEX(Haver_M!$B$1:$ZN$1000,MATCH(data!$A7,Haver_M!$B$1:$B$1000,0),MATCH(data!N$1,Haver_M!$B$1:$ZN$1,0)),"na")</f>
        <v>na</v>
      </c>
      <c r="O7">
        <f>IF(ISNUMBER(INDEX(Haver_M!$B$1:$ZN$1000,MATCH(data!$A7,Haver_M!$B$1:$B$1000,0),MATCH(data!O$1,Haver_M!$B$1:$ZN$1,0))),INDEX(Haver_M!$B$1:$ZN$1000,MATCH(data!$A7,Haver_M!$B$1:$B$1000,0),MATCH(data!O$1,Haver_M!$B$1:$ZN$1,0)),"na")</f>
        <v>112.26979</v>
      </c>
      <c r="P7">
        <f>IF(ISNUMBER(INDEX(Haver_M!$B$1:$ZN$1000,MATCH(data!$A7,Haver_M!$B$1:$B$1000,0),MATCH(data!P$1,Haver_M!$B$1:$ZN$1,0))),INDEX(Haver_M!$B$1:$ZN$1000,MATCH(data!$A7,Haver_M!$B$1:$B$1000,0),MATCH(data!P$1,Haver_M!$B$1:$ZN$1,0)),"na")</f>
        <v>46.3367</v>
      </c>
      <c r="Q7">
        <f>IF(ISNUMBER(INDEX(Haver_M!$B$1:$ZN$1000,MATCH(data!$A7,Haver_M!$B$1:$B$1000,0),MATCH(data!Q$1,Haver_M!$B$1:$ZN$1,0))),INDEX(Haver_M!$B$1:$ZN$1000,MATCH(data!$A7,Haver_M!$B$1:$B$1000,0),MATCH(data!Q$1,Haver_M!$B$1:$ZN$1,0)),"na")</f>
        <v>50.4345</v>
      </c>
      <c r="R7">
        <f>IF(ISNUMBER(INDEX(Haver_M!$B$1:$ZN$1000,MATCH(data!$A7,Haver_M!$B$1:$B$1000,0),MATCH(data!R$1,Haver_M!$B$1:$ZN$1,0))),INDEX(Haver_M!$B$1:$ZN$1000,MATCH(data!$A7,Haver_M!$B$1:$B$1000,0),MATCH(data!R$1,Haver_M!$B$1:$ZN$1,0)),"na")</f>
        <v>91.743600000000001</v>
      </c>
      <c r="S7">
        <f>IF(ISNUMBER(INDEX(Haver_M!$B$1:$ZN$1000,MATCH(data!$A7,Haver_M!$B$1:$B$1000,0),MATCH(data!S$1,Haver_M!$B$1:$ZN$1,0))),INDEX(Haver_M!$B$1:$ZN$1000,MATCH(data!$A7,Haver_M!$B$1:$B$1000,0),MATCH(data!S$1,Haver_M!$B$1:$ZN$1,0)),"na")</f>
        <v>104.3887</v>
      </c>
      <c r="T7">
        <f>IF(ISNUMBER(INDEX(Haver_M!$B$1:$ZN$1000,MATCH(data!$A7,Haver_M!$B$1:$B$1000,0),MATCH(data!T$1,Haver_M!$B$1:$ZN$1,0))),INDEX(Haver_M!$B$1:$ZN$1000,MATCH(data!$A7,Haver_M!$B$1:$B$1000,0),MATCH(data!T$1,Haver_M!$B$1:$ZN$1,0)),"na")</f>
        <v>55.203200000000002</v>
      </c>
      <c r="U7">
        <f>IF(ISNUMBER(INDEX(Haver_M!$B$1:$ZN$1000,MATCH(data!$A7,Haver_M!$B$1:$B$1000,0),MATCH(data!U$1,Haver_M!$B$1:$ZN$1,0))),INDEX(Haver_M!$B$1:$ZN$1000,MATCH(data!$A7,Haver_M!$B$1:$B$1000,0),MATCH(data!U$1,Haver_M!$B$1:$ZN$1,0)),"na")</f>
        <v>84.683700000000002</v>
      </c>
      <c r="V7">
        <f>IF(ISNUMBER(INDEX(Haver_M!$B$1:$ZN$1000,MATCH(data!$A7,Haver_M!$B$1:$B$1000,0),MATCH(data!V$1,Haver_M!$B$1:$ZN$1,0))),INDEX(Haver_M!$B$1:$ZN$1000,MATCH(data!$A7,Haver_M!$B$1:$B$1000,0),MATCH(data!V$1,Haver_M!$B$1:$ZN$1,0)),"na")</f>
        <v>92.706400000000002</v>
      </c>
      <c r="W7">
        <f>IF(ISNUMBER(INDEX(Haver_M!$B$1:$ZN$1000,MATCH(data!$A7,Haver_M!$B$1:$B$1000,0),MATCH(data!W$1,Haver_M!$B$1:$ZN$1,0))),INDEX(Haver_M!$B$1:$ZN$1000,MATCH(data!$A7,Haver_M!$B$1:$B$1000,0),MATCH(data!W$1,Haver_M!$B$1:$ZN$1,0)),"na")</f>
        <v>2.72</v>
      </c>
      <c r="X7" t="str">
        <f>IF(ISNUMBER(INDEX(Haver_M!$B$1:$ZN$1000,MATCH(data!$A7,Haver_M!$B$1:$B$1000,0),MATCH(data!X$1,Haver_M!$B$1:$ZN$1,0))),INDEX(Haver_M!$B$1:$ZN$1000,MATCH(data!$A7,Haver_M!$B$1:$B$1000,0),MATCH(data!X$1,Haver_M!$B$1:$ZN$1,0)),"na")</f>
        <v>na</v>
      </c>
      <c r="Y7">
        <f>IF(ISNUMBER(INDEX(Haver_M!$B$1:$ZN$1000,MATCH(data!$A7,Haver_M!$B$1:$B$1000,0),MATCH(data!Y$1,Haver_M!$B$1:$ZN$1,0))),INDEX(Haver_M!$B$1:$ZN$1000,MATCH(data!$A7,Haver_M!$B$1:$B$1000,0),MATCH(data!Y$1,Haver_M!$B$1:$ZN$1,0)),"na")</f>
        <v>101.34</v>
      </c>
      <c r="Z7">
        <f>IF(ISNUMBER(INDEX(Haver_M!$B$1:$ZN$1000,MATCH(data!$A7,Haver_M!$B$1:$B$1000,0),MATCH(data!Z$1,Haver_M!$B$1:$ZN$1,0))),INDEX(Haver_M!$B$1:$ZN$1000,MATCH(data!$A7,Haver_M!$B$1:$B$1000,0),MATCH(data!Z$1,Haver_M!$B$1:$ZN$1,0)),"na")</f>
        <v>78.370500000000007</v>
      </c>
      <c r="AA7" t="str">
        <f>IF(ISNUMBER(INDEX(Haver_M!$B$1:$ZN$1000,MATCH(data!$A7,Haver_M!$B$1:$B$1000,0),MATCH(data!AA$1,Haver_M!$B$1:$ZN$1,0))),INDEX(Haver_M!$B$1:$ZN$1000,MATCH(data!$A7,Haver_M!$B$1:$B$1000,0),MATCH(data!AA$1,Haver_M!$B$1:$ZN$1,0)),"na")</f>
        <v>na</v>
      </c>
      <c r="AB7">
        <f>IF(ISNUMBER(INDEX(Haver_M!$B$1:$ZN$1000,MATCH(data!$A7,Haver_M!$B$1:$B$1000,0),MATCH(data!AB$1,Haver_M!$B$1:$ZN$1,0))),INDEX(Haver_M!$B$1:$ZN$1000,MATCH(data!$A7,Haver_M!$B$1:$B$1000,0),MATCH(data!AB$1,Haver_M!$B$1:$ZN$1,0)),"na")</f>
        <v>13796</v>
      </c>
      <c r="AC7">
        <f>IF(ISNUMBER(INDEX(Haver_M!$B$1:$ZN$1000,MATCH(data!$A7,Haver_M!$B$1:$B$1000,0),MATCH(data!AC$1,Haver_M!$B$1:$ZN$1,0))),INDEX(Haver_M!$B$1:$ZN$1000,MATCH(data!$A7,Haver_M!$B$1:$B$1000,0),MATCH(data!AC$1,Haver_M!$B$1:$ZN$1,0)),"na")</f>
        <v>14427.7</v>
      </c>
      <c r="AD7">
        <f>IF(ISNUMBER(INDEX(Haver_M!$B$1:$ZN$1000,MATCH(data!$A7,Haver_M!$B$1:$B$1000,0),MATCH(data!AD$1,Haver_M!$B$1:$ZN$1,0))),INDEX(Haver_M!$B$1:$ZN$1000,MATCH(data!$A7,Haver_M!$B$1:$B$1000,0),MATCH(data!AD$1,Haver_M!$B$1:$ZN$1,0)),"na")</f>
        <v>101.87</v>
      </c>
      <c r="AE7" t="str">
        <f>IF(ISNUMBER(INDEX(Haver_M!$B$1:$ZN$1000,MATCH(data!$A7,Haver_M!$B$1:$B$1000,0),MATCH(data!AE$1,Haver_M!$B$1:$ZN$1,0))),INDEX(Haver_M!$B$1:$ZN$1000,MATCH(data!$A7,Haver_M!$B$1:$B$1000,0),MATCH(data!AE$1,Haver_M!$B$1:$ZN$1,0)),"na")</f>
        <v>na</v>
      </c>
      <c r="AF7" t="str">
        <f>IF(ISNUMBER(INDEX(Haver_M!$B$1:$ZN$1000,MATCH(data!$A7,Haver_M!$B$1:$B$1000,0),MATCH(data!AF$1,Haver_M!$B$1:$ZN$1,0))),INDEX(Haver_M!$B$1:$ZN$1000,MATCH(data!$A7,Haver_M!$B$1:$B$1000,0),MATCH(data!AF$1,Haver_M!$B$1:$ZN$1,0)),"na")</f>
        <v>na</v>
      </c>
      <c r="AG7" t="str">
        <f>IF(ISNUMBER(INDEX(Haver_M!$B$1:$ZN$1000,MATCH(data!$A7,Haver_M!$B$1:$B$1000,0),MATCH(data!AG$1,Haver_M!$B$1:$ZN$1,0))),INDEX(Haver_M!$B$1:$ZN$1000,MATCH(data!$A7,Haver_M!$B$1:$B$1000,0),MATCH(data!AG$1,Haver_M!$B$1:$ZN$1,0)),"na")</f>
        <v>na</v>
      </c>
      <c r="AH7" t="str">
        <f>IF(ISNUMBER(INDEX(Haver_M!$B$1:$ZN$1000,MATCH(data!$A7,Haver_M!$B$1:$B$1000,0),MATCH(data!AH$1,Haver_M!$B$1:$ZN$1,0))),INDEX(Haver_M!$B$1:$ZN$1000,MATCH(data!$A7,Haver_M!$B$1:$B$1000,0),MATCH(data!AH$1,Haver_M!$B$1:$ZN$1,0)),"na")</f>
        <v>na</v>
      </c>
      <c r="AI7" t="str">
        <f>IF(ISNUMBER(INDEX(Haver_M!$B$1:$ZN$1000,MATCH(data!$A7,Haver_M!$B$1:$B$1000,0),MATCH(data!AI$1,Haver_M!$B$1:$ZN$1,0))),INDEX(Haver_M!$B$1:$ZN$1000,MATCH(data!$A7,Haver_M!$B$1:$B$1000,0),MATCH(data!AI$1,Haver_M!$B$1:$ZN$1,0)),"na")</f>
        <v>na</v>
      </c>
      <c r="AJ7" t="str">
        <f>IF(ISNUMBER(INDEX(Haver_M!$B$1:$ZN$1000,MATCH(data!$A7,Haver_M!$B$1:$B$1000,0),MATCH(data!AJ$1,Haver_M!$B$1:$ZN$1,0))),INDEX(Haver_M!$B$1:$ZN$1000,MATCH(data!$A7,Haver_M!$B$1:$B$1000,0),MATCH(data!AJ$1,Haver_M!$B$1:$ZN$1,0)),"na")</f>
        <v>na</v>
      </c>
      <c r="AK7" t="str">
        <f>IF(ISNUMBER(INDEX(Haver_M!$B$1:$ZN$1000,MATCH(data!$A7,Haver_M!$B$1:$B$1000,0),MATCH(data!AK$1,Haver_M!$B$1:$ZN$1,0))),INDEX(Haver_M!$B$1:$ZN$1000,MATCH(data!$A7,Haver_M!$B$1:$B$1000,0),MATCH(data!AK$1,Haver_M!$B$1:$ZN$1,0)),"na")</f>
        <v>na</v>
      </c>
      <c r="AL7" t="str">
        <f>IF(ISNUMBER(INDEX(Haver_M!$B$1:$ZN$1000,MATCH(data!$A7,Haver_M!$B$1:$B$1000,0),MATCH(data!AL$1,Haver_M!$B$1:$ZN$1,0))),INDEX(Haver_M!$B$1:$ZN$1000,MATCH(data!$A7,Haver_M!$B$1:$B$1000,0),MATCH(data!AL$1,Haver_M!$B$1:$ZN$1,0)),"na")</f>
        <v>na</v>
      </c>
      <c r="AM7" t="str">
        <f>IF(ISNUMBER(INDEX(Haver_M!$B$1:$ZN$1000,MATCH(data!$A7,Haver_M!$B$1:$B$1000,0),MATCH(data!AM$1,Haver_M!$B$1:$ZN$1,0))),INDEX(Haver_M!$B$1:$ZN$1000,MATCH(data!$A7,Haver_M!$B$1:$B$1000,0),MATCH(data!AM$1,Haver_M!$B$1:$ZN$1,0)),"na")</f>
        <v>na</v>
      </c>
      <c r="AN7" t="str">
        <f>IF(ISNUMBER(INDEX(Haver_M!$B$1:$ZN$1000,MATCH(data!$A7,Haver_M!$B$1:$B$1000,0),MATCH(data!AN$1,Haver_M!$B$1:$ZN$1,0))),INDEX(Haver_M!$B$1:$ZN$1000,MATCH(data!$A7,Haver_M!$B$1:$B$1000,0),MATCH(data!AN$1,Haver_M!$B$1:$ZN$1,0)),"na")</f>
        <v>na</v>
      </c>
      <c r="AO7" t="str">
        <f>IF(ISNUMBER(INDEX(Haver_M!$B$1:$ZN$1000,MATCH(data!$A7,Haver_M!$B$1:$B$1000,0),MATCH(data!AO$1,Haver_M!$B$1:$ZN$1,0))),INDEX(Haver_M!$B$1:$ZN$1000,MATCH(data!$A7,Haver_M!$B$1:$B$1000,0),MATCH(data!AO$1,Haver_M!$B$1:$ZN$1,0)),"na")</f>
        <v>na</v>
      </c>
      <c r="AP7" t="str">
        <f>IF(ISNUMBER(INDEX(Haver_M!$B$1:$ZN$1000,MATCH(data!$A7,Haver_M!$B$1:$B$1000,0),MATCH(data!AP$1,Haver_M!$B$1:$ZN$1,0))),INDEX(Haver_M!$B$1:$ZN$1000,MATCH(data!$A7,Haver_M!$B$1:$B$1000,0),MATCH(data!AP$1,Haver_M!$B$1:$ZN$1,0)),"na")</f>
        <v>na</v>
      </c>
      <c r="AQ7" t="str">
        <f>IF(ISNUMBER(INDEX(Haver_M!$B$1:$ZN$1000,MATCH(data!$A7,Haver_M!$B$1:$B$1000,0),MATCH(data!AQ$1,Haver_M!$B$1:$ZN$1,0))),INDEX(Haver_M!$B$1:$ZN$1000,MATCH(data!$A7,Haver_M!$B$1:$B$1000,0),MATCH(data!AQ$1,Haver_M!$B$1:$ZN$1,0)),"na")</f>
        <v>na</v>
      </c>
      <c r="AR7" t="str">
        <f>IF(ISNUMBER(INDEX(Haver_M!$B$1:$ZN$1000,MATCH(data!$A7,Haver_M!$B$1:$B$1000,0),MATCH(data!AR$1,Haver_M!$B$1:$ZN$1,0))),INDEX(Haver_M!$B$1:$ZN$1000,MATCH(data!$A7,Haver_M!$B$1:$B$1000,0),MATCH(data!AR$1,Haver_M!$B$1:$ZN$1,0)),"na")</f>
        <v>na</v>
      </c>
      <c r="AS7">
        <f>IF(ISNUMBER(INDEX(Haver_M!$B$1:$ZN$1000,MATCH(data!$A7,Haver_M!$B$1:$B$1000,0),MATCH(data!AS$1,Haver_M!$B$1:$ZN$1,0))),INDEX(Haver_M!$B$1:$ZN$1000,MATCH(data!$A7,Haver_M!$B$1:$B$1000,0),MATCH(data!AS$1,Haver_M!$B$1:$ZN$1,0)),"na")</f>
        <v>6536.47</v>
      </c>
      <c r="AT7">
        <f>IF(ISNUMBER(INDEX(Haver_M!$B$1:$ZN$1000,MATCH(data!$A7,Haver_M!$B$1:$B$1000,0),MATCH(data!AT$1,Haver_M!$B$1:$ZN$1,0))),INDEX(Haver_M!$B$1:$ZN$1000,MATCH(data!$A7,Haver_M!$B$1:$B$1000,0),MATCH(data!AT$1,Haver_M!$B$1:$ZN$1,0)),"na")</f>
        <v>77.992000000000004</v>
      </c>
      <c r="AU7">
        <f>IF(ISNUMBER(INDEX(Haver_M!$B$1:$ZN$1000,MATCH(data!$A7,Haver_M!$B$1:$B$1000,0),MATCH(data!AU$1,Haver_M!$B$1:$ZN$1,0))),INDEX(Haver_M!$B$1:$ZN$1000,MATCH(data!$A7,Haver_M!$B$1:$B$1000,0),MATCH(data!AU$1,Haver_M!$B$1:$ZN$1,0)),"na")</f>
        <v>80.310104999999993</v>
      </c>
      <c r="AV7">
        <f>IF(ISNUMBER(INDEX(Haver_M!$B$1:$ZN$1000,MATCH(data!$A7,Haver_M!$B$1:$B$1000,0),MATCH(data!AV$1,Haver_M!$B$1:$ZN$1,0))),INDEX(Haver_M!$B$1:$ZN$1000,MATCH(data!$A7,Haver_M!$B$1:$B$1000,0),MATCH(data!AV$1,Haver_M!$B$1:$ZN$1,0)),"na")</f>
        <v>78.099999999999994</v>
      </c>
      <c r="AW7">
        <f>IF(ISNUMBER(INDEX(Haver_M!$B$1:$ZN$1000,MATCH(data!$A7,Haver_M!$B$1:$B$1000,0),MATCH(data!AW$1,Haver_M!$B$1:$ZN$1,0))),INDEX(Haver_M!$B$1:$ZN$1000,MATCH(data!$A7,Haver_M!$B$1:$B$1000,0),MATCH(data!AW$1,Haver_M!$B$1:$ZN$1,0)),"na")</f>
        <v>722413.11264128145</v>
      </c>
      <c r="AX7">
        <f>IF(ISNUMBER(INDEX(Haver_M!$B$1:$ZN$1000,MATCH(data!$A7,Haver_M!$B$1:$B$1000,0),MATCH(data!AX$1,Haver_M!$B$1:$ZN$1,0))),INDEX(Haver_M!$B$1:$ZN$1000,MATCH(data!$A7,Haver_M!$B$1:$B$1000,0),MATCH(data!AX$1,Haver_M!$B$1:$ZN$1,0)),"na")</f>
        <v>3071</v>
      </c>
      <c r="AY7">
        <f>IF(ISNUMBER(INDEX(Haver_M!$B$1:$ZN$1000,MATCH(data!$A7,Haver_M!$B$1:$B$1000,0),MATCH(data!AY$1,Haver_M!$B$1:$ZN$1,0))),INDEX(Haver_M!$B$1:$ZN$1000,MATCH(data!$A7,Haver_M!$B$1:$B$1000,0),MATCH(data!AY$1,Haver_M!$B$1:$ZN$1,0)),"na")</f>
        <v>1685</v>
      </c>
      <c r="AZ7" t="str">
        <f>IF(ISNUMBER(INDEX(Haver_M!$B$1:$ZN$1000,MATCH(data!$A7,Haver_M!$B$1:$B$1000,0),MATCH(data!AZ$1,Haver_M!$B$1:$ZN$1,0))),INDEX(Haver_M!$B$1:$ZN$1000,MATCH(data!$A7,Haver_M!$B$1:$B$1000,0),MATCH(data!AZ$1,Haver_M!$B$1:$ZN$1,0)),"na")</f>
        <v>na</v>
      </c>
      <c r="BA7">
        <f>IF(ISNUMBER(INDEX(Haver_M!$B$1:$ZN$1000,MATCH(data!$A7,Haver_M!$B$1:$B$1000,0),MATCH(data!BA$1,Haver_M!$B$1:$ZN$1,0))),INDEX(Haver_M!$B$1:$ZN$1000,MATCH(data!$A7,Haver_M!$B$1:$B$1000,0),MATCH(data!BA$1,Haver_M!$B$1:$ZN$1,0)),"na")</f>
        <v>261.59392752029407</v>
      </c>
      <c r="BB7" t="str">
        <f>IF(ISNUMBER(INDEX(Haver_M!$B$1:$ZN$1000,MATCH(data!$A7,Haver_M!$B$1:$B$1000,0),MATCH(data!BB$1,Haver_M!$B$1:$ZN$1,0))),INDEX(Haver_M!$B$1:$ZN$1000,MATCH(data!$A7,Haver_M!$B$1:$B$1000,0),MATCH(data!BB$1,Haver_M!$B$1:$ZN$1,0)),"")</f>
        <v/>
      </c>
    </row>
    <row r="8" spans="1:54" x14ac:dyDescent="0.25">
      <c r="A8" s="2">
        <v>36738</v>
      </c>
      <c r="B8" t="str">
        <f>IF(ISNUMBER(INDEX(Haver_Q!$B$1:$BD$1000,MATCH(data!$A8,Haver_Q!$B$1:$B$1000,0),MATCH(data!B$1,Haver_Q!$B$1:$BD$1,0))),100*INDEX(Haver_Q!$B$1:$BD$1000,MATCH(data!$A8,Haver_Q!$B$1:$B$1000,0),MATCH(data!B$1,Haver_Q!$B$1:$BD$1,0)),"na")</f>
        <v>na</v>
      </c>
      <c r="C8" t="str">
        <f>IF(ISNUMBER(INDEX(Haver_Q!$B$1:$BD$1000,MATCH(data!$A8,Haver_Q!$B$1:$B$1000,0),MATCH(data!C$1,Haver_Q!$B$1:$BD$1,0))),100*INDEX(Haver_Q!$B$1:$BD$1000,MATCH(data!$A8,Haver_Q!$B$1:$B$1000,0),MATCH(data!C$1,Haver_Q!$B$1:$BD$1,0)),"na")</f>
        <v>na</v>
      </c>
      <c r="D8" t="str">
        <f>IF(ISNUMBER(INDEX(Haver_Q!$B$1:$BD$1000,MATCH(data!$A8,Haver_Q!$B$1:$B$1000,0),MATCH(data!D$1,Haver_Q!$B$1:$BD$1,0))),100*INDEX(Haver_Q!$B$1:$BD$1000,MATCH(data!$A8,Haver_Q!$B$1:$B$1000,0),MATCH(data!D$1,Haver_Q!$B$1:$BD$1,0)),"na")</f>
        <v>na</v>
      </c>
      <c r="E8" t="str">
        <f>IF(ISNUMBER(INDEX(Haver_Q!$B$1:$BD$1000,MATCH(data!$A8,Haver_Q!$B$1:$B$1000,0),MATCH(data!E$1,Haver_Q!$B$1:$BD$1,0))),100*INDEX(Haver_Q!$B$1:$BD$1000,MATCH(data!$A8,Haver_Q!$B$1:$B$1000,0),MATCH(data!E$1,Haver_Q!$B$1:$BD$1,0)),"na")</f>
        <v>na</v>
      </c>
      <c r="F8" t="str">
        <f>IF(ISNUMBER(INDEX(Haver_Q!$B$1:$BD$1000,MATCH(data!$A8,Haver_Q!$B$1:$B$1000,0),MATCH(data!F$1,Haver_Q!$B$1:$BD$1,0))),100*INDEX(Haver_Q!$B$1:$BD$1000,MATCH(data!$A8,Haver_Q!$B$1:$B$1000,0),MATCH(data!F$1,Haver_Q!$B$1:$BD$1,0)),"na")</f>
        <v>na</v>
      </c>
      <c r="G8" t="str">
        <f>IF(ISNUMBER(INDEX(Haver_Q!$B$1:$BD$1000,MATCH(data!$A8,Haver_Q!$B$1:$B$1000,0),MATCH(data!G$1,Haver_Q!$B$1:$BD$1,0))),100*INDEX(Haver_Q!$B$1:$BD$1000,MATCH(data!$A8,Haver_Q!$B$1:$B$1000,0),MATCH(data!G$1,Haver_Q!$B$1:$BD$1,0)),"na")</f>
        <v>na</v>
      </c>
      <c r="H8" t="str">
        <f>IF(ISNUMBER(INDEX(Haver_Q!$B$1:$BD$1000,MATCH(data!$A8,Haver_Q!$B$1:$B$1000,0),MATCH(data!H$1,Haver_Q!$B$1:$BD$1,0))),100*INDEX(Haver_Q!$B$1:$BD$1000,MATCH(data!$A8,Haver_Q!$B$1:$B$1000,0),MATCH(data!H$1,Haver_Q!$B$1:$BD$1,0)),"na")</f>
        <v>na</v>
      </c>
      <c r="I8" s="3">
        <f>IF(ISNUMBER(Bloomberg_m!C24),Bloomberg_m!C24,"na")</f>
        <v>1618</v>
      </c>
      <c r="J8" s="3" t="str">
        <f>IF(ISNUMBER(Bloomberg_m!D24),Bloomberg_m!D24,"na")</f>
        <v>na</v>
      </c>
      <c r="K8" s="3" t="str">
        <f>IF(ISNUMBER(Bloomberg_m!E24),Bloomberg_m!E24,"na")</f>
        <v>na</v>
      </c>
      <c r="L8" s="3">
        <f>IF(ISNUMBER(Bloomberg_m!L24),Bloomberg_m!L24,"na")</f>
        <v>29.7</v>
      </c>
      <c r="M8" t="str">
        <f>IF(ISNUMBER(INDEX(Haver_M!$B$1:$ZN$1000,MATCH(data!$A8,Haver_M!$B$1:$B$1000,0),MATCH(data!M$1,Haver_M!$B$1:$ZN$1,0))),INDEX(Haver_M!$B$1:$ZN$1000,MATCH(data!$A8,Haver_M!$B$1:$B$1000,0),MATCH(data!M$1,Haver_M!$B$1:$ZN$1,0)),"na")</f>
        <v>na</v>
      </c>
      <c r="N8" t="str">
        <f>IF(ISNUMBER(INDEX(Haver_M!$B$1:$ZN$1000,MATCH(data!$A8,Haver_M!$B$1:$B$1000,0),MATCH(data!N$1,Haver_M!$B$1:$ZN$1,0))),INDEX(Haver_M!$B$1:$ZN$1000,MATCH(data!$A8,Haver_M!$B$1:$B$1000,0),MATCH(data!N$1,Haver_M!$B$1:$ZN$1,0)),"na")</f>
        <v>na</v>
      </c>
      <c r="O8">
        <f>IF(ISNUMBER(INDEX(Haver_M!$B$1:$ZN$1000,MATCH(data!$A8,Haver_M!$B$1:$B$1000,0),MATCH(data!O$1,Haver_M!$B$1:$ZN$1,0))),INDEX(Haver_M!$B$1:$ZN$1000,MATCH(data!$A8,Haver_M!$B$1:$B$1000,0),MATCH(data!O$1,Haver_M!$B$1:$ZN$1,0)),"na")</f>
        <v>117.72534</v>
      </c>
      <c r="P8">
        <f>IF(ISNUMBER(INDEX(Haver_M!$B$1:$ZN$1000,MATCH(data!$A8,Haver_M!$B$1:$B$1000,0),MATCH(data!P$1,Haver_M!$B$1:$ZN$1,0))),INDEX(Haver_M!$B$1:$ZN$1000,MATCH(data!$A8,Haver_M!$B$1:$B$1000,0),MATCH(data!P$1,Haver_M!$B$1:$ZN$1,0)),"na")</f>
        <v>46.690399999999997</v>
      </c>
      <c r="Q8">
        <f>IF(ISNUMBER(INDEX(Haver_M!$B$1:$ZN$1000,MATCH(data!$A8,Haver_M!$B$1:$B$1000,0),MATCH(data!Q$1,Haver_M!$B$1:$ZN$1,0))),INDEX(Haver_M!$B$1:$ZN$1000,MATCH(data!$A8,Haver_M!$B$1:$B$1000,0),MATCH(data!Q$1,Haver_M!$B$1:$ZN$1,0)),"na")</f>
        <v>50.769500000000001</v>
      </c>
      <c r="R8">
        <f>IF(ISNUMBER(INDEX(Haver_M!$B$1:$ZN$1000,MATCH(data!$A8,Haver_M!$B$1:$B$1000,0),MATCH(data!R$1,Haver_M!$B$1:$ZN$1,0))),INDEX(Haver_M!$B$1:$ZN$1000,MATCH(data!$A8,Haver_M!$B$1:$B$1000,0),MATCH(data!R$1,Haver_M!$B$1:$ZN$1,0)),"na")</f>
        <v>91.411500000000004</v>
      </c>
      <c r="S8">
        <f>IF(ISNUMBER(INDEX(Haver_M!$B$1:$ZN$1000,MATCH(data!$A8,Haver_M!$B$1:$B$1000,0),MATCH(data!S$1,Haver_M!$B$1:$ZN$1,0))),INDEX(Haver_M!$B$1:$ZN$1000,MATCH(data!$A8,Haver_M!$B$1:$B$1000,0),MATCH(data!S$1,Haver_M!$B$1:$ZN$1,0)),"na")</f>
        <v>96.778899999999993</v>
      </c>
      <c r="T8">
        <f>IF(ISNUMBER(INDEX(Haver_M!$B$1:$ZN$1000,MATCH(data!$A8,Haver_M!$B$1:$B$1000,0),MATCH(data!T$1,Haver_M!$B$1:$ZN$1,0))),INDEX(Haver_M!$B$1:$ZN$1000,MATCH(data!$A8,Haver_M!$B$1:$B$1000,0),MATCH(data!T$1,Haver_M!$B$1:$ZN$1,0)),"na")</f>
        <v>54.690399999999997</v>
      </c>
      <c r="U8">
        <f>IF(ISNUMBER(INDEX(Haver_M!$B$1:$ZN$1000,MATCH(data!$A8,Haver_M!$B$1:$B$1000,0),MATCH(data!U$1,Haver_M!$B$1:$ZN$1,0))),INDEX(Haver_M!$B$1:$ZN$1000,MATCH(data!$A8,Haver_M!$B$1:$B$1000,0),MATCH(data!U$1,Haver_M!$B$1:$ZN$1,0)),"na")</f>
        <v>83.364900000000006</v>
      </c>
      <c r="V8">
        <f>IF(ISNUMBER(INDEX(Haver_M!$B$1:$ZN$1000,MATCH(data!$A8,Haver_M!$B$1:$B$1000,0),MATCH(data!V$1,Haver_M!$B$1:$ZN$1,0))),INDEX(Haver_M!$B$1:$ZN$1000,MATCH(data!$A8,Haver_M!$B$1:$B$1000,0),MATCH(data!V$1,Haver_M!$B$1:$ZN$1,0)),"na")</f>
        <v>96.426699999999997</v>
      </c>
      <c r="W8">
        <f>IF(ISNUMBER(INDEX(Haver_M!$B$1:$ZN$1000,MATCH(data!$A8,Haver_M!$B$1:$B$1000,0),MATCH(data!W$1,Haver_M!$B$1:$ZN$1,0))),INDEX(Haver_M!$B$1:$ZN$1000,MATCH(data!$A8,Haver_M!$B$1:$B$1000,0),MATCH(data!W$1,Haver_M!$B$1:$ZN$1,0)),"na")</f>
        <v>2.39</v>
      </c>
      <c r="X8" t="str">
        <f>IF(ISNUMBER(INDEX(Haver_M!$B$1:$ZN$1000,MATCH(data!$A8,Haver_M!$B$1:$B$1000,0),MATCH(data!X$1,Haver_M!$B$1:$ZN$1,0))),INDEX(Haver_M!$B$1:$ZN$1000,MATCH(data!$A8,Haver_M!$B$1:$B$1000,0),MATCH(data!X$1,Haver_M!$B$1:$ZN$1,0)),"na")</f>
        <v>na</v>
      </c>
      <c r="Y8">
        <f>IF(ISNUMBER(INDEX(Haver_M!$B$1:$ZN$1000,MATCH(data!$A8,Haver_M!$B$1:$B$1000,0),MATCH(data!Y$1,Haver_M!$B$1:$ZN$1,0))),INDEX(Haver_M!$B$1:$ZN$1000,MATCH(data!$A8,Haver_M!$B$1:$B$1000,0),MATCH(data!Y$1,Haver_M!$B$1:$ZN$1,0)),"na")</f>
        <v>101.2</v>
      </c>
      <c r="Z8">
        <f>IF(ISNUMBER(INDEX(Haver_M!$B$1:$ZN$1000,MATCH(data!$A8,Haver_M!$B$1:$B$1000,0),MATCH(data!Z$1,Haver_M!$B$1:$ZN$1,0))),INDEX(Haver_M!$B$1:$ZN$1000,MATCH(data!$A8,Haver_M!$B$1:$B$1000,0),MATCH(data!Z$1,Haver_M!$B$1:$ZN$1,0)),"na")</f>
        <v>78.616699999999994</v>
      </c>
      <c r="AA8" t="str">
        <f>IF(ISNUMBER(INDEX(Haver_M!$B$1:$ZN$1000,MATCH(data!$A8,Haver_M!$B$1:$B$1000,0),MATCH(data!AA$1,Haver_M!$B$1:$ZN$1,0))),INDEX(Haver_M!$B$1:$ZN$1000,MATCH(data!$A8,Haver_M!$B$1:$B$1000,0),MATCH(data!AA$1,Haver_M!$B$1:$ZN$1,0)),"na")</f>
        <v>na</v>
      </c>
      <c r="AB8">
        <f>IF(ISNUMBER(INDEX(Haver_M!$B$1:$ZN$1000,MATCH(data!$A8,Haver_M!$B$1:$B$1000,0),MATCH(data!AB$1,Haver_M!$B$1:$ZN$1,0))),INDEX(Haver_M!$B$1:$ZN$1000,MATCH(data!$A8,Haver_M!$B$1:$B$1000,0),MATCH(data!AB$1,Haver_M!$B$1:$ZN$1,0)),"na")</f>
        <v>13930.7</v>
      </c>
      <c r="AC8">
        <f>IF(ISNUMBER(INDEX(Haver_M!$B$1:$ZN$1000,MATCH(data!$A8,Haver_M!$B$1:$B$1000,0),MATCH(data!AC$1,Haver_M!$B$1:$ZN$1,0))),INDEX(Haver_M!$B$1:$ZN$1000,MATCH(data!$A8,Haver_M!$B$1:$B$1000,0),MATCH(data!AC$1,Haver_M!$B$1:$ZN$1,0)),"na")</f>
        <v>14899.4</v>
      </c>
      <c r="AD8">
        <f>IF(ISNUMBER(INDEX(Haver_M!$B$1:$ZN$1000,MATCH(data!$A8,Haver_M!$B$1:$B$1000,0),MATCH(data!AD$1,Haver_M!$B$1:$ZN$1,0))),INDEX(Haver_M!$B$1:$ZN$1000,MATCH(data!$A8,Haver_M!$B$1:$B$1000,0),MATCH(data!AD$1,Haver_M!$B$1:$ZN$1,0)),"na")</f>
        <v>101.95</v>
      </c>
      <c r="AE8" t="str">
        <f>IF(ISNUMBER(INDEX(Haver_M!$B$1:$ZN$1000,MATCH(data!$A8,Haver_M!$B$1:$B$1000,0),MATCH(data!AE$1,Haver_M!$B$1:$ZN$1,0))),INDEX(Haver_M!$B$1:$ZN$1000,MATCH(data!$A8,Haver_M!$B$1:$B$1000,0),MATCH(data!AE$1,Haver_M!$B$1:$ZN$1,0)),"na")</f>
        <v>na</v>
      </c>
      <c r="AF8" t="str">
        <f>IF(ISNUMBER(INDEX(Haver_M!$B$1:$ZN$1000,MATCH(data!$A8,Haver_M!$B$1:$B$1000,0),MATCH(data!AF$1,Haver_M!$B$1:$ZN$1,0))),INDEX(Haver_M!$B$1:$ZN$1000,MATCH(data!$A8,Haver_M!$B$1:$B$1000,0),MATCH(data!AF$1,Haver_M!$B$1:$ZN$1,0)),"na")</f>
        <v>na</v>
      </c>
      <c r="AG8" t="str">
        <f>IF(ISNUMBER(INDEX(Haver_M!$B$1:$ZN$1000,MATCH(data!$A8,Haver_M!$B$1:$B$1000,0),MATCH(data!AG$1,Haver_M!$B$1:$ZN$1,0))),INDEX(Haver_M!$B$1:$ZN$1000,MATCH(data!$A8,Haver_M!$B$1:$B$1000,0),MATCH(data!AG$1,Haver_M!$B$1:$ZN$1,0)),"na")</f>
        <v>na</v>
      </c>
      <c r="AH8" t="str">
        <f>IF(ISNUMBER(INDEX(Haver_M!$B$1:$ZN$1000,MATCH(data!$A8,Haver_M!$B$1:$B$1000,0),MATCH(data!AH$1,Haver_M!$B$1:$ZN$1,0))),INDEX(Haver_M!$B$1:$ZN$1000,MATCH(data!$A8,Haver_M!$B$1:$B$1000,0),MATCH(data!AH$1,Haver_M!$B$1:$ZN$1,0)),"na")</f>
        <v>na</v>
      </c>
      <c r="AI8" t="str">
        <f>IF(ISNUMBER(INDEX(Haver_M!$B$1:$ZN$1000,MATCH(data!$A8,Haver_M!$B$1:$B$1000,0),MATCH(data!AI$1,Haver_M!$B$1:$ZN$1,0))),INDEX(Haver_M!$B$1:$ZN$1000,MATCH(data!$A8,Haver_M!$B$1:$B$1000,0),MATCH(data!AI$1,Haver_M!$B$1:$ZN$1,0)),"na")</f>
        <v>na</v>
      </c>
      <c r="AJ8" t="str">
        <f>IF(ISNUMBER(INDEX(Haver_M!$B$1:$ZN$1000,MATCH(data!$A8,Haver_M!$B$1:$B$1000,0),MATCH(data!AJ$1,Haver_M!$B$1:$ZN$1,0))),INDEX(Haver_M!$B$1:$ZN$1000,MATCH(data!$A8,Haver_M!$B$1:$B$1000,0),MATCH(data!AJ$1,Haver_M!$B$1:$ZN$1,0)),"na")</f>
        <v>na</v>
      </c>
      <c r="AK8" t="str">
        <f>IF(ISNUMBER(INDEX(Haver_M!$B$1:$ZN$1000,MATCH(data!$A8,Haver_M!$B$1:$B$1000,0),MATCH(data!AK$1,Haver_M!$B$1:$ZN$1,0))),INDEX(Haver_M!$B$1:$ZN$1000,MATCH(data!$A8,Haver_M!$B$1:$B$1000,0),MATCH(data!AK$1,Haver_M!$B$1:$ZN$1,0)),"na")</f>
        <v>na</v>
      </c>
      <c r="AL8" t="str">
        <f>IF(ISNUMBER(INDEX(Haver_M!$B$1:$ZN$1000,MATCH(data!$A8,Haver_M!$B$1:$B$1000,0),MATCH(data!AL$1,Haver_M!$B$1:$ZN$1,0))),INDEX(Haver_M!$B$1:$ZN$1000,MATCH(data!$A8,Haver_M!$B$1:$B$1000,0),MATCH(data!AL$1,Haver_M!$B$1:$ZN$1,0)),"na")</f>
        <v>na</v>
      </c>
      <c r="AM8" t="str">
        <f>IF(ISNUMBER(INDEX(Haver_M!$B$1:$ZN$1000,MATCH(data!$A8,Haver_M!$B$1:$B$1000,0),MATCH(data!AM$1,Haver_M!$B$1:$ZN$1,0))),INDEX(Haver_M!$B$1:$ZN$1000,MATCH(data!$A8,Haver_M!$B$1:$B$1000,0),MATCH(data!AM$1,Haver_M!$B$1:$ZN$1,0)),"na")</f>
        <v>na</v>
      </c>
      <c r="AN8" t="str">
        <f>IF(ISNUMBER(INDEX(Haver_M!$B$1:$ZN$1000,MATCH(data!$A8,Haver_M!$B$1:$B$1000,0),MATCH(data!AN$1,Haver_M!$B$1:$ZN$1,0))),INDEX(Haver_M!$B$1:$ZN$1000,MATCH(data!$A8,Haver_M!$B$1:$B$1000,0),MATCH(data!AN$1,Haver_M!$B$1:$ZN$1,0)),"na")</f>
        <v>na</v>
      </c>
      <c r="AO8" t="str">
        <f>IF(ISNUMBER(INDEX(Haver_M!$B$1:$ZN$1000,MATCH(data!$A8,Haver_M!$B$1:$B$1000,0),MATCH(data!AO$1,Haver_M!$B$1:$ZN$1,0))),INDEX(Haver_M!$B$1:$ZN$1000,MATCH(data!$A8,Haver_M!$B$1:$B$1000,0),MATCH(data!AO$1,Haver_M!$B$1:$ZN$1,0)),"na")</f>
        <v>na</v>
      </c>
      <c r="AP8" t="str">
        <f>IF(ISNUMBER(INDEX(Haver_M!$B$1:$ZN$1000,MATCH(data!$A8,Haver_M!$B$1:$B$1000,0),MATCH(data!AP$1,Haver_M!$B$1:$ZN$1,0))),INDEX(Haver_M!$B$1:$ZN$1000,MATCH(data!$A8,Haver_M!$B$1:$B$1000,0),MATCH(data!AP$1,Haver_M!$B$1:$ZN$1,0)),"na")</f>
        <v>na</v>
      </c>
      <c r="AQ8" t="str">
        <f>IF(ISNUMBER(INDEX(Haver_M!$B$1:$ZN$1000,MATCH(data!$A8,Haver_M!$B$1:$B$1000,0),MATCH(data!AQ$1,Haver_M!$B$1:$ZN$1,0))),INDEX(Haver_M!$B$1:$ZN$1000,MATCH(data!$A8,Haver_M!$B$1:$B$1000,0),MATCH(data!AQ$1,Haver_M!$B$1:$ZN$1,0)),"na")</f>
        <v>na</v>
      </c>
      <c r="AR8" t="str">
        <f>IF(ISNUMBER(INDEX(Haver_M!$B$1:$ZN$1000,MATCH(data!$A8,Haver_M!$B$1:$B$1000,0),MATCH(data!AR$1,Haver_M!$B$1:$ZN$1,0))),INDEX(Haver_M!$B$1:$ZN$1000,MATCH(data!$A8,Haver_M!$B$1:$B$1000,0),MATCH(data!AR$1,Haver_M!$B$1:$ZN$1,0)),"na")</f>
        <v>na</v>
      </c>
      <c r="AS8">
        <f>IF(ISNUMBER(INDEX(Haver_M!$B$1:$ZN$1000,MATCH(data!$A8,Haver_M!$B$1:$B$1000,0),MATCH(data!AS$1,Haver_M!$B$1:$ZN$1,0))),INDEX(Haver_M!$B$1:$ZN$1000,MATCH(data!$A8,Haver_M!$B$1:$B$1000,0),MATCH(data!AS$1,Haver_M!$B$1:$ZN$1,0)),"na")</f>
        <v>7063.39</v>
      </c>
      <c r="AT8">
        <f>IF(ISNUMBER(INDEX(Haver_M!$B$1:$ZN$1000,MATCH(data!$A8,Haver_M!$B$1:$B$1000,0),MATCH(data!AT$1,Haver_M!$B$1:$ZN$1,0))),INDEX(Haver_M!$B$1:$ZN$1000,MATCH(data!$A8,Haver_M!$B$1:$B$1000,0),MATCH(data!AT$1,Haver_M!$B$1:$ZN$1,0)),"na")</f>
        <v>78.802999999999997</v>
      </c>
      <c r="AU8">
        <f>IF(ISNUMBER(INDEX(Haver_M!$B$1:$ZN$1000,MATCH(data!$A8,Haver_M!$B$1:$B$1000,0),MATCH(data!AU$1,Haver_M!$B$1:$ZN$1,0))),INDEX(Haver_M!$B$1:$ZN$1000,MATCH(data!$A8,Haver_M!$B$1:$B$1000,0),MATCH(data!AU$1,Haver_M!$B$1:$ZN$1,0)),"na")</f>
        <v>80.417845</v>
      </c>
      <c r="AV8">
        <f>IF(ISNUMBER(INDEX(Haver_M!$B$1:$ZN$1000,MATCH(data!$A8,Haver_M!$B$1:$B$1000,0),MATCH(data!AV$1,Haver_M!$B$1:$ZN$1,0))),INDEX(Haver_M!$B$1:$ZN$1000,MATCH(data!$A8,Haver_M!$B$1:$B$1000,0),MATCH(data!AV$1,Haver_M!$B$1:$ZN$1,0)),"na")</f>
        <v>77.900000000000006</v>
      </c>
      <c r="AW8">
        <f>IF(ISNUMBER(INDEX(Haver_M!$B$1:$ZN$1000,MATCH(data!$A8,Haver_M!$B$1:$B$1000,0),MATCH(data!AW$1,Haver_M!$B$1:$ZN$1,0))),INDEX(Haver_M!$B$1:$ZN$1000,MATCH(data!$A8,Haver_M!$B$1:$B$1000,0),MATCH(data!AW$1,Haver_M!$B$1:$ZN$1,0)),"na")</f>
        <v>695570.20386473578</v>
      </c>
      <c r="AX8">
        <f>IF(ISNUMBER(INDEX(Haver_M!$B$1:$ZN$1000,MATCH(data!$A8,Haver_M!$B$1:$B$1000,0),MATCH(data!AX$1,Haver_M!$B$1:$ZN$1,0))),INDEX(Haver_M!$B$1:$ZN$1000,MATCH(data!$A8,Haver_M!$B$1:$B$1000,0),MATCH(data!AX$1,Haver_M!$B$1:$ZN$1,0)),"na")</f>
        <v>2844</v>
      </c>
      <c r="AY8">
        <f>IF(ISNUMBER(INDEX(Haver_M!$B$1:$ZN$1000,MATCH(data!$A8,Haver_M!$B$1:$B$1000,0),MATCH(data!AY$1,Haver_M!$B$1:$ZN$1,0))),INDEX(Haver_M!$B$1:$ZN$1000,MATCH(data!$A8,Haver_M!$B$1:$B$1000,0),MATCH(data!AY$1,Haver_M!$B$1:$ZN$1,0)),"na")</f>
        <v>1723</v>
      </c>
      <c r="AZ8" t="str">
        <f>IF(ISNUMBER(INDEX(Haver_M!$B$1:$ZN$1000,MATCH(data!$A8,Haver_M!$B$1:$B$1000,0),MATCH(data!AZ$1,Haver_M!$B$1:$ZN$1,0))),INDEX(Haver_M!$B$1:$ZN$1000,MATCH(data!$A8,Haver_M!$B$1:$B$1000,0),MATCH(data!AZ$1,Haver_M!$B$1:$ZN$1,0)),"na")</f>
        <v>na</v>
      </c>
      <c r="BA8">
        <f>IF(ISNUMBER(INDEX(Haver_M!$B$1:$ZN$1000,MATCH(data!$A8,Haver_M!$B$1:$B$1000,0),MATCH(data!BA$1,Haver_M!$B$1:$ZN$1,0))),INDEX(Haver_M!$B$1:$ZN$1000,MATCH(data!$A8,Haver_M!$B$1:$B$1000,0),MATCH(data!BA$1,Haver_M!$B$1:$ZN$1,0)),"na")</f>
        <v>144.08677744409911</v>
      </c>
      <c r="BB8" t="str">
        <f>IF(ISNUMBER(INDEX(Haver_M!$B$1:$ZN$1000,MATCH(data!$A8,Haver_M!$B$1:$B$1000,0),MATCH(data!BB$1,Haver_M!$B$1:$ZN$1,0))),INDEX(Haver_M!$B$1:$ZN$1000,MATCH(data!$A8,Haver_M!$B$1:$B$1000,0),MATCH(data!BB$1,Haver_M!$B$1:$ZN$1,0)),"")</f>
        <v/>
      </c>
    </row>
    <row r="9" spans="1:54" x14ac:dyDescent="0.25">
      <c r="A9" s="2">
        <v>36769</v>
      </c>
      <c r="B9" t="str">
        <f>IF(ISNUMBER(INDEX(Haver_Q!$B$1:$BD$1000,MATCH(data!$A9,Haver_Q!$B$1:$B$1000,0),MATCH(data!B$1,Haver_Q!$B$1:$BD$1,0))),100*INDEX(Haver_Q!$B$1:$BD$1000,MATCH(data!$A9,Haver_Q!$B$1:$B$1000,0),MATCH(data!B$1,Haver_Q!$B$1:$BD$1,0)),"na")</f>
        <v>na</v>
      </c>
      <c r="C9" t="str">
        <f>IF(ISNUMBER(INDEX(Haver_Q!$B$1:$BD$1000,MATCH(data!$A9,Haver_Q!$B$1:$B$1000,0),MATCH(data!C$1,Haver_Q!$B$1:$BD$1,0))),100*INDEX(Haver_Q!$B$1:$BD$1000,MATCH(data!$A9,Haver_Q!$B$1:$B$1000,0),MATCH(data!C$1,Haver_Q!$B$1:$BD$1,0)),"na")</f>
        <v>na</v>
      </c>
      <c r="D9" t="str">
        <f>IF(ISNUMBER(INDEX(Haver_Q!$B$1:$BD$1000,MATCH(data!$A9,Haver_Q!$B$1:$B$1000,0),MATCH(data!D$1,Haver_Q!$B$1:$BD$1,0))),100*INDEX(Haver_Q!$B$1:$BD$1000,MATCH(data!$A9,Haver_Q!$B$1:$B$1000,0),MATCH(data!D$1,Haver_Q!$B$1:$BD$1,0)),"na")</f>
        <v>na</v>
      </c>
      <c r="E9" t="str">
        <f>IF(ISNUMBER(INDEX(Haver_Q!$B$1:$BD$1000,MATCH(data!$A9,Haver_Q!$B$1:$B$1000,0),MATCH(data!E$1,Haver_Q!$B$1:$BD$1,0))),100*INDEX(Haver_Q!$B$1:$BD$1000,MATCH(data!$A9,Haver_Q!$B$1:$B$1000,0),MATCH(data!E$1,Haver_Q!$B$1:$BD$1,0)),"na")</f>
        <v>na</v>
      </c>
      <c r="F9" t="str">
        <f>IF(ISNUMBER(INDEX(Haver_Q!$B$1:$BD$1000,MATCH(data!$A9,Haver_Q!$B$1:$B$1000,0),MATCH(data!F$1,Haver_Q!$B$1:$BD$1,0))),100*INDEX(Haver_Q!$B$1:$BD$1000,MATCH(data!$A9,Haver_Q!$B$1:$B$1000,0),MATCH(data!F$1,Haver_Q!$B$1:$BD$1,0)),"na")</f>
        <v>na</v>
      </c>
      <c r="G9" t="str">
        <f>IF(ISNUMBER(INDEX(Haver_Q!$B$1:$BD$1000,MATCH(data!$A9,Haver_Q!$B$1:$B$1000,0),MATCH(data!G$1,Haver_Q!$B$1:$BD$1,0))),100*INDEX(Haver_Q!$B$1:$BD$1000,MATCH(data!$A9,Haver_Q!$B$1:$B$1000,0),MATCH(data!G$1,Haver_Q!$B$1:$BD$1,0)),"na")</f>
        <v>na</v>
      </c>
      <c r="H9" t="str">
        <f>IF(ISNUMBER(INDEX(Haver_Q!$B$1:$BD$1000,MATCH(data!$A9,Haver_Q!$B$1:$B$1000,0),MATCH(data!H$1,Haver_Q!$B$1:$BD$1,0))),100*INDEX(Haver_Q!$B$1:$BD$1000,MATCH(data!$A9,Haver_Q!$B$1:$B$1000,0),MATCH(data!H$1,Haver_Q!$B$1:$BD$1,0)),"na")</f>
        <v>na</v>
      </c>
      <c r="I9" s="3">
        <f>IF(ISNUMBER(Bloomberg_m!C25),Bloomberg_m!C25,"na")</f>
        <v>1639</v>
      </c>
      <c r="J9" s="3" t="str">
        <f>IF(ISNUMBER(Bloomberg_m!D25),Bloomberg_m!D25,"na")</f>
        <v>na</v>
      </c>
      <c r="K9" s="3" t="str">
        <f>IF(ISNUMBER(Bloomberg_m!E25),Bloomberg_m!E25,"na")</f>
        <v>na</v>
      </c>
      <c r="L9" s="3">
        <f>IF(ISNUMBER(Bloomberg_m!L25),Bloomberg_m!L25,"na")</f>
        <v>31.31</v>
      </c>
      <c r="M9" t="str">
        <f>IF(ISNUMBER(INDEX(Haver_M!$B$1:$ZN$1000,MATCH(data!$A9,Haver_M!$B$1:$B$1000,0),MATCH(data!M$1,Haver_M!$B$1:$ZN$1,0))),INDEX(Haver_M!$B$1:$ZN$1000,MATCH(data!$A9,Haver_M!$B$1:$B$1000,0),MATCH(data!M$1,Haver_M!$B$1:$ZN$1,0)),"na")</f>
        <v>na</v>
      </c>
      <c r="N9" t="str">
        <f>IF(ISNUMBER(INDEX(Haver_M!$B$1:$ZN$1000,MATCH(data!$A9,Haver_M!$B$1:$B$1000,0),MATCH(data!N$1,Haver_M!$B$1:$ZN$1,0))),INDEX(Haver_M!$B$1:$ZN$1000,MATCH(data!$A9,Haver_M!$B$1:$B$1000,0),MATCH(data!N$1,Haver_M!$B$1:$ZN$1,0)),"na")</f>
        <v>na</v>
      </c>
      <c r="O9">
        <f>IF(ISNUMBER(INDEX(Haver_M!$B$1:$ZN$1000,MATCH(data!$A9,Haver_M!$B$1:$B$1000,0),MATCH(data!O$1,Haver_M!$B$1:$ZN$1,0))),INDEX(Haver_M!$B$1:$ZN$1000,MATCH(data!$A9,Haver_M!$B$1:$B$1000,0),MATCH(data!O$1,Haver_M!$B$1:$ZN$1,0)),"na")</f>
        <v>120.57772</v>
      </c>
      <c r="P9">
        <f>IF(ISNUMBER(INDEX(Haver_M!$B$1:$ZN$1000,MATCH(data!$A9,Haver_M!$B$1:$B$1000,0),MATCH(data!P$1,Haver_M!$B$1:$ZN$1,0))),INDEX(Haver_M!$B$1:$ZN$1000,MATCH(data!$A9,Haver_M!$B$1:$B$1000,0),MATCH(data!P$1,Haver_M!$B$1:$ZN$1,0)),"na")</f>
        <v>47.013199999999998</v>
      </c>
      <c r="Q9">
        <f>IF(ISNUMBER(INDEX(Haver_M!$B$1:$ZN$1000,MATCH(data!$A9,Haver_M!$B$1:$B$1000,0),MATCH(data!Q$1,Haver_M!$B$1:$ZN$1,0))),INDEX(Haver_M!$B$1:$ZN$1000,MATCH(data!$A9,Haver_M!$B$1:$B$1000,0),MATCH(data!Q$1,Haver_M!$B$1:$ZN$1,0)),"na")</f>
        <v>51.074199999999998</v>
      </c>
      <c r="R9">
        <f>IF(ISNUMBER(INDEX(Haver_M!$B$1:$ZN$1000,MATCH(data!$A9,Haver_M!$B$1:$B$1000,0),MATCH(data!R$1,Haver_M!$B$1:$ZN$1,0))),INDEX(Haver_M!$B$1:$ZN$1000,MATCH(data!$A9,Haver_M!$B$1:$B$1000,0),MATCH(data!R$1,Haver_M!$B$1:$ZN$1,0)),"na")</f>
        <v>91.644099999999995</v>
      </c>
      <c r="S9">
        <f>IF(ISNUMBER(INDEX(Haver_M!$B$1:$ZN$1000,MATCH(data!$A9,Haver_M!$B$1:$B$1000,0),MATCH(data!S$1,Haver_M!$B$1:$ZN$1,0))),INDEX(Haver_M!$B$1:$ZN$1000,MATCH(data!$A9,Haver_M!$B$1:$B$1000,0),MATCH(data!S$1,Haver_M!$B$1:$ZN$1,0)),"na")</f>
        <v>105.61750000000001</v>
      </c>
      <c r="T9">
        <f>IF(ISNUMBER(INDEX(Haver_M!$B$1:$ZN$1000,MATCH(data!$A9,Haver_M!$B$1:$B$1000,0),MATCH(data!T$1,Haver_M!$B$1:$ZN$1,0))),INDEX(Haver_M!$B$1:$ZN$1000,MATCH(data!$A9,Haver_M!$B$1:$B$1000,0),MATCH(data!T$1,Haver_M!$B$1:$ZN$1,0)),"na")</f>
        <v>55.331200000000003</v>
      </c>
      <c r="U9">
        <f>IF(ISNUMBER(INDEX(Haver_M!$B$1:$ZN$1000,MATCH(data!$A9,Haver_M!$B$1:$B$1000,0),MATCH(data!U$1,Haver_M!$B$1:$ZN$1,0))),INDEX(Haver_M!$B$1:$ZN$1000,MATCH(data!$A9,Haver_M!$B$1:$B$1000,0),MATCH(data!U$1,Haver_M!$B$1:$ZN$1,0)),"na")</f>
        <v>83.252600000000001</v>
      </c>
      <c r="V9">
        <f>IF(ISNUMBER(INDEX(Haver_M!$B$1:$ZN$1000,MATCH(data!$A9,Haver_M!$B$1:$B$1000,0),MATCH(data!V$1,Haver_M!$B$1:$ZN$1,0))),INDEX(Haver_M!$B$1:$ZN$1000,MATCH(data!$A9,Haver_M!$B$1:$B$1000,0),MATCH(data!V$1,Haver_M!$B$1:$ZN$1,0)),"na")</f>
        <v>92.732900000000001</v>
      </c>
      <c r="W9">
        <f>IF(ISNUMBER(INDEX(Haver_M!$B$1:$ZN$1000,MATCH(data!$A9,Haver_M!$B$1:$B$1000,0),MATCH(data!W$1,Haver_M!$B$1:$ZN$1,0))),INDEX(Haver_M!$B$1:$ZN$1000,MATCH(data!$A9,Haver_M!$B$1:$B$1000,0),MATCH(data!W$1,Haver_M!$B$1:$ZN$1,0)),"na")</f>
        <v>2.75</v>
      </c>
      <c r="X9" t="str">
        <f>IF(ISNUMBER(INDEX(Haver_M!$B$1:$ZN$1000,MATCH(data!$A9,Haver_M!$B$1:$B$1000,0),MATCH(data!X$1,Haver_M!$B$1:$ZN$1,0))),INDEX(Haver_M!$B$1:$ZN$1000,MATCH(data!$A9,Haver_M!$B$1:$B$1000,0),MATCH(data!X$1,Haver_M!$B$1:$ZN$1,0)),"na")</f>
        <v>na</v>
      </c>
      <c r="Y9">
        <f>IF(ISNUMBER(INDEX(Haver_M!$B$1:$ZN$1000,MATCH(data!$A9,Haver_M!$B$1:$B$1000,0),MATCH(data!Y$1,Haver_M!$B$1:$ZN$1,0))),INDEX(Haver_M!$B$1:$ZN$1000,MATCH(data!$A9,Haver_M!$B$1:$B$1000,0),MATCH(data!Y$1,Haver_M!$B$1:$ZN$1,0)),"na")</f>
        <v>101.01</v>
      </c>
      <c r="Z9">
        <f>IF(ISNUMBER(INDEX(Haver_M!$B$1:$ZN$1000,MATCH(data!$A9,Haver_M!$B$1:$B$1000,0),MATCH(data!Z$1,Haver_M!$B$1:$ZN$1,0))),INDEX(Haver_M!$B$1:$ZN$1000,MATCH(data!$A9,Haver_M!$B$1:$B$1000,0),MATCH(data!Z$1,Haver_M!$B$1:$ZN$1,0)),"na")</f>
        <v>79.191100000000006</v>
      </c>
      <c r="AA9" t="str">
        <f>IF(ISNUMBER(INDEX(Haver_M!$B$1:$ZN$1000,MATCH(data!$A9,Haver_M!$B$1:$B$1000,0),MATCH(data!AA$1,Haver_M!$B$1:$ZN$1,0))),INDEX(Haver_M!$B$1:$ZN$1000,MATCH(data!$A9,Haver_M!$B$1:$B$1000,0),MATCH(data!AA$1,Haver_M!$B$1:$ZN$1,0)),"na")</f>
        <v>na</v>
      </c>
      <c r="AB9">
        <f>IF(ISNUMBER(INDEX(Haver_M!$B$1:$ZN$1000,MATCH(data!$A9,Haver_M!$B$1:$B$1000,0),MATCH(data!AB$1,Haver_M!$B$1:$ZN$1,0))),INDEX(Haver_M!$B$1:$ZN$1000,MATCH(data!$A9,Haver_M!$B$1:$B$1000,0),MATCH(data!AB$1,Haver_M!$B$1:$ZN$1,0)),"na")</f>
        <v>14357.5</v>
      </c>
      <c r="AC9">
        <f>IF(ISNUMBER(INDEX(Haver_M!$B$1:$ZN$1000,MATCH(data!$A9,Haver_M!$B$1:$B$1000,0),MATCH(data!AC$1,Haver_M!$B$1:$ZN$1,0))),INDEX(Haver_M!$B$1:$ZN$1000,MATCH(data!$A9,Haver_M!$B$1:$B$1000,0),MATCH(data!AC$1,Haver_M!$B$1:$ZN$1,0)),"na")</f>
        <v>15111.6</v>
      </c>
      <c r="AD9">
        <f>IF(ISNUMBER(INDEX(Haver_M!$B$1:$ZN$1000,MATCH(data!$A9,Haver_M!$B$1:$B$1000,0),MATCH(data!AD$1,Haver_M!$B$1:$ZN$1,0))),INDEX(Haver_M!$B$1:$ZN$1000,MATCH(data!$A9,Haver_M!$B$1:$B$1000,0),MATCH(data!AD$1,Haver_M!$B$1:$ZN$1,0)),"na")</f>
        <v>101.99</v>
      </c>
      <c r="AE9" t="str">
        <f>IF(ISNUMBER(INDEX(Haver_M!$B$1:$ZN$1000,MATCH(data!$A9,Haver_M!$B$1:$B$1000,0),MATCH(data!AE$1,Haver_M!$B$1:$ZN$1,0))),INDEX(Haver_M!$B$1:$ZN$1000,MATCH(data!$A9,Haver_M!$B$1:$B$1000,0),MATCH(data!AE$1,Haver_M!$B$1:$ZN$1,0)),"na")</f>
        <v>na</v>
      </c>
      <c r="AF9" t="str">
        <f>IF(ISNUMBER(INDEX(Haver_M!$B$1:$ZN$1000,MATCH(data!$A9,Haver_M!$B$1:$B$1000,0),MATCH(data!AF$1,Haver_M!$B$1:$ZN$1,0))),INDEX(Haver_M!$B$1:$ZN$1000,MATCH(data!$A9,Haver_M!$B$1:$B$1000,0),MATCH(data!AF$1,Haver_M!$B$1:$ZN$1,0)),"na")</f>
        <v>na</v>
      </c>
      <c r="AG9" t="str">
        <f>IF(ISNUMBER(INDEX(Haver_M!$B$1:$ZN$1000,MATCH(data!$A9,Haver_M!$B$1:$B$1000,0),MATCH(data!AG$1,Haver_M!$B$1:$ZN$1,0))),INDEX(Haver_M!$B$1:$ZN$1000,MATCH(data!$A9,Haver_M!$B$1:$B$1000,0),MATCH(data!AG$1,Haver_M!$B$1:$ZN$1,0)),"na")</f>
        <v>na</v>
      </c>
      <c r="AH9" t="str">
        <f>IF(ISNUMBER(INDEX(Haver_M!$B$1:$ZN$1000,MATCH(data!$A9,Haver_M!$B$1:$B$1000,0),MATCH(data!AH$1,Haver_M!$B$1:$ZN$1,0))),INDEX(Haver_M!$B$1:$ZN$1000,MATCH(data!$A9,Haver_M!$B$1:$B$1000,0),MATCH(data!AH$1,Haver_M!$B$1:$ZN$1,0)),"na")</f>
        <v>na</v>
      </c>
      <c r="AI9" t="str">
        <f>IF(ISNUMBER(INDEX(Haver_M!$B$1:$ZN$1000,MATCH(data!$A9,Haver_M!$B$1:$B$1000,0),MATCH(data!AI$1,Haver_M!$B$1:$ZN$1,0))),INDEX(Haver_M!$B$1:$ZN$1000,MATCH(data!$A9,Haver_M!$B$1:$B$1000,0),MATCH(data!AI$1,Haver_M!$B$1:$ZN$1,0)),"na")</f>
        <v>na</v>
      </c>
      <c r="AJ9" t="str">
        <f>IF(ISNUMBER(INDEX(Haver_M!$B$1:$ZN$1000,MATCH(data!$A9,Haver_M!$B$1:$B$1000,0),MATCH(data!AJ$1,Haver_M!$B$1:$ZN$1,0))),INDEX(Haver_M!$B$1:$ZN$1000,MATCH(data!$A9,Haver_M!$B$1:$B$1000,0),MATCH(data!AJ$1,Haver_M!$B$1:$ZN$1,0)),"na")</f>
        <v>na</v>
      </c>
      <c r="AK9" t="str">
        <f>IF(ISNUMBER(INDEX(Haver_M!$B$1:$ZN$1000,MATCH(data!$A9,Haver_M!$B$1:$B$1000,0),MATCH(data!AK$1,Haver_M!$B$1:$ZN$1,0))),INDEX(Haver_M!$B$1:$ZN$1000,MATCH(data!$A9,Haver_M!$B$1:$B$1000,0),MATCH(data!AK$1,Haver_M!$B$1:$ZN$1,0)),"na")</f>
        <v>na</v>
      </c>
      <c r="AL9" t="str">
        <f>IF(ISNUMBER(INDEX(Haver_M!$B$1:$ZN$1000,MATCH(data!$A9,Haver_M!$B$1:$B$1000,0),MATCH(data!AL$1,Haver_M!$B$1:$ZN$1,0))),INDEX(Haver_M!$B$1:$ZN$1000,MATCH(data!$A9,Haver_M!$B$1:$B$1000,0),MATCH(data!AL$1,Haver_M!$B$1:$ZN$1,0)),"na")</f>
        <v>na</v>
      </c>
      <c r="AM9" t="str">
        <f>IF(ISNUMBER(INDEX(Haver_M!$B$1:$ZN$1000,MATCH(data!$A9,Haver_M!$B$1:$B$1000,0),MATCH(data!AM$1,Haver_M!$B$1:$ZN$1,0))),INDEX(Haver_M!$B$1:$ZN$1000,MATCH(data!$A9,Haver_M!$B$1:$B$1000,0),MATCH(data!AM$1,Haver_M!$B$1:$ZN$1,0)),"na")</f>
        <v>na</v>
      </c>
      <c r="AN9" t="str">
        <f>IF(ISNUMBER(INDEX(Haver_M!$B$1:$ZN$1000,MATCH(data!$A9,Haver_M!$B$1:$B$1000,0),MATCH(data!AN$1,Haver_M!$B$1:$ZN$1,0))),INDEX(Haver_M!$B$1:$ZN$1000,MATCH(data!$A9,Haver_M!$B$1:$B$1000,0),MATCH(data!AN$1,Haver_M!$B$1:$ZN$1,0)),"na")</f>
        <v>na</v>
      </c>
      <c r="AO9" t="str">
        <f>IF(ISNUMBER(INDEX(Haver_M!$B$1:$ZN$1000,MATCH(data!$A9,Haver_M!$B$1:$B$1000,0),MATCH(data!AO$1,Haver_M!$B$1:$ZN$1,0))),INDEX(Haver_M!$B$1:$ZN$1000,MATCH(data!$A9,Haver_M!$B$1:$B$1000,0),MATCH(data!AO$1,Haver_M!$B$1:$ZN$1,0)),"na")</f>
        <v>na</v>
      </c>
      <c r="AP9" t="str">
        <f>IF(ISNUMBER(INDEX(Haver_M!$B$1:$ZN$1000,MATCH(data!$A9,Haver_M!$B$1:$B$1000,0),MATCH(data!AP$1,Haver_M!$B$1:$ZN$1,0))),INDEX(Haver_M!$B$1:$ZN$1000,MATCH(data!$A9,Haver_M!$B$1:$B$1000,0),MATCH(data!AP$1,Haver_M!$B$1:$ZN$1,0)),"na")</f>
        <v>na</v>
      </c>
      <c r="AQ9" t="str">
        <f>IF(ISNUMBER(INDEX(Haver_M!$B$1:$ZN$1000,MATCH(data!$A9,Haver_M!$B$1:$B$1000,0),MATCH(data!AQ$1,Haver_M!$B$1:$ZN$1,0))),INDEX(Haver_M!$B$1:$ZN$1000,MATCH(data!$A9,Haver_M!$B$1:$B$1000,0),MATCH(data!AQ$1,Haver_M!$B$1:$ZN$1,0)),"na")</f>
        <v>na</v>
      </c>
      <c r="AR9" t="str">
        <f>IF(ISNUMBER(INDEX(Haver_M!$B$1:$ZN$1000,MATCH(data!$A9,Haver_M!$B$1:$B$1000,0),MATCH(data!AR$1,Haver_M!$B$1:$ZN$1,0))),INDEX(Haver_M!$B$1:$ZN$1000,MATCH(data!$A9,Haver_M!$B$1:$B$1000,0),MATCH(data!AR$1,Haver_M!$B$1:$ZN$1,0)),"na")</f>
        <v>na</v>
      </c>
      <c r="AS9">
        <f>IF(ISNUMBER(INDEX(Haver_M!$B$1:$ZN$1000,MATCH(data!$A9,Haver_M!$B$1:$B$1000,0),MATCH(data!AS$1,Haver_M!$B$1:$ZN$1,0))),INDEX(Haver_M!$B$1:$ZN$1000,MATCH(data!$A9,Haver_M!$B$1:$B$1000,0),MATCH(data!AS$1,Haver_M!$B$1:$ZN$1,0)),"na")</f>
        <v>6464.2</v>
      </c>
      <c r="AT9">
        <f>IF(ISNUMBER(INDEX(Haver_M!$B$1:$ZN$1000,MATCH(data!$A9,Haver_M!$B$1:$B$1000,0),MATCH(data!AT$1,Haver_M!$B$1:$ZN$1,0))),INDEX(Haver_M!$B$1:$ZN$1000,MATCH(data!$A9,Haver_M!$B$1:$B$1000,0),MATCH(data!AT$1,Haver_M!$B$1:$ZN$1,0)),"na")</f>
        <v>78.075000000000003</v>
      </c>
      <c r="AU9">
        <f>IF(ISNUMBER(INDEX(Haver_M!$B$1:$ZN$1000,MATCH(data!$A9,Haver_M!$B$1:$B$1000,0),MATCH(data!AU$1,Haver_M!$B$1:$ZN$1,0))),INDEX(Haver_M!$B$1:$ZN$1000,MATCH(data!$A9,Haver_M!$B$1:$B$1000,0),MATCH(data!AU$1,Haver_M!$B$1:$ZN$1,0)),"na")</f>
        <v>80.513530000000003</v>
      </c>
      <c r="AV9">
        <f>IF(ISNUMBER(INDEX(Haver_M!$B$1:$ZN$1000,MATCH(data!$A9,Haver_M!$B$1:$B$1000,0),MATCH(data!AV$1,Haver_M!$B$1:$ZN$1,0))),INDEX(Haver_M!$B$1:$ZN$1000,MATCH(data!$A9,Haver_M!$B$1:$B$1000,0),MATCH(data!AV$1,Haver_M!$B$1:$ZN$1,0)),"na")</f>
        <v>78.5</v>
      </c>
      <c r="AW9">
        <f>IF(ISNUMBER(INDEX(Haver_M!$B$1:$ZN$1000,MATCH(data!$A9,Haver_M!$B$1:$B$1000,0),MATCH(data!AW$1,Haver_M!$B$1:$ZN$1,0))),INDEX(Haver_M!$B$1:$ZN$1000,MATCH(data!$A9,Haver_M!$B$1:$B$1000,0),MATCH(data!AW$1,Haver_M!$B$1:$ZN$1,0)),"na")</f>
        <v>675626.04736254795</v>
      </c>
      <c r="AX9">
        <f>IF(ISNUMBER(INDEX(Haver_M!$B$1:$ZN$1000,MATCH(data!$A9,Haver_M!$B$1:$B$1000,0),MATCH(data!AX$1,Haver_M!$B$1:$ZN$1,0))),INDEX(Haver_M!$B$1:$ZN$1000,MATCH(data!$A9,Haver_M!$B$1:$B$1000,0),MATCH(data!AX$1,Haver_M!$B$1:$ZN$1,0)),"na")</f>
        <v>3132</v>
      </c>
      <c r="AY9">
        <f>IF(ISNUMBER(INDEX(Haver_M!$B$1:$ZN$1000,MATCH(data!$A9,Haver_M!$B$1:$B$1000,0),MATCH(data!AY$1,Haver_M!$B$1:$ZN$1,0))),INDEX(Haver_M!$B$1:$ZN$1000,MATCH(data!$A9,Haver_M!$B$1:$B$1000,0),MATCH(data!AY$1,Haver_M!$B$1:$ZN$1,0)),"na")</f>
        <v>1756</v>
      </c>
      <c r="AZ9" t="str">
        <f>IF(ISNUMBER(INDEX(Haver_M!$B$1:$ZN$1000,MATCH(data!$A9,Haver_M!$B$1:$B$1000,0),MATCH(data!AZ$1,Haver_M!$B$1:$ZN$1,0))),INDEX(Haver_M!$B$1:$ZN$1000,MATCH(data!$A9,Haver_M!$B$1:$B$1000,0),MATCH(data!AZ$1,Haver_M!$B$1:$ZN$1,0)),"na")</f>
        <v>na</v>
      </c>
      <c r="BA9">
        <f>IF(ISNUMBER(INDEX(Haver_M!$B$1:$ZN$1000,MATCH(data!$A9,Haver_M!$B$1:$B$1000,0),MATCH(data!BA$1,Haver_M!$B$1:$ZN$1,0))),INDEX(Haver_M!$B$1:$ZN$1000,MATCH(data!$A9,Haver_M!$B$1:$B$1000,0),MATCH(data!BA$1,Haver_M!$B$1:$ZN$1,0)),"na")</f>
        <v>94.650131053083271</v>
      </c>
      <c r="BB9" t="str">
        <f>IF(ISNUMBER(INDEX(Haver_M!$B$1:$ZN$1000,MATCH(data!$A9,Haver_M!$B$1:$B$1000,0),MATCH(data!BB$1,Haver_M!$B$1:$ZN$1,0))),INDEX(Haver_M!$B$1:$ZN$1000,MATCH(data!$A9,Haver_M!$B$1:$B$1000,0),MATCH(data!BB$1,Haver_M!$B$1:$ZN$1,0)),"")</f>
        <v/>
      </c>
    </row>
    <row r="10" spans="1:54" x14ac:dyDescent="0.25">
      <c r="A10" s="2">
        <v>36799</v>
      </c>
      <c r="B10">
        <f>IF(ISNUMBER(INDEX(Haver_Q!$B$1:$BD$1000,MATCH(data!$A10,Haver_Q!$B$1:$B$1000,0),MATCH(data!B$1,Haver_Q!$B$1:$BD$1,0))),100*INDEX(Haver_Q!$B$1:$BD$1000,MATCH(data!$A10,Haver_Q!$B$1:$B$1000,0),MATCH(data!B$1,Haver_Q!$B$1:$BD$1,0)),"na")</f>
        <v>3.1479804442387627</v>
      </c>
      <c r="C10">
        <f>IF(ISNUMBER(INDEX(Haver_Q!$B$1:$BD$1000,MATCH(data!$A10,Haver_Q!$B$1:$B$1000,0),MATCH(data!C$1,Haver_Q!$B$1:$BD$1,0))),100*INDEX(Haver_Q!$B$1:$BD$1000,MATCH(data!$A10,Haver_Q!$B$1:$B$1000,0),MATCH(data!C$1,Haver_Q!$B$1:$BD$1,0)),"na")</f>
        <v>0.26588306564025999</v>
      </c>
      <c r="D10">
        <f>IF(ISNUMBER(INDEX(Haver_Q!$B$1:$BD$1000,MATCH(data!$A10,Haver_Q!$B$1:$B$1000,0),MATCH(data!D$1,Haver_Q!$B$1:$BD$1,0))),100*INDEX(Haver_Q!$B$1:$BD$1000,MATCH(data!$A10,Haver_Q!$B$1:$B$1000,0),MATCH(data!D$1,Haver_Q!$B$1:$BD$1,0)),"na")</f>
        <v>7.2302863000684781</v>
      </c>
      <c r="E10">
        <f>IF(ISNUMBER(INDEX(Haver_Q!$B$1:$BD$1000,MATCH(data!$A10,Haver_Q!$B$1:$B$1000,0),MATCH(data!E$1,Haver_Q!$B$1:$BD$1,0))),100*INDEX(Haver_Q!$B$1:$BD$1000,MATCH(data!$A10,Haver_Q!$B$1:$B$1000,0),MATCH(data!E$1,Haver_Q!$B$1:$BD$1,0)),"na")</f>
        <v>-1.6482028820336336</v>
      </c>
      <c r="F10">
        <f>IF(ISNUMBER(INDEX(Haver_Q!$B$1:$BD$1000,MATCH(data!$A10,Haver_Q!$B$1:$B$1000,0),MATCH(data!F$1,Haver_Q!$B$1:$BD$1,0))),100*INDEX(Haver_Q!$B$1:$BD$1000,MATCH(data!$A10,Haver_Q!$B$1:$B$1000,0),MATCH(data!F$1,Haver_Q!$B$1:$BD$1,0)),"na")</f>
        <v>12.589966478604042</v>
      </c>
      <c r="G10">
        <f>IF(ISNUMBER(INDEX(Haver_Q!$B$1:$BD$1000,MATCH(data!$A10,Haver_Q!$B$1:$B$1000,0),MATCH(data!G$1,Haver_Q!$B$1:$BD$1,0))),100*INDEX(Haver_Q!$B$1:$BD$1000,MATCH(data!$A10,Haver_Q!$B$1:$B$1000,0),MATCH(data!G$1,Haver_Q!$B$1:$BD$1,0)),"na")</f>
        <v>30.634636830607519</v>
      </c>
      <c r="H10">
        <f>IF(ISNUMBER(INDEX(Haver_Q!$B$1:$BD$1000,MATCH(data!$A10,Haver_Q!$B$1:$B$1000,0),MATCH(data!H$1,Haver_Q!$B$1:$BD$1,0))),100*INDEX(Haver_Q!$B$1:$BD$1000,MATCH(data!$A10,Haver_Q!$B$1:$B$1000,0),MATCH(data!H$1,Haver_Q!$B$1:$BD$1,0)),"na")</f>
        <v>313.88242329642605</v>
      </c>
      <c r="I10" s="3">
        <f>IF(ISNUMBER(Bloomberg_m!C26),Bloomberg_m!C26,"na")</f>
        <v>1712</v>
      </c>
      <c r="J10" s="3" t="str">
        <f>IF(ISNUMBER(Bloomberg_m!D26),Bloomberg_m!D26,"na")</f>
        <v>na</v>
      </c>
      <c r="K10" s="3" t="str">
        <f>IF(ISNUMBER(Bloomberg_m!E26),Bloomberg_m!E26,"na")</f>
        <v>na</v>
      </c>
      <c r="L10" s="3">
        <f>IF(ISNUMBER(Bloomberg_m!L26),Bloomberg_m!L26,"na")</f>
        <v>33.89</v>
      </c>
      <c r="M10" t="str">
        <f>IF(ISNUMBER(INDEX(Haver_M!$B$1:$ZN$1000,MATCH(data!$A10,Haver_M!$B$1:$B$1000,0),MATCH(data!M$1,Haver_M!$B$1:$ZN$1,0))),INDEX(Haver_M!$B$1:$ZN$1000,MATCH(data!$A10,Haver_M!$B$1:$B$1000,0),MATCH(data!M$1,Haver_M!$B$1:$ZN$1,0)),"na")</f>
        <v>na</v>
      </c>
      <c r="N10" t="str">
        <f>IF(ISNUMBER(INDEX(Haver_M!$B$1:$ZN$1000,MATCH(data!$A10,Haver_M!$B$1:$B$1000,0),MATCH(data!N$1,Haver_M!$B$1:$ZN$1,0))),INDEX(Haver_M!$B$1:$ZN$1000,MATCH(data!$A10,Haver_M!$B$1:$B$1000,0),MATCH(data!N$1,Haver_M!$B$1:$ZN$1,0)),"na")</f>
        <v>na</v>
      </c>
      <c r="O10">
        <f>IF(ISNUMBER(INDEX(Haver_M!$B$1:$ZN$1000,MATCH(data!$A10,Haver_M!$B$1:$B$1000,0),MATCH(data!O$1,Haver_M!$B$1:$ZN$1,0))),INDEX(Haver_M!$B$1:$ZN$1000,MATCH(data!$A10,Haver_M!$B$1:$B$1000,0),MATCH(data!O$1,Haver_M!$B$1:$ZN$1,0)),"na")</f>
        <v>120.15479000000001</v>
      </c>
      <c r="P10">
        <f>IF(ISNUMBER(INDEX(Haver_M!$B$1:$ZN$1000,MATCH(data!$A10,Haver_M!$B$1:$B$1000,0),MATCH(data!P$1,Haver_M!$B$1:$ZN$1,0))),INDEX(Haver_M!$B$1:$ZN$1000,MATCH(data!$A10,Haver_M!$B$1:$B$1000,0),MATCH(data!P$1,Haver_M!$B$1:$ZN$1,0)),"na")</f>
        <v>47.282600000000002</v>
      </c>
      <c r="Q10">
        <f>IF(ISNUMBER(INDEX(Haver_M!$B$1:$ZN$1000,MATCH(data!$A10,Haver_M!$B$1:$B$1000,0),MATCH(data!Q$1,Haver_M!$B$1:$ZN$1,0))),INDEX(Haver_M!$B$1:$ZN$1000,MATCH(data!$A10,Haver_M!$B$1:$B$1000,0),MATCH(data!Q$1,Haver_M!$B$1:$ZN$1,0)),"na")</f>
        <v>51.321399999999997</v>
      </c>
      <c r="R10">
        <f>IF(ISNUMBER(INDEX(Haver_M!$B$1:$ZN$1000,MATCH(data!$A10,Haver_M!$B$1:$B$1000,0),MATCH(data!R$1,Haver_M!$B$1:$ZN$1,0))),INDEX(Haver_M!$B$1:$ZN$1000,MATCH(data!$A10,Haver_M!$B$1:$B$1000,0),MATCH(data!R$1,Haver_M!$B$1:$ZN$1,0)),"na")</f>
        <v>91.507999999999996</v>
      </c>
      <c r="S10">
        <f>IF(ISNUMBER(INDEX(Haver_M!$B$1:$ZN$1000,MATCH(data!$A10,Haver_M!$B$1:$B$1000,0),MATCH(data!S$1,Haver_M!$B$1:$ZN$1,0))),INDEX(Haver_M!$B$1:$ZN$1000,MATCH(data!$A10,Haver_M!$B$1:$B$1000,0),MATCH(data!S$1,Haver_M!$B$1:$ZN$1,0)),"na")</f>
        <v>107.4547</v>
      </c>
      <c r="T10">
        <f>IF(ISNUMBER(INDEX(Haver_M!$B$1:$ZN$1000,MATCH(data!$A10,Haver_M!$B$1:$B$1000,0),MATCH(data!T$1,Haver_M!$B$1:$ZN$1,0))),INDEX(Haver_M!$B$1:$ZN$1000,MATCH(data!$A10,Haver_M!$B$1:$B$1000,0),MATCH(data!T$1,Haver_M!$B$1:$ZN$1,0)),"na")</f>
        <v>55.9557</v>
      </c>
      <c r="U10">
        <f>IF(ISNUMBER(INDEX(Haver_M!$B$1:$ZN$1000,MATCH(data!$A10,Haver_M!$B$1:$B$1000,0),MATCH(data!U$1,Haver_M!$B$1:$ZN$1,0))),INDEX(Haver_M!$B$1:$ZN$1000,MATCH(data!$A10,Haver_M!$B$1:$B$1000,0),MATCH(data!U$1,Haver_M!$B$1:$ZN$1,0)),"na")</f>
        <v>81.883099999999999</v>
      </c>
      <c r="V10">
        <f>IF(ISNUMBER(INDEX(Haver_M!$B$1:$ZN$1000,MATCH(data!$A10,Haver_M!$B$1:$B$1000,0),MATCH(data!V$1,Haver_M!$B$1:$ZN$1,0))),INDEX(Haver_M!$B$1:$ZN$1000,MATCH(data!$A10,Haver_M!$B$1:$B$1000,0),MATCH(data!V$1,Haver_M!$B$1:$ZN$1,0)),"na")</f>
        <v>92.781599999999997</v>
      </c>
      <c r="W10">
        <f>IF(ISNUMBER(INDEX(Haver_M!$B$1:$ZN$1000,MATCH(data!$A10,Haver_M!$B$1:$B$1000,0),MATCH(data!W$1,Haver_M!$B$1:$ZN$1,0))),INDEX(Haver_M!$B$1:$ZN$1000,MATCH(data!$A10,Haver_M!$B$1:$B$1000,0),MATCH(data!W$1,Haver_M!$B$1:$ZN$1,0)),"na")</f>
        <v>2.67</v>
      </c>
      <c r="X10" t="str">
        <f>IF(ISNUMBER(INDEX(Haver_M!$B$1:$ZN$1000,MATCH(data!$A10,Haver_M!$B$1:$B$1000,0),MATCH(data!X$1,Haver_M!$B$1:$ZN$1,0))),INDEX(Haver_M!$B$1:$ZN$1000,MATCH(data!$A10,Haver_M!$B$1:$B$1000,0),MATCH(data!X$1,Haver_M!$B$1:$ZN$1,0)),"na")</f>
        <v>na</v>
      </c>
      <c r="Y10">
        <f>IF(ISNUMBER(INDEX(Haver_M!$B$1:$ZN$1000,MATCH(data!$A10,Haver_M!$B$1:$B$1000,0),MATCH(data!Y$1,Haver_M!$B$1:$ZN$1,0))),INDEX(Haver_M!$B$1:$ZN$1000,MATCH(data!$A10,Haver_M!$B$1:$B$1000,0),MATCH(data!Y$1,Haver_M!$B$1:$ZN$1,0)),"na")</f>
        <v>100.78</v>
      </c>
      <c r="Z10">
        <f>IF(ISNUMBER(INDEX(Haver_M!$B$1:$ZN$1000,MATCH(data!$A10,Haver_M!$B$1:$B$1000,0),MATCH(data!Z$1,Haver_M!$B$1:$ZN$1,0))),INDEX(Haver_M!$B$1:$ZN$1000,MATCH(data!$A10,Haver_M!$B$1:$B$1000,0),MATCH(data!Z$1,Haver_M!$B$1:$ZN$1,0)),"na")</f>
        <v>80.093800000000002</v>
      </c>
      <c r="AA10" t="str">
        <f>IF(ISNUMBER(INDEX(Haver_M!$B$1:$ZN$1000,MATCH(data!$A10,Haver_M!$B$1:$B$1000,0),MATCH(data!AA$1,Haver_M!$B$1:$ZN$1,0))),INDEX(Haver_M!$B$1:$ZN$1000,MATCH(data!$A10,Haver_M!$B$1:$B$1000,0),MATCH(data!AA$1,Haver_M!$B$1:$ZN$1,0)),"na")</f>
        <v>na</v>
      </c>
      <c r="AB10">
        <f>IF(ISNUMBER(INDEX(Haver_M!$B$1:$ZN$1000,MATCH(data!$A10,Haver_M!$B$1:$B$1000,0),MATCH(data!AB$1,Haver_M!$B$1:$ZN$1,0))),INDEX(Haver_M!$B$1:$ZN$1000,MATCH(data!$A10,Haver_M!$B$1:$B$1000,0),MATCH(data!AB$1,Haver_M!$B$1:$ZN$1,0)),"na")</f>
        <v>14143.7</v>
      </c>
      <c r="AC10">
        <f>IF(ISNUMBER(INDEX(Haver_M!$B$1:$ZN$1000,MATCH(data!$A10,Haver_M!$B$1:$B$1000,0),MATCH(data!AC$1,Haver_M!$B$1:$ZN$1,0))),INDEX(Haver_M!$B$1:$ZN$1000,MATCH(data!$A10,Haver_M!$B$1:$B$1000,0),MATCH(data!AC$1,Haver_M!$B$1:$ZN$1,0)),"na")</f>
        <v>15071.5</v>
      </c>
      <c r="AD10">
        <f>IF(ISNUMBER(INDEX(Haver_M!$B$1:$ZN$1000,MATCH(data!$A10,Haver_M!$B$1:$B$1000,0),MATCH(data!AD$1,Haver_M!$B$1:$ZN$1,0))),INDEX(Haver_M!$B$1:$ZN$1000,MATCH(data!$A10,Haver_M!$B$1:$B$1000,0),MATCH(data!AD$1,Haver_M!$B$1:$ZN$1,0)),"na")</f>
        <v>101.98</v>
      </c>
      <c r="AE10" t="str">
        <f>IF(ISNUMBER(INDEX(Haver_M!$B$1:$ZN$1000,MATCH(data!$A10,Haver_M!$B$1:$B$1000,0),MATCH(data!AE$1,Haver_M!$B$1:$ZN$1,0))),INDEX(Haver_M!$B$1:$ZN$1000,MATCH(data!$A10,Haver_M!$B$1:$B$1000,0),MATCH(data!AE$1,Haver_M!$B$1:$ZN$1,0)),"na")</f>
        <v>na</v>
      </c>
      <c r="AF10" t="str">
        <f>IF(ISNUMBER(INDEX(Haver_M!$B$1:$ZN$1000,MATCH(data!$A10,Haver_M!$B$1:$B$1000,0),MATCH(data!AF$1,Haver_M!$B$1:$ZN$1,0))),INDEX(Haver_M!$B$1:$ZN$1000,MATCH(data!$A10,Haver_M!$B$1:$B$1000,0),MATCH(data!AF$1,Haver_M!$B$1:$ZN$1,0)),"na")</f>
        <v>na</v>
      </c>
      <c r="AG10" t="str">
        <f>IF(ISNUMBER(INDEX(Haver_M!$B$1:$ZN$1000,MATCH(data!$A10,Haver_M!$B$1:$B$1000,0),MATCH(data!AG$1,Haver_M!$B$1:$ZN$1,0))),INDEX(Haver_M!$B$1:$ZN$1000,MATCH(data!$A10,Haver_M!$B$1:$B$1000,0),MATCH(data!AG$1,Haver_M!$B$1:$ZN$1,0)),"na")</f>
        <v>na</v>
      </c>
      <c r="AH10" t="str">
        <f>IF(ISNUMBER(INDEX(Haver_M!$B$1:$ZN$1000,MATCH(data!$A10,Haver_M!$B$1:$B$1000,0),MATCH(data!AH$1,Haver_M!$B$1:$ZN$1,0))),INDEX(Haver_M!$B$1:$ZN$1000,MATCH(data!$A10,Haver_M!$B$1:$B$1000,0),MATCH(data!AH$1,Haver_M!$B$1:$ZN$1,0)),"na")</f>
        <v>na</v>
      </c>
      <c r="AI10" t="str">
        <f>IF(ISNUMBER(INDEX(Haver_M!$B$1:$ZN$1000,MATCH(data!$A10,Haver_M!$B$1:$B$1000,0),MATCH(data!AI$1,Haver_M!$B$1:$ZN$1,0))),INDEX(Haver_M!$B$1:$ZN$1000,MATCH(data!$A10,Haver_M!$B$1:$B$1000,0),MATCH(data!AI$1,Haver_M!$B$1:$ZN$1,0)),"na")</f>
        <v>na</v>
      </c>
      <c r="AJ10" t="str">
        <f>IF(ISNUMBER(INDEX(Haver_M!$B$1:$ZN$1000,MATCH(data!$A10,Haver_M!$B$1:$B$1000,0),MATCH(data!AJ$1,Haver_M!$B$1:$ZN$1,0))),INDEX(Haver_M!$B$1:$ZN$1000,MATCH(data!$A10,Haver_M!$B$1:$B$1000,0),MATCH(data!AJ$1,Haver_M!$B$1:$ZN$1,0)),"na")</f>
        <v>na</v>
      </c>
      <c r="AK10" t="str">
        <f>IF(ISNUMBER(INDEX(Haver_M!$B$1:$ZN$1000,MATCH(data!$A10,Haver_M!$B$1:$B$1000,0),MATCH(data!AK$1,Haver_M!$B$1:$ZN$1,0))),INDEX(Haver_M!$B$1:$ZN$1000,MATCH(data!$A10,Haver_M!$B$1:$B$1000,0),MATCH(data!AK$1,Haver_M!$B$1:$ZN$1,0)),"na")</f>
        <v>na</v>
      </c>
      <c r="AL10" t="str">
        <f>IF(ISNUMBER(INDEX(Haver_M!$B$1:$ZN$1000,MATCH(data!$A10,Haver_M!$B$1:$B$1000,0),MATCH(data!AL$1,Haver_M!$B$1:$ZN$1,0))),INDEX(Haver_M!$B$1:$ZN$1000,MATCH(data!$A10,Haver_M!$B$1:$B$1000,0),MATCH(data!AL$1,Haver_M!$B$1:$ZN$1,0)),"na")</f>
        <v>na</v>
      </c>
      <c r="AM10" t="str">
        <f>IF(ISNUMBER(INDEX(Haver_M!$B$1:$ZN$1000,MATCH(data!$A10,Haver_M!$B$1:$B$1000,0),MATCH(data!AM$1,Haver_M!$B$1:$ZN$1,0))),INDEX(Haver_M!$B$1:$ZN$1000,MATCH(data!$A10,Haver_M!$B$1:$B$1000,0),MATCH(data!AM$1,Haver_M!$B$1:$ZN$1,0)),"na")</f>
        <v>na</v>
      </c>
      <c r="AN10" t="str">
        <f>IF(ISNUMBER(INDEX(Haver_M!$B$1:$ZN$1000,MATCH(data!$A10,Haver_M!$B$1:$B$1000,0),MATCH(data!AN$1,Haver_M!$B$1:$ZN$1,0))),INDEX(Haver_M!$B$1:$ZN$1000,MATCH(data!$A10,Haver_M!$B$1:$B$1000,0),MATCH(data!AN$1,Haver_M!$B$1:$ZN$1,0)),"na")</f>
        <v>na</v>
      </c>
      <c r="AO10" t="str">
        <f>IF(ISNUMBER(INDEX(Haver_M!$B$1:$ZN$1000,MATCH(data!$A10,Haver_M!$B$1:$B$1000,0),MATCH(data!AO$1,Haver_M!$B$1:$ZN$1,0))),INDEX(Haver_M!$B$1:$ZN$1000,MATCH(data!$A10,Haver_M!$B$1:$B$1000,0),MATCH(data!AO$1,Haver_M!$B$1:$ZN$1,0)),"na")</f>
        <v>na</v>
      </c>
      <c r="AP10" t="str">
        <f>IF(ISNUMBER(INDEX(Haver_M!$B$1:$ZN$1000,MATCH(data!$A10,Haver_M!$B$1:$B$1000,0),MATCH(data!AP$1,Haver_M!$B$1:$ZN$1,0))),INDEX(Haver_M!$B$1:$ZN$1000,MATCH(data!$A10,Haver_M!$B$1:$B$1000,0),MATCH(data!AP$1,Haver_M!$B$1:$ZN$1,0)),"na")</f>
        <v>na</v>
      </c>
      <c r="AQ10" t="str">
        <f>IF(ISNUMBER(INDEX(Haver_M!$B$1:$ZN$1000,MATCH(data!$A10,Haver_M!$B$1:$B$1000,0),MATCH(data!AQ$1,Haver_M!$B$1:$ZN$1,0))),INDEX(Haver_M!$B$1:$ZN$1000,MATCH(data!$A10,Haver_M!$B$1:$B$1000,0),MATCH(data!AQ$1,Haver_M!$B$1:$ZN$1,0)),"na")</f>
        <v>na</v>
      </c>
      <c r="AR10" t="str">
        <f>IF(ISNUMBER(INDEX(Haver_M!$B$1:$ZN$1000,MATCH(data!$A10,Haver_M!$B$1:$B$1000,0),MATCH(data!AR$1,Haver_M!$B$1:$ZN$1,0))),INDEX(Haver_M!$B$1:$ZN$1000,MATCH(data!$A10,Haver_M!$B$1:$B$1000,0),MATCH(data!AR$1,Haver_M!$B$1:$ZN$1,0)),"na")</f>
        <v>na</v>
      </c>
      <c r="AS10">
        <f>IF(ISNUMBER(INDEX(Haver_M!$B$1:$ZN$1000,MATCH(data!$A10,Haver_M!$B$1:$B$1000,0),MATCH(data!AS$1,Haver_M!$B$1:$ZN$1,0))),INDEX(Haver_M!$B$1:$ZN$1000,MATCH(data!$A10,Haver_M!$B$1:$B$1000,0),MATCH(data!AS$1,Haver_M!$B$1:$ZN$1,0)),"na")</f>
        <v>6680.32</v>
      </c>
      <c r="AT10">
        <f>IF(ISNUMBER(INDEX(Haver_M!$B$1:$ZN$1000,MATCH(data!$A10,Haver_M!$B$1:$B$1000,0),MATCH(data!AT$1,Haver_M!$B$1:$ZN$1,0))),INDEX(Haver_M!$B$1:$ZN$1000,MATCH(data!$A10,Haver_M!$B$1:$B$1000,0),MATCH(data!AT$1,Haver_M!$B$1:$ZN$1,0)),"na")</f>
        <v>78.997</v>
      </c>
      <c r="AU10">
        <f>IF(ISNUMBER(INDEX(Haver_M!$B$1:$ZN$1000,MATCH(data!$A10,Haver_M!$B$1:$B$1000,0),MATCH(data!AU$1,Haver_M!$B$1:$ZN$1,0))),INDEX(Haver_M!$B$1:$ZN$1000,MATCH(data!$A10,Haver_M!$B$1:$B$1000,0),MATCH(data!AU$1,Haver_M!$B$1:$ZN$1,0)),"na")</f>
        <v>80.639011999999994</v>
      </c>
      <c r="AV10">
        <f>IF(ISNUMBER(INDEX(Haver_M!$B$1:$ZN$1000,MATCH(data!$A10,Haver_M!$B$1:$B$1000,0),MATCH(data!AV$1,Haver_M!$B$1:$ZN$1,0))),INDEX(Haver_M!$B$1:$ZN$1000,MATCH(data!$A10,Haver_M!$B$1:$B$1000,0),MATCH(data!AV$1,Haver_M!$B$1:$ZN$1,0)),"na")</f>
        <v>77.099999999999994</v>
      </c>
      <c r="AW10">
        <f>IF(ISNUMBER(INDEX(Haver_M!$B$1:$ZN$1000,MATCH(data!$A10,Haver_M!$B$1:$B$1000,0),MATCH(data!AW$1,Haver_M!$B$1:$ZN$1,0))),INDEX(Haver_M!$B$1:$ZN$1000,MATCH(data!$A10,Haver_M!$B$1:$B$1000,0),MATCH(data!AW$1,Haver_M!$B$1:$ZN$1,0)),"na")</f>
        <v>729377.59667502099</v>
      </c>
      <c r="AX10">
        <f>IF(ISNUMBER(INDEX(Haver_M!$B$1:$ZN$1000,MATCH(data!$A10,Haver_M!$B$1:$B$1000,0),MATCH(data!AX$1,Haver_M!$B$1:$ZN$1,0))),INDEX(Haver_M!$B$1:$ZN$1000,MATCH(data!$A10,Haver_M!$B$1:$B$1000,0),MATCH(data!AX$1,Haver_M!$B$1:$ZN$1,0)),"na")</f>
        <v>3167</v>
      </c>
      <c r="AY10">
        <f>IF(ISNUMBER(INDEX(Haver_M!$B$1:$ZN$1000,MATCH(data!$A10,Haver_M!$B$1:$B$1000,0),MATCH(data!AY$1,Haver_M!$B$1:$ZN$1,0))),INDEX(Haver_M!$B$1:$ZN$1000,MATCH(data!$A10,Haver_M!$B$1:$B$1000,0),MATCH(data!AY$1,Haver_M!$B$1:$ZN$1,0)),"na")</f>
        <v>1720</v>
      </c>
      <c r="AZ10" t="str">
        <f>IF(ISNUMBER(INDEX(Haver_M!$B$1:$ZN$1000,MATCH(data!$A10,Haver_M!$B$1:$B$1000,0),MATCH(data!AZ$1,Haver_M!$B$1:$ZN$1,0))),INDEX(Haver_M!$B$1:$ZN$1000,MATCH(data!$A10,Haver_M!$B$1:$B$1000,0),MATCH(data!AZ$1,Haver_M!$B$1:$ZN$1,0)),"na")</f>
        <v>na</v>
      </c>
      <c r="BA10">
        <f>IF(ISNUMBER(INDEX(Haver_M!$B$1:$ZN$1000,MATCH(data!$A10,Haver_M!$B$1:$B$1000,0),MATCH(data!BA$1,Haver_M!$B$1:$ZN$1,0))),INDEX(Haver_M!$B$1:$ZN$1000,MATCH(data!$A10,Haver_M!$B$1:$B$1000,0),MATCH(data!BA$1,Haver_M!$B$1:$ZN$1,0)),"na")</f>
        <v>62.056771561259616</v>
      </c>
      <c r="BB10" t="str">
        <f>IF(ISNUMBER(INDEX(Haver_M!$B$1:$ZN$1000,MATCH(data!$A10,Haver_M!$B$1:$B$1000,0),MATCH(data!BB$1,Haver_M!$B$1:$ZN$1,0))),INDEX(Haver_M!$B$1:$ZN$1000,MATCH(data!$A10,Haver_M!$B$1:$B$1000,0),MATCH(data!BB$1,Haver_M!$B$1:$ZN$1,0)),"")</f>
        <v/>
      </c>
    </row>
    <row r="11" spans="1:54" x14ac:dyDescent="0.25">
      <c r="A11" s="2">
        <v>36830</v>
      </c>
      <c r="B11" t="str">
        <f>IF(ISNUMBER(INDEX(Haver_Q!$B$1:$BD$1000,MATCH(data!$A11,Haver_Q!$B$1:$B$1000,0),MATCH(data!B$1,Haver_Q!$B$1:$BD$1,0))),100*INDEX(Haver_Q!$B$1:$BD$1000,MATCH(data!$A11,Haver_Q!$B$1:$B$1000,0),MATCH(data!B$1,Haver_Q!$B$1:$BD$1,0)),"na")</f>
        <v>na</v>
      </c>
      <c r="C11" t="str">
        <f>IF(ISNUMBER(INDEX(Haver_Q!$B$1:$BD$1000,MATCH(data!$A11,Haver_Q!$B$1:$B$1000,0),MATCH(data!C$1,Haver_Q!$B$1:$BD$1,0))),100*INDEX(Haver_Q!$B$1:$BD$1000,MATCH(data!$A11,Haver_Q!$B$1:$B$1000,0),MATCH(data!C$1,Haver_Q!$B$1:$BD$1,0)),"na")</f>
        <v>na</v>
      </c>
      <c r="D11" t="str">
        <f>IF(ISNUMBER(INDEX(Haver_Q!$B$1:$BD$1000,MATCH(data!$A11,Haver_Q!$B$1:$B$1000,0),MATCH(data!D$1,Haver_Q!$B$1:$BD$1,0))),100*INDEX(Haver_Q!$B$1:$BD$1000,MATCH(data!$A11,Haver_Q!$B$1:$B$1000,0),MATCH(data!D$1,Haver_Q!$B$1:$BD$1,0)),"na")</f>
        <v>na</v>
      </c>
      <c r="E11" t="str">
        <f>IF(ISNUMBER(INDEX(Haver_Q!$B$1:$BD$1000,MATCH(data!$A11,Haver_Q!$B$1:$B$1000,0),MATCH(data!E$1,Haver_Q!$B$1:$BD$1,0))),100*INDEX(Haver_Q!$B$1:$BD$1000,MATCH(data!$A11,Haver_Q!$B$1:$B$1000,0),MATCH(data!E$1,Haver_Q!$B$1:$BD$1,0)),"na")</f>
        <v>na</v>
      </c>
      <c r="F11" t="str">
        <f>IF(ISNUMBER(INDEX(Haver_Q!$B$1:$BD$1000,MATCH(data!$A11,Haver_Q!$B$1:$B$1000,0),MATCH(data!F$1,Haver_Q!$B$1:$BD$1,0))),100*INDEX(Haver_Q!$B$1:$BD$1000,MATCH(data!$A11,Haver_Q!$B$1:$B$1000,0),MATCH(data!F$1,Haver_Q!$B$1:$BD$1,0)),"na")</f>
        <v>na</v>
      </c>
      <c r="G11" t="str">
        <f>IF(ISNUMBER(INDEX(Haver_Q!$B$1:$BD$1000,MATCH(data!$A11,Haver_Q!$B$1:$B$1000,0),MATCH(data!G$1,Haver_Q!$B$1:$BD$1,0))),100*INDEX(Haver_Q!$B$1:$BD$1000,MATCH(data!$A11,Haver_Q!$B$1:$B$1000,0),MATCH(data!G$1,Haver_Q!$B$1:$BD$1,0)),"na")</f>
        <v>na</v>
      </c>
      <c r="H11" t="str">
        <f>IF(ISNUMBER(INDEX(Haver_Q!$B$1:$BD$1000,MATCH(data!$A11,Haver_Q!$B$1:$B$1000,0),MATCH(data!H$1,Haver_Q!$B$1:$BD$1,0))),100*INDEX(Haver_Q!$B$1:$BD$1000,MATCH(data!$A11,Haver_Q!$B$1:$B$1000,0),MATCH(data!H$1,Haver_Q!$B$1:$BD$1,0)),"na")</f>
        <v>na</v>
      </c>
      <c r="I11" s="3">
        <f>IF(ISNUMBER(Bloomberg_m!C27),Bloomberg_m!C27,"na")</f>
        <v>1734</v>
      </c>
      <c r="J11" s="3" t="str">
        <f>IF(ISNUMBER(Bloomberg_m!D27),Bloomberg_m!D27,"na")</f>
        <v>na</v>
      </c>
      <c r="K11" s="3" t="str">
        <f>IF(ISNUMBER(Bloomberg_m!E27),Bloomberg_m!E27,"na")</f>
        <v>na</v>
      </c>
      <c r="L11" s="3">
        <f>IF(ISNUMBER(Bloomberg_m!L27),Bloomberg_m!L27,"na")</f>
        <v>33.049999999999997</v>
      </c>
      <c r="M11" t="str">
        <f>IF(ISNUMBER(INDEX(Haver_M!$B$1:$ZN$1000,MATCH(data!$A11,Haver_M!$B$1:$B$1000,0),MATCH(data!M$1,Haver_M!$B$1:$ZN$1,0))),INDEX(Haver_M!$B$1:$ZN$1000,MATCH(data!$A11,Haver_M!$B$1:$B$1000,0),MATCH(data!M$1,Haver_M!$B$1:$ZN$1,0)),"na")</f>
        <v>na</v>
      </c>
      <c r="N11" t="str">
        <f>IF(ISNUMBER(INDEX(Haver_M!$B$1:$ZN$1000,MATCH(data!$A11,Haver_M!$B$1:$B$1000,0),MATCH(data!N$1,Haver_M!$B$1:$ZN$1,0))),INDEX(Haver_M!$B$1:$ZN$1000,MATCH(data!$A11,Haver_M!$B$1:$B$1000,0),MATCH(data!N$1,Haver_M!$B$1:$ZN$1,0)),"na")</f>
        <v>na</v>
      </c>
      <c r="O11">
        <f>IF(ISNUMBER(INDEX(Haver_M!$B$1:$ZN$1000,MATCH(data!$A11,Haver_M!$B$1:$B$1000,0),MATCH(data!O$1,Haver_M!$B$1:$ZN$1,0))),INDEX(Haver_M!$B$1:$ZN$1000,MATCH(data!$A11,Haver_M!$B$1:$B$1000,0),MATCH(data!O$1,Haver_M!$B$1:$ZN$1,0)),"na")</f>
        <v>119.1305</v>
      </c>
      <c r="P11">
        <f>IF(ISNUMBER(INDEX(Haver_M!$B$1:$ZN$1000,MATCH(data!$A11,Haver_M!$B$1:$B$1000,0),MATCH(data!P$1,Haver_M!$B$1:$ZN$1,0))),INDEX(Haver_M!$B$1:$ZN$1000,MATCH(data!$A11,Haver_M!$B$1:$B$1000,0),MATCH(data!P$1,Haver_M!$B$1:$ZN$1,0)),"na")</f>
        <v>47.615200000000002</v>
      </c>
      <c r="Q11">
        <f>IF(ISNUMBER(INDEX(Haver_M!$B$1:$ZN$1000,MATCH(data!$A11,Haver_M!$B$1:$B$1000,0),MATCH(data!Q$1,Haver_M!$B$1:$ZN$1,0))),INDEX(Haver_M!$B$1:$ZN$1000,MATCH(data!$A11,Haver_M!$B$1:$B$1000,0),MATCH(data!Q$1,Haver_M!$B$1:$ZN$1,0)),"na")</f>
        <v>51.642499999999998</v>
      </c>
      <c r="R11">
        <f>IF(ISNUMBER(INDEX(Haver_M!$B$1:$ZN$1000,MATCH(data!$A11,Haver_M!$B$1:$B$1000,0),MATCH(data!R$1,Haver_M!$B$1:$ZN$1,0))),INDEX(Haver_M!$B$1:$ZN$1000,MATCH(data!$A11,Haver_M!$B$1:$B$1000,0),MATCH(data!R$1,Haver_M!$B$1:$ZN$1,0)),"na")</f>
        <v>90.605699999999999</v>
      </c>
      <c r="S11">
        <f>IF(ISNUMBER(INDEX(Haver_M!$B$1:$ZN$1000,MATCH(data!$A11,Haver_M!$B$1:$B$1000,0),MATCH(data!S$1,Haver_M!$B$1:$ZN$1,0))),INDEX(Haver_M!$B$1:$ZN$1000,MATCH(data!$A11,Haver_M!$B$1:$B$1000,0),MATCH(data!S$1,Haver_M!$B$1:$ZN$1,0)),"na")</f>
        <v>99.774199999999993</v>
      </c>
      <c r="T11">
        <f>IF(ISNUMBER(INDEX(Haver_M!$B$1:$ZN$1000,MATCH(data!$A11,Haver_M!$B$1:$B$1000,0),MATCH(data!T$1,Haver_M!$B$1:$ZN$1,0))),INDEX(Haver_M!$B$1:$ZN$1000,MATCH(data!$A11,Haver_M!$B$1:$B$1000,0),MATCH(data!T$1,Haver_M!$B$1:$ZN$1,0)),"na")</f>
        <v>56.196100000000001</v>
      </c>
      <c r="U11">
        <f>IF(ISNUMBER(INDEX(Haver_M!$B$1:$ZN$1000,MATCH(data!$A11,Haver_M!$B$1:$B$1000,0),MATCH(data!U$1,Haver_M!$B$1:$ZN$1,0))),INDEX(Haver_M!$B$1:$ZN$1000,MATCH(data!$A11,Haver_M!$B$1:$B$1000,0),MATCH(data!U$1,Haver_M!$B$1:$ZN$1,0)),"na")</f>
        <v>82.128</v>
      </c>
      <c r="V11">
        <f>IF(ISNUMBER(INDEX(Haver_M!$B$1:$ZN$1000,MATCH(data!$A11,Haver_M!$B$1:$B$1000,0),MATCH(data!V$1,Haver_M!$B$1:$ZN$1,0))),INDEX(Haver_M!$B$1:$ZN$1000,MATCH(data!$A11,Haver_M!$B$1:$B$1000,0),MATCH(data!V$1,Haver_M!$B$1:$ZN$1,0)),"na")</f>
        <v>92.970799999999997</v>
      </c>
      <c r="W11">
        <f>IF(ISNUMBER(INDEX(Haver_M!$B$1:$ZN$1000,MATCH(data!$A11,Haver_M!$B$1:$B$1000,0),MATCH(data!W$1,Haver_M!$B$1:$ZN$1,0))),INDEX(Haver_M!$B$1:$ZN$1000,MATCH(data!$A11,Haver_M!$B$1:$B$1000,0),MATCH(data!W$1,Haver_M!$B$1:$ZN$1,0)),"na")</f>
        <v>2.54</v>
      </c>
      <c r="X11" t="str">
        <f>IF(ISNUMBER(INDEX(Haver_M!$B$1:$ZN$1000,MATCH(data!$A11,Haver_M!$B$1:$B$1000,0),MATCH(data!X$1,Haver_M!$B$1:$ZN$1,0))),INDEX(Haver_M!$B$1:$ZN$1000,MATCH(data!$A11,Haver_M!$B$1:$B$1000,0),MATCH(data!X$1,Haver_M!$B$1:$ZN$1,0)),"na")</f>
        <v>na</v>
      </c>
      <c r="Y11">
        <f>IF(ISNUMBER(INDEX(Haver_M!$B$1:$ZN$1000,MATCH(data!$A11,Haver_M!$B$1:$B$1000,0),MATCH(data!Y$1,Haver_M!$B$1:$ZN$1,0))),INDEX(Haver_M!$B$1:$ZN$1000,MATCH(data!$A11,Haver_M!$B$1:$B$1000,0),MATCH(data!Y$1,Haver_M!$B$1:$ZN$1,0)),"na")</f>
        <v>100.49</v>
      </c>
      <c r="Z11">
        <f>IF(ISNUMBER(INDEX(Haver_M!$B$1:$ZN$1000,MATCH(data!$A11,Haver_M!$B$1:$B$1000,0),MATCH(data!Z$1,Haver_M!$B$1:$ZN$1,0))),INDEX(Haver_M!$B$1:$ZN$1000,MATCH(data!$A11,Haver_M!$B$1:$B$1000,0),MATCH(data!Z$1,Haver_M!$B$1:$ZN$1,0)),"na")</f>
        <v>80.011799999999994</v>
      </c>
      <c r="AA11" t="str">
        <f>IF(ISNUMBER(INDEX(Haver_M!$B$1:$ZN$1000,MATCH(data!$A11,Haver_M!$B$1:$B$1000,0),MATCH(data!AA$1,Haver_M!$B$1:$ZN$1,0))),INDEX(Haver_M!$B$1:$ZN$1000,MATCH(data!$A11,Haver_M!$B$1:$B$1000,0),MATCH(data!AA$1,Haver_M!$B$1:$ZN$1,0)),"na")</f>
        <v>na</v>
      </c>
      <c r="AB11">
        <f>IF(ISNUMBER(INDEX(Haver_M!$B$1:$ZN$1000,MATCH(data!$A11,Haver_M!$B$1:$B$1000,0),MATCH(data!AB$1,Haver_M!$B$1:$ZN$1,0))),INDEX(Haver_M!$B$1:$ZN$1000,MATCH(data!$A11,Haver_M!$B$1:$B$1000,0),MATCH(data!AB$1,Haver_M!$B$1:$ZN$1,0)),"na")</f>
        <v>14662.9</v>
      </c>
      <c r="AC11">
        <f>IF(ISNUMBER(INDEX(Haver_M!$B$1:$ZN$1000,MATCH(data!$A11,Haver_M!$B$1:$B$1000,0),MATCH(data!AC$1,Haver_M!$B$1:$ZN$1,0))),INDEX(Haver_M!$B$1:$ZN$1000,MATCH(data!$A11,Haver_M!$B$1:$B$1000,0),MATCH(data!AC$1,Haver_M!$B$1:$ZN$1,0)),"na")</f>
        <v>15239</v>
      </c>
      <c r="AD11">
        <f>IF(ISNUMBER(INDEX(Haver_M!$B$1:$ZN$1000,MATCH(data!$A11,Haver_M!$B$1:$B$1000,0),MATCH(data!AD$1,Haver_M!$B$1:$ZN$1,0))),INDEX(Haver_M!$B$1:$ZN$1000,MATCH(data!$A11,Haver_M!$B$1:$B$1000,0),MATCH(data!AD$1,Haver_M!$B$1:$ZN$1,0)),"na")</f>
        <v>101.92</v>
      </c>
      <c r="AE11" t="str">
        <f>IF(ISNUMBER(INDEX(Haver_M!$B$1:$ZN$1000,MATCH(data!$A11,Haver_M!$B$1:$B$1000,0),MATCH(data!AE$1,Haver_M!$B$1:$ZN$1,0))),INDEX(Haver_M!$B$1:$ZN$1000,MATCH(data!$A11,Haver_M!$B$1:$B$1000,0),MATCH(data!AE$1,Haver_M!$B$1:$ZN$1,0)),"na")</f>
        <v>na</v>
      </c>
      <c r="AF11" t="str">
        <f>IF(ISNUMBER(INDEX(Haver_M!$B$1:$ZN$1000,MATCH(data!$A11,Haver_M!$B$1:$B$1000,0),MATCH(data!AF$1,Haver_M!$B$1:$ZN$1,0))),INDEX(Haver_M!$B$1:$ZN$1000,MATCH(data!$A11,Haver_M!$B$1:$B$1000,0),MATCH(data!AF$1,Haver_M!$B$1:$ZN$1,0)),"na")</f>
        <v>na</v>
      </c>
      <c r="AG11" t="str">
        <f>IF(ISNUMBER(INDEX(Haver_M!$B$1:$ZN$1000,MATCH(data!$A11,Haver_M!$B$1:$B$1000,0),MATCH(data!AG$1,Haver_M!$B$1:$ZN$1,0))),INDEX(Haver_M!$B$1:$ZN$1000,MATCH(data!$A11,Haver_M!$B$1:$B$1000,0),MATCH(data!AG$1,Haver_M!$B$1:$ZN$1,0)),"na")</f>
        <v>na</v>
      </c>
      <c r="AH11" t="str">
        <f>IF(ISNUMBER(INDEX(Haver_M!$B$1:$ZN$1000,MATCH(data!$A11,Haver_M!$B$1:$B$1000,0),MATCH(data!AH$1,Haver_M!$B$1:$ZN$1,0))),INDEX(Haver_M!$B$1:$ZN$1000,MATCH(data!$A11,Haver_M!$B$1:$B$1000,0),MATCH(data!AH$1,Haver_M!$B$1:$ZN$1,0)),"na")</f>
        <v>na</v>
      </c>
      <c r="AI11" t="str">
        <f>IF(ISNUMBER(INDEX(Haver_M!$B$1:$ZN$1000,MATCH(data!$A11,Haver_M!$B$1:$B$1000,0),MATCH(data!AI$1,Haver_M!$B$1:$ZN$1,0))),INDEX(Haver_M!$B$1:$ZN$1000,MATCH(data!$A11,Haver_M!$B$1:$B$1000,0),MATCH(data!AI$1,Haver_M!$B$1:$ZN$1,0)),"na")</f>
        <v>na</v>
      </c>
      <c r="AJ11" t="str">
        <f>IF(ISNUMBER(INDEX(Haver_M!$B$1:$ZN$1000,MATCH(data!$A11,Haver_M!$B$1:$B$1000,0),MATCH(data!AJ$1,Haver_M!$B$1:$ZN$1,0))),INDEX(Haver_M!$B$1:$ZN$1000,MATCH(data!$A11,Haver_M!$B$1:$B$1000,0),MATCH(data!AJ$1,Haver_M!$B$1:$ZN$1,0)),"na")</f>
        <v>na</v>
      </c>
      <c r="AK11" t="str">
        <f>IF(ISNUMBER(INDEX(Haver_M!$B$1:$ZN$1000,MATCH(data!$A11,Haver_M!$B$1:$B$1000,0),MATCH(data!AK$1,Haver_M!$B$1:$ZN$1,0))),INDEX(Haver_M!$B$1:$ZN$1000,MATCH(data!$A11,Haver_M!$B$1:$B$1000,0),MATCH(data!AK$1,Haver_M!$B$1:$ZN$1,0)),"na")</f>
        <v>na</v>
      </c>
      <c r="AL11" t="str">
        <f>IF(ISNUMBER(INDEX(Haver_M!$B$1:$ZN$1000,MATCH(data!$A11,Haver_M!$B$1:$B$1000,0),MATCH(data!AL$1,Haver_M!$B$1:$ZN$1,0))),INDEX(Haver_M!$B$1:$ZN$1000,MATCH(data!$A11,Haver_M!$B$1:$B$1000,0),MATCH(data!AL$1,Haver_M!$B$1:$ZN$1,0)),"na")</f>
        <v>na</v>
      </c>
      <c r="AM11" t="str">
        <f>IF(ISNUMBER(INDEX(Haver_M!$B$1:$ZN$1000,MATCH(data!$A11,Haver_M!$B$1:$B$1000,0),MATCH(data!AM$1,Haver_M!$B$1:$ZN$1,0))),INDEX(Haver_M!$B$1:$ZN$1000,MATCH(data!$A11,Haver_M!$B$1:$B$1000,0),MATCH(data!AM$1,Haver_M!$B$1:$ZN$1,0)),"na")</f>
        <v>na</v>
      </c>
      <c r="AN11" t="str">
        <f>IF(ISNUMBER(INDEX(Haver_M!$B$1:$ZN$1000,MATCH(data!$A11,Haver_M!$B$1:$B$1000,0),MATCH(data!AN$1,Haver_M!$B$1:$ZN$1,0))),INDEX(Haver_M!$B$1:$ZN$1000,MATCH(data!$A11,Haver_M!$B$1:$B$1000,0),MATCH(data!AN$1,Haver_M!$B$1:$ZN$1,0)),"na")</f>
        <v>na</v>
      </c>
      <c r="AO11" t="str">
        <f>IF(ISNUMBER(INDEX(Haver_M!$B$1:$ZN$1000,MATCH(data!$A11,Haver_M!$B$1:$B$1000,0),MATCH(data!AO$1,Haver_M!$B$1:$ZN$1,0))),INDEX(Haver_M!$B$1:$ZN$1000,MATCH(data!$A11,Haver_M!$B$1:$B$1000,0),MATCH(data!AO$1,Haver_M!$B$1:$ZN$1,0)),"na")</f>
        <v>na</v>
      </c>
      <c r="AP11" t="str">
        <f>IF(ISNUMBER(INDEX(Haver_M!$B$1:$ZN$1000,MATCH(data!$A11,Haver_M!$B$1:$B$1000,0),MATCH(data!AP$1,Haver_M!$B$1:$ZN$1,0))),INDEX(Haver_M!$B$1:$ZN$1000,MATCH(data!$A11,Haver_M!$B$1:$B$1000,0),MATCH(data!AP$1,Haver_M!$B$1:$ZN$1,0)),"na")</f>
        <v>na</v>
      </c>
      <c r="AQ11" t="str">
        <f>IF(ISNUMBER(INDEX(Haver_M!$B$1:$ZN$1000,MATCH(data!$A11,Haver_M!$B$1:$B$1000,0),MATCH(data!AQ$1,Haver_M!$B$1:$ZN$1,0))),INDEX(Haver_M!$B$1:$ZN$1000,MATCH(data!$A11,Haver_M!$B$1:$B$1000,0),MATCH(data!AQ$1,Haver_M!$B$1:$ZN$1,0)),"na")</f>
        <v>na</v>
      </c>
      <c r="AR11" t="str">
        <f>IF(ISNUMBER(INDEX(Haver_M!$B$1:$ZN$1000,MATCH(data!$A11,Haver_M!$B$1:$B$1000,0),MATCH(data!AR$1,Haver_M!$B$1:$ZN$1,0))),INDEX(Haver_M!$B$1:$ZN$1000,MATCH(data!$A11,Haver_M!$B$1:$B$1000,0),MATCH(data!AR$1,Haver_M!$B$1:$ZN$1,0)),"na")</f>
        <v>na</v>
      </c>
      <c r="AS11">
        <f>IF(ISNUMBER(INDEX(Haver_M!$B$1:$ZN$1000,MATCH(data!$A11,Haver_M!$B$1:$B$1000,0),MATCH(data!AS$1,Haver_M!$B$1:$ZN$1,0))),INDEX(Haver_M!$B$1:$ZN$1000,MATCH(data!$A11,Haver_M!$B$1:$B$1000,0),MATCH(data!AS$1,Haver_M!$B$1:$ZN$1,0)),"na")</f>
        <v>6061.31</v>
      </c>
      <c r="AT11">
        <f>IF(ISNUMBER(INDEX(Haver_M!$B$1:$ZN$1000,MATCH(data!$A11,Haver_M!$B$1:$B$1000,0),MATCH(data!AT$1,Haver_M!$B$1:$ZN$1,0))),INDEX(Haver_M!$B$1:$ZN$1000,MATCH(data!$A11,Haver_M!$B$1:$B$1000,0),MATCH(data!AT$1,Haver_M!$B$1:$ZN$1,0)),"na")</f>
        <v>79.864000000000004</v>
      </c>
      <c r="AU11">
        <f>IF(ISNUMBER(INDEX(Haver_M!$B$1:$ZN$1000,MATCH(data!$A11,Haver_M!$B$1:$B$1000,0),MATCH(data!AU$1,Haver_M!$B$1:$ZN$1,0))),INDEX(Haver_M!$B$1:$ZN$1000,MATCH(data!$A11,Haver_M!$B$1:$B$1000,0),MATCH(data!AU$1,Haver_M!$B$1:$ZN$1,0)),"na")</f>
        <v>80.503439</v>
      </c>
      <c r="AV11">
        <f>IF(ISNUMBER(INDEX(Haver_M!$B$1:$ZN$1000,MATCH(data!$A11,Haver_M!$B$1:$B$1000,0),MATCH(data!AV$1,Haver_M!$B$1:$ZN$1,0))),INDEX(Haver_M!$B$1:$ZN$1000,MATCH(data!$A11,Haver_M!$B$1:$B$1000,0),MATCH(data!AV$1,Haver_M!$B$1:$ZN$1,0)),"na")</f>
        <v>77.3</v>
      </c>
      <c r="AW11">
        <f>IF(ISNUMBER(INDEX(Haver_M!$B$1:$ZN$1000,MATCH(data!$A11,Haver_M!$B$1:$B$1000,0),MATCH(data!AW$1,Haver_M!$B$1:$ZN$1,0))),INDEX(Haver_M!$B$1:$ZN$1000,MATCH(data!$A11,Haver_M!$B$1:$B$1000,0),MATCH(data!AW$1,Haver_M!$B$1:$ZN$1,0)),"na")</f>
        <v>725220.49020051677</v>
      </c>
      <c r="AX11">
        <f>IF(ISNUMBER(INDEX(Haver_M!$B$1:$ZN$1000,MATCH(data!$A11,Haver_M!$B$1:$B$1000,0),MATCH(data!AX$1,Haver_M!$B$1:$ZN$1,0))),INDEX(Haver_M!$B$1:$ZN$1000,MATCH(data!$A11,Haver_M!$B$1:$B$1000,0),MATCH(data!AX$1,Haver_M!$B$1:$ZN$1,0)),"na")</f>
        <v>2983</v>
      </c>
      <c r="AY11">
        <f>IF(ISNUMBER(INDEX(Haver_M!$B$1:$ZN$1000,MATCH(data!$A11,Haver_M!$B$1:$B$1000,0),MATCH(data!AY$1,Haver_M!$B$1:$ZN$1,0))),INDEX(Haver_M!$B$1:$ZN$1000,MATCH(data!$A11,Haver_M!$B$1:$B$1000,0),MATCH(data!AY$1,Haver_M!$B$1:$ZN$1,0)),"na")</f>
        <v>1549</v>
      </c>
      <c r="AZ11" t="str">
        <f>IF(ISNUMBER(INDEX(Haver_M!$B$1:$ZN$1000,MATCH(data!$A11,Haver_M!$B$1:$B$1000,0),MATCH(data!AZ$1,Haver_M!$B$1:$ZN$1,0))),INDEX(Haver_M!$B$1:$ZN$1000,MATCH(data!$A11,Haver_M!$B$1:$B$1000,0),MATCH(data!AZ$1,Haver_M!$B$1:$ZN$1,0)),"na")</f>
        <v>na</v>
      </c>
      <c r="BA11">
        <f>IF(ISNUMBER(INDEX(Haver_M!$B$1:$ZN$1000,MATCH(data!$A11,Haver_M!$B$1:$B$1000,0),MATCH(data!BA$1,Haver_M!$B$1:$ZN$1,0))),INDEX(Haver_M!$B$1:$ZN$1000,MATCH(data!$A11,Haver_M!$B$1:$B$1000,0),MATCH(data!BA$1,Haver_M!$B$1:$ZN$1,0)),"na")</f>
        <v>103.55552743758521</v>
      </c>
      <c r="BB11" t="str">
        <f>IF(ISNUMBER(INDEX(Haver_M!$B$1:$ZN$1000,MATCH(data!$A11,Haver_M!$B$1:$B$1000,0),MATCH(data!BB$1,Haver_M!$B$1:$ZN$1,0))),INDEX(Haver_M!$B$1:$ZN$1000,MATCH(data!$A11,Haver_M!$B$1:$B$1000,0),MATCH(data!BB$1,Haver_M!$B$1:$ZN$1,0)),"")</f>
        <v/>
      </c>
    </row>
    <row r="12" spans="1:54" x14ac:dyDescent="0.25">
      <c r="A12" s="2">
        <v>36860</v>
      </c>
      <c r="B12" t="str">
        <f>IF(ISNUMBER(INDEX(Haver_Q!$B$1:$BD$1000,MATCH(data!$A12,Haver_Q!$B$1:$B$1000,0),MATCH(data!B$1,Haver_Q!$B$1:$BD$1,0))),100*INDEX(Haver_Q!$B$1:$BD$1000,MATCH(data!$A12,Haver_Q!$B$1:$B$1000,0),MATCH(data!B$1,Haver_Q!$B$1:$BD$1,0)),"na")</f>
        <v>na</v>
      </c>
      <c r="C12" t="str">
        <f>IF(ISNUMBER(INDEX(Haver_Q!$B$1:$BD$1000,MATCH(data!$A12,Haver_Q!$B$1:$B$1000,0),MATCH(data!C$1,Haver_Q!$B$1:$BD$1,0))),100*INDEX(Haver_Q!$B$1:$BD$1000,MATCH(data!$A12,Haver_Q!$B$1:$B$1000,0),MATCH(data!C$1,Haver_Q!$B$1:$BD$1,0)),"na")</f>
        <v>na</v>
      </c>
      <c r="D12" t="str">
        <f>IF(ISNUMBER(INDEX(Haver_Q!$B$1:$BD$1000,MATCH(data!$A12,Haver_Q!$B$1:$B$1000,0),MATCH(data!D$1,Haver_Q!$B$1:$BD$1,0))),100*INDEX(Haver_Q!$B$1:$BD$1000,MATCH(data!$A12,Haver_Q!$B$1:$B$1000,0),MATCH(data!D$1,Haver_Q!$B$1:$BD$1,0)),"na")</f>
        <v>na</v>
      </c>
      <c r="E12" t="str">
        <f>IF(ISNUMBER(INDEX(Haver_Q!$B$1:$BD$1000,MATCH(data!$A12,Haver_Q!$B$1:$B$1000,0),MATCH(data!E$1,Haver_Q!$B$1:$BD$1,0))),100*INDEX(Haver_Q!$B$1:$BD$1000,MATCH(data!$A12,Haver_Q!$B$1:$B$1000,0),MATCH(data!E$1,Haver_Q!$B$1:$BD$1,0)),"na")</f>
        <v>na</v>
      </c>
      <c r="F12" t="str">
        <f>IF(ISNUMBER(INDEX(Haver_Q!$B$1:$BD$1000,MATCH(data!$A12,Haver_Q!$B$1:$B$1000,0),MATCH(data!F$1,Haver_Q!$B$1:$BD$1,0))),100*INDEX(Haver_Q!$B$1:$BD$1000,MATCH(data!$A12,Haver_Q!$B$1:$B$1000,0),MATCH(data!F$1,Haver_Q!$B$1:$BD$1,0)),"na")</f>
        <v>na</v>
      </c>
      <c r="G12" t="str">
        <f>IF(ISNUMBER(INDEX(Haver_Q!$B$1:$BD$1000,MATCH(data!$A12,Haver_Q!$B$1:$B$1000,0),MATCH(data!G$1,Haver_Q!$B$1:$BD$1,0))),100*INDEX(Haver_Q!$B$1:$BD$1000,MATCH(data!$A12,Haver_Q!$B$1:$B$1000,0),MATCH(data!G$1,Haver_Q!$B$1:$BD$1,0)),"na")</f>
        <v>na</v>
      </c>
      <c r="H12" t="str">
        <f>IF(ISNUMBER(INDEX(Haver_Q!$B$1:$BD$1000,MATCH(data!$A12,Haver_Q!$B$1:$B$1000,0),MATCH(data!H$1,Haver_Q!$B$1:$BD$1,0))),100*INDEX(Haver_Q!$B$1:$BD$1000,MATCH(data!$A12,Haver_Q!$B$1:$B$1000,0),MATCH(data!H$1,Haver_Q!$B$1:$BD$1,0)),"na")</f>
        <v>na</v>
      </c>
      <c r="I12" s="3">
        <f>IF(ISNUMBER(Bloomberg_m!C28),Bloomberg_m!C28,"na")</f>
        <v>1722</v>
      </c>
      <c r="J12" s="3" t="str">
        <f>IF(ISNUMBER(Bloomberg_m!D28),Bloomberg_m!D28,"na")</f>
        <v>na</v>
      </c>
      <c r="K12" s="3" t="str">
        <f>IF(ISNUMBER(Bloomberg_m!E28),Bloomberg_m!E28,"na")</f>
        <v>na</v>
      </c>
      <c r="L12" s="3">
        <f>IF(ISNUMBER(Bloomberg_m!L28),Bloomberg_m!L28,"na")</f>
        <v>34.369999999999997</v>
      </c>
      <c r="M12" t="str">
        <f>IF(ISNUMBER(INDEX(Haver_M!$B$1:$ZN$1000,MATCH(data!$A12,Haver_M!$B$1:$B$1000,0),MATCH(data!M$1,Haver_M!$B$1:$ZN$1,0))),INDEX(Haver_M!$B$1:$ZN$1000,MATCH(data!$A12,Haver_M!$B$1:$B$1000,0),MATCH(data!M$1,Haver_M!$B$1:$ZN$1,0)),"na")</f>
        <v>na</v>
      </c>
      <c r="N12" t="str">
        <f>IF(ISNUMBER(INDEX(Haver_M!$B$1:$ZN$1000,MATCH(data!$A12,Haver_M!$B$1:$B$1000,0),MATCH(data!N$1,Haver_M!$B$1:$ZN$1,0))),INDEX(Haver_M!$B$1:$ZN$1000,MATCH(data!$A12,Haver_M!$B$1:$B$1000,0),MATCH(data!N$1,Haver_M!$B$1:$ZN$1,0)),"na")</f>
        <v>na</v>
      </c>
      <c r="O12">
        <f>IF(ISNUMBER(INDEX(Haver_M!$B$1:$ZN$1000,MATCH(data!$A12,Haver_M!$B$1:$B$1000,0),MATCH(data!O$1,Haver_M!$B$1:$ZN$1,0))),INDEX(Haver_M!$B$1:$ZN$1000,MATCH(data!$A12,Haver_M!$B$1:$B$1000,0),MATCH(data!O$1,Haver_M!$B$1:$ZN$1,0)),"na")</f>
        <v>120.55956</v>
      </c>
      <c r="P12">
        <f>IF(ISNUMBER(INDEX(Haver_M!$B$1:$ZN$1000,MATCH(data!$A12,Haver_M!$B$1:$B$1000,0),MATCH(data!P$1,Haver_M!$B$1:$ZN$1,0))),INDEX(Haver_M!$B$1:$ZN$1000,MATCH(data!$A12,Haver_M!$B$1:$B$1000,0),MATCH(data!P$1,Haver_M!$B$1:$ZN$1,0)),"na")</f>
        <v>47.872399999999999</v>
      </c>
      <c r="Q12">
        <f>IF(ISNUMBER(INDEX(Haver_M!$B$1:$ZN$1000,MATCH(data!$A12,Haver_M!$B$1:$B$1000,0),MATCH(data!Q$1,Haver_M!$B$1:$ZN$1,0))),INDEX(Haver_M!$B$1:$ZN$1000,MATCH(data!$A12,Haver_M!$B$1:$B$1000,0),MATCH(data!Q$1,Haver_M!$B$1:$ZN$1,0)),"na")</f>
        <v>52.025100000000002</v>
      </c>
      <c r="R12">
        <f>IF(ISNUMBER(INDEX(Haver_M!$B$1:$ZN$1000,MATCH(data!$A12,Haver_M!$B$1:$B$1000,0),MATCH(data!R$1,Haver_M!$B$1:$ZN$1,0))),INDEX(Haver_M!$B$1:$ZN$1000,MATCH(data!$A12,Haver_M!$B$1:$B$1000,0),MATCH(data!R$1,Haver_M!$B$1:$ZN$1,0)),"na")</f>
        <v>89.754199999999997</v>
      </c>
      <c r="S12">
        <f>IF(ISNUMBER(INDEX(Haver_M!$B$1:$ZN$1000,MATCH(data!$A12,Haver_M!$B$1:$B$1000,0),MATCH(data!S$1,Haver_M!$B$1:$ZN$1,0))),INDEX(Haver_M!$B$1:$ZN$1000,MATCH(data!$A12,Haver_M!$B$1:$B$1000,0),MATCH(data!S$1,Haver_M!$B$1:$ZN$1,0)),"na")</f>
        <v>102.39060000000001</v>
      </c>
      <c r="T12">
        <f>IF(ISNUMBER(INDEX(Haver_M!$B$1:$ZN$1000,MATCH(data!$A12,Haver_M!$B$1:$B$1000,0),MATCH(data!T$1,Haver_M!$B$1:$ZN$1,0))),INDEX(Haver_M!$B$1:$ZN$1000,MATCH(data!$A12,Haver_M!$B$1:$B$1000,0),MATCH(data!T$1,Haver_M!$B$1:$ZN$1,0)),"na")</f>
        <v>56.7744</v>
      </c>
      <c r="U12">
        <f>IF(ISNUMBER(INDEX(Haver_M!$B$1:$ZN$1000,MATCH(data!$A12,Haver_M!$B$1:$B$1000,0),MATCH(data!U$1,Haver_M!$B$1:$ZN$1,0))),INDEX(Haver_M!$B$1:$ZN$1000,MATCH(data!$A12,Haver_M!$B$1:$B$1000,0),MATCH(data!U$1,Haver_M!$B$1:$ZN$1,0)),"na")</f>
        <v>80.444100000000006</v>
      </c>
      <c r="V12">
        <f>IF(ISNUMBER(INDEX(Haver_M!$B$1:$ZN$1000,MATCH(data!$A12,Haver_M!$B$1:$B$1000,0),MATCH(data!V$1,Haver_M!$B$1:$ZN$1,0))),INDEX(Haver_M!$B$1:$ZN$1000,MATCH(data!$A12,Haver_M!$B$1:$B$1000,0),MATCH(data!V$1,Haver_M!$B$1:$ZN$1,0)),"na")</f>
        <v>91.401700000000005</v>
      </c>
      <c r="W12">
        <f>IF(ISNUMBER(INDEX(Haver_M!$B$1:$ZN$1000,MATCH(data!$A12,Haver_M!$B$1:$B$1000,0),MATCH(data!W$1,Haver_M!$B$1:$ZN$1,0))),INDEX(Haver_M!$B$1:$ZN$1000,MATCH(data!$A12,Haver_M!$B$1:$B$1000,0),MATCH(data!W$1,Haver_M!$B$1:$ZN$1,0)),"na")</f>
        <v>2.3199999999999998</v>
      </c>
      <c r="X12" t="str">
        <f>IF(ISNUMBER(INDEX(Haver_M!$B$1:$ZN$1000,MATCH(data!$A12,Haver_M!$B$1:$B$1000,0),MATCH(data!X$1,Haver_M!$B$1:$ZN$1,0))),INDEX(Haver_M!$B$1:$ZN$1000,MATCH(data!$A12,Haver_M!$B$1:$B$1000,0),MATCH(data!X$1,Haver_M!$B$1:$ZN$1,0)),"na")</f>
        <v>na</v>
      </c>
      <c r="Y12">
        <f>IF(ISNUMBER(INDEX(Haver_M!$B$1:$ZN$1000,MATCH(data!$A12,Haver_M!$B$1:$B$1000,0),MATCH(data!Y$1,Haver_M!$B$1:$ZN$1,0))),INDEX(Haver_M!$B$1:$ZN$1000,MATCH(data!$A12,Haver_M!$B$1:$B$1000,0),MATCH(data!Y$1,Haver_M!$B$1:$ZN$1,0)),"na")</f>
        <v>100.18</v>
      </c>
      <c r="Z12">
        <f>IF(ISNUMBER(INDEX(Haver_M!$B$1:$ZN$1000,MATCH(data!$A12,Haver_M!$B$1:$B$1000,0),MATCH(data!Z$1,Haver_M!$B$1:$ZN$1,0))),INDEX(Haver_M!$B$1:$ZN$1000,MATCH(data!$A12,Haver_M!$B$1:$B$1000,0),MATCH(data!Z$1,Haver_M!$B$1:$ZN$1,0)),"na")</f>
        <v>78.862799999999993</v>
      </c>
      <c r="AA12" t="str">
        <f>IF(ISNUMBER(INDEX(Haver_M!$B$1:$ZN$1000,MATCH(data!$A12,Haver_M!$B$1:$B$1000,0),MATCH(data!AA$1,Haver_M!$B$1:$ZN$1,0))),INDEX(Haver_M!$B$1:$ZN$1000,MATCH(data!$A12,Haver_M!$B$1:$B$1000,0),MATCH(data!AA$1,Haver_M!$B$1:$ZN$1,0)),"na")</f>
        <v>na</v>
      </c>
      <c r="AB12">
        <f>IF(ISNUMBER(INDEX(Haver_M!$B$1:$ZN$1000,MATCH(data!$A12,Haver_M!$B$1:$B$1000,0),MATCH(data!AB$1,Haver_M!$B$1:$ZN$1,0))),INDEX(Haver_M!$B$1:$ZN$1000,MATCH(data!$A12,Haver_M!$B$1:$B$1000,0),MATCH(data!AB$1,Haver_M!$B$1:$ZN$1,0)),"na")</f>
        <v>14474.3</v>
      </c>
      <c r="AC12">
        <f>IF(ISNUMBER(INDEX(Haver_M!$B$1:$ZN$1000,MATCH(data!$A12,Haver_M!$B$1:$B$1000,0),MATCH(data!AC$1,Haver_M!$B$1:$ZN$1,0))),INDEX(Haver_M!$B$1:$ZN$1000,MATCH(data!$A12,Haver_M!$B$1:$B$1000,0),MATCH(data!AC$1,Haver_M!$B$1:$ZN$1,0)),"na")</f>
        <v>15215.5</v>
      </c>
      <c r="AD12">
        <f>IF(ISNUMBER(INDEX(Haver_M!$B$1:$ZN$1000,MATCH(data!$A12,Haver_M!$B$1:$B$1000,0),MATCH(data!AD$1,Haver_M!$B$1:$ZN$1,0))),INDEX(Haver_M!$B$1:$ZN$1000,MATCH(data!$A12,Haver_M!$B$1:$B$1000,0),MATCH(data!AD$1,Haver_M!$B$1:$ZN$1,0)),"na")</f>
        <v>101.8</v>
      </c>
      <c r="AE12" t="str">
        <f>IF(ISNUMBER(INDEX(Haver_M!$B$1:$ZN$1000,MATCH(data!$A12,Haver_M!$B$1:$B$1000,0),MATCH(data!AE$1,Haver_M!$B$1:$ZN$1,0))),INDEX(Haver_M!$B$1:$ZN$1000,MATCH(data!$A12,Haver_M!$B$1:$B$1000,0),MATCH(data!AE$1,Haver_M!$B$1:$ZN$1,0)),"na")</f>
        <v>na</v>
      </c>
      <c r="AF12" t="str">
        <f>IF(ISNUMBER(INDEX(Haver_M!$B$1:$ZN$1000,MATCH(data!$A12,Haver_M!$B$1:$B$1000,0),MATCH(data!AF$1,Haver_M!$B$1:$ZN$1,0))),INDEX(Haver_M!$B$1:$ZN$1000,MATCH(data!$A12,Haver_M!$B$1:$B$1000,0),MATCH(data!AF$1,Haver_M!$B$1:$ZN$1,0)),"na")</f>
        <v>na</v>
      </c>
      <c r="AG12" t="str">
        <f>IF(ISNUMBER(INDEX(Haver_M!$B$1:$ZN$1000,MATCH(data!$A12,Haver_M!$B$1:$B$1000,0),MATCH(data!AG$1,Haver_M!$B$1:$ZN$1,0))),INDEX(Haver_M!$B$1:$ZN$1000,MATCH(data!$A12,Haver_M!$B$1:$B$1000,0),MATCH(data!AG$1,Haver_M!$B$1:$ZN$1,0)),"na")</f>
        <v>na</v>
      </c>
      <c r="AH12" t="str">
        <f>IF(ISNUMBER(INDEX(Haver_M!$B$1:$ZN$1000,MATCH(data!$A12,Haver_M!$B$1:$B$1000,0),MATCH(data!AH$1,Haver_M!$B$1:$ZN$1,0))),INDEX(Haver_M!$B$1:$ZN$1000,MATCH(data!$A12,Haver_M!$B$1:$B$1000,0),MATCH(data!AH$1,Haver_M!$B$1:$ZN$1,0)),"na")</f>
        <v>na</v>
      </c>
      <c r="AI12" t="str">
        <f>IF(ISNUMBER(INDEX(Haver_M!$B$1:$ZN$1000,MATCH(data!$A12,Haver_M!$B$1:$B$1000,0),MATCH(data!AI$1,Haver_M!$B$1:$ZN$1,0))),INDEX(Haver_M!$B$1:$ZN$1000,MATCH(data!$A12,Haver_M!$B$1:$B$1000,0),MATCH(data!AI$1,Haver_M!$B$1:$ZN$1,0)),"na")</f>
        <v>na</v>
      </c>
      <c r="AJ12" t="str">
        <f>IF(ISNUMBER(INDEX(Haver_M!$B$1:$ZN$1000,MATCH(data!$A12,Haver_M!$B$1:$B$1000,0),MATCH(data!AJ$1,Haver_M!$B$1:$ZN$1,0))),INDEX(Haver_M!$B$1:$ZN$1000,MATCH(data!$A12,Haver_M!$B$1:$B$1000,0),MATCH(data!AJ$1,Haver_M!$B$1:$ZN$1,0)),"na")</f>
        <v>na</v>
      </c>
      <c r="AK12" t="str">
        <f>IF(ISNUMBER(INDEX(Haver_M!$B$1:$ZN$1000,MATCH(data!$A12,Haver_M!$B$1:$B$1000,0),MATCH(data!AK$1,Haver_M!$B$1:$ZN$1,0))),INDEX(Haver_M!$B$1:$ZN$1000,MATCH(data!$A12,Haver_M!$B$1:$B$1000,0),MATCH(data!AK$1,Haver_M!$B$1:$ZN$1,0)),"na")</f>
        <v>na</v>
      </c>
      <c r="AL12" t="str">
        <f>IF(ISNUMBER(INDEX(Haver_M!$B$1:$ZN$1000,MATCH(data!$A12,Haver_M!$B$1:$B$1000,0),MATCH(data!AL$1,Haver_M!$B$1:$ZN$1,0))),INDEX(Haver_M!$B$1:$ZN$1000,MATCH(data!$A12,Haver_M!$B$1:$B$1000,0),MATCH(data!AL$1,Haver_M!$B$1:$ZN$1,0)),"na")</f>
        <v>na</v>
      </c>
      <c r="AM12" t="str">
        <f>IF(ISNUMBER(INDEX(Haver_M!$B$1:$ZN$1000,MATCH(data!$A12,Haver_M!$B$1:$B$1000,0),MATCH(data!AM$1,Haver_M!$B$1:$ZN$1,0))),INDEX(Haver_M!$B$1:$ZN$1000,MATCH(data!$A12,Haver_M!$B$1:$B$1000,0),MATCH(data!AM$1,Haver_M!$B$1:$ZN$1,0)),"na")</f>
        <v>na</v>
      </c>
      <c r="AN12" t="str">
        <f>IF(ISNUMBER(INDEX(Haver_M!$B$1:$ZN$1000,MATCH(data!$A12,Haver_M!$B$1:$B$1000,0),MATCH(data!AN$1,Haver_M!$B$1:$ZN$1,0))),INDEX(Haver_M!$B$1:$ZN$1000,MATCH(data!$A12,Haver_M!$B$1:$B$1000,0),MATCH(data!AN$1,Haver_M!$B$1:$ZN$1,0)),"na")</f>
        <v>na</v>
      </c>
      <c r="AO12" t="str">
        <f>IF(ISNUMBER(INDEX(Haver_M!$B$1:$ZN$1000,MATCH(data!$A12,Haver_M!$B$1:$B$1000,0),MATCH(data!AO$1,Haver_M!$B$1:$ZN$1,0))),INDEX(Haver_M!$B$1:$ZN$1000,MATCH(data!$A12,Haver_M!$B$1:$B$1000,0),MATCH(data!AO$1,Haver_M!$B$1:$ZN$1,0)),"na")</f>
        <v>na</v>
      </c>
      <c r="AP12" t="str">
        <f>IF(ISNUMBER(INDEX(Haver_M!$B$1:$ZN$1000,MATCH(data!$A12,Haver_M!$B$1:$B$1000,0),MATCH(data!AP$1,Haver_M!$B$1:$ZN$1,0))),INDEX(Haver_M!$B$1:$ZN$1000,MATCH(data!$A12,Haver_M!$B$1:$B$1000,0),MATCH(data!AP$1,Haver_M!$B$1:$ZN$1,0)),"na")</f>
        <v>na</v>
      </c>
      <c r="AQ12" t="str">
        <f>IF(ISNUMBER(INDEX(Haver_M!$B$1:$ZN$1000,MATCH(data!$A12,Haver_M!$B$1:$B$1000,0),MATCH(data!AQ$1,Haver_M!$B$1:$ZN$1,0))),INDEX(Haver_M!$B$1:$ZN$1000,MATCH(data!$A12,Haver_M!$B$1:$B$1000,0),MATCH(data!AQ$1,Haver_M!$B$1:$ZN$1,0)),"na")</f>
        <v>na</v>
      </c>
      <c r="AR12" t="str">
        <f>IF(ISNUMBER(INDEX(Haver_M!$B$1:$ZN$1000,MATCH(data!$A12,Haver_M!$B$1:$B$1000,0),MATCH(data!AR$1,Haver_M!$B$1:$ZN$1,0))),INDEX(Haver_M!$B$1:$ZN$1000,MATCH(data!$A12,Haver_M!$B$1:$B$1000,0),MATCH(data!AR$1,Haver_M!$B$1:$ZN$1,0)),"na")</f>
        <v>na</v>
      </c>
      <c r="AS12">
        <f>IF(ISNUMBER(INDEX(Haver_M!$B$1:$ZN$1000,MATCH(data!$A12,Haver_M!$B$1:$B$1000,0),MATCH(data!AS$1,Haver_M!$B$1:$ZN$1,0))),INDEX(Haver_M!$B$1:$ZN$1000,MATCH(data!$A12,Haver_M!$B$1:$B$1000,0),MATCH(data!AS$1,Haver_M!$B$1:$ZN$1,0)),"na")</f>
        <v>6125.42</v>
      </c>
      <c r="AT12">
        <f>IF(ISNUMBER(INDEX(Haver_M!$B$1:$ZN$1000,MATCH(data!$A12,Haver_M!$B$1:$B$1000,0),MATCH(data!AT$1,Haver_M!$B$1:$ZN$1,0))),INDEX(Haver_M!$B$1:$ZN$1000,MATCH(data!$A12,Haver_M!$B$1:$B$1000,0),MATCH(data!AT$1,Haver_M!$B$1:$ZN$1,0)),"na")</f>
        <v>79.59</v>
      </c>
      <c r="AU12">
        <f>IF(ISNUMBER(INDEX(Haver_M!$B$1:$ZN$1000,MATCH(data!$A12,Haver_M!$B$1:$B$1000,0),MATCH(data!AU$1,Haver_M!$B$1:$ZN$1,0))),INDEX(Haver_M!$B$1:$ZN$1000,MATCH(data!$A12,Haver_M!$B$1:$B$1000,0),MATCH(data!AU$1,Haver_M!$B$1:$ZN$1,0)),"na")</f>
        <v>80.239524000000003</v>
      </c>
      <c r="AV12">
        <f>IF(ISNUMBER(INDEX(Haver_M!$B$1:$ZN$1000,MATCH(data!$A12,Haver_M!$B$1:$B$1000,0),MATCH(data!AV$1,Haver_M!$B$1:$ZN$1,0))),INDEX(Haver_M!$B$1:$ZN$1000,MATCH(data!$A12,Haver_M!$B$1:$B$1000,0),MATCH(data!AV$1,Haver_M!$B$1:$ZN$1,0)),"na")</f>
        <v>76.099999999999994</v>
      </c>
      <c r="AW12">
        <f>IF(ISNUMBER(INDEX(Haver_M!$B$1:$ZN$1000,MATCH(data!$A12,Haver_M!$B$1:$B$1000,0),MATCH(data!AW$1,Haver_M!$B$1:$ZN$1,0))),INDEX(Haver_M!$B$1:$ZN$1000,MATCH(data!$A12,Haver_M!$B$1:$B$1000,0),MATCH(data!AW$1,Haver_M!$B$1:$ZN$1,0)),"na")</f>
        <v>732509.8194777281</v>
      </c>
      <c r="AX12">
        <f>IF(ISNUMBER(INDEX(Haver_M!$B$1:$ZN$1000,MATCH(data!$A12,Haver_M!$B$1:$B$1000,0),MATCH(data!AX$1,Haver_M!$B$1:$ZN$1,0))),INDEX(Haver_M!$B$1:$ZN$1000,MATCH(data!$A12,Haver_M!$B$1:$B$1000,0),MATCH(data!AX$1,Haver_M!$B$1:$ZN$1,0)),"na")</f>
        <v>3006</v>
      </c>
      <c r="AY12">
        <f>IF(ISNUMBER(INDEX(Haver_M!$B$1:$ZN$1000,MATCH(data!$A12,Haver_M!$B$1:$B$1000,0),MATCH(data!AY$1,Haver_M!$B$1:$ZN$1,0))),INDEX(Haver_M!$B$1:$ZN$1000,MATCH(data!$A12,Haver_M!$B$1:$B$1000,0),MATCH(data!AY$1,Haver_M!$B$1:$ZN$1,0)),"na")</f>
        <v>1697</v>
      </c>
      <c r="AZ12" t="str">
        <f>IF(ISNUMBER(INDEX(Haver_M!$B$1:$ZN$1000,MATCH(data!$A12,Haver_M!$B$1:$B$1000,0),MATCH(data!AZ$1,Haver_M!$B$1:$ZN$1,0))),INDEX(Haver_M!$B$1:$ZN$1000,MATCH(data!$A12,Haver_M!$B$1:$B$1000,0),MATCH(data!AZ$1,Haver_M!$B$1:$ZN$1,0)),"na")</f>
        <v>na</v>
      </c>
      <c r="BA12">
        <f>IF(ISNUMBER(INDEX(Haver_M!$B$1:$ZN$1000,MATCH(data!$A12,Haver_M!$B$1:$B$1000,0),MATCH(data!BA$1,Haver_M!$B$1:$ZN$1,0))),INDEX(Haver_M!$B$1:$ZN$1000,MATCH(data!$A12,Haver_M!$B$1:$B$1000,0),MATCH(data!BA$1,Haver_M!$B$1:$ZN$1,0)),"na")</f>
        <v>174.55300312198389</v>
      </c>
      <c r="BB12" t="str">
        <f>IF(ISNUMBER(INDEX(Haver_M!$B$1:$ZN$1000,MATCH(data!$A12,Haver_M!$B$1:$B$1000,0),MATCH(data!BB$1,Haver_M!$B$1:$ZN$1,0))),INDEX(Haver_M!$B$1:$ZN$1000,MATCH(data!$A12,Haver_M!$B$1:$B$1000,0),MATCH(data!BB$1,Haver_M!$B$1:$ZN$1,0)),"")</f>
        <v/>
      </c>
    </row>
    <row r="13" spans="1:54" x14ac:dyDescent="0.25">
      <c r="A13" s="2">
        <v>36891</v>
      </c>
      <c r="B13">
        <f>IF(ISNUMBER(INDEX(Haver_Q!$B$1:$BD$1000,MATCH(data!$A13,Haver_Q!$B$1:$B$1000,0),MATCH(data!B$1,Haver_Q!$B$1:$BD$1,0))),100*INDEX(Haver_Q!$B$1:$BD$1000,MATCH(data!$A13,Haver_Q!$B$1:$B$1000,0),MATCH(data!B$1,Haver_Q!$B$1:$BD$1,0)),"na")</f>
        <v>-2.6232725504108378</v>
      </c>
      <c r="C13">
        <f>IF(ISNUMBER(INDEX(Haver_Q!$B$1:$BD$1000,MATCH(data!$A13,Haver_Q!$B$1:$B$1000,0),MATCH(data!C$1,Haver_Q!$B$1:$BD$1,0))),100*INDEX(Haver_Q!$B$1:$BD$1000,MATCH(data!$A13,Haver_Q!$B$1:$B$1000,0),MATCH(data!C$1,Haver_Q!$B$1:$BD$1,0)),"na")</f>
        <v>-2.4271569736637799</v>
      </c>
      <c r="D13">
        <f>IF(ISNUMBER(INDEX(Haver_Q!$B$1:$BD$1000,MATCH(data!$A13,Haver_Q!$B$1:$B$1000,0),MATCH(data!D$1,Haver_Q!$B$1:$BD$1,0))),100*INDEX(Haver_Q!$B$1:$BD$1000,MATCH(data!$A13,Haver_Q!$B$1:$B$1000,0),MATCH(data!D$1,Haver_Q!$B$1:$BD$1,0)),"na")</f>
        <v>4.4443038414261116</v>
      </c>
      <c r="E13">
        <f>IF(ISNUMBER(INDEX(Haver_Q!$B$1:$BD$1000,MATCH(data!$A13,Haver_Q!$B$1:$B$1000,0),MATCH(data!E$1,Haver_Q!$B$1:$BD$1,0))),100*INDEX(Haver_Q!$B$1:$BD$1000,MATCH(data!$A13,Haver_Q!$B$1:$B$1000,0),MATCH(data!E$1,Haver_Q!$B$1:$BD$1,0)),"na")</f>
        <v>-9.1565593718547547</v>
      </c>
      <c r="F13">
        <f>IF(ISNUMBER(INDEX(Haver_Q!$B$1:$BD$1000,MATCH(data!$A13,Haver_Q!$B$1:$B$1000,0),MATCH(data!F$1,Haver_Q!$B$1:$BD$1,0))),100*INDEX(Haver_Q!$B$1:$BD$1000,MATCH(data!$A13,Haver_Q!$B$1:$B$1000,0),MATCH(data!F$1,Haver_Q!$B$1:$BD$1,0)),"na")</f>
        <v>5.4053264494375641</v>
      </c>
      <c r="G13">
        <f>IF(ISNUMBER(INDEX(Haver_Q!$B$1:$BD$1000,MATCH(data!$A13,Haver_Q!$B$1:$B$1000,0),MATCH(data!G$1,Haver_Q!$B$1:$BD$1,0))),100*INDEX(Haver_Q!$B$1:$BD$1000,MATCH(data!$A13,Haver_Q!$B$1:$B$1000,0),MATCH(data!G$1,Haver_Q!$B$1:$BD$1,0)),"na")</f>
        <v>3.7157616434889462</v>
      </c>
      <c r="H13">
        <f>IF(ISNUMBER(INDEX(Haver_Q!$B$1:$BD$1000,MATCH(data!$A13,Haver_Q!$B$1:$B$1000,0),MATCH(data!H$1,Haver_Q!$B$1:$BD$1,0))),100*INDEX(Haver_Q!$B$1:$BD$1000,MATCH(data!$A13,Haver_Q!$B$1:$B$1000,0),MATCH(data!H$1,Haver_Q!$B$1:$BD$1,0)),"na")</f>
        <v>283.16189682368605</v>
      </c>
      <c r="I13" s="3">
        <f>IF(ISNUMBER(Bloomberg_m!C29),Bloomberg_m!C29,"na")</f>
        <v>1609</v>
      </c>
      <c r="J13" s="3" t="str">
        <f>IF(ISNUMBER(Bloomberg_m!D29),Bloomberg_m!D29,"na")</f>
        <v>na</v>
      </c>
      <c r="K13" s="3" t="str">
        <f>IF(ISNUMBER(Bloomberg_m!E29),Bloomberg_m!E29,"na")</f>
        <v>na</v>
      </c>
      <c r="L13" s="3">
        <f>IF(ISNUMBER(Bloomberg_m!L29),Bloomberg_m!L29,"na")</f>
        <v>28.4</v>
      </c>
      <c r="M13" t="str">
        <f>IF(ISNUMBER(INDEX(Haver_M!$B$1:$ZN$1000,MATCH(data!$A13,Haver_M!$B$1:$B$1000,0),MATCH(data!M$1,Haver_M!$B$1:$ZN$1,0))),INDEX(Haver_M!$B$1:$ZN$1000,MATCH(data!$A13,Haver_M!$B$1:$B$1000,0),MATCH(data!M$1,Haver_M!$B$1:$ZN$1,0)),"na")</f>
        <v>na</v>
      </c>
      <c r="N13" t="str">
        <f>IF(ISNUMBER(INDEX(Haver_M!$B$1:$ZN$1000,MATCH(data!$A13,Haver_M!$B$1:$B$1000,0),MATCH(data!N$1,Haver_M!$B$1:$ZN$1,0))),INDEX(Haver_M!$B$1:$ZN$1000,MATCH(data!$A13,Haver_M!$B$1:$B$1000,0),MATCH(data!N$1,Haver_M!$B$1:$ZN$1,0)),"na")</f>
        <v>na</v>
      </c>
      <c r="O13">
        <f>IF(ISNUMBER(INDEX(Haver_M!$B$1:$ZN$1000,MATCH(data!$A13,Haver_M!$B$1:$B$1000,0),MATCH(data!O$1,Haver_M!$B$1:$ZN$1,0))),INDEX(Haver_M!$B$1:$ZN$1000,MATCH(data!$A13,Haver_M!$B$1:$B$1000,0),MATCH(data!O$1,Haver_M!$B$1:$ZN$1,0)),"na")</f>
        <v>121.8344</v>
      </c>
      <c r="P13">
        <f>IF(ISNUMBER(INDEX(Haver_M!$B$1:$ZN$1000,MATCH(data!$A13,Haver_M!$B$1:$B$1000,0),MATCH(data!P$1,Haver_M!$B$1:$ZN$1,0))),INDEX(Haver_M!$B$1:$ZN$1000,MATCH(data!$A13,Haver_M!$B$1:$B$1000,0),MATCH(data!P$1,Haver_M!$B$1:$ZN$1,0)),"na")</f>
        <v>48.273499999999999</v>
      </c>
      <c r="Q13">
        <f>IF(ISNUMBER(INDEX(Haver_M!$B$1:$ZN$1000,MATCH(data!$A13,Haver_M!$B$1:$B$1000,0),MATCH(data!Q$1,Haver_M!$B$1:$ZN$1,0))),INDEX(Haver_M!$B$1:$ZN$1000,MATCH(data!$A13,Haver_M!$B$1:$B$1000,0),MATCH(data!Q$1,Haver_M!$B$1:$ZN$1,0)),"na")</f>
        <v>52.312800000000003</v>
      </c>
      <c r="R13">
        <f>IF(ISNUMBER(INDEX(Haver_M!$B$1:$ZN$1000,MATCH(data!$A13,Haver_M!$B$1:$B$1000,0),MATCH(data!R$1,Haver_M!$B$1:$ZN$1,0))),INDEX(Haver_M!$B$1:$ZN$1000,MATCH(data!$A13,Haver_M!$B$1:$B$1000,0),MATCH(data!R$1,Haver_M!$B$1:$ZN$1,0)),"na")</f>
        <v>88.622</v>
      </c>
      <c r="S13">
        <f>IF(ISNUMBER(INDEX(Haver_M!$B$1:$ZN$1000,MATCH(data!$A13,Haver_M!$B$1:$B$1000,0),MATCH(data!S$1,Haver_M!$B$1:$ZN$1,0))),INDEX(Haver_M!$B$1:$ZN$1000,MATCH(data!$A13,Haver_M!$B$1:$B$1000,0),MATCH(data!S$1,Haver_M!$B$1:$ZN$1,0)),"na")</f>
        <v>102.9357</v>
      </c>
      <c r="T13">
        <f>IF(ISNUMBER(INDEX(Haver_M!$B$1:$ZN$1000,MATCH(data!$A13,Haver_M!$B$1:$B$1000,0),MATCH(data!T$1,Haver_M!$B$1:$ZN$1,0))),INDEX(Haver_M!$B$1:$ZN$1000,MATCH(data!$A13,Haver_M!$B$1:$B$1000,0),MATCH(data!T$1,Haver_M!$B$1:$ZN$1,0)),"na")</f>
        <v>56.509700000000002</v>
      </c>
      <c r="U13">
        <f>IF(ISNUMBER(INDEX(Haver_M!$B$1:$ZN$1000,MATCH(data!$A13,Haver_M!$B$1:$B$1000,0),MATCH(data!U$1,Haver_M!$B$1:$ZN$1,0))),INDEX(Haver_M!$B$1:$ZN$1000,MATCH(data!$A13,Haver_M!$B$1:$B$1000,0),MATCH(data!U$1,Haver_M!$B$1:$ZN$1,0)),"na")</f>
        <v>79.639200000000002</v>
      </c>
      <c r="V13">
        <f>IF(ISNUMBER(INDEX(Haver_M!$B$1:$ZN$1000,MATCH(data!$A13,Haver_M!$B$1:$B$1000,0),MATCH(data!V$1,Haver_M!$B$1:$ZN$1,0))),INDEX(Haver_M!$B$1:$ZN$1000,MATCH(data!$A13,Haver_M!$B$1:$B$1000,0),MATCH(data!V$1,Haver_M!$B$1:$ZN$1,0)),"na")</f>
        <v>89.54</v>
      </c>
      <c r="W13">
        <f>IF(ISNUMBER(INDEX(Haver_M!$B$1:$ZN$1000,MATCH(data!$A13,Haver_M!$B$1:$B$1000,0),MATCH(data!W$1,Haver_M!$B$1:$ZN$1,0))),INDEX(Haver_M!$B$1:$ZN$1000,MATCH(data!$A13,Haver_M!$B$1:$B$1000,0),MATCH(data!W$1,Haver_M!$B$1:$ZN$1,0)),"na")</f>
        <v>2.6</v>
      </c>
      <c r="X13" t="str">
        <f>IF(ISNUMBER(INDEX(Haver_M!$B$1:$ZN$1000,MATCH(data!$A13,Haver_M!$B$1:$B$1000,0),MATCH(data!X$1,Haver_M!$B$1:$ZN$1,0))),INDEX(Haver_M!$B$1:$ZN$1000,MATCH(data!$A13,Haver_M!$B$1:$B$1000,0),MATCH(data!X$1,Haver_M!$B$1:$ZN$1,0)),"na")</f>
        <v>na</v>
      </c>
      <c r="Y13">
        <f>IF(ISNUMBER(INDEX(Haver_M!$B$1:$ZN$1000,MATCH(data!$A13,Haver_M!$B$1:$B$1000,0),MATCH(data!Y$1,Haver_M!$B$1:$ZN$1,0))),INDEX(Haver_M!$B$1:$ZN$1000,MATCH(data!$A13,Haver_M!$B$1:$B$1000,0),MATCH(data!Y$1,Haver_M!$B$1:$ZN$1,0)),"na")</f>
        <v>99.9</v>
      </c>
      <c r="Z13">
        <f>IF(ISNUMBER(INDEX(Haver_M!$B$1:$ZN$1000,MATCH(data!$A13,Haver_M!$B$1:$B$1000,0),MATCH(data!Z$1,Haver_M!$B$1:$ZN$1,0))),INDEX(Haver_M!$B$1:$ZN$1000,MATCH(data!$A13,Haver_M!$B$1:$B$1000,0),MATCH(data!Z$1,Haver_M!$B$1:$ZN$1,0)),"na")</f>
        <v>78.616699999999994</v>
      </c>
      <c r="AA13" t="str">
        <f>IF(ISNUMBER(INDEX(Haver_M!$B$1:$ZN$1000,MATCH(data!$A13,Haver_M!$B$1:$B$1000,0),MATCH(data!AA$1,Haver_M!$B$1:$ZN$1,0))),INDEX(Haver_M!$B$1:$ZN$1000,MATCH(data!$A13,Haver_M!$B$1:$B$1000,0),MATCH(data!AA$1,Haver_M!$B$1:$ZN$1,0)),"na")</f>
        <v>na</v>
      </c>
      <c r="AB13">
        <f>IF(ISNUMBER(INDEX(Haver_M!$B$1:$ZN$1000,MATCH(data!$A13,Haver_M!$B$1:$B$1000,0),MATCH(data!AB$1,Haver_M!$B$1:$ZN$1,0))),INDEX(Haver_M!$B$1:$ZN$1000,MATCH(data!$A13,Haver_M!$B$1:$B$1000,0),MATCH(data!AB$1,Haver_M!$B$1:$ZN$1,0)),"na")</f>
        <v>14552.2</v>
      </c>
      <c r="AC13">
        <f>IF(ISNUMBER(INDEX(Haver_M!$B$1:$ZN$1000,MATCH(data!$A13,Haver_M!$B$1:$B$1000,0),MATCH(data!AC$1,Haver_M!$B$1:$ZN$1,0))),INDEX(Haver_M!$B$1:$ZN$1000,MATCH(data!$A13,Haver_M!$B$1:$B$1000,0),MATCH(data!AC$1,Haver_M!$B$1:$ZN$1,0)),"na")</f>
        <v>15425.6</v>
      </c>
      <c r="AD13">
        <f>IF(ISNUMBER(INDEX(Haver_M!$B$1:$ZN$1000,MATCH(data!$A13,Haver_M!$B$1:$B$1000,0),MATCH(data!AD$1,Haver_M!$B$1:$ZN$1,0))),INDEX(Haver_M!$B$1:$ZN$1000,MATCH(data!$A13,Haver_M!$B$1:$B$1000,0),MATCH(data!AD$1,Haver_M!$B$1:$ZN$1,0)),"na")</f>
        <v>101.64</v>
      </c>
      <c r="AE13" t="str">
        <f>IF(ISNUMBER(INDEX(Haver_M!$B$1:$ZN$1000,MATCH(data!$A13,Haver_M!$B$1:$B$1000,0),MATCH(data!AE$1,Haver_M!$B$1:$ZN$1,0))),INDEX(Haver_M!$B$1:$ZN$1000,MATCH(data!$A13,Haver_M!$B$1:$B$1000,0),MATCH(data!AE$1,Haver_M!$B$1:$ZN$1,0)),"na")</f>
        <v>na</v>
      </c>
      <c r="AF13" t="str">
        <f>IF(ISNUMBER(INDEX(Haver_M!$B$1:$ZN$1000,MATCH(data!$A13,Haver_M!$B$1:$B$1000,0),MATCH(data!AF$1,Haver_M!$B$1:$ZN$1,0))),INDEX(Haver_M!$B$1:$ZN$1000,MATCH(data!$A13,Haver_M!$B$1:$B$1000,0),MATCH(data!AF$1,Haver_M!$B$1:$ZN$1,0)),"na")</f>
        <v>na</v>
      </c>
      <c r="AG13" t="str">
        <f>IF(ISNUMBER(INDEX(Haver_M!$B$1:$ZN$1000,MATCH(data!$A13,Haver_M!$B$1:$B$1000,0),MATCH(data!AG$1,Haver_M!$B$1:$ZN$1,0))),INDEX(Haver_M!$B$1:$ZN$1000,MATCH(data!$A13,Haver_M!$B$1:$B$1000,0),MATCH(data!AG$1,Haver_M!$B$1:$ZN$1,0)),"na")</f>
        <v>na</v>
      </c>
      <c r="AH13" t="str">
        <f>IF(ISNUMBER(INDEX(Haver_M!$B$1:$ZN$1000,MATCH(data!$A13,Haver_M!$B$1:$B$1000,0),MATCH(data!AH$1,Haver_M!$B$1:$ZN$1,0))),INDEX(Haver_M!$B$1:$ZN$1000,MATCH(data!$A13,Haver_M!$B$1:$B$1000,0),MATCH(data!AH$1,Haver_M!$B$1:$ZN$1,0)),"na")</f>
        <v>na</v>
      </c>
      <c r="AI13" t="str">
        <f>IF(ISNUMBER(INDEX(Haver_M!$B$1:$ZN$1000,MATCH(data!$A13,Haver_M!$B$1:$B$1000,0),MATCH(data!AI$1,Haver_M!$B$1:$ZN$1,0))),INDEX(Haver_M!$B$1:$ZN$1000,MATCH(data!$A13,Haver_M!$B$1:$B$1000,0),MATCH(data!AI$1,Haver_M!$B$1:$ZN$1,0)),"na")</f>
        <v>na</v>
      </c>
      <c r="AJ13" t="str">
        <f>IF(ISNUMBER(INDEX(Haver_M!$B$1:$ZN$1000,MATCH(data!$A13,Haver_M!$B$1:$B$1000,0),MATCH(data!AJ$1,Haver_M!$B$1:$ZN$1,0))),INDEX(Haver_M!$B$1:$ZN$1000,MATCH(data!$A13,Haver_M!$B$1:$B$1000,0),MATCH(data!AJ$1,Haver_M!$B$1:$ZN$1,0)),"na")</f>
        <v>na</v>
      </c>
      <c r="AK13" t="str">
        <f>IF(ISNUMBER(INDEX(Haver_M!$B$1:$ZN$1000,MATCH(data!$A13,Haver_M!$B$1:$B$1000,0),MATCH(data!AK$1,Haver_M!$B$1:$ZN$1,0))),INDEX(Haver_M!$B$1:$ZN$1000,MATCH(data!$A13,Haver_M!$B$1:$B$1000,0),MATCH(data!AK$1,Haver_M!$B$1:$ZN$1,0)),"na")</f>
        <v>na</v>
      </c>
      <c r="AL13" t="str">
        <f>IF(ISNUMBER(INDEX(Haver_M!$B$1:$ZN$1000,MATCH(data!$A13,Haver_M!$B$1:$B$1000,0),MATCH(data!AL$1,Haver_M!$B$1:$ZN$1,0))),INDEX(Haver_M!$B$1:$ZN$1000,MATCH(data!$A13,Haver_M!$B$1:$B$1000,0),MATCH(data!AL$1,Haver_M!$B$1:$ZN$1,0)),"na")</f>
        <v>na</v>
      </c>
      <c r="AM13" t="str">
        <f>IF(ISNUMBER(INDEX(Haver_M!$B$1:$ZN$1000,MATCH(data!$A13,Haver_M!$B$1:$B$1000,0),MATCH(data!AM$1,Haver_M!$B$1:$ZN$1,0))),INDEX(Haver_M!$B$1:$ZN$1000,MATCH(data!$A13,Haver_M!$B$1:$B$1000,0),MATCH(data!AM$1,Haver_M!$B$1:$ZN$1,0)),"na")</f>
        <v>na</v>
      </c>
      <c r="AN13" t="str">
        <f>IF(ISNUMBER(INDEX(Haver_M!$B$1:$ZN$1000,MATCH(data!$A13,Haver_M!$B$1:$B$1000,0),MATCH(data!AN$1,Haver_M!$B$1:$ZN$1,0))),INDEX(Haver_M!$B$1:$ZN$1000,MATCH(data!$A13,Haver_M!$B$1:$B$1000,0),MATCH(data!AN$1,Haver_M!$B$1:$ZN$1,0)),"na")</f>
        <v>na</v>
      </c>
      <c r="AO13" t="str">
        <f>IF(ISNUMBER(INDEX(Haver_M!$B$1:$ZN$1000,MATCH(data!$A13,Haver_M!$B$1:$B$1000,0),MATCH(data!AO$1,Haver_M!$B$1:$ZN$1,0))),INDEX(Haver_M!$B$1:$ZN$1000,MATCH(data!$A13,Haver_M!$B$1:$B$1000,0),MATCH(data!AO$1,Haver_M!$B$1:$ZN$1,0)),"na")</f>
        <v>na</v>
      </c>
      <c r="AP13" t="str">
        <f>IF(ISNUMBER(INDEX(Haver_M!$B$1:$ZN$1000,MATCH(data!$A13,Haver_M!$B$1:$B$1000,0),MATCH(data!AP$1,Haver_M!$B$1:$ZN$1,0))),INDEX(Haver_M!$B$1:$ZN$1000,MATCH(data!$A13,Haver_M!$B$1:$B$1000,0),MATCH(data!AP$1,Haver_M!$B$1:$ZN$1,0)),"na")</f>
        <v>na</v>
      </c>
      <c r="AQ13" t="str">
        <f>IF(ISNUMBER(INDEX(Haver_M!$B$1:$ZN$1000,MATCH(data!$A13,Haver_M!$B$1:$B$1000,0),MATCH(data!AQ$1,Haver_M!$B$1:$ZN$1,0))),INDEX(Haver_M!$B$1:$ZN$1000,MATCH(data!$A13,Haver_M!$B$1:$B$1000,0),MATCH(data!AQ$1,Haver_M!$B$1:$ZN$1,0)),"na")</f>
        <v>na</v>
      </c>
      <c r="AR13" t="str">
        <f>IF(ISNUMBER(INDEX(Haver_M!$B$1:$ZN$1000,MATCH(data!$A13,Haver_M!$B$1:$B$1000,0),MATCH(data!AR$1,Haver_M!$B$1:$ZN$1,0))),INDEX(Haver_M!$B$1:$ZN$1000,MATCH(data!$A13,Haver_M!$B$1:$B$1000,0),MATCH(data!AR$1,Haver_M!$B$1:$ZN$1,0)),"na")</f>
        <v>na</v>
      </c>
      <c r="AS13">
        <f>IF(ISNUMBER(INDEX(Haver_M!$B$1:$ZN$1000,MATCH(data!$A13,Haver_M!$B$1:$B$1000,0),MATCH(data!AS$1,Haver_M!$B$1:$ZN$1,0))),INDEX(Haver_M!$B$1:$ZN$1000,MATCH(data!$A13,Haver_M!$B$1:$B$1000,0),MATCH(data!AS$1,Haver_M!$B$1:$ZN$1,0)),"na")</f>
        <v>5601.73</v>
      </c>
      <c r="AT13">
        <f>IF(ISNUMBER(INDEX(Haver_M!$B$1:$ZN$1000,MATCH(data!$A13,Haver_M!$B$1:$B$1000,0),MATCH(data!AT$1,Haver_M!$B$1:$ZN$1,0))),INDEX(Haver_M!$B$1:$ZN$1000,MATCH(data!$A13,Haver_M!$B$1:$B$1000,0),MATCH(data!AT$1,Haver_M!$B$1:$ZN$1,0)),"na")</f>
        <v>79.504000000000005</v>
      </c>
      <c r="AU13">
        <f>IF(ISNUMBER(INDEX(Haver_M!$B$1:$ZN$1000,MATCH(data!$A13,Haver_M!$B$1:$B$1000,0),MATCH(data!AU$1,Haver_M!$B$1:$ZN$1,0))),INDEX(Haver_M!$B$1:$ZN$1000,MATCH(data!$A13,Haver_M!$B$1:$B$1000,0),MATCH(data!AU$1,Haver_M!$B$1:$ZN$1,0)),"na")</f>
        <v>79.790284</v>
      </c>
      <c r="AV13">
        <f>IF(ISNUMBER(INDEX(Haver_M!$B$1:$ZN$1000,MATCH(data!$A13,Haver_M!$B$1:$B$1000,0),MATCH(data!AV$1,Haver_M!$B$1:$ZN$1,0))),INDEX(Haver_M!$B$1:$ZN$1000,MATCH(data!$A13,Haver_M!$B$1:$B$1000,0),MATCH(data!AV$1,Haver_M!$B$1:$ZN$1,0)),"na")</f>
        <v>74.5</v>
      </c>
      <c r="AW13">
        <f>IF(ISNUMBER(INDEX(Haver_M!$B$1:$ZN$1000,MATCH(data!$A13,Haver_M!$B$1:$B$1000,0),MATCH(data!AW$1,Haver_M!$B$1:$ZN$1,0))),INDEX(Haver_M!$B$1:$ZN$1000,MATCH(data!$A13,Haver_M!$B$1:$B$1000,0),MATCH(data!AW$1,Haver_M!$B$1:$ZN$1,0)),"na")</f>
        <v>684800.22304255038</v>
      </c>
      <c r="AX13">
        <f>IF(ISNUMBER(INDEX(Haver_M!$B$1:$ZN$1000,MATCH(data!$A13,Haver_M!$B$1:$B$1000,0),MATCH(data!AX$1,Haver_M!$B$1:$ZN$1,0))),INDEX(Haver_M!$B$1:$ZN$1000,MATCH(data!$A13,Haver_M!$B$1:$B$1000,0),MATCH(data!AX$1,Haver_M!$B$1:$ZN$1,0)),"na")</f>
        <v>3023</v>
      </c>
      <c r="AY13">
        <f>IF(ISNUMBER(INDEX(Haver_M!$B$1:$ZN$1000,MATCH(data!$A13,Haver_M!$B$1:$B$1000,0),MATCH(data!AY$1,Haver_M!$B$1:$ZN$1,0))),INDEX(Haver_M!$B$1:$ZN$1000,MATCH(data!$A13,Haver_M!$B$1:$B$1000,0),MATCH(data!AY$1,Haver_M!$B$1:$ZN$1,0)),"na")</f>
        <v>1749</v>
      </c>
      <c r="AZ13" t="str">
        <f>IF(ISNUMBER(INDEX(Haver_M!$B$1:$ZN$1000,MATCH(data!$A13,Haver_M!$B$1:$B$1000,0),MATCH(data!AZ$1,Haver_M!$B$1:$ZN$1,0))),INDEX(Haver_M!$B$1:$ZN$1000,MATCH(data!$A13,Haver_M!$B$1:$B$1000,0),MATCH(data!AZ$1,Haver_M!$B$1:$ZN$1,0)),"na")</f>
        <v>na</v>
      </c>
      <c r="BA13">
        <f>IF(ISNUMBER(INDEX(Haver_M!$B$1:$ZN$1000,MATCH(data!$A13,Haver_M!$B$1:$B$1000,0),MATCH(data!BA$1,Haver_M!$B$1:$ZN$1,0))),INDEX(Haver_M!$B$1:$ZN$1000,MATCH(data!$A13,Haver_M!$B$1:$B$1000,0),MATCH(data!BA$1,Haver_M!$B$1:$ZN$1,0)),"na")</f>
        <v>88.497361313277224</v>
      </c>
      <c r="BB13" t="str">
        <f>IF(ISNUMBER(INDEX(Haver_M!$B$1:$ZN$1000,MATCH(data!$A13,Haver_M!$B$1:$B$1000,0),MATCH(data!BB$1,Haver_M!$B$1:$ZN$1,0))),INDEX(Haver_M!$B$1:$ZN$1000,MATCH(data!$A13,Haver_M!$B$1:$B$1000,0),MATCH(data!BB$1,Haver_M!$B$1:$ZN$1,0)),"")</f>
        <v/>
      </c>
    </row>
    <row r="14" spans="1:54" x14ac:dyDescent="0.25">
      <c r="A14" s="2">
        <v>36922</v>
      </c>
      <c r="B14" t="str">
        <f>IF(ISNUMBER(INDEX(Haver_Q!$B$1:$BD$1000,MATCH(data!$A14,Haver_Q!$B$1:$B$1000,0),MATCH(data!B$1,Haver_Q!$B$1:$BD$1,0))),100*INDEX(Haver_Q!$B$1:$BD$1000,MATCH(data!$A14,Haver_Q!$B$1:$B$1000,0),MATCH(data!B$1,Haver_Q!$B$1:$BD$1,0)),"na")</f>
        <v>na</v>
      </c>
      <c r="C14" t="str">
        <f>IF(ISNUMBER(INDEX(Haver_Q!$B$1:$BD$1000,MATCH(data!$A14,Haver_Q!$B$1:$B$1000,0),MATCH(data!C$1,Haver_Q!$B$1:$BD$1,0))),100*INDEX(Haver_Q!$B$1:$BD$1000,MATCH(data!$A14,Haver_Q!$B$1:$B$1000,0),MATCH(data!C$1,Haver_Q!$B$1:$BD$1,0)),"na")</f>
        <v>na</v>
      </c>
      <c r="D14" t="str">
        <f>IF(ISNUMBER(INDEX(Haver_Q!$B$1:$BD$1000,MATCH(data!$A14,Haver_Q!$B$1:$B$1000,0),MATCH(data!D$1,Haver_Q!$B$1:$BD$1,0))),100*INDEX(Haver_Q!$B$1:$BD$1000,MATCH(data!$A14,Haver_Q!$B$1:$B$1000,0),MATCH(data!D$1,Haver_Q!$B$1:$BD$1,0)),"na")</f>
        <v>na</v>
      </c>
      <c r="E14" t="str">
        <f>IF(ISNUMBER(INDEX(Haver_Q!$B$1:$BD$1000,MATCH(data!$A14,Haver_Q!$B$1:$B$1000,0),MATCH(data!E$1,Haver_Q!$B$1:$BD$1,0))),100*INDEX(Haver_Q!$B$1:$BD$1000,MATCH(data!$A14,Haver_Q!$B$1:$B$1000,0),MATCH(data!E$1,Haver_Q!$B$1:$BD$1,0)),"na")</f>
        <v>na</v>
      </c>
      <c r="F14" t="str">
        <f>IF(ISNUMBER(INDEX(Haver_Q!$B$1:$BD$1000,MATCH(data!$A14,Haver_Q!$B$1:$B$1000,0),MATCH(data!F$1,Haver_Q!$B$1:$BD$1,0))),100*INDEX(Haver_Q!$B$1:$BD$1000,MATCH(data!$A14,Haver_Q!$B$1:$B$1000,0),MATCH(data!F$1,Haver_Q!$B$1:$BD$1,0)),"na")</f>
        <v>na</v>
      </c>
      <c r="G14" t="str">
        <f>IF(ISNUMBER(INDEX(Haver_Q!$B$1:$BD$1000,MATCH(data!$A14,Haver_Q!$B$1:$B$1000,0),MATCH(data!G$1,Haver_Q!$B$1:$BD$1,0))),100*INDEX(Haver_Q!$B$1:$BD$1000,MATCH(data!$A14,Haver_Q!$B$1:$B$1000,0),MATCH(data!G$1,Haver_Q!$B$1:$BD$1,0)),"na")</f>
        <v>na</v>
      </c>
      <c r="H14" t="str">
        <f>IF(ISNUMBER(INDEX(Haver_Q!$B$1:$BD$1000,MATCH(data!$A14,Haver_Q!$B$1:$B$1000,0),MATCH(data!H$1,Haver_Q!$B$1:$BD$1,0))),100*INDEX(Haver_Q!$B$1:$BD$1000,MATCH(data!$A14,Haver_Q!$B$1:$B$1000,0),MATCH(data!H$1,Haver_Q!$B$1:$BD$1,0)),"na")</f>
        <v>na</v>
      </c>
      <c r="I14" s="3">
        <f>IF(ISNUMBER(Bloomberg_m!C30),Bloomberg_m!C30,"na")</f>
        <v>1566</v>
      </c>
      <c r="J14" s="3" t="str">
        <f>IF(ISNUMBER(Bloomberg_m!D30),Bloomberg_m!D30,"na")</f>
        <v>na</v>
      </c>
      <c r="K14" s="3" t="str">
        <f>IF(ISNUMBER(Bloomberg_m!E30),Bloomberg_m!E30,"na")</f>
        <v>na</v>
      </c>
      <c r="L14" s="3">
        <f>IF(ISNUMBER(Bloomberg_m!L30),Bloomberg_m!L30,"na")</f>
        <v>29.52</v>
      </c>
      <c r="M14" t="str">
        <f>IF(ISNUMBER(INDEX(Haver_M!$B$1:$ZN$1000,MATCH(data!$A14,Haver_M!$B$1:$B$1000,0),MATCH(data!M$1,Haver_M!$B$1:$ZN$1,0))),INDEX(Haver_M!$B$1:$ZN$1000,MATCH(data!$A14,Haver_M!$B$1:$B$1000,0),MATCH(data!M$1,Haver_M!$B$1:$ZN$1,0)),"na")</f>
        <v>na</v>
      </c>
      <c r="N14" t="str">
        <f>IF(ISNUMBER(INDEX(Haver_M!$B$1:$ZN$1000,MATCH(data!$A14,Haver_M!$B$1:$B$1000,0),MATCH(data!N$1,Haver_M!$B$1:$ZN$1,0))),INDEX(Haver_M!$B$1:$ZN$1000,MATCH(data!$A14,Haver_M!$B$1:$B$1000,0),MATCH(data!N$1,Haver_M!$B$1:$ZN$1,0)),"na")</f>
        <v>na</v>
      </c>
      <c r="O14">
        <f>IF(ISNUMBER(INDEX(Haver_M!$B$1:$ZN$1000,MATCH(data!$A14,Haver_M!$B$1:$B$1000,0),MATCH(data!O$1,Haver_M!$B$1:$ZN$1,0))),INDEX(Haver_M!$B$1:$ZN$1000,MATCH(data!$A14,Haver_M!$B$1:$B$1000,0),MATCH(data!O$1,Haver_M!$B$1:$ZN$1,0)),"na")</f>
        <v>117.98875</v>
      </c>
      <c r="P14">
        <f>IF(ISNUMBER(INDEX(Haver_M!$B$1:$ZN$1000,MATCH(data!$A14,Haver_M!$B$1:$B$1000,0),MATCH(data!P$1,Haver_M!$B$1:$ZN$1,0))),INDEX(Haver_M!$B$1:$ZN$1000,MATCH(data!$A14,Haver_M!$B$1:$B$1000,0),MATCH(data!P$1,Haver_M!$B$1:$ZN$1,0)),"na")</f>
        <v>48.293700000000001</v>
      </c>
      <c r="Q14">
        <f>IF(ISNUMBER(INDEX(Haver_M!$B$1:$ZN$1000,MATCH(data!$A14,Haver_M!$B$1:$B$1000,0),MATCH(data!Q$1,Haver_M!$B$1:$ZN$1,0))),INDEX(Haver_M!$B$1:$ZN$1000,MATCH(data!$A14,Haver_M!$B$1:$B$1000,0),MATCH(data!Q$1,Haver_M!$B$1:$ZN$1,0)),"na")</f>
        <v>52.493000000000002</v>
      </c>
      <c r="R14">
        <f>IF(ISNUMBER(INDEX(Haver_M!$B$1:$ZN$1000,MATCH(data!$A14,Haver_M!$B$1:$B$1000,0),MATCH(data!R$1,Haver_M!$B$1:$ZN$1,0))),INDEX(Haver_M!$B$1:$ZN$1000,MATCH(data!$A14,Haver_M!$B$1:$B$1000,0),MATCH(data!R$1,Haver_M!$B$1:$ZN$1,0)),"na")</f>
        <v>89.992400000000004</v>
      </c>
      <c r="S14">
        <f>IF(ISNUMBER(INDEX(Haver_M!$B$1:$ZN$1000,MATCH(data!$A14,Haver_M!$B$1:$B$1000,0),MATCH(data!S$1,Haver_M!$B$1:$ZN$1,0))),INDEX(Haver_M!$B$1:$ZN$1000,MATCH(data!$A14,Haver_M!$B$1:$B$1000,0),MATCH(data!S$1,Haver_M!$B$1:$ZN$1,0)),"na")</f>
        <v>103.8013</v>
      </c>
      <c r="T14">
        <f>IF(ISNUMBER(INDEX(Haver_M!$B$1:$ZN$1000,MATCH(data!$A14,Haver_M!$B$1:$B$1000,0),MATCH(data!T$1,Haver_M!$B$1:$ZN$1,0))),INDEX(Haver_M!$B$1:$ZN$1000,MATCH(data!$A14,Haver_M!$B$1:$B$1000,0),MATCH(data!T$1,Haver_M!$B$1:$ZN$1,0)),"na")</f>
        <v>56.383299999999998</v>
      </c>
      <c r="U14">
        <f>IF(ISNUMBER(INDEX(Haver_M!$B$1:$ZN$1000,MATCH(data!$A14,Haver_M!$B$1:$B$1000,0),MATCH(data!U$1,Haver_M!$B$1:$ZN$1,0))),INDEX(Haver_M!$B$1:$ZN$1000,MATCH(data!$A14,Haver_M!$B$1:$B$1000,0),MATCH(data!U$1,Haver_M!$B$1:$ZN$1,0)),"na")</f>
        <v>78.481899999999996</v>
      </c>
      <c r="V14">
        <f>IF(ISNUMBER(INDEX(Haver_M!$B$1:$ZN$1000,MATCH(data!$A14,Haver_M!$B$1:$B$1000,0),MATCH(data!V$1,Haver_M!$B$1:$ZN$1,0))),INDEX(Haver_M!$B$1:$ZN$1000,MATCH(data!$A14,Haver_M!$B$1:$B$1000,0),MATCH(data!V$1,Haver_M!$B$1:$ZN$1,0)),"na")</f>
        <v>92.705299999999994</v>
      </c>
      <c r="W14">
        <f>IF(ISNUMBER(INDEX(Haver_M!$B$1:$ZN$1000,MATCH(data!$A14,Haver_M!$B$1:$B$1000,0),MATCH(data!W$1,Haver_M!$B$1:$ZN$1,0))),INDEX(Haver_M!$B$1:$ZN$1000,MATCH(data!$A14,Haver_M!$B$1:$B$1000,0),MATCH(data!W$1,Haver_M!$B$1:$ZN$1,0)),"na")</f>
        <v>2.56</v>
      </c>
      <c r="X14" t="str">
        <f>IF(ISNUMBER(INDEX(Haver_M!$B$1:$ZN$1000,MATCH(data!$A14,Haver_M!$B$1:$B$1000,0),MATCH(data!X$1,Haver_M!$B$1:$ZN$1,0))),INDEX(Haver_M!$B$1:$ZN$1000,MATCH(data!$A14,Haver_M!$B$1:$B$1000,0),MATCH(data!X$1,Haver_M!$B$1:$ZN$1,0)),"na")</f>
        <v>na</v>
      </c>
      <c r="Y14">
        <f>IF(ISNUMBER(INDEX(Haver_M!$B$1:$ZN$1000,MATCH(data!$A14,Haver_M!$B$1:$B$1000,0),MATCH(data!Y$1,Haver_M!$B$1:$ZN$1,0))),INDEX(Haver_M!$B$1:$ZN$1000,MATCH(data!$A14,Haver_M!$B$1:$B$1000,0),MATCH(data!Y$1,Haver_M!$B$1:$ZN$1,0)),"na")</f>
        <v>99.66</v>
      </c>
      <c r="Z14">
        <f>IF(ISNUMBER(INDEX(Haver_M!$B$1:$ZN$1000,MATCH(data!$A14,Haver_M!$B$1:$B$1000,0),MATCH(data!Z$1,Haver_M!$B$1:$ZN$1,0))),INDEX(Haver_M!$B$1:$ZN$1000,MATCH(data!$A14,Haver_M!$B$1:$B$1000,0),MATCH(data!Z$1,Haver_M!$B$1:$ZN$1,0)),"na")</f>
        <v>80.586200000000005</v>
      </c>
      <c r="AA14" t="str">
        <f>IF(ISNUMBER(INDEX(Haver_M!$B$1:$ZN$1000,MATCH(data!$A14,Haver_M!$B$1:$B$1000,0),MATCH(data!AA$1,Haver_M!$B$1:$ZN$1,0))),INDEX(Haver_M!$B$1:$ZN$1000,MATCH(data!$A14,Haver_M!$B$1:$B$1000,0),MATCH(data!AA$1,Haver_M!$B$1:$ZN$1,0)),"na")</f>
        <v>na</v>
      </c>
      <c r="AB14">
        <f>IF(ISNUMBER(INDEX(Haver_M!$B$1:$ZN$1000,MATCH(data!$A14,Haver_M!$B$1:$B$1000,0),MATCH(data!AB$1,Haver_M!$B$1:$ZN$1,0))),INDEX(Haver_M!$B$1:$ZN$1000,MATCH(data!$A14,Haver_M!$B$1:$B$1000,0),MATCH(data!AB$1,Haver_M!$B$1:$ZN$1,0)),"na")</f>
        <v>13864.3</v>
      </c>
      <c r="AC14">
        <f>IF(ISNUMBER(INDEX(Haver_M!$B$1:$ZN$1000,MATCH(data!$A14,Haver_M!$B$1:$B$1000,0),MATCH(data!AC$1,Haver_M!$B$1:$ZN$1,0))),INDEX(Haver_M!$B$1:$ZN$1000,MATCH(data!$A14,Haver_M!$B$1:$B$1000,0),MATCH(data!AC$1,Haver_M!$B$1:$ZN$1,0)),"na")</f>
        <v>14668.1</v>
      </c>
      <c r="AD14">
        <f>IF(ISNUMBER(INDEX(Haver_M!$B$1:$ZN$1000,MATCH(data!$A14,Haver_M!$B$1:$B$1000,0),MATCH(data!AD$1,Haver_M!$B$1:$ZN$1,0))),INDEX(Haver_M!$B$1:$ZN$1000,MATCH(data!$A14,Haver_M!$B$1:$B$1000,0),MATCH(data!AD$1,Haver_M!$B$1:$ZN$1,0)),"na")</f>
        <v>101.45</v>
      </c>
      <c r="AE14" t="str">
        <f>IF(ISNUMBER(INDEX(Haver_M!$B$1:$ZN$1000,MATCH(data!$A14,Haver_M!$B$1:$B$1000,0),MATCH(data!AE$1,Haver_M!$B$1:$ZN$1,0))),INDEX(Haver_M!$B$1:$ZN$1000,MATCH(data!$A14,Haver_M!$B$1:$B$1000,0),MATCH(data!AE$1,Haver_M!$B$1:$ZN$1,0)),"na")</f>
        <v>na</v>
      </c>
      <c r="AF14" t="str">
        <f>IF(ISNUMBER(INDEX(Haver_M!$B$1:$ZN$1000,MATCH(data!$A14,Haver_M!$B$1:$B$1000,0),MATCH(data!AF$1,Haver_M!$B$1:$ZN$1,0))),INDEX(Haver_M!$B$1:$ZN$1000,MATCH(data!$A14,Haver_M!$B$1:$B$1000,0),MATCH(data!AF$1,Haver_M!$B$1:$ZN$1,0)),"na")</f>
        <v>na</v>
      </c>
      <c r="AG14" t="str">
        <f>IF(ISNUMBER(INDEX(Haver_M!$B$1:$ZN$1000,MATCH(data!$A14,Haver_M!$B$1:$B$1000,0),MATCH(data!AG$1,Haver_M!$B$1:$ZN$1,0))),INDEX(Haver_M!$B$1:$ZN$1000,MATCH(data!$A14,Haver_M!$B$1:$B$1000,0),MATCH(data!AG$1,Haver_M!$B$1:$ZN$1,0)),"na")</f>
        <v>na</v>
      </c>
      <c r="AH14" t="str">
        <f>IF(ISNUMBER(INDEX(Haver_M!$B$1:$ZN$1000,MATCH(data!$A14,Haver_M!$B$1:$B$1000,0),MATCH(data!AH$1,Haver_M!$B$1:$ZN$1,0))),INDEX(Haver_M!$B$1:$ZN$1000,MATCH(data!$A14,Haver_M!$B$1:$B$1000,0),MATCH(data!AH$1,Haver_M!$B$1:$ZN$1,0)),"na")</f>
        <v>na</v>
      </c>
      <c r="AI14" t="str">
        <f>IF(ISNUMBER(INDEX(Haver_M!$B$1:$ZN$1000,MATCH(data!$A14,Haver_M!$B$1:$B$1000,0),MATCH(data!AI$1,Haver_M!$B$1:$ZN$1,0))),INDEX(Haver_M!$B$1:$ZN$1000,MATCH(data!$A14,Haver_M!$B$1:$B$1000,0),MATCH(data!AI$1,Haver_M!$B$1:$ZN$1,0)),"na")</f>
        <v>na</v>
      </c>
      <c r="AJ14" t="str">
        <f>IF(ISNUMBER(INDEX(Haver_M!$B$1:$ZN$1000,MATCH(data!$A14,Haver_M!$B$1:$B$1000,0),MATCH(data!AJ$1,Haver_M!$B$1:$ZN$1,0))),INDEX(Haver_M!$B$1:$ZN$1000,MATCH(data!$A14,Haver_M!$B$1:$B$1000,0),MATCH(data!AJ$1,Haver_M!$B$1:$ZN$1,0)),"na")</f>
        <v>na</v>
      </c>
      <c r="AK14" t="str">
        <f>IF(ISNUMBER(INDEX(Haver_M!$B$1:$ZN$1000,MATCH(data!$A14,Haver_M!$B$1:$B$1000,0),MATCH(data!AK$1,Haver_M!$B$1:$ZN$1,0))),INDEX(Haver_M!$B$1:$ZN$1000,MATCH(data!$A14,Haver_M!$B$1:$B$1000,0),MATCH(data!AK$1,Haver_M!$B$1:$ZN$1,0)),"na")</f>
        <v>na</v>
      </c>
      <c r="AL14" t="str">
        <f>IF(ISNUMBER(INDEX(Haver_M!$B$1:$ZN$1000,MATCH(data!$A14,Haver_M!$B$1:$B$1000,0),MATCH(data!AL$1,Haver_M!$B$1:$ZN$1,0))),INDEX(Haver_M!$B$1:$ZN$1000,MATCH(data!$A14,Haver_M!$B$1:$B$1000,0),MATCH(data!AL$1,Haver_M!$B$1:$ZN$1,0)),"na")</f>
        <v>na</v>
      </c>
      <c r="AM14" t="str">
        <f>IF(ISNUMBER(INDEX(Haver_M!$B$1:$ZN$1000,MATCH(data!$A14,Haver_M!$B$1:$B$1000,0),MATCH(data!AM$1,Haver_M!$B$1:$ZN$1,0))),INDEX(Haver_M!$B$1:$ZN$1000,MATCH(data!$A14,Haver_M!$B$1:$B$1000,0),MATCH(data!AM$1,Haver_M!$B$1:$ZN$1,0)),"na")</f>
        <v>na</v>
      </c>
      <c r="AN14" t="str">
        <f>IF(ISNUMBER(INDEX(Haver_M!$B$1:$ZN$1000,MATCH(data!$A14,Haver_M!$B$1:$B$1000,0),MATCH(data!AN$1,Haver_M!$B$1:$ZN$1,0))),INDEX(Haver_M!$B$1:$ZN$1000,MATCH(data!$A14,Haver_M!$B$1:$B$1000,0),MATCH(data!AN$1,Haver_M!$B$1:$ZN$1,0)),"na")</f>
        <v>na</v>
      </c>
      <c r="AO14" t="str">
        <f>IF(ISNUMBER(INDEX(Haver_M!$B$1:$ZN$1000,MATCH(data!$A14,Haver_M!$B$1:$B$1000,0),MATCH(data!AO$1,Haver_M!$B$1:$ZN$1,0))),INDEX(Haver_M!$B$1:$ZN$1000,MATCH(data!$A14,Haver_M!$B$1:$B$1000,0),MATCH(data!AO$1,Haver_M!$B$1:$ZN$1,0)),"na")</f>
        <v>na</v>
      </c>
      <c r="AP14" t="str">
        <f>IF(ISNUMBER(INDEX(Haver_M!$B$1:$ZN$1000,MATCH(data!$A14,Haver_M!$B$1:$B$1000,0),MATCH(data!AP$1,Haver_M!$B$1:$ZN$1,0))),INDEX(Haver_M!$B$1:$ZN$1000,MATCH(data!$A14,Haver_M!$B$1:$B$1000,0),MATCH(data!AP$1,Haver_M!$B$1:$ZN$1,0)),"na")</f>
        <v>na</v>
      </c>
      <c r="AQ14" t="str">
        <f>IF(ISNUMBER(INDEX(Haver_M!$B$1:$ZN$1000,MATCH(data!$A14,Haver_M!$B$1:$B$1000,0),MATCH(data!AQ$1,Haver_M!$B$1:$ZN$1,0))),INDEX(Haver_M!$B$1:$ZN$1000,MATCH(data!$A14,Haver_M!$B$1:$B$1000,0),MATCH(data!AQ$1,Haver_M!$B$1:$ZN$1,0)),"na")</f>
        <v>na</v>
      </c>
      <c r="AR14" t="str">
        <f>IF(ISNUMBER(INDEX(Haver_M!$B$1:$ZN$1000,MATCH(data!$A14,Haver_M!$B$1:$B$1000,0),MATCH(data!AR$1,Haver_M!$B$1:$ZN$1,0))),INDEX(Haver_M!$B$1:$ZN$1000,MATCH(data!$A14,Haver_M!$B$1:$B$1000,0),MATCH(data!AR$1,Haver_M!$B$1:$ZN$1,0)),"na")</f>
        <v>na</v>
      </c>
      <c r="AS14">
        <f>IF(ISNUMBER(INDEX(Haver_M!$B$1:$ZN$1000,MATCH(data!$A14,Haver_M!$B$1:$B$1000,0),MATCH(data!AS$1,Haver_M!$B$1:$ZN$1,0))),INDEX(Haver_M!$B$1:$ZN$1000,MATCH(data!$A14,Haver_M!$B$1:$B$1000,0),MATCH(data!AS$1,Haver_M!$B$1:$ZN$1,0)),"na")</f>
        <v>6118.06</v>
      </c>
      <c r="AT14">
        <f>IF(ISNUMBER(INDEX(Haver_M!$B$1:$ZN$1000,MATCH(data!$A14,Haver_M!$B$1:$B$1000,0),MATCH(data!AT$1,Haver_M!$B$1:$ZN$1,0))),INDEX(Haver_M!$B$1:$ZN$1000,MATCH(data!$A14,Haver_M!$B$1:$B$1000,0),MATCH(data!AT$1,Haver_M!$B$1:$ZN$1,0)),"na")</f>
        <v>78.995999999999995</v>
      </c>
      <c r="AU14">
        <f>IF(ISNUMBER(INDEX(Haver_M!$B$1:$ZN$1000,MATCH(data!$A14,Haver_M!$B$1:$B$1000,0),MATCH(data!AU$1,Haver_M!$B$1:$ZN$1,0))),INDEX(Haver_M!$B$1:$ZN$1000,MATCH(data!$A14,Haver_M!$B$1:$B$1000,0),MATCH(data!AU$1,Haver_M!$B$1:$ZN$1,0)),"na")</f>
        <v>79.773189000000002</v>
      </c>
      <c r="AV14">
        <f>IF(ISNUMBER(INDEX(Haver_M!$B$1:$ZN$1000,MATCH(data!$A14,Haver_M!$B$1:$B$1000,0),MATCH(data!AV$1,Haver_M!$B$1:$ZN$1,0))),INDEX(Haver_M!$B$1:$ZN$1000,MATCH(data!$A14,Haver_M!$B$1:$B$1000,0),MATCH(data!AV$1,Haver_M!$B$1:$ZN$1,0)),"na")</f>
        <v>73.400000000000006</v>
      </c>
      <c r="AW14">
        <f>IF(ISNUMBER(INDEX(Haver_M!$B$1:$ZN$1000,MATCH(data!$A14,Haver_M!$B$1:$B$1000,0),MATCH(data!AW$1,Haver_M!$B$1:$ZN$1,0))),INDEX(Haver_M!$B$1:$ZN$1000,MATCH(data!$A14,Haver_M!$B$1:$B$1000,0),MATCH(data!AW$1,Haver_M!$B$1:$ZN$1,0)),"na")</f>
        <v>725886.24037792801</v>
      </c>
      <c r="AX14">
        <f>IF(ISNUMBER(INDEX(Haver_M!$B$1:$ZN$1000,MATCH(data!$A14,Haver_M!$B$1:$B$1000,0),MATCH(data!AX$1,Haver_M!$B$1:$ZN$1,0))),INDEX(Haver_M!$B$1:$ZN$1000,MATCH(data!$A14,Haver_M!$B$1:$B$1000,0),MATCH(data!AX$1,Haver_M!$B$1:$ZN$1,0)),"na")</f>
        <v>3017</v>
      </c>
      <c r="AY14">
        <f>IF(ISNUMBER(INDEX(Haver_M!$B$1:$ZN$1000,MATCH(data!$A14,Haver_M!$B$1:$B$1000,0),MATCH(data!AY$1,Haver_M!$B$1:$ZN$1,0))),INDEX(Haver_M!$B$1:$ZN$1000,MATCH(data!$A14,Haver_M!$B$1:$B$1000,0),MATCH(data!AY$1,Haver_M!$B$1:$ZN$1,0)),"na")</f>
        <v>1750</v>
      </c>
      <c r="AZ14" t="str">
        <f>IF(ISNUMBER(INDEX(Haver_M!$B$1:$ZN$1000,MATCH(data!$A14,Haver_M!$B$1:$B$1000,0),MATCH(data!AZ$1,Haver_M!$B$1:$ZN$1,0))),INDEX(Haver_M!$B$1:$ZN$1000,MATCH(data!$A14,Haver_M!$B$1:$B$1000,0),MATCH(data!AZ$1,Haver_M!$B$1:$ZN$1,0)),"na")</f>
        <v>na</v>
      </c>
      <c r="BA14">
        <f>IF(ISNUMBER(INDEX(Haver_M!$B$1:$ZN$1000,MATCH(data!$A14,Haver_M!$B$1:$B$1000,0),MATCH(data!BA$1,Haver_M!$B$1:$ZN$1,0))),INDEX(Haver_M!$B$1:$ZN$1000,MATCH(data!$A14,Haver_M!$B$1:$B$1000,0),MATCH(data!BA$1,Haver_M!$B$1:$ZN$1,0)),"na")</f>
        <v>123.11118446590129</v>
      </c>
      <c r="BB14" t="str">
        <f>IF(ISNUMBER(INDEX(Haver_M!$B$1:$ZN$1000,MATCH(data!$A14,Haver_M!$B$1:$B$1000,0),MATCH(data!BB$1,Haver_M!$B$1:$ZN$1,0))),INDEX(Haver_M!$B$1:$ZN$1000,MATCH(data!$A14,Haver_M!$B$1:$B$1000,0),MATCH(data!BB$1,Haver_M!$B$1:$ZN$1,0)),"")</f>
        <v/>
      </c>
    </row>
    <row r="15" spans="1:54" x14ac:dyDescent="0.25">
      <c r="A15" s="2">
        <v>36950</v>
      </c>
      <c r="B15" t="str">
        <f>IF(ISNUMBER(INDEX(Haver_Q!$B$1:$BD$1000,MATCH(data!$A15,Haver_Q!$B$1:$B$1000,0),MATCH(data!B$1,Haver_Q!$B$1:$BD$1,0))),100*INDEX(Haver_Q!$B$1:$BD$1000,MATCH(data!$A15,Haver_Q!$B$1:$B$1000,0),MATCH(data!B$1,Haver_Q!$B$1:$BD$1,0)),"na")</f>
        <v>na</v>
      </c>
      <c r="C15" t="str">
        <f>IF(ISNUMBER(INDEX(Haver_Q!$B$1:$BD$1000,MATCH(data!$A15,Haver_Q!$B$1:$B$1000,0),MATCH(data!C$1,Haver_Q!$B$1:$BD$1,0))),100*INDEX(Haver_Q!$B$1:$BD$1000,MATCH(data!$A15,Haver_Q!$B$1:$B$1000,0),MATCH(data!C$1,Haver_Q!$B$1:$BD$1,0)),"na")</f>
        <v>na</v>
      </c>
      <c r="D15" t="str">
        <f>IF(ISNUMBER(INDEX(Haver_Q!$B$1:$BD$1000,MATCH(data!$A15,Haver_Q!$B$1:$B$1000,0),MATCH(data!D$1,Haver_Q!$B$1:$BD$1,0))),100*INDEX(Haver_Q!$B$1:$BD$1000,MATCH(data!$A15,Haver_Q!$B$1:$B$1000,0),MATCH(data!D$1,Haver_Q!$B$1:$BD$1,0)),"na")</f>
        <v>na</v>
      </c>
      <c r="E15" t="str">
        <f>IF(ISNUMBER(INDEX(Haver_Q!$B$1:$BD$1000,MATCH(data!$A15,Haver_Q!$B$1:$B$1000,0),MATCH(data!E$1,Haver_Q!$B$1:$BD$1,0))),100*INDEX(Haver_Q!$B$1:$BD$1000,MATCH(data!$A15,Haver_Q!$B$1:$B$1000,0),MATCH(data!E$1,Haver_Q!$B$1:$BD$1,0)),"na")</f>
        <v>na</v>
      </c>
      <c r="F15" t="str">
        <f>IF(ISNUMBER(INDEX(Haver_Q!$B$1:$BD$1000,MATCH(data!$A15,Haver_Q!$B$1:$B$1000,0),MATCH(data!F$1,Haver_Q!$B$1:$BD$1,0))),100*INDEX(Haver_Q!$B$1:$BD$1000,MATCH(data!$A15,Haver_Q!$B$1:$B$1000,0),MATCH(data!F$1,Haver_Q!$B$1:$BD$1,0)),"na")</f>
        <v>na</v>
      </c>
      <c r="G15" t="str">
        <f>IF(ISNUMBER(INDEX(Haver_Q!$B$1:$BD$1000,MATCH(data!$A15,Haver_Q!$B$1:$B$1000,0),MATCH(data!G$1,Haver_Q!$B$1:$BD$1,0))),100*INDEX(Haver_Q!$B$1:$BD$1000,MATCH(data!$A15,Haver_Q!$B$1:$B$1000,0),MATCH(data!G$1,Haver_Q!$B$1:$BD$1,0)),"na")</f>
        <v>na</v>
      </c>
      <c r="H15" t="str">
        <f>IF(ISNUMBER(INDEX(Haver_Q!$B$1:$BD$1000,MATCH(data!$A15,Haver_Q!$B$1:$B$1000,0),MATCH(data!H$1,Haver_Q!$B$1:$BD$1,0))),100*INDEX(Haver_Q!$B$1:$BD$1000,MATCH(data!$A15,Haver_Q!$B$1:$B$1000,0),MATCH(data!H$1,Haver_Q!$B$1:$BD$1,0)),"na")</f>
        <v>na</v>
      </c>
      <c r="I15" s="3">
        <f>IF(ISNUMBER(Bloomberg_m!C31),Bloomberg_m!C31,"na")</f>
        <v>1479</v>
      </c>
      <c r="J15" s="3" t="str">
        <f>IF(ISNUMBER(Bloomberg_m!D31),Bloomberg_m!D31,"na")</f>
        <v>na</v>
      </c>
      <c r="K15" s="3" t="str">
        <f>IF(ISNUMBER(Bloomberg_m!E31),Bloomberg_m!E31,"na")</f>
        <v>na</v>
      </c>
      <c r="L15" s="3">
        <f>IF(ISNUMBER(Bloomberg_m!L31),Bloomberg_m!L31,"na")</f>
        <v>29.62</v>
      </c>
      <c r="M15" t="str">
        <f>IF(ISNUMBER(INDEX(Haver_M!$B$1:$ZN$1000,MATCH(data!$A15,Haver_M!$B$1:$B$1000,0),MATCH(data!M$1,Haver_M!$B$1:$ZN$1,0))),INDEX(Haver_M!$B$1:$ZN$1000,MATCH(data!$A15,Haver_M!$B$1:$B$1000,0),MATCH(data!M$1,Haver_M!$B$1:$ZN$1,0)),"na")</f>
        <v>na</v>
      </c>
      <c r="N15" t="str">
        <f>IF(ISNUMBER(INDEX(Haver_M!$B$1:$ZN$1000,MATCH(data!$A15,Haver_M!$B$1:$B$1000,0),MATCH(data!N$1,Haver_M!$B$1:$ZN$1,0))),INDEX(Haver_M!$B$1:$ZN$1000,MATCH(data!$A15,Haver_M!$B$1:$B$1000,0),MATCH(data!N$1,Haver_M!$B$1:$ZN$1,0)),"na")</f>
        <v>na</v>
      </c>
      <c r="O15">
        <f>IF(ISNUMBER(INDEX(Haver_M!$B$1:$ZN$1000,MATCH(data!$A15,Haver_M!$B$1:$B$1000,0),MATCH(data!O$1,Haver_M!$B$1:$ZN$1,0))),INDEX(Haver_M!$B$1:$ZN$1000,MATCH(data!$A15,Haver_M!$B$1:$B$1000,0),MATCH(data!O$1,Haver_M!$B$1:$ZN$1,0)),"na")</f>
        <v>118.65244</v>
      </c>
      <c r="P15">
        <f>IF(ISNUMBER(INDEX(Haver_M!$B$1:$ZN$1000,MATCH(data!$A15,Haver_M!$B$1:$B$1000,0),MATCH(data!P$1,Haver_M!$B$1:$ZN$1,0))),INDEX(Haver_M!$B$1:$ZN$1000,MATCH(data!$A15,Haver_M!$B$1:$B$1000,0),MATCH(data!P$1,Haver_M!$B$1:$ZN$1,0)),"na")</f>
        <v>48.238300000000002</v>
      </c>
      <c r="Q15">
        <f>IF(ISNUMBER(INDEX(Haver_M!$B$1:$ZN$1000,MATCH(data!$A15,Haver_M!$B$1:$B$1000,0),MATCH(data!Q$1,Haver_M!$B$1:$ZN$1,0))),INDEX(Haver_M!$B$1:$ZN$1000,MATCH(data!$A15,Haver_M!$B$1:$B$1000,0),MATCH(data!Q$1,Haver_M!$B$1:$ZN$1,0)),"na")</f>
        <v>52.725999999999999</v>
      </c>
      <c r="R15">
        <f>IF(ISNUMBER(INDEX(Haver_M!$B$1:$ZN$1000,MATCH(data!$A15,Haver_M!$B$1:$B$1000,0),MATCH(data!R$1,Haver_M!$B$1:$ZN$1,0))),INDEX(Haver_M!$B$1:$ZN$1000,MATCH(data!$A15,Haver_M!$B$1:$B$1000,0),MATCH(data!R$1,Haver_M!$B$1:$ZN$1,0)),"na")</f>
        <v>89.515799999999999</v>
      </c>
      <c r="S15">
        <f>IF(ISNUMBER(INDEX(Haver_M!$B$1:$ZN$1000,MATCH(data!$A15,Haver_M!$B$1:$B$1000,0),MATCH(data!S$1,Haver_M!$B$1:$ZN$1,0))),INDEX(Haver_M!$B$1:$ZN$1000,MATCH(data!$A15,Haver_M!$B$1:$B$1000,0),MATCH(data!S$1,Haver_M!$B$1:$ZN$1,0)),"na")</f>
        <v>107.18770000000001</v>
      </c>
      <c r="T15">
        <f>IF(ISNUMBER(INDEX(Haver_M!$B$1:$ZN$1000,MATCH(data!$A15,Haver_M!$B$1:$B$1000,0),MATCH(data!T$1,Haver_M!$B$1:$ZN$1,0))),INDEX(Haver_M!$B$1:$ZN$1000,MATCH(data!$A15,Haver_M!$B$1:$B$1000,0),MATCH(data!T$1,Haver_M!$B$1:$ZN$1,0)),"na")</f>
        <v>56.855699999999999</v>
      </c>
      <c r="U15">
        <f>IF(ISNUMBER(INDEX(Haver_M!$B$1:$ZN$1000,MATCH(data!$A15,Haver_M!$B$1:$B$1000,0),MATCH(data!U$1,Haver_M!$B$1:$ZN$1,0))),INDEX(Haver_M!$B$1:$ZN$1000,MATCH(data!$A15,Haver_M!$B$1:$B$1000,0),MATCH(data!U$1,Haver_M!$B$1:$ZN$1,0)),"na")</f>
        <v>77.095600000000005</v>
      </c>
      <c r="V15">
        <f>IF(ISNUMBER(INDEX(Haver_M!$B$1:$ZN$1000,MATCH(data!$A15,Haver_M!$B$1:$B$1000,0),MATCH(data!V$1,Haver_M!$B$1:$ZN$1,0))),INDEX(Haver_M!$B$1:$ZN$1000,MATCH(data!$A15,Haver_M!$B$1:$B$1000,0),MATCH(data!V$1,Haver_M!$B$1:$ZN$1,0)),"na")</f>
        <v>91.269800000000004</v>
      </c>
      <c r="W15">
        <f>IF(ISNUMBER(INDEX(Haver_M!$B$1:$ZN$1000,MATCH(data!$A15,Haver_M!$B$1:$B$1000,0),MATCH(data!W$1,Haver_M!$B$1:$ZN$1,0))),INDEX(Haver_M!$B$1:$ZN$1000,MATCH(data!$A15,Haver_M!$B$1:$B$1000,0),MATCH(data!W$1,Haver_M!$B$1:$ZN$1,0)),"na")</f>
        <v>3.15</v>
      </c>
      <c r="X15" t="str">
        <f>IF(ISNUMBER(INDEX(Haver_M!$B$1:$ZN$1000,MATCH(data!$A15,Haver_M!$B$1:$B$1000,0),MATCH(data!X$1,Haver_M!$B$1:$ZN$1,0))),INDEX(Haver_M!$B$1:$ZN$1000,MATCH(data!$A15,Haver_M!$B$1:$B$1000,0),MATCH(data!X$1,Haver_M!$B$1:$ZN$1,0)),"na")</f>
        <v>na</v>
      </c>
      <c r="Y15">
        <f>IF(ISNUMBER(INDEX(Haver_M!$B$1:$ZN$1000,MATCH(data!$A15,Haver_M!$B$1:$B$1000,0),MATCH(data!Y$1,Haver_M!$B$1:$ZN$1,0))),INDEX(Haver_M!$B$1:$ZN$1000,MATCH(data!$A15,Haver_M!$B$1:$B$1000,0),MATCH(data!Y$1,Haver_M!$B$1:$ZN$1,0)),"na")</f>
        <v>99.49</v>
      </c>
      <c r="Z15">
        <f>IF(ISNUMBER(INDEX(Haver_M!$B$1:$ZN$1000,MATCH(data!$A15,Haver_M!$B$1:$B$1000,0),MATCH(data!Z$1,Haver_M!$B$1:$ZN$1,0))),INDEX(Haver_M!$B$1:$ZN$1000,MATCH(data!$A15,Haver_M!$B$1:$B$1000,0),MATCH(data!Z$1,Haver_M!$B$1:$ZN$1,0)),"na")</f>
        <v>80.257900000000006</v>
      </c>
      <c r="AA15" t="str">
        <f>IF(ISNUMBER(INDEX(Haver_M!$B$1:$ZN$1000,MATCH(data!$A15,Haver_M!$B$1:$B$1000,0),MATCH(data!AA$1,Haver_M!$B$1:$ZN$1,0))),INDEX(Haver_M!$B$1:$ZN$1000,MATCH(data!$A15,Haver_M!$B$1:$B$1000,0),MATCH(data!AA$1,Haver_M!$B$1:$ZN$1,0)),"na")</f>
        <v>na</v>
      </c>
      <c r="AB15">
        <f>IF(ISNUMBER(INDEX(Haver_M!$B$1:$ZN$1000,MATCH(data!$A15,Haver_M!$B$1:$B$1000,0),MATCH(data!AB$1,Haver_M!$B$1:$ZN$1,0))),INDEX(Haver_M!$B$1:$ZN$1000,MATCH(data!$A15,Haver_M!$B$1:$B$1000,0),MATCH(data!AB$1,Haver_M!$B$1:$ZN$1,0)),"na")</f>
        <v>13631</v>
      </c>
      <c r="AC15">
        <f>IF(ISNUMBER(INDEX(Haver_M!$B$1:$ZN$1000,MATCH(data!$A15,Haver_M!$B$1:$B$1000,0),MATCH(data!AC$1,Haver_M!$B$1:$ZN$1,0))),INDEX(Haver_M!$B$1:$ZN$1000,MATCH(data!$A15,Haver_M!$B$1:$B$1000,0),MATCH(data!AC$1,Haver_M!$B$1:$ZN$1,0)),"na")</f>
        <v>14363.3</v>
      </c>
      <c r="AD15">
        <f>IF(ISNUMBER(INDEX(Haver_M!$B$1:$ZN$1000,MATCH(data!$A15,Haver_M!$B$1:$B$1000,0),MATCH(data!AD$1,Haver_M!$B$1:$ZN$1,0))),INDEX(Haver_M!$B$1:$ZN$1000,MATCH(data!$A15,Haver_M!$B$1:$B$1000,0),MATCH(data!AD$1,Haver_M!$B$1:$ZN$1,0)),"na")</f>
        <v>101.25</v>
      </c>
      <c r="AE15" t="str">
        <f>IF(ISNUMBER(INDEX(Haver_M!$B$1:$ZN$1000,MATCH(data!$A15,Haver_M!$B$1:$B$1000,0),MATCH(data!AE$1,Haver_M!$B$1:$ZN$1,0))),INDEX(Haver_M!$B$1:$ZN$1000,MATCH(data!$A15,Haver_M!$B$1:$B$1000,0),MATCH(data!AE$1,Haver_M!$B$1:$ZN$1,0)),"na")</f>
        <v>na</v>
      </c>
      <c r="AF15" t="str">
        <f>IF(ISNUMBER(INDEX(Haver_M!$B$1:$ZN$1000,MATCH(data!$A15,Haver_M!$B$1:$B$1000,0),MATCH(data!AF$1,Haver_M!$B$1:$ZN$1,0))),INDEX(Haver_M!$B$1:$ZN$1000,MATCH(data!$A15,Haver_M!$B$1:$B$1000,0),MATCH(data!AF$1,Haver_M!$B$1:$ZN$1,0)),"na")</f>
        <v>na</v>
      </c>
      <c r="AG15" t="str">
        <f>IF(ISNUMBER(INDEX(Haver_M!$B$1:$ZN$1000,MATCH(data!$A15,Haver_M!$B$1:$B$1000,0),MATCH(data!AG$1,Haver_M!$B$1:$ZN$1,0))),INDEX(Haver_M!$B$1:$ZN$1000,MATCH(data!$A15,Haver_M!$B$1:$B$1000,0),MATCH(data!AG$1,Haver_M!$B$1:$ZN$1,0)),"na")</f>
        <v>na</v>
      </c>
      <c r="AH15" t="str">
        <f>IF(ISNUMBER(INDEX(Haver_M!$B$1:$ZN$1000,MATCH(data!$A15,Haver_M!$B$1:$B$1000,0),MATCH(data!AH$1,Haver_M!$B$1:$ZN$1,0))),INDEX(Haver_M!$B$1:$ZN$1000,MATCH(data!$A15,Haver_M!$B$1:$B$1000,0),MATCH(data!AH$1,Haver_M!$B$1:$ZN$1,0)),"na")</f>
        <v>na</v>
      </c>
      <c r="AI15" t="str">
        <f>IF(ISNUMBER(INDEX(Haver_M!$B$1:$ZN$1000,MATCH(data!$A15,Haver_M!$B$1:$B$1000,0),MATCH(data!AI$1,Haver_M!$B$1:$ZN$1,0))),INDEX(Haver_M!$B$1:$ZN$1000,MATCH(data!$A15,Haver_M!$B$1:$B$1000,0),MATCH(data!AI$1,Haver_M!$B$1:$ZN$1,0)),"na")</f>
        <v>na</v>
      </c>
      <c r="AJ15" t="str">
        <f>IF(ISNUMBER(INDEX(Haver_M!$B$1:$ZN$1000,MATCH(data!$A15,Haver_M!$B$1:$B$1000,0),MATCH(data!AJ$1,Haver_M!$B$1:$ZN$1,0))),INDEX(Haver_M!$B$1:$ZN$1000,MATCH(data!$A15,Haver_M!$B$1:$B$1000,0),MATCH(data!AJ$1,Haver_M!$B$1:$ZN$1,0)),"na")</f>
        <v>na</v>
      </c>
      <c r="AK15" t="str">
        <f>IF(ISNUMBER(INDEX(Haver_M!$B$1:$ZN$1000,MATCH(data!$A15,Haver_M!$B$1:$B$1000,0),MATCH(data!AK$1,Haver_M!$B$1:$ZN$1,0))),INDEX(Haver_M!$B$1:$ZN$1000,MATCH(data!$A15,Haver_M!$B$1:$B$1000,0),MATCH(data!AK$1,Haver_M!$B$1:$ZN$1,0)),"na")</f>
        <v>na</v>
      </c>
      <c r="AL15" t="str">
        <f>IF(ISNUMBER(INDEX(Haver_M!$B$1:$ZN$1000,MATCH(data!$A15,Haver_M!$B$1:$B$1000,0),MATCH(data!AL$1,Haver_M!$B$1:$ZN$1,0))),INDEX(Haver_M!$B$1:$ZN$1000,MATCH(data!$A15,Haver_M!$B$1:$B$1000,0),MATCH(data!AL$1,Haver_M!$B$1:$ZN$1,0)),"na")</f>
        <v>na</v>
      </c>
      <c r="AM15" t="str">
        <f>IF(ISNUMBER(INDEX(Haver_M!$B$1:$ZN$1000,MATCH(data!$A15,Haver_M!$B$1:$B$1000,0),MATCH(data!AM$1,Haver_M!$B$1:$ZN$1,0))),INDEX(Haver_M!$B$1:$ZN$1000,MATCH(data!$A15,Haver_M!$B$1:$B$1000,0),MATCH(data!AM$1,Haver_M!$B$1:$ZN$1,0)),"na")</f>
        <v>na</v>
      </c>
      <c r="AN15" t="str">
        <f>IF(ISNUMBER(INDEX(Haver_M!$B$1:$ZN$1000,MATCH(data!$A15,Haver_M!$B$1:$B$1000,0),MATCH(data!AN$1,Haver_M!$B$1:$ZN$1,0))),INDEX(Haver_M!$B$1:$ZN$1000,MATCH(data!$A15,Haver_M!$B$1:$B$1000,0),MATCH(data!AN$1,Haver_M!$B$1:$ZN$1,0)),"na")</f>
        <v>na</v>
      </c>
      <c r="AO15" t="str">
        <f>IF(ISNUMBER(INDEX(Haver_M!$B$1:$ZN$1000,MATCH(data!$A15,Haver_M!$B$1:$B$1000,0),MATCH(data!AO$1,Haver_M!$B$1:$ZN$1,0))),INDEX(Haver_M!$B$1:$ZN$1000,MATCH(data!$A15,Haver_M!$B$1:$B$1000,0),MATCH(data!AO$1,Haver_M!$B$1:$ZN$1,0)),"na")</f>
        <v>na</v>
      </c>
      <c r="AP15" t="str">
        <f>IF(ISNUMBER(INDEX(Haver_M!$B$1:$ZN$1000,MATCH(data!$A15,Haver_M!$B$1:$B$1000,0),MATCH(data!AP$1,Haver_M!$B$1:$ZN$1,0))),INDEX(Haver_M!$B$1:$ZN$1000,MATCH(data!$A15,Haver_M!$B$1:$B$1000,0),MATCH(data!AP$1,Haver_M!$B$1:$ZN$1,0)),"na")</f>
        <v>na</v>
      </c>
      <c r="AQ15" t="str">
        <f>IF(ISNUMBER(INDEX(Haver_M!$B$1:$ZN$1000,MATCH(data!$A15,Haver_M!$B$1:$B$1000,0),MATCH(data!AQ$1,Haver_M!$B$1:$ZN$1,0))),INDEX(Haver_M!$B$1:$ZN$1000,MATCH(data!$A15,Haver_M!$B$1:$B$1000,0),MATCH(data!AQ$1,Haver_M!$B$1:$ZN$1,0)),"na")</f>
        <v>na</v>
      </c>
      <c r="AR15" t="str">
        <f>IF(ISNUMBER(INDEX(Haver_M!$B$1:$ZN$1000,MATCH(data!$A15,Haver_M!$B$1:$B$1000,0),MATCH(data!AR$1,Haver_M!$B$1:$ZN$1,0))),INDEX(Haver_M!$B$1:$ZN$1000,MATCH(data!$A15,Haver_M!$B$1:$B$1000,0),MATCH(data!AR$1,Haver_M!$B$1:$ZN$1,0)),"na")</f>
        <v>na</v>
      </c>
      <c r="AS15">
        <f>IF(ISNUMBER(INDEX(Haver_M!$B$1:$ZN$1000,MATCH(data!$A15,Haver_M!$B$1:$B$1000,0),MATCH(data!AS$1,Haver_M!$B$1:$ZN$1,0))),INDEX(Haver_M!$B$1:$ZN$1000,MATCH(data!$A15,Haver_M!$B$1:$B$1000,0),MATCH(data!AS$1,Haver_M!$B$1:$ZN$1,0)),"na")</f>
        <v>6276.83</v>
      </c>
      <c r="AT15">
        <f>IF(ISNUMBER(INDEX(Haver_M!$B$1:$ZN$1000,MATCH(data!$A15,Haver_M!$B$1:$B$1000,0),MATCH(data!AT$1,Haver_M!$B$1:$ZN$1,0))),INDEX(Haver_M!$B$1:$ZN$1000,MATCH(data!$A15,Haver_M!$B$1:$B$1000,0),MATCH(data!AT$1,Haver_M!$B$1:$ZN$1,0)),"na")</f>
        <v>79.123000000000005</v>
      </c>
      <c r="AU15">
        <f>IF(ISNUMBER(INDEX(Haver_M!$B$1:$ZN$1000,MATCH(data!$A15,Haver_M!$B$1:$B$1000,0),MATCH(data!AU$1,Haver_M!$B$1:$ZN$1,0))),INDEX(Haver_M!$B$1:$ZN$1000,MATCH(data!$A15,Haver_M!$B$1:$B$1000,0),MATCH(data!AU$1,Haver_M!$B$1:$ZN$1,0)),"na")</f>
        <v>79.570087000000001</v>
      </c>
      <c r="AV15">
        <f>IF(ISNUMBER(INDEX(Haver_M!$B$1:$ZN$1000,MATCH(data!$A15,Haver_M!$B$1:$B$1000,0),MATCH(data!AV$1,Haver_M!$B$1:$ZN$1,0))),INDEX(Haver_M!$B$1:$ZN$1000,MATCH(data!$A15,Haver_M!$B$1:$B$1000,0),MATCH(data!AV$1,Haver_M!$B$1:$ZN$1,0)),"na")</f>
        <v>72.5</v>
      </c>
      <c r="AW15">
        <f>IF(ISNUMBER(INDEX(Haver_M!$B$1:$ZN$1000,MATCH(data!$A15,Haver_M!$B$1:$B$1000,0),MATCH(data!AW$1,Haver_M!$B$1:$ZN$1,0))),INDEX(Haver_M!$B$1:$ZN$1000,MATCH(data!$A15,Haver_M!$B$1:$B$1000,0),MATCH(data!AW$1,Haver_M!$B$1:$ZN$1,0)),"na")</f>
        <v>723385.62448607211</v>
      </c>
      <c r="AX15">
        <f>IF(ISNUMBER(INDEX(Haver_M!$B$1:$ZN$1000,MATCH(data!$A15,Haver_M!$B$1:$B$1000,0),MATCH(data!AX$1,Haver_M!$B$1:$ZN$1,0))),INDEX(Haver_M!$B$1:$ZN$1000,MATCH(data!$A15,Haver_M!$B$1:$B$1000,0),MATCH(data!AX$1,Haver_M!$B$1:$ZN$1,0)),"na")</f>
        <v>3137</v>
      </c>
      <c r="AY15">
        <f>IF(ISNUMBER(INDEX(Haver_M!$B$1:$ZN$1000,MATCH(data!$A15,Haver_M!$B$1:$B$1000,0),MATCH(data!AY$1,Haver_M!$B$1:$ZN$1,0))),INDEX(Haver_M!$B$1:$ZN$1000,MATCH(data!$A15,Haver_M!$B$1:$B$1000,0),MATCH(data!AY$1,Haver_M!$B$1:$ZN$1,0)),"na")</f>
        <v>1759</v>
      </c>
      <c r="AZ15" t="str">
        <f>IF(ISNUMBER(INDEX(Haver_M!$B$1:$ZN$1000,MATCH(data!$A15,Haver_M!$B$1:$B$1000,0),MATCH(data!AZ$1,Haver_M!$B$1:$ZN$1,0))),INDEX(Haver_M!$B$1:$ZN$1000,MATCH(data!$A15,Haver_M!$B$1:$B$1000,0),MATCH(data!AZ$1,Haver_M!$B$1:$ZN$1,0)),"na")</f>
        <v>na</v>
      </c>
      <c r="BA15">
        <f>IF(ISNUMBER(INDEX(Haver_M!$B$1:$ZN$1000,MATCH(data!$A15,Haver_M!$B$1:$B$1000,0),MATCH(data!BA$1,Haver_M!$B$1:$ZN$1,0))),INDEX(Haver_M!$B$1:$ZN$1000,MATCH(data!$A15,Haver_M!$B$1:$B$1000,0),MATCH(data!BA$1,Haver_M!$B$1:$ZN$1,0)),"na")</f>
        <v>103.71030003282682</v>
      </c>
      <c r="BB15" t="str">
        <f>IF(ISNUMBER(INDEX(Haver_M!$B$1:$ZN$1000,MATCH(data!$A15,Haver_M!$B$1:$B$1000,0),MATCH(data!BB$1,Haver_M!$B$1:$ZN$1,0))),INDEX(Haver_M!$B$1:$ZN$1000,MATCH(data!$A15,Haver_M!$B$1:$B$1000,0),MATCH(data!BB$1,Haver_M!$B$1:$ZN$1,0)),"")</f>
        <v/>
      </c>
    </row>
    <row r="16" spans="1:54" x14ac:dyDescent="0.25">
      <c r="A16" s="2">
        <v>36981</v>
      </c>
      <c r="B16">
        <f>IF(ISNUMBER(INDEX(Haver_Q!$B$1:$BD$1000,MATCH(data!$A16,Haver_Q!$B$1:$B$1000,0),MATCH(data!B$1,Haver_Q!$B$1:$BD$1,0))),100*INDEX(Haver_Q!$B$1:$BD$1000,MATCH(data!$A16,Haver_Q!$B$1:$B$1000,0),MATCH(data!B$1,Haver_Q!$B$1:$BD$1,0)),"na")</f>
        <v>0.27616649816875061</v>
      </c>
      <c r="C16">
        <f>IF(ISNUMBER(INDEX(Haver_Q!$B$1:$BD$1000,MATCH(data!$A16,Haver_Q!$B$1:$B$1000,0),MATCH(data!C$1,Haver_Q!$B$1:$BD$1,0))),100*INDEX(Haver_Q!$B$1:$BD$1000,MATCH(data!$A16,Haver_Q!$B$1:$B$1000,0),MATCH(data!C$1,Haver_Q!$B$1:$BD$1,0)),"na")</f>
        <v>-9.1291940038500599</v>
      </c>
      <c r="D16">
        <f>IF(ISNUMBER(INDEX(Haver_Q!$B$1:$BD$1000,MATCH(data!$A16,Haver_Q!$B$1:$B$1000,0),MATCH(data!D$1,Haver_Q!$B$1:$BD$1,0))),100*INDEX(Haver_Q!$B$1:$BD$1000,MATCH(data!$A16,Haver_Q!$B$1:$B$1000,0),MATCH(data!D$1,Haver_Q!$B$1:$BD$1,0)),"na")</f>
        <v>0.20262782892135345</v>
      </c>
      <c r="E16">
        <f>IF(ISNUMBER(INDEX(Haver_Q!$B$1:$BD$1000,MATCH(data!$A16,Haver_Q!$B$1:$B$1000,0),MATCH(data!E$1,Haver_Q!$B$1:$BD$1,0))),100*INDEX(Haver_Q!$B$1:$BD$1000,MATCH(data!$A16,Haver_Q!$B$1:$B$1000,0),MATCH(data!E$1,Haver_Q!$B$1:$BD$1,0)),"na")</f>
        <v>-15.457790999630483</v>
      </c>
      <c r="F16">
        <f>IF(ISNUMBER(INDEX(Haver_Q!$B$1:$BD$1000,MATCH(data!$A16,Haver_Q!$B$1:$B$1000,0),MATCH(data!F$1,Haver_Q!$B$1:$BD$1,0))),100*INDEX(Haver_Q!$B$1:$BD$1000,MATCH(data!$A16,Haver_Q!$B$1:$B$1000,0),MATCH(data!F$1,Haver_Q!$B$1:$BD$1,0)),"na")</f>
        <v>-6.2618243969648768</v>
      </c>
      <c r="G16">
        <f>IF(ISNUMBER(INDEX(Haver_Q!$B$1:$BD$1000,MATCH(data!$A16,Haver_Q!$B$1:$B$1000,0),MATCH(data!G$1,Haver_Q!$B$1:$BD$1,0))),100*INDEX(Haver_Q!$B$1:$BD$1000,MATCH(data!$A16,Haver_Q!$B$1:$B$1000,0),MATCH(data!G$1,Haver_Q!$B$1:$BD$1,0)),"na")</f>
        <v>-8.9709199737056053</v>
      </c>
      <c r="H16">
        <f>IF(ISNUMBER(INDEX(Haver_Q!$B$1:$BD$1000,MATCH(data!$A16,Haver_Q!$B$1:$B$1000,0),MATCH(data!H$1,Haver_Q!$B$1:$BD$1,0))),100*INDEX(Haver_Q!$B$1:$BD$1000,MATCH(data!$A16,Haver_Q!$B$1:$B$1000,0),MATCH(data!H$1,Haver_Q!$B$1:$BD$1,0)),"na")</f>
        <v>182.86258170815333</v>
      </c>
      <c r="I16" s="3">
        <f>IF(ISNUMBER(Bloomberg_m!C32),Bloomberg_m!C32,"na")</f>
        <v>1502</v>
      </c>
      <c r="J16" s="3" t="str">
        <f>IF(ISNUMBER(Bloomberg_m!D32),Bloomberg_m!D32,"na")</f>
        <v>na</v>
      </c>
      <c r="K16" s="3" t="str">
        <f>IF(ISNUMBER(Bloomberg_m!E32),Bloomberg_m!E32,"na")</f>
        <v>na</v>
      </c>
      <c r="L16" s="3">
        <f>IF(ISNUMBER(Bloomberg_m!L32),Bloomberg_m!L32,"na")</f>
        <v>27.24</v>
      </c>
      <c r="M16" t="str">
        <f>IF(ISNUMBER(INDEX(Haver_M!$B$1:$ZN$1000,MATCH(data!$A16,Haver_M!$B$1:$B$1000,0),MATCH(data!M$1,Haver_M!$B$1:$ZN$1,0))),INDEX(Haver_M!$B$1:$ZN$1000,MATCH(data!$A16,Haver_M!$B$1:$B$1000,0),MATCH(data!M$1,Haver_M!$B$1:$ZN$1,0)),"na")</f>
        <v>na</v>
      </c>
      <c r="N16" t="str">
        <f>IF(ISNUMBER(INDEX(Haver_M!$B$1:$ZN$1000,MATCH(data!$A16,Haver_M!$B$1:$B$1000,0),MATCH(data!N$1,Haver_M!$B$1:$ZN$1,0))),INDEX(Haver_M!$B$1:$ZN$1000,MATCH(data!$A16,Haver_M!$B$1:$B$1000,0),MATCH(data!N$1,Haver_M!$B$1:$ZN$1,0)),"na")</f>
        <v>na</v>
      </c>
      <c r="O16">
        <f>IF(ISNUMBER(INDEX(Haver_M!$B$1:$ZN$1000,MATCH(data!$A16,Haver_M!$B$1:$B$1000,0),MATCH(data!O$1,Haver_M!$B$1:$ZN$1,0))),INDEX(Haver_M!$B$1:$ZN$1000,MATCH(data!$A16,Haver_M!$B$1:$B$1000,0),MATCH(data!O$1,Haver_M!$B$1:$ZN$1,0)),"na")</f>
        <v>121.48672000000001</v>
      </c>
      <c r="P16">
        <f>IF(ISNUMBER(INDEX(Haver_M!$B$1:$ZN$1000,MATCH(data!$A16,Haver_M!$B$1:$B$1000,0),MATCH(data!P$1,Haver_M!$B$1:$ZN$1,0))),INDEX(Haver_M!$B$1:$ZN$1000,MATCH(data!$A16,Haver_M!$B$1:$B$1000,0),MATCH(data!P$1,Haver_M!$B$1:$ZN$1,0)),"na")</f>
        <v>48.594799999999999</v>
      </c>
      <c r="Q16">
        <f>IF(ISNUMBER(INDEX(Haver_M!$B$1:$ZN$1000,MATCH(data!$A16,Haver_M!$B$1:$B$1000,0),MATCH(data!Q$1,Haver_M!$B$1:$ZN$1,0))),INDEX(Haver_M!$B$1:$ZN$1000,MATCH(data!$A16,Haver_M!$B$1:$B$1000,0),MATCH(data!Q$1,Haver_M!$B$1:$ZN$1,0)),"na")</f>
        <v>52.999099999999999</v>
      </c>
      <c r="R16">
        <f>IF(ISNUMBER(INDEX(Haver_M!$B$1:$ZN$1000,MATCH(data!$A16,Haver_M!$B$1:$B$1000,0),MATCH(data!R$1,Haver_M!$B$1:$ZN$1,0))),INDEX(Haver_M!$B$1:$ZN$1000,MATCH(data!$A16,Haver_M!$B$1:$B$1000,0),MATCH(data!R$1,Haver_M!$B$1:$ZN$1,0)),"na")</f>
        <v>89.120199999999997</v>
      </c>
      <c r="S16">
        <f>IF(ISNUMBER(INDEX(Haver_M!$B$1:$ZN$1000,MATCH(data!$A16,Haver_M!$B$1:$B$1000,0),MATCH(data!S$1,Haver_M!$B$1:$ZN$1,0))),INDEX(Haver_M!$B$1:$ZN$1000,MATCH(data!$A16,Haver_M!$B$1:$B$1000,0),MATCH(data!S$1,Haver_M!$B$1:$ZN$1,0)),"na")</f>
        <v>105.9494</v>
      </c>
      <c r="T16">
        <f>IF(ISNUMBER(INDEX(Haver_M!$B$1:$ZN$1000,MATCH(data!$A16,Haver_M!$B$1:$B$1000,0),MATCH(data!T$1,Haver_M!$B$1:$ZN$1,0))),INDEX(Haver_M!$B$1:$ZN$1000,MATCH(data!$A16,Haver_M!$B$1:$B$1000,0),MATCH(data!T$1,Haver_M!$B$1:$ZN$1,0)),"na")</f>
        <v>57.071399999999997</v>
      </c>
      <c r="U16">
        <f>IF(ISNUMBER(INDEX(Haver_M!$B$1:$ZN$1000,MATCH(data!$A16,Haver_M!$B$1:$B$1000,0),MATCH(data!U$1,Haver_M!$B$1:$ZN$1,0))),INDEX(Haver_M!$B$1:$ZN$1000,MATCH(data!$A16,Haver_M!$B$1:$B$1000,0),MATCH(data!U$1,Haver_M!$B$1:$ZN$1,0)),"na")</f>
        <v>76.687799999999996</v>
      </c>
      <c r="V16">
        <f>IF(ISNUMBER(INDEX(Haver_M!$B$1:$ZN$1000,MATCH(data!$A16,Haver_M!$B$1:$B$1000,0),MATCH(data!V$1,Haver_M!$B$1:$ZN$1,0))),INDEX(Haver_M!$B$1:$ZN$1000,MATCH(data!$A16,Haver_M!$B$1:$B$1000,0),MATCH(data!V$1,Haver_M!$B$1:$ZN$1,0)),"na")</f>
        <v>90.156999999999996</v>
      </c>
      <c r="W16">
        <f>IF(ISNUMBER(INDEX(Haver_M!$B$1:$ZN$1000,MATCH(data!$A16,Haver_M!$B$1:$B$1000,0),MATCH(data!W$1,Haver_M!$B$1:$ZN$1,0))),INDEX(Haver_M!$B$1:$ZN$1000,MATCH(data!$A16,Haver_M!$B$1:$B$1000,0),MATCH(data!W$1,Haver_M!$B$1:$ZN$1,0)),"na")</f>
        <v>2.66</v>
      </c>
      <c r="X16" t="str">
        <f>IF(ISNUMBER(INDEX(Haver_M!$B$1:$ZN$1000,MATCH(data!$A16,Haver_M!$B$1:$B$1000,0),MATCH(data!X$1,Haver_M!$B$1:$ZN$1,0))),INDEX(Haver_M!$B$1:$ZN$1000,MATCH(data!$A16,Haver_M!$B$1:$B$1000,0),MATCH(data!X$1,Haver_M!$B$1:$ZN$1,0)),"na")</f>
        <v>na</v>
      </c>
      <c r="Y16">
        <f>IF(ISNUMBER(INDEX(Haver_M!$B$1:$ZN$1000,MATCH(data!$A16,Haver_M!$B$1:$B$1000,0),MATCH(data!Y$1,Haver_M!$B$1:$ZN$1,0))),INDEX(Haver_M!$B$1:$ZN$1000,MATCH(data!$A16,Haver_M!$B$1:$B$1000,0),MATCH(data!Y$1,Haver_M!$B$1:$ZN$1,0)),"na")</f>
        <v>99.41</v>
      </c>
      <c r="Z16">
        <f>IF(ISNUMBER(INDEX(Haver_M!$B$1:$ZN$1000,MATCH(data!$A16,Haver_M!$B$1:$B$1000,0),MATCH(data!Z$1,Haver_M!$B$1:$ZN$1,0))),INDEX(Haver_M!$B$1:$ZN$1000,MATCH(data!$A16,Haver_M!$B$1:$B$1000,0),MATCH(data!Z$1,Haver_M!$B$1:$ZN$1,0)),"na")</f>
        <v>80.996499999999997</v>
      </c>
      <c r="AA16" t="str">
        <f>IF(ISNUMBER(INDEX(Haver_M!$B$1:$ZN$1000,MATCH(data!$A16,Haver_M!$B$1:$B$1000,0),MATCH(data!AA$1,Haver_M!$B$1:$ZN$1,0))),INDEX(Haver_M!$B$1:$ZN$1000,MATCH(data!$A16,Haver_M!$B$1:$B$1000,0),MATCH(data!AA$1,Haver_M!$B$1:$ZN$1,0)),"na")</f>
        <v>na</v>
      </c>
      <c r="AB16">
        <f>IF(ISNUMBER(INDEX(Haver_M!$B$1:$ZN$1000,MATCH(data!$A16,Haver_M!$B$1:$B$1000,0),MATCH(data!AB$1,Haver_M!$B$1:$ZN$1,0))),INDEX(Haver_M!$B$1:$ZN$1000,MATCH(data!$A16,Haver_M!$B$1:$B$1000,0),MATCH(data!AB$1,Haver_M!$B$1:$ZN$1,0)),"na")</f>
        <v>13987.5</v>
      </c>
      <c r="AC16">
        <f>IF(ISNUMBER(INDEX(Haver_M!$B$1:$ZN$1000,MATCH(data!$A16,Haver_M!$B$1:$B$1000,0),MATCH(data!AC$1,Haver_M!$B$1:$ZN$1,0))),INDEX(Haver_M!$B$1:$ZN$1000,MATCH(data!$A16,Haver_M!$B$1:$B$1000,0),MATCH(data!AC$1,Haver_M!$B$1:$ZN$1,0)),"na")</f>
        <v>14776.7</v>
      </c>
      <c r="AD16">
        <f>IF(ISNUMBER(INDEX(Haver_M!$B$1:$ZN$1000,MATCH(data!$A16,Haver_M!$B$1:$B$1000,0),MATCH(data!AD$1,Haver_M!$B$1:$ZN$1,0))),INDEX(Haver_M!$B$1:$ZN$1000,MATCH(data!$A16,Haver_M!$B$1:$B$1000,0),MATCH(data!AD$1,Haver_M!$B$1:$ZN$1,0)),"na")</f>
        <v>101.06</v>
      </c>
      <c r="AE16" t="str">
        <f>IF(ISNUMBER(INDEX(Haver_M!$B$1:$ZN$1000,MATCH(data!$A16,Haver_M!$B$1:$B$1000,0),MATCH(data!AE$1,Haver_M!$B$1:$ZN$1,0))),INDEX(Haver_M!$B$1:$ZN$1000,MATCH(data!$A16,Haver_M!$B$1:$B$1000,0),MATCH(data!AE$1,Haver_M!$B$1:$ZN$1,0)),"na")</f>
        <v>na</v>
      </c>
      <c r="AF16" t="str">
        <f>IF(ISNUMBER(INDEX(Haver_M!$B$1:$ZN$1000,MATCH(data!$A16,Haver_M!$B$1:$B$1000,0),MATCH(data!AF$1,Haver_M!$B$1:$ZN$1,0))),INDEX(Haver_M!$B$1:$ZN$1000,MATCH(data!$A16,Haver_M!$B$1:$B$1000,0),MATCH(data!AF$1,Haver_M!$B$1:$ZN$1,0)),"na")</f>
        <v>na</v>
      </c>
      <c r="AG16" t="str">
        <f>IF(ISNUMBER(INDEX(Haver_M!$B$1:$ZN$1000,MATCH(data!$A16,Haver_M!$B$1:$B$1000,0),MATCH(data!AG$1,Haver_M!$B$1:$ZN$1,0))),INDEX(Haver_M!$B$1:$ZN$1000,MATCH(data!$A16,Haver_M!$B$1:$B$1000,0),MATCH(data!AG$1,Haver_M!$B$1:$ZN$1,0)),"na")</f>
        <v>na</v>
      </c>
      <c r="AH16" t="str">
        <f>IF(ISNUMBER(INDEX(Haver_M!$B$1:$ZN$1000,MATCH(data!$A16,Haver_M!$B$1:$B$1000,0),MATCH(data!AH$1,Haver_M!$B$1:$ZN$1,0))),INDEX(Haver_M!$B$1:$ZN$1000,MATCH(data!$A16,Haver_M!$B$1:$B$1000,0),MATCH(data!AH$1,Haver_M!$B$1:$ZN$1,0)),"na")</f>
        <v>na</v>
      </c>
      <c r="AI16" t="str">
        <f>IF(ISNUMBER(INDEX(Haver_M!$B$1:$ZN$1000,MATCH(data!$A16,Haver_M!$B$1:$B$1000,0),MATCH(data!AI$1,Haver_M!$B$1:$ZN$1,0))),INDEX(Haver_M!$B$1:$ZN$1000,MATCH(data!$A16,Haver_M!$B$1:$B$1000,0),MATCH(data!AI$1,Haver_M!$B$1:$ZN$1,0)),"na")</f>
        <v>na</v>
      </c>
      <c r="AJ16" t="str">
        <f>IF(ISNUMBER(INDEX(Haver_M!$B$1:$ZN$1000,MATCH(data!$A16,Haver_M!$B$1:$B$1000,0),MATCH(data!AJ$1,Haver_M!$B$1:$ZN$1,0))),INDEX(Haver_M!$B$1:$ZN$1000,MATCH(data!$A16,Haver_M!$B$1:$B$1000,0),MATCH(data!AJ$1,Haver_M!$B$1:$ZN$1,0)),"na")</f>
        <v>na</v>
      </c>
      <c r="AK16" t="str">
        <f>IF(ISNUMBER(INDEX(Haver_M!$B$1:$ZN$1000,MATCH(data!$A16,Haver_M!$B$1:$B$1000,0),MATCH(data!AK$1,Haver_M!$B$1:$ZN$1,0))),INDEX(Haver_M!$B$1:$ZN$1000,MATCH(data!$A16,Haver_M!$B$1:$B$1000,0),MATCH(data!AK$1,Haver_M!$B$1:$ZN$1,0)),"na")</f>
        <v>na</v>
      </c>
      <c r="AL16" t="str">
        <f>IF(ISNUMBER(INDEX(Haver_M!$B$1:$ZN$1000,MATCH(data!$A16,Haver_M!$B$1:$B$1000,0),MATCH(data!AL$1,Haver_M!$B$1:$ZN$1,0))),INDEX(Haver_M!$B$1:$ZN$1000,MATCH(data!$A16,Haver_M!$B$1:$B$1000,0),MATCH(data!AL$1,Haver_M!$B$1:$ZN$1,0)),"na")</f>
        <v>na</v>
      </c>
      <c r="AM16" t="str">
        <f>IF(ISNUMBER(INDEX(Haver_M!$B$1:$ZN$1000,MATCH(data!$A16,Haver_M!$B$1:$B$1000,0),MATCH(data!AM$1,Haver_M!$B$1:$ZN$1,0))),INDEX(Haver_M!$B$1:$ZN$1000,MATCH(data!$A16,Haver_M!$B$1:$B$1000,0),MATCH(data!AM$1,Haver_M!$B$1:$ZN$1,0)),"na")</f>
        <v>na</v>
      </c>
      <c r="AN16" t="str">
        <f>IF(ISNUMBER(INDEX(Haver_M!$B$1:$ZN$1000,MATCH(data!$A16,Haver_M!$B$1:$B$1000,0),MATCH(data!AN$1,Haver_M!$B$1:$ZN$1,0))),INDEX(Haver_M!$B$1:$ZN$1000,MATCH(data!$A16,Haver_M!$B$1:$B$1000,0),MATCH(data!AN$1,Haver_M!$B$1:$ZN$1,0)),"na")</f>
        <v>na</v>
      </c>
      <c r="AO16" t="str">
        <f>IF(ISNUMBER(INDEX(Haver_M!$B$1:$ZN$1000,MATCH(data!$A16,Haver_M!$B$1:$B$1000,0),MATCH(data!AO$1,Haver_M!$B$1:$ZN$1,0))),INDEX(Haver_M!$B$1:$ZN$1000,MATCH(data!$A16,Haver_M!$B$1:$B$1000,0),MATCH(data!AO$1,Haver_M!$B$1:$ZN$1,0)),"na")</f>
        <v>na</v>
      </c>
      <c r="AP16" t="str">
        <f>IF(ISNUMBER(INDEX(Haver_M!$B$1:$ZN$1000,MATCH(data!$A16,Haver_M!$B$1:$B$1000,0),MATCH(data!AP$1,Haver_M!$B$1:$ZN$1,0))),INDEX(Haver_M!$B$1:$ZN$1000,MATCH(data!$A16,Haver_M!$B$1:$B$1000,0),MATCH(data!AP$1,Haver_M!$B$1:$ZN$1,0)),"na")</f>
        <v>na</v>
      </c>
      <c r="AQ16" t="str">
        <f>IF(ISNUMBER(INDEX(Haver_M!$B$1:$ZN$1000,MATCH(data!$A16,Haver_M!$B$1:$B$1000,0),MATCH(data!AQ$1,Haver_M!$B$1:$ZN$1,0))),INDEX(Haver_M!$B$1:$ZN$1000,MATCH(data!$A16,Haver_M!$B$1:$B$1000,0),MATCH(data!AQ$1,Haver_M!$B$1:$ZN$1,0)),"na")</f>
        <v>na</v>
      </c>
      <c r="AR16" t="str">
        <f>IF(ISNUMBER(INDEX(Haver_M!$B$1:$ZN$1000,MATCH(data!$A16,Haver_M!$B$1:$B$1000,0),MATCH(data!AR$1,Haver_M!$B$1:$ZN$1,0))),INDEX(Haver_M!$B$1:$ZN$1000,MATCH(data!$A16,Haver_M!$B$1:$B$1000,0),MATCH(data!AR$1,Haver_M!$B$1:$ZN$1,0)),"na")</f>
        <v>na</v>
      </c>
      <c r="AS16">
        <f>IF(ISNUMBER(INDEX(Haver_M!$B$1:$ZN$1000,MATCH(data!$A16,Haver_M!$B$1:$B$1000,0),MATCH(data!AS$1,Haver_M!$B$1:$ZN$1,0))),INDEX(Haver_M!$B$1:$ZN$1000,MATCH(data!$A16,Haver_M!$B$1:$B$1000,0),MATCH(data!AS$1,Haver_M!$B$1:$ZN$1,0)),"na")</f>
        <v>5926.31</v>
      </c>
      <c r="AT16">
        <f>IF(ISNUMBER(INDEX(Haver_M!$B$1:$ZN$1000,MATCH(data!$A16,Haver_M!$B$1:$B$1000,0),MATCH(data!AT$1,Haver_M!$B$1:$ZN$1,0))),INDEX(Haver_M!$B$1:$ZN$1000,MATCH(data!$A16,Haver_M!$B$1:$B$1000,0),MATCH(data!AT$1,Haver_M!$B$1:$ZN$1,0)),"na")</f>
        <v>79.447999999999993</v>
      </c>
      <c r="AU16">
        <f>IF(ISNUMBER(INDEX(Haver_M!$B$1:$ZN$1000,MATCH(data!$A16,Haver_M!$B$1:$B$1000,0),MATCH(data!AU$1,Haver_M!$B$1:$ZN$1,0))),INDEX(Haver_M!$B$1:$ZN$1000,MATCH(data!$A16,Haver_M!$B$1:$B$1000,0),MATCH(data!AU$1,Haver_M!$B$1:$ZN$1,0)),"na")</f>
        <v>79.525193000000002</v>
      </c>
      <c r="AV16">
        <f>IF(ISNUMBER(INDEX(Haver_M!$B$1:$ZN$1000,MATCH(data!$A16,Haver_M!$B$1:$B$1000,0),MATCH(data!AV$1,Haver_M!$B$1:$ZN$1,0))),INDEX(Haver_M!$B$1:$ZN$1000,MATCH(data!$A16,Haver_M!$B$1:$B$1000,0),MATCH(data!AV$1,Haver_M!$B$1:$ZN$1,0)),"na")</f>
        <v>71.2</v>
      </c>
      <c r="AW16">
        <f>IF(ISNUMBER(INDEX(Haver_M!$B$1:$ZN$1000,MATCH(data!$A16,Haver_M!$B$1:$B$1000,0),MATCH(data!AW$1,Haver_M!$B$1:$ZN$1,0))),INDEX(Haver_M!$B$1:$ZN$1000,MATCH(data!$A16,Haver_M!$B$1:$B$1000,0),MATCH(data!AW$1,Haver_M!$B$1:$ZN$1,0)),"na")</f>
        <v>728591.11810084223</v>
      </c>
      <c r="AX16">
        <f>IF(ISNUMBER(INDEX(Haver_M!$B$1:$ZN$1000,MATCH(data!$A16,Haver_M!$B$1:$B$1000,0),MATCH(data!AX$1,Haver_M!$B$1:$ZN$1,0))),INDEX(Haver_M!$B$1:$ZN$1000,MATCH(data!$A16,Haver_M!$B$1:$B$1000,0),MATCH(data!AX$1,Haver_M!$B$1:$ZN$1,0)),"na")</f>
        <v>3122</v>
      </c>
      <c r="AY16">
        <f>IF(ISNUMBER(INDEX(Haver_M!$B$1:$ZN$1000,MATCH(data!$A16,Haver_M!$B$1:$B$1000,0),MATCH(data!AY$1,Haver_M!$B$1:$ZN$1,0))),INDEX(Haver_M!$B$1:$ZN$1000,MATCH(data!$A16,Haver_M!$B$1:$B$1000,0),MATCH(data!AY$1,Haver_M!$B$1:$ZN$1,0)),"na")</f>
        <v>1757</v>
      </c>
      <c r="AZ16" t="str">
        <f>IF(ISNUMBER(INDEX(Haver_M!$B$1:$ZN$1000,MATCH(data!$A16,Haver_M!$B$1:$B$1000,0),MATCH(data!AZ$1,Haver_M!$B$1:$ZN$1,0))),INDEX(Haver_M!$B$1:$ZN$1000,MATCH(data!$A16,Haver_M!$B$1:$B$1000,0),MATCH(data!AZ$1,Haver_M!$B$1:$ZN$1,0)),"na")</f>
        <v>na</v>
      </c>
      <c r="BA16">
        <f>IF(ISNUMBER(INDEX(Haver_M!$B$1:$ZN$1000,MATCH(data!$A16,Haver_M!$B$1:$B$1000,0),MATCH(data!BA$1,Haver_M!$B$1:$ZN$1,0))),INDEX(Haver_M!$B$1:$ZN$1000,MATCH(data!$A16,Haver_M!$B$1:$B$1000,0),MATCH(data!BA$1,Haver_M!$B$1:$ZN$1,0)),"na")</f>
        <v>120.5149774110124</v>
      </c>
      <c r="BB16" t="str">
        <f>IF(ISNUMBER(INDEX(Haver_M!$B$1:$ZN$1000,MATCH(data!$A16,Haver_M!$B$1:$B$1000,0),MATCH(data!BB$1,Haver_M!$B$1:$ZN$1,0))),INDEX(Haver_M!$B$1:$ZN$1000,MATCH(data!$A16,Haver_M!$B$1:$B$1000,0),MATCH(data!BB$1,Haver_M!$B$1:$ZN$1,0)),"")</f>
        <v/>
      </c>
    </row>
    <row r="17" spans="1:54" x14ac:dyDescent="0.25">
      <c r="A17" s="2">
        <v>37011</v>
      </c>
      <c r="B17" t="str">
        <f>IF(ISNUMBER(INDEX(Haver_Q!$B$1:$BD$1000,MATCH(data!$A17,Haver_Q!$B$1:$B$1000,0),MATCH(data!B$1,Haver_Q!$B$1:$BD$1,0))),100*INDEX(Haver_Q!$B$1:$BD$1000,MATCH(data!$A17,Haver_Q!$B$1:$B$1000,0),MATCH(data!B$1,Haver_Q!$B$1:$BD$1,0)),"na")</f>
        <v>na</v>
      </c>
      <c r="C17" t="str">
        <f>IF(ISNUMBER(INDEX(Haver_Q!$B$1:$BD$1000,MATCH(data!$A17,Haver_Q!$B$1:$B$1000,0),MATCH(data!C$1,Haver_Q!$B$1:$BD$1,0))),100*INDEX(Haver_Q!$B$1:$BD$1000,MATCH(data!$A17,Haver_Q!$B$1:$B$1000,0),MATCH(data!C$1,Haver_Q!$B$1:$BD$1,0)),"na")</f>
        <v>na</v>
      </c>
      <c r="D17" t="str">
        <f>IF(ISNUMBER(INDEX(Haver_Q!$B$1:$BD$1000,MATCH(data!$A17,Haver_Q!$B$1:$B$1000,0),MATCH(data!D$1,Haver_Q!$B$1:$BD$1,0))),100*INDEX(Haver_Q!$B$1:$BD$1000,MATCH(data!$A17,Haver_Q!$B$1:$B$1000,0),MATCH(data!D$1,Haver_Q!$B$1:$BD$1,0)),"na")</f>
        <v>na</v>
      </c>
      <c r="E17" t="str">
        <f>IF(ISNUMBER(INDEX(Haver_Q!$B$1:$BD$1000,MATCH(data!$A17,Haver_Q!$B$1:$B$1000,0),MATCH(data!E$1,Haver_Q!$B$1:$BD$1,0))),100*INDEX(Haver_Q!$B$1:$BD$1000,MATCH(data!$A17,Haver_Q!$B$1:$B$1000,0),MATCH(data!E$1,Haver_Q!$B$1:$BD$1,0)),"na")</f>
        <v>na</v>
      </c>
      <c r="F17" t="str">
        <f>IF(ISNUMBER(INDEX(Haver_Q!$B$1:$BD$1000,MATCH(data!$A17,Haver_Q!$B$1:$B$1000,0),MATCH(data!F$1,Haver_Q!$B$1:$BD$1,0))),100*INDEX(Haver_Q!$B$1:$BD$1000,MATCH(data!$A17,Haver_Q!$B$1:$B$1000,0),MATCH(data!F$1,Haver_Q!$B$1:$BD$1,0)),"na")</f>
        <v>na</v>
      </c>
      <c r="G17" t="str">
        <f>IF(ISNUMBER(INDEX(Haver_Q!$B$1:$BD$1000,MATCH(data!$A17,Haver_Q!$B$1:$B$1000,0),MATCH(data!G$1,Haver_Q!$B$1:$BD$1,0))),100*INDEX(Haver_Q!$B$1:$BD$1000,MATCH(data!$A17,Haver_Q!$B$1:$B$1000,0),MATCH(data!G$1,Haver_Q!$B$1:$BD$1,0)),"na")</f>
        <v>na</v>
      </c>
      <c r="H17" t="str">
        <f>IF(ISNUMBER(INDEX(Haver_Q!$B$1:$BD$1000,MATCH(data!$A17,Haver_Q!$B$1:$B$1000,0),MATCH(data!H$1,Haver_Q!$B$1:$BD$1,0))),100*INDEX(Haver_Q!$B$1:$BD$1000,MATCH(data!$A17,Haver_Q!$B$1:$B$1000,0),MATCH(data!H$1,Haver_Q!$B$1:$BD$1,0)),"na")</f>
        <v>na</v>
      </c>
      <c r="I17" s="3">
        <f>IF(ISNUMBER(Bloomberg_m!C33),Bloomberg_m!C33,"na")</f>
        <v>1440</v>
      </c>
      <c r="J17" s="3" t="str">
        <f>IF(ISNUMBER(Bloomberg_m!D33),Bloomberg_m!D33,"na")</f>
        <v>na</v>
      </c>
      <c r="K17" s="3" t="str">
        <f>IF(ISNUMBER(Bloomberg_m!E33),Bloomberg_m!E33,"na")</f>
        <v>na</v>
      </c>
      <c r="L17" s="3">
        <f>IF(ISNUMBER(Bloomberg_m!L33),Bloomberg_m!L33,"na")</f>
        <v>27.42</v>
      </c>
      <c r="M17" t="str">
        <f>IF(ISNUMBER(INDEX(Haver_M!$B$1:$ZN$1000,MATCH(data!$A17,Haver_M!$B$1:$B$1000,0),MATCH(data!M$1,Haver_M!$B$1:$ZN$1,0))),INDEX(Haver_M!$B$1:$ZN$1000,MATCH(data!$A17,Haver_M!$B$1:$B$1000,0),MATCH(data!M$1,Haver_M!$B$1:$ZN$1,0)),"na")</f>
        <v>na</v>
      </c>
      <c r="N17" t="str">
        <f>IF(ISNUMBER(INDEX(Haver_M!$B$1:$ZN$1000,MATCH(data!$A17,Haver_M!$B$1:$B$1000,0),MATCH(data!N$1,Haver_M!$B$1:$ZN$1,0))),INDEX(Haver_M!$B$1:$ZN$1000,MATCH(data!$A17,Haver_M!$B$1:$B$1000,0),MATCH(data!N$1,Haver_M!$B$1:$ZN$1,0)),"na")</f>
        <v>na</v>
      </c>
      <c r="O17">
        <f>IF(ISNUMBER(INDEX(Haver_M!$B$1:$ZN$1000,MATCH(data!$A17,Haver_M!$B$1:$B$1000,0),MATCH(data!O$1,Haver_M!$B$1:$ZN$1,0))),INDEX(Haver_M!$B$1:$ZN$1000,MATCH(data!$A17,Haver_M!$B$1:$B$1000,0),MATCH(data!O$1,Haver_M!$B$1:$ZN$1,0)),"na")</f>
        <v>125.89816</v>
      </c>
      <c r="P17">
        <f>IF(ISNUMBER(INDEX(Haver_M!$B$1:$ZN$1000,MATCH(data!$A17,Haver_M!$B$1:$B$1000,0),MATCH(data!P$1,Haver_M!$B$1:$ZN$1,0))),INDEX(Haver_M!$B$1:$ZN$1000,MATCH(data!$A17,Haver_M!$B$1:$B$1000,0),MATCH(data!P$1,Haver_M!$B$1:$ZN$1,0)),"na")</f>
        <v>48.886000000000003</v>
      </c>
      <c r="Q17">
        <f>IF(ISNUMBER(INDEX(Haver_M!$B$1:$ZN$1000,MATCH(data!$A17,Haver_M!$B$1:$B$1000,0),MATCH(data!Q$1,Haver_M!$B$1:$ZN$1,0))),INDEX(Haver_M!$B$1:$ZN$1000,MATCH(data!$A17,Haver_M!$B$1:$B$1000,0),MATCH(data!Q$1,Haver_M!$B$1:$ZN$1,0)),"na")</f>
        <v>53.265300000000003</v>
      </c>
      <c r="R17">
        <f>IF(ISNUMBER(INDEX(Haver_M!$B$1:$ZN$1000,MATCH(data!$A17,Haver_M!$B$1:$B$1000,0),MATCH(data!R$1,Haver_M!$B$1:$ZN$1,0))),INDEX(Haver_M!$B$1:$ZN$1000,MATCH(data!$A17,Haver_M!$B$1:$B$1000,0),MATCH(data!R$1,Haver_M!$B$1:$ZN$1,0)),"na")</f>
        <v>87.018600000000006</v>
      </c>
      <c r="S17">
        <f>IF(ISNUMBER(INDEX(Haver_M!$B$1:$ZN$1000,MATCH(data!$A17,Haver_M!$B$1:$B$1000,0),MATCH(data!S$1,Haver_M!$B$1:$ZN$1,0))),INDEX(Haver_M!$B$1:$ZN$1000,MATCH(data!$A17,Haver_M!$B$1:$B$1000,0),MATCH(data!S$1,Haver_M!$B$1:$ZN$1,0)),"na")</f>
        <v>102.51260000000001</v>
      </c>
      <c r="T17">
        <f>IF(ISNUMBER(INDEX(Haver_M!$B$1:$ZN$1000,MATCH(data!$A17,Haver_M!$B$1:$B$1000,0),MATCH(data!T$1,Haver_M!$B$1:$ZN$1,0))),INDEX(Haver_M!$B$1:$ZN$1000,MATCH(data!$A17,Haver_M!$B$1:$B$1000,0),MATCH(data!T$1,Haver_M!$B$1:$ZN$1,0)),"na")</f>
        <v>57.724899999999998</v>
      </c>
      <c r="U17">
        <f>IF(ISNUMBER(INDEX(Haver_M!$B$1:$ZN$1000,MATCH(data!$A17,Haver_M!$B$1:$B$1000,0),MATCH(data!U$1,Haver_M!$B$1:$ZN$1,0))),INDEX(Haver_M!$B$1:$ZN$1000,MATCH(data!$A17,Haver_M!$B$1:$B$1000,0),MATCH(data!U$1,Haver_M!$B$1:$ZN$1,0)),"na")</f>
        <v>73.4465</v>
      </c>
      <c r="V17">
        <f>IF(ISNUMBER(INDEX(Haver_M!$B$1:$ZN$1000,MATCH(data!$A17,Haver_M!$B$1:$B$1000,0),MATCH(data!V$1,Haver_M!$B$1:$ZN$1,0))),INDEX(Haver_M!$B$1:$ZN$1000,MATCH(data!$A17,Haver_M!$B$1:$B$1000,0),MATCH(data!V$1,Haver_M!$B$1:$ZN$1,0)),"na")</f>
        <v>89.553799999999995</v>
      </c>
      <c r="W17">
        <f>IF(ISNUMBER(INDEX(Haver_M!$B$1:$ZN$1000,MATCH(data!$A17,Haver_M!$B$1:$B$1000,0),MATCH(data!W$1,Haver_M!$B$1:$ZN$1,0))),INDEX(Haver_M!$B$1:$ZN$1000,MATCH(data!$A17,Haver_M!$B$1:$B$1000,0),MATCH(data!W$1,Haver_M!$B$1:$ZN$1,0)),"na")</f>
        <v>2.7</v>
      </c>
      <c r="X17" t="str">
        <f>IF(ISNUMBER(INDEX(Haver_M!$B$1:$ZN$1000,MATCH(data!$A17,Haver_M!$B$1:$B$1000,0),MATCH(data!X$1,Haver_M!$B$1:$ZN$1,0))),INDEX(Haver_M!$B$1:$ZN$1000,MATCH(data!$A17,Haver_M!$B$1:$B$1000,0),MATCH(data!X$1,Haver_M!$B$1:$ZN$1,0)),"na")</f>
        <v>na</v>
      </c>
      <c r="Y17">
        <f>IF(ISNUMBER(INDEX(Haver_M!$B$1:$ZN$1000,MATCH(data!$A17,Haver_M!$B$1:$B$1000,0),MATCH(data!Y$1,Haver_M!$B$1:$ZN$1,0))),INDEX(Haver_M!$B$1:$ZN$1000,MATCH(data!$A17,Haver_M!$B$1:$B$1000,0),MATCH(data!Y$1,Haver_M!$B$1:$ZN$1,0)),"na")</f>
        <v>99.41</v>
      </c>
      <c r="Z17">
        <f>IF(ISNUMBER(INDEX(Haver_M!$B$1:$ZN$1000,MATCH(data!$A17,Haver_M!$B$1:$B$1000,0),MATCH(data!Z$1,Haver_M!$B$1:$ZN$1,0))),INDEX(Haver_M!$B$1:$ZN$1000,MATCH(data!$A17,Haver_M!$B$1:$B$1000,0),MATCH(data!Z$1,Haver_M!$B$1:$ZN$1,0)),"na")</f>
        <v>79.355199999999996</v>
      </c>
      <c r="AA17" t="str">
        <f>IF(ISNUMBER(INDEX(Haver_M!$B$1:$ZN$1000,MATCH(data!$A17,Haver_M!$B$1:$B$1000,0),MATCH(data!AA$1,Haver_M!$B$1:$ZN$1,0))),INDEX(Haver_M!$B$1:$ZN$1000,MATCH(data!$A17,Haver_M!$B$1:$B$1000,0),MATCH(data!AA$1,Haver_M!$B$1:$ZN$1,0)),"na")</f>
        <v>na</v>
      </c>
      <c r="AB17">
        <f>IF(ISNUMBER(INDEX(Haver_M!$B$1:$ZN$1000,MATCH(data!$A17,Haver_M!$B$1:$B$1000,0),MATCH(data!AB$1,Haver_M!$B$1:$ZN$1,0))),INDEX(Haver_M!$B$1:$ZN$1000,MATCH(data!$A17,Haver_M!$B$1:$B$1000,0),MATCH(data!AB$1,Haver_M!$B$1:$ZN$1,0)),"na")</f>
        <v>13782.2</v>
      </c>
      <c r="AC17">
        <f>IF(ISNUMBER(INDEX(Haver_M!$B$1:$ZN$1000,MATCH(data!$A17,Haver_M!$B$1:$B$1000,0),MATCH(data!AC$1,Haver_M!$B$1:$ZN$1,0))),INDEX(Haver_M!$B$1:$ZN$1000,MATCH(data!$A17,Haver_M!$B$1:$B$1000,0),MATCH(data!AC$1,Haver_M!$B$1:$ZN$1,0)),"na")</f>
        <v>14722.7</v>
      </c>
      <c r="AD17">
        <f>IF(ISNUMBER(INDEX(Haver_M!$B$1:$ZN$1000,MATCH(data!$A17,Haver_M!$B$1:$B$1000,0),MATCH(data!AD$1,Haver_M!$B$1:$ZN$1,0))),INDEX(Haver_M!$B$1:$ZN$1000,MATCH(data!$A17,Haver_M!$B$1:$B$1000,0),MATCH(data!AD$1,Haver_M!$B$1:$ZN$1,0)),"na")</f>
        <v>100.88</v>
      </c>
      <c r="AE17">
        <f>IF(ISNUMBER(INDEX(Haver_M!$B$1:$ZN$1000,MATCH(data!$A17,Haver_M!$B$1:$B$1000,0),MATCH(data!AE$1,Haver_M!$B$1:$ZN$1,0))),INDEX(Haver_M!$B$1:$ZN$1000,MATCH(data!$A17,Haver_M!$B$1:$B$1000,0),MATCH(data!AE$1,Haver_M!$B$1:$ZN$1,0)),"na")</f>
        <v>46.9</v>
      </c>
      <c r="AF17" t="str">
        <f>IF(ISNUMBER(INDEX(Haver_M!$B$1:$ZN$1000,MATCH(data!$A17,Haver_M!$B$1:$B$1000,0),MATCH(data!AF$1,Haver_M!$B$1:$ZN$1,0))),INDEX(Haver_M!$B$1:$ZN$1000,MATCH(data!$A17,Haver_M!$B$1:$B$1000,0),MATCH(data!AF$1,Haver_M!$B$1:$ZN$1,0)),"na")</f>
        <v>na</v>
      </c>
      <c r="AG17" t="str">
        <f>IF(ISNUMBER(INDEX(Haver_M!$B$1:$ZN$1000,MATCH(data!$A17,Haver_M!$B$1:$B$1000,0),MATCH(data!AG$1,Haver_M!$B$1:$ZN$1,0))),INDEX(Haver_M!$B$1:$ZN$1000,MATCH(data!$A17,Haver_M!$B$1:$B$1000,0),MATCH(data!AG$1,Haver_M!$B$1:$ZN$1,0)),"na")</f>
        <v>na</v>
      </c>
      <c r="AH17" t="str">
        <f>IF(ISNUMBER(INDEX(Haver_M!$B$1:$ZN$1000,MATCH(data!$A17,Haver_M!$B$1:$B$1000,0),MATCH(data!AH$1,Haver_M!$B$1:$ZN$1,0))),INDEX(Haver_M!$B$1:$ZN$1000,MATCH(data!$A17,Haver_M!$B$1:$B$1000,0),MATCH(data!AH$1,Haver_M!$B$1:$ZN$1,0)),"na")</f>
        <v>na</v>
      </c>
      <c r="AI17" t="str">
        <f>IF(ISNUMBER(INDEX(Haver_M!$B$1:$ZN$1000,MATCH(data!$A17,Haver_M!$B$1:$B$1000,0),MATCH(data!AI$1,Haver_M!$B$1:$ZN$1,0))),INDEX(Haver_M!$B$1:$ZN$1000,MATCH(data!$A17,Haver_M!$B$1:$B$1000,0),MATCH(data!AI$1,Haver_M!$B$1:$ZN$1,0)),"na")</f>
        <v>na</v>
      </c>
      <c r="AJ17" t="str">
        <f>IF(ISNUMBER(INDEX(Haver_M!$B$1:$ZN$1000,MATCH(data!$A17,Haver_M!$B$1:$B$1000,0),MATCH(data!AJ$1,Haver_M!$B$1:$ZN$1,0))),INDEX(Haver_M!$B$1:$ZN$1000,MATCH(data!$A17,Haver_M!$B$1:$B$1000,0),MATCH(data!AJ$1,Haver_M!$B$1:$ZN$1,0)),"na")</f>
        <v>na</v>
      </c>
      <c r="AK17" t="str">
        <f>IF(ISNUMBER(INDEX(Haver_M!$B$1:$ZN$1000,MATCH(data!$A17,Haver_M!$B$1:$B$1000,0),MATCH(data!AK$1,Haver_M!$B$1:$ZN$1,0))),INDEX(Haver_M!$B$1:$ZN$1000,MATCH(data!$A17,Haver_M!$B$1:$B$1000,0),MATCH(data!AK$1,Haver_M!$B$1:$ZN$1,0)),"na")</f>
        <v>na</v>
      </c>
      <c r="AL17" t="str">
        <f>IF(ISNUMBER(INDEX(Haver_M!$B$1:$ZN$1000,MATCH(data!$A17,Haver_M!$B$1:$B$1000,0),MATCH(data!AL$1,Haver_M!$B$1:$ZN$1,0))),INDEX(Haver_M!$B$1:$ZN$1000,MATCH(data!$A17,Haver_M!$B$1:$B$1000,0),MATCH(data!AL$1,Haver_M!$B$1:$ZN$1,0)),"na")</f>
        <v>na</v>
      </c>
      <c r="AM17" t="str">
        <f>IF(ISNUMBER(INDEX(Haver_M!$B$1:$ZN$1000,MATCH(data!$A17,Haver_M!$B$1:$B$1000,0),MATCH(data!AM$1,Haver_M!$B$1:$ZN$1,0))),INDEX(Haver_M!$B$1:$ZN$1000,MATCH(data!$A17,Haver_M!$B$1:$B$1000,0),MATCH(data!AM$1,Haver_M!$B$1:$ZN$1,0)),"na")</f>
        <v>na</v>
      </c>
      <c r="AN17" t="str">
        <f>IF(ISNUMBER(INDEX(Haver_M!$B$1:$ZN$1000,MATCH(data!$A17,Haver_M!$B$1:$B$1000,0),MATCH(data!AN$1,Haver_M!$B$1:$ZN$1,0))),INDEX(Haver_M!$B$1:$ZN$1000,MATCH(data!$A17,Haver_M!$B$1:$B$1000,0),MATCH(data!AN$1,Haver_M!$B$1:$ZN$1,0)),"na")</f>
        <v>na</v>
      </c>
      <c r="AO17" t="str">
        <f>IF(ISNUMBER(INDEX(Haver_M!$B$1:$ZN$1000,MATCH(data!$A17,Haver_M!$B$1:$B$1000,0),MATCH(data!AO$1,Haver_M!$B$1:$ZN$1,0))),INDEX(Haver_M!$B$1:$ZN$1000,MATCH(data!$A17,Haver_M!$B$1:$B$1000,0),MATCH(data!AO$1,Haver_M!$B$1:$ZN$1,0)),"na")</f>
        <v>na</v>
      </c>
      <c r="AP17" t="str">
        <f>IF(ISNUMBER(INDEX(Haver_M!$B$1:$ZN$1000,MATCH(data!$A17,Haver_M!$B$1:$B$1000,0),MATCH(data!AP$1,Haver_M!$B$1:$ZN$1,0))),INDEX(Haver_M!$B$1:$ZN$1000,MATCH(data!$A17,Haver_M!$B$1:$B$1000,0),MATCH(data!AP$1,Haver_M!$B$1:$ZN$1,0)),"na")</f>
        <v>na</v>
      </c>
      <c r="AQ17" t="str">
        <f>IF(ISNUMBER(INDEX(Haver_M!$B$1:$ZN$1000,MATCH(data!$A17,Haver_M!$B$1:$B$1000,0),MATCH(data!AQ$1,Haver_M!$B$1:$ZN$1,0))),INDEX(Haver_M!$B$1:$ZN$1000,MATCH(data!$A17,Haver_M!$B$1:$B$1000,0),MATCH(data!AQ$1,Haver_M!$B$1:$ZN$1,0)),"na")</f>
        <v>na</v>
      </c>
      <c r="AR17" t="str">
        <f>IF(ISNUMBER(INDEX(Haver_M!$B$1:$ZN$1000,MATCH(data!$A17,Haver_M!$B$1:$B$1000,0),MATCH(data!AR$1,Haver_M!$B$1:$ZN$1,0))),INDEX(Haver_M!$B$1:$ZN$1000,MATCH(data!$A17,Haver_M!$B$1:$B$1000,0),MATCH(data!AR$1,Haver_M!$B$1:$ZN$1,0)),"na")</f>
        <v>na</v>
      </c>
      <c r="AS17">
        <f>IF(ISNUMBER(INDEX(Haver_M!$B$1:$ZN$1000,MATCH(data!$A17,Haver_M!$B$1:$B$1000,0),MATCH(data!AS$1,Haver_M!$B$1:$ZN$1,0))),INDEX(Haver_M!$B$1:$ZN$1000,MATCH(data!$A17,Haver_M!$B$1:$B$1000,0),MATCH(data!AS$1,Haver_M!$B$1:$ZN$1,0)),"na")</f>
        <v>5884.99</v>
      </c>
      <c r="AT17">
        <f>IF(ISNUMBER(INDEX(Haver_M!$B$1:$ZN$1000,MATCH(data!$A17,Haver_M!$B$1:$B$1000,0),MATCH(data!AT$1,Haver_M!$B$1:$ZN$1,0))),INDEX(Haver_M!$B$1:$ZN$1000,MATCH(data!$A17,Haver_M!$B$1:$B$1000,0),MATCH(data!AT$1,Haver_M!$B$1:$ZN$1,0)),"na")</f>
        <v>79.203000000000003</v>
      </c>
      <c r="AU17">
        <f>IF(ISNUMBER(INDEX(Haver_M!$B$1:$ZN$1000,MATCH(data!$A17,Haver_M!$B$1:$B$1000,0),MATCH(data!AU$1,Haver_M!$B$1:$ZN$1,0))),INDEX(Haver_M!$B$1:$ZN$1000,MATCH(data!$A17,Haver_M!$B$1:$B$1000,0),MATCH(data!AU$1,Haver_M!$B$1:$ZN$1,0)),"na")</f>
        <v>79.364557000000005</v>
      </c>
      <c r="AV17">
        <f>IF(ISNUMBER(INDEX(Haver_M!$B$1:$ZN$1000,MATCH(data!$A17,Haver_M!$B$1:$B$1000,0),MATCH(data!AV$1,Haver_M!$B$1:$ZN$1,0))),INDEX(Haver_M!$B$1:$ZN$1000,MATCH(data!$A17,Haver_M!$B$1:$B$1000,0),MATCH(data!AV$1,Haver_M!$B$1:$ZN$1,0)),"na")</f>
        <v>69.8</v>
      </c>
      <c r="AW17">
        <f>IF(ISNUMBER(INDEX(Haver_M!$B$1:$ZN$1000,MATCH(data!$A17,Haver_M!$B$1:$B$1000,0),MATCH(data!AW$1,Haver_M!$B$1:$ZN$1,0))),INDEX(Haver_M!$B$1:$ZN$1000,MATCH(data!$A17,Haver_M!$B$1:$B$1000,0),MATCH(data!AW$1,Haver_M!$B$1:$ZN$1,0)),"na")</f>
        <v>745852.65942619613</v>
      </c>
      <c r="AX17">
        <f>IF(ISNUMBER(INDEX(Haver_M!$B$1:$ZN$1000,MATCH(data!$A17,Haver_M!$B$1:$B$1000,0),MATCH(data!AX$1,Haver_M!$B$1:$ZN$1,0))),INDEX(Haver_M!$B$1:$ZN$1000,MATCH(data!$A17,Haver_M!$B$1:$B$1000,0),MATCH(data!AX$1,Haver_M!$B$1:$ZN$1,0)),"na")</f>
        <v>3018</v>
      </c>
      <c r="AY17">
        <f>IF(ISNUMBER(INDEX(Haver_M!$B$1:$ZN$1000,MATCH(data!$A17,Haver_M!$B$1:$B$1000,0),MATCH(data!AY$1,Haver_M!$B$1:$ZN$1,0))),INDEX(Haver_M!$B$1:$ZN$1000,MATCH(data!$A17,Haver_M!$B$1:$B$1000,0),MATCH(data!AY$1,Haver_M!$B$1:$ZN$1,0)),"na")</f>
        <v>1716</v>
      </c>
      <c r="AZ17" t="str">
        <f>IF(ISNUMBER(INDEX(Haver_M!$B$1:$ZN$1000,MATCH(data!$A17,Haver_M!$B$1:$B$1000,0),MATCH(data!AZ$1,Haver_M!$B$1:$ZN$1,0))),INDEX(Haver_M!$B$1:$ZN$1000,MATCH(data!$A17,Haver_M!$B$1:$B$1000,0),MATCH(data!AZ$1,Haver_M!$B$1:$ZN$1,0)),"na")</f>
        <v>na</v>
      </c>
      <c r="BA17">
        <f>IF(ISNUMBER(INDEX(Haver_M!$B$1:$ZN$1000,MATCH(data!$A17,Haver_M!$B$1:$B$1000,0),MATCH(data!BA$1,Haver_M!$B$1:$ZN$1,0))),INDEX(Haver_M!$B$1:$ZN$1000,MATCH(data!$A17,Haver_M!$B$1:$B$1000,0),MATCH(data!BA$1,Haver_M!$B$1:$ZN$1,0)),"na")</f>
        <v>132.17547094137123</v>
      </c>
      <c r="BB17" t="str">
        <f>IF(ISNUMBER(INDEX(Haver_M!$B$1:$ZN$1000,MATCH(data!$A17,Haver_M!$B$1:$B$1000,0),MATCH(data!BB$1,Haver_M!$B$1:$ZN$1,0))),INDEX(Haver_M!$B$1:$ZN$1000,MATCH(data!$A17,Haver_M!$B$1:$B$1000,0),MATCH(data!BB$1,Haver_M!$B$1:$ZN$1,0)),"")</f>
        <v/>
      </c>
    </row>
    <row r="18" spans="1:54" x14ac:dyDescent="0.25">
      <c r="A18" s="2">
        <v>37042</v>
      </c>
      <c r="B18" t="str">
        <f>IF(ISNUMBER(INDEX(Haver_Q!$B$1:$BD$1000,MATCH(data!$A18,Haver_Q!$B$1:$B$1000,0),MATCH(data!B$1,Haver_Q!$B$1:$BD$1,0))),100*INDEX(Haver_Q!$B$1:$BD$1000,MATCH(data!$A18,Haver_Q!$B$1:$B$1000,0),MATCH(data!B$1,Haver_Q!$B$1:$BD$1,0)),"na")</f>
        <v>na</v>
      </c>
      <c r="C18" t="str">
        <f>IF(ISNUMBER(INDEX(Haver_Q!$B$1:$BD$1000,MATCH(data!$A18,Haver_Q!$B$1:$B$1000,0),MATCH(data!C$1,Haver_Q!$B$1:$BD$1,0))),100*INDEX(Haver_Q!$B$1:$BD$1000,MATCH(data!$A18,Haver_Q!$B$1:$B$1000,0),MATCH(data!C$1,Haver_Q!$B$1:$BD$1,0)),"na")</f>
        <v>na</v>
      </c>
      <c r="D18" t="str">
        <f>IF(ISNUMBER(INDEX(Haver_Q!$B$1:$BD$1000,MATCH(data!$A18,Haver_Q!$B$1:$B$1000,0),MATCH(data!D$1,Haver_Q!$B$1:$BD$1,0))),100*INDEX(Haver_Q!$B$1:$BD$1000,MATCH(data!$A18,Haver_Q!$B$1:$B$1000,0),MATCH(data!D$1,Haver_Q!$B$1:$BD$1,0)),"na")</f>
        <v>na</v>
      </c>
      <c r="E18" t="str">
        <f>IF(ISNUMBER(INDEX(Haver_Q!$B$1:$BD$1000,MATCH(data!$A18,Haver_Q!$B$1:$B$1000,0),MATCH(data!E$1,Haver_Q!$B$1:$BD$1,0))),100*INDEX(Haver_Q!$B$1:$BD$1000,MATCH(data!$A18,Haver_Q!$B$1:$B$1000,0),MATCH(data!E$1,Haver_Q!$B$1:$BD$1,0)),"na")</f>
        <v>na</v>
      </c>
      <c r="F18" t="str">
        <f>IF(ISNUMBER(INDEX(Haver_Q!$B$1:$BD$1000,MATCH(data!$A18,Haver_Q!$B$1:$B$1000,0),MATCH(data!F$1,Haver_Q!$B$1:$BD$1,0))),100*INDEX(Haver_Q!$B$1:$BD$1000,MATCH(data!$A18,Haver_Q!$B$1:$B$1000,0),MATCH(data!F$1,Haver_Q!$B$1:$BD$1,0)),"na")</f>
        <v>na</v>
      </c>
      <c r="G18" t="str">
        <f>IF(ISNUMBER(INDEX(Haver_Q!$B$1:$BD$1000,MATCH(data!$A18,Haver_Q!$B$1:$B$1000,0),MATCH(data!G$1,Haver_Q!$B$1:$BD$1,0))),100*INDEX(Haver_Q!$B$1:$BD$1000,MATCH(data!$A18,Haver_Q!$B$1:$B$1000,0),MATCH(data!G$1,Haver_Q!$B$1:$BD$1,0)),"na")</f>
        <v>na</v>
      </c>
      <c r="H18" t="str">
        <f>IF(ISNUMBER(INDEX(Haver_Q!$B$1:$BD$1000,MATCH(data!$A18,Haver_Q!$B$1:$B$1000,0),MATCH(data!H$1,Haver_Q!$B$1:$BD$1,0))),100*INDEX(Haver_Q!$B$1:$BD$1000,MATCH(data!$A18,Haver_Q!$B$1:$B$1000,0),MATCH(data!H$1,Haver_Q!$B$1:$BD$1,0)),"na")</f>
        <v>na</v>
      </c>
      <c r="I18" s="3">
        <f>IF(ISNUMBER(Bloomberg_m!C34),Bloomberg_m!C34,"na")</f>
        <v>1448</v>
      </c>
      <c r="J18" s="3" t="str">
        <f>IF(ISNUMBER(Bloomberg_m!D34),Bloomberg_m!D34,"na")</f>
        <v>na</v>
      </c>
      <c r="K18" s="3" t="str">
        <f>IF(ISNUMBER(Bloomberg_m!E34),Bloomberg_m!E34,"na")</f>
        <v>na</v>
      </c>
      <c r="L18" s="3">
        <f>IF(ISNUMBER(Bloomberg_m!L34),Bloomberg_m!L34,"na")</f>
        <v>28.61</v>
      </c>
      <c r="M18" t="str">
        <f>IF(ISNUMBER(INDEX(Haver_M!$B$1:$ZN$1000,MATCH(data!$A18,Haver_M!$B$1:$B$1000,0),MATCH(data!M$1,Haver_M!$B$1:$ZN$1,0))),INDEX(Haver_M!$B$1:$ZN$1000,MATCH(data!$A18,Haver_M!$B$1:$B$1000,0),MATCH(data!M$1,Haver_M!$B$1:$ZN$1,0)),"na")</f>
        <v>na</v>
      </c>
      <c r="N18" t="str">
        <f>IF(ISNUMBER(INDEX(Haver_M!$B$1:$ZN$1000,MATCH(data!$A18,Haver_M!$B$1:$B$1000,0),MATCH(data!N$1,Haver_M!$B$1:$ZN$1,0))),INDEX(Haver_M!$B$1:$ZN$1000,MATCH(data!$A18,Haver_M!$B$1:$B$1000,0),MATCH(data!N$1,Haver_M!$B$1:$ZN$1,0)),"na")</f>
        <v>na</v>
      </c>
      <c r="O18">
        <f>IF(ISNUMBER(INDEX(Haver_M!$B$1:$ZN$1000,MATCH(data!$A18,Haver_M!$B$1:$B$1000,0),MATCH(data!O$1,Haver_M!$B$1:$ZN$1,0))),INDEX(Haver_M!$B$1:$ZN$1000,MATCH(data!$A18,Haver_M!$B$1:$B$1000,0),MATCH(data!O$1,Haver_M!$B$1:$ZN$1,0)),"na")</f>
        <v>128.21088</v>
      </c>
      <c r="P18">
        <f>IF(ISNUMBER(INDEX(Haver_M!$B$1:$ZN$1000,MATCH(data!$A18,Haver_M!$B$1:$B$1000,0),MATCH(data!P$1,Haver_M!$B$1:$ZN$1,0))),INDEX(Haver_M!$B$1:$ZN$1000,MATCH(data!$A18,Haver_M!$B$1:$B$1000,0),MATCH(data!P$1,Haver_M!$B$1:$ZN$1,0)),"na")</f>
        <v>49.217500000000001</v>
      </c>
      <c r="Q18">
        <f>IF(ISNUMBER(INDEX(Haver_M!$B$1:$ZN$1000,MATCH(data!$A18,Haver_M!$B$1:$B$1000,0),MATCH(data!Q$1,Haver_M!$B$1:$ZN$1,0))),INDEX(Haver_M!$B$1:$ZN$1000,MATCH(data!$A18,Haver_M!$B$1:$B$1000,0),MATCH(data!Q$1,Haver_M!$B$1:$ZN$1,0)),"na")</f>
        <v>53.558799999999998</v>
      </c>
      <c r="R18">
        <f>IF(ISNUMBER(INDEX(Haver_M!$B$1:$ZN$1000,MATCH(data!$A18,Haver_M!$B$1:$B$1000,0),MATCH(data!R$1,Haver_M!$B$1:$ZN$1,0))),INDEX(Haver_M!$B$1:$ZN$1000,MATCH(data!$A18,Haver_M!$B$1:$B$1000,0),MATCH(data!R$1,Haver_M!$B$1:$ZN$1,0)),"na")</f>
        <v>88.181700000000006</v>
      </c>
      <c r="S18">
        <f>IF(ISNUMBER(INDEX(Haver_M!$B$1:$ZN$1000,MATCH(data!$A18,Haver_M!$B$1:$B$1000,0),MATCH(data!S$1,Haver_M!$B$1:$ZN$1,0))),INDEX(Haver_M!$B$1:$ZN$1000,MATCH(data!$A18,Haver_M!$B$1:$B$1000,0),MATCH(data!S$1,Haver_M!$B$1:$ZN$1,0)),"na")</f>
        <v>102.2353</v>
      </c>
      <c r="T18">
        <f>IF(ISNUMBER(INDEX(Haver_M!$B$1:$ZN$1000,MATCH(data!$A18,Haver_M!$B$1:$B$1000,0),MATCH(data!T$1,Haver_M!$B$1:$ZN$1,0))),INDEX(Haver_M!$B$1:$ZN$1000,MATCH(data!$A18,Haver_M!$B$1:$B$1000,0),MATCH(data!T$1,Haver_M!$B$1:$ZN$1,0)),"na")</f>
        <v>57.4636</v>
      </c>
      <c r="U18">
        <f>IF(ISNUMBER(INDEX(Haver_M!$B$1:$ZN$1000,MATCH(data!$A18,Haver_M!$B$1:$B$1000,0),MATCH(data!U$1,Haver_M!$B$1:$ZN$1,0))),INDEX(Haver_M!$B$1:$ZN$1000,MATCH(data!$A18,Haver_M!$B$1:$B$1000,0),MATCH(data!U$1,Haver_M!$B$1:$ZN$1,0)),"na")</f>
        <v>75.153700000000001</v>
      </c>
      <c r="V18">
        <f>IF(ISNUMBER(INDEX(Haver_M!$B$1:$ZN$1000,MATCH(data!$A18,Haver_M!$B$1:$B$1000,0),MATCH(data!V$1,Haver_M!$B$1:$ZN$1,0))),INDEX(Haver_M!$B$1:$ZN$1000,MATCH(data!$A18,Haver_M!$B$1:$B$1000,0),MATCH(data!V$1,Haver_M!$B$1:$ZN$1,0)),"na")</f>
        <v>90.290700000000001</v>
      </c>
      <c r="W18">
        <f>IF(ISNUMBER(INDEX(Haver_M!$B$1:$ZN$1000,MATCH(data!$A18,Haver_M!$B$1:$B$1000,0),MATCH(data!W$1,Haver_M!$B$1:$ZN$1,0))),INDEX(Haver_M!$B$1:$ZN$1000,MATCH(data!$A18,Haver_M!$B$1:$B$1000,0),MATCH(data!W$1,Haver_M!$B$1:$ZN$1,0)),"na")</f>
        <v>2.79</v>
      </c>
      <c r="X18" t="str">
        <f>IF(ISNUMBER(INDEX(Haver_M!$B$1:$ZN$1000,MATCH(data!$A18,Haver_M!$B$1:$B$1000,0),MATCH(data!X$1,Haver_M!$B$1:$ZN$1,0))),INDEX(Haver_M!$B$1:$ZN$1000,MATCH(data!$A18,Haver_M!$B$1:$B$1000,0),MATCH(data!X$1,Haver_M!$B$1:$ZN$1,0)),"na")</f>
        <v>na</v>
      </c>
      <c r="Y18">
        <f>IF(ISNUMBER(INDEX(Haver_M!$B$1:$ZN$1000,MATCH(data!$A18,Haver_M!$B$1:$B$1000,0),MATCH(data!Y$1,Haver_M!$B$1:$ZN$1,0))),INDEX(Haver_M!$B$1:$ZN$1000,MATCH(data!$A18,Haver_M!$B$1:$B$1000,0),MATCH(data!Y$1,Haver_M!$B$1:$ZN$1,0)),"na")</f>
        <v>99.49</v>
      </c>
      <c r="Z18">
        <f>IF(ISNUMBER(INDEX(Haver_M!$B$1:$ZN$1000,MATCH(data!$A18,Haver_M!$B$1:$B$1000,0),MATCH(data!Z$1,Haver_M!$B$1:$ZN$1,0))),INDEX(Haver_M!$B$1:$ZN$1000,MATCH(data!$A18,Haver_M!$B$1:$B$1000,0),MATCH(data!Z$1,Haver_M!$B$1:$ZN$1,0)),"na")</f>
        <v>79.601399999999998</v>
      </c>
      <c r="AA18" t="str">
        <f>IF(ISNUMBER(INDEX(Haver_M!$B$1:$ZN$1000,MATCH(data!$A18,Haver_M!$B$1:$B$1000,0),MATCH(data!AA$1,Haver_M!$B$1:$ZN$1,0))),INDEX(Haver_M!$B$1:$ZN$1000,MATCH(data!$A18,Haver_M!$B$1:$B$1000,0),MATCH(data!AA$1,Haver_M!$B$1:$ZN$1,0)),"na")</f>
        <v>na</v>
      </c>
      <c r="AB18">
        <f>IF(ISNUMBER(INDEX(Haver_M!$B$1:$ZN$1000,MATCH(data!$A18,Haver_M!$B$1:$B$1000,0),MATCH(data!AB$1,Haver_M!$B$1:$ZN$1,0))),INDEX(Haver_M!$B$1:$ZN$1000,MATCH(data!$A18,Haver_M!$B$1:$B$1000,0),MATCH(data!AB$1,Haver_M!$B$1:$ZN$1,0)),"na")</f>
        <v>13153.3</v>
      </c>
      <c r="AC18">
        <f>IF(ISNUMBER(INDEX(Haver_M!$B$1:$ZN$1000,MATCH(data!$A18,Haver_M!$B$1:$B$1000,0),MATCH(data!AC$1,Haver_M!$B$1:$ZN$1,0))),INDEX(Haver_M!$B$1:$ZN$1000,MATCH(data!$A18,Haver_M!$B$1:$B$1000,0),MATCH(data!AC$1,Haver_M!$B$1:$ZN$1,0)),"na")</f>
        <v>14034.9</v>
      </c>
      <c r="AD18">
        <f>IF(ISNUMBER(INDEX(Haver_M!$B$1:$ZN$1000,MATCH(data!$A18,Haver_M!$B$1:$B$1000,0),MATCH(data!AD$1,Haver_M!$B$1:$ZN$1,0))),INDEX(Haver_M!$B$1:$ZN$1000,MATCH(data!$A18,Haver_M!$B$1:$B$1000,0),MATCH(data!AD$1,Haver_M!$B$1:$ZN$1,0)),"na")</f>
        <v>100.71</v>
      </c>
      <c r="AE18">
        <f>IF(ISNUMBER(INDEX(Haver_M!$B$1:$ZN$1000,MATCH(data!$A18,Haver_M!$B$1:$B$1000,0),MATCH(data!AE$1,Haver_M!$B$1:$ZN$1,0))),INDEX(Haver_M!$B$1:$ZN$1000,MATCH(data!$A18,Haver_M!$B$1:$B$1000,0),MATCH(data!AE$1,Haver_M!$B$1:$ZN$1,0)),"na")</f>
        <v>44.4</v>
      </c>
      <c r="AF18" t="str">
        <f>IF(ISNUMBER(INDEX(Haver_M!$B$1:$ZN$1000,MATCH(data!$A18,Haver_M!$B$1:$B$1000,0),MATCH(data!AF$1,Haver_M!$B$1:$ZN$1,0))),INDEX(Haver_M!$B$1:$ZN$1000,MATCH(data!$A18,Haver_M!$B$1:$B$1000,0),MATCH(data!AF$1,Haver_M!$B$1:$ZN$1,0)),"na")</f>
        <v>na</v>
      </c>
      <c r="AG18" t="str">
        <f>IF(ISNUMBER(INDEX(Haver_M!$B$1:$ZN$1000,MATCH(data!$A18,Haver_M!$B$1:$B$1000,0),MATCH(data!AG$1,Haver_M!$B$1:$ZN$1,0))),INDEX(Haver_M!$B$1:$ZN$1000,MATCH(data!$A18,Haver_M!$B$1:$B$1000,0),MATCH(data!AG$1,Haver_M!$B$1:$ZN$1,0)),"na")</f>
        <v>na</v>
      </c>
      <c r="AH18" t="str">
        <f>IF(ISNUMBER(INDEX(Haver_M!$B$1:$ZN$1000,MATCH(data!$A18,Haver_M!$B$1:$B$1000,0),MATCH(data!AH$1,Haver_M!$B$1:$ZN$1,0))),INDEX(Haver_M!$B$1:$ZN$1000,MATCH(data!$A18,Haver_M!$B$1:$B$1000,0),MATCH(data!AH$1,Haver_M!$B$1:$ZN$1,0)),"na")</f>
        <v>na</v>
      </c>
      <c r="AI18" t="str">
        <f>IF(ISNUMBER(INDEX(Haver_M!$B$1:$ZN$1000,MATCH(data!$A18,Haver_M!$B$1:$B$1000,0),MATCH(data!AI$1,Haver_M!$B$1:$ZN$1,0))),INDEX(Haver_M!$B$1:$ZN$1000,MATCH(data!$A18,Haver_M!$B$1:$B$1000,0),MATCH(data!AI$1,Haver_M!$B$1:$ZN$1,0)),"na")</f>
        <v>na</v>
      </c>
      <c r="AJ18" t="str">
        <f>IF(ISNUMBER(INDEX(Haver_M!$B$1:$ZN$1000,MATCH(data!$A18,Haver_M!$B$1:$B$1000,0),MATCH(data!AJ$1,Haver_M!$B$1:$ZN$1,0))),INDEX(Haver_M!$B$1:$ZN$1000,MATCH(data!$A18,Haver_M!$B$1:$B$1000,0),MATCH(data!AJ$1,Haver_M!$B$1:$ZN$1,0)),"na")</f>
        <v>na</v>
      </c>
      <c r="AK18" t="str">
        <f>IF(ISNUMBER(INDEX(Haver_M!$B$1:$ZN$1000,MATCH(data!$A18,Haver_M!$B$1:$B$1000,0),MATCH(data!AK$1,Haver_M!$B$1:$ZN$1,0))),INDEX(Haver_M!$B$1:$ZN$1000,MATCH(data!$A18,Haver_M!$B$1:$B$1000,0),MATCH(data!AK$1,Haver_M!$B$1:$ZN$1,0)),"na")</f>
        <v>na</v>
      </c>
      <c r="AL18" t="str">
        <f>IF(ISNUMBER(INDEX(Haver_M!$B$1:$ZN$1000,MATCH(data!$A18,Haver_M!$B$1:$B$1000,0),MATCH(data!AL$1,Haver_M!$B$1:$ZN$1,0))),INDEX(Haver_M!$B$1:$ZN$1000,MATCH(data!$A18,Haver_M!$B$1:$B$1000,0),MATCH(data!AL$1,Haver_M!$B$1:$ZN$1,0)),"na")</f>
        <v>na</v>
      </c>
      <c r="AM18" t="str">
        <f>IF(ISNUMBER(INDEX(Haver_M!$B$1:$ZN$1000,MATCH(data!$A18,Haver_M!$B$1:$B$1000,0),MATCH(data!AM$1,Haver_M!$B$1:$ZN$1,0))),INDEX(Haver_M!$B$1:$ZN$1000,MATCH(data!$A18,Haver_M!$B$1:$B$1000,0),MATCH(data!AM$1,Haver_M!$B$1:$ZN$1,0)),"na")</f>
        <v>na</v>
      </c>
      <c r="AN18" t="str">
        <f>IF(ISNUMBER(INDEX(Haver_M!$B$1:$ZN$1000,MATCH(data!$A18,Haver_M!$B$1:$B$1000,0),MATCH(data!AN$1,Haver_M!$B$1:$ZN$1,0))),INDEX(Haver_M!$B$1:$ZN$1000,MATCH(data!$A18,Haver_M!$B$1:$B$1000,0),MATCH(data!AN$1,Haver_M!$B$1:$ZN$1,0)),"na")</f>
        <v>na</v>
      </c>
      <c r="AO18" t="str">
        <f>IF(ISNUMBER(INDEX(Haver_M!$B$1:$ZN$1000,MATCH(data!$A18,Haver_M!$B$1:$B$1000,0),MATCH(data!AO$1,Haver_M!$B$1:$ZN$1,0))),INDEX(Haver_M!$B$1:$ZN$1000,MATCH(data!$A18,Haver_M!$B$1:$B$1000,0),MATCH(data!AO$1,Haver_M!$B$1:$ZN$1,0)),"na")</f>
        <v>na</v>
      </c>
      <c r="AP18" t="str">
        <f>IF(ISNUMBER(INDEX(Haver_M!$B$1:$ZN$1000,MATCH(data!$A18,Haver_M!$B$1:$B$1000,0),MATCH(data!AP$1,Haver_M!$B$1:$ZN$1,0))),INDEX(Haver_M!$B$1:$ZN$1000,MATCH(data!$A18,Haver_M!$B$1:$B$1000,0),MATCH(data!AP$1,Haver_M!$B$1:$ZN$1,0)),"na")</f>
        <v>na</v>
      </c>
      <c r="AQ18" t="str">
        <f>IF(ISNUMBER(INDEX(Haver_M!$B$1:$ZN$1000,MATCH(data!$A18,Haver_M!$B$1:$B$1000,0),MATCH(data!AQ$1,Haver_M!$B$1:$ZN$1,0))),INDEX(Haver_M!$B$1:$ZN$1000,MATCH(data!$A18,Haver_M!$B$1:$B$1000,0),MATCH(data!AQ$1,Haver_M!$B$1:$ZN$1,0)),"na")</f>
        <v>na</v>
      </c>
      <c r="AR18" t="str">
        <f>IF(ISNUMBER(INDEX(Haver_M!$B$1:$ZN$1000,MATCH(data!$A18,Haver_M!$B$1:$B$1000,0),MATCH(data!AR$1,Haver_M!$B$1:$ZN$1,0))),INDEX(Haver_M!$B$1:$ZN$1000,MATCH(data!$A18,Haver_M!$B$1:$B$1000,0),MATCH(data!AR$1,Haver_M!$B$1:$ZN$1,0)),"na")</f>
        <v>na</v>
      </c>
      <c r="AS18">
        <f>IF(ISNUMBER(INDEX(Haver_M!$B$1:$ZN$1000,MATCH(data!$A18,Haver_M!$B$1:$B$1000,0),MATCH(data!AS$1,Haver_M!$B$1:$ZN$1,0))),INDEX(Haver_M!$B$1:$ZN$1000,MATCH(data!$A18,Haver_M!$B$1:$B$1000,0),MATCH(data!AS$1,Haver_M!$B$1:$ZN$1,0)),"na")</f>
        <v>6351.16</v>
      </c>
      <c r="AT18">
        <f>IF(ISNUMBER(INDEX(Haver_M!$B$1:$ZN$1000,MATCH(data!$A18,Haver_M!$B$1:$B$1000,0),MATCH(data!AT$1,Haver_M!$B$1:$ZN$1,0))),INDEX(Haver_M!$B$1:$ZN$1000,MATCH(data!$A18,Haver_M!$B$1:$B$1000,0),MATCH(data!AT$1,Haver_M!$B$1:$ZN$1,0)),"na")</f>
        <v>79.227000000000004</v>
      </c>
      <c r="AU18">
        <f>IF(ISNUMBER(INDEX(Haver_M!$B$1:$ZN$1000,MATCH(data!$A18,Haver_M!$B$1:$B$1000,0),MATCH(data!AU$1,Haver_M!$B$1:$ZN$1,0))),INDEX(Haver_M!$B$1:$ZN$1000,MATCH(data!$A18,Haver_M!$B$1:$B$1000,0),MATCH(data!AU$1,Haver_M!$B$1:$ZN$1,0)),"na")</f>
        <v>79.182548999999995</v>
      </c>
      <c r="AV18">
        <f>IF(ISNUMBER(INDEX(Haver_M!$B$1:$ZN$1000,MATCH(data!$A18,Haver_M!$B$1:$B$1000,0),MATCH(data!AV$1,Haver_M!$B$1:$ZN$1,0))),INDEX(Haver_M!$B$1:$ZN$1000,MATCH(data!$A18,Haver_M!$B$1:$B$1000,0),MATCH(data!AV$1,Haver_M!$B$1:$ZN$1,0)),"na")</f>
        <v>69.599999999999994</v>
      </c>
      <c r="AW18">
        <f>IF(ISNUMBER(INDEX(Haver_M!$B$1:$ZN$1000,MATCH(data!$A18,Haver_M!$B$1:$B$1000,0),MATCH(data!AW$1,Haver_M!$B$1:$ZN$1,0))),INDEX(Haver_M!$B$1:$ZN$1000,MATCH(data!$A18,Haver_M!$B$1:$B$1000,0),MATCH(data!AW$1,Haver_M!$B$1:$ZN$1,0)),"na")</f>
        <v>744680.72072943859</v>
      </c>
      <c r="AX18">
        <f>IF(ISNUMBER(INDEX(Haver_M!$B$1:$ZN$1000,MATCH(data!$A18,Haver_M!$B$1:$B$1000,0),MATCH(data!AX$1,Haver_M!$B$1:$ZN$1,0))),INDEX(Haver_M!$B$1:$ZN$1000,MATCH(data!$A18,Haver_M!$B$1:$B$1000,0),MATCH(data!AX$1,Haver_M!$B$1:$ZN$1,0)),"na")</f>
        <v>3043</v>
      </c>
      <c r="AY18">
        <f>IF(ISNUMBER(INDEX(Haver_M!$B$1:$ZN$1000,MATCH(data!$A18,Haver_M!$B$1:$B$1000,0),MATCH(data!AY$1,Haver_M!$B$1:$ZN$1,0))),INDEX(Haver_M!$B$1:$ZN$1000,MATCH(data!$A18,Haver_M!$B$1:$B$1000,0),MATCH(data!AY$1,Haver_M!$B$1:$ZN$1,0)),"na")</f>
        <v>1719</v>
      </c>
      <c r="AZ18" t="str">
        <f>IF(ISNUMBER(INDEX(Haver_M!$B$1:$ZN$1000,MATCH(data!$A18,Haver_M!$B$1:$B$1000,0),MATCH(data!AZ$1,Haver_M!$B$1:$ZN$1,0))),INDEX(Haver_M!$B$1:$ZN$1000,MATCH(data!$A18,Haver_M!$B$1:$B$1000,0),MATCH(data!AZ$1,Haver_M!$B$1:$ZN$1,0)),"na")</f>
        <v>na</v>
      </c>
      <c r="BA18">
        <f>IF(ISNUMBER(INDEX(Haver_M!$B$1:$ZN$1000,MATCH(data!$A18,Haver_M!$B$1:$B$1000,0),MATCH(data!BA$1,Haver_M!$B$1:$ZN$1,0))),INDEX(Haver_M!$B$1:$ZN$1000,MATCH(data!$A18,Haver_M!$B$1:$B$1000,0),MATCH(data!BA$1,Haver_M!$B$1:$ZN$1,0)),"na")</f>
        <v>165.55541299942226</v>
      </c>
      <c r="BB18" t="str">
        <f>IF(ISNUMBER(INDEX(Haver_M!$B$1:$ZN$1000,MATCH(data!$A18,Haver_M!$B$1:$B$1000,0),MATCH(data!BB$1,Haver_M!$B$1:$ZN$1,0))),INDEX(Haver_M!$B$1:$ZN$1000,MATCH(data!$A18,Haver_M!$B$1:$B$1000,0),MATCH(data!BB$1,Haver_M!$B$1:$ZN$1,0)),"")</f>
        <v/>
      </c>
    </row>
    <row r="19" spans="1:54" x14ac:dyDescent="0.25">
      <c r="A19" s="2">
        <v>37072</v>
      </c>
      <c r="B19">
        <f>IF(ISNUMBER(INDEX(Haver_Q!$B$1:$BD$1000,MATCH(data!$A19,Haver_Q!$B$1:$B$1000,0),MATCH(data!B$1,Haver_Q!$B$1:$BD$1,0))),100*INDEX(Haver_Q!$B$1:$BD$1000,MATCH(data!$A19,Haver_Q!$B$1:$B$1000,0),MATCH(data!B$1,Haver_Q!$B$1:$BD$1,0)),"na")</f>
        <v>-2.1975884833202564</v>
      </c>
      <c r="C19">
        <f>IF(ISNUMBER(INDEX(Haver_Q!$B$1:$BD$1000,MATCH(data!$A19,Haver_Q!$B$1:$B$1000,0),MATCH(data!C$1,Haver_Q!$B$1:$BD$1,0))),100*INDEX(Haver_Q!$B$1:$BD$1000,MATCH(data!$A19,Haver_Q!$B$1:$B$1000,0),MATCH(data!C$1,Haver_Q!$B$1:$BD$1,0)),"na")</f>
        <v>-0.71002921046450229</v>
      </c>
      <c r="D19">
        <f>IF(ISNUMBER(INDEX(Haver_Q!$B$1:$BD$1000,MATCH(data!$A19,Haver_Q!$B$1:$B$1000,0),MATCH(data!D$1,Haver_Q!$B$1:$BD$1,0))),100*INDEX(Haver_Q!$B$1:$BD$1000,MATCH(data!$A19,Haver_Q!$B$1:$B$1000,0),MATCH(data!D$1,Haver_Q!$B$1:$BD$1,0)),"na")</f>
        <v>0.59673562166868699</v>
      </c>
      <c r="E19">
        <f>IF(ISNUMBER(INDEX(Haver_Q!$B$1:$BD$1000,MATCH(data!$A19,Haver_Q!$B$1:$B$1000,0),MATCH(data!E$1,Haver_Q!$B$1:$BD$1,0))),100*INDEX(Haver_Q!$B$1:$BD$1000,MATCH(data!$A19,Haver_Q!$B$1:$B$1000,0),MATCH(data!E$1,Haver_Q!$B$1:$BD$1,0)),"na")</f>
        <v>-12.513230244736063</v>
      </c>
      <c r="F19">
        <f>IF(ISNUMBER(INDEX(Haver_Q!$B$1:$BD$1000,MATCH(data!$A19,Haver_Q!$B$1:$B$1000,0),MATCH(data!F$1,Haver_Q!$B$1:$BD$1,0))),100*INDEX(Haver_Q!$B$1:$BD$1000,MATCH(data!$A19,Haver_Q!$B$1:$B$1000,0),MATCH(data!F$1,Haver_Q!$B$1:$BD$1,0)),"na")</f>
        <v>-1.8460077302131506</v>
      </c>
      <c r="G19">
        <f>IF(ISNUMBER(INDEX(Haver_Q!$B$1:$BD$1000,MATCH(data!$A19,Haver_Q!$B$1:$B$1000,0),MATCH(data!G$1,Haver_Q!$B$1:$BD$1,0))),100*INDEX(Haver_Q!$B$1:$BD$1000,MATCH(data!$A19,Haver_Q!$B$1:$B$1000,0),MATCH(data!G$1,Haver_Q!$B$1:$BD$1,0)),"na")</f>
        <v>-8.1566030411302055</v>
      </c>
      <c r="H19">
        <f>IF(ISNUMBER(INDEX(Haver_Q!$B$1:$BD$1000,MATCH(data!$A19,Haver_Q!$B$1:$B$1000,0),MATCH(data!H$1,Haver_Q!$B$1:$BD$1,0))),100*INDEX(Haver_Q!$B$1:$BD$1000,MATCH(data!$A19,Haver_Q!$B$1:$B$1000,0),MATCH(data!H$1,Haver_Q!$B$1:$BD$1,0)),"na")</f>
        <v>198.35864009062226</v>
      </c>
      <c r="I19" s="3">
        <f>IF(ISNUMBER(Bloomberg_m!C35),Bloomberg_m!C35,"na")</f>
        <v>1377</v>
      </c>
      <c r="J19" s="3" t="str">
        <f>IF(ISNUMBER(Bloomberg_m!D35),Bloomberg_m!D35,"na")</f>
        <v>na</v>
      </c>
      <c r="K19" s="3" t="str">
        <f>IF(ISNUMBER(Bloomberg_m!E35),Bloomberg_m!E35,"na")</f>
        <v>na</v>
      </c>
      <c r="L19" s="3">
        <f>IF(ISNUMBER(Bloomberg_m!L35),Bloomberg_m!L35,"na")</f>
        <v>27.56</v>
      </c>
      <c r="M19" t="str">
        <f>IF(ISNUMBER(INDEX(Haver_M!$B$1:$ZN$1000,MATCH(data!$A19,Haver_M!$B$1:$B$1000,0),MATCH(data!M$1,Haver_M!$B$1:$ZN$1,0))),INDEX(Haver_M!$B$1:$ZN$1000,MATCH(data!$A19,Haver_M!$B$1:$B$1000,0),MATCH(data!M$1,Haver_M!$B$1:$ZN$1,0)),"na")</f>
        <v>na</v>
      </c>
      <c r="N19" t="str">
        <f>IF(ISNUMBER(INDEX(Haver_M!$B$1:$ZN$1000,MATCH(data!$A19,Haver_M!$B$1:$B$1000,0),MATCH(data!N$1,Haver_M!$B$1:$ZN$1,0))),INDEX(Haver_M!$B$1:$ZN$1000,MATCH(data!$A19,Haver_M!$B$1:$B$1000,0),MATCH(data!N$1,Haver_M!$B$1:$ZN$1,0)),"na")</f>
        <v>na</v>
      </c>
      <c r="O19">
        <f>IF(ISNUMBER(INDEX(Haver_M!$B$1:$ZN$1000,MATCH(data!$A19,Haver_M!$B$1:$B$1000,0),MATCH(data!O$1,Haver_M!$B$1:$ZN$1,0))),INDEX(Haver_M!$B$1:$ZN$1000,MATCH(data!$A19,Haver_M!$B$1:$B$1000,0),MATCH(data!O$1,Haver_M!$B$1:$ZN$1,0)),"na")</f>
        <v>129.65588</v>
      </c>
      <c r="P19">
        <f>IF(ISNUMBER(INDEX(Haver_M!$B$1:$ZN$1000,MATCH(data!$A19,Haver_M!$B$1:$B$1000,0),MATCH(data!P$1,Haver_M!$B$1:$ZN$1,0))),INDEX(Haver_M!$B$1:$ZN$1000,MATCH(data!$A19,Haver_M!$B$1:$B$1000,0),MATCH(data!P$1,Haver_M!$B$1:$ZN$1,0)),"na")</f>
        <v>49.425600000000003</v>
      </c>
      <c r="Q19">
        <f>IF(ISNUMBER(INDEX(Haver_M!$B$1:$ZN$1000,MATCH(data!$A19,Haver_M!$B$1:$B$1000,0),MATCH(data!Q$1,Haver_M!$B$1:$ZN$1,0))),INDEX(Haver_M!$B$1:$ZN$1000,MATCH(data!$A19,Haver_M!$B$1:$B$1000,0),MATCH(data!Q$1,Haver_M!$B$1:$ZN$1,0)),"na")</f>
        <v>53.852200000000003</v>
      </c>
      <c r="R19">
        <f>IF(ISNUMBER(INDEX(Haver_M!$B$1:$ZN$1000,MATCH(data!$A19,Haver_M!$B$1:$B$1000,0),MATCH(data!R$1,Haver_M!$B$1:$ZN$1,0))),INDEX(Haver_M!$B$1:$ZN$1000,MATCH(data!$A19,Haver_M!$B$1:$B$1000,0),MATCH(data!R$1,Haver_M!$B$1:$ZN$1,0)),"na")</f>
        <v>88.581900000000005</v>
      </c>
      <c r="S19">
        <f>IF(ISNUMBER(INDEX(Haver_M!$B$1:$ZN$1000,MATCH(data!$A19,Haver_M!$B$1:$B$1000,0),MATCH(data!S$1,Haver_M!$B$1:$ZN$1,0))),INDEX(Haver_M!$B$1:$ZN$1000,MATCH(data!$A19,Haver_M!$B$1:$B$1000,0),MATCH(data!S$1,Haver_M!$B$1:$ZN$1,0)),"na")</f>
        <v>105.73050000000001</v>
      </c>
      <c r="T19">
        <f>IF(ISNUMBER(INDEX(Haver_M!$B$1:$ZN$1000,MATCH(data!$A19,Haver_M!$B$1:$B$1000,0),MATCH(data!T$1,Haver_M!$B$1:$ZN$1,0))),INDEX(Haver_M!$B$1:$ZN$1000,MATCH(data!$A19,Haver_M!$B$1:$B$1000,0),MATCH(data!T$1,Haver_M!$B$1:$ZN$1,0)),"na")</f>
        <v>58.039099999999998</v>
      </c>
      <c r="U19">
        <f>IF(ISNUMBER(INDEX(Haver_M!$B$1:$ZN$1000,MATCH(data!$A19,Haver_M!$B$1:$B$1000,0),MATCH(data!U$1,Haver_M!$B$1:$ZN$1,0))),INDEX(Haver_M!$B$1:$ZN$1000,MATCH(data!$A19,Haver_M!$B$1:$B$1000,0),MATCH(data!U$1,Haver_M!$B$1:$ZN$1,0)),"na")</f>
        <v>76.119200000000006</v>
      </c>
      <c r="V19">
        <f>IF(ISNUMBER(INDEX(Haver_M!$B$1:$ZN$1000,MATCH(data!$A19,Haver_M!$B$1:$B$1000,0),MATCH(data!V$1,Haver_M!$B$1:$ZN$1,0))),INDEX(Haver_M!$B$1:$ZN$1000,MATCH(data!$A19,Haver_M!$B$1:$B$1000,0),MATCH(data!V$1,Haver_M!$B$1:$ZN$1,0)),"na")</f>
        <v>89.468199999999996</v>
      </c>
      <c r="W19">
        <f>IF(ISNUMBER(INDEX(Haver_M!$B$1:$ZN$1000,MATCH(data!$A19,Haver_M!$B$1:$B$1000,0),MATCH(data!W$1,Haver_M!$B$1:$ZN$1,0))),INDEX(Haver_M!$B$1:$ZN$1000,MATCH(data!$A19,Haver_M!$B$1:$B$1000,0),MATCH(data!W$1,Haver_M!$B$1:$ZN$1,0)),"na")</f>
        <v>2.75</v>
      </c>
      <c r="X19" t="str">
        <f>IF(ISNUMBER(INDEX(Haver_M!$B$1:$ZN$1000,MATCH(data!$A19,Haver_M!$B$1:$B$1000,0),MATCH(data!X$1,Haver_M!$B$1:$ZN$1,0))),INDEX(Haver_M!$B$1:$ZN$1000,MATCH(data!$A19,Haver_M!$B$1:$B$1000,0),MATCH(data!X$1,Haver_M!$B$1:$ZN$1,0)),"na")</f>
        <v>na</v>
      </c>
      <c r="Y19">
        <f>IF(ISNUMBER(INDEX(Haver_M!$B$1:$ZN$1000,MATCH(data!$A19,Haver_M!$B$1:$B$1000,0),MATCH(data!Y$1,Haver_M!$B$1:$ZN$1,0))),INDEX(Haver_M!$B$1:$ZN$1000,MATCH(data!$A19,Haver_M!$B$1:$B$1000,0),MATCH(data!Y$1,Haver_M!$B$1:$ZN$1,0)),"na")</f>
        <v>99.57</v>
      </c>
      <c r="Z19">
        <f>IF(ISNUMBER(INDEX(Haver_M!$B$1:$ZN$1000,MATCH(data!$A19,Haver_M!$B$1:$B$1000,0),MATCH(data!Z$1,Haver_M!$B$1:$ZN$1,0))),INDEX(Haver_M!$B$1:$ZN$1000,MATCH(data!$A19,Haver_M!$B$1:$B$1000,0),MATCH(data!Z$1,Haver_M!$B$1:$ZN$1,0)),"na")</f>
        <v>79.8476</v>
      </c>
      <c r="AA19" t="str">
        <f>IF(ISNUMBER(INDEX(Haver_M!$B$1:$ZN$1000,MATCH(data!$A19,Haver_M!$B$1:$B$1000,0),MATCH(data!AA$1,Haver_M!$B$1:$ZN$1,0))),INDEX(Haver_M!$B$1:$ZN$1000,MATCH(data!$A19,Haver_M!$B$1:$B$1000,0),MATCH(data!AA$1,Haver_M!$B$1:$ZN$1,0)),"na")</f>
        <v>na</v>
      </c>
      <c r="AB19">
        <f>IF(ISNUMBER(INDEX(Haver_M!$B$1:$ZN$1000,MATCH(data!$A19,Haver_M!$B$1:$B$1000,0),MATCH(data!AB$1,Haver_M!$B$1:$ZN$1,0))),INDEX(Haver_M!$B$1:$ZN$1000,MATCH(data!$A19,Haver_M!$B$1:$B$1000,0),MATCH(data!AB$1,Haver_M!$B$1:$ZN$1,0)),"na")</f>
        <v>13360.1</v>
      </c>
      <c r="AC19">
        <f>IF(ISNUMBER(INDEX(Haver_M!$B$1:$ZN$1000,MATCH(data!$A19,Haver_M!$B$1:$B$1000,0),MATCH(data!AC$1,Haver_M!$B$1:$ZN$1,0))),INDEX(Haver_M!$B$1:$ZN$1000,MATCH(data!$A19,Haver_M!$B$1:$B$1000,0),MATCH(data!AC$1,Haver_M!$B$1:$ZN$1,0)),"na")</f>
        <v>13983.2</v>
      </c>
      <c r="AD19">
        <f>IF(ISNUMBER(INDEX(Haver_M!$B$1:$ZN$1000,MATCH(data!$A19,Haver_M!$B$1:$B$1000,0),MATCH(data!AD$1,Haver_M!$B$1:$ZN$1,0))),INDEX(Haver_M!$B$1:$ZN$1000,MATCH(data!$A19,Haver_M!$B$1:$B$1000,0),MATCH(data!AD$1,Haver_M!$B$1:$ZN$1,0)),"na")</f>
        <v>100.57</v>
      </c>
      <c r="AE19">
        <f>IF(ISNUMBER(INDEX(Haver_M!$B$1:$ZN$1000,MATCH(data!$A19,Haver_M!$B$1:$B$1000,0),MATCH(data!AE$1,Haver_M!$B$1:$ZN$1,0))),INDEX(Haver_M!$B$1:$ZN$1000,MATCH(data!$A19,Haver_M!$B$1:$B$1000,0),MATCH(data!AE$1,Haver_M!$B$1:$ZN$1,0)),"na")</f>
        <v>44</v>
      </c>
      <c r="AF19" t="str">
        <f>IF(ISNUMBER(INDEX(Haver_M!$B$1:$ZN$1000,MATCH(data!$A19,Haver_M!$B$1:$B$1000,0),MATCH(data!AF$1,Haver_M!$B$1:$ZN$1,0))),INDEX(Haver_M!$B$1:$ZN$1000,MATCH(data!$A19,Haver_M!$B$1:$B$1000,0),MATCH(data!AF$1,Haver_M!$B$1:$ZN$1,0)),"na")</f>
        <v>na</v>
      </c>
      <c r="AG19" t="str">
        <f>IF(ISNUMBER(INDEX(Haver_M!$B$1:$ZN$1000,MATCH(data!$A19,Haver_M!$B$1:$B$1000,0),MATCH(data!AG$1,Haver_M!$B$1:$ZN$1,0))),INDEX(Haver_M!$B$1:$ZN$1000,MATCH(data!$A19,Haver_M!$B$1:$B$1000,0),MATCH(data!AG$1,Haver_M!$B$1:$ZN$1,0)),"na")</f>
        <v>na</v>
      </c>
      <c r="AH19" t="str">
        <f>IF(ISNUMBER(INDEX(Haver_M!$B$1:$ZN$1000,MATCH(data!$A19,Haver_M!$B$1:$B$1000,0),MATCH(data!AH$1,Haver_M!$B$1:$ZN$1,0))),INDEX(Haver_M!$B$1:$ZN$1000,MATCH(data!$A19,Haver_M!$B$1:$B$1000,0),MATCH(data!AH$1,Haver_M!$B$1:$ZN$1,0)),"na")</f>
        <v>na</v>
      </c>
      <c r="AI19" t="str">
        <f>IF(ISNUMBER(INDEX(Haver_M!$B$1:$ZN$1000,MATCH(data!$A19,Haver_M!$B$1:$B$1000,0),MATCH(data!AI$1,Haver_M!$B$1:$ZN$1,0))),INDEX(Haver_M!$B$1:$ZN$1000,MATCH(data!$A19,Haver_M!$B$1:$B$1000,0),MATCH(data!AI$1,Haver_M!$B$1:$ZN$1,0)),"na")</f>
        <v>na</v>
      </c>
      <c r="AJ19" t="str">
        <f>IF(ISNUMBER(INDEX(Haver_M!$B$1:$ZN$1000,MATCH(data!$A19,Haver_M!$B$1:$B$1000,0),MATCH(data!AJ$1,Haver_M!$B$1:$ZN$1,0))),INDEX(Haver_M!$B$1:$ZN$1000,MATCH(data!$A19,Haver_M!$B$1:$B$1000,0),MATCH(data!AJ$1,Haver_M!$B$1:$ZN$1,0)),"na")</f>
        <v>na</v>
      </c>
      <c r="AK19" t="str">
        <f>IF(ISNUMBER(INDEX(Haver_M!$B$1:$ZN$1000,MATCH(data!$A19,Haver_M!$B$1:$B$1000,0),MATCH(data!AK$1,Haver_M!$B$1:$ZN$1,0))),INDEX(Haver_M!$B$1:$ZN$1000,MATCH(data!$A19,Haver_M!$B$1:$B$1000,0),MATCH(data!AK$1,Haver_M!$B$1:$ZN$1,0)),"na")</f>
        <v>na</v>
      </c>
      <c r="AL19" t="str">
        <f>IF(ISNUMBER(INDEX(Haver_M!$B$1:$ZN$1000,MATCH(data!$A19,Haver_M!$B$1:$B$1000,0),MATCH(data!AL$1,Haver_M!$B$1:$ZN$1,0))),INDEX(Haver_M!$B$1:$ZN$1000,MATCH(data!$A19,Haver_M!$B$1:$B$1000,0),MATCH(data!AL$1,Haver_M!$B$1:$ZN$1,0)),"na")</f>
        <v>na</v>
      </c>
      <c r="AM19" t="str">
        <f>IF(ISNUMBER(INDEX(Haver_M!$B$1:$ZN$1000,MATCH(data!$A19,Haver_M!$B$1:$B$1000,0),MATCH(data!AM$1,Haver_M!$B$1:$ZN$1,0))),INDEX(Haver_M!$B$1:$ZN$1000,MATCH(data!$A19,Haver_M!$B$1:$B$1000,0),MATCH(data!AM$1,Haver_M!$B$1:$ZN$1,0)),"na")</f>
        <v>na</v>
      </c>
      <c r="AN19" t="str">
        <f>IF(ISNUMBER(INDEX(Haver_M!$B$1:$ZN$1000,MATCH(data!$A19,Haver_M!$B$1:$B$1000,0),MATCH(data!AN$1,Haver_M!$B$1:$ZN$1,0))),INDEX(Haver_M!$B$1:$ZN$1000,MATCH(data!$A19,Haver_M!$B$1:$B$1000,0),MATCH(data!AN$1,Haver_M!$B$1:$ZN$1,0)),"na")</f>
        <v>na</v>
      </c>
      <c r="AO19" t="str">
        <f>IF(ISNUMBER(INDEX(Haver_M!$B$1:$ZN$1000,MATCH(data!$A19,Haver_M!$B$1:$B$1000,0),MATCH(data!AO$1,Haver_M!$B$1:$ZN$1,0))),INDEX(Haver_M!$B$1:$ZN$1000,MATCH(data!$A19,Haver_M!$B$1:$B$1000,0),MATCH(data!AO$1,Haver_M!$B$1:$ZN$1,0)),"na")</f>
        <v>na</v>
      </c>
      <c r="AP19" t="str">
        <f>IF(ISNUMBER(INDEX(Haver_M!$B$1:$ZN$1000,MATCH(data!$A19,Haver_M!$B$1:$B$1000,0),MATCH(data!AP$1,Haver_M!$B$1:$ZN$1,0))),INDEX(Haver_M!$B$1:$ZN$1000,MATCH(data!$A19,Haver_M!$B$1:$B$1000,0),MATCH(data!AP$1,Haver_M!$B$1:$ZN$1,0)),"na")</f>
        <v>na</v>
      </c>
      <c r="AQ19" t="str">
        <f>IF(ISNUMBER(INDEX(Haver_M!$B$1:$ZN$1000,MATCH(data!$A19,Haver_M!$B$1:$B$1000,0),MATCH(data!AQ$1,Haver_M!$B$1:$ZN$1,0))),INDEX(Haver_M!$B$1:$ZN$1000,MATCH(data!$A19,Haver_M!$B$1:$B$1000,0),MATCH(data!AQ$1,Haver_M!$B$1:$ZN$1,0)),"na")</f>
        <v>na</v>
      </c>
      <c r="AR19" t="str">
        <f>IF(ISNUMBER(INDEX(Haver_M!$B$1:$ZN$1000,MATCH(data!$A19,Haver_M!$B$1:$B$1000,0),MATCH(data!AR$1,Haver_M!$B$1:$ZN$1,0))),INDEX(Haver_M!$B$1:$ZN$1000,MATCH(data!$A19,Haver_M!$B$1:$B$1000,0),MATCH(data!AR$1,Haver_M!$B$1:$ZN$1,0)),"na")</f>
        <v>na</v>
      </c>
      <c r="AS19">
        <f>IF(ISNUMBER(INDEX(Haver_M!$B$1:$ZN$1000,MATCH(data!$A19,Haver_M!$B$1:$B$1000,0),MATCH(data!AS$1,Haver_M!$B$1:$ZN$1,0))),INDEX(Haver_M!$B$1:$ZN$1000,MATCH(data!$A19,Haver_M!$B$1:$B$1000,0),MATCH(data!AS$1,Haver_M!$B$1:$ZN$1,0)),"na")</f>
        <v>6642.04</v>
      </c>
      <c r="AT19">
        <f>IF(ISNUMBER(INDEX(Haver_M!$B$1:$ZN$1000,MATCH(data!$A19,Haver_M!$B$1:$B$1000,0),MATCH(data!AT$1,Haver_M!$B$1:$ZN$1,0))),INDEX(Haver_M!$B$1:$ZN$1000,MATCH(data!$A19,Haver_M!$B$1:$B$1000,0),MATCH(data!AT$1,Haver_M!$B$1:$ZN$1,0)),"na")</f>
        <v>80.569000000000003</v>
      </c>
      <c r="AU19">
        <f>IF(ISNUMBER(INDEX(Haver_M!$B$1:$ZN$1000,MATCH(data!$A19,Haver_M!$B$1:$B$1000,0),MATCH(data!AU$1,Haver_M!$B$1:$ZN$1,0))),INDEX(Haver_M!$B$1:$ZN$1000,MATCH(data!$A19,Haver_M!$B$1:$B$1000,0),MATCH(data!AU$1,Haver_M!$B$1:$ZN$1,0)),"na")</f>
        <v>79.518017</v>
      </c>
      <c r="AV19">
        <f>IF(ISNUMBER(INDEX(Haver_M!$B$1:$ZN$1000,MATCH(data!$A19,Haver_M!$B$1:$B$1000,0),MATCH(data!AV$1,Haver_M!$B$1:$ZN$1,0))),INDEX(Haver_M!$B$1:$ZN$1000,MATCH(data!$A19,Haver_M!$B$1:$B$1000,0),MATCH(data!AV$1,Haver_M!$B$1:$ZN$1,0)),"na")</f>
        <v>70.7</v>
      </c>
      <c r="AW19">
        <f>IF(ISNUMBER(INDEX(Haver_M!$B$1:$ZN$1000,MATCH(data!$A19,Haver_M!$B$1:$B$1000,0),MATCH(data!AW$1,Haver_M!$B$1:$ZN$1,0))),INDEX(Haver_M!$B$1:$ZN$1000,MATCH(data!$A19,Haver_M!$B$1:$B$1000,0),MATCH(data!AW$1,Haver_M!$B$1:$ZN$1,0)),"na")</f>
        <v>734358.78433296178</v>
      </c>
      <c r="AX19">
        <f>IF(ISNUMBER(INDEX(Haver_M!$B$1:$ZN$1000,MATCH(data!$A19,Haver_M!$B$1:$B$1000,0),MATCH(data!AX$1,Haver_M!$B$1:$ZN$1,0))),INDEX(Haver_M!$B$1:$ZN$1000,MATCH(data!$A19,Haver_M!$B$1:$B$1000,0),MATCH(data!AX$1,Haver_M!$B$1:$ZN$1,0)),"na")</f>
        <v>3142</v>
      </c>
      <c r="AY19">
        <f>IF(ISNUMBER(INDEX(Haver_M!$B$1:$ZN$1000,MATCH(data!$A19,Haver_M!$B$1:$B$1000,0),MATCH(data!AY$1,Haver_M!$B$1:$ZN$1,0))),INDEX(Haver_M!$B$1:$ZN$1000,MATCH(data!$A19,Haver_M!$B$1:$B$1000,0),MATCH(data!AY$1,Haver_M!$B$1:$ZN$1,0)),"na")</f>
        <v>1716</v>
      </c>
      <c r="AZ19" t="str">
        <f>IF(ISNUMBER(INDEX(Haver_M!$B$1:$ZN$1000,MATCH(data!$A19,Haver_M!$B$1:$B$1000,0),MATCH(data!AZ$1,Haver_M!$B$1:$ZN$1,0))),INDEX(Haver_M!$B$1:$ZN$1000,MATCH(data!$A19,Haver_M!$B$1:$B$1000,0),MATCH(data!AZ$1,Haver_M!$B$1:$ZN$1,0)),"na")</f>
        <v>na</v>
      </c>
      <c r="BA19">
        <f>IF(ISNUMBER(INDEX(Haver_M!$B$1:$ZN$1000,MATCH(data!$A19,Haver_M!$B$1:$B$1000,0),MATCH(data!BA$1,Haver_M!$B$1:$ZN$1,0))),INDEX(Haver_M!$B$1:$ZN$1000,MATCH(data!$A19,Haver_M!$B$1:$B$1000,0),MATCH(data!BA$1,Haver_M!$B$1:$ZN$1,0)),"na")</f>
        <v>115.9976479963933</v>
      </c>
      <c r="BB19" t="str">
        <f>IF(ISNUMBER(INDEX(Haver_M!$B$1:$ZN$1000,MATCH(data!$A19,Haver_M!$B$1:$B$1000,0),MATCH(data!BB$1,Haver_M!$B$1:$ZN$1,0))),INDEX(Haver_M!$B$1:$ZN$1000,MATCH(data!$A19,Haver_M!$B$1:$B$1000,0),MATCH(data!BB$1,Haver_M!$B$1:$ZN$1,0)),"")</f>
        <v/>
      </c>
    </row>
    <row r="20" spans="1:54" x14ac:dyDescent="0.25">
      <c r="A20" s="2">
        <v>37103</v>
      </c>
      <c r="B20" t="str">
        <f>IF(ISNUMBER(INDEX(Haver_Q!$B$1:$BD$1000,MATCH(data!$A20,Haver_Q!$B$1:$B$1000,0),MATCH(data!B$1,Haver_Q!$B$1:$BD$1,0))),100*INDEX(Haver_Q!$B$1:$BD$1000,MATCH(data!$A20,Haver_Q!$B$1:$B$1000,0),MATCH(data!B$1,Haver_Q!$B$1:$BD$1,0)),"na")</f>
        <v>na</v>
      </c>
      <c r="C20" t="str">
        <f>IF(ISNUMBER(INDEX(Haver_Q!$B$1:$BD$1000,MATCH(data!$A20,Haver_Q!$B$1:$B$1000,0),MATCH(data!C$1,Haver_Q!$B$1:$BD$1,0))),100*INDEX(Haver_Q!$B$1:$BD$1000,MATCH(data!$A20,Haver_Q!$B$1:$B$1000,0),MATCH(data!C$1,Haver_Q!$B$1:$BD$1,0)),"na")</f>
        <v>na</v>
      </c>
      <c r="D20" t="str">
        <f>IF(ISNUMBER(INDEX(Haver_Q!$B$1:$BD$1000,MATCH(data!$A20,Haver_Q!$B$1:$B$1000,0),MATCH(data!D$1,Haver_Q!$B$1:$BD$1,0))),100*INDEX(Haver_Q!$B$1:$BD$1000,MATCH(data!$A20,Haver_Q!$B$1:$B$1000,0),MATCH(data!D$1,Haver_Q!$B$1:$BD$1,0)),"na")</f>
        <v>na</v>
      </c>
      <c r="E20" t="str">
        <f>IF(ISNUMBER(INDEX(Haver_Q!$B$1:$BD$1000,MATCH(data!$A20,Haver_Q!$B$1:$B$1000,0),MATCH(data!E$1,Haver_Q!$B$1:$BD$1,0))),100*INDEX(Haver_Q!$B$1:$BD$1000,MATCH(data!$A20,Haver_Q!$B$1:$B$1000,0),MATCH(data!E$1,Haver_Q!$B$1:$BD$1,0)),"na")</f>
        <v>na</v>
      </c>
      <c r="F20" t="str">
        <f>IF(ISNUMBER(INDEX(Haver_Q!$B$1:$BD$1000,MATCH(data!$A20,Haver_Q!$B$1:$B$1000,0),MATCH(data!F$1,Haver_Q!$B$1:$BD$1,0))),100*INDEX(Haver_Q!$B$1:$BD$1000,MATCH(data!$A20,Haver_Q!$B$1:$B$1000,0),MATCH(data!F$1,Haver_Q!$B$1:$BD$1,0)),"na")</f>
        <v>na</v>
      </c>
      <c r="G20" t="str">
        <f>IF(ISNUMBER(INDEX(Haver_Q!$B$1:$BD$1000,MATCH(data!$A20,Haver_Q!$B$1:$B$1000,0),MATCH(data!G$1,Haver_Q!$B$1:$BD$1,0))),100*INDEX(Haver_Q!$B$1:$BD$1000,MATCH(data!$A20,Haver_Q!$B$1:$B$1000,0),MATCH(data!G$1,Haver_Q!$B$1:$BD$1,0)),"na")</f>
        <v>na</v>
      </c>
      <c r="H20" t="str">
        <f>IF(ISNUMBER(INDEX(Haver_Q!$B$1:$BD$1000,MATCH(data!$A20,Haver_Q!$B$1:$B$1000,0),MATCH(data!H$1,Haver_Q!$B$1:$BD$1,0))),100*INDEX(Haver_Q!$B$1:$BD$1000,MATCH(data!$A20,Haver_Q!$B$1:$B$1000,0),MATCH(data!H$1,Haver_Q!$B$1:$BD$1,0)),"na")</f>
        <v>na</v>
      </c>
      <c r="I20" s="3">
        <f>IF(ISNUMBER(Bloomberg_m!C36),Bloomberg_m!C36,"na")</f>
        <v>1221</v>
      </c>
      <c r="J20" s="3" t="str">
        <f>IF(ISNUMBER(Bloomberg_m!D36),Bloomberg_m!D36,"na")</f>
        <v>na</v>
      </c>
      <c r="K20" s="3" t="str">
        <f>IF(ISNUMBER(Bloomberg_m!E36),Bloomberg_m!E36,"na")</f>
        <v>na</v>
      </c>
      <c r="L20" s="3">
        <f>IF(ISNUMBER(Bloomberg_m!L36),Bloomberg_m!L36,"na")</f>
        <v>26.44</v>
      </c>
      <c r="M20" t="str">
        <f>IF(ISNUMBER(INDEX(Haver_M!$B$1:$ZN$1000,MATCH(data!$A20,Haver_M!$B$1:$B$1000,0),MATCH(data!M$1,Haver_M!$B$1:$ZN$1,0))),INDEX(Haver_M!$B$1:$ZN$1000,MATCH(data!$A20,Haver_M!$B$1:$B$1000,0),MATCH(data!M$1,Haver_M!$B$1:$ZN$1,0)),"na")</f>
        <v>na</v>
      </c>
      <c r="N20" t="str">
        <f>IF(ISNUMBER(INDEX(Haver_M!$B$1:$ZN$1000,MATCH(data!$A20,Haver_M!$B$1:$B$1000,0),MATCH(data!N$1,Haver_M!$B$1:$ZN$1,0))),INDEX(Haver_M!$B$1:$ZN$1000,MATCH(data!$A20,Haver_M!$B$1:$B$1000,0),MATCH(data!N$1,Haver_M!$B$1:$ZN$1,0)),"na")</f>
        <v>na</v>
      </c>
      <c r="O20">
        <f>IF(ISNUMBER(INDEX(Haver_M!$B$1:$ZN$1000,MATCH(data!$A20,Haver_M!$B$1:$B$1000,0),MATCH(data!O$1,Haver_M!$B$1:$ZN$1,0))),INDEX(Haver_M!$B$1:$ZN$1000,MATCH(data!$A20,Haver_M!$B$1:$B$1000,0),MATCH(data!O$1,Haver_M!$B$1:$ZN$1,0)),"na")</f>
        <v>128.51874000000001</v>
      </c>
      <c r="P20">
        <f>IF(ISNUMBER(INDEX(Haver_M!$B$1:$ZN$1000,MATCH(data!$A20,Haver_M!$B$1:$B$1000,0),MATCH(data!P$1,Haver_M!$B$1:$ZN$1,0))),INDEX(Haver_M!$B$1:$ZN$1000,MATCH(data!$A20,Haver_M!$B$1:$B$1000,0),MATCH(data!P$1,Haver_M!$B$1:$ZN$1,0)),"na")</f>
        <v>49.459099999999999</v>
      </c>
      <c r="Q20">
        <f>IF(ISNUMBER(INDEX(Haver_M!$B$1:$ZN$1000,MATCH(data!$A20,Haver_M!$B$1:$B$1000,0),MATCH(data!Q$1,Haver_M!$B$1:$ZN$1,0))),INDEX(Haver_M!$B$1:$ZN$1000,MATCH(data!$A20,Haver_M!$B$1:$B$1000,0),MATCH(data!Q$1,Haver_M!$B$1:$ZN$1,0)),"na")</f>
        <v>54.082799999999999</v>
      </c>
      <c r="R20">
        <f>IF(ISNUMBER(INDEX(Haver_M!$B$1:$ZN$1000,MATCH(data!$A20,Haver_M!$B$1:$B$1000,0),MATCH(data!R$1,Haver_M!$B$1:$ZN$1,0))),INDEX(Haver_M!$B$1:$ZN$1000,MATCH(data!$A20,Haver_M!$B$1:$B$1000,0),MATCH(data!R$1,Haver_M!$B$1:$ZN$1,0)),"na")</f>
        <v>89.212500000000006</v>
      </c>
      <c r="S20">
        <f>IF(ISNUMBER(INDEX(Haver_M!$B$1:$ZN$1000,MATCH(data!$A20,Haver_M!$B$1:$B$1000,0),MATCH(data!S$1,Haver_M!$B$1:$ZN$1,0))),INDEX(Haver_M!$B$1:$ZN$1000,MATCH(data!$A20,Haver_M!$B$1:$B$1000,0),MATCH(data!S$1,Haver_M!$B$1:$ZN$1,0)),"na")</f>
        <v>106.27930000000001</v>
      </c>
      <c r="T20">
        <f>IF(ISNUMBER(INDEX(Haver_M!$B$1:$ZN$1000,MATCH(data!$A20,Haver_M!$B$1:$B$1000,0),MATCH(data!T$1,Haver_M!$B$1:$ZN$1,0))),INDEX(Haver_M!$B$1:$ZN$1000,MATCH(data!$A20,Haver_M!$B$1:$B$1000,0),MATCH(data!T$1,Haver_M!$B$1:$ZN$1,0)),"na")</f>
        <v>57.558100000000003</v>
      </c>
      <c r="U20">
        <f>IF(ISNUMBER(INDEX(Haver_M!$B$1:$ZN$1000,MATCH(data!$A20,Haver_M!$B$1:$B$1000,0),MATCH(data!U$1,Haver_M!$B$1:$ZN$1,0))),INDEX(Haver_M!$B$1:$ZN$1000,MATCH(data!$A20,Haver_M!$B$1:$B$1000,0),MATCH(data!U$1,Haver_M!$B$1:$ZN$1,0)),"na")</f>
        <v>78.876800000000003</v>
      </c>
      <c r="V20">
        <f>IF(ISNUMBER(INDEX(Haver_M!$B$1:$ZN$1000,MATCH(data!$A20,Haver_M!$B$1:$B$1000,0),MATCH(data!V$1,Haver_M!$B$1:$ZN$1,0))),INDEX(Haver_M!$B$1:$ZN$1000,MATCH(data!$A20,Haver_M!$B$1:$B$1000,0),MATCH(data!V$1,Haver_M!$B$1:$ZN$1,0)),"na")</f>
        <v>89.083799999999997</v>
      </c>
      <c r="W20">
        <f>IF(ISNUMBER(INDEX(Haver_M!$B$1:$ZN$1000,MATCH(data!$A20,Haver_M!$B$1:$B$1000,0),MATCH(data!W$1,Haver_M!$B$1:$ZN$1,0))),INDEX(Haver_M!$B$1:$ZN$1000,MATCH(data!$A20,Haver_M!$B$1:$B$1000,0),MATCH(data!W$1,Haver_M!$B$1:$ZN$1,0)),"na")</f>
        <v>2.77</v>
      </c>
      <c r="X20" t="str">
        <f>IF(ISNUMBER(INDEX(Haver_M!$B$1:$ZN$1000,MATCH(data!$A20,Haver_M!$B$1:$B$1000,0),MATCH(data!X$1,Haver_M!$B$1:$ZN$1,0))),INDEX(Haver_M!$B$1:$ZN$1000,MATCH(data!$A20,Haver_M!$B$1:$B$1000,0),MATCH(data!X$1,Haver_M!$B$1:$ZN$1,0)),"na")</f>
        <v>na</v>
      </c>
      <c r="Y20">
        <f>IF(ISNUMBER(INDEX(Haver_M!$B$1:$ZN$1000,MATCH(data!$A20,Haver_M!$B$1:$B$1000,0),MATCH(data!Y$1,Haver_M!$B$1:$ZN$1,0))),INDEX(Haver_M!$B$1:$ZN$1000,MATCH(data!$A20,Haver_M!$B$1:$B$1000,0),MATCH(data!Y$1,Haver_M!$B$1:$ZN$1,0)),"na")</f>
        <v>99.61</v>
      </c>
      <c r="Z20">
        <f>IF(ISNUMBER(INDEX(Haver_M!$B$1:$ZN$1000,MATCH(data!$A20,Haver_M!$B$1:$B$1000,0),MATCH(data!Z$1,Haver_M!$B$1:$ZN$1,0))),INDEX(Haver_M!$B$1:$ZN$1000,MATCH(data!$A20,Haver_M!$B$1:$B$1000,0),MATCH(data!Z$1,Haver_M!$B$1:$ZN$1,0)),"na")</f>
        <v>79.191100000000006</v>
      </c>
      <c r="AA20" t="str">
        <f>IF(ISNUMBER(INDEX(Haver_M!$B$1:$ZN$1000,MATCH(data!$A20,Haver_M!$B$1:$B$1000,0),MATCH(data!AA$1,Haver_M!$B$1:$ZN$1,0))),INDEX(Haver_M!$B$1:$ZN$1000,MATCH(data!$A20,Haver_M!$B$1:$B$1000,0),MATCH(data!AA$1,Haver_M!$B$1:$ZN$1,0)),"na")</f>
        <v>na</v>
      </c>
      <c r="AB20">
        <f>IF(ISNUMBER(INDEX(Haver_M!$B$1:$ZN$1000,MATCH(data!$A20,Haver_M!$B$1:$B$1000,0),MATCH(data!AB$1,Haver_M!$B$1:$ZN$1,0))),INDEX(Haver_M!$B$1:$ZN$1000,MATCH(data!$A20,Haver_M!$B$1:$B$1000,0),MATCH(data!AB$1,Haver_M!$B$1:$ZN$1,0)),"na")</f>
        <v>12794.8</v>
      </c>
      <c r="AC20">
        <f>IF(ISNUMBER(INDEX(Haver_M!$B$1:$ZN$1000,MATCH(data!$A20,Haver_M!$B$1:$B$1000,0),MATCH(data!AC$1,Haver_M!$B$1:$ZN$1,0))),INDEX(Haver_M!$B$1:$ZN$1000,MATCH(data!$A20,Haver_M!$B$1:$B$1000,0),MATCH(data!AC$1,Haver_M!$B$1:$ZN$1,0)),"na")</f>
        <v>13532.5</v>
      </c>
      <c r="AD20">
        <f>IF(ISNUMBER(INDEX(Haver_M!$B$1:$ZN$1000,MATCH(data!$A20,Haver_M!$B$1:$B$1000,0),MATCH(data!AD$1,Haver_M!$B$1:$ZN$1,0))),INDEX(Haver_M!$B$1:$ZN$1000,MATCH(data!$A20,Haver_M!$B$1:$B$1000,0),MATCH(data!AD$1,Haver_M!$B$1:$ZN$1,0)),"na")</f>
        <v>100.43</v>
      </c>
      <c r="AE20">
        <f>IF(ISNUMBER(INDEX(Haver_M!$B$1:$ZN$1000,MATCH(data!$A20,Haver_M!$B$1:$B$1000,0),MATCH(data!AE$1,Haver_M!$B$1:$ZN$1,0))),INDEX(Haver_M!$B$1:$ZN$1000,MATCH(data!$A20,Haver_M!$B$1:$B$1000,0),MATCH(data!AE$1,Haver_M!$B$1:$ZN$1,0)),"na")</f>
        <v>46.1</v>
      </c>
      <c r="AF20" t="str">
        <f>IF(ISNUMBER(INDEX(Haver_M!$B$1:$ZN$1000,MATCH(data!$A20,Haver_M!$B$1:$B$1000,0),MATCH(data!AF$1,Haver_M!$B$1:$ZN$1,0))),INDEX(Haver_M!$B$1:$ZN$1000,MATCH(data!$A20,Haver_M!$B$1:$B$1000,0),MATCH(data!AF$1,Haver_M!$B$1:$ZN$1,0)),"na")</f>
        <v>na</v>
      </c>
      <c r="AG20" t="str">
        <f>IF(ISNUMBER(INDEX(Haver_M!$B$1:$ZN$1000,MATCH(data!$A20,Haver_M!$B$1:$B$1000,0),MATCH(data!AG$1,Haver_M!$B$1:$ZN$1,0))),INDEX(Haver_M!$B$1:$ZN$1000,MATCH(data!$A20,Haver_M!$B$1:$B$1000,0),MATCH(data!AG$1,Haver_M!$B$1:$ZN$1,0)),"na")</f>
        <v>na</v>
      </c>
      <c r="AH20" t="str">
        <f>IF(ISNUMBER(INDEX(Haver_M!$B$1:$ZN$1000,MATCH(data!$A20,Haver_M!$B$1:$B$1000,0),MATCH(data!AH$1,Haver_M!$B$1:$ZN$1,0))),INDEX(Haver_M!$B$1:$ZN$1000,MATCH(data!$A20,Haver_M!$B$1:$B$1000,0),MATCH(data!AH$1,Haver_M!$B$1:$ZN$1,0)),"na")</f>
        <v>na</v>
      </c>
      <c r="AI20" t="str">
        <f>IF(ISNUMBER(INDEX(Haver_M!$B$1:$ZN$1000,MATCH(data!$A20,Haver_M!$B$1:$B$1000,0),MATCH(data!AI$1,Haver_M!$B$1:$ZN$1,0))),INDEX(Haver_M!$B$1:$ZN$1000,MATCH(data!$A20,Haver_M!$B$1:$B$1000,0),MATCH(data!AI$1,Haver_M!$B$1:$ZN$1,0)),"na")</f>
        <v>na</v>
      </c>
      <c r="AJ20" t="str">
        <f>IF(ISNUMBER(INDEX(Haver_M!$B$1:$ZN$1000,MATCH(data!$A20,Haver_M!$B$1:$B$1000,0),MATCH(data!AJ$1,Haver_M!$B$1:$ZN$1,0))),INDEX(Haver_M!$B$1:$ZN$1000,MATCH(data!$A20,Haver_M!$B$1:$B$1000,0),MATCH(data!AJ$1,Haver_M!$B$1:$ZN$1,0)),"na")</f>
        <v>na</v>
      </c>
      <c r="AK20" t="str">
        <f>IF(ISNUMBER(INDEX(Haver_M!$B$1:$ZN$1000,MATCH(data!$A20,Haver_M!$B$1:$B$1000,0),MATCH(data!AK$1,Haver_M!$B$1:$ZN$1,0))),INDEX(Haver_M!$B$1:$ZN$1000,MATCH(data!$A20,Haver_M!$B$1:$B$1000,0),MATCH(data!AK$1,Haver_M!$B$1:$ZN$1,0)),"na")</f>
        <v>na</v>
      </c>
      <c r="AL20" t="str">
        <f>IF(ISNUMBER(INDEX(Haver_M!$B$1:$ZN$1000,MATCH(data!$A20,Haver_M!$B$1:$B$1000,0),MATCH(data!AL$1,Haver_M!$B$1:$ZN$1,0))),INDEX(Haver_M!$B$1:$ZN$1000,MATCH(data!$A20,Haver_M!$B$1:$B$1000,0),MATCH(data!AL$1,Haver_M!$B$1:$ZN$1,0)),"na")</f>
        <v>na</v>
      </c>
      <c r="AM20" t="str">
        <f>IF(ISNUMBER(INDEX(Haver_M!$B$1:$ZN$1000,MATCH(data!$A20,Haver_M!$B$1:$B$1000,0),MATCH(data!AM$1,Haver_M!$B$1:$ZN$1,0))),INDEX(Haver_M!$B$1:$ZN$1000,MATCH(data!$A20,Haver_M!$B$1:$B$1000,0),MATCH(data!AM$1,Haver_M!$B$1:$ZN$1,0)),"na")</f>
        <v>na</v>
      </c>
      <c r="AN20" t="str">
        <f>IF(ISNUMBER(INDEX(Haver_M!$B$1:$ZN$1000,MATCH(data!$A20,Haver_M!$B$1:$B$1000,0),MATCH(data!AN$1,Haver_M!$B$1:$ZN$1,0))),INDEX(Haver_M!$B$1:$ZN$1000,MATCH(data!$A20,Haver_M!$B$1:$B$1000,0),MATCH(data!AN$1,Haver_M!$B$1:$ZN$1,0)),"na")</f>
        <v>na</v>
      </c>
      <c r="AO20" t="str">
        <f>IF(ISNUMBER(INDEX(Haver_M!$B$1:$ZN$1000,MATCH(data!$A20,Haver_M!$B$1:$B$1000,0),MATCH(data!AO$1,Haver_M!$B$1:$ZN$1,0))),INDEX(Haver_M!$B$1:$ZN$1000,MATCH(data!$A20,Haver_M!$B$1:$B$1000,0),MATCH(data!AO$1,Haver_M!$B$1:$ZN$1,0)),"na")</f>
        <v>na</v>
      </c>
      <c r="AP20" t="str">
        <f>IF(ISNUMBER(INDEX(Haver_M!$B$1:$ZN$1000,MATCH(data!$A20,Haver_M!$B$1:$B$1000,0),MATCH(data!AP$1,Haver_M!$B$1:$ZN$1,0))),INDEX(Haver_M!$B$1:$ZN$1000,MATCH(data!$A20,Haver_M!$B$1:$B$1000,0),MATCH(data!AP$1,Haver_M!$B$1:$ZN$1,0)),"na")</f>
        <v>na</v>
      </c>
      <c r="AQ20" t="str">
        <f>IF(ISNUMBER(INDEX(Haver_M!$B$1:$ZN$1000,MATCH(data!$A20,Haver_M!$B$1:$B$1000,0),MATCH(data!AQ$1,Haver_M!$B$1:$ZN$1,0))),INDEX(Haver_M!$B$1:$ZN$1000,MATCH(data!$A20,Haver_M!$B$1:$B$1000,0),MATCH(data!AQ$1,Haver_M!$B$1:$ZN$1,0)),"na")</f>
        <v>na</v>
      </c>
      <c r="AR20" t="str">
        <f>IF(ISNUMBER(INDEX(Haver_M!$B$1:$ZN$1000,MATCH(data!$A20,Haver_M!$B$1:$B$1000,0),MATCH(data!AR$1,Haver_M!$B$1:$ZN$1,0))),INDEX(Haver_M!$B$1:$ZN$1000,MATCH(data!$A20,Haver_M!$B$1:$B$1000,0),MATCH(data!AR$1,Haver_M!$B$1:$ZN$1,0)),"na")</f>
        <v>na</v>
      </c>
      <c r="AS20">
        <f>IF(ISNUMBER(INDEX(Haver_M!$B$1:$ZN$1000,MATCH(data!$A20,Haver_M!$B$1:$B$1000,0),MATCH(data!AS$1,Haver_M!$B$1:$ZN$1,0))),INDEX(Haver_M!$B$1:$ZN$1000,MATCH(data!$A20,Haver_M!$B$1:$B$1000,0),MATCH(data!AS$1,Haver_M!$B$1:$ZN$1,0)),"na")</f>
        <v>6552.96</v>
      </c>
      <c r="AT20">
        <f>IF(ISNUMBER(INDEX(Haver_M!$B$1:$ZN$1000,MATCH(data!$A20,Haver_M!$B$1:$B$1000,0),MATCH(data!AT$1,Haver_M!$B$1:$ZN$1,0))),INDEX(Haver_M!$B$1:$ZN$1000,MATCH(data!$A20,Haver_M!$B$1:$B$1000,0),MATCH(data!AT$1,Haver_M!$B$1:$ZN$1,0)),"na")</f>
        <v>79.39</v>
      </c>
      <c r="AU20">
        <f>IF(ISNUMBER(INDEX(Haver_M!$B$1:$ZN$1000,MATCH(data!$A20,Haver_M!$B$1:$B$1000,0),MATCH(data!AU$1,Haver_M!$B$1:$ZN$1,0))),INDEX(Haver_M!$B$1:$ZN$1000,MATCH(data!$A20,Haver_M!$B$1:$B$1000,0),MATCH(data!AU$1,Haver_M!$B$1:$ZN$1,0)),"na")</f>
        <v>79.625331000000003</v>
      </c>
      <c r="AV20">
        <f>IF(ISNUMBER(INDEX(Haver_M!$B$1:$ZN$1000,MATCH(data!$A20,Haver_M!$B$1:$B$1000,0),MATCH(data!AV$1,Haver_M!$B$1:$ZN$1,0))),INDEX(Haver_M!$B$1:$ZN$1000,MATCH(data!$A20,Haver_M!$B$1:$B$1000,0),MATCH(data!AV$1,Haver_M!$B$1:$ZN$1,0)),"na")</f>
        <v>72.5</v>
      </c>
      <c r="AW20">
        <f>IF(ISNUMBER(INDEX(Haver_M!$B$1:$ZN$1000,MATCH(data!$A20,Haver_M!$B$1:$B$1000,0),MATCH(data!AW$1,Haver_M!$B$1:$ZN$1,0))),INDEX(Haver_M!$B$1:$ZN$1000,MATCH(data!$A20,Haver_M!$B$1:$B$1000,0),MATCH(data!AW$1,Haver_M!$B$1:$ZN$1,0)),"na")</f>
        <v>715506.87362185598</v>
      </c>
      <c r="AX20">
        <f>IF(ISNUMBER(INDEX(Haver_M!$B$1:$ZN$1000,MATCH(data!$A20,Haver_M!$B$1:$B$1000,0),MATCH(data!AX$1,Haver_M!$B$1:$ZN$1,0))),INDEX(Haver_M!$B$1:$ZN$1000,MATCH(data!$A20,Haver_M!$B$1:$B$1000,0),MATCH(data!AX$1,Haver_M!$B$1:$ZN$1,0)),"na")</f>
        <v>3157</v>
      </c>
      <c r="AY20">
        <f>IF(ISNUMBER(INDEX(Haver_M!$B$1:$ZN$1000,MATCH(data!$A20,Haver_M!$B$1:$B$1000,0),MATCH(data!AY$1,Haver_M!$B$1:$ZN$1,0))),INDEX(Haver_M!$B$1:$ZN$1000,MATCH(data!$A20,Haver_M!$B$1:$B$1000,0),MATCH(data!AY$1,Haver_M!$B$1:$ZN$1,0)),"na")</f>
        <v>1711</v>
      </c>
      <c r="AZ20" t="str">
        <f>IF(ISNUMBER(INDEX(Haver_M!$B$1:$ZN$1000,MATCH(data!$A20,Haver_M!$B$1:$B$1000,0),MATCH(data!AZ$1,Haver_M!$B$1:$ZN$1,0))),INDEX(Haver_M!$B$1:$ZN$1000,MATCH(data!$A20,Haver_M!$B$1:$B$1000,0),MATCH(data!AZ$1,Haver_M!$B$1:$ZN$1,0)),"na")</f>
        <v>na</v>
      </c>
      <c r="BA20">
        <f>IF(ISNUMBER(INDEX(Haver_M!$B$1:$ZN$1000,MATCH(data!$A20,Haver_M!$B$1:$B$1000,0),MATCH(data!BA$1,Haver_M!$B$1:$ZN$1,0))),INDEX(Haver_M!$B$1:$ZN$1000,MATCH(data!$A20,Haver_M!$B$1:$B$1000,0),MATCH(data!BA$1,Haver_M!$B$1:$ZN$1,0)),"na")</f>
        <v>97.896514254751906</v>
      </c>
      <c r="BB20" t="str">
        <f>IF(ISNUMBER(INDEX(Haver_M!$B$1:$ZN$1000,MATCH(data!$A20,Haver_M!$B$1:$B$1000,0),MATCH(data!BB$1,Haver_M!$B$1:$ZN$1,0))),INDEX(Haver_M!$B$1:$ZN$1000,MATCH(data!$A20,Haver_M!$B$1:$B$1000,0),MATCH(data!BB$1,Haver_M!$B$1:$ZN$1,0)),"")</f>
        <v/>
      </c>
    </row>
    <row r="21" spans="1:54" x14ac:dyDescent="0.25">
      <c r="A21" s="2">
        <v>37134</v>
      </c>
      <c r="B21" t="str">
        <f>IF(ISNUMBER(INDEX(Haver_Q!$B$1:$BD$1000,MATCH(data!$A21,Haver_Q!$B$1:$B$1000,0),MATCH(data!B$1,Haver_Q!$B$1:$BD$1,0))),100*INDEX(Haver_Q!$B$1:$BD$1000,MATCH(data!$A21,Haver_Q!$B$1:$B$1000,0),MATCH(data!B$1,Haver_Q!$B$1:$BD$1,0)),"na")</f>
        <v>na</v>
      </c>
      <c r="C21" t="str">
        <f>IF(ISNUMBER(INDEX(Haver_Q!$B$1:$BD$1000,MATCH(data!$A21,Haver_Q!$B$1:$B$1000,0),MATCH(data!C$1,Haver_Q!$B$1:$BD$1,0))),100*INDEX(Haver_Q!$B$1:$BD$1000,MATCH(data!$A21,Haver_Q!$B$1:$B$1000,0),MATCH(data!C$1,Haver_Q!$B$1:$BD$1,0)),"na")</f>
        <v>na</v>
      </c>
      <c r="D21" t="str">
        <f>IF(ISNUMBER(INDEX(Haver_Q!$B$1:$BD$1000,MATCH(data!$A21,Haver_Q!$B$1:$B$1000,0),MATCH(data!D$1,Haver_Q!$B$1:$BD$1,0))),100*INDEX(Haver_Q!$B$1:$BD$1000,MATCH(data!$A21,Haver_Q!$B$1:$B$1000,0),MATCH(data!D$1,Haver_Q!$B$1:$BD$1,0)),"na")</f>
        <v>na</v>
      </c>
      <c r="E21" t="str">
        <f>IF(ISNUMBER(INDEX(Haver_Q!$B$1:$BD$1000,MATCH(data!$A21,Haver_Q!$B$1:$B$1000,0),MATCH(data!E$1,Haver_Q!$B$1:$BD$1,0))),100*INDEX(Haver_Q!$B$1:$BD$1000,MATCH(data!$A21,Haver_Q!$B$1:$B$1000,0),MATCH(data!E$1,Haver_Q!$B$1:$BD$1,0)),"na")</f>
        <v>na</v>
      </c>
      <c r="F21" t="str">
        <f>IF(ISNUMBER(INDEX(Haver_Q!$B$1:$BD$1000,MATCH(data!$A21,Haver_Q!$B$1:$B$1000,0),MATCH(data!F$1,Haver_Q!$B$1:$BD$1,0))),100*INDEX(Haver_Q!$B$1:$BD$1000,MATCH(data!$A21,Haver_Q!$B$1:$B$1000,0),MATCH(data!F$1,Haver_Q!$B$1:$BD$1,0)),"na")</f>
        <v>na</v>
      </c>
      <c r="G21" t="str">
        <f>IF(ISNUMBER(INDEX(Haver_Q!$B$1:$BD$1000,MATCH(data!$A21,Haver_Q!$B$1:$B$1000,0),MATCH(data!G$1,Haver_Q!$B$1:$BD$1,0))),100*INDEX(Haver_Q!$B$1:$BD$1000,MATCH(data!$A21,Haver_Q!$B$1:$B$1000,0),MATCH(data!G$1,Haver_Q!$B$1:$BD$1,0)),"na")</f>
        <v>na</v>
      </c>
      <c r="H21" t="str">
        <f>IF(ISNUMBER(INDEX(Haver_Q!$B$1:$BD$1000,MATCH(data!$A21,Haver_Q!$B$1:$B$1000,0),MATCH(data!H$1,Haver_Q!$B$1:$BD$1,0))),100*INDEX(Haver_Q!$B$1:$BD$1000,MATCH(data!$A21,Haver_Q!$B$1:$B$1000,0),MATCH(data!H$1,Haver_Q!$B$1:$BD$1,0)),"na")</f>
        <v>na</v>
      </c>
      <c r="I21" s="3">
        <f>IF(ISNUMBER(Bloomberg_m!C37),Bloomberg_m!C37,"na")</f>
        <v>980</v>
      </c>
      <c r="J21" s="3" t="str">
        <f>IF(ISNUMBER(Bloomberg_m!D37),Bloomberg_m!D37,"na")</f>
        <v>na</v>
      </c>
      <c r="K21" s="3" t="str">
        <f>IF(ISNUMBER(Bloomberg_m!E37),Bloomberg_m!E37,"na")</f>
        <v>na</v>
      </c>
      <c r="L21" s="3">
        <f>IF(ISNUMBER(Bloomberg_m!L37),Bloomberg_m!L37,"na")</f>
        <v>27.45</v>
      </c>
      <c r="M21" t="str">
        <f>IF(ISNUMBER(INDEX(Haver_M!$B$1:$ZN$1000,MATCH(data!$A21,Haver_M!$B$1:$B$1000,0),MATCH(data!M$1,Haver_M!$B$1:$ZN$1,0))),INDEX(Haver_M!$B$1:$ZN$1000,MATCH(data!$A21,Haver_M!$B$1:$B$1000,0),MATCH(data!M$1,Haver_M!$B$1:$ZN$1,0)),"na")</f>
        <v>na</v>
      </c>
      <c r="N21" t="str">
        <f>IF(ISNUMBER(INDEX(Haver_M!$B$1:$ZN$1000,MATCH(data!$A21,Haver_M!$B$1:$B$1000,0),MATCH(data!N$1,Haver_M!$B$1:$ZN$1,0))),INDEX(Haver_M!$B$1:$ZN$1000,MATCH(data!$A21,Haver_M!$B$1:$B$1000,0),MATCH(data!N$1,Haver_M!$B$1:$ZN$1,0)),"na")</f>
        <v>na</v>
      </c>
      <c r="O21">
        <f>IF(ISNUMBER(INDEX(Haver_M!$B$1:$ZN$1000,MATCH(data!$A21,Haver_M!$B$1:$B$1000,0),MATCH(data!O$1,Haver_M!$B$1:$ZN$1,0))),INDEX(Haver_M!$B$1:$ZN$1000,MATCH(data!$A21,Haver_M!$B$1:$B$1000,0),MATCH(data!O$1,Haver_M!$B$1:$ZN$1,0)),"na")</f>
        <v>128.89868000000001</v>
      </c>
      <c r="P21">
        <f>IF(ISNUMBER(INDEX(Haver_M!$B$1:$ZN$1000,MATCH(data!$A21,Haver_M!$B$1:$B$1000,0),MATCH(data!P$1,Haver_M!$B$1:$ZN$1,0))),INDEX(Haver_M!$B$1:$ZN$1000,MATCH(data!$A21,Haver_M!$B$1:$B$1000,0),MATCH(data!P$1,Haver_M!$B$1:$ZN$1,0)),"na")</f>
        <v>49.7791</v>
      </c>
      <c r="Q21">
        <f>IF(ISNUMBER(INDEX(Haver_M!$B$1:$ZN$1000,MATCH(data!$A21,Haver_M!$B$1:$B$1000,0),MATCH(data!Q$1,Haver_M!$B$1:$ZN$1,0))),INDEX(Haver_M!$B$1:$ZN$1000,MATCH(data!$A21,Haver_M!$B$1:$B$1000,0),MATCH(data!Q$1,Haver_M!$B$1:$ZN$1,0)),"na")</f>
        <v>54.324800000000003</v>
      </c>
      <c r="R21">
        <f>IF(ISNUMBER(INDEX(Haver_M!$B$1:$ZN$1000,MATCH(data!$A21,Haver_M!$B$1:$B$1000,0),MATCH(data!R$1,Haver_M!$B$1:$ZN$1,0))),INDEX(Haver_M!$B$1:$ZN$1000,MATCH(data!$A21,Haver_M!$B$1:$B$1000,0),MATCH(data!R$1,Haver_M!$B$1:$ZN$1,0)),"na")</f>
        <v>88.881299999999996</v>
      </c>
      <c r="S21">
        <f>IF(ISNUMBER(INDEX(Haver_M!$B$1:$ZN$1000,MATCH(data!$A21,Haver_M!$B$1:$B$1000,0),MATCH(data!S$1,Haver_M!$B$1:$ZN$1,0))),INDEX(Haver_M!$B$1:$ZN$1000,MATCH(data!$A21,Haver_M!$B$1:$B$1000,0),MATCH(data!S$1,Haver_M!$B$1:$ZN$1,0)),"na")</f>
        <v>105.83880000000001</v>
      </c>
      <c r="T21">
        <f>IF(ISNUMBER(INDEX(Haver_M!$B$1:$ZN$1000,MATCH(data!$A21,Haver_M!$B$1:$B$1000,0),MATCH(data!T$1,Haver_M!$B$1:$ZN$1,0))),INDEX(Haver_M!$B$1:$ZN$1000,MATCH(data!$A21,Haver_M!$B$1:$B$1000,0),MATCH(data!T$1,Haver_M!$B$1:$ZN$1,0)),"na")</f>
        <v>59.045200000000001</v>
      </c>
      <c r="U21">
        <f>IF(ISNUMBER(INDEX(Haver_M!$B$1:$ZN$1000,MATCH(data!$A21,Haver_M!$B$1:$B$1000,0),MATCH(data!U$1,Haver_M!$B$1:$ZN$1,0))),INDEX(Haver_M!$B$1:$ZN$1000,MATCH(data!$A21,Haver_M!$B$1:$B$1000,0),MATCH(data!U$1,Haver_M!$B$1:$ZN$1,0)),"na")</f>
        <v>79.023499999999999</v>
      </c>
      <c r="V21">
        <f>IF(ISNUMBER(INDEX(Haver_M!$B$1:$ZN$1000,MATCH(data!$A21,Haver_M!$B$1:$B$1000,0),MATCH(data!V$1,Haver_M!$B$1:$ZN$1,0))),INDEX(Haver_M!$B$1:$ZN$1000,MATCH(data!$A21,Haver_M!$B$1:$B$1000,0),MATCH(data!V$1,Haver_M!$B$1:$ZN$1,0)),"na")</f>
        <v>88.550600000000003</v>
      </c>
      <c r="W21">
        <f>IF(ISNUMBER(INDEX(Haver_M!$B$1:$ZN$1000,MATCH(data!$A21,Haver_M!$B$1:$B$1000,0),MATCH(data!W$1,Haver_M!$B$1:$ZN$1,0))),INDEX(Haver_M!$B$1:$ZN$1000,MATCH(data!$A21,Haver_M!$B$1:$B$1000,0),MATCH(data!W$1,Haver_M!$B$1:$ZN$1,0)),"na")</f>
        <v>2.27</v>
      </c>
      <c r="X21" t="str">
        <f>IF(ISNUMBER(INDEX(Haver_M!$B$1:$ZN$1000,MATCH(data!$A21,Haver_M!$B$1:$B$1000,0),MATCH(data!X$1,Haver_M!$B$1:$ZN$1,0))),INDEX(Haver_M!$B$1:$ZN$1000,MATCH(data!$A21,Haver_M!$B$1:$B$1000,0),MATCH(data!X$1,Haver_M!$B$1:$ZN$1,0)),"na")</f>
        <v>na</v>
      </c>
      <c r="Y21">
        <f>IF(ISNUMBER(INDEX(Haver_M!$B$1:$ZN$1000,MATCH(data!$A21,Haver_M!$B$1:$B$1000,0),MATCH(data!Y$1,Haver_M!$B$1:$ZN$1,0))),INDEX(Haver_M!$B$1:$ZN$1000,MATCH(data!$A21,Haver_M!$B$1:$B$1000,0),MATCH(data!Y$1,Haver_M!$B$1:$ZN$1,0)),"na")</f>
        <v>99.63</v>
      </c>
      <c r="Z21">
        <f>IF(ISNUMBER(INDEX(Haver_M!$B$1:$ZN$1000,MATCH(data!$A21,Haver_M!$B$1:$B$1000,0),MATCH(data!Z$1,Haver_M!$B$1:$ZN$1,0))),INDEX(Haver_M!$B$1:$ZN$1000,MATCH(data!$A21,Haver_M!$B$1:$B$1000,0),MATCH(data!Z$1,Haver_M!$B$1:$ZN$1,0)),"na")</f>
        <v>79.765600000000006</v>
      </c>
      <c r="AA21" t="str">
        <f>IF(ISNUMBER(INDEX(Haver_M!$B$1:$ZN$1000,MATCH(data!$A21,Haver_M!$B$1:$B$1000,0),MATCH(data!AA$1,Haver_M!$B$1:$ZN$1,0))),INDEX(Haver_M!$B$1:$ZN$1000,MATCH(data!$A21,Haver_M!$B$1:$B$1000,0),MATCH(data!AA$1,Haver_M!$B$1:$ZN$1,0)),"na")</f>
        <v>na</v>
      </c>
      <c r="AB21">
        <f>IF(ISNUMBER(INDEX(Haver_M!$B$1:$ZN$1000,MATCH(data!$A21,Haver_M!$B$1:$B$1000,0),MATCH(data!AB$1,Haver_M!$B$1:$ZN$1,0))),INDEX(Haver_M!$B$1:$ZN$1000,MATCH(data!$A21,Haver_M!$B$1:$B$1000,0),MATCH(data!AB$1,Haver_M!$B$1:$ZN$1,0)),"na")</f>
        <v>13049.5</v>
      </c>
      <c r="AC21">
        <f>IF(ISNUMBER(INDEX(Haver_M!$B$1:$ZN$1000,MATCH(data!$A21,Haver_M!$B$1:$B$1000,0),MATCH(data!AC$1,Haver_M!$B$1:$ZN$1,0))),INDEX(Haver_M!$B$1:$ZN$1000,MATCH(data!$A21,Haver_M!$B$1:$B$1000,0),MATCH(data!AC$1,Haver_M!$B$1:$ZN$1,0)),"na")</f>
        <v>13691.3</v>
      </c>
      <c r="AD21">
        <f>IF(ISNUMBER(INDEX(Haver_M!$B$1:$ZN$1000,MATCH(data!$A21,Haver_M!$B$1:$B$1000,0),MATCH(data!AD$1,Haver_M!$B$1:$ZN$1,0))),INDEX(Haver_M!$B$1:$ZN$1000,MATCH(data!$A21,Haver_M!$B$1:$B$1000,0),MATCH(data!AD$1,Haver_M!$B$1:$ZN$1,0)),"na")</f>
        <v>100.29</v>
      </c>
      <c r="AE21">
        <f>IF(ISNUMBER(INDEX(Haver_M!$B$1:$ZN$1000,MATCH(data!$A21,Haver_M!$B$1:$B$1000,0),MATCH(data!AE$1,Haver_M!$B$1:$ZN$1,0))),INDEX(Haver_M!$B$1:$ZN$1000,MATCH(data!$A21,Haver_M!$B$1:$B$1000,0),MATCH(data!AE$1,Haver_M!$B$1:$ZN$1,0)),"na")</f>
        <v>47.4</v>
      </c>
      <c r="AF21" t="str">
        <f>IF(ISNUMBER(INDEX(Haver_M!$B$1:$ZN$1000,MATCH(data!$A21,Haver_M!$B$1:$B$1000,0),MATCH(data!AF$1,Haver_M!$B$1:$ZN$1,0))),INDEX(Haver_M!$B$1:$ZN$1000,MATCH(data!$A21,Haver_M!$B$1:$B$1000,0),MATCH(data!AF$1,Haver_M!$B$1:$ZN$1,0)),"na")</f>
        <v>na</v>
      </c>
      <c r="AG21" t="str">
        <f>IF(ISNUMBER(INDEX(Haver_M!$B$1:$ZN$1000,MATCH(data!$A21,Haver_M!$B$1:$B$1000,0),MATCH(data!AG$1,Haver_M!$B$1:$ZN$1,0))),INDEX(Haver_M!$B$1:$ZN$1000,MATCH(data!$A21,Haver_M!$B$1:$B$1000,0),MATCH(data!AG$1,Haver_M!$B$1:$ZN$1,0)),"na")</f>
        <v>na</v>
      </c>
      <c r="AH21" t="str">
        <f>IF(ISNUMBER(INDEX(Haver_M!$B$1:$ZN$1000,MATCH(data!$A21,Haver_M!$B$1:$B$1000,0),MATCH(data!AH$1,Haver_M!$B$1:$ZN$1,0))),INDEX(Haver_M!$B$1:$ZN$1000,MATCH(data!$A21,Haver_M!$B$1:$B$1000,0),MATCH(data!AH$1,Haver_M!$B$1:$ZN$1,0)),"na")</f>
        <v>na</v>
      </c>
      <c r="AI21" t="str">
        <f>IF(ISNUMBER(INDEX(Haver_M!$B$1:$ZN$1000,MATCH(data!$A21,Haver_M!$B$1:$B$1000,0),MATCH(data!AI$1,Haver_M!$B$1:$ZN$1,0))),INDEX(Haver_M!$B$1:$ZN$1000,MATCH(data!$A21,Haver_M!$B$1:$B$1000,0),MATCH(data!AI$1,Haver_M!$B$1:$ZN$1,0)),"na")</f>
        <v>na</v>
      </c>
      <c r="AJ21" t="str">
        <f>IF(ISNUMBER(INDEX(Haver_M!$B$1:$ZN$1000,MATCH(data!$A21,Haver_M!$B$1:$B$1000,0),MATCH(data!AJ$1,Haver_M!$B$1:$ZN$1,0))),INDEX(Haver_M!$B$1:$ZN$1000,MATCH(data!$A21,Haver_M!$B$1:$B$1000,0),MATCH(data!AJ$1,Haver_M!$B$1:$ZN$1,0)),"na")</f>
        <v>na</v>
      </c>
      <c r="AK21" t="str">
        <f>IF(ISNUMBER(INDEX(Haver_M!$B$1:$ZN$1000,MATCH(data!$A21,Haver_M!$B$1:$B$1000,0),MATCH(data!AK$1,Haver_M!$B$1:$ZN$1,0))),INDEX(Haver_M!$B$1:$ZN$1000,MATCH(data!$A21,Haver_M!$B$1:$B$1000,0),MATCH(data!AK$1,Haver_M!$B$1:$ZN$1,0)),"na")</f>
        <v>na</v>
      </c>
      <c r="AL21" t="str">
        <f>IF(ISNUMBER(INDEX(Haver_M!$B$1:$ZN$1000,MATCH(data!$A21,Haver_M!$B$1:$B$1000,0),MATCH(data!AL$1,Haver_M!$B$1:$ZN$1,0))),INDEX(Haver_M!$B$1:$ZN$1000,MATCH(data!$A21,Haver_M!$B$1:$B$1000,0),MATCH(data!AL$1,Haver_M!$B$1:$ZN$1,0)),"na")</f>
        <v>na</v>
      </c>
      <c r="AM21" t="str">
        <f>IF(ISNUMBER(INDEX(Haver_M!$B$1:$ZN$1000,MATCH(data!$A21,Haver_M!$B$1:$B$1000,0),MATCH(data!AM$1,Haver_M!$B$1:$ZN$1,0))),INDEX(Haver_M!$B$1:$ZN$1000,MATCH(data!$A21,Haver_M!$B$1:$B$1000,0),MATCH(data!AM$1,Haver_M!$B$1:$ZN$1,0)),"na")</f>
        <v>na</v>
      </c>
      <c r="AN21" t="str">
        <f>IF(ISNUMBER(INDEX(Haver_M!$B$1:$ZN$1000,MATCH(data!$A21,Haver_M!$B$1:$B$1000,0),MATCH(data!AN$1,Haver_M!$B$1:$ZN$1,0))),INDEX(Haver_M!$B$1:$ZN$1000,MATCH(data!$A21,Haver_M!$B$1:$B$1000,0),MATCH(data!AN$1,Haver_M!$B$1:$ZN$1,0)),"na")</f>
        <v>na</v>
      </c>
      <c r="AO21" t="str">
        <f>IF(ISNUMBER(INDEX(Haver_M!$B$1:$ZN$1000,MATCH(data!$A21,Haver_M!$B$1:$B$1000,0),MATCH(data!AO$1,Haver_M!$B$1:$ZN$1,0))),INDEX(Haver_M!$B$1:$ZN$1000,MATCH(data!$A21,Haver_M!$B$1:$B$1000,0),MATCH(data!AO$1,Haver_M!$B$1:$ZN$1,0)),"na")</f>
        <v>na</v>
      </c>
      <c r="AP21" t="str">
        <f>IF(ISNUMBER(INDEX(Haver_M!$B$1:$ZN$1000,MATCH(data!$A21,Haver_M!$B$1:$B$1000,0),MATCH(data!AP$1,Haver_M!$B$1:$ZN$1,0))),INDEX(Haver_M!$B$1:$ZN$1000,MATCH(data!$A21,Haver_M!$B$1:$B$1000,0),MATCH(data!AP$1,Haver_M!$B$1:$ZN$1,0)),"na")</f>
        <v>na</v>
      </c>
      <c r="AQ21" t="str">
        <f>IF(ISNUMBER(INDEX(Haver_M!$B$1:$ZN$1000,MATCH(data!$A21,Haver_M!$B$1:$B$1000,0),MATCH(data!AQ$1,Haver_M!$B$1:$ZN$1,0))),INDEX(Haver_M!$B$1:$ZN$1000,MATCH(data!$A21,Haver_M!$B$1:$B$1000,0),MATCH(data!AQ$1,Haver_M!$B$1:$ZN$1,0)),"na")</f>
        <v>na</v>
      </c>
      <c r="AR21" t="str">
        <f>IF(ISNUMBER(INDEX(Haver_M!$B$1:$ZN$1000,MATCH(data!$A21,Haver_M!$B$1:$B$1000,0),MATCH(data!AR$1,Haver_M!$B$1:$ZN$1,0))),INDEX(Haver_M!$B$1:$ZN$1000,MATCH(data!$A21,Haver_M!$B$1:$B$1000,0),MATCH(data!AR$1,Haver_M!$B$1:$ZN$1,0)),"na")</f>
        <v>na</v>
      </c>
      <c r="AS21">
        <f>IF(ISNUMBER(INDEX(Haver_M!$B$1:$ZN$1000,MATCH(data!$A21,Haver_M!$B$1:$B$1000,0),MATCH(data!AS$1,Haver_M!$B$1:$ZN$1,0))),INDEX(Haver_M!$B$1:$ZN$1000,MATCH(data!$A21,Haver_M!$B$1:$B$1000,0),MATCH(data!AS$1,Haver_M!$B$1:$ZN$1,0)),"na")</f>
        <v>6466.42</v>
      </c>
      <c r="AT21">
        <f>IF(ISNUMBER(INDEX(Haver_M!$B$1:$ZN$1000,MATCH(data!$A21,Haver_M!$B$1:$B$1000,0),MATCH(data!AT$1,Haver_M!$B$1:$ZN$1,0))),INDEX(Haver_M!$B$1:$ZN$1000,MATCH(data!$A21,Haver_M!$B$1:$B$1000,0),MATCH(data!AT$1,Haver_M!$B$1:$ZN$1,0)),"na")</f>
        <v>79.983000000000004</v>
      </c>
      <c r="AU21">
        <f>IF(ISNUMBER(INDEX(Haver_M!$B$1:$ZN$1000,MATCH(data!$A21,Haver_M!$B$1:$B$1000,0),MATCH(data!AU$1,Haver_M!$B$1:$ZN$1,0))),INDEX(Haver_M!$B$1:$ZN$1000,MATCH(data!$A21,Haver_M!$B$1:$B$1000,0),MATCH(data!AU$1,Haver_M!$B$1:$ZN$1,0)),"na")</f>
        <v>79.936959000000002</v>
      </c>
      <c r="AV21">
        <f>IF(ISNUMBER(INDEX(Haver_M!$B$1:$ZN$1000,MATCH(data!$A21,Haver_M!$B$1:$B$1000,0),MATCH(data!AV$1,Haver_M!$B$1:$ZN$1,0))),INDEX(Haver_M!$B$1:$ZN$1000,MATCH(data!$A21,Haver_M!$B$1:$B$1000,0),MATCH(data!AV$1,Haver_M!$B$1:$ZN$1,0)),"na")</f>
        <v>72</v>
      </c>
      <c r="AW21">
        <f>IF(ISNUMBER(INDEX(Haver_M!$B$1:$ZN$1000,MATCH(data!$A21,Haver_M!$B$1:$B$1000,0),MATCH(data!AW$1,Haver_M!$B$1:$ZN$1,0))),INDEX(Haver_M!$B$1:$ZN$1000,MATCH(data!$A21,Haver_M!$B$1:$B$1000,0),MATCH(data!AW$1,Haver_M!$B$1:$ZN$1,0)),"na")</f>
        <v>709838.95184213831</v>
      </c>
      <c r="AX21">
        <f>IF(ISNUMBER(INDEX(Haver_M!$B$1:$ZN$1000,MATCH(data!$A21,Haver_M!$B$1:$B$1000,0),MATCH(data!AX$1,Haver_M!$B$1:$ZN$1,0))),INDEX(Haver_M!$B$1:$ZN$1000,MATCH(data!$A21,Haver_M!$B$1:$B$1000,0),MATCH(data!AX$1,Haver_M!$B$1:$ZN$1,0)),"na")</f>
        <v>3140</v>
      </c>
      <c r="AY21">
        <f>IF(ISNUMBER(INDEX(Haver_M!$B$1:$ZN$1000,MATCH(data!$A21,Haver_M!$B$1:$B$1000,0),MATCH(data!AY$1,Haver_M!$B$1:$ZN$1,0))),INDEX(Haver_M!$B$1:$ZN$1000,MATCH(data!$A21,Haver_M!$B$1:$B$1000,0),MATCH(data!AY$1,Haver_M!$B$1:$ZN$1,0)),"na")</f>
        <v>1648</v>
      </c>
      <c r="AZ21" t="str">
        <f>IF(ISNUMBER(INDEX(Haver_M!$B$1:$ZN$1000,MATCH(data!$A21,Haver_M!$B$1:$B$1000,0),MATCH(data!AZ$1,Haver_M!$B$1:$ZN$1,0))),INDEX(Haver_M!$B$1:$ZN$1000,MATCH(data!$A21,Haver_M!$B$1:$B$1000,0),MATCH(data!AZ$1,Haver_M!$B$1:$ZN$1,0)),"na")</f>
        <v>na</v>
      </c>
      <c r="BA21">
        <f>IF(ISNUMBER(INDEX(Haver_M!$B$1:$ZN$1000,MATCH(data!$A21,Haver_M!$B$1:$B$1000,0),MATCH(data!BA$1,Haver_M!$B$1:$ZN$1,0))),INDEX(Haver_M!$B$1:$ZN$1000,MATCH(data!$A21,Haver_M!$B$1:$B$1000,0),MATCH(data!BA$1,Haver_M!$B$1:$ZN$1,0)),"na")</f>
        <v>113.21612162740409</v>
      </c>
      <c r="BB21" t="str">
        <f>IF(ISNUMBER(INDEX(Haver_M!$B$1:$ZN$1000,MATCH(data!$A21,Haver_M!$B$1:$B$1000,0),MATCH(data!BB$1,Haver_M!$B$1:$ZN$1,0))),INDEX(Haver_M!$B$1:$ZN$1000,MATCH(data!$A21,Haver_M!$B$1:$B$1000,0),MATCH(data!BB$1,Haver_M!$B$1:$ZN$1,0)),"")</f>
        <v/>
      </c>
    </row>
    <row r="22" spans="1:54" x14ac:dyDescent="0.25">
      <c r="A22" s="2">
        <v>37164</v>
      </c>
      <c r="B22">
        <f>IF(ISNUMBER(INDEX(Haver_Q!$B$1:$BD$1000,MATCH(data!$A22,Haver_Q!$B$1:$B$1000,0),MATCH(data!B$1,Haver_Q!$B$1:$BD$1,0))),100*INDEX(Haver_Q!$B$1:$BD$1000,MATCH(data!$A22,Haver_Q!$B$1:$B$1000,0),MATCH(data!B$1,Haver_Q!$B$1:$BD$1,0)),"na")</f>
        <v>0.10251254169375557</v>
      </c>
      <c r="C22">
        <f>IF(ISNUMBER(INDEX(Haver_Q!$B$1:$BD$1000,MATCH(data!$A22,Haver_Q!$B$1:$B$1000,0),MATCH(data!C$1,Haver_Q!$B$1:$BD$1,0))),100*INDEX(Haver_Q!$B$1:$BD$1000,MATCH(data!$A22,Haver_Q!$B$1:$B$1000,0),MATCH(data!C$1,Haver_Q!$B$1:$BD$1,0)),"na")</f>
        <v>2.6648864221695767</v>
      </c>
      <c r="D22">
        <f>IF(ISNUMBER(INDEX(Haver_Q!$B$1:$BD$1000,MATCH(data!$A22,Haver_Q!$B$1:$B$1000,0),MATCH(data!D$1,Haver_Q!$B$1:$BD$1,0))),100*INDEX(Haver_Q!$B$1:$BD$1000,MATCH(data!$A22,Haver_Q!$B$1:$B$1000,0),MATCH(data!D$1,Haver_Q!$B$1:$BD$1,0)),"na")</f>
        <v>1.0978292072658657</v>
      </c>
      <c r="E22">
        <f>IF(ISNUMBER(INDEX(Haver_Q!$B$1:$BD$1000,MATCH(data!$A22,Haver_Q!$B$1:$B$1000,0),MATCH(data!E$1,Haver_Q!$B$1:$BD$1,0))),100*INDEX(Haver_Q!$B$1:$BD$1000,MATCH(data!$A22,Haver_Q!$B$1:$B$1000,0),MATCH(data!E$1,Haver_Q!$B$1:$BD$1,0)),"na")</f>
        <v>9.5745719726284761</v>
      </c>
      <c r="F22">
        <f>IF(ISNUMBER(INDEX(Haver_Q!$B$1:$BD$1000,MATCH(data!$A22,Haver_Q!$B$1:$B$1000,0),MATCH(data!F$1,Haver_Q!$B$1:$BD$1,0))),100*INDEX(Haver_Q!$B$1:$BD$1000,MATCH(data!$A22,Haver_Q!$B$1:$B$1000,0),MATCH(data!F$1,Haver_Q!$B$1:$BD$1,0)),"na")</f>
        <v>-11.416182680370191</v>
      </c>
      <c r="G22">
        <f>IF(ISNUMBER(INDEX(Haver_Q!$B$1:$BD$1000,MATCH(data!$A22,Haver_Q!$B$1:$B$1000,0),MATCH(data!G$1,Haver_Q!$B$1:$BD$1,0))),100*INDEX(Haver_Q!$B$1:$BD$1000,MATCH(data!$A22,Haver_Q!$B$1:$B$1000,0),MATCH(data!G$1,Haver_Q!$B$1:$BD$1,0)),"na")</f>
        <v>-8.4257529625062837</v>
      </c>
      <c r="H22">
        <f>IF(ISNUMBER(INDEX(Haver_Q!$B$1:$BD$1000,MATCH(data!$A22,Haver_Q!$B$1:$B$1000,0),MATCH(data!H$1,Haver_Q!$B$1:$BD$1,0))),100*INDEX(Haver_Q!$B$1:$BD$1000,MATCH(data!$A22,Haver_Q!$B$1:$B$1000,0),MATCH(data!H$1,Haver_Q!$B$1:$BD$1,0)),"na")</f>
        <v>88.840616356760464</v>
      </c>
      <c r="I22" s="3">
        <f>IF(ISNUMBER(Bloomberg_m!C38),Bloomberg_m!C38,"na")</f>
        <v>945</v>
      </c>
      <c r="J22" s="3" t="str">
        <f>IF(ISNUMBER(Bloomberg_m!D38),Bloomberg_m!D38,"na")</f>
        <v>na</v>
      </c>
      <c r="K22" s="3" t="str">
        <f>IF(ISNUMBER(Bloomberg_m!E38),Bloomberg_m!E38,"na")</f>
        <v>na</v>
      </c>
      <c r="L22" s="3">
        <f>IF(ISNUMBER(Bloomberg_m!L38),Bloomberg_m!L38,"na")</f>
        <v>26.16</v>
      </c>
      <c r="M22" t="str">
        <f>IF(ISNUMBER(INDEX(Haver_M!$B$1:$ZN$1000,MATCH(data!$A22,Haver_M!$B$1:$B$1000,0),MATCH(data!M$1,Haver_M!$B$1:$ZN$1,0))),INDEX(Haver_M!$B$1:$ZN$1000,MATCH(data!$A22,Haver_M!$B$1:$B$1000,0),MATCH(data!M$1,Haver_M!$B$1:$ZN$1,0)),"na")</f>
        <v>na</v>
      </c>
      <c r="N22" t="str">
        <f>IF(ISNUMBER(INDEX(Haver_M!$B$1:$ZN$1000,MATCH(data!$A22,Haver_M!$B$1:$B$1000,0),MATCH(data!N$1,Haver_M!$B$1:$ZN$1,0))),INDEX(Haver_M!$B$1:$ZN$1000,MATCH(data!$A22,Haver_M!$B$1:$B$1000,0),MATCH(data!N$1,Haver_M!$B$1:$ZN$1,0)),"na")</f>
        <v>na</v>
      </c>
      <c r="O22">
        <f>IF(ISNUMBER(INDEX(Haver_M!$B$1:$ZN$1000,MATCH(data!$A22,Haver_M!$B$1:$B$1000,0),MATCH(data!O$1,Haver_M!$B$1:$ZN$1,0))),INDEX(Haver_M!$B$1:$ZN$1000,MATCH(data!$A22,Haver_M!$B$1:$B$1000,0),MATCH(data!O$1,Haver_M!$B$1:$ZN$1,0)),"na")</f>
        <v>125.62600999999999</v>
      </c>
      <c r="P22">
        <f>IF(ISNUMBER(INDEX(Haver_M!$B$1:$ZN$1000,MATCH(data!$A22,Haver_M!$B$1:$B$1000,0),MATCH(data!P$1,Haver_M!$B$1:$ZN$1,0))),INDEX(Haver_M!$B$1:$ZN$1000,MATCH(data!$A22,Haver_M!$B$1:$B$1000,0),MATCH(data!P$1,Haver_M!$B$1:$ZN$1,0)),"na")</f>
        <v>50.147300000000001</v>
      </c>
      <c r="Q22">
        <f>IF(ISNUMBER(INDEX(Haver_M!$B$1:$ZN$1000,MATCH(data!$A22,Haver_M!$B$1:$B$1000,0),MATCH(data!Q$1,Haver_M!$B$1:$ZN$1,0))),INDEX(Haver_M!$B$1:$ZN$1000,MATCH(data!$A22,Haver_M!$B$1:$B$1000,0),MATCH(data!Q$1,Haver_M!$B$1:$ZN$1,0)),"na")</f>
        <v>54.572299999999998</v>
      </c>
      <c r="R22">
        <f>IF(ISNUMBER(INDEX(Haver_M!$B$1:$ZN$1000,MATCH(data!$A22,Haver_M!$B$1:$B$1000,0),MATCH(data!R$1,Haver_M!$B$1:$ZN$1,0))),INDEX(Haver_M!$B$1:$ZN$1000,MATCH(data!$A22,Haver_M!$B$1:$B$1000,0),MATCH(data!R$1,Haver_M!$B$1:$ZN$1,0)),"na")</f>
        <v>88.865899999999996</v>
      </c>
      <c r="S22">
        <f>IF(ISNUMBER(INDEX(Haver_M!$B$1:$ZN$1000,MATCH(data!$A22,Haver_M!$B$1:$B$1000,0),MATCH(data!S$1,Haver_M!$B$1:$ZN$1,0))),INDEX(Haver_M!$B$1:$ZN$1000,MATCH(data!$A22,Haver_M!$B$1:$B$1000,0),MATCH(data!S$1,Haver_M!$B$1:$ZN$1,0)),"na")</f>
        <v>106.7873</v>
      </c>
      <c r="T22">
        <f>IF(ISNUMBER(INDEX(Haver_M!$B$1:$ZN$1000,MATCH(data!$A22,Haver_M!$B$1:$B$1000,0),MATCH(data!T$1,Haver_M!$B$1:$ZN$1,0))),INDEX(Haver_M!$B$1:$ZN$1000,MATCH(data!$A22,Haver_M!$B$1:$B$1000,0),MATCH(data!T$1,Haver_M!$B$1:$ZN$1,0)),"na")</f>
        <v>58.893300000000004</v>
      </c>
      <c r="U22">
        <f>IF(ISNUMBER(INDEX(Haver_M!$B$1:$ZN$1000,MATCH(data!$A22,Haver_M!$B$1:$B$1000,0),MATCH(data!U$1,Haver_M!$B$1:$ZN$1,0))),INDEX(Haver_M!$B$1:$ZN$1000,MATCH(data!$A22,Haver_M!$B$1:$B$1000,0),MATCH(data!U$1,Haver_M!$B$1:$ZN$1,0)),"na")</f>
        <v>78.262699999999995</v>
      </c>
      <c r="V22">
        <f>IF(ISNUMBER(INDEX(Haver_M!$B$1:$ZN$1000,MATCH(data!$A22,Haver_M!$B$1:$B$1000,0),MATCH(data!V$1,Haver_M!$B$1:$ZN$1,0))),INDEX(Haver_M!$B$1:$ZN$1000,MATCH(data!$A22,Haver_M!$B$1:$B$1000,0),MATCH(data!V$1,Haver_M!$B$1:$ZN$1,0)),"na")</f>
        <v>88.880700000000004</v>
      </c>
      <c r="W22">
        <f>IF(ISNUMBER(INDEX(Haver_M!$B$1:$ZN$1000,MATCH(data!$A22,Haver_M!$B$1:$B$1000,0),MATCH(data!W$1,Haver_M!$B$1:$ZN$1,0))),INDEX(Haver_M!$B$1:$ZN$1000,MATCH(data!$A22,Haver_M!$B$1:$B$1000,0),MATCH(data!W$1,Haver_M!$B$1:$ZN$1,0)),"na")</f>
        <v>2.5299999999999998</v>
      </c>
      <c r="X22" t="str">
        <f>IF(ISNUMBER(INDEX(Haver_M!$B$1:$ZN$1000,MATCH(data!$A22,Haver_M!$B$1:$B$1000,0),MATCH(data!X$1,Haver_M!$B$1:$ZN$1,0))),INDEX(Haver_M!$B$1:$ZN$1000,MATCH(data!$A22,Haver_M!$B$1:$B$1000,0),MATCH(data!X$1,Haver_M!$B$1:$ZN$1,0)),"na")</f>
        <v>na</v>
      </c>
      <c r="Y22">
        <f>IF(ISNUMBER(INDEX(Haver_M!$B$1:$ZN$1000,MATCH(data!$A22,Haver_M!$B$1:$B$1000,0),MATCH(data!Y$1,Haver_M!$B$1:$ZN$1,0))),INDEX(Haver_M!$B$1:$ZN$1000,MATCH(data!$A22,Haver_M!$B$1:$B$1000,0),MATCH(data!Y$1,Haver_M!$B$1:$ZN$1,0)),"na")</f>
        <v>99.65</v>
      </c>
      <c r="Z22">
        <f>IF(ISNUMBER(INDEX(Haver_M!$B$1:$ZN$1000,MATCH(data!$A22,Haver_M!$B$1:$B$1000,0),MATCH(data!Z$1,Haver_M!$B$1:$ZN$1,0))),INDEX(Haver_M!$B$1:$ZN$1000,MATCH(data!$A22,Haver_M!$B$1:$B$1000,0),MATCH(data!Z$1,Haver_M!$B$1:$ZN$1,0)),"na")</f>
        <v>80.504099999999994</v>
      </c>
      <c r="AA22" t="str">
        <f>IF(ISNUMBER(INDEX(Haver_M!$B$1:$ZN$1000,MATCH(data!$A22,Haver_M!$B$1:$B$1000,0),MATCH(data!AA$1,Haver_M!$B$1:$ZN$1,0))),INDEX(Haver_M!$B$1:$ZN$1000,MATCH(data!$A22,Haver_M!$B$1:$B$1000,0),MATCH(data!AA$1,Haver_M!$B$1:$ZN$1,0)),"na")</f>
        <v>na</v>
      </c>
      <c r="AB22">
        <f>IF(ISNUMBER(INDEX(Haver_M!$B$1:$ZN$1000,MATCH(data!$A22,Haver_M!$B$1:$B$1000,0),MATCH(data!AB$1,Haver_M!$B$1:$ZN$1,0))),INDEX(Haver_M!$B$1:$ZN$1000,MATCH(data!$A22,Haver_M!$B$1:$B$1000,0),MATCH(data!AB$1,Haver_M!$B$1:$ZN$1,0)),"na")</f>
        <v>12984.4</v>
      </c>
      <c r="AC22">
        <f>IF(ISNUMBER(INDEX(Haver_M!$B$1:$ZN$1000,MATCH(data!$A22,Haver_M!$B$1:$B$1000,0),MATCH(data!AC$1,Haver_M!$B$1:$ZN$1,0))),INDEX(Haver_M!$B$1:$ZN$1000,MATCH(data!$A22,Haver_M!$B$1:$B$1000,0),MATCH(data!AC$1,Haver_M!$B$1:$ZN$1,0)),"na")</f>
        <v>13768.8</v>
      </c>
      <c r="AD22">
        <f>IF(ISNUMBER(INDEX(Haver_M!$B$1:$ZN$1000,MATCH(data!$A22,Haver_M!$B$1:$B$1000,0),MATCH(data!AD$1,Haver_M!$B$1:$ZN$1,0))),INDEX(Haver_M!$B$1:$ZN$1000,MATCH(data!$A22,Haver_M!$B$1:$B$1000,0),MATCH(data!AD$1,Haver_M!$B$1:$ZN$1,0)),"na")</f>
        <v>100.13</v>
      </c>
      <c r="AE22">
        <f>IF(ISNUMBER(INDEX(Haver_M!$B$1:$ZN$1000,MATCH(data!$A22,Haver_M!$B$1:$B$1000,0),MATCH(data!AE$1,Haver_M!$B$1:$ZN$1,0))),INDEX(Haver_M!$B$1:$ZN$1000,MATCH(data!$A22,Haver_M!$B$1:$B$1000,0),MATCH(data!AE$1,Haver_M!$B$1:$ZN$1,0)),"na")</f>
        <v>44.7</v>
      </c>
      <c r="AF22" t="str">
        <f>IF(ISNUMBER(INDEX(Haver_M!$B$1:$ZN$1000,MATCH(data!$A22,Haver_M!$B$1:$B$1000,0),MATCH(data!AF$1,Haver_M!$B$1:$ZN$1,0))),INDEX(Haver_M!$B$1:$ZN$1000,MATCH(data!$A22,Haver_M!$B$1:$B$1000,0),MATCH(data!AF$1,Haver_M!$B$1:$ZN$1,0)),"na")</f>
        <v>na</v>
      </c>
      <c r="AG22" t="str">
        <f>IF(ISNUMBER(INDEX(Haver_M!$B$1:$ZN$1000,MATCH(data!$A22,Haver_M!$B$1:$B$1000,0),MATCH(data!AG$1,Haver_M!$B$1:$ZN$1,0))),INDEX(Haver_M!$B$1:$ZN$1000,MATCH(data!$A22,Haver_M!$B$1:$B$1000,0),MATCH(data!AG$1,Haver_M!$B$1:$ZN$1,0)),"na")</f>
        <v>na</v>
      </c>
      <c r="AH22" t="str">
        <f>IF(ISNUMBER(INDEX(Haver_M!$B$1:$ZN$1000,MATCH(data!$A22,Haver_M!$B$1:$B$1000,0),MATCH(data!AH$1,Haver_M!$B$1:$ZN$1,0))),INDEX(Haver_M!$B$1:$ZN$1000,MATCH(data!$A22,Haver_M!$B$1:$B$1000,0),MATCH(data!AH$1,Haver_M!$B$1:$ZN$1,0)),"na")</f>
        <v>na</v>
      </c>
      <c r="AI22" t="str">
        <f>IF(ISNUMBER(INDEX(Haver_M!$B$1:$ZN$1000,MATCH(data!$A22,Haver_M!$B$1:$B$1000,0),MATCH(data!AI$1,Haver_M!$B$1:$ZN$1,0))),INDEX(Haver_M!$B$1:$ZN$1000,MATCH(data!$A22,Haver_M!$B$1:$B$1000,0),MATCH(data!AI$1,Haver_M!$B$1:$ZN$1,0)),"na")</f>
        <v>na</v>
      </c>
      <c r="AJ22" t="str">
        <f>IF(ISNUMBER(INDEX(Haver_M!$B$1:$ZN$1000,MATCH(data!$A22,Haver_M!$B$1:$B$1000,0),MATCH(data!AJ$1,Haver_M!$B$1:$ZN$1,0))),INDEX(Haver_M!$B$1:$ZN$1000,MATCH(data!$A22,Haver_M!$B$1:$B$1000,0),MATCH(data!AJ$1,Haver_M!$B$1:$ZN$1,0)),"na")</f>
        <v>na</v>
      </c>
      <c r="AK22" t="str">
        <f>IF(ISNUMBER(INDEX(Haver_M!$B$1:$ZN$1000,MATCH(data!$A22,Haver_M!$B$1:$B$1000,0),MATCH(data!AK$1,Haver_M!$B$1:$ZN$1,0))),INDEX(Haver_M!$B$1:$ZN$1000,MATCH(data!$A22,Haver_M!$B$1:$B$1000,0),MATCH(data!AK$1,Haver_M!$B$1:$ZN$1,0)),"na")</f>
        <v>na</v>
      </c>
      <c r="AL22" t="str">
        <f>IF(ISNUMBER(INDEX(Haver_M!$B$1:$ZN$1000,MATCH(data!$A22,Haver_M!$B$1:$B$1000,0),MATCH(data!AL$1,Haver_M!$B$1:$ZN$1,0))),INDEX(Haver_M!$B$1:$ZN$1000,MATCH(data!$A22,Haver_M!$B$1:$B$1000,0),MATCH(data!AL$1,Haver_M!$B$1:$ZN$1,0)),"na")</f>
        <v>na</v>
      </c>
      <c r="AM22" t="str">
        <f>IF(ISNUMBER(INDEX(Haver_M!$B$1:$ZN$1000,MATCH(data!$A22,Haver_M!$B$1:$B$1000,0),MATCH(data!AM$1,Haver_M!$B$1:$ZN$1,0))),INDEX(Haver_M!$B$1:$ZN$1000,MATCH(data!$A22,Haver_M!$B$1:$B$1000,0),MATCH(data!AM$1,Haver_M!$B$1:$ZN$1,0)),"na")</f>
        <v>na</v>
      </c>
      <c r="AN22" t="str">
        <f>IF(ISNUMBER(INDEX(Haver_M!$B$1:$ZN$1000,MATCH(data!$A22,Haver_M!$B$1:$B$1000,0),MATCH(data!AN$1,Haver_M!$B$1:$ZN$1,0))),INDEX(Haver_M!$B$1:$ZN$1000,MATCH(data!$A22,Haver_M!$B$1:$B$1000,0),MATCH(data!AN$1,Haver_M!$B$1:$ZN$1,0)),"na")</f>
        <v>na</v>
      </c>
      <c r="AO22" t="str">
        <f>IF(ISNUMBER(INDEX(Haver_M!$B$1:$ZN$1000,MATCH(data!$A22,Haver_M!$B$1:$B$1000,0),MATCH(data!AO$1,Haver_M!$B$1:$ZN$1,0))),INDEX(Haver_M!$B$1:$ZN$1000,MATCH(data!$A22,Haver_M!$B$1:$B$1000,0),MATCH(data!AO$1,Haver_M!$B$1:$ZN$1,0)),"na")</f>
        <v>na</v>
      </c>
      <c r="AP22" t="str">
        <f>IF(ISNUMBER(INDEX(Haver_M!$B$1:$ZN$1000,MATCH(data!$A22,Haver_M!$B$1:$B$1000,0),MATCH(data!AP$1,Haver_M!$B$1:$ZN$1,0))),INDEX(Haver_M!$B$1:$ZN$1000,MATCH(data!$A22,Haver_M!$B$1:$B$1000,0),MATCH(data!AP$1,Haver_M!$B$1:$ZN$1,0)),"na")</f>
        <v>na</v>
      </c>
      <c r="AQ22" t="str">
        <f>IF(ISNUMBER(INDEX(Haver_M!$B$1:$ZN$1000,MATCH(data!$A22,Haver_M!$B$1:$B$1000,0),MATCH(data!AQ$1,Haver_M!$B$1:$ZN$1,0))),INDEX(Haver_M!$B$1:$ZN$1000,MATCH(data!$A22,Haver_M!$B$1:$B$1000,0),MATCH(data!AQ$1,Haver_M!$B$1:$ZN$1,0)),"na")</f>
        <v>na</v>
      </c>
      <c r="AR22" t="str">
        <f>IF(ISNUMBER(INDEX(Haver_M!$B$1:$ZN$1000,MATCH(data!$A22,Haver_M!$B$1:$B$1000,0),MATCH(data!AR$1,Haver_M!$B$1:$ZN$1,0))),INDEX(Haver_M!$B$1:$ZN$1000,MATCH(data!$A22,Haver_M!$B$1:$B$1000,0),MATCH(data!AR$1,Haver_M!$B$1:$ZN$1,0)),"na")</f>
        <v>na</v>
      </c>
      <c r="AS22">
        <f>IF(ISNUMBER(INDEX(Haver_M!$B$1:$ZN$1000,MATCH(data!$A22,Haver_M!$B$1:$B$1000,0),MATCH(data!AS$1,Haver_M!$B$1:$ZN$1,0))),INDEX(Haver_M!$B$1:$ZN$1000,MATCH(data!$A22,Haver_M!$B$1:$B$1000,0),MATCH(data!AS$1,Haver_M!$B$1:$ZN$1,0)),"na")</f>
        <v>5546.51</v>
      </c>
      <c r="AT22">
        <f>IF(ISNUMBER(INDEX(Haver_M!$B$1:$ZN$1000,MATCH(data!$A22,Haver_M!$B$1:$B$1000,0),MATCH(data!AT$1,Haver_M!$B$1:$ZN$1,0))),INDEX(Haver_M!$B$1:$ZN$1000,MATCH(data!$A22,Haver_M!$B$1:$B$1000,0),MATCH(data!AT$1,Haver_M!$B$1:$ZN$1,0)),"na")</f>
        <v>80.283000000000001</v>
      </c>
      <c r="AU22">
        <f>IF(ISNUMBER(INDEX(Haver_M!$B$1:$ZN$1000,MATCH(data!$A22,Haver_M!$B$1:$B$1000,0),MATCH(data!AU$1,Haver_M!$B$1:$ZN$1,0))),INDEX(Haver_M!$B$1:$ZN$1000,MATCH(data!$A22,Haver_M!$B$1:$B$1000,0),MATCH(data!AU$1,Haver_M!$B$1:$ZN$1,0)),"na")</f>
        <v>79.732418999999993</v>
      </c>
      <c r="AV22">
        <f>IF(ISNUMBER(INDEX(Haver_M!$B$1:$ZN$1000,MATCH(data!$A22,Haver_M!$B$1:$B$1000,0),MATCH(data!AV$1,Haver_M!$B$1:$ZN$1,0))),INDEX(Haver_M!$B$1:$ZN$1000,MATCH(data!$A22,Haver_M!$B$1:$B$1000,0),MATCH(data!AV$1,Haver_M!$B$1:$ZN$1,0)),"na")</f>
        <v>72.400000000000006</v>
      </c>
      <c r="AW22">
        <f>IF(ISNUMBER(INDEX(Haver_M!$B$1:$ZN$1000,MATCH(data!$A22,Haver_M!$B$1:$B$1000,0),MATCH(data!AW$1,Haver_M!$B$1:$ZN$1,0))),INDEX(Haver_M!$B$1:$ZN$1000,MATCH(data!$A22,Haver_M!$B$1:$B$1000,0),MATCH(data!AW$1,Haver_M!$B$1:$ZN$1,0)),"na")</f>
        <v>572489.07736562169</v>
      </c>
      <c r="AX22">
        <f>IF(ISNUMBER(INDEX(Haver_M!$B$1:$ZN$1000,MATCH(data!$A22,Haver_M!$B$1:$B$1000,0),MATCH(data!AX$1,Haver_M!$B$1:$ZN$1,0))),INDEX(Haver_M!$B$1:$ZN$1000,MATCH(data!$A22,Haver_M!$B$1:$B$1000,0),MATCH(data!AX$1,Haver_M!$B$1:$ZN$1,0)),"na")</f>
        <v>3166</v>
      </c>
      <c r="AY22">
        <f>IF(ISNUMBER(INDEX(Haver_M!$B$1:$ZN$1000,MATCH(data!$A22,Haver_M!$B$1:$B$1000,0),MATCH(data!AY$1,Haver_M!$B$1:$ZN$1,0))),INDEX(Haver_M!$B$1:$ZN$1000,MATCH(data!$A22,Haver_M!$B$1:$B$1000,0),MATCH(data!AY$1,Haver_M!$B$1:$ZN$1,0)),"na")</f>
        <v>1648</v>
      </c>
      <c r="AZ22" t="str">
        <f>IF(ISNUMBER(INDEX(Haver_M!$B$1:$ZN$1000,MATCH(data!$A22,Haver_M!$B$1:$B$1000,0),MATCH(data!AZ$1,Haver_M!$B$1:$ZN$1,0))),INDEX(Haver_M!$B$1:$ZN$1000,MATCH(data!$A22,Haver_M!$B$1:$B$1000,0),MATCH(data!AZ$1,Haver_M!$B$1:$ZN$1,0)),"na")</f>
        <v>na</v>
      </c>
      <c r="BA22">
        <f>IF(ISNUMBER(INDEX(Haver_M!$B$1:$ZN$1000,MATCH(data!$A22,Haver_M!$B$1:$B$1000,0),MATCH(data!BA$1,Haver_M!$B$1:$ZN$1,0))),INDEX(Haver_M!$B$1:$ZN$1000,MATCH(data!$A22,Haver_M!$B$1:$B$1000,0),MATCH(data!BA$1,Haver_M!$B$1:$ZN$1,0)),"na")</f>
        <v>246.2359743192109</v>
      </c>
      <c r="BB22" t="str">
        <f>IF(ISNUMBER(INDEX(Haver_M!$B$1:$ZN$1000,MATCH(data!$A22,Haver_M!$B$1:$B$1000,0),MATCH(data!BB$1,Haver_M!$B$1:$ZN$1,0))),INDEX(Haver_M!$B$1:$ZN$1000,MATCH(data!$A22,Haver_M!$B$1:$B$1000,0),MATCH(data!BB$1,Haver_M!$B$1:$ZN$1,0)),"")</f>
        <v/>
      </c>
    </row>
    <row r="23" spans="1:54" x14ac:dyDescent="0.25">
      <c r="A23" s="2">
        <v>37195</v>
      </c>
      <c r="B23" t="str">
        <f>IF(ISNUMBER(INDEX(Haver_Q!$B$1:$BD$1000,MATCH(data!$A23,Haver_Q!$B$1:$B$1000,0),MATCH(data!B$1,Haver_Q!$B$1:$BD$1,0))),100*INDEX(Haver_Q!$B$1:$BD$1000,MATCH(data!$A23,Haver_Q!$B$1:$B$1000,0),MATCH(data!B$1,Haver_Q!$B$1:$BD$1,0)),"na")</f>
        <v>na</v>
      </c>
      <c r="C23" t="str">
        <f>IF(ISNUMBER(INDEX(Haver_Q!$B$1:$BD$1000,MATCH(data!$A23,Haver_Q!$B$1:$B$1000,0),MATCH(data!C$1,Haver_Q!$B$1:$BD$1,0))),100*INDEX(Haver_Q!$B$1:$BD$1000,MATCH(data!$A23,Haver_Q!$B$1:$B$1000,0),MATCH(data!C$1,Haver_Q!$B$1:$BD$1,0)),"na")</f>
        <v>na</v>
      </c>
      <c r="D23" t="str">
        <f>IF(ISNUMBER(INDEX(Haver_Q!$B$1:$BD$1000,MATCH(data!$A23,Haver_Q!$B$1:$B$1000,0),MATCH(data!D$1,Haver_Q!$B$1:$BD$1,0))),100*INDEX(Haver_Q!$B$1:$BD$1000,MATCH(data!$A23,Haver_Q!$B$1:$B$1000,0),MATCH(data!D$1,Haver_Q!$B$1:$BD$1,0)),"na")</f>
        <v>na</v>
      </c>
      <c r="E23" t="str">
        <f>IF(ISNUMBER(INDEX(Haver_Q!$B$1:$BD$1000,MATCH(data!$A23,Haver_Q!$B$1:$B$1000,0),MATCH(data!E$1,Haver_Q!$B$1:$BD$1,0))),100*INDEX(Haver_Q!$B$1:$BD$1000,MATCH(data!$A23,Haver_Q!$B$1:$B$1000,0),MATCH(data!E$1,Haver_Q!$B$1:$BD$1,0)),"na")</f>
        <v>na</v>
      </c>
      <c r="F23" t="str">
        <f>IF(ISNUMBER(INDEX(Haver_Q!$B$1:$BD$1000,MATCH(data!$A23,Haver_Q!$B$1:$B$1000,0),MATCH(data!F$1,Haver_Q!$B$1:$BD$1,0))),100*INDEX(Haver_Q!$B$1:$BD$1000,MATCH(data!$A23,Haver_Q!$B$1:$B$1000,0),MATCH(data!F$1,Haver_Q!$B$1:$BD$1,0)),"na")</f>
        <v>na</v>
      </c>
      <c r="G23" t="str">
        <f>IF(ISNUMBER(INDEX(Haver_Q!$B$1:$BD$1000,MATCH(data!$A23,Haver_Q!$B$1:$B$1000,0),MATCH(data!G$1,Haver_Q!$B$1:$BD$1,0))),100*INDEX(Haver_Q!$B$1:$BD$1000,MATCH(data!$A23,Haver_Q!$B$1:$B$1000,0),MATCH(data!G$1,Haver_Q!$B$1:$BD$1,0)),"na")</f>
        <v>na</v>
      </c>
      <c r="H23" t="str">
        <f>IF(ISNUMBER(INDEX(Haver_Q!$B$1:$BD$1000,MATCH(data!$A23,Haver_Q!$B$1:$B$1000,0),MATCH(data!H$1,Haver_Q!$B$1:$BD$1,0))),100*INDEX(Haver_Q!$B$1:$BD$1000,MATCH(data!$A23,Haver_Q!$B$1:$B$1000,0),MATCH(data!H$1,Haver_Q!$B$1:$BD$1,0)),"na")</f>
        <v>na</v>
      </c>
      <c r="I23" s="3">
        <f>IF(ISNUMBER(Bloomberg_m!C39),Bloomberg_m!C39,"na")</f>
        <v>898</v>
      </c>
      <c r="J23" s="3" t="str">
        <f>IF(ISNUMBER(Bloomberg_m!D39),Bloomberg_m!D39,"na")</f>
        <v>na</v>
      </c>
      <c r="K23" s="3" t="str">
        <f>IF(ISNUMBER(Bloomberg_m!E39),Bloomberg_m!E39,"na")</f>
        <v>na</v>
      </c>
      <c r="L23" s="3">
        <f>IF(ISNUMBER(Bloomberg_m!L39),Bloomberg_m!L39,"na")</f>
        <v>22.18</v>
      </c>
      <c r="M23" t="str">
        <f>IF(ISNUMBER(INDEX(Haver_M!$B$1:$ZN$1000,MATCH(data!$A23,Haver_M!$B$1:$B$1000,0),MATCH(data!M$1,Haver_M!$B$1:$ZN$1,0))),INDEX(Haver_M!$B$1:$ZN$1000,MATCH(data!$A23,Haver_M!$B$1:$B$1000,0),MATCH(data!M$1,Haver_M!$B$1:$ZN$1,0)),"na")</f>
        <v>na</v>
      </c>
      <c r="N23" t="str">
        <f>IF(ISNUMBER(INDEX(Haver_M!$B$1:$ZN$1000,MATCH(data!$A23,Haver_M!$B$1:$B$1000,0),MATCH(data!N$1,Haver_M!$B$1:$ZN$1,0))),INDEX(Haver_M!$B$1:$ZN$1000,MATCH(data!$A23,Haver_M!$B$1:$B$1000,0),MATCH(data!N$1,Haver_M!$B$1:$ZN$1,0)),"na")</f>
        <v>na</v>
      </c>
      <c r="O23">
        <f>IF(ISNUMBER(INDEX(Haver_M!$B$1:$ZN$1000,MATCH(data!$A23,Haver_M!$B$1:$B$1000,0),MATCH(data!O$1,Haver_M!$B$1:$ZN$1,0))),INDEX(Haver_M!$B$1:$ZN$1000,MATCH(data!$A23,Haver_M!$B$1:$B$1000,0),MATCH(data!O$1,Haver_M!$B$1:$ZN$1,0)),"na")</f>
        <v>127.92358</v>
      </c>
      <c r="P23">
        <f>IF(ISNUMBER(INDEX(Haver_M!$B$1:$ZN$1000,MATCH(data!$A23,Haver_M!$B$1:$B$1000,0),MATCH(data!P$1,Haver_M!$B$1:$ZN$1,0))),INDEX(Haver_M!$B$1:$ZN$1000,MATCH(data!$A23,Haver_M!$B$1:$B$1000,0),MATCH(data!P$1,Haver_M!$B$1:$ZN$1,0)),"na")</f>
        <v>50.354599999999998</v>
      </c>
      <c r="Q23">
        <f>IF(ISNUMBER(INDEX(Haver_M!$B$1:$ZN$1000,MATCH(data!$A23,Haver_M!$B$1:$B$1000,0),MATCH(data!Q$1,Haver_M!$B$1:$ZN$1,0))),INDEX(Haver_M!$B$1:$ZN$1000,MATCH(data!$A23,Haver_M!$B$1:$B$1000,0),MATCH(data!Q$1,Haver_M!$B$1:$ZN$1,0)),"na")</f>
        <v>54.752099999999999</v>
      </c>
      <c r="R23">
        <f>IF(ISNUMBER(INDEX(Haver_M!$B$1:$ZN$1000,MATCH(data!$A23,Haver_M!$B$1:$B$1000,0),MATCH(data!R$1,Haver_M!$B$1:$ZN$1,0))),INDEX(Haver_M!$B$1:$ZN$1000,MATCH(data!$A23,Haver_M!$B$1:$B$1000,0),MATCH(data!R$1,Haver_M!$B$1:$ZN$1,0)),"na")</f>
        <v>86.749300000000005</v>
      </c>
      <c r="S23">
        <f>IF(ISNUMBER(INDEX(Haver_M!$B$1:$ZN$1000,MATCH(data!$A23,Haver_M!$B$1:$B$1000,0),MATCH(data!S$1,Haver_M!$B$1:$ZN$1,0))),INDEX(Haver_M!$B$1:$ZN$1000,MATCH(data!$A23,Haver_M!$B$1:$B$1000,0),MATCH(data!S$1,Haver_M!$B$1:$ZN$1,0)),"na")</f>
        <v>103.8515</v>
      </c>
      <c r="T23">
        <f>IF(ISNUMBER(INDEX(Haver_M!$B$1:$ZN$1000,MATCH(data!$A23,Haver_M!$B$1:$B$1000,0),MATCH(data!T$1,Haver_M!$B$1:$ZN$1,0))),INDEX(Haver_M!$B$1:$ZN$1000,MATCH(data!$A23,Haver_M!$B$1:$B$1000,0),MATCH(data!T$1,Haver_M!$B$1:$ZN$1,0)),"na")</f>
        <v>59.471400000000003</v>
      </c>
      <c r="U23">
        <f>IF(ISNUMBER(INDEX(Haver_M!$B$1:$ZN$1000,MATCH(data!$A23,Haver_M!$B$1:$B$1000,0),MATCH(data!U$1,Haver_M!$B$1:$ZN$1,0))),INDEX(Haver_M!$B$1:$ZN$1000,MATCH(data!$A23,Haver_M!$B$1:$B$1000,0),MATCH(data!U$1,Haver_M!$B$1:$ZN$1,0)),"na")</f>
        <v>76.036699999999996</v>
      </c>
      <c r="V23">
        <f>IF(ISNUMBER(INDEX(Haver_M!$B$1:$ZN$1000,MATCH(data!$A23,Haver_M!$B$1:$B$1000,0),MATCH(data!V$1,Haver_M!$B$1:$ZN$1,0))),INDEX(Haver_M!$B$1:$ZN$1000,MATCH(data!$A23,Haver_M!$B$1:$B$1000,0),MATCH(data!V$1,Haver_M!$B$1:$ZN$1,0)),"na")</f>
        <v>87.056100000000001</v>
      </c>
      <c r="W23">
        <f>IF(ISNUMBER(INDEX(Haver_M!$B$1:$ZN$1000,MATCH(data!$A23,Haver_M!$B$1:$B$1000,0),MATCH(data!W$1,Haver_M!$B$1:$ZN$1,0))),INDEX(Haver_M!$B$1:$ZN$1000,MATCH(data!$A23,Haver_M!$B$1:$B$1000,0),MATCH(data!W$1,Haver_M!$B$1:$ZN$1,0)),"na")</f>
        <v>2.92</v>
      </c>
      <c r="X23" t="str">
        <f>IF(ISNUMBER(INDEX(Haver_M!$B$1:$ZN$1000,MATCH(data!$A23,Haver_M!$B$1:$B$1000,0),MATCH(data!X$1,Haver_M!$B$1:$ZN$1,0))),INDEX(Haver_M!$B$1:$ZN$1000,MATCH(data!$A23,Haver_M!$B$1:$B$1000,0),MATCH(data!X$1,Haver_M!$B$1:$ZN$1,0)),"na")</f>
        <v>na</v>
      </c>
      <c r="Y23">
        <f>IF(ISNUMBER(INDEX(Haver_M!$B$1:$ZN$1000,MATCH(data!$A23,Haver_M!$B$1:$B$1000,0),MATCH(data!Y$1,Haver_M!$B$1:$ZN$1,0))),INDEX(Haver_M!$B$1:$ZN$1000,MATCH(data!$A23,Haver_M!$B$1:$B$1000,0),MATCH(data!Y$1,Haver_M!$B$1:$ZN$1,0)),"na")</f>
        <v>99.75</v>
      </c>
      <c r="Z23">
        <f>IF(ISNUMBER(INDEX(Haver_M!$B$1:$ZN$1000,MATCH(data!$A23,Haver_M!$B$1:$B$1000,0),MATCH(data!Z$1,Haver_M!$B$1:$ZN$1,0))),INDEX(Haver_M!$B$1:$ZN$1000,MATCH(data!$A23,Haver_M!$B$1:$B$1000,0),MATCH(data!Z$1,Haver_M!$B$1:$ZN$1,0)),"na")</f>
        <v>79.683499999999995</v>
      </c>
      <c r="AA23" t="str">
        <f>IF(ISNUMBER(INDEX(Haver_M!$B$1:$ZN$1000,MATCH(data!$A23,Haver_M!$B$1:$B$1000,0),MATCH(data!AA$1,Haver_M!$B$1:$ZN$1,0))),INDEX(Haver_M!$B$1:$ZN$1000,MATCH(data!$A23,Haver_M!$B$1:$B$1000,0),MATCH(data!AA$1,Haver_M!$B$1:$ZN$1,0)),"na")</f>
        <v>na</v>
      </c>
      <c r="AB23">
        <f>IF(ISNUMBER(INDEX(Haver_M!$B$1:$ZN$1000,MATCH(data!$A23,Haver_M!$B$1:$B$1000,0),MATCH(data!AB$1,Haver_M!$B$1:$ZN$1,0))),INDEX(Haver_M!$B$1:$ZN$1000,MATCH(data!$A23,Haver_M!$B$1:$B$1000,0),MATCH(data!AB$1,Haver_M!$B$1:$ZN$1,0)),"na")</f>
        <v>12825.1</v>
      </c>
      <c r="AC23">
        <f>IF(ISNUMBER(INDEX(Haver_M!$B$1:$ZN$1000,MATCH(data!$A23,Haver_M!$B$1:$B$1000,0),MATCH(data!AC$1,Haver_M!$B$1:$ZN$1,0))),INDEX(Haver_M!$B$1:$ZN$1000,MATCH(data!$A23,Haver_M!$B$1:$B$1000,0),MATCH(data!AC$1,Haver_M!$B$1:$ZN$1,0)),"na")</f>
        <v>13721.4</v>
      </c>
      <c r="AD23">
        <f>IF(ISNUMBER(INDEX(Haver_M!$B$1:$ZN$1000,MATCH(data!$A23,Haver_M!$B$1:$B$1000,0),MATCH(data!AD$1,Haver_M!$B$1:$ZN$1,0))),INDEX(Haver_M!$B$1:$ZN$1000,MATCH(data!$A23,Haver_M!$B$1:$B$1000,0),MATCH(data!AD$1,Haver_M!$B$1:$ZN$1,0)),"na")</f>
        <v>99.95</v>
      </c>
      <c r="AE23">
        <f>IF(ISNUMBER(INDEX(Haver_M!$B$1:$ZN$1000,MATCH(data!$A23,Haver_M!$B$1:$B$1000,0),MATCH(data!AE$1,Haver_M!$B$1:$ZN$1,0))),INDEX(Haver_M!$B$1:$ZN$1000,MATCH(data!$A23,Haver_M!$B$1:$B$1000,0),MATCH(data!AE$1,Haver_M!$B$1:$ZN$1,0)),"na")</f>
        <v>42.3</v>
      </c>
      <c r="AF23" t="str">
        <f>IF(ISNUMBER(INDEX(Haver_M!$B$1:$ZN$1000,MATCH(data!$A23,Haver_M!$B$1:$B$1000,0),MATCH(data!AF$1,Haver_M!$B$1:$ZN$1,0))),INDEX(Haver_M!$B$1:$ZN$1000,MATCH(data!$A23,Haver_M!$B$1:$B$1000,0),MATCH(data!AF$1,Haver_M!$B$1:$ZN$1,0)),"na")</f>
        <v>na</v>
      </c>
      <c r="AG23" t="str">
        <f>IF(ISNUMBER(INDEX(Haver_M!$B$1:$ZN$1000,MATCH(data!$A23,Haver_M!$B$1:$B$1000,0),MATCH(data!AG$1,Haver_M!$B$1:$ZN$1,0))),INDEX(Haver_M!$B$1:$ZN$1000,MATCH(data!$A23,Haver_M!$B$1:$B$1000,0),MATCH(data!AG$1,Haver_M!$B$1:$ZN$1,0)),"na")</f>
        <v>na</v>
      </c>
      <c r="AH23" t="str">
        <f>IF(ISNUMBER(INDEX(Haver_M!$B$1:$ZN$1000,MATCH(data!$A23,Haver_M!$B$1:$B$1000,0),MATCH(data!AH$1,Haver_M!$B$1:$ZN$1,0))),INDEX(Haver_M!$B$1:$ZN$1000,MATCH(data!$A23,Haver_M!$B$1:$B$1000,0),MATCH(data!AH$1,Haver_M!$B$1:$ZN$1,0)),"na")</f>
        <v>na</v>
      </c>
      <c r="AI23" t="str">
        <f>IF(ISNUMBER(INDEX(Haver_M!$B$1:$ZN$1000,MATCH(data!$A23,Haver_M!$B$1:$B$1000,0),MATCH(data!AI$1,Haver_M!$B$1:$ZN$1,0))),INDEX(Haver_M!$B$1:$ZN$1000,MATCH(data!$A23,Haver_M!$B$1:$B$1000,0),MATCH(data!AI$1,Haver_M!$B$1:$ZN$1,0)),"na")</f>
        <v>na</v>
      </c>
      <c r="AJ23" t="str">
        <f>IF(ISNUMBER(INDEX(Haver_M!$B$1:$ZN$1000,MATCH(data!$A23,Haver_M!$B$1:$B$1000,0),MATCH(data!AJ$1,Haver_M!$B$1:$ZN$1,0))),INDEX(Haver_M!$B$1:$ZN$1000,MATCH(data!$A23,Haver_M!$B$1:$B$1000,0),MATCH(data!AJ$1,Haver_M!$B$1:$ZN$1,0)),"na")</f>
        <v>na</v>
      </c>
      <c r="AK23" t="str">
        <f>IF(ISNUMBER(INDEX(Haver_M!$B$1:$ZN$1000,MATCH(data!$A23,Haver_M!$B$1:$B$1000,0),MATCH(data!AK$1,Haver_M!$B$1:$ZN$1,0))),INDEX(Haver_M!$B$1:$ZN$1000,MATCH(data!$A23,Haver_M!$B$1:$B$1000,0),MATCH(data!AK$1,Haver_M!$B$1:$ZN$1,0)),"na")</f>
        <v>na</v>
      </c>
      <c r="AL23" t="str">
        <f>IF(ISNUMBER(INDEX(Haver_M!$B$1:$ZN$1000,MATCH(data!$A23,Haver_M!$B$1:$B$1000,0),MATCH(data!AL$1,Haver_M!$B$1:$ZN$1,0))),INDEX(Haver_M!$B$1:$ZN$1000,MATCH(data!$A23,Haver_M!$B$1:$B$1000,0),MATCH(data!AL$1,Haver_M!$B$1:$ZN$1,0)),"na")</f>
        <v>na</v>
      </c>
      <c r="AM23" t="str">
        <f>IF(ISNUMBER(INDEX(Haver_M!$B$1:$ZN$1000,MATCH(data!$A23,Haver_M!$B$1:$B$1000,0),MATCH(data!AM$1,Haver_M!$B$1:$ZN$1,0))),INDEX(Haver_M!$B$1:$ZN$1000,MATCH(data!$A23,Haver_M!$B$1:$B$1000,0),MATCH(data!AM$1,Haver_M!$B$1:$ZN$1,0)),"na")</f>
        <v>na</v>
      </c>
      <c r="AN23" t="str">
        <f>IF(ISNUMBER(INDEX(Haver_M!$B$1:$ZN$1000,MATCH(data!$A23,Haver_M!$B$1:$B$1000,0),MATCH(data!AN$1,Haver_M!$B$1:$ZN$1,0))),INDEX(Haver_M!$B$1:$ZN$1000,MATCH(data!$A23,Haver_M!$B$1:$B$1000,0),MATCH(data!AN$1,Haver_M!$B$1:$ZN$1,0)),"na")</f>
        <v>na</v>
      </c>
      <c r="AO23" t="str">
        <f>IF(ISNUMBER(INDEX(Haver_M!$B$1:$ZN$1000,MATCH(data!$A23,Haver_M!$B$1:$B$1000,0),MATCH(data!AO$1,Haver_M!$B$1:$ZN$1,0))),INDEX(Haver_M!$B$1:$ZN$1000,MATCH(data!$A23,Haver_M!$B$1:$B$1000,0),MATCH(data!AO$1,Haver_M!$B$1:$ZN$1,0)),"na")</f>
        <v>na</v>
      </c>
      <c r="AP23" t="str">
        <f>IF(ISNUMBER(INDEX(Haver_M!$B$1:$ZN$1000,MATCH(data!$A23,Haver_M!$B$1:$B$1000,0),MATCH(data!AP$1,Haver_M!$B$1:$ZN$1,0))),INDEX(Haver_M!$B$1:$ZN$1000,MATCH(data!$A23,Haver_M!$B$1:$B$1000,0),MATCH(data!AP$1,Haver_M!$B$1:$ZN$1,0)),"na")</f>
        <v>na</v>
      </c>
      <c r="AQ23" t="str">
        <f>IF(ISNUMBER(INDEX(Haver_M!$B$1:$ZN$1000,MATCH(data!$A23,Haver_M!$B$1:$B$1000,0),MATCH(data!AQ$1,Haver_M!$B$1:$ZN$1,0))),INDEX(Haver_M!$B$1:$ZN$1000,MATCH(data!$A23,Haver_M!$B$1:$B$1000,0),MATCH(data!AQ$1,Haver_M!$B$1:$ZN$1,0)),"na")</f>
        <v>na</v>
      </c>
      <c r="AR23" t="str">
        <f>IF(ISNUMBER(INDEX(Haver_M!$B$1:$ZN$1000,MATCH(data!$A23,Haver_M!$B$1:$B$1000,0),MATCH(data!AR$1,Haver_M!$B$1:$ZN$1,0))),INDEX(Haver_M!$B$1:$ZN$1000,MATCH(data!$A23,Haver_M!$B$1:$B$1000,0),MATCH(data!AR$1,Haver_M!$B$1:$ZN$1,0)),"na")</f>
        <v>na</v>
      </c>
      <c r="AS23">
        <f>IF(ISNUMBER(INDEX(Haver_M!$B$1:$ZN$1000,MATCH(data!$A23,Haver_M!$B$1:$B$1000,0),MATCH(data!AS$1,Haver_M!$B$1:$ZN$1,0))),INDEX(Haver_M!$B$1:$ZN$1000,MATCH(data!$A23,Haver_M!$B$1:$B$1000,0),MATCH(data!AS$1,Haver_M!$B$1:$ZN$1,0)),"na")</f>
        <v>5567.04</v>
      </c>
      <c r="AT23">
        <f>IF(ISNUMBER(INDEX(Haver_M!$B$1:$ZN$1000,MATCH(data!$A23,Haver_M!$B$1:$B$1000,0),MATCH(data!AT$1,Haver_M!$B$1:$ZN$1,0))),INDEX(Haver_M!$B$1:$ZN$1000,MATCH(data!$A23,Haver_M!$B$1:$B$1000,0),MATCH(data!AT$1,Haver_M!$B$1:$ZN$1,0)),"na")</f>
        <v>80.043000000000006</v>
      </c>
      <c r="AU23">
        <f>IF(ISNUMBER(INDEX(Haver_M!$B$1:$ZN$1000,MATCH(data!$A23,Haver_M!$B$1:$B$1000,0),MATCH(data!AU$1,Haver_M!$B$1:$ZN$1,0))),INDEX(Haver_M!$B$1:$ZN$1000,MATCH(data!$A23,Haver_M!$B$1:$B$1000,0),MATCH(data!AU$1,Haver_M!$B$1:$ZN$1,0)),"na")</f>
        <v>78.823013000000003</v>
      </c>
      <c r="AV23">
        <f>IF(ISNUMBER(INDEX(Haver_M!$B$1:$ZN$1000,MATCH(data!$A23,Haver_M!$B$1:$B$1000,0),MATCH(data!AV$1,Haver_M!$B$1:$ZN$1,0))),INDEX(Haver_M!$B$1:$ZN$1000,MATCH(data!$A23,Haver_M!$B$1:$B$1000,0),MATCH(data!AV$1,Haver_M!$B$1:$ZN$1,0)),"na")</f>
        <v>69.3</v>
      </c>
      <c r="AW23">
        <f>IF(ISNUMBER(INDEX(Haver_M!$B$1:$ZN$1000,MATCH(data!$A23,Haver_M!$B$1:$B$1000,0),MATCH(data!AW$1,Haver_M!$B$1:$ZN$1,0))),INDEX(Haver_M!$B$1:$ZN$1000,MATCH(data!$A23,Haver_M!$B$1:$B$1000,0),MATCH(data!AW$1,Haver_M!$B$1:$ZN$1,0)),"na")</f>
        <v>608237.91360215028</v>
      </c>
      <c r="AX23">
        <f>IF(ISNUMBER(INDEX(Haver_M!$B$1:$ZN$1000,MATCH(data!$A23,Haver_M!$B$1:$B$1000,0),MATCH(data!AX$1,Haver_M!$B$1:$ZN$1,0))),INDEX(Haver_M!$B$1:$ZN$1000,MATCH(data!$A23,Haver_M!$B$1:$B$1000,0),MATCH(data!AX$1,Haver_M!$B$1:$ZN$1,0)),"na")</f>
        <v>3113</v>
      </c>
      <c r="AY23">
        <f>IF(ISNUMBER(INDEX(Haver_M!$B$1:$ZN$1000,MATCH(data!$A23,Haver_M!$B$1:$B$1000,0),MATCH(data!AY$1,Haver_M!$B$1:$ZN$1,0))),INDEX(Haver_M!$B$1:$ZN$1000,MATCH(data!$A23,Haver_M!$B$1:$B$1000,0),MATCH(data!AY$1,Haver_M!$B$1:$ZN$1,0)),"na")</f>
        <v>1734</v>
      </c>
      <c r="AZ23" t="str">
        <f>IF(ISNUMBER(INDEX(Haver_M!$B$1:$ZN$1000,MATCH(data!$A23,Haver_M!$B$1:$B$1000,0),MATCH(data!AZ$1,Haver_M!$B$1:$ZN$1,0))),INDEX(Haver_M!$B$1:$ZN$1000,MATCH(data!$A23,Haver_M!$B$1:$B$1000,0),MATCH(data!AZ$1,Haver_M!$B$1:$ZN$1,0)),"na")</f>
        <v>na</v>
      </c>
      <c r="BA23">
        <f>IF(ISNUMBER(INDEX(Haver_M!$B$1:$ZN$1000,MATCH(data!$A23,Haver_M!$B$1:$B$1000,0),MATCH(data!BA$1,Haver_M!$B$1:$ZN$1,0))),INDEX(Haver_M!$B$1:$ZN$1000,MATCH(data!$A23,Haver_M!$B$1:$B$1000,0),MATCH(data!BA$1,Haver_M!$B$1:$ZN$1,0)),"na")</f>
        <v>284.99277250704</v>
      </c>
      <c r="BB23" t="str">
        <f>IF(ISNUMBER(INDEX(Haver_M!$B$1:$ZN$1000,MATCH(data!$A23,Haver_M!$B$1:$B$1000,0),MATCH(data!BB$1,Haver_M!$B$1:$ZN$1,0))),INDEX(Haver_M!$B$1:$ZN$1000,MATCH(data!$A23,Haver_M!$B$1:$B$1000,0),MATCH(data!BB$1,Haver_M!$B$1:$ZN$1,0)),"")</f>
        <v/>
      </c>
    </row>
    <row r="24" spans="1:54" x14ac:dyDescent="0.25">
      <c r="A24" s="2">
        <v>37225</v>
      </c>
      <c r="B24" t="str">
        <f>IF(ISNUMBER(INDEX(Haver_Q!$B$1:$BD$1000,MATCH(data!$A24,Haver_Q!$B$1:$B$1000,0),MATCH(data!B$1,Haver_Q!$B$1:$BD$1,0))),100*INDEX(Haver_Q!$B$1:$BD$1000,MATCH(data!$A24,Haver_Q!$B$1:$B$1000,0),MATCH(data!B$1,Haver_Q!$B$1:$BD$1,0)),"na")</f>
        <v>na</v>
      </c>
      <c r="C24" t="str">
        <f>IF(ISNUMBER(INDEX(Haver_Q!$B$1:$BD$1000,MATCH(data!$A24,Haver_Q!$B$1:$B$1000,0),MATCH(data!C$1,Haver_Q!$B$1:$BD$1,0))),100*INDEX(Haver_Q!$B$1:$BD$1000,MATCH(data!$A24,Haver_Q!$B$1:$B$1000,0),MATCH(data!C$1,Haver_Q!$B$1:$BD$1,0)),"na")</f>
        <v>na</v>
      </c>
      <c r="D24" t="str">
        <f>IF(ISNUMBER(INDEX(Haver_Q!$B$1:$BD$1000,MATCH(data!$A24,Haver_Q!$B$1:$B$1000,0),MATCH(data!D$1,Haver_Q!$B$1:$BD$1,0))),100*INDEX(Haver_Q!$B$1:$BD$1000,MATCH(data!$A24,Haver_Q!$B$1:$B$1000,0),MATCH(data!D$1,Haver_Q!$B$1:$BD$1,0)),"na")</f>
        <v>na</v>
      </c>
      <c r="E24" t="str">
        <f>IF(ISNUMBER(INDEX(Haver_Q!$B$1:$BD$1000,MATCH(data!$A24,Haver_Q!$B$1:$B$1000,0),MATCH(data!E$1,Haver_Q!$B$1:$BD$1,0))),100*INDEX(Haver_Q!$B$1:$BD$1000,MATCH(data!$A24,Haver_Q!$B$1:$B$1000,0),MATCH(data!E$1,Haver_Q!$B$1:$BD$1,0)),"na")</f>
        <v>na</v>
      </c>
      <c r="F24" t="str">
        <f>IF(ISNUMBER(INDEX(Haver_Q!$B$1:$BD$1000,MATCH(data!$A24,Haver_Q!$B$1:$B$1000,0),MATCH(data!F$1,Haver_Q!$B$1:$BD$1,0))),100*INDEX(Haver_Q!$B$1:$BD$1000,MATCH(data!$A24,Haver_Q!$B$1:$B$1000,0),MATCH(data!F$1,Haver_Q!$B$1:$BD$1,0)),"na")</f>
        <v>na</v>
      </c>
      <c r="G24" t="str">
        <f>IF(ISNUMBER(INDEX(Haver_Q!$B$1:$BD$1000,MATCH(data!$A24,Haver_Q!$B$1:$B$1000,0),MATCH(data!G$1,Haver_Q!$B$1:$BD$1,0))),100*INDEX(Haver_Q!$B$1:$BD$1000,MATCH(data!$A24,Haver_Q!$B$1:$B$1000,0),MATCH(data!G$1,Haver_Q!$B$1:$BD$1,0)),"na")</f>
        <v>na</v>
      </c>
      <c r="H24" t="str">
        <f>IF(ISNUMBER(INDEX(Haver_Q!$B$1:$BD$1000,MATCH(data!$A24,Haver_Q!$B$1:$B$1000,0),MATCH(data!H$1,Haver_Q!$B$1:$BD$1,0))),100*INDEX(Haver_Q!$B$1:$BD$1000,MATCH(data!$A24,Haver_Q!$B$1:$B$1000,0),MATCH(data!H$1,Haver_Q!$B$1:$BD$1,0)),"na")</f>
        <v>na</v>
      </c>
      <c r="I24" s="3">
        <f>IF(ISNUMBER(Bloomberg_m!C40),Bloomberg_m!C40,"na")</f>
        <v>855</v>
      </c>
      <c r="J24" s="3" t="str">
        <f>IF(ISNUMBER(Bloomberg_m!D40),Bloomberg_m!D40,"na")</f>
        <v>na</v>
      </c>
      <c r="K24" s="3" t="str">
        <f>IF(ISNUMBER(Bloomberg_m!E40),Bloomberg_m!E40,"na")</f>
        <v>na</v>
      </c>
      <c r="L24" s="3">
        <f>IF(ISNUMBER(Bloomberg_m!L40),Bloomberg_m!L40,"na")</f>
        <v>19.59</v>
      </c>
      <c r="M24" t="str">
        <f>IF(ISNUMBER(INDEX(Haver_M!$B$1:$ZN$1000,MATCH(data!$A24,Haver_M!$B$1:$B$1000,0),MATCH(data!M$1,Haver_M!$B$1:$ZN$1,0))),INDEX(Haver_M!$B$1:$ZN$1000,MATCH(data!$A24,Haver_M!$B$1:$B$1000,0),MATCH(data!M$1,Haver_M!$B$1:$ZN$1,0)),"na")</f>
        <v>na</v>
      </c>
      <c r="N24" t="str">
        <f>IF(ISNUMBER(INDEX(Haver_M!$B$1:$ZN$1000,MATCH(data!$A24,Haver_M!$B$1:$B$1000,0),MATCH(data!N$1,Haver_M!$B$1:$ZN$1,0))),INDEX(Haver_M!$B$1:$ZN$1000,MATCH(data!$A24,Haver_M!$B$1:$B$1000,0),MATCH(data!N$1,Haver_M!$B$1:$ZN$1,0)),"na")</f>
        <v>na</v>
      </c>
      <c r="O24">
        <f>IF(ISNUMBER(INDEX(Haver_M!$B$1:$ZN$1000,MATCH(data!$A24,Haver_M!$B$1:$B$1000,0),MATCH(data!O$1,Haver_M!$B$1:$ZN$1,0))),INDEX(Haver_M!$B$1:$ZN$1000,MATCH(data!$A24,Haver_M!$B$1:$B$1000,0),MATCH(data!O$1,Haver_M!$B$1:$ZN$1,0)),"na")</f>
        <v>130.33858000000001</v>
      </c>
      <c r="P24">
        <f>IF(ISNUMBER(INDEX(Haver_M!$B$1:$ZN$1000,MATCH(data!$A24,Haver_M!$B$1:$B$1000,0),MATCH(data!P$1,Haver_M!$B$1:$ZN$1,0))),INDEX(Haver_M!$B$1:$ZN$1000,MATCH(data!$A24,Haver_M!$B$1:$B$1000,0),MATCH(data!P$1,Haver_M!$B$1:$ZN$1,0)),"na")</f>
        <v>50.360900000000001</v>
      </c>
      <c r="Q24">
        <f>IF(ISNUMBER(INDEX(Haver_M!$B$1:$ZN$1000,MATCH(data!$A24,Haver_M!$B$1:$B$1000,0),MATCH(data!Q$1,Haver_M!$B$1:$ZN$1,0))),INDEX(Haver_M!$B$1:$ZN$1000,MATCH(data!$A24,Haver_M!$B$1:$B$1000,0),MATCH(data!Q$1,Haver_M!$B$1:$ZN$1,0)),"na")</f>
        <v>54.924100000000003</v>
      </c>
      <c r="R24">
        <f>IF(ISNUMBER(INDEX(Haver_M!$B$1:$ZN$1000,MATCH(data!$A24,Haver_M!$B$1:$B$1000,0),MATCH(data!R$1,Haver_M!$B$1:$ZN$1,0))),INDEX(Haver_M!$B$1:$ZN$1000,MATCH(data!$A24,Haver_M!$B$1:$B$1000,0),MATCH(data!R$1,Haver_M!$B$1:$ZN$1,0)),"na")</f>
        <v>88.392799999999994</v>
      </c>
      <c r="S24">
        <f>IF(ISNUMBER(INDEX(Haver_M!$B$1:$ZN$1000,MATCH(data!$A24,Haver_M!$B$1:$B$1000,0),MATCH(data!S$1,Haver_M!$B$1:$ZN$1,0))),INDEX(Haver_M!$B$1:$ZN$1000,MATCH(data!$A24,Haver_M!$B$1:$B$1000,0),MATCH(data!S$1,Haver_M!$B$1:$ZN$1,0)),"na")</f>
        <v>108.2167</v>
      </c>
      <c r="T24">
        <f>IF(ISNUMBER(INDEX(Haver_M!$B$1:$ZN$1000,MATCH(data!$A24,Haver_M!$B$1:$B$1000,0),MATCH(data!T$1,Haver_M!$B$1:$ZN$1,0))),INDEX(Haver_M!$B$1:$ZN$1000,MATCH(data!$A24,Haver_M!$B$1:$B$1000,0),MATCH(data!T$1,Haver_M!$B$1:$ZN$1,0)),"na")</f>
        <v>60.1631</v>
      </c>
      <c r="U24">
        <f>IF(ISNUMBER(INDEX(Haver_M!$B$1:$ZN$1000,MATCH(data!$A24,Haver_M!$B$1:$B$1000,0),MATCH(data!U$1,Haver_M!$B$1:$ZN$1,0))),INDEX(Haver_M!$B$1:$ZN$1000,MATCH(data!$A24,Haver_M!$B$1:$B$1000,0),MATCH(data!U$1,Haver_M!$B$1:$ZN$1,0)),"na")</f>
        <v>76.7226</v>
      </c>
      <c r="V24">
        <f>IF(ISNUMBER(INDEX(Haver_M!$B$1:$ZN$1000,MATCH(data!$A24,Haver_M!$B$1:$B$1000,0),MATCH(data!V$1,Haver_M!$B$1:$ZN$1,0))),INDEX(Haver_M!$B$1:$ZN$1000,MATCH(data!$A24,Haver_M!$B$1:$B$1000,0),MATCH(data!V$1,Haver_M!$B$1:$ZN$1,0)),"na")</f>
        <v>87.456999999999994</v>
      </c>
      <c r="W24">
        <f>IF(ISNUMBER(INDEX(Haver_M!$B$1:$ZN$1000,MATCH(data!$A24,Haver_M!$B$1:$B$1000,0),MATCH(data!W$1,Haver_M!$B$1:$ZN$1,0))),INDEX(Haver_M!$B$1:$ZN$1000,MATCH(data!$A24,Haver_M!$B$1:$B$1000,0),MATCH(data!W$1,Haver_M!$B$1:$ZN$1,0)),"na")</f>
        <v>2.93</v>
      </c>
      <c r="X24" t="str">
        <f>IF(ISNUMBER(INDEX(Haver_M!$B$1:$ZN$1000,MATCH(data!$A24,Haver_M!$B$1:$B$1000,0),MATCH(data!X$1,Haver_M!$B$1:$ZN$1,0))),INDEX(Haver_M!$B$1:$ZN$1000,MATCH(data!$A24,Haver_M!$B$1:$B$1000,0),MATCH(data!X$1,Haver_M!$B$1:$ZN$1,0)),"na")</f>
        <v>na</v>
      </c>
      <c r="Y24">
        <f>IF(ISNUMBER(INDEX(Haver_M!$B$1:$ZN$1000,MATCH(data!$A24,Haver_M!$B$1:$B$1000,0),MATCH(data!Y$1,Haver_M!$B$1:$ZN$1,0))),INDEX(Haver_M!$B$1:$ZN$1000,MATCH(data!$A24,Haver_M!$B$1:$B$1000,0),MATCH(data!Y$1,Haver_M!$B$1:$ZN$1,0)),"na")</f>
        <v>99.91</v>
      </c>
      <c r="Z24">
        <f>IF(ISNUMBER(INDEX(Haver_M!$B$1:$ZN$1000,MATCH(data!$A24,Haver_M!$B$1:$B$1000,0),MATCH(data!Z$1,Haver_M!$B$1:$ZN$1,0))),INDEX(Haver_M!$B$1:$ZN$1000,MATCH(data!$A24,Haver_M!$B$1:$B$1000,0),MATCH(data!Z$1,Haver_M!$B$1:$ZN$1,0)),"na")</f>
        <v>79.929699999999997</v>
      </c>
      <c r="AA24" t="str">
        <f>IF(ISNUMBER(INDEX(Haver_M!$B$1:$ZN$1000,MATCH(data!$A24,Haver_M!$B$1:$B$1000,0),MATCH(data!AA$1,Haver_M!$B$1:$ZN$1,0))),INDEX(Haver_M!$B$1:$ZN$1000,MATCH(data!$A24,Haver_M!$B$1:$B$1000,0),MATCH(data!AA$1,Haver_M!$B$1:$ZN$1,0)),"na")</f>
        <v>na</v>
      </c>
      <c r="AB24">
        <f>IF(ISNUMBER(INDEX(Haver_M!$B$1:$ZN$1000,MATCH(data!$A24,Haver_M!$B$1:$B$1000,0),MATCH(data!AB$1,Haver_M!$B$1:$ZN$1,0))),INDEX(Haver_M!$B$1:$ZN$1000,MATCH(data!$A24,Haver_M!$B$1:$B$1000,0),MATCH(data!AB$1,Haver_M!$B$1:$ZN$1,0)),"na")</f>
        <v>12544.6</v>
      </c>
      <c r="AC24">
        <f>IF(ISNUMBER(INDEX(Haver_M!$B$1:$ZN$1000,MATCH(data!$A24,Haver_M!$B$1:$B$1000,0),MATCH(data!AC$1,Haver_M!$B$1:$ZN$1,0))),INDEX(Haver_M!$B$1:$ZN$1000,MATCH(data!$A24,Haver_M!$B$1:$B$1000,0),MATCH(data!AC$1,Haver_M!$B$1:$ZN$1,0)),"na")</f>
        <v>13468</v>
      </c>
      <c r="AD24">
        <f>IF(ISNUMBER(INDEX(Haver_M!$B$1:$ZN$1000,MATCH(data!$A24,Haver_M!$B$1:$B$1000,0),MATCH(data!AD$1,Haver_M!$B$1:$ZN$1,0))),INDEX(Haver_M!$B$1:$ZN$1000,MATCH(data!$A24,Haver_M!$B$1:$B$1000,0),MATCH(data!AD$1,Haver_M!$B$1:$ZN$1,0)),"na")</f>
        <v>99.79</v>
      </c>
      <c r="AE24">
        <f>IF(ISNUMBER(INDEX(Haver_M!$B$1:$ZN$1000,MATCH(data!$A24,Haver_M!$B$1:$B$1000,0),MATCH(data!AE$1,Haver_M!$B$1:$ZN$1,0))),INDEX(Haver_M!$B$1:$ZN$1000,MATCH(data!$A24,Haver_M!$B$1:$B$1000,0),MATCH(data!AE$1,Haver_M!$B$1:$ZN$1,0)),"na")</f>
        <v>42.8</v>
      </c>
      <c r="AF24" t="str">
        <f>IF(ISNUMBER(INDEX(Haver_M!$B$1:$ZN$1000,MATCH(data!$A24,Haver_M!$B$1:$B$1000,0),MATCH(data!AF$1,Haver_M!$B$1:$ZN$1,0))),INDEX(Haver_M!$B$1:$ZN$1000,MATCH(data!$A24,Haver_M!$B$1:$B$1000,0),MATCH(data!AF$1,Haver_M!$B$1:$ZN$1,0)),"na")</f>
        <v>na</v>
      </c>
      <c r="AG24" t="str">
        <f>IF(ISNUMBER(INDEX(Haver_M!$B$1:$ZN$1000,MATCH(data!$A24,Haver_M!$B$1:$B$1000,0),MATCH(data!AG$1,Haver_M!$B$1:$ZN$1,0))),INDEX(Haver_M!$B$1:$ZN$1000,MATCH(data!$A24,Haver_M!$B$1:$B$1000,0),MATCH(data!AG$1,Haver_M!$B$1:$ZN$1,0)),"na")</f>
        <v>na</v>
      </c>
      <c r="AH24" t="str">
        <f>IF(ISNUMBER(INDEX(Haver_M!$B$1:$ZN$1000,MATCH(data!$A24,Haver_M!$B$1:$B$1000,0),MATCH(data!AH$1,Haver_M!$B$1:$ZN$1,0))),INDEX(Haver_M!$B$1:$ZN$1000,MATCH(data!$A24,Haver_M!$B$1:$B$1000,0),MATCH(data!AH$1,Haver_M!$B$1:$ZN$1,0)),"na")</f>
        <v>na</v>
      </c>
      <c r="AI24" t="str">
        <f>IF(ISNUMBER(INDEX(Haver_M!$B$1:$ZN$1000,MATCH(data!$A24,Haver_M!$B$1:$B$1000,0),MATCH(data!AI$1,Haver_M!$B$1:$ZN$1,0))),INDEX(Haver_M!$B$1:$ZN$1000,MATCH(data!$A24,Haver_M!$B$1:$B$1000,0),MATCH(data!AI$1,Haver_M!$B$1:$ZN$1,0)),"na")</f>
        <v>na</v>
      </c>
      <c r="AJ24" t="str">
        <f>IF(ISNUMBER(INDEX(Haver_M!$B$1:$ZN$1000,MATCH(data!$A24,Haver_M!$B$1:$B$1000,0),MATCH(data!AJ$1,Haver_M!$B$1:$ZN$1,0))),INDEX(Haver_M!$B$1:$ZN$1000,MATCH(data!$A24,Haver_M!$B$1:$B$1000,0),MATCH(data!AJ$1,Haver_M!$B$1:$ZN$1,0)),"na")</f>
        <v>na</v>
      </c>
      <c r="AK24" t="str">
        <f>IF(ISNUMBER(INDEX(Haver_M!$B$1:$ZN$1000,MATCH(data!$A24,Haver_M!$B$1:$B$1000,0),MATCH(data!AK$1,Haver_M!$B$1:$ZN$1,0))),INDEX(Haver_M!$B$1:$ZN$1000,MATCH(data!$A24,Haver_M!$B$1:$B$1000,0),MATCH(data!AK$1,Haver_M!$B$1:$ZN$1,0)),"na")</f>
        <v>na</v>
      </c>
      <c r="AL24" t="str">
        <f>IF(ISNUMBER(INDEX(Haver_M!$B$1:$ZN$1000,MATCH(data!$A24,Haver_M!$B$1:$B$1000,0),MATCH(data!AL$1,Haver_M!$B$1:$ZN$1,0))),INDEX(Haver_M!$B$1:$ZN$1000,MATCH(data!$A24,Haver_M!$B$1:$B$1000,0),MATCH(data!AL$1,Haver_M!$B$1:$ZN$1,0)),"na")</f>
        <v>na</v>
      </c>
      <c r="AM24" t="str">
        <f>IF(ISNUMBER(INDEX(Haver_M!$B$1:$ZN$1000,MATCH(data!$A24,Haver_M!$B$1:$B$1000,0),MATCH(data!AM$1,Haver_M!$B$1:$ZN$1,0))),INDEX(Haver_M!$B$1:$ZN$1000,MATCH(data!$A24,Haver_M!$B$1:$B$1000,0),MATCH(data!AM$1,Haver_M!$B$1:$ZN$1,0)),"na")</f>
        <v>na</v>
      </c>
      <c r="AN24" t="str">
        <f>IF(ISNUMBER(INDEX(Haver_M!$B$1:$ZN$1000,MATCH(data!$A24,Haver_M!$B$1:$B$1000,0),MATCH(data!AN$1,Haver_M!$B$1:$ZN$1,0))),INDEX(Haver_M!$B$1:$ZN$1000,MATCH(data!$A24,Haver_M!$B$1:$B$1000,0),MATCH(data!AN$1,Haver_M!$B$1:$ZN$1,0)),"na")</f>
        <v>na</v>
      </c>
      <c r="AO24" t="str">
        <f>IF(ISNUMBER(INDEX(Haver_M!$B$1:$ZN$1000,MATCH(data!$A24,Haver_M!$B$1:$B$1000,0),MATCH(data!AO$1,Haver_M!$B$1:$ZN$1,0))),INDEX(Haver_M!$B$1:$ZN$1000,MATCH(data!$A24,Haver_M!$B$1:$B$1000,0),MATCH(data!AO$1,Haver_M!$B$1:$ZN$1,0)),"na")</f>
        <v>na</v>
      </c>
      <c r="AP24" t="str">
        <f>IF(ISNUMBER(INDEX(Haver_M!$B$1:$ZN$1000,MATCH(data!$A24,Haver_M!$B$1:$B$1000,0),MATCH(data!AP$1,Haver_M!$B$1:$ZN$1,0))),INDEX(Haver_M!$B$1:$ZN$1000,MATCH(data!$A24,Haver_M!$B$1:$B$1000,0),MATCH(data!AP$1,Haver_M!$B$1:$ZN$1,0)),"na")</f>
        <v>na</v>
      </c>
      <c r="AQ24" t="str">
        <f>IF(ISNUMBER(INDEX(Haver_M!$B$1:$ZN$1000,MATCH(data!$A24,Haver_M!$B$1:$B$1000,0),MATCH(data!AQ$1,Haver_M!$B$1:$ZN$1,0))),INDEX(Haver_M!$B$1:$ZN$1000,MATCH(data!$A24,Haver_M!$B$1:$B$1000,0),MATCH(data!AQ$1,Haver_M!$B$1:$ZN$1,0)),"na")</f>
        <v>na</v>
      </c>
      <c r="AR24" t="str">
        <f>IF(ISNUMBER(INDEX(Haver_M!$B$1:$ZN$1000,MATCH(data!$A24,Haver_M!$B$1:$B$1000,0),MATCH(data!AR$1,Haver_M!$B$1:$ZN$1,0))),INDEX(Haver_M!$B$1:$ZN$1000,MATCH(data!$A24,Haver_M!$B$1:$B$1000,0),MATCH(data!AR$1,Haver_M!$B$1:$ZN$1,0)),"na")</f>
        <v>na</v>
      </c>
      <c r="AS24">
        <f>IF(ISNUMBER(INDEX(Haver_M!$B$1:$ZN$1000,MATCH(data!$A24,Haver_M!$B$1:$B$1000,0),MATCH(data!AS$1,Haver_M!$B$1:$ZN$1,0))),INDEX(Haver_M!$B$1:$ZN$1000,MATCH(data!$A24,Haver_M!$B$1:$B$1000,0),MATCH(data!AS$1,Haver_M!$B$1:$ZN$1,0)),"na")</f>
        <v>5707.32</v>
      </c>
      <c r="AT24">
        <f>IF(ISNUMBER(INDEX(Haver_M!$B$1:$ZN$1000,MATCH(data!$A24,Haver_M!$B$1:$B$1000,0),MATCH(data!AT$1,Haver_M!$B$1:$ZN$1,0))),INDEX(Haver_M!$B$1:$ZN$1000,MATCH(data!$A24,Haver_M!$B$1:$B$1000,0),MATCH(data!AT$1,Haver_M!$B$1:$ZN$1,0)),"na")</f>
        <v>80.087999999999994</v>
      </c>
      <c r="AU24">
        <f>IF(ISNUMBER(INDEX(Haver_M!$B$1:$ZN$1000,MATCH(data!$A24,Haver_M!$B$1:$B$1000,0),MATCH(data!AU$1,Haver_M!$B$1:$ZN$1,0))),INDEX(Haver_M!$B$1:$ZN$1000,MATCH(data!$A24,Haver_M!$B$1:$B$1000,0),MATCH(data!AU$1,Haver_M!$B$1:$ZN$1,0)),"na")</f>
        <v>79.396360999999999</v>
      </c>
      <c r="AV24">
        <f>IF(ISNUMBER(INDEX(Haver_M!$B$1:$ZN$1000,MATCH(data!$A24,Haver_M!$B$1:$B$1000,0),MATCH(data!AV$1,Haver_M!$B$1:$ZN$1,0))),INDEX(Haver_M!$B$1:$ZN$1000,MATCH(data!$A24,Haver_M!$B$1:$B$1000,0),MATCH(data!AV$1,Haver_M!$B$1:$ZN$1,0)),"na")</f>
        <v>71.3</v>
      </c>
      <c r="AW24">
        <f>IF(ISNUMBER(INDEX(Haver_M!$B$1:$ZN$1000,MATCH(data!$A24,Haver_M!$B$1:$B$1000,0),MATCH(data!AW$1,Haver_M!$B$1:$ZN$1,0))),INDEX(Haver_M!$B$1:$ZN$1000,MATCH(data!$A24,Haver_M!$B$1:$B$1000,0),MATCH(data!AW$1,Haver_M!$B$1:$ZN$1,0)),"na")</f>
        <v>665944.53027955838</v>
      </c>
      <c r="AX24">
        <f>IF(ISNUMBER(INDEX(Haver_M!$B$1:$ZN$1000,MATCH(data!$A24,Haver_M!$B$1:$B$1000,0),MATCH(data!AX$1,Haver_M!$B$1:$ZN$1,0))),INDEX(Haver_M!$B$1:$ZN$1000,MATCH(data!$A24,Haver_M!$B$1:$B$1000,0),MATCH(data!AX$1,Haver_M!$B$1:$ZN$1,0)),"na")</f>
        <v>3213</v>
      </c>
      <c r="AY24">
        <f>IF(ISNUMBER(INDEX(Haver_M!$B$1:$ZN$1000,MATCH(data!$A24,Haver_M!$B$1:$B$1000,0),MATCH(data!AY$1,Haver_M!$B$1:$ZN$1,0))),INDEX(Haver_M!$B$1:$ZN$1000,MATCH(data!$A24,Haver_M!$B$1:$B$1000,0),MATCH(data!AY$1,Haver_M!$B$1:$ZN$1,0)),"na")</f>
        <v>1682</v>
      </c>
      <c r="AZ24" t="str">
        <f>IF(ISNUMBER(INDEX(Haver_M!$B$1:$ZN$1000,MATCH(data!$A24,Haver_M!$B$1:$B$1000,0),MATCH(data!AZ$1,Haver_M!$B$1:$ZN$1,0))),INDEX(Haver_M!$B$1:$ZN$1000,MATCH(data!$A24,Haver_M!$B$1:$B$1000,0),MATCH(data!AZ$1,Haver_M!$B$1:$ZN$1,0)),"na")</f>
        <v>na</v>
      </c>
      <c r="BA24">
        <f>IF(ISNUMBER(INDEX(Haver_M!$B$1:$ZN$1000,MATCH(data!$A24,Haver_M!$B$1:$B$1000,0),MATCH(data!BA$1,Haver_M!$B$1:$ZN$1,0))),INDEX(Haver_M!$B$1:$ZN$1000,MATCH(data!$A24,Haver_M!$B$1:$B$1000,0),MATCH(data!BA$1,Haver_M!$B$1:$ZN$1,0)),"na")</f>
        <v>190.50981500705072</v>
      </c>
      <c r="BB24" t="str">
        <f>IF(ISNUMBER(INDEX(Haver_M!$B$1:$ZN$1000,MATCH(data!$A24,Haver_M!$B$1:$B$1000,0),MATCH(data!BB$1,Haver_M!$B$1:$ZN$1,0))),INDEX(Haver_M!$B$1:$ZN$1000,MATCH(data!$A24,Haver_M!$B$1:$B$1000,0),MATCH(data!BB$1,Haver_M!$B$1:$ZN$1,0)),"")</f>
        <v/>
      </c>
    </row>
    <row r="25" spans="1:54" x14ac:dyDescent="0.25">
      <c r="A25" s="2">
        <v>37256</v>
      </c>
      <c r="B25">
        <f>IF(ISNUMBER(INDEX(Haver_Q!$B$1:$BD$1000,MATCH(data!$A25,Haver_Q!$B$1:$B$1000,0),MATCH(data!B$1,Haver_Q!$B$1:$BD$1,0))),100*INDEX(Haver_Q!$B$1:$BD$1000,MATCH(data!$A25,Haver_Q!$B$1:$B$1000,0),MATCH(data!B$1,Haver_Q!$B$1:$BD$1,0)),"na")</f>
        <v>-1.8571057826851423</v>
      </c>
      <c r="C25">
        <f>IF(ISNUMBER(INDEX(Haver_Q!$B$1:$BD$1000,MATCH(data!$A25,Haver_Q!$B$1:$B$1000,0),MATCH(data!C$1,Haver_Q!$B$1:$BD$1,0))),100*INDEX(Haver_Q!$B$1:$BD$1000,MATCH(data!$A25,Haver_Q!$B$1:$B$1000,0),MATCH(data!C$1,Haver_Q!$B$1:$BD$1,0)),"na")</f>
        <v>-0.12273664954420838</v>
      </c>
      <c r="D25">
        <f>IF(ISNUMBER(INDEX(Haver_Q!$B$1:$BD$1000,MATCH(data!$A25,Haver_Q!$B$1:$B$1000,0),MATCH(data!D$1,Haver_Q!$B$1:$BD$1,0))),100*INDEX(Haver_Q!$B$1:$BD$1000,MATCH(data!$A25,Haver_Q!$B$1:$B$1000,0),MATCH(data!D$1,Haver_Q!$B$1:$BD$1,0)),"na")</f>
        <v>2.938399419998583</v>
      </c>
      <c r="E25">
        <f>IF(ISNUMBER(INDEX(Haver_Q!$B$1:$BD$1000,MATCH(data!$A25,Haver_Q!$B$1:$B$1000,0),MATCH(data!E$1,Haver_Q!$B$1:$BD$1,0))),100*INDEX(Haver_Q!$B$1:$BD$1000,MATCH(data!$A25,Haver_Q!$B$1:$B$1000,0),MATCH(data!E$1,Haver_Q!$B$1:$BD$1,0)),"na")</f>
        <v>-4.9084195200509324</v>
      </c>
      <c r="F25">
        <f>IF(ISNUMBER(INDEX(Haver_Q!$B$1:$BD$1000,MATCH(data!$A25,Haver_Q!$B$1:$B$1000,0),MATCH(data!F$1,Haver_Q!$B$1:$BD$1,0))),100*INDEX(Haver_Q!$B$1:$BD$1000,MATCH(data!$A25,Haver_Q!$B$1:$B$1000,0),MATCH(data!F$1,Haver_Q!$B$1:$BD$1,0)),"na")</f>
        <v>-3.3634966602026806</v>
      </c>
      <c r="G25">
        <f>IF(ISNUMBER(INDEX(Haver_Q!$B$1:$BD$1000,MATCH(data!$A25,Haver_Q!$B$1:$B$1000,0),MATCH(data!G$1,Haver_Q!$B$1:$BD$1,0))),100*INDEX(Haver_Q!$B$1:$BD$1000,MATCH(data!$A25,Haver_Q!$B$1:$B$1000,0),MATCH(data!G$1,Haver_Q!$B$1:$BD$1,0)),"na")</f>
        <v>1.7544009603792432</v>
      </c>
      <c r="H25">
        <f>IF(ISNUMBER(INDEX(Haver_Q!$B$1:$BD$1000,MATCH(data!$A25,Haver_Q!$B$1:$B$1000,0),MATCH(data!H$1,Haver_Q!$B$1:$BD$1,0))),100*INDEX(Haver_Q!$B$1:$BD$1000,MATCH(data!$A25,Haver_Q!$B$1:$B$1000,0),MATCH(data!H$1,Haver_Q!$B$1:$BD$1,0)),"na")</f>
        <v>184.25459081979244</v>
      </c>
      <c r="I25" s="3">
        <f>IF(ISNUMBER(Bloomberg_m!C41),Bloomberg_m!C41,"na")</f>
        <v>870</v>
      </c>
      <c r="J25" s="3" t="str">
        <f>IF(ISNUMBER(Bloomberg_m!D41),Bloomberg_m!D41,"na")</f>
        <v>na</v>
      </c>
      <c r="K25" s="3" t="str">
        <f>IF(ISNUMBER(Bloomberg_m!E41),Bloomberg_m!E41,"na")</f>
        <v>na</v>
      </c>
      <c r="L25" s="3">
        <f>IF(ISNUMBER(Bloomberg_m!L41),Bloomberg_m!L41,"na")</f>
        <v>19.309999999999999</v>
      </c>
      <c r="M25" t="str">
        <f>IF(ISNUMBER(INDEX(Haver_M!$B$1:$ZN$1000,MATCH(data!$A25,Haver_M!$B$1:$B$1000,0),MATCH(data!M$1,Haver_M!$B$1:$ZN$1,0))),INDEX(Haver_M!$B$1:$ZN$1000,MATCH(data!$A25,Haver_M!$B$1:$B$1000,0),MATCH(data!M$1,Haver_M!$B$1:$ZN$1,0)),"na")</f>
        <v>na</v>
      </c>
      <c r="N25" t="str">
        <f>IF(ISNUMBER(INDEX(Haver_M!$B$1:$ZN$1000,MATCH(data!$A25,Haver_M!$B$1:$B$1000,0),MATCH(data!N$1,Haver_M!$B$1:$ZN$1,0))),INDEX(Haver_M!$B$1:$ZN$1000,MATCH(data!$A25,Haver_M!$B$1:$B$1000,0),MATCH(data!N$1,Haver_M!$B$1:$ZN$1,0)),"na")</f>
        <v>na</v>
      </c>
      <c r="O25">
        <f>IF(ISNUMBER(INDEX(Haver_M!$B$1:$ZN$1000,MATCH(data!$A25,Haver_M!$B$1:$B$1000,0),MATCH(data!O$1,Haver_M!$B$1:$ZN$1,0))),INDEX(Haver_M!$B$1:$ZN$1000,MATCH(data!$A25,Haver_M!$B$1:$B$1000,0),MATCH(data!O$1,Haver_M!$B$1:$ZN$1,0)),"na")</f>
        <v>131.60927000000001</v>
      </c>
      <c r="P25">
        <f>IF(ISNUMBER(INDEX(Haver_M!$B$1:$ZN$1000,MATCH(data!$A25,Haver_M!$B$1:$B$1000,0),MATCH(data!P$1,Haver_M!$B$1:$ZN$1,0))),INDEX(Haver_M!$B$1:$ZN$1000,MATCH(data!$A25,Haver_M!$B$1:$B$1000,0),MATCH(data!P$1,Haver_M!$B$1:$ZN$1,0)),"na")</f>
        <v>50.3568</v>
      </c>
      <c r="Q25">
        <f>IF(ISNUMBER(INDEX(Haver_M!$B$1:$ZN$1000,MATCH(data!$A25,Haver_M!$B$1:$B$1000,0),MATCH(data!Q$1,Haver_M!$B$1:$ZN$1,0))),INDEX(Haver_M!$B$1:$ZN$1000,MATCH(data!$A25,Haver_M!$B$1:$B$1000,0),MATCH(data!Q$1,Haver_M!$B$1:$ZN$1,0)),"na")</f>
        <v>55.065800000000003</v>
      </c>
      <c r="R25">
        <f>IF(ISNUMBER(INDEX(Haver_M!$B$1:$ZN$1000,MATCH(data!$A25,Haver_M!$B$1:$B$1000,0),MATCH(data!R$1,Haver_M!$B$1:$ZN$1,0))),INDEX(Haver_M!$B$1:$ZN$1000,MATCH(data!$A25,Haver_M!$B$1:$B$1000,0),MATCH(data!R$1,Haver_M!$B$1:$ZN$1,0)),"na")</f>
        <v>88.453999999999994</v>
      </c>
      <c r="S25">
        <f>IF(ISNUMBER(INDEX(Haver_M!$B$1:$ZN$1000,MATCH(data!$A25,Haver_M!$B$1:$B$1000,0),MATCH(data!S$1,Haver_M!$B$1:$ZN$1,0))),INDEX(Haver_M!$B$1:$ZN$1000,MATCH(data!$A25,Haver_M!$B$1:$B$1000,0),MATCH(data!S$1,Haver_M!$B$1:$ZN$1,0)),"na")</f>
        <v>109.0177</v>
      </c>
      <c r="T25">
        <f>IF(ISNUMBER(INDEX(Haver_M!$B$1:$ZN$1000,MATCH(data!$A25,Haver_M!$B$1:$B$1000,0),MATCH(data!T$1,Haver_M!$B$1:$ZN$1,0))),INDEX(Haver_M!$B$1:$ZN$1000,MATCH(data!$A25,Haver_M!$B$1:$B$1000,0),MATCH(data!T$1,Haver_M!$B$1:$ZN$1,0)),"na")</f>
        <v>60.435400000000001</v>
      </c>
      <c r="U25">
        <f>IF(ISNUMBER(INDEX(Haver_M!$B$1:$ZN$1000,MATCH(data!$A25,Haver_M!$B$1:$B$1000,0),MATCH(data!U$1,Haver_M!$B$1:$ZN$1,0))),INDEX(Haver_M!$B$1:$ZN$1000,MATCH(data!$A25,Haver_M!$B$1:$B$1000,0),MATCH(data!U$1,Haver_M!$B$1:$ZN$1,0)),"na")</f>
        <v>78.331000000000003</v>
      </c>
      <c r="V25">
        <f>IF(ISNUMBER(INDEX(Haver_M!$B$1:$ZN$1000,MATCH(data!$A25,Haver_M!$B$1:$B$1000,0),MATCH(data!V$1,Haver_M!$B$1:$ZN$1,0))),INDEX(Haver_M!$B$1:$ZN$1000,MATCH(data!$A25,Haver_M!$B$1:$B$1000,0),MATCH(data!V$1,Haver_M!$B$1:$ZN$1,0)),"na")</f>
        <v>86.755799999999994</v>
      </c>
      <c r="W25">
        <f>IF(ISNUMBER(INDEX(Haver_M!$B$1:$ZN$1000,MATCH(data!$A25,Haver_M!$B$1:$B$1000,0),MATCH(data!W$1,Haver_M!$B$1:$ZN$1,0))),INDEX(Haver_M!$B$1:$ZN$1000,MATCH(data!$A25,Haver_M!$B$1:$B$1000,0),MATCH(data!W$1,Haver_M!$B$1:$ZN$1,0)),"na")</f>
        <v>3.07</v>
      </c>
      <c r="X25" t="str">
        <f>IF(ISNUMBER(INDEX(Haver_M!$B$1:$ZN$1000,MATCH(data!$A25,Haver_M!$B$1:$B$1000,0),MATCH(data!X$1,Haver_M!$B$1:$ZN$1,0))),INDEX(Haver_M!$B$1:$ZN$1000,MATCH(data!$A25,Haver_M!$B$1:$B$1000,0),MATCH(data!X$1,Haver_M!$B$1:$ZN$1,0)),"na")</f>
        <v>na</v>
      </c>
      <c r="Y25">
        <f>IF(ISNUMBER(INDEX(Haver_M!$B$1:$ZN$1000,MATCH(data!$A25,Haver_M!$B$1:$B$1000,0),MATCH(data!Y$1,Haver_M!$B$1:$ZN$1,0))),INDEX(Haver_M!$B$1:$ZN$1000,MATCH(data!$A25,Haver_M!$B$1:$B$1000,0),MATCH(data!Y$1,Haver_M!$B$1:$ZN$1,0)),"na")</f>
        <v>100.1</v>
      </c>
      <c r="Z25">
        <f>IF(ISNUMBER(INDEX(Haver_M!$B$1:$ZN$1000,MATCH(data!$A25,Haver_M!$B$1:$B$1000,0),MATCH(data!Z$1,Haver_M!$B$1:$ZN$1,0))),INDEX(Haver_M!$B$1:$ZN$1000,MATCH(data!$A25,Haver_M!$B$1:$B$1000,0),MATCH(data!Z$1,Haver_M!$B$1:$ZN$1,0)),"na")</f>
        <v>79.519400000000005</v>
      </c>
      <c r="AA25" t="str">
        <f>IF(ISNUMBER(INDEX(Haver_M!$B$1:$ZN$1000,MATCH(data!$A25,Haver_M!$B$1:$B$1000,0),MATCH(data!AA$1,Haver_M!$B$1:$ZN$1,0))),INDEX(Haver_M!$B$1:$ZN$1000,MATCH(data!$A25,Haver_M!$B$1:$B$1000,0),MATCH(data!AA$1,Haver_M!$B$1:$ZN$1,0)),"na")</f>
        <v>na</v>
      </c>
      <c r="AB25">
        <f>IF(ISNUMBER(INDEX(Haver_M!$B$1:$ZN$1000,MATCH(data!$A25,Haver_M!$B$1:$B$1000,0),MATCH(data!AB$1,Haver_M!$B$1:$ZN$1,0))),INDEX(Haver_M!$B$1:$ZN$1000,MATCH(data!$A25,Haver_M!$B$1:$B$1000,0),MATCH(data!AB$1,Haver_M!$B$1:$ZN$1,0)),"na")</f>
        <v>12930.8</v>
      </c>
      <c r="AC25">
        <f>IF(ISNUMBER(INDEX(Haver_M!$B$1:$ZN$1000,MATCH(data!$A25,Haver_M!$B$1:$B$1000,0),MATCH(data!AC$1,Haver_M!$B$1:$ZN$1,0))),INDEX(Haver_M!$B$1:$ZN$1000,MATCH(data!$A25,Haver_M!$B$1:$B$1000,0),MATCH(data!AC$1,Haver_M!$B$1:$ZN$1,0)),"na")</f>
        <v>13602.3</v>
      </c>
      <c r="AD25">
        <f>IF(ISNUMBER(INDEX(Haver_M!$B$1:$ZN$1000,MATCH(data!$A25,Haver_M!$B$1:$B$1000,0),MATCH(data!AD$1,Haver_M!$B$1:$ZN$1,0))),INDEX(Haver_M!$B$1:$ZN$1000,MATCH(data!$A25,Haver_M!$B$1:$B$1000,0),MATCH(data!AD$1,Haver_M!$B$1:$ZN$1,0)),"na")</f>
        <v>99.64</v>
      </c>
      <c r="AE25">
        <f>IF(ISNUMBER(INDEX(Haver_M!$B$1:$ZN$1000,MATCH(data!$A25,Haver_M!$B$1:$B$1000,0),MATCH(data!AE$1,Haver_M!$B$1:$ZN$1,0))),INDEX(Haver_M!$B$1:$ZN$1000,MATCH(data!$A25,Haver_M!$B$1:$B$1000,0),MATCH(data!AE$1,Haver_M!$B$1:$ZN$1,0)),"na")</f>
        <v>42.7</v>
      </c>
      <c r="AF25" t="str">
        <f>IF(ISNUMBER(INDEX(Haver_M!$B$1:$ZN$1000,MATCH(data!$A25,Haver_M!$B$1:$B$1000,0),MATCH(data!AF$1,Haver_M!$B$1:$ZN$1,0))),INDEX(Haver_M!$B$1:$ZN$1000,MATCH(data!$A25,Haver_M!$B$1:$B$1000,0),MATCH(data!AF$1,Haver_M!$B$1:$ZN$1,0)),"na")</f>
        <v>na</v>
      </c>
      <c r="AG25" t="str">
        <f>IF(ISNUMBER(INDEX(Haver_M!$B$1:$ZN$1000,MATCH(data!$A25,Haver_M!$B$1:$B$1000,0),MATCH(data!AG$1,Haver_M!$B$1:$ZN$1,0))),INDEX(Haver_M!$B$1:$ZN$1000,MATCH(data!$A25,Haver_M!$B$1:$B$1000,0),MATCH(data!AG$1,Haver_M!$B$1:$ZN$1,0)),"na")</f>
        <v>na</v>
      </c>
      <c r="AH25" t="str">
        <f>IF(ISNUMBER(INDEX(Haver_M!$B$1:$ZN$1000,MATCH(data!$A25,Haver_M!$B$1:$B$1000,0),MATCH(data!AH$1,Haver_M!$B$1:$ZN$1,0))),INDEX(Haver_M!$B$1:$ZN$1000,MATCH(data!$A25,Haver_M!$B$1:$B$1000,0),MATCH(data!AH$1,Haver_M!$B$1:$ZN$1,0)),"na")</f>
        <v>na</v>
      </c>
      <c r="AI25" t="str">
        <f>IF(ISNUMBER(INDEX(Haver_M!$B$1:$ZN$1000,MATCH(data!$A25,Haver_M!$B$1:$B$1000,0),MATCH(data!AI$1,Haver_M!$B$1:$ZN$1,0))),INDEX(Haver_M!$B$1:$ZN$1000,MATCH(data!$A25,Haver_M!$B$1:$B$1000,0),MATCH(data!AI$1,Haver_M!$B$1:$ZN$1,0)),"na")</f>
        <v>na</v>
      </c>
      <c r="AJ25" t="str">
        <f>IF(ISNUMBER(INDEX(Haver_M!$B$1:$ZN$1000,MATCH(data!$A25,Haver_M!$B$1:$B$1000,0),MATCH(data!AJ$1,Haver_M!$B$1:$ZN$1,0))),INDEX(Haver_M!$B$1:$ZN$1000,MATCH(data!$A25,Haver_M!$B$1:$B$1000,0),MATCH(data!AJ$1,Haver_M!$B$1:$ZN$1,0)),"na")</f>
        <v>na</v>
      </c>
      <c r="AK25" t="str">
        <f>IF(ISNUMBER(INDEX(Haver_M!$B$1:$ZN$1000,MATCH(data!$A25,Haver_M!$B$1:$B$1000,0),MATCH(data!AK$1,Haver_M!$B$1:$ZN$1,0))),INDEX(Haver_M!$B$1:$ZN$1000,MATCH(data!$A25,Haver_M!$B$1:$B$1000,0),MATCH(data!AK$1,Haver_M!$B$1:$ZN$1,0)),"na")</f>
        <v>na</v>
      </c>
      <c r="AL25" t="str">
        <f>IF(ISNUMBER(INDEX(Haver_M!$B$1:$ZN$1000,MATCH(data!$A25,Haver_M!$B$1:$B$1000,0),MATCH(data!AL$1,Haver_M!$B$1:$ZN$1,0))),INDEX(Haver_M!$B$1:$ZN$1000,MATCH(data!$A25,Haver_M!$B$1:$B$1000,0),MATCH(data!AL$1,Haver_M!$B$1:$ZN$1,0)),"na")</f>
        <v>na</v>
      </c>
      <c r="AM25" t="str">
        <f>IF(ISNUMBER(INDEX(Haver_M!$B$1:$ZN$1000,MATCH(data!$A25,Haver_M!$B$1:$B$1000,0),MATCH(data!AM$1,Haver_M!$B$1:$ZN$1,0))),INDEX(Haver_M!$B$1:$ZN$1000,MATCH(data!$A25,Haver_M!$B$1:$B$1000,0),MATCH(data!AM$1,Haver_M!$B$1:$ZN$1,0)),"na")</f>
        <v>na</v>
      </c>
      <c r="AN25" t="str">
        <f>IF(ISNUMBER(INDEX(Haver_M!$B$1:$ZN$1000,MATCH(data!$A25,Haver_M!$B$1:$B$1000,0),MATCH(data!AN$1,Haver_M!$B$1:$ZN$1,0))),INDEX(Haver_M!$B$1:$ZN$1000,MATCH(data!$A25,Haver_M!$B$1:$B$1000,0),MATCH(data!AN$1,Haver_M!$B$1:$ZN$1,0)),"na")</f>
        <v>na</v>
      </c>
      <c r="AO25" t="str">
        <f>IF(ISNUMBER(INDEX(Haver_M!$B$1:$ZN$1000,MATCH(data!$A25,Haver_M!$B$1:$B$1000,0),MATCH(data!AO$1,Haver_M!$B$1:$ZN$1,0))),INDEX(Haver_M!$B$1:$ZN$1000,MATCH(data!$A25,Haver_M!$B$1:$B$1000,0),MATCH(data!AO$1,Haver_M!$B$1:$ZN$1,0)),"na")</f>
        <v>na</v>
      </c>
      <c r="AP25" t="str">
        <f>IF(ISNUMBER(INDEX(Haver_M!$B$1:$ZN$1000,MATCH(data!$A25,Haver_M!$B$1:$B$1000,0),MATCH(data!AP$1,Haver_M!$B$1:$ZN$1,0))),INDEX(Haver_M!$B$1:$ZN$1000,MATCH(data!$A25,Haver_M!$B$1:$B$1000,0),MATCH(data!AP$1,Haver_M!$B$1:$ZN$1,0)),"na")</f>
        <v>na</v>
      </c>
      <c r="AQ25" t="str">
        <f>IF(ISNUMBER(INDEX(Haver_M!$B$1:$ZN$1000,MATCH(data!$A25,Haver_M!$B$1:$B$1000,0),MATCH(data!AQ$1,Haver_M!$B$1:$ZN$1,0))),INDEX(Haver_M!$B$1:$ZN$1000,MATCH(data!$A25,Haver_M!$B$1:$B$1000,0),MATCH(data!AQ$1,Haver_M!$B$1:$ZN$1,0)),"na")</f>
        <v>na</v>
      </c>
      <c r="AR25" t="str">
        <f>IF(ISNUMBER(INDEX(Haver_M!$B$1:$ZN$1000,MATCH(data!$A25,Haver_M!$B$1:$B$1000,0),MATCH(data!AR$1,Haver_M!$B$1:$ZN$1,0))),INDEX(Haver_M!$B$1:$ZN$1000,MATCH(data!$A25,Haver_M!$B$1:$B$1000,0),MATCH(data!AR$1,Haver_M!$B$1:$ZN$1,0)),"na")</f>
        <v>na</v>
      </c>
      <c r="AS25">
        <f>IF(ISNUMBER(INDEX(Haver_M!$B$1:$ZN$1000,MATCH(data!$A25,Haver_M!$B$1:$B$1000,0),MATCH(data!AS$1,Haver_M!$B$1:$ZN$1,0))),INDEX(Haver_M!$B$1:$ZN$1000,MATCH(data!$A25,Haver_M!$B$1:$B$1000,0),MATCH(data!AS$1,Haver_M!$B$1:$ZN$1,0)),"na")</f>
        <v>6214.49</v>
      </c>
      <c r="AT25">
        <f>IF(ISNUMBER(INDEX(Haver_M!$B$1:$ZN$1000,MATCH(data!$A25,Haver_M!$B$1:$B$1000,0),MATCH(data!AT$1,Haver_M!$B$1:$ZN$1,0))),INDEX(Haver_M!$B$1:$ZN$1000,MATCH(data!$A25,Haver_M!$B$1:$B$1000,0),MATCH(data!AT$1,Haver_M!$B$1:$ZN$1,0)),"na")</f>
        <v>80.614999999999995</v>
      </c>
      <c r="AU25">
        <f>IF(ISNUMBER(INDEX(Haver_M!$B$1:$ZN$1000,MATCH(data!$A25,Haver_M!$B$1:$B$1000,0),MATCH(data!AU$1,Haver_M!$B$1:$ZN$1,0))),INDEX(Haver_M!$B$1:$ZN$1000,MATCH(data!$A25,Haver_M!$B$1:$B$1000,0),MATCH(data!AU$1,Haver_M!$B$1:$ZN$1,0)),"na")</f>
        <v>79.326696999999996</v>
      </c>
      <c r="AV25">
        <f>IF(ISNUMBER(INDEX(Haver_M!$B$1:$ZN$1000,MATCH(data!$A25,Haver_M!$B$1:$B$1000,0),MATCH(data!AV$1,Haver_M!$B$1:$ZN$1,0))),INDEX(Haver_M!$B$1:$ZN$1000,MATCH(data!$A25,Haver_M!$B$1:$B$1000,0),MATCH(data!AV$1,Haver_M!$B$1:$ZN$1,0)),"na")</f>
        <v>72.3</v>
      </c>
      <c r="AW25">
        <f>IF(ISNUMBER(INDEX(Haver_M!$B$1:$ZN$1000,MATCH(data!$A25,Haver_M!$B$1:$B$1000,0),MATCH(data!AW$1,Haver_M!$B$1:$ZN$1,0))),INDEX(Haver_M!$B$1:$ZN$1000,MATCH(data!$A25,Haver_M!$B$1:$B$1000,0),MATCH(data!AW$1,Haver_M!$B$1:$ZN$1,0)),"na")</f>
        <v>669154.73257612798</v>
      </c>
      <c r="AX25">
        <f>IF(ISNUMBER(INDEX(Haver_M!$B$1:$ZN$1000,MATCH(data!$A25,Haver_M!$B$1:$B$1000,0),MATCH(data!AX$1,Haver_M!$B$1:$ZN$1,0))),INDEX(Haver_M!$B$1:$ZN$1000,MATCH(data!$A25,Haver_M!$B$1:$B$1000,0),MATCH(data!AX$1,Haver_M!$B$1:$ZN$1,0)),"na")</f>
        <v>3243</v>
      </c>
      <c r="AY25">
        <f>IF(ISNUMBER(INDEX(Haver_M!$B$1:$ZN$1000,MATCH(data!$A25,Haver_M!$B$1:$B$1000,0),MATCH(data!AY$1,Haver_M!$B$1:$ZN$1,0))),INDEX(Haver_M!$B$1:$ZN$1000,MATCH(data!$A25,Haver_M!$B$1:$B$1000,0),MATCH(data!AY$1,Haver_M!$B$1:$ZN$1,0)),"na")</f>
        <v>1685</v>
      </c>
      <c r="AZ25" t="str">
        <f>IF(ISNUMBER(INDEX(Haver_M!$B$1:$ZN$1000,MATCH(data!$A25,Haver_M!$B$1:$B$1000,0),MATCH(data!AZ$1,Haver_M!$B$1:$ZN$1,0))),INDEX(Haver_M!$B$1:$ZN$1000,MATCH(data!$A25,Haver_M!$B$1:$B$1000,0),MATCH(data!AZ$1,Haver_M!$B$1:$ZN$1,0)),"na")</f>
        <v>na</v>
      </c>
      <c r="BA25">
        <f>IF(ISNUMBER(INDEX(Haver_M!$B$1:$ZN$1000,MATCH(data!$A25,Haver_M!$B$1:$B$1000,0),MATCH(data!BA$1,Haver_M!$B$1:$ZN$1,0))),INDEX(Haver_M!$B$1:$ZN$1000,MATCH(data!$A25,Haver_M!$B$1:$B$1000,0),MATCH(data!BA$1,Haver_M!$B$1:$ZN$1,0)),"na")</f>
        <v>221.31068865030872</v>
      </c>
      <c r="BB25" t="str">
        <f>IF(ISNUMBER(INDEX(Haver_M!$B$1:$ZN$1000,MATCH(data!$A25,Haver_M!$B$1:$B$1000,0),MATCH(data!BB$1,Haver_M!$B$1:$ZN$1,0))),INDEX(Haver_M!$B$1:$ZN$1000,MATCH(data!$A25,Haver_M!$B$1:$B$1000,0),MATCH(data!BB$1,Haver_M!$B$1:$ZN$1,0)),"")</f>
        <v/>
      </c>
    </row>
    <row r="26" spans="1:54" x14ac:dyDescent="0.25">
      <c r="A26" s="2">
        <v>37287</v>
      </c>
      <c r="B26" t="str">
        <f>IF(ISNUMBER(INDEX(Haver_Q!$B$1:$BD$1000,MATCH(data!$A26,Haver_Q!$B$1:$B$1000,0),MATCH(data!B$1,Haver_Q!$B$1:$BD$1,0))),100*INDEX(Haver_Q!$B$1:$BD$1000,MATCH(data!$A26,Haver_Q!$B$1:$B$1000,0),MATCH(data!B$1,Haver_Q!$B$1:$BD$1,0)),"na")</f>
        <v>na</v>
      </c>
      <c r="C26" t="str">
        <f>IF(ISNUMBER(INDEX(Haver_Q!$B$1:$BD$1000,MATCH(data!$A26,Haver_Q!$B$1:$B$1000,0),MATCH(data!C$1,Haver_Q!$B$1:$BD$1,0))),100*INDEX(Haver_Q!$B$1:$BD$1000,MATCH(data!$A26,Haver_Q!$B$1:$B$1000,0),MATCH(data!C$1,Haver_Q!$B$1:$BD$1,0)),"na")</f>
        <v>na</v>
      </c>
      <c r="D26" t="str">
        <f>IF(ISNUMBER(INDEX(Haver_Q!$B$1:$BD$1000,MATCH(data!$A26,Haver_Q!$B$1:$B$1000,0),MATCH(data!D$1,Haver_Q!$B$1:$BD$1,0))),100*INDEX(Haver_Q!$B$1:$BD$1000,MATCH(data!$A26,Haver_Q!$B$1:$B$1000,0),MATCH(data!D$1,Haver_Q!$B$1:$BD$1,0)),"na")</f>
        <v>na</v>
      </c>
      <c r="E26" t="str">
        <f>IF(ISNUMBER(INDEX(Haver_Q!$B$1:$BD$1000,MATCH(data!$A26,Haver_Q!$B$1:$B$1000,0),MATCH(data!E$1,Haver_Q!$B$1:$BD$1,0))),100*INDEX(Haver_Q!$B$1:$BD$1000,MATCH(data!$A26,Haver_Q!$B$1:$B$1000,0),MATCH(data!E$1,Haver_Q!$B$1:$BD$1,0)),"na")</f>
        <v>na</v>
      </c>
      <c r="F26" t="str">
        <f>IF(ISNUMBER(INDEX(Haver_Q!$B$1:$BD$1000,MATCH(data!$A26,Haver_Q!$B$1:$B$1000,0),MATCH(data!F$1,Haver_Q!$B$1:$BD$1,0))),100*INDEX(Haver_Q!$B$1:$BD$1000,MATCH(data!$A26,Haver_Q!$B$1:$B$1000,0),MATCH(data!F$1,Haver_Q!$B$1:$BD$1,0)),"na")</f>
        <v>na</v>
      </c>
      <c r="G26" t="str">
        <f>IF(ISNUMBER(INDEX(Haver_Q!$B$1:$BD$1000,MATCH(data!$A26,Haver_Q!$B$1:$B$1000,0),MATCH(data!G$1,Haver_Q!$B$1:$BD$1,0))),100*INDEX(Haver_Q!$B$1:$BD$1000,MATCH(data!$A26,Haver_Q!$B$1:$B$1000,0),MATCH(data!G$1,Haver_Q!$B$1:$BD$1,0)),"na")</f>
        <v>na</v>
      </c>
      <c r="H26" t="str">
        <f>IF(ISNUMBER(INDEX(Haver_Q!$B$1:$BD$1000,MATCH(data!$A26,Haver_Q!$B$1:$B$1000,0),MATCH(data!H$1,Haver_Q!$B$1:$BD$1,0))),100*INDEX(Haver_Q!$B$1:$BD$1000,MATCH(data!$A26,Haver_Q!$B$1:$B$1000,0),MATCH(data!H$1,Haver_Q!$B$1:$BD$1,0)),"na")</f>
        <v>na</v>
      </c>
      <c r="I26" s="3">
        <f>IF(ISNUMBER(Bloomberg_m!C42),Bloomberg_m!C42,"na")</f>
        <v>931</v>
      </c>
      <c r="J26" s="3" t="str">
        <f>IF(ISNUMBER(Bloomberg_m!D42),Bloomberg_m!D42,"na")</f>
        <v>na</v>
      </c>
      <c r="K26" s="3" t="str">
        <f>IF(ISNUMBER(Bloomberg_m!E42),Bloomberg_m!E42,"na")</f>
        <v>na</v>
      </c>
      <c r="L26" s="3">
        <f>IF(ISNUMBER(Bloomberg_m!L42),Bloomberg_m!L42,"na")</f>
        <v>19.690000000000001</v>
      </c>
      <c r="M26" t="str">
        <f>IF(ISNUMBER(INDEX(Haver_M!$B$1:$ZN$1000,MATCH(data!$A26,Haver_M!$B$1:$B$1000,0),MATCH(data!M$1,Haver_M!$B$1:$ZN$1,0))),INDEX(Haver_M!$B$1:$ZN$1000,MATCH(data!$A26,Haver_M!$B$1:$B$1000,0),MATCH(data!M$1,Haver_M!$B$1:$ZN$1,0)),"na")</f>
        <v>na</v>
      </c>
      <c r="N26" t="str">
        <f>IF(ISNUMBER(INDEX(Haver_M!$B$1:$ZN$1000,MATCH(data!$A26,Haver_M!$B$1:$B$1000,0),MATCH(data!N$1,Haver_M!$B$1:$ZN$1,0))),INDEX(Haver_M!$B$1:$ZN$1000,MATCH(data!$A26,Haver_M!$B$1:$B$1000,0),MATCH(data!N$1,Haver_M!$B$1:$ZN$1,0)),"na")</f>
        <v>na</v>
      </c>
      <c r="O26">
        <f>IF(ISNUMBER(INDEX(Haver_M!$B$1:$ZN$1000,MATCH(data!$A26,Haver_M!$B$1:$B$1000,0),MATCH(data!O$1,Haver_M!$B$1:$ZN$1,0))),INDEX(Haver_M!$B$1:$ZN$1000,MATCH(data!$A26,Haver_M!$B$1:$B$1000,0),MATCH(data!O$1,Haver_M!$B$1:$ZN$1,0)),"na")</f>
        <v>133.14067</v>
      </c>
      <c r="P26">
        <f>IF(ISNUMBER(INDEX(Haver_M!$B$1:$ZN$1000,MATCH(data!$A26,Haver_M!$B$1:$B$1000,0),MATCH(data!P$1,Haver_M!$B$1:$ZN$1,0))),INDEX(Haver_M!$B$1:$ZN$1000,MATCH(data!$A26,Haver_M!$B$1:$B$1000,0),MATCH(data!P$1,Haver_M!$B$1:$ZN$1,0)),"na")</f>
        <v>50.64</v>
      </c>
      <c r="Q26">
        <f>IF(ISNUMBER(INDEX(Haver_M!$B$1:$ZN$1000,MATCH(data!$A26,Haver_M!$B$1:$B$1000,0),MATCH(data!Q$1,Haver_M!$B$1:$ZN$1,0))),INDEX(Haver_M!$B$1:$ZN$1000,MATCH(data!$A26,Haver_M!$B$1:$B$1000,0),MATCH(data!Q$1,Haver_M!$B$1:$ZN$1,0)),"na")</f>
        <v>55.189799999999998</v>
      </c>
      <c r="R26">
        <f>IF(ISNUMBER(INDEX(Haver_M!$B$1:$ZN$1000,MATCH(data!$A26,Haver_M!$B$1:$B$1000,0),MATCH(data!R$1,Haver_M!$B$1:$ZN$1,0))),INDEX(Haver_M!$B$1:$ZN$1000,MATCH(data!$A26,Haver_M!$B$1:$B$1000,0),MATCH(data!R$1,Haver_M!$B$1:$ZN$1,0)),"na")</f>
        <v>86.794799999999995</v>
      </c>
      <c r="S26">
        <f>IF(ISNUMBER(INDEX(Haver_M!$B$1:$ZN$1000,MATCH(data!$A26,Haver_M!$B$1:$B$1000,0),MATCH(data!S$1,Haver_M!$B$1:$ZN$1,0))),INDEX(Haver_M!$B$1:$ZN$1000,MATCH(data!$A26,Haver_M!$B$1:$B$1000,0),MATCH(data!S$1,Haver_M!$B$1:$ZN$1,0)),"na")</f>
        <v>106.2968</v>
      </c>
      <c r="T26">
        <f>IF(ISNUMBER(INDEX(Haver_M!$B$1:$ZN$1000,MATCH(data!$A26,Haver_M!$B$1:$B$1000,0),MATCH(data!T$1,Haver_M!$B$1:$ZN$1,0))),INDEX(Haver_M!$B$1:$ZN$1000,MATCH(data!$A26,Haver_M!$B$1:$B$1000,0),MATCH(data!T$1,Haver_M!$B$1:$ZN$1,0)),"na")</f>
        <v>56.713700000000003</v>
      </c>
      <c r="U26">
        <f>IF(ISNUMBER(INDEX(Haver_M!$B$1:$ZN$1000,MATCH(data!$A26,Haver_M!$B$1:$B$1000,0),MATCH(data!U$1,Haver_M!$B$1:$ZN$1,0))),INDEX(Haver_M!$B$1:$ZN$1000,MATCH(data!$A26,Haver_M!$B$1:$B$1000,0),MATCH(data!U$1,Haver_M!$B$1:$ZN$1,0)),"na")</f>
        <v>74.276799999999994</v>
      </c>
      <c r="V26">
        <f>IF(ISNUMBER(INDEX(Haver_M!$B$1:$ZN$1000,MATCH(data!$A26,Haver_M!$B$1:$B$1000,0),MATCH(data!V$1,Haver_M!$B$1:$ZN$1,0))),INDEX(Haver_M!$B$1:$ZN$1000,MATCH(data!$A26,Haver_M!$B$1:$B$1000,0),MATCH(data!V$1,Haver_M!$B$1:$ZN$1,0)),"na")</f>
        <v>86.887900000000002</v>
      </c>
      <c r="W26">
        <f>IF(ISNUMBER(INDEX(Haver_M!$B$1:$ZN$1000,MATCH(data!$A26,Haver_M!$B$1:$B$1000,0),MATCH(data!W$1,Haver_M!$B$1:$ZN$1,0))),INDEX(Haver_M!$B$1:$ZN$1000,MATCH(data!$A26,Haver_M!$B$1:$B$1000,0),MATCH(data!W$1,Haver_M!$B$1:$ZN$1,0)),"na")</f>
        <v>3.42</v>
      </c>
      <c r="X26" t="str">
        <f>IF(ISNUMBER(INDEX(Haver_M!$B$1:$ZN$1000,MATCH(data!$A26,Haver_M!$B$1:$B$1000,0),MATCH(data!X$1,Haver_M!$B$1:$ZN$1,0))),INDEX(Haver_M!$B$1:$ZN$1000,MATCH(data!$A26,Haver_M!$B$1:$B$1000,0),MATCH(data!X$1,Haver_M!$B$1:$ZN$1,0)),"na")</f>
        <v>na</v>
      </c>
      <c r="Y26">
        <f>IF(ISNUMBER(INDEX(Haver_M!$B$1:$ZN$1000,MATCH(data!$A26,Haver_M!$B$1:$B$1000,0),MATCH(data!Y$1,Haver_M!$B$1:$ZN$1,0))),INDEX(Haver_M!$B$1:$ZN$1000,MATCH(data!$A26,Haver_M!$B$1:$B$1000,0),MATCH(data!Y$1,Haver_M!$B$1:$ZN$1,0)),"na")</f>
        <v>100.26</v>
      </c>
      <c r="Z26">
        <f>IF(ISNUMBER(INDEX(Haver_M!$B$1:$ZN$1000,MATCH(data!$A26,Haver_M!$B$1:$B$1000,0),MATCH(data!Z$1,Haver_M!$B$1:$ZN$1,0))),INDEX(Haver_M!$B$1:$ZN$1000,MATCH(data!$A26,Haver_M!$B$1:$B$1000,0),MATCH(data!Z$1,Haver_M!$B$1:$ZN$1,0)),"na")</f>
        <v>79.355199999999996</v>
      </c>
      <c r="AA26" t="str">
        <f>IF(ISNUMBER(INDEX(Haver_M!$B$1:$ZN$1000,MATCH(data!$A26,Haver_M!$B$1:$B$1000,0),MATCH(data!AA$1,Haver_M!$B$1:$ZN$1,0))),INDEX(Haver_M!$B$1:$ZN$1000,MATCH(data!$A26,Haver_M!$B$1:$B$1000,0),MATCH(data!AA$1,Haver_M!$B$1:$ZN$1,0)),"na")</f>
        <v>na</v>
      </c>
      <c r="AB26">
        <f>IF(ISNUMBER(INDEX(Haver_M!$B$1:$ZN$1000,MATCH(data!$A26,Haver_M!$B$1:$B$1000,0),MATCH(data!AB$1,Haver_M!$B$1:$ZN$1,0))),INDEX(Haver_M!$B$1:$ZN$1000,MATCH(data!$A26,Haver_M!$B$1:$B$1000,0),MATCH(data!AB$1,Haver_M!$B$1:$ZN$1,0)),"na")</f>
        <v>12757.2</v>
      </c>
      <c r="AC26">
        <f>IF(ISNUMBER(INDEX(Haver_M!$B$1:$ZN$1000,MATCH(data!$A26,Haver_M!$B$1:$B$1000,0),MATCH(data!AC$1,Haver_M!$B$1:$ZN$1,0))),INDEX(Haver_M!$B$1:$ZN$1000,MATCH(data!$A26,Haver_M!$B$1:$B$1000,0),MATCH(data!AC$1,Haver_M!$B$1:$ZN$1,0)),"na")</f>
        <v>13146.5</v>
      </c>
      <c r="AD26">
        <f>IF(ISNUMBER(INDEX(Haver_M!$B$1:$ZN$1000,MATCH(data!$A26,Haver_M!$B$1:$B$1000,0),MATCH(data!AD$1,Haver_M!$B$1:$ZN$1,0))),INDEX(Haver_M!$B$1:$ZN$1000,MATCH(data!$A26,Haver_M!$B$1:$B$1000,0),MATCH(data!AD$1,Haver_M!$B$1:$ZN$1,0)),"na")</f>
        <v>99.52</v>
      </c>
      <c r="AE26">
        <f>IF(ISNUMBER(INDEX(Haver_M!$B$1:$ZN$1000,MATCH(data!$A26,Haver_M!$B$1:$B$1000,0),MATCH(data!AE$1,Haver_M!$B$1:$ZN$1,0))),INDEX(Haver_M!$B$1:$ZN$1000,MATCH(data!$A26,Haver_M!$B$1:$B$1000,0),MATCH(data!AE$1,Haver_M!$B$1:$ZN$1,0)),"na")</f>
        <v>36.799999999999997</v>
      </c>
      <c r="AF26" t="str">
        <f>IF(ISNUMBER(INDEX(Haver_M!$B$1:$ZN$1000,MATCH(data!$A26,Haver_M!$B$1:$B$1000,0),MATCH(data!AF$1,Haver_M!$B$1:$ZN$1,0))),INDEX(Haver_M!$B$1:$ZN$1000,MATCH(data!$A26,Haver_M!$B$1:$B$1000,0),MATCH(data!AF$1,Haver_M!$B$1:$ZN$1,0)),"na")</f>
        <v>na</v>
      </c>
      <c r="AG26" t="str">
        <f>IF(ISNUMBER(INDEX(Haver_M!$B$1:$ZN$1000,MATCH(data!$A26,Haver_M!$B$1:$B$1000,0),MATCH(data!AG$1,Haver_M!$B$1:$ZN$1,0))),INDEX(Haver_M!$B$1:$ZN$1000,MATCH(data!$A26,Haver_M!$B$1:$B$1000,0),MATCH(data!AG$1,Haver_M!$B$1:$ZN$1,0)),"na")</f>
        <v>na</v>
      </c>
      <c r="AH26" t="str">
        <f>IF(ISNUMBER(INDEX(Haver_M!$B$1:$ZN$1000,MATCH(data!$A26,Haver_M!$B$1:$B$1000,0),MATCH(data!AH$1,Haver_M!$B$1:$ZN$1,0))),INDEX(Haver_M!$B$1:$ZN$1000,MATCH(data!$A26,Haver_M!$B$1:$B$1000,0),MATCH(data!AH$1,Haver_M!$B$1:$ZN$1,0)),"na")</f>
        <v>na</v>
      </c>
      <c r="AI26" t="str">
        <f>IF(ISNUMBER(INDEX(Haver_M!$B$1:$ZN$1000,MATCH(data!$A26,Haver_M!$B$1:$B$1000,0),MATCH(data!AI$1,Haver_M!$B$1:$ZN$1,0))),INDEX(Haver_M!$B$1:$ZN$1000,MATCH(data!$A26,Haver_M!$B$1:$B$1000,0),MATCH(data!AI$1,Haver_M!$B$1:$ZN$1,0)),"na")</f>
        <v>na</v>
      </c>
      <c r="AJ26" t="str">
        <f>IF(ISNUMBER(INDEX(Haver_M!$B$1:$ZN$1000,MATCH(data!$A26,Haver_M!$B$1:$B$1000,0),MATCH(data!AJ$1,Haver_M!$B$1:$ZN$1,0))),INDEX(Haver_M!$B$1:$ZN$1000,MATCH(data!$A26,Haver_M!$B$1:$B$1000,0),MATCH(data!AJ$1,Haver_M!$B$1:$ZN$1,0)),"na")</f>
        <v>na</v>
      </c>
      <c r="AK26" t="str">
        <f>IF(ISNUMBER(INDEX(Haver_M!$B$1:$ZN$1000,MATCH(data!$A26,Haver_M!$B$1:$B$1000,0),MATCH(data!AK$1,Haver_M!$B$1:$ZN$1,0))),INDEX(Haver_M!$B$1:$ZN$1000,MATCH(data!$A26,Haver_M!$B$1:$B$1000,0),MATCH(data!AK$1,Haver_M!$B$1:$ZN$1,0)),"na")</f>
        <v>na</v>
      </c>
      <c r="AL26" t="str">
        <f>IF(ISNUMBER(INDEX(Haver_M!$B$1:$ZN$1000,MATCH(data!$A26,Haver_M!$B$1:$B$1000,0),MATCH(data!AL$1,Haver_M!$B$1:$ZN$1,0))),INDEX(Haver_M!$B$1:$ZN$1000,MATCH(data!$A26,Haver_M!$B$1:$B$1000,0),MATCH(data!AL$1,Haver_M!$B$1:$ZN$1,0)),"na")</f>
        <v>na</v>
      </c>
      <c r="AM26" t="str">
        <f>IF(ISNUMBER(INDEX(Haver_M!$B$1:$ZN$1000,MATCH(data!$A26,Haver_M!$B$1:$B$1000,0),MATCH(data!AM$1,Haver_M!$B$1:$ZN$1,0))),INDEX(Haver_M!$B$1:$ZN$1000,MATCH(data!$A26,Haver_M!$B$1:$B$1000,0),MATCH(data!AM$1,Haver_M!$B$1:$ZN$1,0)),"na")</f>
        <v>na</v>
      </c>
      <c r="AN26" t="str">
        <f>IF(ISNUMBER(INDEX(Haver_M!$B$1:$ZN$1000,MATCH(data!$A26,Haver_M!$B$1:$B$1000,0),MATCH(data!AN$1,Haver_M!$B$1:$ZN$1,0))),INDEX(Haver_M!$B$1:$ZN$1000,MATCH(data!$A26,Haver_M!$B$1:$B$1000,0),MATCH(data!AN$1,Haver_M!$B$1:$ZN$1,0)),"na")</f>
        <v>na</v>
      </c>
      <c r="AO26" t="str">
        <f>IF(ISNUMBER(INDEX(Haver_M!$B$1:$ZN$1000,MATCH(data!$A26,Haver_M!$B$1:$B$1000,0),MATCH(data!AO$1,Haver_M!$B$1:$ZN$1,0))),INDEX(Haver_M!$B$1:$ZN$1000,MATCH(data!$A26,Haver_M!$B$1:$B$1000,0),MATCH(data!AO$1,Haver_M!$B$1:$ZN$1,0)),"na")</f>
        <v>na</v>
      </c>
      <c r="AP26" t="str">
        <f>IF(ISNUMBER(INDEX(Haver_M!$B$1:$ZN$1000,MATCH(data!$A26,Haver_M!$B$1:$B$1000,0),MATCH(data!AP$1,Haver_M!$B$1:$ZN$1,0))),INDEX(Haver_M!$B$1:$ZN$1000,MATCH(data!$A26,Haver_M!$B$1:$B$1000,0),MATCH(data!AP$1,Haver_M!$B$1:$ZN$1,0)),"na")</f>
        <v>na</v>
      </c>
      <c r="AQ26" t="str">
        <f>IF(ISNUMBER(INDEX(Haver_M!$B$1:$ZN$1000,MATCH(data!$A26,Haver_M!$B$1:$B$1000,0),MATCH(data!AQ$1,Haver_M!$B$1:$ZN$1,0))),INDEX(Haver_M!$B$1:$ZN$1000,MATCH(data!$A26,Haver_M!$B$1:$B$1000,0),MATCH(data!AQ$1,Haver_M!$B$1:$ZN$1,0)),"na")</f>
        <v>na</v>
      </c>
      <c r="AR26" t="str">
        <f>IF(ISNUMBER(INDEX(Haver_M!$B$1:$ZN$1000,MATCH(data!$A26,Haver_M!$B$1:$B$1000,0),MATCH(data!AR$1,Haver_M!$B$1:$ZN$1,0))),INDEX(Haver_M!$B$1:$ZN$1000,MATCH(data!$A26,Haver_M!$B$1:$B$1000,0),MATCH(data!AR$1,Haver_M!$B$1:$ZN$1,0)),"na")</f>
        <v>na</v>
      </c>
      <c r="AS26">
        <f>IF(ISNUMBER(INDEX(Haver_M!$B$1:$ZN$1000,MATCH(data!$A26,Haver_M!$B$1:$B$1000,0),MATCH(data!AS$1,Haver_M!$B$1:$ZN$1,0))),INDEX(Haver_M!$B$1:$ZN$1000,MATCH(data!$A26,Haver_M!$B$1:$B$1000,0),MATCH(data!AS$1,Haver_M!$B$1:$ZN$1,0)),"na")</f>
        <v>6633.51</v>
      </c>
      <c r="AT26">
        <f>IF(ISNUMBER(INDEX(Haver_M!$B$1:$ZN$1000,MATCH(data!$A26,Haver_M!$B$1:$B$1000,0),MATCH(data!AT$1,Haver_M!$B$1:$ZN$1,0))),INDEX(Haver_M!$B$1:$ZN$1000,MATCH(data!$A26,Haver_M!$B$1:$B$1000,0),MATCH(data!AT$1,Haver_M!$B$1:$ZN$1,0)),"na")</f>
        <v>79.620999999999995</v>
      </c>
      <c r="AU26">
        <f>IF(ISNUMBER(INDEX(Haver_M!$B$1:$ZN$1000,MATCH(data!$A26,Haver_M!$B$1:$B$1000,0),MATCH(data!AU$1,Haver_M!$B$1:$ZN$1,0))),INDEX(Haver_M!$B$1:$ZN$1000,MATCH(data!$A26,Haver_M!$B$1:$B$1000,0),MATCH(data!AU$1,Haver_M!$B$1:$ZN$1,0)),"na")</f>
        <v>77.930769999999995</v>
      </c>
      <c r="AV26">
        <f>IF(ISNUMBER(INDEX(Haver_M!$B$1:$ZN$1000,MATCH(data!$A26,Haver_M!$B$1:$B$1000,0),MATCH(data!AV$1,Haver_M!$B$1:$ZN$1,0))),INDEX(Haver_M!$B$1:$ZN$1000,MATCH(data!$A26,Haver_M!$B$1:$B$1000,0),MATCH(data!AV$1,Haver_M!$B$1:$ZN$1,0)),"na")</f>
        <v>68.5</v>
      </c>
      <c r="AW26">
        <f>IF(ISNUMBER(INDEX(Haver_M!$B$1:$ZN$1000,MATCH(data!$A26,Haver_M!$B$1:$B$1000,0),MATCH(data!AW$1,Haver_M!$B$1:$ZN$1,0))),INDEX(Haver_M!$B$1:$ZN$1000,MATCH(data!$A26,Haver_M!$B$1:$B$1000,0),MATCH(data!AW$1,Haver_M!$B$1:$ZN$1,0)),"na")</f>
        <v>694656.73657293478</v>
      </c>
      <c r="AX26">
        <f>IF(ISNUMBER(INDEX(Haver_M!$B$1:$ZN$1000,MATCH(data!$A26,Haver_M!$B$1:$B$1000,0),MATCH(data!AX$1,Haver_M!$B$1:$ZN$1,0))),INDEX(Haver_M!$B$1:$ZN$1000,MATCH(data!$A26,Haver_M!$B$1:$B$1000,0),MATCH(data!AX$1,Haver_M!$B$1:$ZN$1,0)),"na")</f>
        <v>3189</v>
      </c>
      <c r="AY26">
        <f>IF(ISNUMBER(INDEX(Haver_M!$B$1:$ZN$1000,MATCH(data!$A26,Haver_M!$B$1:$B$1000,0),MATCH(data!AY$1,Haver_M!$B$1:$ZN$1,0))),INDEX(Haver_M!$B$1:$ZN$1000,MATCH(data!$A26,Haver_M!$B$1:$B$1000,0),MATCH(data!AY$1,Haver_M!$B$1:$ZN$1,0)),"na")</f>
        <v>1793</v>
      </c>
      <c r="AZ26" t="str">
        <f>IF(ISNUMBER(INDEX(Haver_M!$B$1:$ZN$1000,MATCH(data!$A26,Haver_M!$B$1:$B$1000,0),MATCH(data!AZ$1,Haver_M!$B$1:$ZN$1,0))),INDEX(Haver_M!$B$1:$ZN$1000,MATCH(data!$A26,Haver_M!$B$1:$B$1000,0),MATCH(data!AZ$1,Haver_M!$B$1:$ZN$1,0)),"na")</f>
        <v>na</v>
      </c>
      <c r="BA26">
        <f>IF(ISNUMBER(INDEX(Haver_M!$B$1:$ZN$1000,MATCH(data!$A26,Haver_M!$B$1:$B$1000,0),MATCH(data!BA$1,Haver_M!$B$1:$ZN$1,0))),INDEX(Haver_M!$B$1:$ZN$1000,MATCH(data!$A26,Haver_M!$B$1:$B$1000,0),MATCH(data!BA$1,Haver_M!$B$1:$ZN$1,0)),"na")</f>
        <v>165.27889666536262</v>
      </c>
      <c r="BB26" t="str">
        <f>IF(ISNUMBER(INDEX(Haver_M!$B$1:$ZN$1000,MATCH(data!$A26,Haver_M!$B$1:$B$1000,0),MATCH(data!BB$1,Haver_M!$B$1:$ZN$1,0))),INDEX(Haver_M!$B$1:$ZN$1000,MATCH(data!$A26,Haver_M!$B$1:$B$1000,0),MATCH(data!BB$1,Haver_M!$B$1:$ZN$1,0)),"")</f>
        <v/>
      </c>
    </row>
    <row r="27" spans="1:54" x14ac:dyDescent="0.25">
      <c r="A27" s="2">
        <v>37315</v>
      </c>
      <c r="B27" t="str">
        <f>IF(ISNUMBER(INDEX(Haver_Q!$B$1:$BD$1000,MATCH(data!$A27,Haver_Q!$B$1:$B$1000,0),MATCH(data!B$1,Haver_Q!$B$1:$BD$1,0))),100*INDEX(Haver_Q!$B$1:$BD$1000,MATCH(data!$A27,Haver_Q!$B$1:$B$1000,0),MATCH(data!B$1,Haver_Q!$B$1:$BD$1,0)),"na")</f>
        <v>na</v>
      </c>
      <c r="C27" t="str">
        <f>IF(ISNUMBER(INDEX(Haver_Q!$B$1:$BD$1000,MATCH(data!$A27,Haver_Q!$B$1:$B$1000,0),MATCH(data!C$1,Haver_Q!$B$1:$BD$1,0))),100*INDEX(Haver_Q!$B$1:$BD$1000,MATCH(data!$A27,Haver_Q!$B$1:$B$1000,0),MATCH(data!C$1,Haver_Q!$B$1:$BD$1,0)),"na")</f>
        <v>na</v>
      </c>
      <c r="D27" t="str">
        <f>IF(ISNUMBER(INDEX(Haver_Q!$B$1:$BD$1000,MATCH(data!$A27,Haver_Q!$B$1:$B$1000,0),MATCH(data!D$1,Haver_Q!$B$1:$BD$1,0))),100*INDEX(Haver_Q!$B$1:$BD$1000,MATCH(data!$A27,Haver_Q!$B$1:$B$1000,0),MATCH(data!D$1,Haver_Q!$B$1:$BD$1,0)),"na")</f>
        <v>na</v>
      </c>
      <c r="E27" t="str">
        <f>IF(ISNUMBER(INDEX(Haver_Q!$B$1:$BD$1000,MATCH(data!$A27,Haver_Q!$B$1:$B$1000,0),MATCH(data!E$1,Haver_Q!$B$1:$BD$1,0))),100*INDEX(Haver_Q!$B$1:$BD$1000,MATCH(data!$A27,Haver_Q!$B$1:$B$1000,0),MATCH(data!E$1,Haver_Q!$B$1:$BD$1,0)),"na")</f>
        <v>na</v>
      </c>
      <c r="F27" t="str">
        <f>IF(ISNUMBER(INDEX(Haver_Q!$B$1:$BD$1000,MATCH(data!$A27,Haver_Q!$B$1:$B$1000,0),MATCH(data!F$1,Haver_Q!$B$1:$BD$1,0))),100*INDEX(Haver_Q!$B$1:$BD$1000,MATCH(data!$A27,Haver_Q!$B$1:$B$1000,0),MATCH(data!F$1,Haver_Q!$B$1:$BD$1,0)),"na")</f>
        <v>na</v>
      </c>
      <c r="G27" t="str">
        <f>IF(ISNUMBER(INDEX(Haver_Q!$B$1:$BD$1000,MATCH(data!$A27,Haver_Q!$B$1:$B$1000,0),MATCH(data!G$1,Haver_Q!$B$1:$BD$1,0))),100*INDEX(Haver_Q!$B$1:$BD$1000,MATCH(data!$A27,Haver_Q!$B$1:$B$1000,0),MATCH(data!G$1,Haver_Q!$B$1:$BD$1,0)),"na")</f>
        <v>na</v>
      </c>
      <c r="H27" t="str">
        <f>IF(ISNUMBER(INDEX(Haver_Q!$B$1:$BD$1000,MATCH(data!$A27,Haver_Q!$B$1:$B$1000,0),MATCH(data!H$1,Haver_Q!$B$1:$BD$1,0))),100*INDEX(Haver_Q!$B$1:$BD$1000,MATCH(data!$A27,Haver_Q!$B$1:$B$1000,0),MATCH(data!H$1,Haver_Q!$B$1:$BD$1,0)),"na")</f>
        <v>na</v>
      </c>
      <c r="I27" s="3">
        <f>IF(ISNUMBER(Bloomberg_m!C43),Bloomberg_m!C43,"na")</f>
        <v>960</v>
      </c>
      <c r="J27" s="3" t="str">
        <f>IF(ISNUMBER(Bloomberg_m!D43),Bloomberg_m!D43,"na")</f>
        <v>na</v>
      </c>
      <c r="K27" s="3" t="str">
        <f>IF(ISNUMBER(Bloomberg_m!E43),Bloomberg_m!E43,"na")</f>
        <v>na</v>
      </c>
      <c r="L27" s="3">
        <f>IF(ISNUMBER(Bloomberg_m!L43),Bloomberg_m!L43,"na")</f>
        <v>20.72</v>
      </c>
      <c r="M27" t="str">
        <f>IF(ISNUMBER(INDEX(Haver_M!$B$1:$ZN$1000,MATCH(data!$A27,Haver_M!$B$1:$B$1000,0),MATCH(data!M$1,Haver_M!$B$1:$ZN$1,0))),INDEX(Haver_M!$B$1:$ZN$1000,MATCH(data!$A27,Haver_M!$B$1:$B$1000,0),MATCH(data!M$1,Haver_M!$B$1:$ZN$1,0)),"na")</f>
        <v>na</v>
      </c>
      <c r="N27" t="str">
        <f>IF(ISNUMBER(INDEX(Haver_M!$B$1:$ZN$1000,MATCH(data!$A27,Haver_M!$B$1:$B$1000,0),MATCH(data!N$1,Haver_M!$B$1:$ZN$1,0))),INDEX(Haver_M!$B$1:$ZN$1000,MATCH(data!$A27,Haver_M!$B$1:$B$1000,0),MATCH(data!N$1,Haver_M!$B$1:$ZN$1,0)),"na")</f>
        <v>na</v>
      </c>
      <c r="O27">
        <f>IF(ISNUMBER(INDEX(Haver_M!$B$1:$ZN$1000,MATCH(data!$A27,Haver_M!$B$1:$B$1000,0),MATCH(data!O$1,Haver_M!$B$1:$ZN$1,0))),INDEX(Haver_M!$B$1:$ZN$1000,MATCH(data!$A27,Haver_M!$B$1:$B$1000,0),MATCH(data!O$1,Haver_M!$B$1:$ZN$1,0)),"na")</f>
        <v>134.08655999999999</v>
      </c>
      <c r="P27">
        <f>IF(ISNUMBER(INDEX(Haver_M!$B$1:$ZN$1000,MATCH(data!$A27,Haver_M!$B$1:$B$1000,0),MATCH(data!P$1,Haver_M!$B$1:$ZN$1,0))),INDEX(Haver_M!$B$1:$ZN$1000,MATCH(data!$A27,Haver_M!$B$1:$B$1000,0),MATCH(data!P$1,Haver_M!$B$1:$ZN$1,0)),"na")</f>
        <v>50.600200000000001</v>
      </c>
      <c r="Q27">
        <f>IF(ISNUMBER(INDEX(Haver_M!$B$1:$ZN$1000,MATCH(data!$A27,Haver_M!$B$1:$B$1000,0),MATCH(data!Q$1,Haver_M!$B$1:$ZN$1,0))),INDEX(Haver_M!$B$1:$ZN$1000,MATCH(data!$A27,Haver_M!$B$1:$B$1000,0),MATCH(data!Q$1,Haver_M!$B$1:$ZN$1,0)),"na")</f>
        <v>55.431699999999999</v>
      </c>
      <c r="R27">
        <f>IF(ISNUMBER(INDEX(Haver_M!$B$1:$ZN$1000,MATCH(data!$A27,Haver_M!$B$1:$B$1000,0),MATCH(data!R$1,Haver_M!$B$1:$ZN$1,0))),INDEX(Haver_M!$B$1:$ZN$1000,MATCH(data!$A27,Haver_M!$B$1:$B$1000,0),MATCH(data!R$1,Haver_M!$B$1:$ZN$1,0)),"na")</f>
        <v>86.156000000000006</v>
      </c>
      <c r="S27">
        <f>IF(ISNUMBER(INDEX(Haver_M!$B$1:$ZN$1000,MATCH(data!$A27,Haver_M!$B$1:$B$1000,0),MATCH(data!S$1,Haver_M!$B$1:$ZN$1,0))),INDEX(Haver_M!$B$1:$ZN$1000,MATCH(data!$A27,Haver_M!$B$1:$B$1000,0),MATCH(data!S$1,Haver_M!$B$1:$ZN$1,0)),"na")</f>
        <v>106.0989</v>
      </c>
      <c r="T27">
        <f>IF(ISNUMBER(INDEX(Haver_M!$B$1:$ZN$1000,MATCH(data!$A27,Haver_M!$B$1:$B$1000,0),MATCH(data!T$1,Haver_M!$B$1:$ZN$1,0))),INDEX(Haver_M!$B$1:$ZN$1000,MATCH(data!$A27,Haver_M!$B$1:$B$1000,0),MATCH(data!T$1,Haver_M!$B$1:$ZN$1,0)),"na")</f>
        <v>57.167000000000002</v>
      </c>
      <c r="U27">
        <f>IF(ISNUMBER(INDEX(Haver_M!$B$1:$ZN$1000,MATCH(data!$A27,Haver_M!$B$1:$B$1000,0),MATCH(data!U$1,Haver_M!$B$1:$ZN$1,0))),INDEX(Haver_M!$B$1:$ZN$1000,MATCH(data!$A27,Haver_M!$B$1:$B$1000,0),MATCH(data!U$1,Haver_M!$B$1:$ZN$1,0)),"na")</f>
        <v>74.236900000000006</v>
      </c>
      <c r="V27">
        <f>IF(ISNUMBER(INDEX(Haver_M!$B$1:$ZN$1000,MATCH(data!$A27,Haver_M!$B$1:$B$1000,0),MATCH(data!V$1,Haver_M!$B$1:$ZN$1,0))),INDEX(Haver_M!$B$1:$ZN$1000,MATCH(data!$A27,Haver_M!$B$1:$B$1000,0),MATCH(data!V$1,Haver_M!$B$1:$ZN$1,0)),"na")</f>
        <v>86.361599999999996</v>
      </c>
      <c r="W27">
        <f>IF(ISNUMBER(INDEX(Haver_M!$B$1:$ZN$1000,MATCH(data!$A27,Haver_M!$B$1:$B$1000,0),MATCH(data!W$1,Haver_M!$B$1:$ZN$1,0))),INDEX(Haver_M!$B$1:$ZN$1000,MATCH(data!$A27,Haver_M!$B$1:$B$1000,0),MATCH(data!W$1,Haver_M!$B$1:$ZN$1,0)),"na")</f>
        <v>2.97</v>
      </c>
      <c r="X27" t="str">
        <f>IF(ISNUMBER(INDEX(Haver_M!$B$1:$ZN$1000,MATCH(data!$A27,Haver_M!$B$1:$B$1000,0),MATCH(data!X$1,Haver_M!$B$1:$ZN$1,0))),INDEX(Haver_M!$B$1:$ZN$1000,MATCH(data!$A27,Haver_M!$B$1:$B$1000,0),MATCH(data!X$1,Haver_M!$B$1:$ZN$1,0)),"na")</f>
        <v>na</v>
      </c>
      <c r="Y27">
        <f>IF(ISNUMBER(INDEX(Haver_M!$B$1:$ZN$1000,MATCH(data!$A27,Haver_M!$B$1:$B$1000,0),MATCH(data!Y$1,Haver_M!$B$1:$ZN$1,0))),INDEX(Haver_M!$B$1:$ZN$1000,MATCH(data!$A27,Haver_M!$B$1:$B$1000,0),MATCH(data!Y$1,Haver_M!$B$1:$ZN$1,0)),"na")</f>
        <v>100.35</v>
      </c>
      <c r="Z27">
        <f>IF(ISNUMBER(INDEX(Haver_M!$B$1:$ZN$1000,MATCH(data!$A27,Haver_M!$B$1:$B$1000,0),MATCH(data!Z$1,Haver_M!$B$1:$ZN$1,0))),INDEX(Haver_M!$B$1:$ZN$1000,MATCH(data!$A27,Haver_M!$B$1:$B$1000,0),MATCH(data!Z$1,Haver_M!$B$1:$ZN$1,0)),"na")</f>
        <v>79.601399999999998</v>
      </c>
      <c r="AA27" t="str">
        <f>IF(ISNUMBER(INDEX(Haver_M!$B$1:$ZN$1000,MATCH(data!$A27,Haver_M!$B$1:$B$1000,0),MATCH(data!AA$1,Haver_M!$B$1:$ZN$1,0))),INDEX(Haver_M!$B$1:$ZN$1000,MATCH(data!$A27,Haver_M!$B$1:$B$1000,0),MATCH(data!AA$1,Haver_M!$B$1:$ZN$1,0)),"na")</f>
        <v>na</v>
      </c>
      <c r="AB27">
        <f>IF(ISNUMBER(INDEX(Haver_M!$B$1:$ZN$1000,MATCH(data!$A27,Haver_M!$B$1:$B$1000,0),MATCH(data!AB$1,Haver_M!$B$1:$ZN$1,0))),INDEX(Haver_M!$B$1:$ZN$1000,MATCH(data!$A27,Haver_M!$B$1:$B$1000,0),MATCH(data!AB$1,Haver_M!$B$1:$ZN$1,0)),"na")</f>
        <v>12968</v>
      </c>
      <c r="AC27">
        <f>IF(ISNUMBER(INDEX(Haver_M!$B$1:$ZN$1000,MATCH(data!$A27,Haver_M!$B$1:$B$1000,0),MATCH(data!AC$1,Haver_M!$B$1:$ZN$1,0))),INDEX(Haver_M!$B$1:$ZN$1000,MATCH(data!$A27,Haver_M!$B$1:$B$1000,0),MATCH(data!AC$1,Haver_M!$B$1:$ZN$1,0)),"na")</f>
        <v>13765.6</v>
      </c>
      <c r="AD27">
        <f>IF(ISNUMBER(INDEX(Haver_M!$B$1:$ZN$1000,MATCH(data!$A27,Haver_M!$B$1:$B$1000,0),MATCH(data!AD$1,Haver_M!$B$1:$ZN$1,0))),INDEX(Haver_M!$B$1:$ZN$1000,MATCH(data!$A27,Haver_M!$B$1:$B$1000,0),MATCH(data!AD$1,Haver_M!$B$1:$ZN$1,0)),"na")</f>
        <v>99.45</v>
      </c>
      <c r="AE27">
        <f>IF(ISNUMBER(INDEX(Haver_M!$B$1:$ZN$1000,MATCH(data!$A27,Haver_M!$B$1:$B$1000,0),MATCH(data!AE$1,Haver_M!$B$1:$ZN$1,0))),INDEX(Haver_M!$B$1:$ZN$1000,MATCH(data!$A27,Haver_M!$B$1:$B$1000,0),MATCH(data!AE$1,Haver_M!$B$1:$ZN$1,0)),"na")</f>
        <v>38.299999999999997</v>
      </c>
      <c r="AF27" t="str">
        <f>IF(ISNUMBER(INDEX(Haver_M!$B$1:$ZN$1000,MATCH(data!$A27,Haver_M!$B$1:$B$1000,0),MATCH(data!AF$1,Haver_M!$B$1:$ZN$1,0))),INDEX(Haver_M!$B$1:$ZN$1000,MATCH(data!$A27,Haver_M!$B$1:$B$1000,0),MATCH(data!AF$1,Haver_M!$B$1:$ZN$1,0)),"na")</f>
        <v>na</v>
      </c>
      <c r="AG27" t="str">
        <f>IF(ISNUMBER(INDEX(Haver_M!$B$1:$ZN$1000,MATCH(data!$A27,Haver_M!$B$1:$B$1000,0),MATCH(data!AG$1,Haver_M!$B$1:$ZN$1,0))),INDEX(Haver_M!$B$1:$ZN$1000,MATCH(data!$A27,Haver_M!$B$1:$B$1000,0),MATCH(data!AG$1,Haver_M!$B$1:$ZN$1,0)),"na")</f>
        <v>na</v>
      </c>
      <c r="AH27" t="str">
        <f>IF(ISNUMBER(INDEX(Haver_M!$B$1:$ZN$1000,MATCH(data!$A27,Haver_M!$B$1:$B$1000,0),MATCH(data!AH$1,Haver_M!$B$1:$ZN$1,0))),INDEX(Haver_M!$B$1:$ZN$1000,MATCH(data!$A27,Haver_M!$B$1:$B$1000,0),MATCH(data!AH$1,Haver_M!$B$1:$ZN$1,0)),"na")</f>
        <v>na</v>
      </c>
      <c r="AI27" t="str">
        <f>IF(ISNUMBER(INDEX(Haver_M!$B$1:$ZN$1000,MATCH(data!$A27,Haver_M!$B$1:$B$1000,0),MATCH(data!AI$1,Haver_M!$B$1:$ZN$1,0))),INDEX(Haver_M!$B$1:$ZN$1000,MATCH(data!$A27,Haver_M!$B$1:$B$1000,0),MATCH(data!AI$1,Haver_M!$B$1:$ZN$1,0)),"na")</f>
        <v>na</v>
      </c>
      <c r="AJ27" t="str">
        <f>IF(ISNUMBER(INDEX(Haver_M!$B$1:$ZN$1000,MATCH(data!$A27,Haver_M!$B$1:$B$1000,0),MATCH(data!AJ$1,Haver_M!$B$1:$ZN$1,0))),INDEX(Haver_M!$B$1:$ZN$1000,MATCH(data!$A27,Haver_M!$B$1:$B$1000,0),MATCH(data!AJ$1,Haver_M!$B$1:$ZN$1,0)),"na")</f>
        <v>na</v>
      </c>
      <c r="AK27" t="str">
        <f>IF(ISNUMBER(INDEX(Haver_M!$B$1:$ZN$1000,MATCH(data!$A27,Haver_M!$B$1:$B$1000,0),MATCH(data!AK$1,Haver_M!$B$1:$ZN$1,0))),INDEX(Haver_M!$B$1:$ZN$1000,MATCH(data!$A27,Haver_M!$B$1:$B$1000,0),MATCH(data!AK$1,Haver_M!$B$1:$ZN$1,0)),"na")</f>
        <v>na</v>
      </c>
      <c r="AL27" t="str">
        <f>IF(ISNUMBER(INDEX(Haver_M!$B$1:$ZN$1000,MATCH(data!$A27,Haver_M!$B$1:$B$1000,0),MATCH(data!AL$1,Haver_M!$B$1:$ZN$1,0))),INDEX(Haver_M!$B$1:$ZN$1000,MATCH(data!$A27,Haver_M!$B$1:$B$1000,0),MATCH(data!AL$1,Haver_M!$B$1:$ZN$1,0)),"na")</f>
        <v>na</v>
      </c>
      <c r="AM27" t="str">
        <f>IF(ISNUMBER(INDEX(Haver_M!$B$1:$ZN$1000,MATCH(data!$A27,Haver_M!$B$1:$B$1000,0),MATCH(data!AM$1,Haver_M!$B$1:$ZN$1,0))),INDEX(Haver_M!$B$1:$ZN$1000,MATCH(data!$A27,Haver_M!$B$1:$B$1000,0),MATCH(data!AM$1,Haver_M!$B$1:$ZN$1,0)),"na")</f>
        <v>na</v>
      </c>
      <c r="AN27" t="str">
        <f>IF(ISNUMBER(INDEX(Haver_M!$B$1:$ZN$1000,MATCH(data!$A27,Haver_M!$B$1:$B$1000,0),MATCH(data!AN$1,Haver_M!$B$1:$ZN$1,0))),INDEX(Haver_M!$B$1:$ZN$1000,MATCH(data!$A27,Haver_M!$B$1:$B$1000,0),MATCH(data!AN$1,Haver_M!$B$1:$ZN$1,0)),"na")</f>
        <v>na</v>
      </c>
      <c r="AO27" t="str">
        <f>IF(ISNUMBER(INDEX(Haver_M!$B$1:$ZN$1000,MATCH(data!$A27,Haver_M!$B$1:$B$1000,0),MATCH(data!AO$1,Haver_M!$B$1:$ZN$1,0))),INDEX(Haver_M!$B$1:$ZN$1000,MATCH(data!$A27,Haver_M!$B$1:$B$1000,0),MATCH(data!AO$1,Haver_M!$B$1:$ZN$1,0)),"na")</f>
        <v>na</v>
      </c>
      <c r="AP27" t="str">
        <f>IF(ISNUMBER(INDEX(Haver_M!$B$1:$ZN$1000,MATCH(data!$A27,Haver_M!$B$1:$B$1000,0),MATCH(data!AP$1,Haver_M!$B$1:$ZN$1,0))),INDEX(Haver_M!$B$1:$ZN$1000,MATCH(data!$A27,Haver_M!$B$1:$B$1000,0),MATCH(data!AP$1,Haver_M!$B$1:$ZN$1,0)),"na")</f>
        <v>na</v>
      </c>
      <c r="AQ27" t="str">
        <f>IF(ISNUMBER(INDEX(Haver_M!$B$1:$ZN$1000,MATCH(data!$A27,Haver_M!$B$1:$B$1000,0),MATCH(data!AQ$1,Haver_M!$B$1:$ZN$1,0))),INDEX(Haver_M!$B$1:$ZN$1000,MATCH(data!$A27,Haver_M!$B$1:$B$1000,0),MATCH(data!AQ$1,Haver_M!$B$1:$ZN$1,0)),"na")</f>
        <v>na</v>
      </c>
      <c r="AR27" t="str">
        <f>IF(ISNUMBER(INDEX(Haver_M!$B$1:$ZN$1000,MATCH(data!$A27,Haver_M!$B$1:$B$1000,0),MATCH(data!AR$1,Haver_M!$B$1:$ZN$1,0))),INDEX(Haver_M!$B$1:$ZN$1000,MATCH(data!$A27,Haver_M!$B$1:$B$1000,0),MATCH(data!AR$1,Haver_M!$B$1:$ZN$1,0)),"na")</f>
        <v>na</v>
      </c>
      <c r="AS27">
        <f>IF(ISNUMBER(INDEX(Haver_M!$B$1:$ZN$1000,MATCH(data!$A27,Haver_M!$B$1:$B$1000,0),MATCH(data!AS$1,Haver_M!$B$1:$ZN$1,0))),INDEX(Haver_M!$B$1:$ZN$1000,MATCH(data!$A27,Haver_M!$B$1:$B$1000,0),MATCH(data!AS$1,Haver_M!$B$1:$ZN$1,0)),"na")</f>
        <v>6685.32</v>
      </c>
      <c r="AT27">
        <f>IF(ISNUMBER(INDEX(Haver_M!$B$1:$ZN$1000,MATCH(data!$A27,Haver_M!$B$1:$B$1000,0),MATCH(data!AT$1,Haver_M!$B$1:$ZN$1,0))),INDEX(Haver_M!$B$1:$ZN$1000,MATCH(data!$A27,Haver_M!$B$1:$B$1000,0),MATCH(data!AT$1,Haver_M!$B$1:$ZN$1,0)),"na")</f>
        <v>79.697000000000003</v>
      </c>
      <c r="AU27">
        <f>IF(ISNUMBER(INDEX(Haver_M!$B$1:$ZN$1000,MATCH(data!$A27,Haver_M!$B$1:$B$1000,0),MATCH(data!AU$1,Haver_M!$B$1:$ZN$1,0))),INDEX(Haver_M!$B$1:$ZN$1000,MATCH(data!$A27,Haver_M!$B$1:$B$1000,0),MATCH(data!AU$1,Haver_M!$B$1:$ZN$1,0)),"na")</f>
        <v>78.493448999999998</v>
      </c>
      <c r="AV27">
        <f>IF(ISNUMBER(INDEX(Haver_M!$B$1:$ZN$1000,MATCH(data!$A27,Haver_M!$B$1:$B$1000,0),MATCH(data!AV$1,Haver_M!$B$1:$ZN$1,0))),INDEX(Haver_M!$B$1:$ZN$1000,MATCH(data!$A27,Haver_M!$B$1:$B$1000,0),MATCH(data!AV$1,Haver_M!$B$1:$ZN$1,0)),"na")</f>
        <v>69.8</v>
      </c>
      <c r="AW27">
        <f>IF(ISNUMBER(INDEX(Haver_M!$B$1:$ZN$1000,MATCH(data!$A27,Haver_M!$B$1:$B$1000,0),MATCH(data!AW$1,Haver_M!$B$1:$ZN$1,0))),INDEX(Haver_M!$B$1:$ZN$1000,MATCH(data!$A27,Haver_M!$B$1:$B$1000,0),MATCH(data!AW$1,Haver_M!$B$1:$ZN$1,0)),"na")</f>
        <v>685134.1070910698</v>
      </c>
      <c r="AX27">
        <f>IF(ISNUMBER(INDEX(Haver_M!$B$1:$ZN$1000,MATCH(data!$A27,Haver_M!$B$1:$B$1000,0),MATCH(data!AX$1,Haver_M!$B$1:$ZN$1,0))),INDEX(Haver_M!$B$1:$ZN$1000,MATCH(data!$A27,Haver_M!$B$1:$B$1000,0),MATCH(data!AX$1,Haver_M!$B$1:$ZN$1,0)),"na")</f>
        <v>3143</v>
      </c>
      <c r="AY27">
        <f>IF(ISNUMBER(INDEX(Haver_M!$B$1:$ZN$1000,MATCH(data!$A27,Haver_M!$B$1:$B$1000,0),MATCH(data!AY$1,Haver_M!$B$1:$ZN$1,0))),INDEX(Haver_M!$B$1:$ZN$1000,MATCH(data!$A27,Haver_M!$B$1:$B$1000,0),MATCH(data!AY$1,Haver_M!$B$1:$ZN$1,0)),"na")</f>
        <v>1714</v>
      </c>
      <c r="AZ27" t="str">
        <f>IF(ISNUMBER(INDEX(Haver_M!$B$1:$ZN$1000,MATCH(data!$A27,Haver_M!$B$1:$B$1000,0),MATCH(data!AZ$1,Haver_M!$B$1:$ZN$1,0))),INDEX(Haver_M!$B$1:$ZN$1000,MATCH(data!$A27,Haver_M!$B$1:$B$1000,0),MATCH(data!AZ$1,Haver_M!$B$1:$ZN$1,0)),"na")</f>
        <v>na</v>
      </c>
      <c r="BA27">
        <f>IF(ISNUMBER(INDEX(Haver_M!$B$1:$ZN$1000,MATCH(data!$A27,Haver_M!$B$1:$B$1000,0),MATCH(data!BA$1,Haver_M!$B$1:$ZN$1,0))),INDEX(Haver_M!$B$1:$ZN$1000,MATCH(data!$A27,Haver_M!$B$1:$B$1000,0),MATCH(data!BA$1,Haver_M!$B$1:$ZN$1,0)),"na")</f>
        <v>132.92212418852327</v>
      </c>
      <c r="BB27" t="str">
        <f>IF(ISNUMBER(INDEX(Haver_M!$B$1:$ZN$1000,MATCH(data!$A27,Haver_M!$B$1:$B$1000,0),MATCH(data!BB$1,Haver_M!$B$1:$ZN$1,0))),INDEX(Haver_M!$B$1:$ZN$1000,MATCH(data!$A27,Haver_M!$B$1:$B$1000,0),MATCH(data!BB$1,Haver_M!$B$1:$ZN$1,0)),"")</f>
        <v/>
      </c>
    </row>
    <row r="28" spans="1:54" x14ac:dyDescent="0.25">
      <c r="A28" s="2">
        <v>37346</v>
      </c>
      <c r="B28">
        <f>IF(ISNUMBER(INDEX(Haver_Q!$B$1:$BD$1000,MATCH(data!$A28,Haver_Q!$B$1:$B$1000,0),MATCH(data!B$1,Haver_Q!$B$1:$BD$1,0))),100*INDEX(Haver_Q!$B$1:$BD$1000,MATCH(data!$A28,Haver_Q!$B$1:$B$1000,0),MATCH(data!B$1,Haver_Q!$B$1:$BD$1,0)),"na")</f>
        <v>-2.6226080394816775</v>
      </c>
      <c r="C28">
        <f>IF(ISNUMBER(INDEX(Haver_Q!$B$1:$BD$1000,MATCH(data!$A28,Haver_Q!$B$1:$B$1000,0),MATCH(data!C$1,Haver_Q!$B$1:$BD$1,0))),100*INDEX(Haver_Q!$B$1:$BD$1000,MATCH(data!$A28,Haver_Q!$B$1:$B$1000,0),MATCH(data!C$1,Haver_Q!$B$1:$BD$1,0)),"na")</f>
        <v>-0.27802237888967518</v>
      </c>
      <c r="D28">
        <f>IF(ISNUMBER(INDEX(Haver_Q!$B$1:$BD$1000,MATCH(data!$A28,Haver_Q!$B$1:$B$1000,0),MATCH(data!D$1,Haver_Q!$B$1:$BD$1,0))),100*INDEX(Haver_Q!$B$1:$BD$1000,MATCH(data!$A28,Haver_Q!$B$1:$B$1000,0),MATCH(data!D$1,Haver_Q!$B$1:$BD$1,0)),"na")</f>
        <v>1.096482340874827</v>
      </c>
      <c r="E28">
        <f>IF(ISNUMBER(INDEX(Haver_Q!$B$1:$BD$1000,MATCH(data!$A28,Haver_Q!$B$1:$B$1000,0),MATCH(data!E$1,Haver_Q!$B$1:$BD$1,0))),100*INDEX(Haver_Q!$B$1:$BD$1000,MATCH(data!$A28,Haver_Q!$B$1:$B$1000,0),MATCH(data!E$1,Haver_Q!$B$1:$BD$1,0)),"na")</f>
        <v>-10.533266685074171</v>
      </c>
      <c r="F28">
        <f>IF(ISNUMBER(INDEX(Haver_Q!$B$1:$BD$1000,MATCH(data!$A28,Haver_Q!$B$1:$B$1000,0),MATCH(data!F$1,Haver_Q!$B$1:$BD$1,0))),100*INDEX(Haver_Q!$B$1:$BD$1000,MATCH(data!$A28,Haver_Q!$B$1:$B$1000,0),MATCH(data!F$1,Haver_Q!$B$1:$BD$1,0)),"na")</f>
        <v>4.0465530111774894</v>
      </c>
      <c r="G28">
        <f>IF(ISNUMBER(INDEX(Haver_Q!$B$1:$BD$1000,MATCH(data!$A28,Haver_Q!$B$1:$B$1000,0),MATCH(data!G$1,Haver_Q!$B$1:$BD$1,0))),100*INDEX(Haver_Q!$B$1:$BD$1000,MATCH(data!$A28,Haver_Q!$B$1:$B$1000,0),MATCH(data!G$1,Haver_Q!$B$1:$BD$1,0)),"na")</f>
        <v>8.4662852195556138</v>
      </c>
      <c r="H28">
        <f>IF(ISNUMBER(INDEX(Haver_Q!$B$1:$BD$1000,MATCH(data!$A28,Haver_Q!$B$1:$B$1000,0),MATCH(data!H$1,Haver_Q!$B$1:$BD$1,0))),100*INDEX(Haver_Q!$B$1:$BD$1000,MATCH(data!$A28,Haver_Q!$B$1:$B$1000,0),MATCH(data!H$1,Haver_Q!$B$1:$BD$1,0)),"na")</f>
        <v>336.92313686919056</v>
      </c>
      <c r="I28" s="3">
        <f>IF(ISNUMBER(Bloomberg_m!C44),Bloomberg_m!C44,"na")</f>
        <v>1065</v>
      </c>
      <c r="J28" s="3" t="str">
        <f>IF(ISNUMBER(Bloomberg_m!D44),Bloomberg_m!D44,"na")</f>
        <v>na</v>
      </c>
      <c r="K28" s="3" t="str">
        <f>IF(ISNUMBER(Bloomberg_m!E44),Bloomberg_m!E44,"na")</f>
        <v>na</v>
      </c>
      <c r="L28" s="3">
        <f>IF(ISNUMBER(Bloomberg_m!L44),Bloomberg_m!L44,"na")</f>
        <v>24.38</v>
      </c>
      <c r="M28" t="str">
        <f>IF(ISNUMBER(INDEX(Haver_M!$B$1:$ZN$1000,MATCH(data!$A28,Haver_M!$B$1:$B$1000,0),MATCH(data!M$1,Haver_M!$B$1:$ZN$1,0))),INDEX(Haver_M!$B$1:$ZN$1000,MATCH(data!$A28,Haver_M!$B$1:$B$1000,0),MATCH(data!M$1,Haver_M!$B$1:$ZN$1,0)),"na")</f>
        <v>na</v>
      </c>
      <c r="N28" t="str">
        <f>IF(ISNUMBER(INDEX(Haver_M!$B$1:$ZN$1000,MATCH(data!$A28,Haver_M!$B$1:$B$1000,0),MATCH(data!N$1,Haver_M!$B$1:$ZN$1,0))),INDEX(Haver_M!$B$1:$ZN$1000,MATCH(data!$A28,Haver_M!$B$1:$B$1000,0),MATCH(data!N$1,Haver_M!$B$1:$ZN$1,0)),"na")</f>
        <v>na</v>
      </c>
      <c r="O28">
        <f>IF(ISNUMBER(INDEX(Haver_M!$B$1:$ZN$1000,MATCH(data!$A28,Haver_M!$B$1:$B$1000,0),MATCH(data!O$1,Haver_M!$B$1:$ZN$1,0))),INDEX(Haver_M!$B$1:$ZN$1000,MATCH(data!$A28,Haver_M!$B$1:$B$1000,0),MATCH(data!O$1,Haver_M!$B$1:$ZN$1,0)),"na")</f>
        <v>134.75093000000001</v>
      </c>
      <c r="P28">
        <f>IF(ISNUMBER(INDEX(Haver_M!$B$1:$ZN$1000,MATCH(data!$A28,Haver_M!$B$1:$B$1000,0),MATCH(data!P$1,Haver_M!$B$1:$ZN$1,0))),INDEX(Haver_M!$B$1:$ZN$1000,MATCH(data!$A28,Haver_M!$B$1:$B$1000,0),MATCH(data!P$1,Haver_M!$B$1:$ZN$1,0)),"na")</f>
        <v>50.828200000000002</v>
      </c>
      <c r="Q28">
        <f>IF(ISNUMBER(INDEX(Haver_M!$B$1:$ZN$1000,MATCH(data!$A28,Haver_M!$B$1:$B$1000,0),MATCH(data!Q$1,Haver_M!$B$1:$ZN$1,0))),INDEX(Haver_M!$B$1:$ZN$1000,MATCH(data!$A28,Haver_M!$B$1:$B$1000,0),MATCH(data!Q$1,Haver_M!$B$1:$ZN$1,0)),"na")</f>
        <v>55.578899999999997</v>
      </c>
      <c r="R28">
        <f>IF(ISNUMBER(INDEX(Haver_M!$B$1:$ZN$1000,MATCH(data!$A28,Haver_M!$B$1:$B$1000,0),MATCH(data!R$1,Haver_M!$B$1:$ZN$1,0))),INDEX(Haver_M!$B$1:$ZN$1000,MATCH(data!$A28,Haver_M!$B$1:$B$1000,0),MATCH(data!R$1,Haver_M!$B$1:$ZN$1,0)),"na")</f>
        <v>86.201499999999996</v>
      </c>
      <c r="S28">
        <f>IF(ISNUMBER(INDEX(Haver_M!$B$1:$ZN$1000,MATCH(data!$A28,Haver_M!$B$1:$B$1000,0),MATCH(data!S$1,Haver_M!$B$1:$ZN$1,0))),INDEX(Haver_M!$B$1:$ZN$1000,MATCH(data!$A28,Haver_M!$B$1:$B$1000,0),MATCH(data!S$1,Haver_M!$B$1:$ZN$1,0)),"na")</f>
        <v>104.2174</v>
      </c>
      <c r="T28">
        <f>IF(ISNUMBER(INDEX(Haver_M!$B$1:$ZN$1000,MATCH(data!$A28,Haver_M!$B$1:$B$1000,0),MATCH(data!T$1,Haver_M!$B$1:$ZN$1,0))),INDEX(Haver_M!$B$1:$ZN$1000,MATCH(data!$A28,Haver_M!$B$1:$B$1000,0),MATCH(data!T$1,Haver_M!$B$1:$ZN$1,0)),"na")</f>
        <v>57.008299999999998</v>
      </c>
      <c r="U28">
        <f>IF(ISNUMBER(INDEX(Haver_M!$B$1:$ZN$1000,MATCH(data!$A28,Haver_M!$B$1:$B$1000,0),MATCH(data!U$1,Haver_M!$B$1:$ZN$1,0))),INDEX(Haver_M!$B$1:$ZN$1000,MATCH(data!$A28,Haver_M!$B$1:$B$1000,0),MATCH(data!U$1,Haver_M!$B$1:$ZN$1,0)),"na")</f>
        <v>70.462699999999998</v>
      </c>
      <c r="V28">
        <f>IF(ISNUMBER(INDEX(Haver_M!$B$1:$ZN$1000,MATCH(data!$A28,Haver_M!$B$1:$B$1000,0),MATCH(data!V$1,Haver_M!$B$1:$ZN$1,0))),INDEX(Haver_M!$B$1:$ZN$1000,MATCH(data!$A28,Haver_M!$B$1:$B$1000,0),MATCH(data!V$1,Haver_M!$B$1:$ZN$1,0)),"na")</f>
        <v>87.560500000000005</v>
      </c>
      <c r="W28">
        <f>IF(ISNUMBER(INDEX(Haver_M!$B$1:$ZN$1000,MATCH(data!$A28,Haver_M!$B$1:$B$1000,0),MATCH(data!W$1,Haver_M!$B$1:$ZN$1,0))),INDEX(Haver_M!$B$1:$ZN$1000,MATCH(data!$A28,Haver_M!$B$1:$B$1000,0),MATCH(data!W$1,Haver_M!$B$1:$ZN$1,0)),"na")</f>
        <v>3.02</v>
      </c>
      <c r="X28" t="str">
        <f>IF(ISNUMBER(INDEX(Haver_M!$B$1:$ZN$1000,MATCH(data!$A28,Haver_M!$B$1:$B$1000,0),MATCH(data!X$1,Haver_M!$B$1:$ZN$1,0))),INDEX(Haver_M!$B$1:$ZN$1000,MATCH(data!$A28,Haver_M!$B$1:$B$1000,0),MATCH(data!X$1,Haver_M!$B$1:$ZN$1,0)),"na")</f>
        <v>na</v>
      </c>
      <c r="Y28">
        <f>IF(ISNUMBER(INDEX(Haver_M!$B$1:$ZN$1000,MATCH(data!$A28,Haver_M!$B$1:$B$1000,0),MATCH(data!Y$1,Haver_M!$B$1:$ZN$1,0))),INDEX(Haver_M!$B$1:$ZN$1000,MATCH(data!$A28,Haver_M!$B$1:$B$1000,0),MATCH(data!Y$1,Haver_M!$B$1:$ZN$1,0)),"na")</f>
        <v>100.35</v>
      </c>
      <c r="Z28">
        <f>IF(ISNUMBER(INDEX(Haver_M!$B$1:$ZN$1000,MATCH(data!$A28,Haver_M!$B$1:$B$1000,0),MATCH(data!Z$1,Haver_M!$B$1:$ZN$1,0))),INDEX(Haver_M!$B$1:$ZN$1000,MATCH(data!$A28,Haver_M!$B$1:$B$1000,0),MATCH(data!Z$1,Haver_M!$B$1:$ZN$1,0)),"na")</f>
        <v>79.519400000000005</v>
      </c>
      <c r="AA28" t="str">
        <f>IF(ISNUMBER(INDEX(Haver_M!$B$1:$ZN$1000,MATCH(data!$A28,Haver_M!$B$1:$B$1000,0),MATCH(data!AA$1,Haver_M!$B$1:$ZN$1,0))),INDEX(Haver_M!$B$1:$ZN$1000,MATCH(data!$A28,Haver_M!$B$1:$B$1000,0),MATCH(data!AA$1,Haver_M!$B$1:$ZN$1,0)),"na")</f>
        <v>na</v>
      </c>
      <c r="AB28">
        <f>IF(ISNUMBER(INDEX(Haver_M!$B$1:$ZN$1000,MATCH(data!$A28,Haver_M!$B$1:$B$1000,0),MATCH(data!AB$1,Haver_M!$B$1:$ZN$1,0))),INDEX(Haver_M!$B$1:$ZN$1000,MATCH(data!$A28,Haver_M!$B$1:$B$1000,0),MATCH(data!AB$1,Haver_M!$B$1:$ZN$1,0)),"na")</f>
        <v>13240.3</v>
      </c>
      <c r="AC28">
        <f>IF(ISNUMBER(INDEX(Haver_M!$B$1:$ZN$1000,MATCH(data!$A28,Haver_M!$B$1:$B$1000,0),MATCH(data!AC$1,Haver_M!$B$1:$ZN$1,0))),INDEX(Haver_M!$B$1:$ZN$1000,MATCH(data!$A28,Haver_M!$B$1:$B$1000,0),MATCH(data!AC$1,Haver_M!$B$1:$ZN$1,0)),"na")</f>
        <v>14250.7</v>
      </c>
      <c r="AD28">
        <f>IF(ISNUMBER(INDEX(Haver_M!$B$1:$ZN$1000,MATCH(data!$A28,Haver_M!$B$1:$B$1000,0),MATCH(data!AD$1,Haver_M!$B$1:$ZN$1,0))),INDEX(Haver_M!$B$1:$ZN$1000,MATCH(data!$A28,Haver_M!$B$1:$B$1000,0),MATCH(data!AD$1,Haver_M!$B$1:$ZN$1,0)),"na")</f>
        <v>99.42</v>
      </c>
      <c r="AE28">
        <f>IF(ISNUMBER(INDEX(Haver_M!$B$1:$ZN$1000,MATCH(data!$A28,Haver_M!$B$1:$B$1000,0),MATCH(data!AE$1,Haver_M!$B$1:$ZN$1,0))),INDEX(Haver_M!$B$1:$ZN$1000,MATCH(data!$A28,Haver_M!$B$1:$B$1000,0),MATCH(data!AE$1,Haver_M!$B$1:$ZN$1,0)),"na")</f>
        <v>39.5</v>
      </c>
      <c r="AF28" t="str">
        <f>IF(ISNUMBER(INDEX(Haver_M!$B$1:$ZN$1000,MATCH(data!$A28,Haver_M!$B$1:$B$1000,0),MATCH(data!AF$1,Haver_M!$B$1:$ZN$1,0))),INDEX(Haver_M!$B$1:$ZN$1000,MATCH(data!$A28,Haver_M!$B$1:$B$1000,0),MATCH(data!AF$1,Haver_M!$B$1:$ZN$1,0)),"na")</f>
        <v>na</v>
      </c>
      <c r="AG28" t="str">
        <f>IF(ISNUMBER(INDEX(Haver_M!$B$1:$ZN$1000,MATCH(data!$A28,Haver_M!$B$1:$B$1000,0),MATCH(data!AG$1,Haver_M!$B$1:$ZN$1,0))),INDEX(Haver_M!$B$1:$ZN$1000,MATCH(data!$A28,Haver_M!$B$1:$B$1000,0),MATCH(data!AG$1,Haver_M!$B$1:$ZN$1,0)),"na")</f>
        <v>na</v>
      </c>
      <c r="AH28" t="str">
        <f>IF(ISNUMBER(INDEX(Haver_M!$B$1:$ZN$1000,MATCH(data!$A28,Haver_M!$B$1:$B$1000,0),MATCH(data!AH$1,Haver_M!$B$1:$ZN$1,0))),INDEX(Haver_M!$B$1:$ZN$1000,MATCH(data!$A28,Haver_M!$B$1:$B$1000,0),MATCH(data!AH$1,Haver_M!$B$1:$ZN$1,0)),"na")</f>
        <v>na</v>
      </c>
      <c r="AI28" t="str">
        <f>IF(ISNUMBER(INDEX(Haver_M!$B$1:$ZN$1000,MATCH(data!$A28,Haver_M!$B$1:$B$1000,0),MATCH(data!AI$1,Haver_M!$B$1:$ZN$1,0))),INDEX(Haver_M!$B$1:$ZN$1000,MATCH(data!$A28,Haver_M!$B$1:$B$1000,0),MATCH(data!AI$1,Haver_M!$B$1:$ZN$1,0)),"na")</f>
        <v>na</v>
      </c>
      <c r="AJ28" t="str">
        <f>IF(ISNUMBER(INDEX(Haver_M!$B$1:$ZN$1000,MATCH(data!$A28,Haver_M!$B$1:$B$1000,0),MATCH(data!AJ$1,Haver_M!$B$1:$ZN$1,0))),INDEX(Haver_M!$B$1:$ZN$1000,MATCH(data!$A28,Haver_M!$B$1:$B$1000,0),MATCH(data!AJ$1,Haver_M!$B$1:$ZN$1,0)),"na")</f>
        <v>na</v>
      </c>
      <c r="AK28" t="str">
        <f>IF(ISNUMBER(INDEX(Haver_M!$B$1:$ZN$1000,MATCH(data!$A28,Haver_M!$B$1:$B$1000,0),MATCH(data!AK$1,Haver_M!$B$1:$ZN$1,0))),INDEX(Haver_M!$B$1:$ZN$1000,MATCH(data!$A28,Haver_M!$B$1:$B$1000,0),MATCH(data!AK$1,Haver_M!$B$1:$ZN$1,0)),"na")</f>
        <v>na</v>
      </c>
      <c r="AL28" t="str">
        <f>IF(ISNUMBER(INDEX(Haver_M!$B$1:$ZN$1000,MATCH(data!$A28,Haver_M!$B$1:$B$1000,0),MATCH(data!AL$1,Haver_M!$B$1:$ZN$1,0))),INDEX(Haver_M!$B$1:$ZN$1000,MATCH(data!$A28,Haver_M!$B$1:$B$1000,0),MATCH(data!AL$1,Haver_M!$B$1:$ZN$1,0)),"na")</f>
        <v>na</v>
      </c>
      <c r="AM28" t="str">
        <f>IF(ISNUMBER(INDEX(Haver_M!$B$1:$ZN$1000,MATCH(data!$A28,Haver_M!$B$1:$B$1000,0),MATCH(data!AM$1,Haver_M!$B$1:$ZN$1,0))),INDEX(Haver_M!$B$1:$ZN$1000,MATCH(data!$A28,Haver_M!$B$1:$B$1000,0),MATCH(data!AM$1,Haver_M!$B$1:$ZN$1,0)),"na")</f>
        <v>na</v>
      </c>
      <c r="AN28" t="str">
        <f>IF(ISNUMBER(INDEX(Haver_M!$B$1:$ZN$1000,MATCH(data!$A28,Haver_M!$B$1:$B$1000,0),MATCH(data!AN$1,Haver_M!$B$1:$ZN$1,0))),INDEX(Haver_M!$B$1:$ZN$1000,MATCH(data!$A28,Haver_M!$B$1:$B$1000,0),MATCH(data!AN$1,Haver_M!$B$1:$ZN$1,0)),"na")</f>
        <v>na</v>
      </c>
      <c r="AO28" t="str">
        <f>IF(ISNUMBER(INDEX(Haver_M!$B$1:$ZN$1000,MATCH(data!$A28,Haver_M!$B$1:$B$1000,0),MATCH(data!AO$1,Haver_M!$B$1:$ZN$1,0))),INDEX(Haver_M!$B$1:$ZN$1000,MATCH(data!$A28,Haver_M!$B$1:$B$1000,0),MATCH(data!AO$1,Haver_M!$B$1:$ZN$1,0)),"na")</f>
        <v>na</v>
      </c>
      <c r="AP28" t="str">
        <f>IF(ISNUMBER(INDEX(Haver_M!$B$1:$ZN$1000,MATCH(data!$A28,Haver_M!$B$1:$B$1000,0),MATCH(data!AP$1,Haver_M!$B$1:$ZN$1,0))),INDEX(Haver_M!$B$1:$ZN$1000,MATCH(data!$A28,Haver_M!$B$1:$B$1000,0),MATCH(data!AP$1,Haver_M!$B$1:$ZN$1,0)),"na")</f>
        <v>na</v>
      </c>
      <c r="AQ28" t="str">
        <f>IF(ISNUMBER(INDEX(Haver_M!$B$1:$ZN$1000,MATCH(data!$A28,Haver_M!$B$1:$B$1000,0),MATCH(data!AQ$1,Haver_M!$B$1:$ZN$1,0))),INDEX(Haver_M!$B$1:$ZN$1000,MATCH(data!$A28,Haver_M!$B$1:$B$1000,0),MATCH(data!AQ$1,Haver_M!$B$1:$ZN$1,0)),"na")</f>
        <v>na</v>
      </c>
      <c r="AR28" t="str">
        <f>IF(ISNUMBER(INDEX(Haver_M!$B$1:$ZN$1000,MATCH(data!$A28,Haver_M!$B$1:$B$1000,0),MATCH(data!AR$1,Haver_M!$B$1:$ZN$1,0))),INDEX(Haver_M!$B$1:$ZN$1000,MATCH(data!$A28,Haver_M!$B$1:$B$1000,0),MATCH(data!AR$1,Haver_M!$B$1:$ZN$1,0)),"na")</f>
        <v>na</v>
      </c>
      <c r="AS28">
        <f>IF(ISNUMBER(INDEX(Haver_M!$B$1:$ZN$1000,MATCH(data!$A28,Haver_M!$B$1:$B$1000,0),MATCH(data!AS$1,Haver_M!$B$1:$ZN$1,0))),INDEX(Haver_M!$B$1:$ZN$1000,MATCH(data!$A28,Haver_M!$B$1:$B$1000,0),MATCH(data!AS$1,Haver_M!$B$1:$ZN$1,0)),"na")</f>
        <v>7233.28</v>
      </c>
      <c r="AT28">
        <f>IF(ISNUMBER(INDEX(Haver_M!$B$1:$ZN$1000,MATCH(data!$A28,Haver_M!$B$1:$B$1000,0),MATCH(data!AT$1,Haver_M!$B$1:$ZN$1,0))),INDEX(Haver_M!$B$1:$ZN$1000,MATCH(data!$A28,Haver_M!$B$1:$B$1000,0),MATCH(data!AT$1,Haver_M!$B$1:$ZN$1,0)),"na")</f>
        <v>80.856999999999999</v>
      </c>
      <c r="AU28">
        <f>IF(ISNUMBER(INDEX(Haver_M!$B$1:$ZN$1000,MATCH(data!$A28,Haver_M!$B$1:$B$1000,0),MATCH(data!AU$1,Haver_M!$B$1:$ZN$1,0))),INDEX(Haver_M!$B$1:$ZN$1000,MATCH(data!$A28,Haver_M!$B$1:$B$1000,0),MATCH(data!AU$1,Haver_M!$B$1:$ZN$1,0)),"na")</f>
        <v>78.826567999999995</v>
      </c>
      <c r="AV28">
        <f>IF(ISNUMBER(INDEX(Haver_M!$B$1:$ZN$1000,MATCH(data!$A28,Haver_M!$B$1:$B$1000,0),MATCH(data!AV$1,Haver_M!$B$1:$ZN$1,0))),INDEX(Haver_M!$B$1:$ZN$1000,MATCH(data!$A28,Haver_M!$B$1:$B$1000,0),MATCH(data!AV$1,Haver_M!$B$1:$ZN$1,0)),"na")</f>
        <v>67.400000000000006</v>
      </c>
      <c r="AW28">
        <f>IF(ISNUMBER(INDEX(Haver_M!$B$1:$ZN$1000,MATCH(data!$A28,Haver_M!$B$1:$B$1000,0),MATCH(data!AW$1,Haver_M!$B$1:$ZN$1,0))),INDEX(Haver_M!$B$1:$ZN$1000,MATCH(data!$A28,Haver_M!$B$1:$B$1000,0),MATCH(data!AW$1,Haver_M!$B$1:$ZN$1,0)),"na")</f>
        <v>739576.84361882764</v>
      </c>
      <c r="AX28">
        <f>IF(ISNUMBER(INDEX(Haver_M!$B$1:$ZN$1000,MATCH(data!$A28,Haver_M!$B$1:$B$1000,0),MATCH(data!AX$1,Haver_M!$B$1:$ZN$1,0))),INDEX(Haver_M!$B$1:$ZN$1000,MATCH(data!$A28,Haver_M!$B$1:$B$1000,0),MATCH(data!AX$1,Haver_M!$B$1:$ZN$1,0)),"na")</f>
        <v>3113</v>
      </c>
      <c r="AY28">
        <f>IF(ISNUMBER(INDEX(Haver_M!$B$1:$ZN$1000,MATCH(data!$A28,Haver_M!$B$1:$B$1000,0),MATCH(data!AY$1,Haver_M!$B$1:$ZN$1,0))),INDEX(Haver_M!$B$1:$ZN$1000,MATCH(data!$A28,Haver_M!$B$1:$B$1000,0),MATCH(data!AY$1,Haver_M!$B$1:$ZN$1,0)),"na")</f>
        <v>1699</v>
      </c>
      <c r="AZ28" t="str">
        <f>IF(ISNUMBER(INDEX(Haver_M!$B$1:$ZN$1000,MATCH(data!$A28,Haver_M!$B$1:$B$1000,0),MATCH(data!AZ$1,Haver_M!$B$1:$ZN$1,0))),INDEX(Haver_M!$B$1:$ZN$1000,MATCH(data!$A28,Haver_M!$B$1:$B$1000,0),MATCH(data!AZ$1,Haver_M!$B$1:$ZN$1,0)),"na")</f>
        <v>na</v>
      </c>
      <c r="BA28">
        <f>IF(ISNUMBER(INDEX(Haver_M!$B$1:$ZN$1000,MATCH(data!$A28,Haver_M!$B$1:$B$1000,0),MATCH(data!BA$1,Haver_M!$B$1:$ZN$1,0))),INDEX(Haver_M!$B$1:$ZN$1000,MATCH(data!$A28,Haver_M!$B$1:$B$1000,0),MATCH(data!BA$1,Haver_M!$B$1:$ZN$1,0)),"na")</f>
        <v>137.79894988499296</v>
      </c>
      <c r="BB28" t="str">
        <f>IF(ISNUMBER(INDEX(Haver_M!$B$1:$ZN$1000,MATCH(data!$A28,Haver_M!$B$1:$B$1000,0),MATCH(data!BB$1,Haver_M!$B$1:$ZN$1,0))),INDEX(Haver_M!$B$1:$ZN$1000,MATCH(data!$A28,Haver_M!$B$1:$B$1000,0),MATCH(data!BB$1,Haver_M!$B$1:$ZN$1,0)),"")</f>
        <v/>
      </c>
    </row>
    <row r="29" spans="1:54" x14ac:dyDescent="0.25">
      <c r="A29" s="2">
        <v>37376</v>
      </c>
      <c r="B29" t="str">
        <f>IF(ISNUMBER(INDEX(Haver_Q!$B$1:$BD$1000,MATCH(data!$A29,Haver_Q!$B$1:$B$1000,0),MATCH(data!B$1,Haver_Q!$B$1:$BD$1,0))),100*INDEX(Haver_Q!$B$1:$BD$1000,MATCH(data!$A29,Haver_Q!$B$1:$B$1000,0),MATCH(data!B$1,Haver_Q!$B$1:$BD$1,0)),"na")</f>
        <v>na</v>
      </c>
      <c r="C29" t="str">
        <f>IF(ISNUMBER(INDEX(Haver_Q!$B$1:$BD$1000,MATCH(data!$A29,Haver_Q!$B$1:$B$1000,0),MATCH(data!C$1,Haver_Q!$B$1:$BD$1,0))),100*INDEX(Haver_Q!$B$1:$BD$1000,MATCH(data!$A29,Haver_Q!$B$1:$B$1000,0),MATCH(data!C$1,Haver_Q!$B$1:$BD$1,0)),"na")</f>
        <v>na</v>
      </c>
      <c r="D29" t="str">
        <f>IF(ISNUMBER(INDEX(Haver_Q!$B$1:$BD$1000,MATCH(data!$A29,Haver_Q!$B$1:$B$1000,0),MATCH(data!D$1,Haver_Q!$B$1:$BD$1,0))),100*INDEX(Haver_Q!$B$1:$BD$1000,MATCH(data!$A29,Haver_Q!$B$1:$B$1000,0),MATCH(data!D$1,Haver_Q!$B$1:$BD$1,0)),"na")</f>
        <v>na</v>
      </c>
      <c r="E29" t="str">
        <f>IF(ISNUMBER(INDEX(Haver_Q!$B$1:$BD$1000,MATCH(data!$A29,Haver_Q!$B$1:$B$1000,0),MATCH(data!E$1,Haver_Q!$B$1:$BD$1,0))),100*INDEX(Haver_Q!$B$1:$BD$1000,MATCH(data!$A29,Haver_Q!$B$1:$B$1000,0),MATCH(data!E$1,Haver_Q!$B$1:$BD$1,0)),"na")</f>
        <v>na</v>
      </c>
      <c r="F29" t="str">
        <f>IF(ISNUMBER(INDEX(Haver_Q!$B$1:$BD$1000,MATCH(data!$A29,Haver_Q!$B$1:$B$1000,0),MATCH(data!F$1,Haver_Q!$B$1:$BD$1,0))),100*INDEX(Haver_Q!$B$1:$BD$1000,MATCH(data!$A29,Haver_Q!$B$1:$B$1000,0),MATCH(data!F$1,Haver_Q!$B$1:$BD$1,0)),"na")</f>
        <v>na</v>
      </c>
      <c r="G29" t="str">
        <f>IF(ISNUMBER(INDEX(Haver_Q!$B$1:$BD$1000,MATCH(data!$A29,Haver_Q!$B$1:$B$1000,0),MATCH(data!G$1,Haver_Q!$B$1:$BD$1,0))),100*INDEX(Haver_Q!$B$1:$BD$1000,MATCH(data!$A29,Haver_Q!$B$1:$B$1000,0),MATCH(data!G$1,Haver_Q!$B$1:$BD$1,0)),"na")</f>
        <v>na</v>
      </c>
      <c r="H29" t="str">
        <f>IF(ISNUMBER(INDEX(Haver_Q!$B$1:$BD$1000,MATCH(data!$A29,Haver_Q!$B$1:$B$1000,0),MATCH(data!H$1,Haver_Q!$B$1:$BD$1,0))),100*INDEX(Haver_Q!$B$1:$BD$1000,MATCH(data!$A29,Haver_Q!$B$1:$B$1000,0),MATCH(data!H$1,Haver_Q!$B$1:$BD$1,0)),"na")</f>
        <v>na</v>
      </c>
      <c r="I29" s="3">
        <f>IF(ISNUMBER(Bloomberg_m!C45),Bloomberg_m!C45,"na")</f>
        <v>1077</v>
      </c>
      <c r="J29" s="3" t="str">
        <f>IF(ISNUMBER(Bloomberg_m!D45),Bloomberg_m!D45,"na")</f>
        <v>na</v>
      </c>
      <c r="K29" s="3" t="str">
        <f>IF(ISNUMBER(Bloomberg_m!E45),Bloomberg_m!E45,"na")</f>
        <v>na</v>
      </c>
      <c r="L29" s="3">
        <f>IF(ISNUMBER(Bloomberg_m!L45),Bloomberg_m!L45,"na")</f>
        <v>26.24</v>
      </c>
      <c r="M29" t="str">
        <f>IF(ISNUMBER(INDEX(Haver_M!$B$1:$ZN$1000,MATCH(data!$A29,Haver_M!$B$1:$B$1000,0),MATCH(data!M$1,Haver_M!$B$1:$ZN$1,0))),INDEX(Haver_M!$B$1:$ZN$1000,MATCH(data!$A29,Haver_M!$B$1:$B$1000,0),MATCH(data!M$1,Haver_M!$B$1:$ZN$1,0)),"na")</f>
        <v>na</v>
      </c>
      <c r="N29" t="str">
        <f>IF(ISNUMBER(INDEX(Haver_M!$B$1:$ZN$1000,MATCH(data!$A29,Haver_M!$B$1:$B$1000,0),MATCH(data!N$1,Haver_M!$B$1:$ZN$1,0))),INDEX(Haver_M!$B$1:$ZN$1000,MATCH(data!$A29,Haver_M!$B$1:$B$1000,0),MATCH(data!N$1,Haver_M!$B$1:$ZN$1,0)),"na")</f>
        <v>na</v>
      </c>
      <c r="O29">
        <f>IF(ISNUMBER(INDEX(Haver_M!$B$1:$ZN$1000,MATCH(data!$A29,Haver_M!$B$1:$B$1000,0),MATCH(data!O$1,Haver_M!$B$1:$ZN$1,0))),INDEX(Haver_M!$B$1:$ZN$1000,MATCH(data!$A29,Haver_M!$B$1:$B$1000,0),MATCH(data!O$1,Haver_M!$B$1:$ZN$1,0)),"na")</f>
        <v>133.18567999999999</v>
      </c>
      <c r="P29">
        <f>IF(ISNUMBER(INDEX(Haver_M!$B$1:$ZN$1000,MATCH(data!$A29,Haver_M!$B$1:$B$1000,0),MATCH(data!P$1,Haver_M!$B$1:$ZN$1,0))),INDEX(Haver_M!$B$1:$ZN$1000,MATCH(data!$A29,Haver_M!$B$1:$B$1000,0),MATCH(data!P$1,Haver_M!$B$1:$ZN$1,0)),"na")</f>
        <v>51.267800000000001</v>
      </c>
      <c r="Q29">
        <f>IF(ISNUMBER(INDEX(Haver_M!$B$1:$ZN$1000,MATCH(data!$A29,Haver_M!$B$1:$B$1000,0),MATCH(data!Q$1,Haver_M!$B$1:$ZN$1,0))),INDEX(Haver_M!$B$1:$ZN$1000,MATCH(data!$A29,Haver_M!$B$1:$B$1000,0),MATCH(data!Q$1,Haver_M!$B$1:$ZN$1,0)),"na")</f>
        <v>55.881300000000003</v>
      </c>
      <c r="R29">
        <f>IF(ISNUMBER(INDEX(Haver_M!$B$1:$ZN$1000,MATCH(data!$A29,Haver_M!$B$1:$B$1000,0),MATCH(data!R$1,Haver_M!$B$1:$ZN$1,0))),INDEX(Haver_M!$B$1:$ZN$1000,MATCH(data!$A29,Haver_M!$B$1:$B$1000,0),MATCH(data!R$1,Haver_M!$B$1:$ZN$1,0)),"na")</f>
        <v>86.987899999999996</v>
      </c>
      <c r="S29">
        <f>IF(ISNUMBER(INDEX(Haver_M!$B$1:$ZN$1000,MATCH(data!$A29,Haver_M!$B$1:$B$1000,0),MATCH(data!S$1,Haver_M!$B$1:$ZN$1,0))),INDEX(Haver_M!$B$1:$ZN$1000,MATCH(data!$A29,Haver_M!$B$1:$B$1000,0),MATCH(data!S$1,Haver_M!$B$1:$ZN$1,0)),"na")</f>
        <v>105.7465</v>
      </c>
      <c r="T29">
        <f>IF(ISNUMBER(INDEX(Haver_M!$B$1:$ZN$1000,MATCH(data!$A29,Haver_M!$B$1:$B$1000,0),MATCH(data!T$1,Haver_M!$B$1:$ZN$1,0))),INDEX(Haver_M!$B$1:$ZN$1000,MATCH(data!$A29,Haver_M!$B$1:$B$1000,0),MATCH(data!T$1,Haver_M!$B$1:$ZN$1,0)),"na")</f>
        <v>57.415399999999998</v>
      </c>
      <c r="U29">
        <f>IF(ISNUMBER(INDEX(Haver_M!$B$1:$ZN$1000,MATCH(data!$A29,Haver_M!$B$1:$B$1000,0),MATCH(data!U$1,Haver_M!$B$1:$ZN$1,0))),INDEX(Haver_M!$B$1:$ZN$1000,MATCH(data!$A29,Haver_M!$B$1:$B$1000,0),MATCH(data!U$1,Haver_M!$B$1:$ZN$1,0)),"na")</f>
        <v>74.471100000000007</v>
      </c>
      <c r="V29">
        <f>IF(ISNUMBER(INDEX(Haver_M!$B$1:$ZN$1000,MATCH(data!$A29,Haver_M!$B$1:$B$1000,0),MATCH(data!V$1,Haver_M!$B$1:$ZN$1,0))),INDEX(Haver_M!$B$1:$ZN$1000,MATCH(data!$A29,Haver_M!$B$1:$B$1000,0),MATCH(data!V$1,Haver_M!$B$1:$ZN$1,0)),"na")</f>
        <v>87.477900000000005</v>
      </c>
      <c r="W29">
        <f>IF(ISNUMBER(INDEX(Haver_M!$B$1:$ZN$1000,MATCH(data!$A29,Haver_M!$B$1:$B$1000,0),MATCH(data!W$1,Haver_M!$B$1:$ZN$1,0))),INDEX(Haver_M!$B$1:$ZN$1000,MATCH(data!$A29,Haver_M!$B$1:$B$1000,0),MATCH(data!W$1,Haver_M!$B$1:$ZN$1,0)),"na")</f>
        <v>3.04</v>
      </c>
      <c r="X29" t="str">
        <f>IF(ISNUMBER(INDEX(Haver_M!$B$1:$ZN$1000,MATCH(data!$A29,Haver_M!$B$1:$B$1000,0),MATCH(data!X$1,Haver_M!$B$1:$ZN$1,0))),INDEX(Haver_M!$B$1:$ZN$1000,MATCH(data!$A29,Haver_M!$B$1:$B$1000,0),MATCH(data!X$1,Haver_M!$B$1:$ZN$1,0)),"na")</f>
        <v>na</v>
      </c>
      <c r="Y29">
        <f>IF(ISNUMBER(INDEX(Haver_M!$B$1:$ZN$1000,MATCH(data!$A29,Haver_M!$B$1:$B$1000,0),MATCH(data!Y$1,Haver_M!$B$1:$ZN$1,0))),INDEX(Haver_M!$B$1:$ZN$1000,MATCH(data!$A29,Haver_M!$B$1:$B$1000,0),MATCH(data!Y$1,Haver_M!$B$1:$ZN$1,0)),"na")</f>
        <v>100.2</v>
      </c>
      <c r="Z29">
        <f>IF(ISNUMBER(INDEX(Haver_M!$B$1:$ZN$1000,MATCH(data!$A29,Haver_M!$B$1:$B$1000,0),MATCH(data!Z$1,Haver_M!$B$1:$ZN$1,0))),INDEX(Haver_M!$B$1:$ZN$1000,MATCH(data!$A29,Haver_M!$B$1:$B$1000,0),MATCH(data!Z$1,Haver_M!$B$1:$ZN$1,0)),"na")</f>
        <v>80.750299999999996</v>
      </c>
      <c r="AA29" t="str">
        <f>IF(ISNUMBER(INDEX(Haver_M!$B$1:$ZN$1000,MATCH(data!$A29,Haver_M!$B$1:$B$1000,0),MATCH(data!AA$1,Haver_M!$B$1:$ZN$1,0))),INDEX(Haver_M!$B$1:$ZN$1000,MATCH(data!$A29,Haver_M!$B$1:$B$1000,0),MATCH(data!AA$1,Haver_M!$B$1:$ZN$1,0)),"na")</f>
        <v>na</v>
      </c>
      <c r="AB29">
        <f>IF(ISNUMBER(INDEX(Haver_M!$B$1:$ZN$1000,MATCH(data!$A29,Haver_M!$B$1:$B$1000,0),MATCH(data!AB$1,Haver_M!$B$1:$ZN$1,0))),INDEX(Haver_M!$B$1:$ZN$1000,MATCH(data!$A29,Haver_M!$B$1:$B$1000,0),MATCH(data!AB$1,Haver_M!$B$1:$ZN$1,0)),"na")</f>
        <v>13966.5</v>
      </c>
      <c r="AC29">
        <f>IF(ISNUMBER(INDEX(Haver_M!$B$1:$ZN$1000,MATCH(data!$A29,Haver_M!$B$1:$B$1000,0),MATCH(data!AC$1,Haver_M!$B$1:$ZN$1,0))),INDEX(Haver_M!$B$1:$ZN$1000,MATCH(data!$A29,Haver_M!$B$1:$B$1000,0),MATCH(data!AC$1,Haver_M!$B$1:$ZN$1,0)),"na")</f>
        <v>14060.4</v>
      </c>
      <c r="AD29">
        <f>IF(ISNUMBER(INDEX(Haver_M!$B$1:$ZN$1000,MATCH(data!$A29,Haver_M!$B$1:$B$1000,0),MATCH(data!AD$1,Haver_M!$B$1:$ZN$1,0))),INDEX(Haver_M!$B$1:$ZN$1000,MATCH(data!$A29,Haver_M!$B$1:$B$1000,0),MATCH(data!AD$1,Haver_M!$B$1:$ZN$1,0)),"na")</f>
        <v>99.42</v>
      </c>
      <c r="AE29">
        <f>IF(ISNUMBER(INDEX(Haver_M!$B$1:$ZN$1000,MATCH(data!$A29,Haver_M!$B$1:$B$1000,0),MATCH(data!AE$1,Haver_M!$B$1:$ZN$1,0))),INDEX(Haver_M!$B$1:$ZN$1000,MATCH(data!$A29,Haver_M!$B$1:$B$1000,0),MATCH(data!AE$1,Haver_M!$B$1:$ZN$1,0)),"na")</f>
        <v>40.1</v>
      </c>
      <c r="AF29" t="str">
        <f>IF(ISNUMBER(INDEX(Haver_M!$B$1:$ZN$1000,MATCH(data!$A29,Haver_M!$B$1:$B$1000,0),MATCH(data!AF$1,Haver_M!$B$1:$ZN$1,0))),INDEX(Haver_M!$B$1:$ZN$1000,MATCH(data!$A29,Haver_M!$B$1:$B$1000,0),MATCH(data!AF$1,Haver_M!$B$1:$ZN$1,0)),"na")</f>
        <v>na</v>
      </c>
      <c r="AG29" t="str">
        <f>IF(ISNUMBER(INDEX(Haver_M!$B$1:$ZN$1000,MATCH(data!$A29,Haver_M!$B$1:$B$1000,0),MATCH(data!AG$1,Haver_M!$B$1:$ZN$1,0))),INDEX(Haver_M!$B$1:$ZN$1000,MATCH(data!$A29,Haver_M!$B$1:$B$1000,0),MATCH(data!AG$1,Haver_M!$B$1:$ZN$1,0)),"na")</f>
        <v>na</v>
      </c>
      <c r="AH29" t="str">
        <f>IF(ISNUMBER(INDEX(Haver_M!$B$1:$ZN$1000,MATCH(data!$A29,Haver_M!$B$1:$B$1000,0),MATCH(data!AH$1,Haver_M!$B$1:$ZN$1,0))),INDEX(Haver_M!$B$1:$ZN$1000,MATCH(data!$A29,Haver_M!$B$1:$B$1000,0),MATCH(data!AH$1,Haver_M!$B$1:$ZN$1,0)),"na")</f>
        <v>na</v>
      </c>
      <c r="AI29" t="str">
        <f>IF(ISNUMBER(INDEX(Haver_M!$B$1:$ZN$1000,MATCH(data!$A29,Haver_M!$B$1:$B$1000,0),MATCH(data!AI$1,Haver_M!$B$1:$ZN$1,0))),INDEX(Haver_M!$B$1:$ZN$1000,MATCH(data!$A29,Haver_M!$B$1:$B$1000,0),MATCH(data!AI$1,Haver_M!$B$1:$ZN$1,0)),"na")</f>
        <v>na</v>
      </c>
      <c r="AJ29" t="str">
        <f>IF(ISNUMBER(INDEX(Haver_M!$B$1:$ZN$1000,MATCH(data!$A29,Haver_M!$B$1:$B$1000,0),MATCH(data!AJ$1,Haver_M!$B$1:$ZN$1,0))),INDEX(Haver_M!$B$1:$ZN$1000,MATCH(data!$A29,Haver_M!$B$1:$B$1000,0),MATCH(data!AJ$1,Haver_M!$B$1:$ZN$1,0)),"na")</f>
        <v>na</v>
      </c>
      <c r="AK29" t="str">
        <f>IF(ISNUMBER(INDEX(Haver_M!$B$1:$ZN$1000,MATCH(data!$A29,Haver_M!$B$1:$B$1000,0),MATCH(data!AK$1,Haver_M!$B$1:$ZN$1,0))),INDEX(Haver_M!$B$1:$ZN$1000,MATCH(data!$A29,Haver_M!$B$1:$B$1000,0),MATCH(data!AK$1,Haver_M!$B$1:$ZN$1,0)),"na")</f>
        <v>na</v>
      </c>
      <c r="AL29" t="str">
        <f>IF(ISNUMBER(INDEX(Haver_M!$B$1:$ZN$1000,MATCH(data!$A29,Haver_M!$B$1:$B$1000,0),MATCH(data!AL$1,Haver_M!$B$1:$ZN$1,0))),INDEX(Haver_M!$B$1:$ZN$1000,MATCH(data!$A29,Haver_M!$B$1:$B$1000,0),MATCH(data!AL$1,Haver_M!$B$1:$ZN$1,0)),"na")</f>
        <v>na</v>
      </c>
      <c r="AM29" t="str">
        <f>IF(ISNUMBER(INDEX(Haver_M!$B$1:$ZN$1000,MATCH(data!$A29,Haver_M!$B$1:$B$1000,0),MATCH(data!AM$1,Haver_M!$B$1:$ZN$1,0))),INDEX(Haver_M!$B$1:$ZN$1000,MATCH(data!$A29,Haver_M!$B$1:$B$1000,0),MATCH(data!AM$1,Haver_M!$B$1:$ZN$1,0)),"na")</f>
        <v>na</v>
      </c>
      <c r="AN29" t="str">
        <f>IF(ISNUMBER(INDEX(Haver_M!$B$1:$ZN$1000,MATCH(data!$A29,Haver_M!$B$1:$B$1000,0),MATCH(data!AN$1,Haver_M!$B$1:$ZN$1,0))),INDEX(Haver_M!$B$1:$ZN$1000,MATCH(data!$A29,Haver_M!$B$1:$B$1000,0),MATCH(data!AN$1,Haver_M!$B$1:$ZN$1,0)),"na")</f>
        <v>na</v>
      </c>
      <c r="AO29" t="str">
        <f>IF(ISNUMBER(INDEX(Haver_M!$B$1:$ZN$1000,MATCH(data!$A29,Haver_M!$B$1:$B$1000,0),MATCH(data!AO$1,Haver_M!$B$1:$ZN$1,0))),INDEX(Haver_M!$B$1:$ZN$1000,MATCH(data!$A29,Haver_M!$B$1:$B$1000,0),MATCH(data!AO$1,Haver_M!$B$1:$ZN$1,0)),"na")</f>
        <v>na</v>
      </c>
      <c r="AP29" t="str">
        <f>IF(ISNUMBER(INDEX(Haver_M!$B$1:$ZN$1000,MATCH(data!$A29,Haver_M!$B$1:$B$1000,0),MATCH(data!AP$1,Haver_M!$B$1:$ZN$1,0))),INDEX(Haver_M!$B$1:$ZN$1000,MATCH(data!$A29,Haver_M!$B$1:$B$1000,0),MATCH(data!AP$1,Haver_M!$B$1:$ZN$1,0)),"na")</f>
        <v>na</v>
      </c>
      <c r="AQ29" t="str">
        <f>IF(ISNUMBER(INDEX(Haver_M!$B$1:$ZN$1000,MATCH(data!$A29,Haver_M!$B$1:$B$1000,0),MATCH(data!AQ$1,Haver_M!$B$1:$ZN$1,0))),INDEX(Haver_M!$B$1:$ZN$1000,MATCH(data!$A29,Haver_M!$B$1:$B$1000,0),MATCH(data!AQ$1,Haver_M!$B$1:$ZN$1,0)),"na")</f>
        <v>na</v>
      </c>
      <c r="AR29" t="str">
        <f>IF(ISNUMBER(INDEX(Haver_M!$B$1:$ZN$1000,MATCH(data!$A29,Haver_M!$B$1:$B$1000,0),MATCH(data!AR$1,Haver_M!$B$1:$ZN$1,0))),INDEX(Haver_M!$B$1:$ZN$1000,MATCH(data!$A29,Haver_M!$B$1:$B$1000,0),MATCH(data!AR$1,Haver_M!$B$1:$ZN$1,0)),"na")</f>
        <v>na</v>
      </c>
      <c r="AS29">
        <f>IF(ISNUMBER(INDEX(Haver_M!$B$1:$ZN$1000,MATCH(data!$A29,Haver_M!$B$1:$B$1000,0),MATCH(data!AS$1,Haver_M!$B$1:$ZN$1,0))),INDEX(Haver_M!$B$1:$ZN$1000,MATCH(data!$A29,Haver_M!$B$1:$B$1000,0),MATCH(data!AS$1,Haver_M!$B$1:$ZN$1,0)),"na")</f>
        <v>7415.32</v>
      </c>
      <c r="AT29">
        <f>IF(ISNUMBER(INDEX(Haver_M!$B$1:$ZN$1000,MATCH(data!$A29,Haver_M!$B$1:$B$1000,0),MATCH(data!AT$1,Haver_M!$B$1:$ZN$1,0))),INDEX(Haver_M!$B$1:$ZN$1000,MATCH(data!$A29,Haver_M!$B$1:$B$1000,0),MATCH(data!AT$1,Haver_M!$B$1:$ZN$1,0)),"na")</f>
        <v>82.001000000000005</v>
      </c>
      <c r="AU29">
        <f>IF(ISNUMBER(INDEX(Haver_M!$B$1:$ZN$1000,MATCH(data!$A29,Haver_M!$B$1:$B$1000,0),MATCH(data!AU$1,Haver_M!$B$1:$ZN$1,0))),INDEX(Haver_M!$B$1:$ZN$1000,MATCH(data!$A29,Haver_M!$B$1:$B$1000,0),MATCH(data!AU$1,Haver_M!$B$1:$ZN$1,0)),"na")</f>
        <v>79.255465000000001</v>
      </c>
      <c r="AV29">
        <f>IF(ISNUMBER(INDEX(Haver_M!$B$1:$ZN$1000,MATCH(data!$A29,Haver_M!$B$1:$B$1000,0),MATCH(data!AV$1,Haver_M!$B$1:$ZN$1,0))),INDEX(Haver_M!$B$1:$ZN$1000,MATCH(data!$A29,Haver_M!$B$1:$B$1000,0),MATCH(data!AV$1,Haver_M!$B$1:$ZN$1,0)),"na")</f>
        <v>69.900000000000006</v>
      </c>
      <c r="AW29">
        <f>IF(ISNUMBER(INDEX(Haver_M!$B$1:$ZN$1000,MATCH(data!$A29,Haver_M!$B$1:$B$1000,0),MATCH(data!AW$1,Haver_M!$B$1:$ZN$1,0))),INDEX(Haver_M!$B$1:$ZN$1000,MATCH(data!$A29,Haver_M!$B$1:$B$1000,0),MATCH(data!AW$1,Haver_M!$B$1:$ZN$1,0)),"na")</f>
        <v>711289.16302930447</v>
      </c>
      <c r="AX29">
        <f>IF(ISNUMBER(INDEX(Haver_M!$B$1:$ZN$1000,MATCH(data!$A29,Haver_M!$B$1:$B$1000,0),MATCH(data!AX$1,Haver_M!$B$1:$ZN$1,0))),INDEX(Haver_M!$B$1:$ZN$1000,MATCH(data!$A29,Haver_M!$B$1:$B$1000,0),MATCH(data!AX$1,Haver_M!$B$1:$ZN$1,0)),"na")</f>
        <v>3186</v>
      </c>
      <c r="AY29">
        <f>IF(ISNUMBER(INDEX(Haver_M!$B$1:$ZN$1000,MATCH(data!$A29,Haver_M!$B$1:$B$1000,0),MATCH(data!AY$1,Haver_M!$B$1:$ZN$1,0))),INDEX(Haver_M!$B$1:$ZN$1000,MATCH(data!$A29,Haver_M!$B$1:$B$1000,0),MATCH(data!AY$1,Haver_M!$B$1:$ZN$1,0)),"na")</f>
        <v>1660</v>
      </c>
      <c r="AZ29" t="str">
        <f>IF(ISNUMBER(INDEX(Haver_M!$B$1:$ZN$1000,MATCH(data!$A29,Haver_M!$B$1:$B$1000,0),MATCH(data!AZ$1,Haver_M!$B$1:$ZN$1,0))),INDEX(Haver_M!$B$1:$ZN$1000,MATCH(data!$A29,Haver_M!$B$1:$B$1000,0),MATCH(data!AZ$1,Haver_M!$B$1:$ZN$1,0)),"na")</f>
        <v>na</v>
      </c>
      <c r="BA29">
        <f>IF(ISNUMBER(INDEX(Haver_M!$B$1:$ZN$1000,MATCH(data!$A29,Haver_M!$B$1:$B$1000,0),MATCH(data!BA$1,Haver_M!$B$1:$ZN$1,0))),INDEX(Haver_M!$B$1:$ZN$1000,MATCH(data!$A29,Haver_M!$B$1:$B$1000,0),MATCH(data!BA$1,Haver_M!$B$1:$ZN$1,0)),"na")</f>
        <v>122.33760220330382</v>
      </c>
      <c r="BB29" t="str">
        <f>IF(ISNUMBER(INDEX(Haver_M!$B$1:$ZN$1000,MATCH(data!$A29,Haver_M!$B$1:$B$1000,0),MATCH(data!BB$1,Haver_M!$B$1:$ZN$1,0))),INDEX(Haver_M!$B$1:$ZN$1000,MATCH(data!$A29,Haver_M!$B$1:$B$1000,0),MATCH(data!BB$1,Haver_M!$B$1:$ZN$1,0)),"")</f>
        <v/>
      </c>
    </row>
    <row r="30" spans="1:54" x14ac:dyDescent="0.25">
      <c r="A30" s="2">
        <v>37407</v>
      </c>
      <c r="B30" t="str">
        <f>IF(ISNUMBER(INDEX(Haver_Q!$B$1:$BD$1000,MATCH(data!$A30,Haver_Q!$B$1:$B$1000,0),MATCH(data!B$1,Haver_Q!$B$1:$BD$1,0))),100*INDEX(Haver_Q!$B$1:$BD$1000,MATCH(data!$A30,Haver_Q!$B$1:$B$1000,0),MATCH(data!B$1,Haver_Q!$B$1:$BD$1,0)),"na")</f>
        <v>na</v>
      </c>
      <c r="C30" t="str">
        <f>IF(ISNUMBER(INDEX(Haver_Q!$B$1:$BD$1000,MATCH(data!$A30,Haver_Q!$B$1:$B$1000,0),MATCH(data!C$1,Haver_Q!$B$1:$BD$1,0))),100*INDEX(Haver_Q!$B$1:$BD$1000,MATCH(data!$A30,Haver_Q!$B$1:$B$1000,0),MATCH(data!C$1,Haver_Q!$B$1:$BD$1,0)),"na")</f>
        <v>na</v>
      </c>
      <c r="D30" t="str">
        <f>IF(ISNUMBER(INDEX(Haver_Q!$B$1:$BD$1000,MATCH(data!$A30,Haver_Q!$B$1:$B$1000,0),MATCH(data!D$1,Haver_Q!$B$1:$BD$1,0))),100*INDEX(Haver_Q!$B$1:$BD$1000,MATCH(data!$A30,Haver_Q!$B$1:$B$1000,0),MATCH(data!D$1,Haver_Q!$B$1:$BD$1,0)),"na")</f>
        <v>na</v>
      </c>
      <c r="E30" t="str">
        <f>IF(ISNUMBER(INDEX(Haver_Q!$B$1:$BD$1000,MATCH(data!$A30,Haver_Q!$B$1:$B$1000,0),MATCH(data!E$1,Haver_Q!$B$1:$BD$1,0))),100*INDEX(Haver_Q!$B$1:$BD$1000,MATCH(data!$A30,Haver_Q!$B$1:$B$1000,0),MATCH(data!E$1,Haver_Q!$B$1:$BD$1,0)),"na")</f>
        <v>na</v>
      </c>
      <c r="F30" t="str">
        <f>IF(ISNUMBER(INDEX(Haver_Q!$B$1:$BD$1000,MATCH(data!$A30,Haver_Q!$B$1:$B$1000,0),MATCH(data!F$1,Haver_Q!$B$1:$BD$1,0))),100*INDEX(Haver_Q!$B$1:$BD$1000,MATCH(data!$A30,Haver_Q!$B$1:$B$1000,0),MATCH(data!F$1,Haver_Q!$B$1:$BD$1,0)),"na")</f>
        <v>na</v>
      </c>
      <c r="G30" t="str">
        <f>IF(ISNUMBER(INDEX(Haver_Q!$B$1:$BD$1000,MATCH(data!$A30,Haver_Q!$B$1:$B$1000,0),MATCH(data!G$1,Haver_Q!$B$1:$BD$1,0))),100*INDEX(Haver_Q!$B$1:$BD$1000,MATCH(data!$A30,Haver_Q!$B$1:$B$1000,0),MATCH(data!G$1,Haver_Q!$B$1:$BD$1,0)),"na")</f>
        <v>na</v>
      </c>
      <c r="H30" t="str">
        <f>IF(ISNUMBER(INDEX(Haver_Q!$B$1:$BD$1000,MATCH(data!$A30,Haver_Q!$B$1:$B$1000,0),MATCH(data!H$1,Haver_Q!$B$1:$BD$1,0))),100*INDEX(Haver_Q!$B$1:$BD$1000,MATCH(data!$A30,Haver_Q!$B$1:$B$1000,0),MATCH(data!H$1,Haver_Q!$B$1:$BD$1,0)),"na")</f>
        <v>na</v>
      </c>
      <c r="I30" s="3">
        <f>IF(ISNUMBER(Bloomberg_m!C46),Bloomberg_m!C46,"na")</f>
        <v>1033</v>
      </c>
      <c r="J30" s="3" t="str">
        <f>IF(ISNUMBER(Bloomberg_m!D46),Bloomberg_m!D46,"na")</f>
        <v>na</v>
      </c>
      <c r="K30" s="3" t="str">
        <f>IF(ISNUMBER(Bloomberg_m!E46),Bloomberg_m!E46,"na")</f>
        <v>na</v>
      </c>
      <c r="L30" s="3">
        <f>IF(ISNUMBER(Bloomberg_m!L46),Bloomberg_m!L46,"na")</f>
        <v>27.04</v>
      </c>
      <c r="M30" t="str">
        <f>IF(ISNUMBER(INDEX(Haver_M!$B$1:$ZN$1000,MATCH(data!$A30,Haver_M!$B$1:$B$1000,0),MATCH(data!M$1,Haver_M!$B$1:$ZN$1,0))),INDEX(Haver_M!$B$1:$ZN$1000,MATCH(data!$A30,Haver_M!$B$1:$B$1000,0),MATCH(data!M$1,Haver_M!$B$1:$ZN$1,0)),"na")</f>
        <v>na</v>
      </c>
      <c r="N30" t="str">
        <f>IF(ISNUMBER(INDEX(Haver_M!$B$1:$ZN$1000,MATCH(data!$A30,Haver_M!$B$1:$B$1000,0),MATCH(data!N$1,Haver_M!$B$1:$ZN$1,0))),INDEX(Haver_M!$B$1:$ZN$1000,MATCH(data!$A30,Haver_M!$B$1:$B$1000,0),MATCH(data!N$1,Haver_M!$B$1:$ZN$1,0)),"na")</f>
        <v>na</v>
      </c>
      <c r="O30">
        <f>IF(ISNUMBER(INDEX(Haver_M!$B$1:$ZN$1000,MATCH(data!$A30,Haver_M!$B$1:$B$1000,0),MATCH(data!O$1,Haver_M!$B$1:$ZN$1,0))),INDEX(Haver_M!$B$1:$ZN$1000,MATCH(data!$A30,Haver_M!$B$1:$B$1000,0),MATCH(data!O$1,Haver_M!$B$1:$ZN$1,0)),"na")</f>
        <v>127.63193</v>
      </c>
      <c r="P30">
        <f>IF(ISNUMBER(INDEX(Haver_M!$B$1:$ZN$1000,MATCH(data!$A30,Haver_M!$B$1:$B$1000,0),MATCH(data!P$1,Haver_M!$B$1:$ZN$1,0))),INDEX(Haver_M!$B$1:$ZN$1000,MATCH(data!$A30,Haver_M!$B$1:$B$1000,0),MATCH(data!P$1,Haver_M!$B$1:$ZN$1,0)),"na")</f>
        <v>51.558500000000002</v>
      </c>
      <c r="Q30">
        <f>IF(ISNUMBER(INDEX(Haver_M!$B$1:$ZN$1000,MATCH(data!$A30,Haver_M!$B$1:$B$1000,0),MATCH(data!Q$1,Haver_M!$B$1:$ZN$1,0))),INDEX(Haver_M!$B$1:$ZN$1000,MATCH(data!$A30,Haver_M!$B$1:$B$1000,0),MATCH(data!Q$1,Haver_M!$B$1:$ZN$1,0)),"na")</f>
        <v>56.025799999999997</v>
      </c>
      <c r="R30">
        <f>IF(ISNUMBER(INDEX(Haver_M!$B$1:$ZN$1000,MATCH(data!$A30,Haver_M!$B$1:$B$1000,0),MATCH(data!R$1,Haver_M!$B$1:$ZN$1,0))),INDEX(Haver_M!$B$1:$ZN$1000,MATCH(data!$A30,Haver_M!$B$1:$B$1000,0),MATCH(data!R$1,Haver_M!$B$1:$ZN$1,0)),"na")</f>
        <v>87.061099999999996</v>
      </c>
      <c r="S30">
        <f>IF(ISNUMBER(INDEX(Haver_M!$B$1:$ZN$1000,MATCH(data!$A30,Haver_M!$B$1:$B$1000,0),MATCH(data!S$1,Haver_M!$B$1:$ZN$1,0))),INDEX(Haver_M!$B$1:$ZN$1000,MATCH(data!$A30,Haver_M!$B$1:$B$1000,0),MATCH(data!S$1,Haver_M!$B$1:$ZN$1,0)),"na")</f>
        <v>105.8182</v>
      </c>
      <c r="T30">
        <f>IF(ISNUMBER(INDEX(Haver_M!$B$1:$ZN$1000,MATCH(data!$A30,Haver_M!$B$1:$B$1000,0),MATCH(data!T$1,Haver_M!$B$1:$ZN$1,0))),INDEX(Haver_M!$B$1:$ZN$1000,MATCH(data!$A30,Haver_M!$B$1:$B$1000,0),MATCH(data!T$1,Haver_M!$B$1:$ZN$1,0)),"na")</f>
        <v>58.508200000000002</v>
      </c>
      <c r="U30">
        <f>IF(ISNUMBER(INDEX(Haver_M!$B$1:$ZN$1000,MATCH(data!$A30,Haver_M!$B$1:$B$1000,0),MATCH(data!U$1,Haver_M!$B$1:$ZN$1,0))),INDEX(Haver_M!$B$1:$ZN$1000,MATCH(data!$A30,Haver_M!$B$1:$B$1000,0),MATCH(data!U$1,Haver_M!$B$1:$ZN$1,0)),"na")</f>
        <v>75.290099999999995</v>
      </c>
      <c r="V30">
        <f>IF(ISNUMBER(INDEX(Haver_M!$B$1:$ZN$1000,MATCH(data!$A30,Haver_M!$B$1:$B$1000,0),MATCH(data!V$1,Haver_M!$B$1:$ZN$1,0))),INDEX(Haver_M!$B$1:$ZN$1000,MATCH(data!$A30,Haver_M!$B$1:$B$1000,0),MATCH(data!V$1,Haver_M!$B$1:$ZN$1,0)),"na")</f>
        <v>86.45</v>
      </c>
      <c r="W30">
        <f>IF(ISNUMBER(INDEX(Haver_M!$B$1:$ZN$1000,MATCH(data!$A30,Haver_M!$B$1:$B$1000,0),MATCH(data!W$1,Haver_M!$B$1:$ZN$1,0))),INDEX(Haver_M!$B$1:$ZN$1000,MATCH(data!$A30,Haver_M!$B$1:$B$1000,0),MATCH(data!W$1,Haver_M!$B$1:$ZN$1,0)),"na")</f>
        <v>3.12</v>
      </c>
      <c r="X30" t="str">
        <f>IF(ISNUMBER(INDEX(Haver_M!$B$1:$ZN$1000,MATCH(data!$A30,Haver_M!$B$1:$B$1000,0),MATCH(data!X$1,Haver_M!$B$1:$ZN$1,0))),INDEX(Haver_M!$B$1:$ZN$1000,MATCH(data!$A30,Haver_M!$B$1:$B$1000,0),MATCH(data!X$1,Haver_M!$B$1:$ZN$1,0)),"na")</f>
        <v>na</v>
      </c>
      <c r="Y30">
        <f>IF(ISNUMBER(INDEX(Haver_M!$B$1:$ZN$1000,MATCH(data!$A30,Haver_M!$B$1:$B$1000,0),MATCH(data!Y$1,Haver_M!$B$1:$ZN$1,0))),INDEX(Haver_M!$B$1:$ZN$1000,MATCH(data!$A30,Haver_M!$B$1:$B$1000,0),MATCH(data!Y$1,Haver_M!$B$1:$ZN$1,0)),"na")</f>
        <v>99.92</v>
      </c>
      <c r="Z30">
        <f>IF(ISNUMBER(INDEX(Haver_M!$B$1:$ZN$1000,MATCH(data!$A30,Haver_M!$B$1:$B$1000,0),MATCH(data!Z$1,Haver_M!$B$1:$ZN$1,0))),INDEX(Haver_M!$B$1:$ZN$1000,MATCH(data!$A30,Haver_M!$B$1:$B$1000,0),MATCH(data!Z$1,Haver_M!$B$1:$ZN$1,0)),"na")</f>
        <v>80.504099999999994</v>
      </c>
      <c r="AA30" t="str">
        <f>IF(ISNUMBER(INDEX(Haver_M!$B$1:$ZN$1000,MATCH(data!$A30,Haver_M!$B$1:$B$1000,0),MATCH(data!AA$1,Haver_M!$B$1:$ZN$1,0))),INDEX(Haver_M!$B$1:$ZN$1000,MATCH(data!$A30,Haver_M!$B$1:$B$1000,0),MATCH(data!AA$1,Haver_M!$B$1:$ZN$1,0)),"na")</f>
        <v>na</v>
      </c>
      <c r="AB30">
        <f>IF(ISNUMBER(INDEX(Haver_M!$B$1:$ZN$1000,MATCH(data!$A30,Haver_M!$B$1:$B$1000,0),MATCH(data!AB$1,Haver_M!$B$1:$ZN$1,0))),INDEX(Haver_M!$B$1:$ZN$1000,MATCH(data!$A30,Haver_M!$B$1:$B$1000,0),MATCH(data!AB$1,Haver_M!$B$1:$ZN$1,0)),"na")</f>
        <v>13382.2</v>
      </c>
      <c r="AC30">
        <f>IF(ISNUMBER(INDEX(Haver_M!$B$1:$ZN$1000,MATCH(data!$A30,Haver_M!$B$1:$B$1000,0),MATCH(data!AC$1,Haver_M!$B$1:$ZN$1,0))),INDEX(Haver_M!$B$1:$ZN$1000,MATCH(data!$A30,Haver_M!$B$1:$B$1000,0),MATCH(data!AC$1,Haver_M!$B$1:$ZN$1,0)),"na")</f>
        <v>14290.7</v>
      </c>
      <c r="AD30">
        <f>IF(ISNUMBER(INDEX(Haver_M!$B$1:$ZN$1000,MATCH(data!$A30,Haver_M!$B$1:$B$1000,0),MATCH(data!AD$1,Haver_M!$B$1:$ZN$1,0))),INDEX(Haver_M!$B$1:$ZN$1000,MATCH(data!$A30,Haver_M!$B$1:$B$1000,0),MATCH(data!AD$1,Haver_M!$B$1:$ZN$1,0)),"na")</f>
        <v>99.42</v>
      </c>
      <c r="AE30">
        <f>IF(ISNUMBER(INDEX(Haver_M!$B$1:$ZN$1000,MATCH(data!$A30,Haver_M!$B$1:$B$1000,0),MATCH(data!AE$1,Haver_M!$B$1:$ZN$1,0))),INDEX(Haver_M!$B$1:$ZN$1000,MATCH(data!$A30,Haver_M!$B$1:$B$1000,0),MATCH(data!AE$1,Haver_M!$B$1:$ZN$1,0)),"na")</f>
        <v>40.9</v>
      </c>
      <c r="AF30" t="str">
        <f>IF(ISNUMBER(INDEX(Haver_M!$B$1:$ZN$1000,MATCH(data!$A30,Haver_M!$B$1:$B$1000,0),MATCH(data!AF$1,Haver_M!$B$1:$ZN$1,0))),INDEX(Haver_M!$B$1:$ZN$1000,MATCH(data!$A30,Haver_M!$B$1:$B$1000,0),MATCH(data!AF$1,Haver_M!$B$1:$ZN$1,0)),"na")</f>
        <v>na</v>
      </c>
      <c r="AG30" t="str">
        <f>IF(ISNUMBER(INDEX(Haver_M!$B$1:$ZN$1000,MATCH(data!$A30,Haver_M!$B$1:$B$1000,0),MATCH(data!AG$1,Haver_M!$B$1:$ZN$1,0))),INDEX(Haver_M!$B$1:$ZN$1000,MATCH(data!$A30,Haver_M!$B$1:$B$1000,0),MATCH(data!AG$1,Haver_M!$B$1:$ZN$1,0)),"na")</f>
        <v>na</v>
      </c>
      <c r="AH30" t="str">
        <f>IF(ISNUMBER(INDEX(Haver_M!$B$1:$ZN$1000,MATCH(data!$A30,Haver_M!$B$1:$B$1000,0),MATCH(data!AH$1,Haver_M!$B$1:$ZN$1,0))),INDEX(Haver_M!$B$1:$ZN$1000,MATCH(data!$A30,Haver_M!$B$1:$B$1000,0),MATCH(data!AH$1,Haver_M!$B$1:$ZN$1,0)),"na")</f>
        <v>na</v>
      </c>
      <c r="AI30" t="str">
        <f>IF(ISNUMBER(INDEX(Haver_M!$B$1:$ZN$1000,MATCH(data!$A30,Haver_M!$B$1:$B$1000,0),MATCH(data!AI$1,Haver_M!$B$1:$ZN$1,0))),INDEX(Haver_M!$B$1:$ZN$1000,MATCH(data!$A30,Haver_M!$B$1:$B$1000,0),MATCH(data!AI$1,Haver_M!$B$1:$ZN$1,0)),"na")</f>
        <v>na</v>
      </c>
      <c r="AJ30" t="str">
        <f>IF(ISNUMBER(INDEX(Haver_M!$B$1:$ZN$1000,MATCH(data!$A30,Haver_M!$B$1:$B$1000,0),MATCH(data!AJ$1,Haver_M!$B$1:$ZN$1,0))),INDEX(Haver_M!$B$1:$ZN$1000,MATCH(data!$A30,Haver_M!$B$1:$B$1000,0),MATCH(data!AJ$1,Haver_M!$B$1:$ZN$1,0)),"na")</f>
        <v>na</v>
      </c>
      <c r="AK30" t="str">
        <f>IF(ISNUMBER(INDEX(Haver_M!$B$1:$ZN$1000,MATCH(data!$A30,Haver_M!$B$1:$B$1000,0),MATCH(data!AK$1,Haver_M!$B$1:$ZN$1,0))),INDEX(Haver_M!$B$1:$ZN$1000,MATCH(data!$A30,Haver_M!$B$1:$B$1000,0),MATCH(data!AK$1,Haver_M!$B$1:$ZN$1,0)),"na")</f>
        <v>na</v>
      </c>
      <c r="AL30" t="str">
        <f>IF(ISNUMBER(INDEX(Haver_M!$B$1:$ZN$1000,MATCH(data!$A30,Haver_M!$B$1:$B$1000,0),MATCH(data!AL$1,Haver_M!$B$1:$ZN$1,0))),INDEX(Haver_M!$B$1:$ZN$1000,MATCH(data!$A30,Haver_M!$B$1:$B$1000,0),MATCH(data!AL$1,Haver_M!$B$1:$ZN$1,0)),"na")</f>
        <v>na</v>
      </c>
      <c r="AM30" t="str">
        <f>IF(ISNUMBER(INDEX(Haver_M!$B$1:$ZN$1000,MATCH(data!$A30,Haver_M!$B$1:$B$1000,0),MATCH(data!AM$1,Haver_M!$B$1:$ZN$1,0))),INDEX(Haver_M!$B$1:$ZN$1000,MATCH(data!$A30,Haver_M!$B$1:$B$1000,0),MATCH(data!AM$1,Haver_M!$B$1:$ZN$1,0)),"na")</f>
        <v>na</v>
      </c>
      <c r="AN30" t="str">
        <f>IF(ISNUMBER(INDEX(Haver_M!$B$1:$ZN$1000,MATCH(data!$A30,Haver_M!$B$1:$B$1000,0),MATCH(data!AN$1,Haver_M!$B$1:$ZN$1,0))),INDEX(Haver_M!$B$1:$ZN$1000,MATCH(data!$A30,Haver_M!$B$1:$B$1000,0),MATCH(data!AN$1,Haver_M!$B$1:$ZN$1,0)),"na")</f>
        <v>na</v>
      </c>
      <c r="AO30" t="str">
        <f>IF(ISNUMBER(INDEX(Haver_M!$B$1:$ZN$1000,MATCH(data!$A30,Haver_M!$B$1:$B$1000,0),MATCH(data!AO$1,Haver_M!$B$1:$ZN$1,0))),INDEX(Haver_M!$B$1:$ZN$1000,MATCH(data!$A30,Haver_M!$B$1:$B$1000,0),MATCH(data!AO$1,Haver_M!$B$1:$ZN$1,0)),"na")</f>
        <v>na</v>
      </c>
      <c r="AP30" t="str">
        <f>IF(ISNUMBER(INDEX(Haver_M!$B$1:$ZN$1000,MATCH(data!$A30,Haver_M!$B$1:$B$1000,0),MATCH(data!AP$1,Haver_M!$B$1:$ZN$1,0))),INDEX(Haver_M!$B$1:$ZN$1000,MATCH(data!$A30,Haver_M!$B$1:$B$1000,0),MATCH(data!AP$1,Haver_M!$B$1:$ZN$1,0)),"na")</f>
        <v>na</v>
      </c>
      <c r="AQ30" t="str">
        <f>IF(ISNUMBER(INDEX(Haver_M!$B$1:$ZN$1000,MATCH(data!$A30,Haver_M!$B$1:$B$1000,0),MATCH(data!AQ$1,Haver_M!$B$1:$ZN$1,0))),INDEX(Haver_M!$B$1:$ZN$1000,MATCH(data!$A30,Haver_M!$B$1:$B$1000,0),MATCH(data!AQ$1,Haver_M!$B$1:$ZN$1,0)),"na")</f>
        <v>na</v>
      </c>
      <c r="AR30" t="str">
        <f>IF(ISNUMBER(INDEX(Haver_M!$B$1:$ZN$1000,MATCH(data!$A30,Haver_M!$B$1:$B$1000,0),MATCH(data!AR$1,Haver_M!$B$1:$ZN$1,0))),INDEX(Haver_M!$B$1:$ZN$1000,MATCH(data!$A30,Haver_M!$B$1:$B$1000,0),MATCH(data!AR$1,Haver_M!$B$1:$ZN$1,0)),"na")</f>
        <v>na</v>
      </c>
      <c r="AS30">
        <f>IF(ISNUMBER(INDEX(Haver_M!$B$1:$ZN$1000,MATCH(data!$A30,Haver_M!$B$1:$B$1000,0),MATCH(data!AS$1,Haver_M!$B$1:$ZN$1,0))),INDEX(Haver_M!$B$1:$ZN$1000,MATCH(data!$A30,Haver_M!$B$1:$B$1000,0),MATCH(data!AS$1,Haver_M!$B$1:$ZN$1,0)),"na")</f>
        <v>7371.39</v>
      </c>
      <c r="AT30">
        <f>IF(ISNUMBER(INDEX(Haver_M!$B$1:$ZN$1000,MATCH(data!$A30,Haver_M!$B$1:$B$1000,0),MATCH(data!AT$1,Haver_M!$B$1:$ZN$1,0))),INDEX(Haver_M!$B$1:$ZN$1000,MATCH(data!$A30,Haver_M!$B$1:$B$1000,0),MATCH(data!AT$1,Haver_M!$B$1:$ZN$1,0)),"na")</f>
        <v>81.072000000000003</v>
      </c>
      <c r="AU30">
        <f>IF(ISNUMBER(INDEX(Haver_M!$B$1:$ZN$1000,MATCH(data!$A30,Haver_M!$B$1:$B$1000,0),MATCH(data!AU$1,Haver_M!$B$1:$ZN$1,0))),INDEX(Haver_M!$B$1:$ZN$1000,MATCH(data!$A30,Haver_M!$B$1:$B$1000,0),MATCH(data!AU$1,Haver_M!$B$1:$ZN$1,0)),"na")</f>
        <v>79.455785000000006</v>
      </c>
      <c r="AV30">
        <f>IF(ISNUMBER(INDEX(Haver_M!$B$1:$ZN$1000,MATCH(data!$A30,Haver_M!$B$1:$B$1000,0),MATCH(data!AV$1,Haver_M!$B$1:$ZN$1,0))),INDEX(Haver_M!$B$1:$ZN$1000,MATCH(data!$A30,Haver_M!$B$1:$B$1000,0),MATCH(data!AV$1,Haver_M!$B$1:$ZN$1,0)),"na")</f>
        <v>70.8</v>
      </c>
      <c r="AW30">
        <f>IF(ISNUMBER(INDEX(Haver_M!$B$1:$ZN$1000,MATCH(data!$A30,Haver_M!$B$1:$B$1000,0),MATCH(data!AW$1,Haver_M!$B$1:$ZN$1,0))),INDEX(Haver_M!$B$1:$ZN$1000,MATCH(data!$A30,Haver_M!$B$1:$B$1000,0),MATCH(data!AW$1,Haver_M!$B$1:$ZN$1,0)),"na")</f>
        <v>710601.96347034012</v>
      </c>
      <c r="AX30">
        <f>IF(ISNUMBER(INDEX(Haver_M!$B$1:$ZN$1000,MATCH(data!$A30,Haver_M!$B$1:$B$1000,0),MATCH(data!AX$1,Haver_M!$B$1:$ZN$1,0))),INDEX(Haver_M!$B$1:$ZN$1000,MATCH(data!$A30,Haver_M!$B$1:$B$1000,0),MATCH(data!AX$1,Haver_M!$B$1:$ZN$1,0)),"na")</f>
        <v>3154</v>
      </c>
      <c r="AY30">
        <f>IF(ISNUMBER(INDEX(Haver_M!$B$1:$ZN$1000,MATCH(data!$A30,Haver_M!$B$1:$B$1000,0),MATCH(data!AY$1,Haver_M!$B$1:$ZN$1,0))),INDEX(Haver_M!$B$1:$ZN$1000,MATCH(data!$A30,Haver_M!$B$1:$B$1000,0),MATCH(data!AY$1,Haver_M!$B$1:$ZN$1,0)),"na")</f>
        <v>1637</v>
      </c>
      <c r="AZ30" t="str">
        <f>IF(ISNUMBER(INDEX(Haver_M!$B$1:$ZN$1000,MATCH(data!$A30,Haver_M!$B$1:$B$1000,0),MATCH(data!AZ$1,Haver_M!$B$1:$ZN$1,0))),INDEX(Haver_M!$B$1:$ZN$1000,MATCH(data!$A30,Haver_M!$B$1:$B$1000,0),MATCH(data!AZ$1,Haver_M!$B$1:$ZN$1,0)),"na")</f>
        <v>na</v>
      </c>
      <c r="BA30">
        <f>IF(ISNUMBER(INDEX(Haver_M!$B$1:$ZN$1000,MATCH(data!$A30,Haver_M!$B$1:$B$1000,0),MATCH(data!BA$1,Haver_M!$B$1:$ZN$1,0))),INDEX(Haver_M!$B$1:$ZN$1000,MATCH(data!$A30,Haver_M!$B$1:$B$1000,0),MATCH(data!BA$1,Haver_M!$B$1:$ZN$1,0)),"na")</f>
        <v>114.46287844743367</v>
      </c>
      <c r="BB30" t="str">
        <f>IF(ISNUMBER(INDEX(Haver_M!$B$1:$ZN$1000,MATCH(data!$A30,Haver_M!$B$1:$B$1000,0),MATCH(data!BB$1,Haver_M!$B$1:$ZN$1,0))),INDEX(Haver_M!$B$1:$ZN$1000,MATCH(data!$A30,Haver_M!$B$1:$B$1000,0),MATCH(data!BB$1,Haver_M!$B$1:$ZN$1,0)),"")</f>
        <v/>
      </c>
    </row>
    <row r="31" spans="1:54" x14ac:dyDescent="0.25">
      <c r="A31" s="2">
        <v>37437</v>
      </c>
      <c r="B31">
        <f>IF(ISNUMBER(INDEX(Haver_Q!$B$1:$BD$1000,MATCH(data!$A31,Haver_Q!$B$1:$B$1000,0),MATCH(data!B$1,Haver_Q!$B$1:$BD$1,0))),100*INDEX(Haver_Q!$B$1:$BD$1000,MATCH(data!$A31,Haver_Q!$B$1:$B$1000,0),MATCH(data!B$1,Haver_Q!$B$1:$BD$1,0)),"na")</f>
        <v>3.6368635816856232</v>
      </c>
      <c r="C31">
        <f>IF(ISNUMBER(INDEX(Haver_Q!$B$1:$BD$1000,MATCH(data!$A31,Haver_Q!$B$1:$B$1000,0),MATCH(data!C$1,Haver_Q!$B$1:$BD$1,0))),100*INDEX(Haver_Q!$B$1:$BD$1000,MATCH(data!$A31,Haver_Q!$B$1:$B$1000,0),MATCH(data!C$1,Haver_Q!$B$1:$BD$1,0)),"na")</f>
        <v>-1.8608150322604211</v>
      </c>
      <c r="D31">
        <f>IF(ISNUMBER(INDEX(Haver_Q!$B$1:$BD$1000,MATCH(data!$A31,Haver_Q!$B$1:$B$1000,0),MATCH(data!D$1,Haver_Q!$B$1:$BD$1,0))),100*INDEX(Haver_Q!$B$1:$BD$1000,MATCH(data!$A31,Haver_Q!$B$1:$B$1000,0),MATCH(data!D$1,Haver_Q!$B$1:$BD$1,0)),"na")</f>
        <v>4.0853518118378673</v>
      </c>
      <c r="E31">
        <f>IF(ISNUMBER(INDEX(Haver_Q!$B$1:$BD$1000,MATCH(data!$A31,Haver_Q!$B$1:$B$1000,0),MATCH(data!E$1,Haver_Q!$B$1:$BD$1,0))),100*INDEX(Haver_Q!$B$1:$BD$1000,MATCH(data!$A31,Haver_Q!$B$1:$B$1000,0),MATCH(data!E$1,Haver_Q!$B$1:$BD$1,0)),"na")</f>
        <v>3.4664388665504475</v>
      </c>
      <c r="F31">
        <f>IF(ISNUMBER(INDEX(Haver_Q!$B$1:$BD$1000,MATCH(data!$A31,Haver_Q!$B$1:$B$1000,0),MATCH(data!F$1,Haver_Q!$B$1:$BD$1,0))),100*INDEX(Haver_Q!$B$1:$BD$1000,MATCH(data!$A31,Haver_Q!$B$1:$B$1000,0),MATCH(data!F$1,Haver_Q!$B$1:$BD$1,0)),"na")</f>
        <v>5.6535939048586448</v>
      </c>
      <c r="G31">
        <f>IF(ISNUMBER(INDEX(Haver_Q!$B$1:$BD$1000,MATCH(data!$A31,Haver_Q!$B$1:$B$1000,0),MATCH(data!G$1,Haver_Q!$B$1:$BD$1,0))),100*INDEX(Haver_Q!$B$1:$BD$1000,MATCH(data!$A31,Haver_Q!$B$1:$B$1000,0),MATCH(data!G$1,Haver_Q!$B$1:$BD$1,0)),"na")</f>
        <v>10.651387330790918</v>
      </c>
      <c r="H31">
        <f>IF(ISNUMBER(INDEX(Haver_Q!$B$1:$BD$1000,MATCH(data!$A31,Haver_Q!$B$1:$B$1000,0),MATCH(data!H$1,Haver_Q!$B$1:$BD$1,0))),100*INDEX(Haver_Q!$B$1:$BD$1000,MATCH(data!$A31,Haver_Q!$B$1:$B$1000,0),MATCH(data!H$1,Haver_Q!$B$1:$BD$1,0)),"na")</f>
        <v>434.46295570929897</v>
      </c>
      <c r="I31" s="3">
        <f>IF(ISNUMBER(Bloomberg_m!C47),Bloomberg_m!C47,"na")</f>
        <v>995</v>
      </c>
      <c r="J31" s="3" t="str">
        <f>IF(ISNUMBER(Bloomberg_m!D47),Bloomberg_m!D47,"na")</f>
        <v>na</v>
      </c>
      <c r="K31" s="3" t="str">
        <f>IF(ISNUMBER(Bloomberg_m!E47),Bloomberg_m!E47,"na")</f>
        <v>na</v>
      </c>
      <c r="L31" s="3">
        <f>IF(ISNUMBER(Bloomberg_m!L47),Bloomberg_m!L47,"na")</f>
        <v>25.51</v>
      </c>
      <c r="M31" t="str">
        <f>IF(ISNUMBER(INDEX(Haver_M!$B$1:$ZN$1000,MATCH(data!$A31,Haver_M!$B$1:$B$1000,0),MATCH(data!M$1,Haver_M!$B$1:$ZN$1,0))),INDEX(Haver_M!$B$1:$ZN$1000,MATCH(data!$A31,Haver_M!$B$1:$B$1000,0),MATCH(data!M$1,Haver_M!$B$1:$ZN$1,0)),"na")</f>
        <v>na</v>
      </c>
      <c r="N31" t="str">
        <f>IF(ISNUMBER(INDEX(Haver_M!$B$1:$ZN$1000,MATCH(data!$A31,Haver_M!$B$1:$B$1000,0),MATCH(data!N$1,Haver_M!$B$1:$ZN$1,0))),INDEX(Haver_M!$B$1:$ZN$1000,MATCH(data!$A31,Haver_M!$B$1:$B$1000,0),MATCH(data!N$1,Haver_M!$B$1:$ZN$1,0)),"na")</f>
        <v>na</v>
      </c>
      <c r="O31">
        <f>IF(ISNUMBER(INDEX(Haver_M!$B$1:$ZN$1000,MATCH(data!$A31,Haver_M!$B$1:$B$1000,0),MATCH(data!O$1,Haver_M!$B$1:$ZN$1,0))),INDEX(Haver_M!$B$1:$ZN$1000,MATCH(data!$A31,Haver_M!$B$1:$B$1000,0),MATCH(data!O$1,Haver_M!$B$1:$ZN$1,0)),"na")</f>
        <v>124.27209999999999</v>
      </c>
      <c r="P31">
        <f>IF(ISNUMBER(INDEX(Haver_M!$B$1:$ZN$1000,MATCH(data!$A31,Haver_M!$B$1:$B$1000,0),MATCH(data!P$1,Haver_M!$B$1:$ZN$1,0))),INDEX(Haver_M!$B$1:$ZN$1000,MATCH(data!$A31,Haver_M!$B$1:$B$1000,0),MATCH(data!P$1,Haver_M!$B$1:$ZN$1,0)),"na")</f>
        <v>51.9071</v>
      </c>
      <c r="Q31">
        <f>IF(ISNUMBER(INDEX(Haver_M!$B$1:$ZN$1000,MATCH(data!$A31,Haver_M!$B$1:$B$1000,0),MATCH(data!Q$1,Haver_M!$B$1:$ZN$1,0))),INDEX(Haver_M!$B$1:$ZN$1000,MATCH(data!$A31,Haver_M!$B$1:$B$1000,0),MATCH(data!Q$1,Haver_M!$B$1:$ZN$1,0)),"na")</f>
        <v>56.204300000000003</v>
      </c>
      <c r="R31">
        <f>IF(ISNUMBER(INDEX(Haver_M!$B$1:$ZN$1000,MATCH(data!$A31,Haver_M!$B$1:$B$1000,0),MATCH(data!R$1,Haver_M!$B$1:$ZN$1,0))),INDEX(Haver_M!$B$1:$ZN$1000,MATCH(data!$A31,Haver_M!$B$1:$B$1000,0),MATCH(data!R$1,Haver_M!$B$1:$ZN$1,0)),"na")</f>
        <v>86.801199999999994</v>
      </c>
      <c r="S31">
        <f>IF(ISNUMBER(INDEX(Haver_M!$B$1:$ZN$1000,MATCH(data!$A31,Haver_M!$B$1:$B$1000,0),MATCH(data!S$1,Haver_M!$B$1:$ZN$1,0))),INDEX(Haver_M!$B$1:$ZN$1000,MATCH(data!$A31,Haver_M!$B$1:$B$1000,0),MATCH(data!S$1,Haver_M!$B$1:$ZN$1,0)),"na")</f>
        <v>105.67619999999999</v>
      </c>
      <c r="T31">
        <f>IF(ISNUMBER(INDEX(Haver_M!$B$1:$ZN$1000,MATCH(data!$A31,Haver_M!$B$1:$B$1000,0),MATCH(data!T$1,Haver_M!$B$1:$ZN$1,0))),INDEX(Haver_M!$B$1:$ZN$1000,MATCH(data!$A31,Haver_M!$B$1:$B$1000,0),MATCH(data!T$1,Haver_M!$B$1:$ZN$1,0)),"na")</f>
        <v>58.0657</v>
      </c>
      <c r="U31">
        <f>IF(ISNUMBER(INDEX(Haver_M!$B$1:$ZN$1000,MATCH(data!$A31,Haver_M!$B$1:$B$1000,0),MATCH(data!U$1,Haver_M!$B$1:$ZN$1,0))),INDEX(Haver_M!$B$1:$ZN$1000,MATCH(data!$A31,Haver_M!$B$1:$B$1000,0),MATCH(data!U$1,Haver_M!$B$1:$ZN$1,0)),"na")</f>
        <v>74.319999999999993</v>
      </c>
      <c r="V31">
        <f>IF(ISNUMBER(INDEX(Haver_M!$B$1:$ZN$1000,MATCH(data!$A31,Haver_M!$B$1:$B$1000,0),MATCH(data!V$1,Haver_M!$B$1:$ZN$1,0))),INDEX(Haver_M!$B$1:$ZN$1000,MATCH(data!$A31,Haver_M!$B$1:$B$1000,0),MATCH(data!V$1,Haver_M!$B$1:$ZN$1,0)),"na")</f>
        <v>86.899699999999996</v>
      </c>
      <c r="W31">
        <f>IF(ISNUMBER(INDEX(Haver_M!$B$1:$ZN$1000,MATCH(data!$A31,Haver_M!$B$1:$B$1000,0),MATCH(data!W$1,Haver_M!$B$1:$ZN$1,0))),INDEX(Haver_M!$B$1:$ZN$1000,MATCH(data!$A31,Haver_M!$B$1:$B$1000,0),MATCH(data!W$1,Haver_M!$B$1:$ZN$1,0)),"na")</f>
        <v>3.04</v>
      </c>
      <c r="X31" t="str">
        <f>IF(ISNUMBER(INDEX(Haver_M!$B$1:$ZN$1000,MATCH(data!$A31,Haver_M!$B$1:$B$1000,0),MATCH(data!X$1,Haver_M!$B$1:$ZN$1,0))),INDEX(Haver_M!$B$1:$ZN$1000,MATCH(data!$A31,Haver_M!$B$1:$B$1000,0),MATCH(data!X$1,Haver_M!$B$1:$ZN$1,0)),"na")</f>
        <v>na</v>
      </c>
      <c r="Y31">
        <f>IF(ISNUMBER(INDEX(Haver_M!$B$1:$ZN$1000,MATCH(data!$A31,Haver_M!$B$1:$B$1000,0),MATCH(data!Y$1,Haver_M!$B$1:$ZN$1,0))),INDEX(Haver_M!$B$1:$ZN$1000,MATCH(data!$A31,Haver_M!$B$1:$B$1000,0),MATCH(data!Y$1,Haver_M!$B$1:$ZN$1,0)),"na")</f>
        <v>99.54</v>
      </c>
      <c r="Z31">
        <f>IF(ISNUMBER(INDEX(Haver_M!$B$1:$ZN$1000,MATCH(data!$A31,Haver_M!$B$1:$B$1000,0),MATCH(data!Z$1,Haver_M!$B$1:$ZN$1,0))),INDEX(Haver_M!$B$1:$ZN$1000,MATCH(data!$A31,Haver_M!$B$1:$B$1000,0),MATCH(data!Z$1,Haver_M!$B$1:$ZN$1,0)),"na")</f>
        <v>80.750299999999996</v>
      </c>
      <c r="AA31" t="str">
        <f>IF(ISNUMBER(INDEX(Haver_M!$B$1:$ZN$1000,MATCH(data!$A31,Haver_M!$B$1:$B$1000,0),MATCH(data!AA$1,Haver_M!$B$1:$ZN$1,0))),INDEX(Haver_M!$B$1:$ZN$1000,MATCH(data!$A31,Haver_M!$B$1:$B$1000,0),MATCH(data!AA$1,Haver_M!$B$1:$ZN$1,0)),"na")</f>
        <v>na</v>
      </c>
      <c r="AB31">
        <f>IF(ISNUMBER(INDEX(Haver_M!$B$1:$ZN$1000,MATCH(data!$A31,Haver_M!$B$1:$B$1000,0),MATCH(data!AB$1,Haver_M!$B$1:$ZN$1,0))),INDEX(Haver_M!$B$1:$ZN$1000,MATCH(data!$A31,Haver_M!$B$1:$B$1000,0),MATCH(data!AB$1,Haver_M!$B$1:$ZN$1,0)),"na")</f>
        <v>13333.1</v>
      </c>
      <c r="AC31">
        <f>IF(ISNUMBER(INDEX(Haver_M!$B$1:$ZN$1000,MATCH(data!$A31,Haver_M!$B$1:$B$1000,0),MATCH(data!AC$1,Haver_M!$B$1:$ZN$1,0))),INDEX(Haver_M!$B$1:$ZN$1000,MATCH(data!$A31,Haver_M!$B$1:$B$1000,0),MATCH(data!AC$1,Haver_M!$B$1:$ZN$1,0)),"na")</f>
        <v>14103.6</v>
      </c>
      <c r="AD31">
        <f>IF(ISNUMBER(INDEX(Haver_M!$B$1:$ZN$1000,MATCH(data!$A31,Haver_M!$B$1:$B$1000,0),MATCH(data!AD$1,Haver_M!$B$1:$ZN$1,0))),INDEX(Haver_M!$B$1:$ZN$1000,MATCH(data!$A31,Haver_M!$B$1:$B$1000,0),MATCH(data!AD$1,Haver_M!$B$1:$ZN$1,0)),"na")</f>
        <v>99.43</v>
      </c>
      <c r="AE31">
        <f>IF(ISNUMBER(INDEX(Haver_M!$B$1:$ZN$1000,MATCH(data!$A31,Haver_M!$B$1:$B$1000,0),MATCH(data!AE$1,Haver_M!$B$1:$ZN$1,0))),INDEX(Haver_M!$B$1:$ZN$1000,MATCH(data!$A31,Haver_M!$B$1:$B$1000,0),MATCH(data!AE$1,Haver_M!$B$1:$ZN$1,0)),"na")</f>
        <v>41</v>
      </c>
      <c r="AF31" t="str">
        <f>IF(ISNUMBER(INDEX(Haver_M!$B$1:$ZN$1000,MATCH(data!$A31,Haver_M!$B$1:$B$1000,0),MATCH(data!AF$1,Haver_M!$B$1:$ZN$1,0))),INDEX(Haver_M!$B$1:$ZN$1000,MATCH(data!$A31,Haver_M!$B$1:$B$1000,0),MATCH(data!AF$1,Haver_M!$B$1:$ZN$1,0)),"na")</f>
        <v>na</v>
      </c>
      <c r="AG31" t="str">
        <f>IF(ISNUMBER(INDEX(Haver_M!$B$1:$ZN$1000,MATCH(data!$A31,Haver_M!$B$1:$B$1000,0),MATCH(data!AG$1,Haver_M!$B$1:$ZN$1,0))),INDEX(Haver_M!$B$1:$ZN$1000,MATCH(data!$A31,Haver_M!$B$1:$B$1000,0),MATCH(data!AG$1,Haver_M!$B$1:$ZN$1,0)),"na")</f>
        <v>na</v>
      </c>
      <c r="AH31" t="str">
        <f>IF(ISNUMBER(INDEX(Haver_M!$B$1:$ZN$1000,MATCH(data!$A31,Haver_M!$B$1:$B$1000,0),MATCH(data!AH$1,Haver_M!$B$1:$ZN$1,0))),INDEX(Haver_M!$B$1:$ZN$1000,MATCH(data!$A31,Haver_M!$B$1:$B$1000,0),MATCH(data!AH$1,Haver_M!$B$1:$ZN$1,0)),"na")</f>
        <v>na</v>
      </c>
      <c r="AI31" t="str">
        <f>IF(ISNUMBER(INDEX(Haver_M!$B$1:$ZN$1000,MATCH(data!$A31,Haver_M!$B$1:$B$1000,0),MATCH(data!AI$1,Haver_M!$B$1:$ZN$1,0))),INDEX(Haver_M!$B$1:$ZN$1000,MATCH(data!$A31,Haver_M!$B$1:$B$1000,0),MATCH(data!AI$1,Haver_M!$B$1:$ZN$1,0)),"na")</f>
        <v>na</v>
      </c>
      <c r="AJ31" t="str">
        <f>IF(ISNUMBER(INDEX(Haver_M!$B$1:$ZN$1000,MATCH(data!$A31,Haver_M!$B$1:$B$1000,0),MATCH(data!AJ$1,Haver_M!$B$1:$ZN$1,0))),INDEX(Haver_M!$B$1:$ZN$1000,MATCH(data!$A31,Haver_M!$B$1:$B$1000,0),MATCH(data!AJ$1,Haver_M!$B$1:$ZN$1,0)),"na")</f>
        <v>na</v>
      </c>
      <c r="AK31" t="str">
        <f>IF(ISNUMBER(INDEX(Haver_M!$B$1:$ZN$1000,MATCH(data!$A31,Haver_M!$B$1:$B$1000,0),MATCH(data!AK$1,Haver_M!$B$1:$ZN$1,0))),INDEX(Haver_M!$B$1:$ZN$1000,MATCH(data!$A31,Haver_M!$B$1:$B$1000,0),MATCH(data!AK$1,Haver_M!$B$1:$ZN$1,0)),"na")</f>
        <v>na</v>
      </c>
      <c r="AL31" t="str">
        <f>IF(ISNUMBER(INDEX(Haver_M!$B$1:$ZN$1000,MATCH(data!$A31,Haver_M!$B$1:$B$1000,0),MATCH(data!AL$1,Haver_M!$B$1:$ZN$1,0))),INDEX(Haver_M!$B$1:$ZN$1000,MATCH(data!$A31,Haver_M!$B$1:$B$1000,0),MATCH(data!AL$1,Haver_M!$B$1:$ZN$1,0)),"na")</f>
        <v>na</v>
      </c>
      <c r="AM31" t="str">
        <f>IF(ISNUMBER(INDEX(Haver_M!$B$1:$ZN$1000,MATCH(data!$A31,Haver_M!$B$1:$B$1000,0),MATCH(data!AM$1,Haver_M!$B$1:$ZN$1,0))),INDEX(Haver_M!$B$1:$ZN$1000,MATCH(data!$A31,Haver_M!$B$1:$B$1000,0),MATCH(data!AM$1,Haver_M!$B$1:$ZN$1,0)),"na")</f>
        <v>na</v>
      </c>
      <c r="AN31" t="str">
        <f>IF(ISNUMBER(INDEX(Haver_M!$B$1:$ZN$1000,MATCH(data!$A31,Haver_M!$B$1:$B$1000,0),MATCH(data!AN$1,Haver_M!$B$1:$ZN$1,0))),INDEX(Haver_M!$B$1:$ZN$1000,MATCH(data!$A31,Haver_M!$B$1:$B$1000,0),MATCH(data!AN$1,Haver_M!$B$1:$ZN$1,0)),"na")</f>
        <v>na</v>
      </c>
      <c r="AO31" t="str">
        <f>IF(ISNUMBER(INDEX(Haver_M!$B$1:$ZN$1000,MATCH(data!$A31,Haver_M!$B$1:$B$1000,0),MATCH(data!AO$1,Haver_M!$B$1:$ZN$1,0))),INDEX(Haver_M!$B$1:$ZN$1000,MATCH(data!$A31,Haver_M!$B$1:$B$1000,0),MATCH(data!AO$1,Haver_M!$B$1:$ZN$1,0)),"na")</f>
        <v>na</v>
      </c>
      <c r="AP31" t="str">
        <f>IF(ISNUMBER(INDEX(Haver_M!$B$1:$ZN$1000,MATCH(data!$A31,Haver_M!$B$1:$B$1000,0),MATCH(data!AP$1,Haver_M!$B$1:$ZN$1,0))),INDEX(Haver_M!$B$1:$ZN$1000,MATCH(data!$A31,Haver_M!$B$1:$B$1000,0),MATCH(data!AP$1,Haver_M!$B$1:$ZN$1,0)),"na")</f>
        <v>na</v>
      </c>
      <c r="AQ31" t="str">
        <f>IF(ISNUMBER(INDEX(Haver_M!$B$1:$ZN$1000,MATCH(data!$A31,Haver_M!$B$1:$B$1000,0),MATCH(data!AQ$1,Haver_M!$B$1:$ZN$1,0))),INDEX(Haver_M!$B$1:$ZN$1000,MATCH(data!$A31,Haver_M!$B$1:$B$1000,0),MATCH(data!AQ$1,Haver_M!$B$1:$ZN$1,0)),"na")</f>
        <v>na</v>
      </c>
      <c r="AR31" t="str">
        <f>IF(ISNUMBER(INDEX(Haver_M!$B$1:$ZN$1000,MATCH(data!$A31,Haver_M!$B$1:$B$1000,0),MATCH(data!AR$1,Haver_M!$B$1:$ZN$1,0))),INDEX(Haver_M!$B$1:$ZN$1000,MATCH(data!$A31,Haver_M!$B$1:$B$1000,0),MATCH(data!AR$1,Haver_M!$B$1:$ZN$1,0)),"na")</f>
        <v>na</v>
      </c>
      <c r="AS31">
        <f>IF(ISNUMBER(INDEX(Haver_M!$B$1:$ZN$1000,MATCH(data!$A31,Haver_M!$B$1:$B$1000,0),MATCH(data!AS$1,Haver_M!$B$1:$ZN$1,0))),INDEX(Haver_M!$B$1:$ZN$1000,MATCH(data!$A31,Haver_M!$B$1:$B$1000,0),MATCH(data!AS$1,Haver_M!$B$1:$ZN$1,0)),"na")</f>
        <v>6683.3</v>
      </c>
      <c r="AT31">
        <f>IF(ISNUMBER(INDEX(Haver_M!$B$1:$ZN$1000,MATCH(data!$A31,Haver_M!$B$1:$B$1000,0),MATCH(data!AT$1,Haver_M!$B$1:$ZN$1,0))),INDEX(Haver_M!$B$1:$ZN$1000,MATCH(data!$A31,Haver_M!$B$1:$B$1000,0),MATCH(data!AT$1,Haver_M!$B$1:$ZN$1,0)),"na")</f>
        <v>81.314999999999998</v>
      </c>
      <c r="AU31">
        <f>IF(ISNUMBER(INDEX(Haver_M!$B$1:$ZN$1000,MATCH(data!$A31,Haver_M!$B$1:$B$1000,0),MATCH(data!AU$1,Haver_M!$B$1:$ZN$1,0))),INDEX(Haver_M!$B$1:$ZN$1000,MATCH(data!$A31,Haver_M!$B$1:$B$1000,0),MATCH(data!AU$1,Haver_M!$B$1:$ZN$1,0)),"na")</f>
        <v>79.271659999999997</v>
      </c>
      <c r="AV31">
        <f>IF(ISNUMBER(INDEX(Haver_M!$B$1:$ZN$1000,MATCH(data!$A31,Haver_M!$B$1:$B$1000,0),MATCH(data!AV$1,Haver_M!$B$1:$ZN$1,0))),INDEX(Haver_M!$B$1:$ZN$1000,MATCH(data!$A31,Haver_M!$B$1:$B$1000,0),MATCH(data!AV$1,Haver_M!$B$1:$ZN$1,0)),"na")</f>
        <v>69.2</v>
      </c>
      <c r="AW31">
        <f>IF(ISNUMBER(INDEX(Haver_M!$B$1:$ZN$1000,MATCH(data!$A31,Haver_M!$B$1:$B$1000,0),MATCH(data!AW$1,Haver_M!$B$1:$ZN$1,0))),INDEX(Haver_M!$B$1:$ZN$1000,MATCH(data!$A31,Haver_M!$B$1:$B$1000,0),MATCH(data!AW$1,Haver_M!$B$1:$ZN$1,0)),"na")</f>
        <v>731094.80572239461</v>
      </c>
      <c r="AX31">
        <f>IF(ISNUMBER(INDEX(Haver_M!$B$1:$ZN$1000,MATCH(data!$A31,Haver_M!$B$1:$B$1000,0),MATCH(data!AX$1,Haver_M!$B$1:$ZN$1,0))),INDEX(Haver_M!$B$1:$ZN$1000,MATCH(data!$A31,Haver_M!$B$1:$B$1000,0),MATCH(data!AX$1,Haver_M!$B$1:$ZN$1,0)),"na")</f>
        <v>3141</v>
      </c>
      <c r="AY31">
        <f>IF(ISNUMBER(INDEX(Haver_M!$B$1:$ZN$1000,MATCH(data!$A31,Haver_M!$B$1:$B$1000,0),MATCH(data!AY$1,Haver_M!$B$1:$ZN$1,0))),INDEX(Haver_M!$B$1:$ZN$1000,MATCH(data!$A31,Haver_M!$B$1:$B$1000,0),MATCH(data!AY$1,Haver_M!$B$1:$ZN$1,0)),"na")</f>
        <v>1604</v>
      </c>
      <c r="AZ31" t="str">
        <f>IF(ISNUMBER(INDEX(Haver_M!$B$1:$ZN$1000,MATCH(data!$A31,Haver_M!$B$1:$B$1000,0),MATCH(data!AZ$1,Haver_M!$B$1:$ZN$1,0))),INDEX(Haver_M!$B$1:$ZN$1000,MATCH(data!$A31,Haver_M!$B$1:$B$1000,0),MATCH(data!AZ$1,Haver_M!$B$1:$ZN$1,0)),"na")</f>
        <v>na</v>
      </c>
      <c r="BA31">
        <f>IF(ISNUMBER(INDEX(Haver_M!$B$1:$ZN$1000,MATCH(data!$A31,Haver_M!$B$1:$B$1000,0),MATCH(data!BA$1,Haver_M!$B$1:$ZN$1,0))),INDEX(Haver_M!$B$1:$ZN$1000,MATCH(data!$A31,Haver_M!$B$1:$B$1000,0),MATCH(data!BA$1,Haver_M!$B$1:$ZN$1,0)),"na")</f>
        <v>165.31712199338139</v>
      </c>
      <c r="BB31" t="str">
        <f>IF(ISNUMBER(INDEX(Haver_M!$B$1:$ZN$1000,MATCH(data!$A31,Haver_M!$B$1:$B$1000,0),MATCH(data!BB$1,Haver_M!$B$1:$ZN$1,0))),INDEX(Haver_M!$B$1:$ZN$1000,MATCH(data!$A31,Haver_M!$B$1:$B$1000,0),MATCH(data!BB$1,Haver_M!$B$1:$ZN$1,0)),"")</f>
        <v/>
      </c>
    </row>
    <row r="32" spans="1:54" x14ac:dyDescent="0.25">
      <c r="A32" s="2">
        <v>37468</v>
      </c>
      <c r="B32" t="str">
        <f>IF(ISNUMBER(INDEX(Haver_Q!$B$1:$BD$1000,MATCH(data!$A32,Haver_Q!$B$1:$B$1000,0),MATCH(data!B$1,Haver_Q!$B$1:$BD$1,0))),100*INDEX(Haver_Q!$B$1:$BD$1000,MATCH(data!$A32,Haver_Q!$B$1:$B$1000,0),MATCH(data!B$1,Haver_Q!$B$1:$BD$1,0)),"na")</f>
        <v>na</v>
      </c>
      <c r="C32" t="str">
        <f>IF(ISNUMBER(INDEX(Haver_Q!$B$1:$BD$1000,MATCH(data!$A32,Haver_Q!$B$1:$B$1000,0),MATCH(data!C$1,Haver_Q!$B$1:$BD$1,0))),100*INDEX(Haver_Q!$B$1:$BD$1000,MATCH(data!$A32,Haver_Q!$B$1:$B$1000,0),MATCH(data!C$1,Haver_Q!$B$1:$BD$1,0)),"na")</f>
        <v>na</v>
      </c>
      <c r="D32" t="str">
        <f>IF(ISNUMBER(INDEX(Haver_Q!$B$1:$BD$1000,MATCH(data!$A32,Haver_Q!$B$1:$B$1000,0),MATCH(data!D$1,Haver_Q!$B$1:$BD$1,0))),100*INDEX(Haver_Q!$B$1:$BD$1000,MATCH(data!$A32,Haver_Q!$B$1:$B$1000,0),MATCH(data!D$1,Haver_Q!$B$1:$BD$1,0)),"na")</f>
        <v>na</v>
      </c>
      <c r="E32" t="str">
        <f>IF(ISNUMBER(INDEX(Haver_Q!$B$1:$BD$1000,MATCH(data!$A32,Haver_Q!$B$1:$B$1000,0),MATCH(data!E$1,Haver_Q!$B$1:$BD$1,0))),100*INDEX(Haver_Q!$B$1:$BD$1000,MATCH(data!$A32,Haver_Q!$B$1:$B$1000,0),MATCH(data!E$1,Haver_Q!$B$1:$BD$1,0)),"na")</f>
        <v>na</v>
      </c>
      <c r="F32" t="str">
        <f>IF(ISNUMBER(INDEX(Haver_Q!$B$1:$BD$1000,MATCH(data!$A32,Haver_Q!$B$1:$B$1000,0),MATCH(data!F$1,Haver_Q!$B$1:$BD$1,0))),100*INDEX(Haver_Q!$B$1:$BD$1000,MATCH(data!$A32,Haver_Q!$B$1:$B$1000,0),MATCH(data!F$1,Haver_Q!$B$1:$BD$1,0)),"na")</f>
        <v>na</v>
      </c>
      <c r="G32" t="str">
        <f>IF(ISNUMBER(INDEX(Haver_Q!$B$1:$BD$1000,MATCH(data!$A32,Haver_Q!$B$1:$B$1000,0),MATCH(data!G$1,Haver_Q!$B$1:$BD$1,0))),100*INDEX(Haver_Q!$B$1:$BD$1000,MATCH(data!$A32,Haver_Q!$B$1:$B$1000,0),MATCH(data!G$1,Haver_Q!$B$1:$BD$1,0)),"na")</f>
        <v>na</v>
      </c>
      <c r="H32" t="str">
        <f>IF(ISNUMBER(INDEX(Haver_Q!$B$1:$BD$1000,MATCH(data!$A32,Haver_Q!$B$1:$B$1000,0),MATCH(data!H$1,Haver_Q!$B$1:$BD$1,0))),100*INDEX(Haver_Q!$B$1:$BD$1000,MATCH(data!$A32,Haver_Q!$B$1:$B$1000,0),MATCH(data!H$1,Haver_Q!$B$1:$BD$1,0)),"na")</f>
        <v>na</v>
      </c>
      <c r="I32" s="3">
        <f>IF(ISNUMBER(Bloomberg_m!C48),Bloomberg_m!C48,"na")</f>
        <v>989</v>
      </c>
      <c r="J32" s="3" t="str">
        <f>IF(ISNUMBER(Bloomberg_m!D48),Bloomberg_m!D48,"na")</f>
        <v>na</v>
      </c>
      <c r="K32" s="3" t="str">
        <f>IF(ISNUMBER(Bloomberg_m!E48),Bloomberg_m!E48,"na")</f>
        <v>na</v>
      </c>
      <c r="L32" s="3">
        <f>IF(ISNUMBER(Bloomberg_m!L48),Bloomberg_m!L48,"na")</f>
        <v>26.92</v>
      </c>
      <c r="M32" t="str">
        <f>IF(ISNUMBER(INDEX(Haver_M!$B$1:$ZN$1000,MATCH(data!$A32,Haver_M!$B$1:$B$1000,0),MATCH(data!M$1,Haver_M!$B$1:$ZN$1,0))),INDEX(Haver_M!$B$1:$ZN$1000,MATCH(data!$A32,Haver_M!$B$1:$B$1000,0),MATCH(data!M$1,Haver_M!$B$1:$ZN$1,0)),"na")</f>
        <v>na</v>
      </c>
      <c r="N32" t="str">
        <f>IF(ISNUMBER(INDEX(Haver_M!$B$1:$ZN$1000,MATCH(data!$A32,Haver_M!$B$1:$B$1000,0),MATCH(data!N$1,Haver_M!$B$1:$ZN$1,0))),INDEX(Haver_M!$B$1:$ZN$1000,MATCH(data!$A32,Haver_M!$B$1:$B$1000,0),MATCH(data!N$1,Haver_M!$B$1:$ZN$1,0)),"na")</f>
        <v>na</v>
      </c>
      <c r="O32">
        <f>IF(ISNUMBER(INDEX(Haver_M!$B$1:$ZN$1000,MATCH(data!$A32,Haver_M!$B$1:$B$1000,0),MATCH(data!O$1,Haver_M!$B$1:$ZN$1,0))),INDEX(Haver_M!$B$1:$ZN$1000,MATCH(data!$A32,Haver_M!$B$1:$B$1000,0),MATCH(data!O$1,Haver_M!$B$1:$ZN$1,0)),"na")</f>
        <v>123.55103</v>
      </c>
      <c r="P32">
        <f>IF(ISNUMBER(INDEX(Haver_M!$B$1:$ZN$1000,MATCH(data!$A32,Haver_M!$B$1:$B$1000,0),MATCH(data!P$1,Haver_M!$B$1:$ZN$1,0))),INDEX(Haver_M!$B$1:$ZN$1000,MATCH(data!$A32,Haver_M!$B$1:$B$1000,0),MATCH(data!P$1,Haver_M!$B$1:$ZN$1,0)),"na")</f>
        <v>52.1999</v>
      </c>
      <c r="Q32">
        <f>IF(ISNUMBER(INDEX(Haver_M!$B$1:$ZN$1000,MATCH(data!$A32,Haver_M!$B$1:$B$1000,0),MATCH(data!Q$1,Haver_M!$B$1:$ZN$1,0))),INDEX(Haver_M!$B$1:$ZN$1000,MATCH(data!$A32,Haver_M!$B$1:$B$1000,0),MATCH(data!Q$1,Haver_M!$B$1:$ZN$1,0)),"na")</f>
        <v>56.405200000000001</v>
      </c>
      <c r="R32">
        <f>IF(ISNUMBER(INDEX(Haver_M!$B$1:$ZN$1000,MATCH(data!$A32,Haver_M!$B$1:$B$1000,0),MATCH(data!R$1,Haver_M!$B$1:$ZN$1,0))),INDEX(Haver_M!$B$1:$ZN$1000,MATCH(data!$A32,Haver_M!$B$1:$B$1000,0),MATCH(data!R$1,Haver_M!$B$1:$ZN$1,0)),"na")</f>
        <v>87.022099999999995</v>
      </c>
      <c r="S32">
        <f>IF(ISNUMBER(INDEX(Haver_M!$B$1:$ZN$1000,MATCH(data!$A32,Haver_M!$B$1:$B$1000,0),MATCH(data!S$1,Haver_M!$B$1:$ZN$1,0))),INDEX(Haver_M!$B$1:$ZN$1000,MATCH(data!$A32,Haver_M!$B$1:$B$1000,0),MATCH(data!S$1,Haver_M!$B$1:$ZN$1,0)),"na")</f>
        <v>104.8466</v>
      </c>
      <c r="T32">
        <f>IF(ISNUMBER(INDEX(Haver_M!$B$1:$ZN$1000,MATCH(data!$A32,Haver_M!$B$1:$B$1000,0),MATCH(data!T$1,Haver_M!$B$1:$ZN$1,0))),INDEX(Haver_M!$B$1:$ZN$1000,MATCH(data!$A32,Haver_M!$B$1:$B$1000,0),MATCH(data!T$1,Haver_M!$B$1:$ZN$1,0)),"na")</f>
        <v>58.299599999999998</v>
      </c>
      <c r="U32">
        <f>IF(ISNUMBER(INDEX(Haver_M!$B$1:$ZN$1000,MATCH(data!$A32,Haver_M!$B$1:$B$1000,0),MATCH(data!U$1,Haver_M!$B$1:$ZN$1,0))),INDEX(Haver_M!$B$1:$ZN$1000,MATCH(data!$A32,Haver_M!$B$1:$B$1000,0),MATCH(data!U$1,Haver_M!$B$1:$ZN$1,0)),"na")</f>
        <v>75.257999999999996</v>
      </c>
      <c r="V32">
        <f>IF(ISNUMBER(INDEX(Haver_M!$B$1:$ZN$1000,MATCH(data!$A32,Haver_M!$B$1:$B$1000,0),MATCH(data!V$1,Haver_M!$B$1:$ZN$1,0))),INDEX(Haver_M!$B$1:$ZN$1000,MATCH(data!$A32,Haver_M!$B$1:$B$1000,0),MATCH(data!V$1,Haver_M!$B$1:$ZN$1,0)),"na")</f>
        <v>86.998199999999997</v>
      </c>
      <c r="W32">
        <f>IF(ISNUMBER(INDEX(Haver_M!$B$1:$ZN$1000,MATCH(data!$A32,Haver_M!$B$1:$B$1000,0),MATCH(data!W$1,Haver_M!$B$1:$ZN$1,0))),INDEX(Haver_M!$B$1:$ZN$1000,MATCH(data!$A32,Haver_M!$B$1:$B$1000,0),MATCH(data!W$1,Haver_M!$B$1:$ZN$1,0)),"na")</f>
        <v>2.86</v>
      </c>
      <c r="X32" t="str">
        <f>IF(ISNUMBER(INDEX(Haver_M!$B$1:$ZN$1000,MATCH(data!$A32,Haver_M!$B$1:$B$1000,0),MATCH(data!X$1,Haver_M!$B$1:$ZN$1,0))),INDEX(Haver_M!$B$1:$ZN$1000,MATCH(data!$A32,Haver_M!$B$1:$B$1000,0),MATCH(data!X$1,Haver_M!$B$1:$ZN$1,0)),"na")</f>
        <v>na</v>
      </c>
      <c r="Y32">
        <f>IF(ISNUMBER(INDEX(Haver_M!$B$1:$ZN$1000,MATCH(data!$A32,Haver_M!$B$1:$B$1000,0),MATCH(data!Y$1,Haver_M!$B$1:$ZN$1,0))),INDEX(Haver_M!$B$1:$ZN$1000,MATCH(data!$A32,Haver_M!$B$1:$B$1000,0),MATCH(data!Y$1,Haver_M!$B$1:$ZN$1,0)),"na")</f>
        <v>99.13</v>
      </c>
      <c r="Z32">
        <f>IF(ISNUMBER(INDEX(Haver_M!$B$1:$ZN$1000,MATCH(data!$A32,Haver_M!$B$1:$B$1000,0),MATCH(data!Z$1,Haver_M!$B$1:$ZN$1,0))),INDEX(Haver_M!$B$1:$ZN$1000,MATCH(data!$A32,Haver_M!$B$1:$B$1000,0),MATCH(data!Z$1,Haver_M!$B$1:$ZN$1,0)),"na")</f>
        <v>80.668300000000002</v>
      </c>
      <c r="AA32" t="str">
        <f>IF(ISNUMBER(INDEX(Haver_M!$B$1:$ZN$1000,MATCH(data!$A32,Haver_M!$B$1:$B$1000,0),MATCH(data!AA$1,Haver_M!$B$1:$ZN$1,0))),INDEX(Haver_M!$B$1:$ZN$1000,MATCH(data!$A32,Haver_M!$B$1:$B$1000,0),MATCH(data!AA$1,Haver_M!$B$1:$ZN$1,0)),"na")</f>
        <v>na</v>
      </c>
      <c r="AB32">
        <f>IF(ISNUMBER(INDEX(Haver_M!$B$1:$ZN$1000,MATCH(data!$A32,Haver_M!$B$1:$B$1000,0),MATCH(data!AB$1,Haver_M!$B$1:$ZN$1,0))),INDEX(Haver_M!$B$1:$ZN$1000,MATCH(data!$A32,Haver_M!$B$1:$B$1000,0),MATCH(data!AB$1,Haver_M!$B$1:$ZN$1,0)),"na")</f>
        <v>13537.1</v>
      </c>
      <c r="AC32">
        <f>IF(ISNUMBER(INDEX(Haver_M!$B$1:$ZN$1000,MATCH(data!$A32,Haver_M!$B$1:$B$1000,0),MATCH(data!AC$1,Haver_M!$B$1:$ZN$1,0))),INDEX(Haver_M!$B$1:$ZN$1000,MATCH(data!$A32,Haver_M!$B$1:$B$1000,0),MATCH(data!AC$1,Haver_M!$B$1:$ZN$1,0)),"na")</f>
        <v>14226.2</v>
      </c>
      <c r="AD32">
        <f>IF(ISNUMBER(INDEX(Haver_M!$B$1:$ZN$1000,MATCH(data!$A32,Haver_M!$B$1:$B$1000,0),MATCH(data!AD$1,Haver_M!$B$1:$ZN$1,0))),INDEX(Haver_M!$B$1:$ZN$1000,MATCH(data!$A32,Haver_M!$B$1:$B$1000,0),MATCH(data!AD$1,Haver_M!$B$1:$ZN$1,0)),"na")</f>
        <v>99.43</v>
      </c>
      <c r="AE32">
        <f>IF(ISNUMBER(INDEX(Haver_M!$B$1:$ZN$1000,MATCH(data!$A32,Haver_M!$B$1:$B$1000,0),MATCH(data!AE$1,Haver_M!$B$1:$ZN$1,0))),INDEX(Haver_M!$B$1:$ZN$1000,MATCH(data!$A32,Haver_M!$B$1:$B$1000,0),MATCH(data!AE$1,Haver_M!$B$1:$ZN$1,0)),"na")</f>
        <v>41.6</v>
      </c>
      <c r="AF32" t="str">
        <f>IF(ISNUMBER(INDEX(Haver_M!$B$1:$ZN$1000,MATCH(data!$A32,Haver_M!$B$1:$B$1000,0),MATCH(data!AF$1,Haver_M!$B$1:$ZN$1,0))),INDEX(Haver_M!$B$1:$ZN$1000,MATCH(data!$A32,Haver_M!$B$1:$B$1000,0),MATCH(data!AF$1,Haver_M!$B$1:$ZN$1,0)),"na")</f>
        <v>na</v>
      </c>
      <c r="AG32" t="str">
        <f>IF(ISNUMBER(INDEX(Haver_M!$B$1:$ZN$1000,MATCH(data!$A32,Haver_M!$B$1:$B$1000,0),MATCH(data!AG$1,Haver_M!$B$1:$ZN$1,0))),INDEX(Haver_M!$B$1:$ZN$1000,MATCH(data!$A32,Haver_M!$B$1:$B$1000,0),MATCH(data!AG$1,Haver_M!$B$1:$ZN$1,0)),"na")</f>
        <v>na</v>
      </c>
      <c r="AH32" t="str">
        <f>IF(ISNUMBER(INDEX(Haver_M!$B$1:$ZN$1000,MATCH(data!$A32,Haver_M!$B$1:$B$1000,0),MATCH(data!AH$1,Haver_M!$B$1:$ZN$1,0))),INDEX(Haver_M!$B$1:$ZN$1000,MATCH(data!$A32,Haver_M!$B$1:$B$1000,0),MATCH(data!AH$1,Haver_M!$B$1:$ZN$1,0)),"na")</f>
        <v>na</v>
      </c>
      <c r="AI32" t="str">
        <f>IF(ISNUMBER(INDEX(Haver_M!$B$1:$ZN$1000,MATCH(data!$A32,Haver_M!$B$1:$B$1000,0),MATCH(data!AI$1,Haver_M!$B$1:$ZN$1,0))),INDEX(Haver_M!$B$1:$ZN$1000,MATCH(data!$A32,Haver_M!$B$1:$B$1000,0),MATCH(data!AI$1,Haver_M!$B$1:$ZN$1,0)),"na")</f>
        <v>na</v>
      </c>
      <c r="AJ32" t="str">
        <f>IF(ISNUMBER(INDEX(Haver_M!$B$1:$ZN$1000,MATCH(data!$A32,Haver_M!$B$1:$B$1000,0),MATCH(data!AJ$1,Haver_M!$B$1:$ZN$1,0))),INDEX(Haver_M!$B$1:$ZN$1000,MATCH(data!$A32,Haver_M!$B$1:$B$1000,0),MATCH(data!AJ$1,Haver_M!$B$1:$ZN$1,0)),"na")</f>
        <v>na</v>
      </c>
      <c r="AK32" t="str">
        <f>IF(ISNUMBER(INDEX(Haver_M!$B$1:$ZN$1000,MATCH(data!$A32,Haver_M!$B$1:$B$1000,0),MATCH(data!AK$1,Haver_M!$B$1:$ZN$1,0))),INDEX(Haver_M!$B$1:$ZN$1000,MATCH(data!$A32,Haver_M!$B$1:$B$1000,0),MATCH(data!AK$1,Haver_M!$B$1:$ZN$1,0)),"na")</f>
        <v>na</v>
      </c>
      <c r="AL32" t="str">
        <f>IF(ISNUMBER(INDEX(Haver_M!$B$1:$ZN$1000,MATCH(data!$A32,Haver_M!$B$1:$B$1000,0),MATCH(data!AL$1,Haver_M!$B$1:$ZN$1,0))),INDEX(Haver_M!$B$1:$ZN$1000,MATCH(data!$A32,Haver_M!$B$1:$B$1000,0),MATCH(data!AL$1,Haver_M!$B$1:$ZN$1,0)),"na")</f>
        <v>na</v>
      </c>
      <c r="AM32" t="str">
        <f>IF(ISNUMBER(INDEX(Haver_M!$B$1:$ZN$1000,MATCH(data!$A32,Haver_M!$B$1:$B$1000,0),MATCH(data!AM$1,Haver_M!$B$1:$ZN$1,0))),INDEX(Haver_M!$B$1:$ZN$1000,MATCH(data!$A32,Haver_M!$B$1:$B$1000,0),MATCH(data!AM$1,Haver_M!$B$1:$ZN$1,0)),"na")</f>
        <v>na</v>
      </c>
      <c r="AN32" t="str">
        <f>IF(ISNUMBER(INDEX(Haver_M!$B$1:$ZN$1000,MATCH(data!$A32,Haver_M!$B$1:$B$1000,0),MATCH(data!AN$1,Haver_M!$B$1:$ZN$1,0))),INDEX(Haver_M!$B$1:$ZN$1000,MATCH(data!$A32,Haver_M!$B$1:$B$1000,0),MATCH(data!AN$1,Haver_M!$B$1:$ZN$1,0)),"na")</f>
        <v>na</v>
      </c>
      <c r="AO32" t="str">
        <f>IF(ISNUMBER(INDEX(Haver_M!$B$1:$ZN$1000,MATCH(data!$A32,Haver_M!$B$1:$B$1000,0),MATCH(data!AO$1,Haver_M!$B$1:$ZN$1,0))),INDEX(Haver_M!$B$1:$ZN$1000,MATCH(data!$A32,Haver_M!$B$1:$B$1000,0),MATCH(data!AO$1,Haver_M!$B$1:$ZN$1,0)),"na")</f>
        <v>na</v>
      </c>
      <c r="AP32" t="str">
        <f>IF(ISNUMBER(INDEX(Haver_M!$B$1:$ZN$1000,MATCH(data!$A32,Haver_M!$B$1:$B$1000,0),MATCH(data!AP$1,Haver_M!$B$1:$ZN$1,0))),INDEX(Haver_M!$B$1:$ZN$1000,MATCH(data!$A32,Haver_M!$B$1:$B$1000,0),MATCH(data!AP$1,Haver_M!$B$1:$ZN$1,0)),"na")</f>
        <v>na</v>
      </c>
      <c r="AQ32" t="str">
        <f>IF(ISNUMBER(INDEX(Haver_M!$B$1:$ZN$1000,MATCH(data!$A32,Haver_M!$B$1:$B$1000,0),MATCH(data!AQ$1,Haver_M!$B$1:$ZN$1,0))),INDEX(Haver_M!$B$1:$ZN$1000,MATCH(data!$A32,Haver_M!$B$1:$B$1000,0),MATCH(data!AQ$1,Haver_M!$B$1:$ZN$1,0)),"na")</f>
        <v>na</v>
      </c>
      <c r="AR32" t="str">
        <f>IF(ISNUMBER(INDEX(Haver_M!$B$1:$ZN$1000,MATCH(data!$A32,Haver_M!$B$1:$B$1000,0),MATCH(data!AR$1,Haver_M!$B$1:$ZN$1,0))),INDEX(Haver_M!$B$1:$ZN$1000,MATCH(data!$A32,Haver_M!$B$1:$B$1000,0),MATCH(data!AR$1,Haver_M!$B$1:$ZN$1,0)),"na")</f>
        <v>na</v>
      </c>
      <c r="AS32">
        <f>IF(ISNUMBER(INDEX(Haver_M!$B$1:$ZN$1000,MATCH(data!$A32,Haver_M!$B$1:$B$1000,0),MATCH(data!AS$1,Haver_M!$B$1:$ZN$1,0))),INDEX(Haver_M!$B$1:$ZN$1000,MATCH(data!$A32,Haver_M!$B$1:$B$1000,0),MATCH(data!AS$1,Haver_M!$B$1:$ZN$1,0)),"na")</f>
        <v>6250.68</v>
      </c>
      <c r="AT32">
        <f>IF(ISNUMBER(INDEX(Haver_M!$B$1:$ZN$1000,MATCH(data!$A32,Haver_M!$B$1:$B$1000,0),MATCH(data!AT$1,Haver_M!$B$1:$ZN$1,0))),INDEX(Haver_M!$B$1:$ZN$1000,MATCH(data!$A32,Haver_M!$B$1:$B$1000,0),MATCH(data!AT$1,Haver_M!$B$1:$ZN$1,0)),"na")</f>
        <v>81.388000000000005</v>
      </c>
      <c r="AU32">
        <f>IF(ISNUMBER(INDEX(Haver_M!$B$1:$ZN$1000,MATCH(data!$A32,Haver_M!$B$1:$B$1000,0),MATCH(data!AU$1,Haver_M!$B$1:$ZN$1,0))),INDEX(Haver_M!$B$1:$ZN$1000,MATCH(data!$A32,Haver_M!$B$1:$B$1000,0),MATCH(data!AU$1,Haver_M!$B$1:$ZN$1,0)),"na")</f>
        <v>79.549659000000005</v>
      </c>
      <c r="AV32">
        <f>IF(ISNUMBER(INDEX(Haver_M!$B$1:$ZN$1000,MATCH(data!$A32,Haver_M!$B$1:$B$1000,0),MATCH(data!AV$1,Haver_M!$B$1:$ZN$1,0))),INDEX(Haver_M!$B$1:$ZN$1000,MATCH(data!$A32,Haver_M!$B$1:$B$1000,0),MATCH(data!AV$1,Haver_M!$B$1:$ZN$1,0)),"na")</f>
        <v>69.900000000000006</v>
      </c>
      <c r="AW32">
        <f>IF(ISNUMBER(INDEX(Haver_M!$B$1:$ZN$1000,MATCH(data!$A32,Haver_M!$B$1:$B$1000,0),MATCH(data!AW$1,Haver_M!$B$1:$ZN$1,0))),INDEX(Haver_M!$B$1:$ZN$1000,MATCH(data!$A32,Haver_M!$B$1:$B$1000,0),MATCH(data!AW$1,Haver_M!$B$1:$ZN$1,0)),"na")</f>
        <v>745571.88901617867</v>
      </c>
      <c r="AX32">
        <f>IF(ISNUMBER(INDEX(Haver_M!$B$1:$ZN$1000,MATCH(data!$A32,Haver_M!$B$1:$B$1000,0),MATCH(data!AX$1,Haver_M!$B$1:$ZN$1,0))),INDEX(Haver_M!$B$1:$ZN$1000,MATCH(data!$A32,Haver_M!$B$1:$B$1000,0),MATCH(data!AX$1,Haver_M!$B$1:$ZN$1,0)),"na")</f>
        <v>3129</v>
      </c>
      <c r="AY32">
        <f>IF(ISNUMBER(INDEX(Haver_M!$B$1:$ZN$1000,MATCH(data!$A32,Haver_M!$B$1:$B$1000,0),MATCH(data!AY$1,Haver_M!$B$1:$ZN$1,0))),INDEX(Haver_M!$B$1:$ZN$1000,MATCH(data!$A32,Haver_M!$B$1:$B$1000,0),MATCH(data!AY$1,Haver_M!$B$1:$ZN$1,0)),"na")</f>
        <v>1707</v>
      </c>
      <c r="AZ32" t="str">
        <f>IF(ISNUMBER(INDEX(Haver_M!$B$1:$ZN$1000,MATCH(data!$A32,Haver_M!$B$1:$B$1000,0),MATCH(data!AZ$1,Haver_M!$B$1:$ZN$1,0))),INDEX(Haver_M!$B$1:$ZN$1000,MATCH(data!$A32,Haver_M!$B$1:$B$1000,0),MATCH(data!AZ$1,Haver_M!$B$1:$ZN$1,0)),"na")</f>
        <v>na</v>
      </c>
      <c r="BA32">
        <f>IF(ISNUMBER(INDEX(Haver_M!$B$1:$ZN$1000,MATCH(data!$A32,Haver_M!$B$1:$B$1000,0),MATCH(data!BA$1,Haver_M!$B$1:$ZN$1,0))),INDEX(Haver_M!$B$1:$ZN$1000,MATCH(data!$A32,Haver_M!$B$1:$B$1000,0),MATCH(data!BA$1,Haver_M!$B$1:$ZN$1,0)),"na")</f>
        <v>200.09945089741004</v>
      </c>
      <c r="BB32" t="str">
        <f>IF(ISNUMBER(INDEX(Haver_M!$B$1:$ZN$1000,MATCH(data!$A32,Haver_M!$B$1:$B$1000,0),MATCH(data!BB$1,Haver_M!$B$1:$ZN$1,0))),INDEX(Haver_M!$B$1:$ZN$1000,MATCH(data!$A32,Haver_M!$B$1:$B$1000,0),MATCH(data!BB$1,Haver_M!$B$1:$ZN$1,0)),"")</f>
        <v/>
      </c>
    </row>
    <row r="33" spans="1:54" x14ac:dyDescent="0.25">
      <c r="A33" s="2">
        <v>37499</v>
      </c>
      <c r="B33" t="str">
        <f>IF(ISNUMBER(INDEX(Haver_Q!$B$1:$BD$1000,MATCH(data!$A33,Haver_Q!$B$1:$B$1000,0),MATCH(data!B$1,Haver_Q!$B$1:$BD$1,0))),100*INDEX(Haver_Q!$B$1:$BD$1000,MATCH(data!$A33,Haver_Q!$B$1:$B$1000,0),MATCH(data!B$1,Haver_Q!$B$1:$BD$1,0)),"na")</f>
        <v>na</v>
      </c>
      <c r="C33" t="str">
        <f>IF(ISNUMBER(INDEX(Haver_Q!$B$1:$BD$1000,MATCH(data!$A33,Haver_Q!$B$1:$B$1000,0),MATCH(data!C$1,Haver_Q!$B$1:$BD$1,0))),100*INDEX(Haver_Q!$B$1:$BD$1000,MATCH(data!$A33,Haver_Q!$B$1:$B$1000,0),MATCH(data!C$1,Haver_Q!$B$1:$BD$1,0)),"na")</f>
        <v>na</v>
      </c>
      <c r="D33" t="str">
        <f>IF(ISNUMBER(INDEX(Haver_Q!$B$1:$BD$1000,MATCH(data!$A33,Haver_Q!$B$1:$B$1000,0),MATCH(data!D$1,Haver_Q!$B$1:$BD$1,0))),100*INDEX(Haver_Q!$B$1:$BD$1000,MATCH(data!$A33,Haver_Q!$B$1:$B$1000,0),MATCH(data!D$1,Haver_Q!$B$1:$BD$1,0)),"na")</f>
        <v>na</v>
      </c>
      <c r="E33" t="str">
        <f>IF(ISNUMBER(INDEX(Haver_Q!$B$1:$BD$1000,MATCH(data!$A33,Haver_Q!$B$1:$B$1000,0),MATCH(data!E$1,Haver_Q!$B$1:$BD$1,0))),100*INDEX(Haver_Q!$B$1:$BD$1000,MATCH(data!$A33,Haver_Q!$B$1:$B$1000,0),MATCH(data!E$1,Haver_Q!$B$1:$BD$1,0)),"na")</f>
        <v>na</v>
      </c>
      <c r="F33" t="str">
        <f>IF(ISNUMBER(INDEX(Haver_Q!$B$1:$BD$1000,MATCH(data!$A33,Haver_Q!$B$1:$B$1000,0),MATCH(data!F$1,Haver_Q!$B$1:$BD$1,0))),100*INDEX(Haver_Q!$B$1:$BD$1000,MATCH(data!$A33,Haver_Q!$B$1:$B$1000,0),MATCH(data!F$1,Haver_Q!$B$1:$BD$1,0)),"na")</f>
        <v>na</v>
      </c>
      <c r="G33" t="str">
        <f>IF(ISNUMBER(INDEX(Haver_Q!$B$1:$BD$1000,MATCH(data!$A33,Haver_Q!$B$1:$B$1000,0),MATCH(data!G$1,Haver_Q!$B$1:$BD$1,0))),100*INDEX(Haver_Q!$B$1:$BD$1000,MATCH(data!$A33,Haver_Q!$B$1:$B$1000,0),MATCH(data!G$1,Haver_Q!$B$1:$BD$1,0)),"na")</f>
        <v>na</v>
      </c>
      <c r="H33" t="str">
        <f>IF(ISNUMBER(INDEX(Haver_Q!$B$1:$BD$1000,MATCH(data!$A33,Haver_Q!$B$1:$B$1000,0),MATCH(data!H$1,Haver_Q!$B$1:$BD$1,0))),100*INDEX(Haver_Q!$B$1:$BD$1000,MATCH(data!$A33,Haver_Q!$B$1:$B$1000,0),MATCH(data!H$1,Haver_Q!$B$1:$BD$1,0)),"na")</f>
        <v>na</v>
      </c>
      <c r="I33" s="3">
        <f>IF(ISNUMBER(Bloomberg_m!C49),Bloomberg_m!C49,"na")</f>
        <v>1002</v>
      </c>
      <c r="J33" s="3" t="str">
        <f>IF(ISNUMBER(Bloomberg_m!D49),Bloomberg_m!D49,"na")</f>
        <v>na</v>
      </c>
      <c r="K33" s="3" t="str">
        <f>IF(ISNUMBER(Bloomberg_m!E49),Bloomberg_m!E49,"na")</f>
        <v>na</v>
      </c>
      <c r="L33" s="3">
        <f>IF(ISNUMBER(Bloomberg_m!L49),Bloomberg_m!L49,"na")</f>
        <v>28.37</v>
      </c>
      <c r="M33" t="str">
        <f>IF(ISNUMBER(INDEX(Haver_M!$B$1:$ZN$1000,MATCH(data!$A33,Haver_M!$B$1:$B$1000,0),MATCH(data!M$1,Haver_M!$B$1:$ZN$1,0))),INDEX(Haver_M!$B$1:$ZN$1000,MATCH(data!$A33,Haver_M!$B$1:$B$1000,0),MATCH(data!M$1,Haver_M!$B$1:$ZN$1,0)),"na")</f>
        <v>na</v>
      </c>
      <c r="N33" t="str">
        <f>IF(ISNUMBER(INDEX(Haver_M!$B$1:$ZN$1000,MATCH(data!$A33,Haver_M!$B$1:$B$1000,0),MATCH(data!N$1,Haver_M!$B$1:$ZN$1,0))),INDEX(Haver_M!$B$1:$ZN$1000,MATCH(data!$A33,Haver_M!$B$1:$B$1000,0),MATCH(data!N$1,Haver_M!$B$1:$ZN$1,0)),"na")</f>
        <v>na</v>
      </c>
      <c r="O33">
        <f>IF(ISNUMBER(INDEX(Haver_M!$B$1:$ZN$1000,MATCH(data!$A33,Haver_M!$B$1:$B$1000,0),MATCH(data!O$1,Haver_M!$B$1:$ZN$1,0))),INDEX(Haver_M!$B$1:$ZN$1000,MATCH(data!$A33,Haver_M!$B$1:$B$1000,0),MATCH(data!O$1,Haver_M!$B$1:$ZN$1,0)),"na")</f>
        <v>123.53097</v>
      </c>
      <c r="P33">
        <f>IF(ISNUMBER(INDEX(Haver_M!$B$1:$ZN$1000,MATCH(data!$A33,Haver_M!$B$1:$B$1000,0),MATCH(data!P$1,Haver_M!$B$1:$ZN$1,0))),INDEX(Haver_M!$B$1:$ZN$1000,MATCH(data!$A33,Haver_M!$B$1:$B$1000,0),MATCH(data!P$1,Haver_M!$B$1:$ZN$1,0)),"na")</f>
        <v>52.395600000000002</v>
      </c>
      <c r="Q33">
        <f>IF(ISNUMBER(INDEX(Haver_M!$B$1:$ZN$1000,MATCH(data!$A33,Haver_M!$B$1:$B$1000,0),MATCH(data!Q$1,Haver_M!$B$1:$ZN$1,0))),INDEX(Haver_M!$B$1:$ZN$1000,MATCH(data!$A33,Haver_M!$B$1:$B$1000,0),MATCH(data!Q$1,Haver_M!$B$1:$ZN$1,0)),"na")</f>
        <v>56.640300000000003</v>
      </c>
      <c r="R33">
        <f>IF(ISNUMBER(INDEX(Haver_M!$B$1:$ZN$1000,MATCH(data!$A33,Haver_M!$B$1:$B$1000,0),MATCH(data!R$1,Haver_M!$B$1:$ZN$1,0))),INDEX(Haver_M!$B$1:$ZN$1000,MATCH(data!$A33,Haver_M!$B$1:$B$1000,0),MATCH(data!R$1,Haver_M!$B$1:$ZN$1,0)),"na")</f>
        <v>87.691999999999993</v>
      </c>
      <c r="S33">
        <f>IF(ISNUMBER(INDEX(Haver_M!$B$1:$ZN$1000,MATCH(data!$A33,Haver_M!$B$1:$B$1000,0),MATCH(data!S$1,Haver_M!$B$1:$ZN$1,0))),INDEX(Haver_M!$B$1:$ZN$1000,MATCH(data!$A33,Haver_M!$B$1:$B$1000,0),MATCH(data!S$1,Haver_M!$B$1:$ZN$1,0)),"na")</f>
        <v>106.429</v>
      </c>
      <c r="T33">
        <f>IF(ISNUMBER(INDEX(Haver_M!$B$1:$ZN$1000,MATCH(data!$A33,Haver_M!$B$1:$B$1000,0),MATCH(data!T$1,Haver_M!$B$1:$ZN$1,0))),INDEX(Haver_M!$B$1:$ZN$1000,MATCH(data!$A33,Haver_M!$B$1:$B$1000,0),MATCH(data!T$1,Haver_M!$B$1:$ZN$1,0)),"na")</f>
        <v>58.155999999999999</v>
      </c>
      <c r="U33">
        <f>IF(ISNUMBER(INDEX(Haver_M!$B$1:$ZN$1000,MATCH(data!$A33,Haver_M!$B$1:$B$1000,0),MATCH(data!U$1,Haver_M!$B$1:$ZN$1,0))),INDEX(Haver_M!$B$1:$ZN$1000,MATCH(data!$A33,Haver_M!$B$1:$B$1000,0),MATCH(data!U$1,Haver_M!$B$1:$ZN$1,0)),"na")</f>
        <v>76.284099999999995</v>
      </c>
      <c r="V33">
        <f>IF(ISNUMBER(INDEX(Haver_M!$B$1:$ZN$1000,MATCH(data!$A33,Haver_M!$B$1:$B$1000,0),MATCH(data!V$1,Haver_M!$B$1:$ZN$1,0))),INDEX(Haver_M!$B$1:$ZN$1000,MATCH(data!$A33,Haver_M!$B$1:$B$1000,0),MATCH(data!V$1,Haver_M!$B$1:$ZN$1,0)),"na")</f>
        <v>87.344499999999996</v>
      </c>
      <c r="W33">
        <f>IF(ISNUMBER(INDEX(Haver_M!$B$1:$ZN$1000,MATCH(data!$A33,Haver_M!$B$1:$B$1000,0),MATCH(data!W$1,Haver_M!$B$1:$ZN$1,0))),INDEX(Haver_M!$B$1:$ZN$1000,MATCH(data!$A33,Haver_M!$B$1:$B$1000,0),MATCH(data!W$1,Haver_M!$B$1:$ZN$1,0)),"na")</f>
        <v>2.8</v>
      </c>
      <c r="X33" t="str">
        <f>IF(ISNUMBER(INDEX(Haver_M!$B$1:$ZN$1000,MATCH(data!$A33,Haver_M!$B$1:$B$1000,0),MATCH(data!X$1,Haver_M!$B$1:$ZN$1,0))),INDEX(Haver_M!$B$1:$ZN$1000,MATCH(data!$A33,Haver_M!$B$1:$B$1000,0),MATCH(data!X$1,Haver_M!$B$1:$ZN$1,0)),"na")</f>
        <v>na</v>
      </c>
      <c r="Y33">
        <f>IF(ISNUMBER(INDEX(Haver_M!$B$1:$ZN$1000,MATCH(data!$A33,Haver_M!$B$1:$B$1000,0),MATCH(data!Y$1,Haver_M!$B$1:$ZN$1,0))),INDEX(Haver_M!$B$1:$ZN$1000,MATCH(data!$A33,Haver_M!$B$1:$B$1000,0),MATCH(data!Y$1,Haver_M!$B$1:$ZN$1,0)),"na")</f>
        <v>98.75</v>
      </c>
      <c r="Z33">
        <f>IF(ISNUMBER(INDEX(Haver_M!$B$1:$ZN$1000,MATCH(data!$A33,Haver_M!$B$1:$B$1000,0),MATCH(data!Z$1,Haver_M!$B$1:$ZN$1,0))),INDEX(Haver_M!$B$1:$ZN$1000,MATCH(data!$A33,Haver_M!$B$1:$B$1000,0),MATCH(data!Z$1,Haver_M!$B$1:$ZN$1,0)),"na")</f>
        <v>81.324799999999996</v>
      </c>
      <c r="AA33" t="str">
        <f>IF(ISNUMBER(INDEX(Haver_M!$B$1:$ZN$1000,MATCH(data!$A33,Haver_M!$B$1:$B$1000,0),MATCH(data!AA$1,Haver_M!$B$1:$ZN$1,0))),INDEX(Haver_M!$B$1:$ZN$1000,MATCH(data!$A33,Haver_M!$B$1:$B$1000,0),MATCH(data!AA$1,Haver_M!$B$1:$ZN$1,0)),"na")</f>
        <v>na</v>
      </c>
      <c r="AB33">
        <f>IF(ISNUMBER(INDEX(Haver_M!$B$1:$ZN$1000,MATCH(data!$A33,Haver_M!$B$1:$B$1000,0),MATCH(data!AB$1,Haver_M!$B$1:$ZN$1,0))),INDEX(Haver_M!$B$1:$ZN$1000,MATCH(data!$A33,Haver_M!$B$1:$B$1000,0),MATCH(data!AB$1,Haver_M!$B$1:$ZN$1,0)),"na")</f>
        <v>13589.4</v>
      </c>
      <c r="AC33">
        <f>IF(ISNUMBER(INDEX(Haver_M!$B$1:$ZN$1000,MATCH(data!$A33,Haver_M!$B$1:$B$1000,0),MATCH(data!AC$1,Haver_M!$B$1:$ZN$1,0))),INDEX(Haver_M!$B$1:$ZN$1000,MATCH(data!$A33,Haver_M!$B$1:$B$1000,0),MATCH(data!AC$1,Haver_M!$B$1:$ZN$1,0)),"na")</f>
        <v>14172</v>
      </c>
      <c r="AD33">
        <f>IF(ISNUMBER(INDEX(Haver_M!$B$1:$ZN$1000,MATCH(data!$A33,Haver_M!$B$1:$B$1000,0),MATCH(data!AD$1,Haver_M!$B$1:$ZN$1,0))),INDEX(Haver_M!$B$1:$ZN$1000,MATCH(data!$A33,Haver_M!$B$1:$B$1000,0),MATCH(data!AD$1,Haver_M!$B$1:$ZN$1,0)),"na")</f>
        <v>99.43</v>
      </c>
      <c r="AE33">
        <f>IF(ISNUMBER(INDEX(Haver_M!$B$1:$ZN$1000,MATCH(data!$A33,Haver_M!$B$1:$B$1000,0),MATCH(data!AE$1,Haver_M!$B$1:$ZN$1,0))),INDEX(Haver_M!$B$1:$ZN$1000,MATCH(data!$A33,Haver_M!$B$1:$B$1000,0),MATCH(data!AE$1,Haver_M!$B$1:$ZN$1,0)),"na")</f>
        <v>42.3</v>
      </c>
      <c r="AF33" t="str">
        <f>IF(ISNUMBER(INDEX(Haver_M!$B$1:$ZN$1000,MATCH(data!$A33,Haver_M!$B$1:$B$1000,0),MATCH(data!AF$1,Haver_M!$B$1:$ZN$1,0))),INDEX(Haver_M!$B$1:$ZN$1000,MATCH(data!$A33,Haver_M!$B$1:$B$1000,0),MATCH(data!AF$1,Haver_M!$B$1:$ZN$1,0)),"na")</f>
        <v>na</v>
      </c>
      <c r="AG33" t="str">
        <f>IF(ISNUMBER(INDEX(Haver_M!$B$1:$ZN$1000,MATCH(data!$A33,Haver_M!$B$1:$B$1000,0),MATCH(data!AG$1,Haver_M!$B$1:$ZN$1,0))),INDEX(Haver_M!$B$1:$ZN$1000,MATCH(data!$A33,Haver_M!$B$1:$B$1000,0),MATCH(data!AG$1,Haver_M!$B$1:$ZN$1,0)),"na")</f>
        <v>na</v>
      </c>
      <c r="AH33" t="str">
        <f>IF(ISNUMBER(INDEX(Haver_M!$B$1:$ZN$1000,MATCH(data!$A33,Haver_M!$B$1:$B$1000,0),MATCH(data!AH$1,Haver_M!$B$1:$ZN$1,0))),INDEX(Haver_M!$B$1:$ZN$1000,MATCH(data!$A33,Haver_M!$B$1:$B$1000,0),MATCH(data!AH$1,Haver_M!$B$1:$ZN$1,0)),"na")</f>
        <v>na</v>
      </c>
      <c r="AI33" t="str">
        <f>IF(ISNUMBER(INDEX(Haver_M!$B$1:$ZN$1000,MATCH(data!$A33,Haver_M!$B$1:$B$1000,0),MATCH(data!AI$1,Haver_M!$B$1:$ZN$1,0))),INDEX(Haver_M!$B$1:$ZN$1000,MATCH(data!$A33,Haver_M!$B$1:$B$1000,0),MATCH(data!AI$1,Haver_M!$B$1:$ZN$1,0)),"na")</f>
        <v>na</v>
      </c>
      <c r="AJ33" t="str">
        <f>IF(ISNUMBER(INDEX(Haver_M!$B$1:$ZN$1000,MATCH(data!$A33,Haver_M!$B$1:$B$1000,0),MATCH(data!AJ$1,Haver_M!$B$1:$ZN$1,0))),INDEX(Haver_M!$B$1:$ZN$1000,MATCH(data!$A33,Haver_M!$B$1:$B$1000,0),MATCH(data!AJ$1,Haver_M!$B$1:$ZN$1,0)),"na")</f>
        <v>na</v>
      </c>
      <c r="AK33" t="str">
        <f>IF(ISNUMBER(INDEX(Haver_M!$B$1:$ZN$1000,MATCH(data!$A33,Haver_M!$B$1:$B$1000,0),MATCH(data!AK$1,Haver_M!$B$1:$ZN$1,0))),INDEX(Haver_M!$B$1:$ZN$1000,MATCH(data!$A33,Haver_M!$B$1:$B$1000,0),MATCH(data!AK$1,Haver_M!$B$1:$ZN$1,0)),"na")</f>
        <v>na</v>
      </c>
      <c r="AL33" t="str">
        <f>IF(ISNUMBER(INDEX(Haver_M!$B$1:$ZN$1000,MATCH(data!$A33,Haver_M!$B$1:$B$1000,0),MATCH(data!AL$1,Haver_M!$B$1:$ZN$1,0))),INDEX(Haver_M!$B$1:$ZN$1000,MATCH(data!$A33,Haver_M!$B$1:$B$1000,0),MATCH(data!AL$1,Haver_M!$B$1:$ZN$1,0)),"na")</f>
        <v>na</v>
      </c>
      <c r="AM33" t="str">
        <f>IF(ISNUMBER(INDEX(Haver_M!$B$1:$ZN$1000,MATCH(data!$A33,Haver_M!$B$1:$B$1000,0),MATCH(data!AM$1,Haver_M!$B$1:$ZN$1,0))),INDEX(Haver_M!$B$1:$ZN$1000,MATCH(data!$A33,Haver_M!$B$1:$B$1000,0),MATCH(data!AM$1,Haver_M!$B$1:$ZN$1,0)),"na")</f>
        <v>na</v>
      </c>
      <c r="AN33" t="str">
        <f>IF(ISNUMBER(INDEX(Haver_M!$B$1:$ZN$1000,MATCH(data!$A33,Haver_M!$B$1:$B$1000,0),MATCH(data!AN$1,Haver_M!$B$1:$ZN$1,0))),INDEX(Haver_M!$B$1:$ZN$1000,MATCH(data!$A33,Haver_M!$B$1:$B$1000,0),MATCH(data!AN$1,Haver_M!$B$1:$ZN$1,0)),"na")</f>
        <v>na</v>
      </c>
      <c r="AO33" t="str">
        <f>IF(ISNUMBER(INDEX(Haver_M!$B$1:$ZN$1000,MATCH(data!$A33,Haver_M!$B$1:$B$1000,0),MATCH(data!AO$1,Haver_M!$B$1:$ZN$1,0))),INDEX(Haver_M!$B$1:$ZN$1000,MATCH(data!$A33,Haver_M!$B$1:$B$1000,0),MATCH(data!AO$1,Haver_M!$B$1:$ZN$1,0)),"na")</f>
        <v>na</v>
      </c>
      <c r="AP33" t="str">
        <f>IF(ISNUMBER(INDEX(Haver_M!$B$1:$ZN$1000,MATCH(data!$A33,Haver_M!$B$1:$B$1000,0),MATCH(data!AP$1,Haver_M!$B$1:$ZN$1,0))),INDEX(Haver_M!$B$1:$ZN$1000,MATCH(data!$A33,Haver_M!$B$1:$B$1000,0),MATCH(data!AP$1,Haver_M!$B$1:$ZN$1,0)),"na")</f>
        <v>na</v>
      </c>
      <c r="AQ33" t="str">
        <f>IF(ISNUMBER(INDEX(Haver_M!$B$1:$ZN$1000,MATCH(data!$A33,Haver_M!$B$1:$B$1000,0),MATCH(data!AQ$1,Haver_M!$B$1:$ZN$1,0))),INDEX(Haver_M!$B$1:$ZN$1000,MATCH(data!$A33,Haver_M!$B$1:$B$1000,0),MATCH(data!AQ$1,Haver_M!$B$1:$ZN$1,0)),"na")</f>
        <v>na</v>
      </c>
      <c r="AR33" t="str">
        <f>IF(ISNUMBER(INDEX(Haver_M!$B$1:$ZN$1000,MATCH(data!$A33,Haver_M!$B$1:$B$1000,0),MATCH(data!AR$1,Haver_M!$B$1:$ZN$1,0))),INDEX(Haver_M!$B$1:$ZN$1000,MATCH(data!$A33,Haver_M!$B$1:$B$1000,0),MATCH(data!AR$1,Haver_M!$B$1:$ZN$1,0)),"na")</f>
        <v>na</v>
      </c>
      <c r="AS33">
        <f>IF(ISNUMBER(INDEX(Haver_M!$B$1:$ZN$1000,MATCH(data!$A33,Haver_M!$B$1:$B$1000,0),MATCH(data!AS$1,Haver_M!$B$1:$ZN$1,0))),INDEX(Haver_M!$B$1:$ZN$1000,MATCH(data!$A33,Haver_M!$B$1:$B$1000,0),MATCH(data!AS$1,Haver_M!$B$1:$ZN$1,0)),"na")</f>
        <v>6027.23</v>
      </c>
      <c r="AT33">
        <f>IF(ISNUMBER(INDEX(Haver_M!$B$1:$ZN$1000,MATCH(data!$A33,Haver_M!$B$1:$B$1000,0),MATCH(data!AT$1,Haver_M!$B$1:$ZN$1,0))),INDEX(Haver_M!$B$1:$ZN$1000,MATCH(data!$A33,Haver_M!$B$1:$B$1000,0),MATCH(data!AT$1,Haver_M!$B$1:$ZN$1,0)),"na")</f>
        <v>81.453000000000003</v>
      </c>
      <c r="AU33">
        <f>IF(ISNUMBER(INDEX(Haver_M!$B$1:$ZN$1000,MATCH(data!$A33,Haver_M!$B$1:$B$1000,0),MATCH(data!AU$1,Haver_M!$B$1:$ZN$1,0))),INDEX(Haver_M!$B$1:$ZN$1000,MATCH(data!$A33,Haver_M!$B$1:$B$1000,0),MATCH(data!AU$1,Haver_M!$B$1:$ZN$1,0)),"na")</f>
        <v>80.087024999999997</v>
      </c>
      <c r="AV33">
        <f>IF(ISNUMBER(INDEX(Haver_M!$B$1:$ZN$1000,MATCH(data!$A33,Haver_M!$B$1:$B$1000,0),MATCH(data!AV$1,Haver_M!$B$1:$ZN$1,0))),INDEX(Haver_M!$B$1:$ZN$1000,MATCH(data!$A33,Haver_M!$B$1:$B$1000,0),MATCH(data!AV$1,Haver_M!$B$1:$ZN$1,0)),"na")</f>
        <v>70.400000000000006</v>
      </c>
      <c r="AW33">
        <f>IF(ISNUMBER(INDEX(Haver_M!$B$1:$ZN$1000,MATCH(data!$A33,Haver_M!$B$1:$B$1000,0),MATCH(data!AW$1,Haver_M!$B$1:$ZN$1,0))),INDEX(Haver_M!$B$1:$ZN$1000,MATCH(data!$A33,Haver_M!$B$1:$B$1000,0),MATCH(data!AW$1,Haver_M!$B$1:$ZN$1,0)),"na")</f>
        <v>760407.04521989333</v>
      </c>
      <c r="AX33">
        <f>IF(ISNUMBER(INDEX(Haver_M!$B$1:$ZN$1000,MATCH(data!$A33,Haver_M!$B$1:$B$1000,0),MATCH(data!AX$1,Haver_M!$B$1:$ZN$1,0))),INDEX(Haver_M!$B$1:$ZN$1000,MATCH(data!$A33,Haver_M!$B$1:$B$1000,0),MATCH(data!AX$1,Haver_M!$B$1:$ZN$1,0)),"na")</f>
        <v>3183</v>
      </c>
      <c r="AY33">
        <f>IF(ISNUMBER(INDEX(Haver_M!$B$1:$ZN$1000,MATCH(data!$A33,Haver_M!$B$1:$B$1000,0),MATCH(data!AY$1,Haver_M!$B$1:$ZN$1,0))),INDEX(Haver_M!$B$1:$ZN$1000,MATCH(data!$A33,Haver_M!$B$1:$B$1000,0),MATCH(data!AY$1,Haver_M!$B$1:$ZN$1,0)),"na")</f>
        <v>1646</v>
      </c>
      <c r="AZ33" t="str">
        <f>IF(ISNUMBER(INDEX(Haver_M!$B$1:$ZN$1000,MATCH(data!$A33,Haver_M!$B$1:$B$1000,0),MATCH(data!AZ$1,Haver_M!$B$1:$ZN$1,0))),INDEX(Haver_M!$B$1:$ZN$1000,MATCH(data!$A33,Haver_M!$B$1:$B$1000,0),MATCH(data!AZ$1,Haver_M!$B$1:$ZN$1,0)),"na")</f>
        <v>na</v>
      </c>
      <c r="BA33">
        <f>IF(ISNUMBER(INDEX(Haver_M!$B$1:$ZN$1000,MATCH(data!$A33,Haver_M!$B$1:$B$1000,0),MATCH(data!BA$1,Haver_M!$B$1:$ZN$1,0))),INDEX(Haver_M!$B$1:$ZN$1000,MATCH(data!$A33,Haver_M!$B$1:$B$1000,0),MATCH(data!BA$1,Haver_M!$B$1:$ZN$1,0)),"na")</f>
        <v>234.97285190587857</v>
      </c>
      <c r="BB33" t="str">
        <f>IF(ISNUMBER(INDEX(Haver_M!$B$1:$ZN$1000,MATCH(data!$A33,Haver_M!$B$1:$B$1000,0),MATCH(data!BB$1,Haver_M!$B$1:$ZN$1,0))),INDEX(Haver_M!$B$1:$ZN$1000,MATCH(data!$A33,Haver_M!$B$1:$B$1000,0),MATCH(data!BB$1,Haver_M!$B$1:$ZN$1,0)),"")</f>
        <v/>
      </c>
    </row>
    <row r="34" spans="1:54" x14ac:dyDescent="0.25">
      <c r="A34" s="2">
        <v>37529</v>
      </c>
      <c r="B34">
        <f>IF(ISNUMBER(INDEX(Haver_Q!$B$1:$BD$1000,MATCH(data!$A34,Haver_Q!$B$1:$B$1000,0),MATCH(data!B$1,Haver_Q!$B$1:$BD$1,0))),100*INDEX(Haver_Q!$B$1:$BD$1000,MATCH(data!$A34,Haver_Q!$B$1:$B$1000,0),MATCH(data!B$1,Haver_Q!$B$1:$BD$1,0)),"na")</f>
        <v>2.7976815814278799</v>
      </c>
      <c r="C34">
        <f>IF(ISNUMBER(INDEX(Haver_Q!$B$1:$BD$1000,MATCH(data!$A34,Haver_Q!$B$1:$B$1000,0),MATCH(data!C$1,Haver_Q!$B$1:$BD$1,0))),100*INDEX(Haver_Q!$B$1:$BD$1000,MATCH(data!$A34,Haver_Q!$B$1:$B$1000,0),MATCH(data!C$1,Haver_Q!$B$1:$BD$1,0)),"na")</f>
        <v>4.9431331088257702</v>
      </c>
      <c r="D34">
        <f>IF(ISNUMBER(INDEX(Haver_Q!$B$1:$BD$1000,MATCH(data!$A34,Haver_Q!$B$1:$B$1000,0),MATCH(data!D$1,Haver_Q!$B$1:$BD$1,0))),100*INDEX(Haver_Q!$B$1:$BD$1000,MATCH(data!$A34,Haver_Q!$B$1:$B$1000,0),MATCH(data!D$1,Haver_Q!$B$1:$BD$1,0)),"na")</f>
        <v>0.36862306882630147</v>
      </c>
      <c r="E34">
        <f>IF(ISNUMBER(INDEX(Haver_Q!$B$1:$BD$1000,MATCH(data!$A34,Haver_Q!$B$1:$B$1000,0),MATCH(data!E$1,Haver_Q!$B$1:$BD$1,0))),100*INDEX(Haver_Q!$B$1:$BD$1000,MATCH(data!$A34,Haver_Q!$B$1:$B$1000,0),MATCH(data!E$1,Haver_Q!$B$1:$BD$1,0)),"na")</f>
        <v>4.9917225412050126</v>
      </c>
      <c r="F34">
        <f>IF(ISNUMBER(INDEX(Haver_Q!$B$1:$BD$1000,MATCH(data!$A34,Haver_Q!$B$1:$B$1000,0),MATCH(data!F$1,Haver_Q!$B$1:$BD$1,0))),100*INDEX(Haver_Q!$B$1:$BD$1000,MATCH(data!$A34,Haver_Q!$B$1:$B$1000,0),MATCH(data!F$1,Haver_Q!$B$1:$BD$1,0)),"na")</f>
        <v>4.9356051398758316</v>
      </c>
      <c r="G34">
        <f>IF(ISNUMBER(INDEX(Haver_Q!$B$1:$BD$1000,MATCH(data!$A34,Haver_Q!$B$1:$B$1000,0),MATCH(data!G$1,Haver_Q!$B$1:$BD$1,0))),100*INDEX(Haver_Q!$B$1:$BD$1000,MATCH(data!$A34,Haver_Q!$B$1:$B$1000,0),MATCH(data!G$1,Haver_Q!$B$1:$BD$1,0)),"na")</f>
        <v>1.0177188115283897</v>
      </c>
      <c r="H34">
        <f>IF(ISNUMBER(INDEX(Haver_Q!$B$1:$BD$1000,MATCH(data!$A34,Haver_Q!$B$1:$B$1000,0),MATCH(data!H$1,Haver_Q!$B$1:$BD$1,0))),100*INDEX(Haver_Q!$B$1:$BD$1000,MATCH(data!$A34,Haver_Q!$B$1:$B$1000,0),MATCH(data!H$1,Haver_Q!$B$1:$BD$1,0)),"na")</f>
        <v>347.16420664565794</v>
      </c>
      <c r="I34" s="3">
        <f>IF(ISNUMBER(Bloomberg_m!C50),Bloomberg_m!C50,"na")</f>
        <v>1182</v>
      </c>
      <c r="J34" s="3" t="str">
        <f>IF(ISNUMBER(Bloomberg_m!D50),Bloomberg_m!D50,"na")</f>
        <v>na</v>
      </c>
      <c r="K34" s="3" t="str">
        <f>IF(ISNUMBER(Bloomberg_m!E50),Bloomberg_m!E50,"na")</f>
        <v>na</v>
      </c>
      <c r="L34" s="3">
        <f>IF(ISNUMBER(Bloomberg_m!L50),Bloomberg_m!L50,"na")</f>
        <v>29.67</v>
      </c>
      <c r="M34" t="str">
        <f>IF(ISNUMBER(INDEX(Haver_M!$B$1:$ZN$1000,MATCH(data!$A34,Haver_M!$B$1:$B$1000,0),MATCH(data!M$1,Haver_M!$B$1:$ZN$1,0))),INDEX(Haver_M!$B$1:$ZN$1000,MATCH(data!$A34,Haver_M!$B$1:$B$1000,0),MATCH(data!M$1,Haver_M!$B$1:$ZN$1,0)),"na")</f>
        <v>na</v>
      </c>
      <c r="N34" t="str">
        <f>IF(ISNUMBER(INDEX(Haver_M!$B$1:$ZN$1000,MATCH(data!$A34,Haver_M!$B$1:$B$1000,0),MATCH(data!N$1,Haver_M!$B$1:$ZN$1,0))),INDEX(Haver_M!$B$1:$ZN$1000,MATCH(data!$A34,Haver_M!$B$1:$B$1000,0),MATCH(data!N$1,Haver_M!$B$1:$ZN$1,0)),"na")</f>
        <v>na</v>
      </c>
      <c r="O34">
        <f>IF(ISNUMBER(INDEX(Haver_M!$B$1:$ZN$1000,MATCH(data!$A34,Haver_M!$B$1:$B$1000,0),MATCH(data!O$1,Haver_M!$B$1:$ZN$1,0))),INDEX(Haver_M!$B$1:$ZN$1000,MATCH(data!$A34,Haver_M!$B$1:$B$1000,0),MATCH(data!O$1,Haver_M!$B$1:$ZN$1,0)),"na")</f>
        <v>121.49594</v>
      </c>
      <c r="P34">
        <f>IF(ISNUMBER(INDEX(Haver_M!$B$1:$ZN$1000,MATCH(data!$A34,Haver_M!$B$1:$B$1000,0),MATCH(data!P$1,Haver_M!$B$1:$ZN$1,0))),INDEX(Haver_M!$B$1:$ZN$1000,MATCH(data!$A34,Haver_M!$B$1:$B$1000,0),MATCH(data!P$1,Haver_M!$B$1:$ZN$1,0)),"na")</f>
        <v>52.597799999999999</v>
      </c>
      <c r="Q34">
        <f>IF(ISNUMBER(INDEX(Haver_M!$B$1:$ZN$1000,MATCH(data!$A34,Haver_M!$B$1:$B$1000,0),MATCH(data!Q$1,Haver_M!$B$1:$ZN$1,0))),INDEX(Haver_M!$B$1:$ZN$1000,MATCH(data!$A34,Haver_M!$B$1:$B$1000,0),MATCH(data!Q$1,Haver_M!$B$1:$ZN$1,0)),"na")</f>
        <v>56.842500000000001</v>
      </c>
      <c r="R34">
        <f>IF(ISNUMBER(INDEX(Haver_M!$B$1:$ZN$1000,MATCH(data!$A34,Haver_M!$B$1:$B$1000,0),MATCH(data!R$1,Haver_M!$B$1:$ZN$1,0))),INDEX(Haver_M!$B$1:$ZN$1000,MATCH(data!$A34,Haver_M!$B$1:$B$1000,0),MATCH(data!R$1,Haver_M!$B$1:$ZN$1,0)),"na")</f>
        <v>87.687600000000003</v>
      </c>
      <c r="S34">
        <f>IF(ISNUMBER(INDEX(Haver_M!$B$1:$ZN$1000,MATCH(data!$A34,Haver_M!$B$1:$B$1000,0),MATCH(data!S$1,Haver_M!$B$1:$ZN$1,0))),INDEX(Haver_M!$B$1:$ZN$1000,MATCH(data!$A34,Haver_M!$B$1:$B$1000,0),MATCH(data!S$1,Haver_M!$B$1:$ZN$1,0)),"na")</f>
        <v>105.5673</v>
      </c>
      <c r="T34">
        <f>IF(ISNUMBER(INDEX(Haver_M!$B$1:$ZN$1000,MATCH(data!$A34,Haver_M!$B$1:$B$1000,0),MATCH(data!T$1,Haver_M!$B$1:$ZN$1,0))),INDEX(Haver_M!$B$1:$ZN$1000,MATCH(data!$A34,Haver_M!$B$1:$B$1000,0),MATCH(data!T$1,Haver_M!$B$1:$ZN$1,0)),"na")</f>
        <v>58.716900000000003</v>
      </c>
      <c r="U34">
        <f>IF(ISNUMBER(INDEX(Haver_M!$B$1:$ZN$1000,MATCH(data!$A34,Haver_M!$B$1:$B$1000,0),MATCH(data!U$1,Haver_M!$B$1:$ZN$1,0))),INDEX(Haver_M!$B$1:$ZN$1000,MATCH(data!$A34,Haver_M!$B$1:$B$1000,0),MATCH(data!U$1,Haver_M!$B$1:$ZN$1,0)),"na")</f>
        <v>77.695099999999996</v>
      </c>
      <c r="V34">
        <f>IF(ISNUMBER(INDEX(Haver_M!$B$1:$ZN$1000,MATCH(data!$A34,Haver_M!$B$1:$B$1000,0),MATCH(data!V$1,Haver_M!$B$1:$ZN$1,0))),INDEX(Haver_M!$B$1:$ZN$1000,MATCH(data!$A34,Haver_M!$B$1:$B$1000,0),MATCH(data!V$1,Haver_M!$B$1:$ZN$1,0)),"na")</f>
        <v>87.072999999999993</v>
      </c>
      <c r="W34">
        <f>IF(ISNUMBER(INDEX(Haver_M!$B$1:$ZN$1000,MATCH(data!$A34,Haver_M!$B$1:$B$1000,0),MATCH(data!W$1,Haver_M!$B$1:$ZN$1,0))),INDEX(Haver_M!$B$1:$ZN$1000,MATCH(data!$A34,Haver_M!$B$1:$B$1000,0),MATCH(data!W$1,Haver_M!$B$1:$ZN$1,0)),"na")</f>
        <v>2.92</v>
      </c>
      <c r="X34" t="str">
        <f>IF(ISNUMBER(INDEX(Haver_M!$B$1:$ZN$1000,MATCH(data!$A34,Haver_M!$B$1:$B$1000,0),MATCH(data!X$1,Haver_M!$B$1:$ZN$1,0))),INDEX(Haver_M!$B$1:$ZN$1000,MATCH(data!$A34,Haver_M!$B$1:$B$1000,0),MATCH(data!X$1,Haver_M!$B$1:$ZN$1,0)),"na")</f>
        <v>na</v>
      </c>
      <c r="Y34">
        <f>IF(ISNUMBER(INDEX(Haver_M!$B$1:$ZN$1000,MATCH(data!$A34,Haver_M!$B$1:$B$1000,0),MATCH(data!Y$1,Haver_M!$B$1:$ZN$1,0))),INDEX(Haver_M!$B$1:$ZN$1000,MATCH(data!$A34,Haver_M!$B$1:$B$1000,0),MATCH(data!Y$1,Haver_M!$B$1:$ZN$1,0)),"na")</f>
        <v>98.42</v>
      </c>
      <c r="Z34">
        <f>IF(ISNUMBER(INDEX(Haver_M!$B$1:$ZN$1000,MATCH(data!$A34,Haver_M!$B$1:$B$1000,0),MATCH(data!Z$1,Haver_M!$B$1:$ZN$1,0))),INDEX(Haver_M!$B$1:$ZN$1000,MATCH(data!$A34,Haver_M!$B$1:$B$1000,0),MATCH(data!Z$1,Haver_M!$B$1:$ZN$1,0)),"na")</f>
        <v>80.504099999999994</v>
      </c>
      <c r="AA34" t="str">
        <f>IF(ISNUMBER(INDEX(Haver_M!$B$1:$ZN$1000,MATCH(data!$A34,Haver_M!$B$1:$B$1000,0),MATCH(data!AA$1,Haver_M!$B$1:$ZN$1,0))),INDEX(Haver_M!$B$1:$ZN$1000,MATCH(data!$A34,Haver_M!$B$1:$B$1000,0),MATCH(data!AA$1,Haver_M!$B$1:$ZN$1,0)),"na")</f>
        <v>na</v>
      </c>
      <c r="AB34">
        <f>IF(ISNUMBER(INDEX(Haver_M!$B$1:$ZN$1000,MATCH(data!$A34,Haver_M!$B$1:$B$1000,0),MATCH(data!AB$1,Haver_M!$B$1:$ZN$1,0))),INDEX(Haver_M!$B$1:$ZN$1000,MATCH(data!$A34,Haver_M!$B$1:$B$1000,0),MATCH(data!AB$1,Haver_M!$B$1:$ZN$1,0)),"na")</f>
        <v>13521.5</v>
      </c>
      <c r="AC34">
        <f>IF(ISNUMBER(INDEX(Haver_M!$B$1:$ZN$1000,MATCH(data!$A34,Haver_M!$B$1:$B$1000,0),MATCH(data!AC$1,Haver_M!$B$1:$ZN$1,0))),INDEX(Haver_M!$B$1:$ZN$1000,MATCH(data!$A34,Haver_M!$B$1:$B$1000,0),MATCH(data!AC$1,Haver_M!$B$1:$ZN$1,0)),"na")</f>
        <v>14228.6</v>
      </c>
      <c r="AD34">
        <f>IF(ISNUMBER(INDEX(Haver_M!$B$1:$ZN$1000,MATCH(data!$A34,Haver_M!$B$1:$B$1000,0),MATCH(data!AD$1,Haver_M!$B$1:$ZN$1,0))),INDEX(Haver_M!$B$1:$ZN$1000,MATCH(data!$A34,Haver_M!$B$1:$B$1000,0),MATCH(data!AD$1,Haver_M!$B$1:$ZN$1,0)),"na")</f>
        <v>99.42</v>
      </c>
      <c r="AE34">
        <f>IF(ISNUMBER(INDEX(Haver_M!$B$1:$ZN$1000,MATCH(data!$A34,Haver_M!$B$1:$B$1000,0),MATCH(data!AE$1,Haver_M!$B$1:$ZN$1,0))),INDEX(Haver_M!$B$1:$ZN$1000,MATCH(data!$A34,Haver_M!$B$1:$B$1000,0),MATCH(data!AE$1,Haver_M!$B$1:$ZN$1,0)),"na")</f>
        <v>42</v>
      </c>
      <c r="AF34" t="str">
        <f>IF(ISNUMBER(INDEX(Haver_M!$B$1:$ZN$1000,MATCH(data!$A34,Haver_M!$B$1:$B$1000,0),MATCH(data!AF$1,Haver_M!$B$1:$ZN$1,0))),INDEX(Haver_M!$B$1:$ZN$1000,MATCH(data!$A34,Haver_M!$B$1:$B$1000,0),MATCH(data!AF$1,Haver_M!$B$1:$ZN$1,0)),"na")</f>
        <v>na</v>
      </c>
      <c r="AG34" t="str">
        <f>IF(ISNUMBER(INDEX(Haver_M!$B$1:$ZN$1000,MATCH(data!$A34,Haver_M!$B$1:$B$1000,0),MATCH(data!AG$1,Haver_M!$B$1:$ZN$1,0))),INDEX(Haver_M!$B$1:$ZN$1000,MATCH(data!$A34,Haver_M!$B$1:$B$1000,0),MATCH(data!AG$1,Haver_M!$B$1:$ZN$1,0)),"na")</f>
        <v>na</v>
      </c>
      <c r="AH34" t="str">
        <f>IF(ISNUMBER(INDEX(Haver_M!$B$1:$ZN$1000,MATCH(data!$A34,Haver_M!$B$1:$B$1000,0),MATCH(data!AH$1,Haver_M!$B$1:$ZN$1,0))),INDEX(Haver_M!$B$1:$ZN$1000,MATCH(data!$A34,Haver_M!$B$1:$B$1000,0),MATCH(data!AH$1,Haver_M!$B$1:$ZN$1,0)),"na")</f>
        <v>na</v>
      </c>
      <c r="AI34" t="str">
        <f>IF(ISNUMBER(INDEX(Haver_M!$B$1:$ZN$1000,MATCH(data!$A34,Haver_M!$B$1:$B$1000,0),MATCH(data!AI$1,Haver_M!$B$1:$ZN$1,0))),INDEX(Haver_M!$B$1:$ZN$1000,MATCH(data!$A34,Haver_M!$B$1:$B$1000,0),MATCH(data!AI$1,Haver_M!$B$1:$ZN$1,0)),"na")</f>
        <v>na</v>
      </c>
      <c r="AJ34" t="str">
        <f>IF(ISNUMBER(INDEX(Haver_M!$B$1:$ZN$1000,MATCH(data!$A34,Haver_M!$B$1:$B$1000,0),MATCH(data!AJ$1,Haver_M!$B$1:$ZN$1,0))),INDEX(Haver_M!$B$1:$ZN$1000,MATCH(data!$A34,Haver_M!$B$1:$B$1000,0),MATCH(data!AJ$1,Haver_M!$B$1:$ZN$1,0)),"na")</f>
        <v>na</v>
      </c>
      <c r="AK34" t="str">
        <f>IF(ISNUMBER(INDEX(Haver_M!$B$1:$ZN$1000,MATCH(data!$A34,Haver_M!$B$1:$B$1000,0),MATCH(data!AK$1,Haver_M!$B$1:$ZN$1,0))),INDEX(Haver_M!$B$1:$ZN$1000,MATCH(data!$A34,Haver_M!$B$1:$B$1000,0),MATCH(data!AK$1,Haver_M!$B$1:$ZN$1,0)),"na")</f>
        <v>na</v>
      </c>
      <c r="AL34" t="str">
        <f>IF(ISNUMBER(INDEX(Haver_M!$B$1:$ZN$1000,MATCH(data!$A34,Haver_M!$B$1:$B$1000,0),MATCH(data!AL$1,Haver_M!$B$1:$ZN$1,0))),INDEX(Haver_M!$B$1:$ZN$1000,MATCH(data!$A34,Haver_M!$B$1:$B$1000,0),MATCH(data!AL$1,Haver_M!$B$1:$ZN$1,0)),"na")</f>
        <v>na</v>
      </c>
      <c r="AM34" t="str">
        <f>IF(ISNUMBER(INDEX(Haver_M!$B$1:$ZN$1000,MATCH(data!$A34,Haver_M!$B$1:$B$1000,0),MATCH(data!AM$1,Haver_M!$B$1:$ZN$1,0))),INDEX(Haver_M!$B$1:$ZN$1000,MATCH(data!$A34,Haver_M!$B$1:$B$1000,0),MATCH(data!AM$1,Haver_M!$B$1:$ZN$1,0)),"na")</f>
        <v>na</v>
      </c>
      <c r="AN34" t="str">
        <f>IF(ISNUMBER(INDEX(Haver_M!$B$1:$ZN$1000,MATCH(data!$A34,Haver_M!$B$1:$B$1000,0),MATCH(data!AN$1,Haver_M!$B$1:$ZN$1,0))),INDEX(Haver_M!$B$1:$ZN$1000,MATCH(data!$A34,Haver_M!$B$1:$B$1000,0),MATCH(data!AN$1,Haver_M!$B$1:$ZN$1,0)),"na")</f>
        <v>na</v>
      </c>
      <c r="AO34" t="str">
        <f>IF(ISNUMBER(INDEX(Haver_M!$B$1:$ZN$1000,MATCH(data!$A34,Haver_M!$B$1:$B$1000,0),MATCH(data!AO$1,Haver_M!$B$1:$ZN$1,0))),INDEX(Haver_M!$B$1:$ZN$1000,MATCH(data!$A34,Haver_M!$B$1:$B$1000,0),MATCH(data!AO$1,Haver_M!$B$1:$ZN$1,0)),"na")</f>
        <v>na</v>
      </c>
      <c r="AP34" t="str">
        <f>IF(ISNUMBER(INDEX(Haver_M!$B$1:$ZN$1000,MATCH(data!$A34,Haver_M!$B$1:$B$1000,0),MATCH(data!AP$1,Haver_M!$B$1:$ZN$1,0))),INDEX(Haver_M!$B$1:$ZN$1000,MATCH(data!$A34,Haver_M!$B$1:$B$1000,0),MATCH(data!AP$1,Haver_M!$B$1:$ZN$1,0)),"na")</f>
        <v>na</v>
      </c>
      <c r="AQ34" t="str">
        <f>IF(ISNUMBER(INDEX(Haver_M!$B$1:$ZN$1000,MATCH(data!$A34,Haver_M!$B$1:$B$1000,0),MATCH(data!AQ$1,Haver_M!$B$1:$ZN$1,0))),INDEX(Haver_M!$B$1:$ZN$1000,MATCH(data!$A34,Haver_M!$B$1:$B$1000,0),MATCH(data!AQ$1,Haver_M!$B$1:$ZN$1,0)),"na")</f>
        <v>na</v>
      </c>
      <c r="AR34" t="str">
        <f>IF(ISNUMBER(INDEX(Haver_M!$B$1:$ZN$1000,MATCH(data!$A34,Haver_M!$B$1:$B$1000,0),MATCH(data!AR$1,Haver_M!$B$1:$ZN$1,0))),INDEX(Haver_M!$B$1:$ZN$1000,MATCH(data!$A34,Haver_M!$B$1:$B$1000,0),MATCH(data!AR$1,Haver_M!$B$1:$ZN$1,0)),"na")</f>
        <v>na</v>
      </c>
      <c r="AS34">
        <f>IF(ISNUMBER(INDEX(Haver_M!$B$1:$ZN$1000,MATCH(data!$A34,Haver_M!$B$1:$B$1000,0),MATCH(data!AS$1,Haver_M!$B$1:$ZN$1,0))),INDEX(Haver_M!$B$1:$ZN$1000,MATCH(data!$A34,Haver_M!$B$1:$B$1000,0),MATCH(data!AS$1,Haver_M!$B$1:$ZN$1,0)),"na")</f>
        <v>5992.96</v>
      </c>
      <c r="AT34">
        <f>IF(ISNUMBER(INDEX(Haver_M!$B$1:$ZN$1000,MATCH(data!$A34,Haver_M!$B$1:$B$1000,0),MATCH(data!AT$1,Haver_M!$B$1:$ZN$1,0))),INDEX(Haver_M!$B$1:$ZN$1000,MATCH(data!$A34,Haver_M!$B$1:$B$1000,0),MATCH(data!AT$1,Haver_M!$B$1:$ZN$1,0)),"na")</f>
        <v>81.228999999999999</v>
      </c>
      <c r="AU34">
        <f>IF(ISNUMBER(INDEX(Haver_M!$B$1:$ZN$1000,MATCH(data!$A34,Haver_M!$B$1:$B$1000,0),MATCH(data!AU$1,Haver_M!$B$1:$ZN$1,0))),INDEX(Haver_M!$B$1:$ZN$1000,MATCH(data!$A34,Haver_M!$B$1:$B$1000,0),MATCH(data!AU$1,Haver_M!$B$1:$ZN$1,0)),"na")</f>
        <v>79.931949000000003</v>
      </c>
      <c r="AV34">
        <f>IF(ISNUMBER(INDEX(Haver_M!$B$1:$ZN$1000,MATCH(data!$A34,Haver_M!$B$1:$B$1000,0),MATCH(data!AV$1,Haver_M!$B$1:$ZN$1,0))),INDEX(Haver_M!$B$1:$ZN$1000,MATCH(data!$A34,Haver_M!$B$1:$B$1000,0),MATCH(data!AV$1,Haver_M!$B$1:$ZN$1,0)),"na")</f>
        <v>71.400000000000006</v>
      </c>
      <c r="AW34">
        <f>IF(ISNUMBER(INDEX(Haver_M!$B$1:$ZN$1000,MATCH(data!$A34,Haver_M!$B$1:$B$1000,0),MATCH(data!AW$1,Haver_M!$B$1:$ZN$1,0))),INDEX(Haver_M!$B$1:$ZN$1000,MATCH(data!$A34,Haver_M!$B$1:$B$1000,0),MATCH(data!AW$1,Haver_M!$B$1:$ZN$1,0)),"na")</f>
        <v>747746.55738219374</v>
      </c>
      <c r="AX34">
        <f>IF(ISNUMBER(INDEX(Haver_M!$B$1:$ZN$1000,MATCH(data!$A34,Haver_M!$B$1:$B$1000,0),MATCH(data!AX$1,Haver_M!$B$1:$ZN$1,0))),INDEX(Haver_M!$B$1:$ZN$1000,MATCH(data!$A34,Haver_M!$B$1:$B$1000,0),MATCH(data!AX$1,Haver_M!$B$1:$ZN$1,0)),"na")</f>
        <v>3145</v>
      </c>
      <c r="AY34">
        <f>IF(ISNUMBER(INDEX(Haver_M!$B$1:$ZN$1000,MATCH(data!$A34,Haver_M!$B$1:$B$1000,0),MATCH(data!AY$1,Haver_M!$B$1:$ZN$1,0))),INDEX(Haver_M!$B$1:$ZN$1000,MATCH(data!$A34,Haver_M!$B$1:$B$1000,0),MATCH(data!AY$1,Haver_M!$B$1:$ZN$1,0)),"na")</f>
        <v>1604</v>
      </c>
      <c r="AZ34" t="str">
        <f>IF(ISNUMBER(INDEX(Haver_M!$B$1:$ZN$1000,MATCH(data!$A34,Haver_M!$B$1:$B$1000,0),MATCH(data!AZ$1,Haver_M!$B$1:$ZN$1,0))),INDEX(Haver_M!$B$1:$ZN$1000,MATCH(data!$A34,Haver_M!$B$1:$B$1000,0),MATCH(data!AZ$1,Haver_M!$B$1:$ZN$1,0)),"na")</f>
        <v>na</v>
      </c>
      <c r="BA34">
        <f>IF(ISNUMBER(INDEX(Haver_M!$B$1:$ZN$1000,MATCH(data!$A34,Haver_M!$B$1:$B$1000,0),MATCH(data!BA$1,Haver_M!$B$1:$ZN$1,0))),INDEX(Haver_M!$B$1:$ZN$1000,MATCH(data!$A34,Haver_M!$B$1:$B$1000,0),MATCH(data!BA$1,Haver_M!$B$1:$ZN$1,0)),"na")</f>
        <v>171.98801389202083</v>
      </c>
      <c r="BB34" t="str">
        <f>IF(ISNUMBER(INDEX(Haver_M!$B$1:$ZN$1000,MATCH(data!$A34,Haver_M!$B$1:$B$1000,0),MATCH(data!BB$1,Haver_M!$B$1:$ZN$1,0))),INDEX(Haver_M!$B$1:$ZN$1000,MATCH(data!$A34,Haver_M!$B$1:$B$1000,0),MATCH(data!BB$1,Haver_M!$B$1:$ZN$1,0)),"")</f>
        <v/>
      </c>
    </row>
    <row r="35" spans="1:54" x14ac:dyDescent="0.25">
      <c r="A35" s="2">
        <v>37560</v>
      </c>
      <c r="B35" t="str">
        <f>IF(ISNUMBER(INDEX(Haver_Q!$B$1:$BD$1000,MATCH(data!$A35,Haver_Q!$B$1:$B$1000,0),MATCH(data!B$1,Haver_Q!$B$1:$BD$1,0))),100*INDEX(Haver_Q!$B$1:$BD$1000,MATCH(data!$A35,Haver_Q!$B$1:$B$1000,0),MATCH(data!B$1,Haver_Q!$B$1:$BD$1,0)),"na")</f>
        <v>na</v>
      </c>
      <c r="C35" t="str">
        <f>IF(ISNUMBER(INDEX(Haver_Q!$B$1:$BD$1000,MATCH(data!$A35,Haver_Q!$B$1:$B$1000,0),MATCH(data!C$1,Haver_Q!$B$1:$BD$1,0))),100*INDEX(Haver_Q!$B$1:$BD$1000,MATCH(data!$A35,Haver_Q!$B$1:$B$1000,0),MATCH(data!C$1,Haver_Q!$B$1:$BD$1,0)),"na")</f>
        <v>na</v>
      </c>
      <c r="D35" t="str">
        <f>IF(ISNUMBER(INDEX(Haver_Q!$B$1:$BD$1000,MATCH(data!$A35,Haver_Q!$B$1:$B$1000,0),MATCH(data!D$1,Haver_Q!$B$1:$BD$1,0))),100*INDEX(Haver_Q!$B$1:$BD$1000,MATCH(data!$A35,Haver_Q!$B$1:$B$1000,0),MATCH(data!D$1,Haver_Q!$B$1:$BD$1,0)),"na")</f>
        <v>na</v>
      </c>
      <c r="E35" t="str">
        <f>IF(ISNUMBER(INDEX(Haver_Q!$B$1:$BD$1000,MATCH(data!$A35,Haver_Q!$B$1:$B$1000,0),MATCH(data!E$1,Haver_Q!$B$1:$BD$1,0))),100*INDEX(Haver_Q!$B$1:$BD$1000,MATCH(data!$A35,Haver_Q!$B$1:$B$1000,0),MATCH(data!E$1,Haver_Q!$B$1:$BD$1,0)),"na")</f>
        <v>na</v>
      </c>
      <c r="F35" t="str">
        <f>IF(ISNUMBER(INDEX(Haver_Q!$B$1:$BD$1000,MATCH(data!$A35,Haver_Q!$B$1:$B$1000,0),MATCH(data!F$1,Haver_Q!$B$1:$BD$1,0))),100*INDEX(Haver_Q!$B$1:$BD$1000,MATCH(data!$A35,Haver_Q!$B$1:$B$1000,0),MATCH(data!F$1,Haver_Q!$B$1:$BD$1,0)),"na")</f>
        <v>na</v>
      </c>
      <c r="G35" t="str">
        <f>IF(ISNUMBER(INDEX(Haver_Q!$B$1:$BD$1000,MATCH(data!$A35,Haver_Q!$B$1:$B$1000,0),MATCH(data!G$1,Haver_Q!$B$1:$BD$1,0))),100*INDEX(Haver_Q!$B$1:$BD$1000,MATCH(data!$A35,Haver_Q!$B$1:$B$1000,0),MATCH(data!G$1,Haver_Q!$B$1:$BD$1,0)),"na")</f>
        <v>na</v>
      </c>
      <c r="H35" t="str">
        <f>IF(ISNUMBER(INDEX(Haver_Q!$B$1:$BD$1000,MATCH(data!$A35,Haver_Q!$B$1:$B$1000,0),MATCH(data!H$1,Haver_Q!$B$1:$BD$1,0))),100*INDEX(Haver_Q!$B$1:$BD$1000,MATCH(data!$A35,Haver_Q!$B$1:$B$1000,0),MATCH(data!H$1,Haver_Q!$B$1:$BD$1,0)),"na")</f>
        <v>na</v>
      </c>
      <c r="I35" s="3">
        <f>IF(ISNUMBER(Bloomberg_m!C51),Bloomberg_m!C51,"na")</f>
        <v>1365</v>
      </c>
      <c r="J35" s="3" t="str">
        <f>IF(ISNUMBER(Bloomberg_m!D51),Bloomberg_m!D51,"na")</f>
        <v>na</v>
      </c>
      <c r="K35" s="3" t="str">
        <f>IF(ISNUMBER(Bloomberg_m!E51),Bloomberg_m!E51,"na")</f>
        <v>na</v>
      </c>
      <c r="L35" s="3">
        <f>IF(ISNUMBER(Bloomberg_m!L51),Bloomberg_m!L51,"na")</f>
        <v>28.85</v>
      </c>
      <c r="M35" t="str">
        <f>IF(ISNUMBER(INDEX(Haver_M!$B$1:$ZN$1000,MATCH(data!$A35,Haver_M!$B$1:$B$1000,0),MATCH(data!M$1,Haver_M!$B$1:$ZN$1,0))),INDEX(Haver_M!$B$1:$ZN$1000,MATCH(data!$A35,Haver_M!$B$1:$B$1000,0),MATCH(data!M$1,Haver_M!$B$1:$ZN$1,0)),"na")</f>
        <v>na</v>
      </c>
      <c r="N35" t="str">
        <f>IF(ISNUMBER(INDEX(Haver_M!$B$1:$ZN$1000,MATCH(data!$A35,Haver_M!$B$1:$B$1000,0),MATCH(data!N$1,Haver_M!$B$1:$ZN$1,0))),INDEX(Haver_M!$B$1:$ZN$1000,MATCH(data!$A35,Haver_M!$B$1:$B$1000,0),MATCH(data!N$1,Haver_M!$B$1:$ZN$1,0)),"na")</f>
        <v>na</v>
      </c>
      <c r="O35">
        <f>IF(ISNUMBER(INDEX(Haver_M!$B$1:$ZN$1000,MATCH(data!$A35,Haver_M!$B$1:$B$1000,0),MATCH(data!O$1,Haver_M!$B$1:$ZN$1,0))),INDEX(Haver_M!$B$1:$ZN$1000,MATCH(data!$A35,Haver_M!$B$1:$B$1000,0),MATCH(data!O$1,Haver_M!$B$1:$ZN$1,0)),"na")</f>
        <v>121.94717</v>
      </c>
      <c r="P35">
        <f>IF(ISNUMBER(INDEX(Haver_M!$B$1:$ZN$1000,MATCH(data!$A35,Haver_M!$B$1:$B$1000,0),MATCH(data!P$1,Haver_M!$B$1:$ZN$1,0))),INDEX(Haver_M!$B$1:$ZN$1000,MATCH(data!$A35,Haver_M!$B$1:$B$1000,0),MATCH(data!P$1,Haver_M!$B$1:$ZN$1,0)),"na")</f>
        <v>52.794899999999998</v>
      </c>
      <c r="Q35">
        <f>IF(ISNUMBER(INDEX(Haver_M!$B$1:$ZN$1000,MATCH(data!$A35,Haver_M!$B$1:$B$1000,0),MATCH(data!Q$1,Haver_M!$B$1:$ZN$1,0))),INDEX(Haver_M!$B$1:$ZN$1000,MATCH(data!$A35,Haver_M!$B$1:$B$1000,0),MATCH(data!Q$1,Haver_M!$B$1:$ZN$1,0)),"na")</f>
        <v>57.014400000000002</v>
      </c>
      <c r="R35">
        <f>IF(ISNUMBER(INDEX(Haver_M!$B$1:$ZN$1000,MATCH(data!$A35,Haver_M!$B$1:$B$1000,0),MATCH(data!R$1,Haver_M!$B$1:$ZN$1,0))),INDEX(Haver_M!$B$1:$ZN$1000,MATCH(data!$A35,Haver_M!$B$1:$B$1000,0),MATCH(data!R$1,Haver_M!$B$1:$ZN$1,0)),"na")</f>
        <v>88.473200000000006</v>
      </c>
      <c r="S35">
        <f>IF(ISNUMBER(INDEX(Haver_M!$B$1:$ZN$1000,MATCH(data!$A35,Haver_M!$B$1:$B$1000,0),MATCH(data!S$1,Haver_M!$B$1:$ZN$1,0))),INDEX(Haver_M!$B$1:$ZN$1000,MATCH(data!$A35,Haver_M!$B$1:$B$1000,0),MATCH(data!S$1,Haver_M!$B$1:$ZN$1,0)),"na")</f>
        <v>110.7163</v>
      </c>
      <c r="T35">
        <f>IF(ISNUMBER(INDEX(Haver_M!$B$1:$ZN$1000,MATCH(data!$A35,Haver_M!$B$1:$B$1000,0),MATCH(data!T$1,Haver_M!$B$1:$ZN$1,0))),INDEX(Haver_M!$B$1:$ZN$1000,MATCH(data!$A35,Haver_M!$B$1:$B$1000,0),MATCH(data!T$1,Haver_M!$B$1:$ZN$1,0)),"na")</f>
        <v>58.679000000000002</v>
      </c>
      <c r="U35">
        <f>IF(ISNUMBER(INDEX(Haver_M!$B$1:$ZN$1000,MATCH(data!$A35,Haver_M!$B$1:$B$1000,0),MATCH(data!U$1,Haver_M!$B$1:$ZN$1,0))),INDEX(Haver_M!$B$1:$ZN$1000,MATCH(data!$A35,Haver_M!$B$1:$B$1000,0),MATCH(data!U$1,Haver_M!$B$1:$ZN$1,0)),"na")</f>
        <v>77.156499999999994</v>
      </c>
      <c r="V35">
        <f>IF(ISNUMBER(INDEX(Haver_M!$B$1:$ZN$1000,MATCH(data!$A35,Haver_M!$B$1:$B$1000,0),MATCH(data!V$1,Haver_M!$B$1:$ZN$1,0))),INDEX(Haver_M!$B$1:$ZN$1000,MATCH(data!$A35,Haver_M!$B$1:$B$1000,0),MATCH(data!V$1,Haver_M!$B$1:$ZN$1,0)),"na")</f>
        <v>87.6464</v>
      </c>
      <c r="W35">
        <f>IF(ISNUMBER(INDEX(Haver_M!$B$1:$ZN$1000,MATCH(data!$A35,Haver_M!$B$1:$B$1000,0),MATCH(data!W$1,Haver_M!$B$1:$ZN$1,0))),INDEX(Haver_M!$B$1:$ZN$1000,MATCH(data!$A35,Haver_M!$B$1:$B$1000,0),MATCH(data!W$1,Haver_M!$B$1:$ZN$1,0)),"na")</f>
        <v>2.83</v>
      </c>
      <c r="X35" t="str">
        <f>IF(ISNUMBER(INDEX(Haver_M!$B$1:$ZN$1000,MATCH(data!$A35,Haver_M!$B$1:$B$1000,0),MATCH(data!X$1,Haver_M!$B$1:$ZN$1,0))),INDEX(Haver_M!$B$1:$ZN$1000,MATCH(data!$A35,Haver_M!$B$1:$B$1000,0),MATCH(data!X$1,Haver_M!$B$1:$ZN$1,0)),"na")</f>
        <v>na</v>
      </c>
      <c r="Y35">
        <f>IF(ISNUMBER(INDEX(Haver_M!$B$1:$ZN$1000,MATCH(data!$A35,Haver_M!$B$1:$B$1000,0),MATCH(data!Y$1,Haver_M!$B$1:$ZN$1,0))),INDEX(Haver_M!$B$1:$ZN$1000,MATCH(data!$A35,Haver_M!$B$1:$B$1000,0),MATCH(data!Y$1,Haver_M!$B$1:$ZN$1,0)),"na")</f>
        <v>98.16</v>
      </c>
      <c r="Z35">
        <f>IF(ISNUMBER(INDEX(Haver_M!$B$1:$ZN$1000,MATCH(data!$A35,Haver_M!$B$1:$B$1000,0),MATCH(data!Z$1,Haver_M!$B$1:$ZN$1,0))),INDEX(Haver_M!$B$1:$ZN$1000,MATCH(data!$A35,Haver_M!$B$1:$B$1000,0),MATCH(data!Z$1,Haver_M!$B$1:$ZN$1,0)),"na")</f>
        <v>80.504099999999994</v>
      </c>
      <c r="AA35" t="str">
        <f>IF(ISNUMBER(INDEX(Haver_M!$B$1:$ZN$1000,MATCH(data!$A35,Haver_M!$B$1:$B$1000,0),MATCH(data!AA$1,Haver_M!$B$1:$ZN$1,0))),INDEX(Haver_M!$B$1:$ZN$1000,MATCH(data!$A35,Haver_M!$B$1:$B$1000,0),MATCH(data!AA$1,Haver_M!$B$1:$ZN$1,0)),"na")</f>
        <v>na</v>
      </c>
      <c r="AB35">
        <f>IF(ISNUMBER(INDEX(Haver_M!$B$1:$ZN$1000,MATCH(data!$A35,Haver_M!$B$1:$B$1000,0),MATCH(data!AB$1,Haver_M!$B$1:$ZN$1,0))),INDEX(Haver_M!$B$1:$ZN$1000,MATCH(data!$A35,Haver_M!$B$1:$B$1000,0),MATCH(data!AB$1,Haver_M!$B$1:$ZN$1,0)),"na")</f>
        <v>13377.4</v>
      </c>
      <c r="AC35">
        <f>IF(ISNUMBER(INDEX(Haver_M!$B$1:$ZN$1000,MATCH(data!$A35,Haver_M!$B$1:$B$1000,0),MATCH(data!AC$1,Haver_M!$B$1:$ZN$1,0))),INDEX(Haver_M!$B$1:$ZN$1000,MATCH(data!$A35,Haver_M!$B$1:$B$1000,0),MATCH(data!AC$1,Haver_M!$B$1:$ZN$1,0)),"na")</f>
        <v>13951.7</v>
      </c>
      <c r="AD35">
        <f>IF(ISNUMBER(INDEX(Haver_M!$B$1:$ZN$1000,MATCH(data!$A35,Haver_M!$B$1:$B$1000,0),MATCH(data!AD$1,Haver_M!$B$1:$ZN$1,0))),INDEX(Haver_M!$B$1:$ZN$1000,MATCH(data!$A35,Haver_M!$B$1:$B$1000,0),MATCH(data!AD$1,Haver_M!$B$1:$ZN$1,0)),"na")</f>
        <v>99.41</v>
      </c>
      <c r="AE35">
        <f>IF(ISNUMBER(INDEX(Haver_M!$B$1:$ZN$1000,MATCH(data!$A35,Haver_M!$B$1:$B$1000,0),MATCH(data!AE$1,Haver_M!$B$1:$ZN$1,0))),INDEX(Haver_M!$B$1:$ZN$1000,MATCH(data!$A35,Haver_M!$B$1:$B$1000,0),MATCH(data!AE$1,Haver_M!$B$1:$ZN$1,0)),"na")</f>
        <v>41.8</v>
      </c>
      <c r="AF35" t="str">
        <f>IF(ISNUMBER(INDEX(Haver_M!$B$1:$ZN$1000,MATCH(data!$A35,Haver_M!$B$1:$B$1000,0),MATCH(data!AF$1,Haver_M!$B$1:$ZN$1,0))),INDEX(Haver_M!$B$1:$ZN$1000,MATCH(data!$A35,Haver_M!$B$1:$B$1000,0),MATCH(data!AF$1,Haver_M!$B$1:$ZN$1,0)),"na")</f>
        <v>na</v>
      </c>
      <c r="AG35" t="str">
        <f>IF(ISNUMBER(INDEX(Haver_M!$B$1:$ZN$1000,MATCH(data!$A35,Haver_M!$B$1:$B$1000,0),MATCH(data!AG$1,Haver_M!$B$1:$ZN$1,0))),INDEX(Haver_M!$B$1:$ZN$1000,MATCH(data!$A35,Haver_M!$B$1:$B$1000,0),MATCH(data!AG$1,Haver_M!$B$1:$ZN$1,0)),"na")</f>
        <v>na</v>
      </c>
      <c r="AH35" t="str">
        <f>IF(ISNUMBER(INDEX(Haver_M!$B$1:$ZN$1000,MATCH(data!$A35,Haver_M!$B$1:$B$1000,0),MATCH(data!AH$1,Haver_M!$B$1:$ZN$1,0))),INDEX(Haver_M!$B$1:$ZN$1000,MATCH(data!$A35,Haver_M!$B$1:$B$1000,0),MATCH(data!AH$1,Haver_M!$B$1:$ZN$1,0)),"na")</f>
        <v>na</v>
      </c>
      <c r="AI35" t="str">
        <f>IF(ISNUMBER(INDEX(Haver_M!$B$1:$ZN$1000,MATCH(data!$A35,Haver_M!$B$1:$B$1000,0),MATCH(data!AI$1,Haver_M!$B$1:$ZN$1,0))),INDEX(Haver_M!$B$1:$ZN$1000,MATCH(data!$A35,Haver_M!$B$1:$B$1000,0),MATCH(data!AI$1,Haver_M!$B$1:$ZN$1,0)),"na")</f>
        <v>na</v>
      </c>
      <c r="AJ35" t="str">
        <f>IF(ISNUMBER(INDEX(Haver_M!$B$1:$ZN$1000,MATCH(data!$A35,Haver_M!$B$1:$B$1000,0),MATCH(data!AJ$1,Haver_M!$B$1:$ZN$1,0))),INDEX(Haver_M!$B$1:$ZN$1000,MATCH(data!$A35,Haver_M!$B$1:$B$1000,0),MATCH(data!AJ$1,Haver_M!$B$1:$ZN$1,0)),"na")</f>
        <v>na</v>
      </c>
      <c r="AK35" t="str">
        <f>IF(ISNUMBER(INDEX(Haver_M!$B$1:$ZN$1000,MATCH(data!$A35,Haver_M!$B$1:$B$1000,0),MATCH(data!AK$1,Haver_M!$B$1:$ZN$1,0))),INDEX(Haver_M!$B$1:$ZN$1000,MATCH(data!$A35,Haver_M!$B$1:$B$1000,0),MATCH(data!AK$1,Haver_M!$B$1:$ZN$1,0)),"na")</f>
        <v>na</v>
      </c>
      <c r="AL35" t="str">
        <f>IF(ISNUMBER(INDEX(Haver_M!$B$1:$ZN$1000,MATCH(data!$A35,Haver_M!$B$1:$B$1000,0),MATCH(data!AL$1,Haver_M!$B$1:$ZN$1,0))),INDEX(Haver_M!$B$1:$ZN$1000,MATCH(data!$A35,Haver_M!$B$1:$B$1000,0),MATCH(data!AL$1,Haver_M!$B$1:$ZN$1,0)),"na")</f>
        <v>na</v>
      </c>
      <c r="AM35" t="str">
        <f>IF(ISNUMBER(INDEX(Haver_M!$B$1:$ZN$1000,MATCH(data!$A35,Haver_M!$B$1:$B$1000,0),MATCH(data!AM$1,Haver_M!$B$1:$ZN$1,0))),INDEX(Haver_M!$B$1:$ZN$1000,MATCH(data!$A35,Haver_M!$B$1:$B$1000,0),MATCH(data!AM$1,Haver_M!$B$1:$ZN$1,0)),"na")</f>
        <v>na</v>
      </c>
      <c r="AN35" t="str">
        <f>IF(ISNUMBER(INDEX(Haver_M!$B$1:$ZN$1000,MATCH(data!$A35,Haver_M!$B$1:$B$1000,0),MATCH(data!AN$1,Haver_M!$B$1:$ZN$1,0))),INDEX(Haver_M!$B$1:$ZN$1000,MATCH(data!$A35,Haver_M!$B$1:$B$1000,0),MATCH(data!AN$1,Haver_M!$B$1:$ZN$1,0)),"na")</f>
        <v>na</v>
      </c>
      <c r="AO35" t="str">
        <f>IF(ISNUMBER(INDEX(Haver_M!$B$1:$ZN$1000,MATCH(data!$A35,Haver_M!$B$1:$B$1000,0),MATCH(data!AO$1,Haver_M!$B$1:$ZN$1,0))),INDEX(Haver_M!$B$1:$ZN$1000,MATCH(data!$A35,Haver_M!$B$1:$B$1000,0),MATCH(data!AO$1,Haver_M!$B$1:$ZN$1,0)),"na")</f>
        <v>na</v>
      </c>
      <c r="AP35" t="str">
        <f>IF(ISNUMBER(INDEX(Haver_M!$B$1:$ZN$1000,MATCH(data!$A35,Haver_M!$B$1:$B$1000,0),MATCH(data!AP$1,Haver_M!$B$1:$ZN$1,0))),INDEX(Haver_M!$B$1:$ZN$1000,MATCH(data!$A35,Haver_M!$B$1:$B$1000,0),MATCH(data!AP$1,Haver_M!$B$1:$ZN$1,0)),"na")</f>
        <v>na</v>
      </c>
      <c r="AQ35" t="str">
        <f>IF(ISNUMBER(INDEX(Haver_M!$B$1:$ZN$1000,MATCH(data!$A35,Haver_M!$B$1:$B$1000,0),MATCH(data!AQ$1,Haver_M!$B$1:$ZN$1,0))),INDEX(Haver_M!$B$1:$ZN$1000,MATCH(data!$A35,Haver_M!$B$1:$B$1000,0),MATCH(data!AQ$1,Haver_M!$B$1:$ZN$1,0)),"na")</f>
        <v>na</v>
      </c>
      <c r="AR35" t="str">
        <f>IF(ISNUMBER(INDEX(Haver_M!$B$1:$ZN$1000,MATCH(data!$A35,Haver_M!$B$1:$B$1000,0),MATCH(data!AR$1,Haver_M!$B$1:$ZN$1,0))),INDEX(Haver_M!$B$1:$ZN$1000,MATCH(data!$A35,Haver_M!$B$1:$B$1000,0),MATCH(data!AR$1,Haver_M!$B$1:$ZN$1,0)),"na")</f>
        <v>na</v>
      </c>
      <c r="AS35">
        <f>IF(ISNUMBER(INDEX(Haver_M!$B$1:$ZN$1000,MATCH(data!$A35,Haver_M!$B$1:$B$1000,0),MATCH(data!AS$1,Haver_M!$B$1:$ZN$1,0))),INDEX(Haver_M!$B$1:$ZN$1000,MATCH(data!$A35,Haver_M!$B$1:$B$1000,0),MATCH(data!AS$1,Haver_M!$B$1:$ZN$1,0)),"na")</f>
        <v>5909.05</v>
      </c>
      <c r="AT35">
        <f>IF(ISNUMBER(INDEX(Haver_M!$B$1:$ZN$1000,MATCH(data!$A35,Haver_M!$B$1:$B$1000,0),MATCH(data!AT$1,Haver_M!$B$1:$ZN$1,0))),INDEX(Haver_M!$B$1:$ZN$1000,MATCH(data!$A35,Haver_M!$B$1:$B$1000,0),MATCH(data!AT$1,Haver_M!$B$1:$ZN$1,0)),"na")</f>
        <v>81.75</v>
      </c>
      <c r="AU35">
        <f>IF(ISNUMBER(INDEX(Haver_M!$B$1:$ZN$1000,MATCH(data!$A35,Haver_M!$B$1:$B$1000,0),MATCH(data!AU$1,Haver_M!$B$1:$ZN$1,0))),INDEX(Haver_M!$B$1:$ZN$1000,MATCH(data!$A35,Haver_M!$B$1:$B$1000,0),MATCH(data!AU$1,Haver_M!$B$1:$ZN$1,0)),"na")</f>
        <v>80.304652000000004</v>
      </c>
      <c r="AV35">
        <f>IF(ISNUMBER(INDEX(Haver_M!$B$1:$ZN$1000,MATCH(data!$A35,Haver_M!$B$1:$B$1000,0),MATCH(data!AV$1,Haver_M!$B$1:$ZN$1,0))),INDEX(Haver_M!$B$1:$ZN$1000,MATCH(data!$A35,Haver_M!$B$1:$B$1000,0),MATCH(data!AV$1,Haver_M!$B$1:$ZN$1,0)),"na")</f>
        <v>70</v>
      </c>
      <c r="AW35">
        <f>IF(ISNUMBER(INDEX(Haver_M!$B$1:$ZN$1000,MATCH(data!$A35,Haver_M!$B$1:$B$1000,0),MATCH(data!AW$1,Haver_M!$B$1:$ZN$1,0))),INDEX(Haver_M!$B$1:$ZN$1000,MATCH(data!$A35,Haver_M!$B$1:$B$1000,0),MATCH(data!AW$1,Haver_M!$B$1:$ZN$1,0)),"na")</f>
        <v>781040.12501922599</v>
      </c>
      <c r="AX35">
        <f>IF(ISNUMBER(INDEX(Haver_M!$B$1:$ZN$1000,MATCH(data!$A35,Haver_M!$B$1:$B$1000,0),MATCH(data!AX$1,Haver_M!$B$1:$ZN$1,0))),INDEX(Haver_M!$B$1:$ZN$1000,MATCH(data!$A35,Haver_M!$B$1:$B$1000,0),MATCH(data!AX$1,Haver_M!$B$1:$ZN$1,0)),"na")</f>
        <v>3369</v>
      </c>
      <c r="AY35">
        <f>IF(ISNUMBER(INDEX(Haver_M!$B$1:$ZN$1000,MATCH(data!$A35,Haver_M!$B$1:$B$1000,0),MATCH(data!AY$1,Haver_M!$B$1:$ZN$1,0))),INDEX(Haver_M!$B$1:$ZN$1000,MATCH(data!$A35,Haver_M!$B$1:$B$1000,0),MATCH(data!AY$1,Haver_M!$B$1:$ZN$1,0)),"na")</f>
        <v>1876</v>
      </c>
      <c r="AZ35" t="str">
        <f>IF(ISNUMBER(INDEX(Haver_M!$B$1:$ZN$1000,MATCH(data!$A35,Haver_M!$B$1:$B$1000,0),MATCH(data!AZ$1,Haver_M!$B$1:$ZN$1,0))),INDEX(Haver_M!$B$1:$ZN$1000,MATCH(data!$A35,Haver_M!$B$1:$B$1000,0),MATCH(data!AZ$1,Haver_M!$B$1:$ZN$1,0)),"na")</f>
        <v>na</v>
      </c>
      <c r="BA35">
        <f>IF(ISNUMBER(INDEX(Haver_M!$B$1:$ZN$1000,MATCH(data!$A35,Haver_M!$B$1:$B$1000,0),MATCH(data!BA$1,Haver_M!$B$1:$ZN$1,0))),INDEX(Haver_M!$B$1:$ZN$1000,MATCH(data!$A35,Haver_M!$B$1:$B$1000,0),MATCH(data!BA$1,Haver_M!$B$1:$ZN$1,0)),"na")</f>
        <v>148.54546944364884</v>
      </c>
      <c r="BB35" t="str">
        <f>IF(ISNUMBER(INDEX(Haver_M!$B$1:$ZN$1000,MATCH(data!$A35,Haver_M!$B$1:$B$1000,0),MATCH(data!BB$1,Haver_M!$B$1:$ZN$1,0))),INDEX(Haver_M!$B$1:$ZN$1000,MATCH(data!$A35,Haver_M!$B$1:$B$1000,0),MATCH(data!BB$1,Haver_M!$B$1:$ZN$1,0)),"")</f>
        <v/>
      </c>
    </row>
    <row r="36" spans="1:54" x14ac:dyDescent="0.25">
      <c r="A36" s="2">
        <v>37590</v>
      </c>
      <c r="B36" t="str">
        <f>IF(ISNUMBER(INDEX(Haver_Q!$B$1:$BD$1000,MATCH(data!$A36,Haver_Q!$B$1:$B$1000,0),MATCH(data!B$1,Haver_Q!$B$1:$BD$1,0))),100*INDEX(Haver_Q!$B$1:$BD$1000,MATCH(data!$A36,Haver_Q!$B$1:$B$1000,0),MATCH(data!B$1,Haver_Q!$B$1:$BD$1,0)),"na")</f>
        <v>na</v>
      </c>
      <c r="C36" t="str">
        <f>IF(ISNUMBER(INDEX(Haver_Q!$B$1:$BD$1000,MATCH(data!$A36,Haver_Q!$B$1:$B$1000,0),MATCH(data!C$1,Haver_Q!$B$1:$BD$1,0))),100*INDEX(Haver_Q!$B$1:$BD$1000,MATCH(data!$A36,Haver_Q!$B$1:$B$1000,0),MATCH(data!C$1,Haver_Q!$B$1:$BD$1,0)),"na")</f>
        <v>na</v>
      </c>
      <c r="D36" t="str">
        <f>IF(ISNUMBER(INDEX(Haver_Q!$B$1:$BD$1000,MATCH(data!$A36,Haver_Q!$B$1:$B$1000,0),MATCH(data!D$1,Haver_Q!$B$1:$BD$1,0))),100*INDEX(Haver_Q!$B$1:$BD$1000,MATCH(data!$A36,Haver_Q!$B$1:$B$1000,0),MATCH(data!D$1,Haver_Q!$B$1:$BD$1,0)),"na")</f>
        <v>na</v>
      </c>
      <c r="E36" t="str">
        <f>IF(ISNUMBER(INDEX(Haver_Q!$B$1:$BD$1000,MATCH(data!$A36,Haver_Q!$B$1:$B$1000,0),MATCH(data!E$1,Haver_Q!$B$1:$BD$1,0))),100*INDEX(Haver_Q!$B$1:$BD$1000,MATCH(data!$A36,Haver_Q!$B$1:$B$1000,0),MATCH(data!E$1,Haver_Q!$B$1:$BD$1,0)),"na")</f>
        <v>na</v>
      </c>
      <c r="F36" t="str">
        <f>IF(ISNUMBER(INDEX(Haver_Q!$B$1:$BD$1000,MATCH(data!$A36,Haver_Q!$B$1:$B$1000,0),MATCH(data!F$1,Haver_Q!$B$1:$BD$1,0))),100*INDEX(Haver_Q!$B$1:$BD$1000,MATCH(data!$A36,Haver_Q!$B$1:$B$1000,0),MATCH(data!F$1,Haver_Q!$B$1:$BD$1,0)),"na")</f>
        <v>na</v>
      </c>
      <c r="G36" t="str">
        <f>IF(ISNUMBER(INDEX(Haver_Q!$B$1:$BD$1000,MATCH(data!$A36,Haver_Q!$B$1:$B$1000,0),MATCH(data!G$1,Haver_Q!$B$1:$BD$1,0))),100*INDEX(Haver_Q!$B$1:$BD$1000,MATCH(data!$A36,Haver_Q!$B$1:$B$1000,0),MATCH(data!G$1,Haver_Q!$B$1:$BD$1,0)),"na")</f>
        <v>na</v>
      </c>
      <c r="H36" t="str">
        <f>IF(ISNUMBER(INDEX(Haver_Q!$B$1:$BD$1000,MATCH(data!$A36,Haver_Q!$B$1:$B$1000,0),MATCH(data!H$1,Haver_Q!$B$1:$BD$1,0))),100*INDEX(Haver_Q!$B$1:$BD$1000,MATCH(data!$A36,Haver_Q!$B$1:$B$1000,0),MATCH(data!H$1,Haver_Q!$B$1:$BD$1,0)),"na")</f>
        <v>na</v>
      </c>
      <c r="I36" s="3">
        <f>IF(ISNUMBER(Bloomberg_m!C52),Bloomberg_m!C52,"na")</f>
        <v>1460</v>
      </c>
      <c r="J36" s="3" t="str">
        <f>IF(ISNUMBER(Bloomberg_m!D52),Bloomberg_m!D52,"na")</f>
        <v>na</v>
      </c>
      <c r="K36" s="3" t="str">
        <f>IF(ISNUMBER(Bloomberg_m!E52),Bloomberg_m!E52,"na")</f>
        <v>na</v>
      </c>
      <c r="L36" s="3">
        <f>IF(ISNUMBER(Bloomberg_m!L52),Bloomberg_m!L52,"na")</f>
        <v>26.28</v>
      </c>
      <c r="M36" t="str">
        <f>IF(ISNUMBER(INDEX(Haver_M!$B$1:$ZN$1000,MATCH(data!$A36,Haver_M!$B$1:$B$1000,0),MATCH(data!M$1,Haver_M!$B$1:$ZN$1,0))),INDEX(Haver_M!$B$1:$ZN$1000,MATCH(data!$A36,Haver_M!$B$1:$B$1000,0),MATCH(data!M$1,Haver_M!$B$1:$ZN$1,0)),"na")</f>
        <v>na</v>
      </c>
      <c r="N36" t="str">
        <f>IF(ISNUMBER(INDEX(Haver_M!$B$1:$ZN$1000,MATCH(data!$A36,Haver_M!$B$1:$B$1000,0),MATCH(data!N$1,Haver_M!$B$1:$ZN$1,0))),INDEX(Haver_M!$B$1:$ZN$1000,MATCH(data!$A36,Haver_M!$B$1:$B$1000,0),MATCH(data!N$1,Haver_M!$B$1:$ZN$1,0)),"na")</f>
        <v>na</v>
      </c>
      <c r="O36">
        <f>IF(ISNUMBER(INDEX(Haver_M!$B$1:$ZN$1000,MATCH(data!$A36,Haver_M!$B$1:$B$1000,0),MATCH(data!O$1,Haver_M!$B$1:$ZN$1,0))),INDEX(Haver_M!$B$1:$ZN$1000,MATCH(data!$A36,Haver_M!$B$1:$B$1000,0),MATCH(data!O$1,Haver_M!$B$1:$ZN$1,0)),"na")</f>
        <v>120.84434</v>
      </c>
      <c r="P36">
        <f>IF(ISNUMBER(INDEX(Haver_M!$B$1:$ZN$1000,MATCH(data!$A36,Haver_M!$B$1:$B$1000,0),MATCH(data!P$1,Haver_M!$B$1:$ZN$1,0))),INDEX(Haver_M!$B$1:$ZN$1000,MATCH(data!$A36,Haver_M!$B$1:$B$1000,0),MATCH(data!P$1,Haver_M!$B$1:$ZN$1,0)),"na")</f>
        <v>53.005299999999998</v>
      </c>
      <c r="Q36">
        <f>IF(ISNUMBER(INDEX(Haver_M!$B$1:$ZN$1000,MATCH(data!$A36,Haver_M!$B$1:$B$1000,0),MATCH(data!Q$1,Haver_M!$B$1:$ZN$1,0))),INDEX(Haver_M!$B$1:$ZN$1000,MATCH(data!$A36,Haver_M!$B$1:$B$1000,0),MATCH(data!Q$1,Haver_M!$B$1:$ZN$1,0)),"na")</f>
        <v>57.156999999999996</v>
      </c>
      <c r="R36">
        <f>IF(ISNUMBER(INDEX(Haver_M!$B$1:$ZN$1000,MATCH(data!$A36,Haver_M!$B$1:$B$1000,0),MATCH(data!R$1,Haver_M!$B$1:$ZN$1,0))),INDEX(Haver_M!$B$1:$ZN$1000,MATCH(data!$A36,Haver_M!$B$1:$B$1000,0),MATCH(data!R$1,Haver_M!$B$1:$ZN$1,0)),"na")</f>
        <v>88.184600000000003</v>
      </c>
      <c r="S36">
        <f>IF(ISNUMBER(INDEX(Haver_M!$B$1:$ZN$1000,MATCH(data!$A36,Haver_M!$B$1:$B$1000,0),MATCH(data!S$1,Haver_M!$B$1:$ZN$1,0))),INDEX(Haver_M!$B$1:$ZN$1000,MATCH(data!$A36,Haver_M!$B$1:$B$1000,0),MATCH(data!S$1,Haver_M!$B$1:$ZN$1,0)),"na")</f>
        <v>104.8574</v>
      </c>
      <c r="T36">
        <f>IF(ISNUMBER(INDEX(Haver_M!$B$1:$ZN$1000,MATCH(data!$A36,Haver_M!$B$1:$B$1000,0),MATCH(data!T$1,Haver_M!$B$1:$ZN$1,0))),INDEX(Haver_M!$B$1:$ZN$1000,MATCH(data!$A36,Haver_M!$B$1:$B$1000,0),MATCH(data!T$1,Haver_M!$B$1:$ZN$1,0)),"na")</f>
        <v>58.119599999999998</v>
      </c>
      <c r="U36">
        <f>IF(ISNUMBER(INDEX(Haver_M!$B$1:$ZN$1000,MATCH(data!$A36,Haver_M!$B$1:$B$1000,0),MATCH(data!U$1,Haver_M!$B$1:$ZN$1,0))),INDEX(Haver_M!$B$1:$ZN$1000,MATCH(data!$A36,Haver_M!$B$1:$B$1000,0),MATCH(data!U$1,Haver_M!$B$1:$ZN$1,0)),"na")</f>
        <v>77.224999999999994</v>
      </c>
      <c r="V36">
        <f>IF(ISNUMBER(INDEX(Haver_M!$B$1:$ZN$1000,MATCH(data!$A36,Haver_M!$B$1:$B$1000,0),MATCH(data!V$1,Haver_M!$B$1:$ZN$1,0))),INDEX(Haver_M!$B$1:$ZN$1000,MATCH(data!$A36,Haver_M!$B$1:$B$1000,0),MATCH(data!V$1,Haver_M!$B$1:$ZN$1,0)),"na")</f>
        <v>88.327100000000002</v>
      </c>
      <c r="W36">
        <f>IF(ISNUMBER(INDEX(Haver_M!$B$1:$ZN$1000,MATCH(data!$A36,Haver_M!$B$1:$B$1000,0),MATCH(data!W$1,Haver_M!$B$1:$ZN$1,0))),INDEX(Haver_M!$B$1:$ZN$1000,MATCH(data!$A36,Haver_M!$B$1:$B$1000,0),MATCH(data!W$1,Haver_M!$B$1:$ZN$1,0)),"na")</f>
        <v>2.95</v>
      </c>
      <c r="X36" t="str">
        <f>IF(ISNUMBER(INDEX(Haver_M!$B$1:$ZN$1000,MATCH(data!$A36,Haver_M!$B$1:$B$1000,0),MATCH(data!X$1,Haver_M!$B$1:$ZN$1,0))),INDEX(Haver_M!$B$1:$ZN$1000,MATCH(data!$A36,Haver_M!$B$1:$B$1000,0),MATCH(data!X$1,Haver_M!$B$1:$ZN$1,0)),"na")</f>
        <v>na</v>
      </c>
      <c r="Y36">
        <f>IF(ISNUMBER(INDEX(Haver_M!$B$1:$ZN$1000,MATCH(data!$A36,Haver_M!$B$1:$B$1000,0),MATCH(data!Y$1,Haver_M!$B$1:$ZN$1,0))),INDEX(Haver_M!$B$1:$ZN$1000,MATCH(data!$A36,Haver_M!$B$1:$B$1000,0),MATCH(data!Y$1,Haver_M!$B$1:$ZN$1,0)),"na")</f>
        <v>97.96</v>
      </c>
      <c r="Z36">
        <f>IF(ISNUMBER(INDEX(Haver_M!$B$1:$ZN$1000,MATCH(data!$A36,Haver_M!$B$1:$B$1000,0),MATCH(data!Z$1,Haver_M!$B$1:$ZN$1,0))),INDEX(Haver_M!$B$1:$ZN$1000,MATCH(data!$A36,Haver_M!$B$1:$B$1000,0),MATCH(data!Z$1,Haver_M!$B$1:$ZN$1,0)),"na")</f>
        <v>80.4221</v>
      </c>
      <c r="AA36" t="str">
        <f>IF(ISNUMBER(INDEX(Haver_M!$B$1:$ZN$1000,MATCH(data!$A36,Haver_M!$B$1:$B$1000,0),MATCH(data!AA$1,Haver_M!$B$1:$ZN$1,0))),INDEX(Haver_M!$B$1:$ZN$1000,MATCH(data!$A36,Haver_M!$B$1:$B$1000,0),MATCH(data!AA$1,Haver_M!$B$1:$ZN$1,0)),"na")</f>
        <v>na</v>
      </c>
      <c r="AB36">
        <f>IF(ISNUMBER(INDEX(Haver_M!$B$1:$ZN$1000,MATCH(data!$A36,Haver_M!$B$1:$B$1000,0),MATCH(data!AB$1,Haver_M!$B$1:$ZN$1,0))),INDEX(Haver_M!$B$1:$ZN$1000,MATCH(data!$A36,Haver_M!$B$1:$B$1000,0),MATCH(data!AB$1,Haver_M!$B$1:$ZN$1,0)),"na")</f>
        <v>13478.2</v>
      </c>
      <c r="AC36">
        <f>IF(ISNUMBER(INDEX(Haver_M!$B$1:$ZN$1000,MATCH(data!$A36,Haver_M!$B$1:$B$1000,0),MATCH(data!AC$1,Haver_M!$B$1:$ZN$1,0))),INDEX(Haver_M!$B$1:$ZN$1000,MATCH(data!$A36,Haver_M!$B$1:$B$1000,0),MATCH(data!AC$1,Haver_M!$B$1:$ZN$1,0)),"na")</f>
        <v>13987.9</v>
      </c>
      <c r="AD36">
        <f>IF(ISNUMBER(INDEX(Haver_M!$B$1:$ZN$1000,MATCH(data!$A36,Haver_M!$B$1:$B$1000,0),MATCH(data!AD$1,Haver_M!$B$1:$ZN$1,0))),INDEX(Haver_M!$B$1:$ZN$1000,MATCH(data!$A36,Haver_M!$B$1:$B$1000,0),MATCH(data!AD$1,Haver_M!$B$1:$ZN$1,0)),"na")</f>
        <v>99.38</v>
      </c>
      <c r="AE36">
        <f>IF(ISNUMBER(INDEX(Haver_M!$B$1:$ZN$1000,MATCH(data!$A36,Haver_M!$B$1:$B$1000,0),MATCH(data!AE$1,Haver_M!$B$1:$ZN$1,0))),INDEX(Haver_M!$B$1:$ZN$1000,MATCH(data!$A36,Haver_M!$B$1:$B$1000,0),MATCH(data!AE$1,Haver_M!$B$1:$ZN$1,0)),"na")</f>
        <v>43.3</v>
      </c>
      <c r="AF36" t="str">
        <f>IF(ISNUMBER(INDEX(Haver_M!$B$1:$ZN$1000,MATCH(data!$A36,Haver_M!$B$1:$B$1000,0),MATCH(data!AF$1,Haver_M!$B$1:$ZN$1,0))),INDEX(Haver_M!$B$1:$ZN$1000,MATCH(data!$A36,Haver_M!$B$1:$B$1000,0),MATCH(data!AF$1,Haver_M!$B$1:$ZN$1,0)),"na")</f>
        <v>na</v>
      </c>
      <c r="AG36" t="str">
        <f>IF(ISNUMBER(INDEX(Haver_M!$B$1:$ZN$1000,MATCH(data!$A36,Haver_M!$B$1:$B$1000,0),MATCH(data!AG$1,Haver_M!$B$1:$ZN$1,0))),INDEX(Haver_M!$B$1:$ZN$1000,MATCH(data!$A36,Haver_M!$B$1:$B$1000,0),MATCH(data!AG$1,Haver_M!$B$1:$ZN$1,0)),"na")</f>
        <v>na</v>
      </c>
      <c r="AH36" t="str">
        <f>IF(ISNUMBER(INDEX(Haver_M!$B$1:$ZN$1000,MATCH(data!$A36,Haver_M!$B$1:$B$1000,0),MATCH(data!AH$1,Haver_M!$B$1:$ZN$1,0))),INDEX(Haver_M!$B$1:$ZN$1000,MATCH(data!$A36,Haver_M!$B$1:$B$1000,0),MATCH(data!AH$1,Haver_M!$B$1:$ZN$1,0)),"na")</f>
        <v>na</v>
      </c>
      <c r="AI36" t="str">
        <f>IF(ISNUMBER(INDEX(Haver_M!$B$1:$ZN$1000,MATCH(data!$A36,Haver_M!$B$1:$B$1000,0),MATCH(data!AI$1,Haver_M!$B$1:$ZN$1,0))),INDEX(Haver_M!$B$1:$ZN$1000,MATCH(data!$A36,Haver_M!$B$1:$B$1000,0),MATCH(data!AI$1,Haver_M!$B$1:$ZN$1,0)),"na")</f>
        <v>na</v>
      </c>
      <c r="AJ36" t="str">
        <f>IF(ISNUMBER(INDEX(Haver_M!$B$1:$ZN$1000,MATCH(data!$A36,Haver_M!$B$1:$B$1000,0),MATCH(data!AJ$1,Haver_M!$B$1:$ZN$1,0))),INDEX(Haver_M!$B$1:$ZN$1000,MATCH(data!$A36,Haver_M!$B$1:$B$1000,0),MATCH(data!AJ$1,Haver_M!$B$1:$ZN$1,0)),"na")</f>
        <v>na</v>
      </c>
      <c r="AK36" t="str">
        <f>IF(ISNUMBER(INDEX(Haver_M!$B$1:$ZN$1000,MATCH(data!$A36,Haver_M!$B$1:$B$1000,0),MATCH(data!AK$1,Haver_M!$B$1:$ZN$1,0))),INDEX(Haver_M!$B$1:$ZN$1000,MATCH(data!$A36,Haver_M!$B$1:$B$1000,0),MATCH(data!AK$1,Haver_M!$B$1:$ZN$1,0)),"na")</f>
        <v>na</v>
      </c>
      <c r="AL36" t="str">
        <f>IF(ISNUMBER(INDEX(Haver_M!$B$1:$ZN$1000,MATCH(data!$A36,Haver_M!$B$1:$B$1000,0),MATCH(data!AL$1,Haver_M!$B$1:$ZN$1,0))),INDEX(Haver_M!$B$1:$ZN$1000,MATCH(data!$A36,Haver_M!$B$1:$B$1000,0),MATCH(data!AL$1,Haver_M!$B$1:$ZN$1,0)),"na")</f>
        <v>na</v>
      </c>
      <c r="AM36" t="str">
        <f>IF(ISNUMBER(INDEX(Haver_M!$B$1:$ZN$1000,MATCH(data!$A36,Haver_M!$B$1:$B$1000,0),MATCH(data!AM$1,Haver_M!$B$1:$ZN$1,0))),INDEX(Haver_M!$B$1:$ZN$1000,MATCH(data!$A36,Haver_M!$B$1:$B$1000,0),MATCH(data!AM$1,Haver_M!$B$1:$ZN$1,0)),"na")</f>
        <v>na</v>
      </c>
      <c r="AN36" t="str">
        <f>IF(ISNUMBER(INDEX(Haver_M!$B$1:$ZN$1000,MATCH(data!$A36,Haver_M!$B$1:$B$1000,0),MATCH(data!AN$1,Haver_M!$B$1:$ZN$1,0))),INDEX(Haver_M!$B$1:$ZN$1000,MATCH(data!$A36,Haver_M!$B$1:$B$1000,0),MATCH(data!AN$1,Haver_M!$B$1:$ZN$1,0)),"na")</f>
        <v>na</v>
      </c>
      <c r="AO36" t="str">
        <f>IF(ISNUMBER(INDEX(Haver_M!$B$1:$ZN$1000,MATCH(data!$A36,Haver_M!$B$1:$B$1000,0),MATCH(data!AO$1,Haver_M!$B$1:$ZN$1,0))),INDEX(Haver_M!$B$1:$ZN$1000,MATCH(data!$A36,Haver_M!$B$1:$B$1000,0),MATCH(data!AO$1,Haver_M!$B$1:$ZN$1,0)),"na")</f>
        <v>na</v>
      </c>
      <c r="AP36" t="str">
        <f>IF(ISNUMBER(INDEX(Haver_M!$B$1:$ZN$1000,MATCH(data!$A36,Haver_M!$B$1:$B$1000,0),MATCH(data!AP$1,Haver_M!$B$1:$ZN$1,0))),INDEX(Haver_M!$B$1:$ZN$1000,MATCH(data!$A36,Haver_M!$B$1:$B$1000,0),MATCH(data!AP$1,Haver_M!$B$1:$ZN$1,0)),"na")</f>
        <v>na</v>
      </c>
      <c r="AQ36" t="str">
        <f>IF(ISNUMBER(INDEX(Haver_M!$B$1:$ZN$1000,MATCH(data!$A36,Haver_M!$B$1:$B$1000,0),MATCH(data!AQ$1,Haver_M!$B$1:$ZN$1,0))),INDEX(Haver_M!$B$1:$ZN$1000,MATCH(data!$A36,Haver_M!$B$1:$B$1000,0),MATCH(data!AQ$1,Haver_M!$B$1:$ZN$1,0)),"na")</f>
        <v>na</v>
      </c>
      <c r="AR36" t="str">
        <f>IF(ISNUMBER(INDEX(Haver_M!$B$1:$ZN$1000,MATCH(data!$A36,Haver_M!$B$1:$B$1000,0),MATCH(data!AR$1,Haver_M!$B$1:$ZN$1,0))),INDEX(Haver_M!$B$1:$ZN$1000,MATCH(data!$A36,Haver_M!$B$1:$B$1000,0),MATCH(data!AR$1,Haver_M!$B$1:$ZN$1,0)),"na")</f>
        <v>na</v>
      </c>
      <c r="AS36">
        <f>IF(ISNUMBER(INDEX(Haver_M!$B$1:$ZN$1000,MATCH(data!$A36,Haver_M!$B$1:$B$1000,0),MATCH(data!AS$1,Haver_M!$B$1:$ZN$1,0))),INDEX(Haver_M!$B$1:$ZN$1000,MATCH(data!$A36,Haver_M!$B$1:$B$1000,0),MATCH(data!AS$1,Haver_M!$B$1:$ZN$1,0)),"na")</f>
        <v>5938.41</v>
      </c>
      <c r="AT36">
        <f>IF(ISNUMBER(INDEX(Haver_M!$B$1:$ZN$1000,MATCH(data!$A36,Haver_M!$B$1:$B$1000,0),MATCH(data!AT$1,Haver_M!$B$1:$ZN$1,0))),INDEX(Haver_M!$B$1:$ZN$1000,MATCH(data!$A36,Haver_M!$B$1:$B$1000,0),MATCH(data!AT$1,Haver_M!$B$1:$ZN$1,0)),"na")</f>
        <v>80.873999999999995</v>
      </c>
      <c r="AU36">
        <f>IF(ISNUMBER(INDEX(Haver_M!$B$1:$ZN$1000,MATCH(data!$A36,Haver_M!$B$1:$B$1000,0),MATCH(data!AU$1,Haver_M!$B$1:$ZN$1,0))),INDEX(Haver_M!$B$1:$ZN$1000,MATCH(data!$A36,Haver_M!$B$1:$B$1000,0),MATCH(data!AU$1,Haver_M!$B$1:$ZN$1,0)),"na")</f>
        <v>79.671124000000006</v>
      </c>
      <c r="AV36">
        <f>IF(ISNUMBER(INDEX(Haver_M!$B$1:$ZN$1000,MATCH(data!$A36,Haver_M!$B$1:$B$1000,0),MATCH(data!AV$1,Haver_M!$B$1:$ZN$1,0))),INDEX(Haver_M!$B$1:$ZN$1000,MATCH(data!$A36,Haver_M!$B$1:$B$1000,0),MATCH(data!AV$1,Haver_M!$B$1:$ZN$1,0)),"na")</f>
        <v>70.3</v>
      </c>
      <c r="AW36">
        <f>IF(ISNUMBER(INDEX(Haver_M!$B$1:$ZN$1000,MATCH(data!$A36,Haver_M!$B$1:$B$1000,0),MATCH(data!AW$1,Haver_M!$B$1:$ZN$1,0))),INDEX(Haver_M!$B$1:$ZN$1000,MATCH(data!$A36,Haver_M!$B$1:$B$1000,0),MATCH(data!AW$1,Haver_M!$B$1:$ZN$1,0)),"na")</f>
        <v>779740.54215247137</v>
      </c>
      <c r="AX36">
        <f>IF(ISNUMBER(INDEX(Haver_M!$B$1:$ZN$1000,MATCH(data!$A36,Haver_M!$B$1:$B$1000,0),MATCH(data!AX$1,Haver_M!$B$1:$ZN$1,0))),INDEX(Haver_M!$B$1:$ZN$1000,MATCH(data!$A36,Haver_M!$B$1:$B$1000,0),MATCH(data!AX$1,Haver_M!$B$1:$ZN$1,0)),"na")</f>
        <v>3119</v>
      </c>
      <c r="AY36">
        <f>IF(ISNUMBER(INDEX(Haver_M!$B$1:$ZN$1000,MATCH(data!$A36,Haver_M!$B$1:$B$1000,0),MATCH(data!AY$1,Haver_M!$B$1:$ZN$1,0))),INDEX(Haver_M!$B$1:$ZN$1000,MATCH(data!$A36,Haver_M!$B$1:$B$1000,0),MATCH(data!AY$1,Haver_M!$B$1:$ZN$1,0)),"na")</f>
        <v>1694</v>
      </c>
      <c r="AZ36" t="str">
        <f>IF(ISNUMBER(INDEX(Haver_M!$B$1:$ZN$1000,MATCH(data!$A36,Haver_M!$B$1:$B$1000,0),MATCH(data!AZ$1,Haver_M!$B$1:$ZN$1,0))),INDEX(Haver_M!$B$1:$ZN$1000,MATCH(data!$A36,Haver_M!$B$1:$B$1000,0),MATCH(data!AZ$1,Haver_M!$B$1:$ZN$1,0)),"na")</f>
        <v>na</v>
      </c>
      <c r="BA36">
        <f>IF(ISNUMBER(INDEX(Haver_M!$B$1:$ZN$1000,MATCH(data!$A36,Haver_M!$B$1:$B$1000,0),MATCH(data!BA$1,Haver_M!$B$1:$ZN$1,0))),INDEX(Haver_M!$B$1:$ZN$1000,MATCH(data!$A36,Haver_M!$B$1:$B$1000,0),MATCH(data!BA$1,Haver_M!$B$1:$ZN$1,0)),"na")</f>
        <v>163.18261480609078</v>
      </c>
      <c r="BB36" t="str">
        <f>IF(ISNUMBER(INDEX(Haver_M!$B$1:$ZN$1000,MATCH(data!$A36,Haver_M!$B$1:$B$1000,0),MATCH(data!BB$1,Haver_M!$B$1:$ZN$1,0))),INDEX(Haver_M!$B$1:$ZN$1000,MATCH(data!$A36,Haver_M!$B$1:$B$1000,0),MATCH(data!BB$1,Haver_M!$B$1:$ZN$1,0)),"")</f>
        <v/>
      </c>
    </row>
    <row r="37" spans="1:54" x14ac:dyDescent="0.25">
      <c r="A37" s="2">
        <v>37621</v>
      </c>
      <c r="B37">
        <f>IF(ISNUMBER(INDEX(Haver_Q!$B$1:$BD$1000,MATCH(data!$A37,Haver_Q!$B$1:$B$1000,0),MATCH(data!B$1,Haver_Q!$B$1:$BD$1,0))),100*INDEX(Haver_Q!$B$1:$BD$1000,MATCH(data!$A37,Haver_Q!$B$1:$B$1000,0),MATCH(data!B$1,Haver_Q!$B$1:$BD$1,0)),"na")</f>
        <v>1.2533260203029251</v>
      </c>
      <c r="C37">
        <f>IF(ISNUMBER(INDEX(Haver_Q!$B$1:$BD$1000,MATCH(data!$A37,Haver_Q!$B$1:$B$1000,0),MATCH(data!C$1,Haver_Q!$B$1:$BD$1,0))),100*INDEX(Haver_Q!$B$1:$BD$1000,MATCH(data!$A37,Haver_Q!$B$1:$B$1000,0),MATCH(data!C$1,Haver_Q!$B$1:$BD$1,0)),"na")</f>
        <v>-1.5509685360172498</v>
      </c>
      <c r="D37">
        <f>IF(ISNUMBER(INDEX(Haver_Q!$B$1:$BD$1000,MATCH(data!$A37,Haver_Q!$B$1:$B$1000,0),MATCH(data!D$1,Haver_Q!$B$1:$BD$1,0))),100*INDEX(Haver_Q!$B$1:$BD$1000,MATCH(data!$A37,Haver_Q!$B$1:$B$1000,0),MATCH(data!D$1,Haver_Q!$B$1:$BD$1,0)),"na")</f>
        <v>-1.7693341121183703</v>
      </c>
      <c r="E37">
        <f>IF(ISNUMBER(INDEX(Haver_Q!$B$1:$BD$1000,MATCH(data!$A37,Haver_Q!$B$1:$B$1000,0),MATCH(data!E$1,Haver_Q!$B$1:$BD$1,0))),100*INDEX(Haver_Q!$B$1:$BD$1000,MATCH(data!$A37,Haver_Q!$B$1:$B$1000,0),MATCH(data!E$1,Haver_Q!$B$1:$BD$1,0)),"na")</f>
        <v>-0.50157728013836556</v>
      </c>
      <c r="F37">
        <f>IF(ISNUMBER(INDEX(Haver_Q!$B$1:$BD$1000,MATCH(data!$A37,Haver_Q!$B$1:$B$1000,0),MATCH(data!F$1,Haver_Q!$B$1:$BD$1,0))),100*INDEX(Haver_Q!$B$1:$BD$1000,MATCH(data!$A37,Haver_Q!$B$1:$B$1000,0),MATCH(data!F$1,Haver_Q!$B$1:$BD$1,0)),"na")</f>
        <v>0.69513694720848562</v>
      </c>
      <c r="G37">
        <f>IF(ISNUMBER(INDEX(Haver_Q!$B$1:$BD$1000,MATCH(data!$A37,Haver_Q!$B$1:$B$1000,0),MATCH(data!G$1,Haver_Q!$B$1:$BD$1,0))),100*INDEX(Haver_Q!$B$1:$BD$1000,MATCH(data!$A37,Haver_Q!$B$1:$B$1000,0),MATCH(data!G$1,Haver_Q!$B$1:$BD$1,0)),"na")</f>
        <v>-22.869353288895912</v>
      </c>
      <c r="H37">
        <f>IF(ISNUMBER(INDEX(Haver_Q!$B$1:$BD$1000,MATCH(data!$A37,Haver_Q!$B$1:$B$1000,0),MATCH(data!H$1,Haver_Q!$B$1:$BD$1,0))),100*INDEX(Haver_Q!$B$1:$BD$1000,MATCH(data!$A37,Haver_Q!$B$1:$B$1000,0),MATCH(data!H$1,Haver_Q!$B$1:$BD$1,0)),"na")</f>
        <v>244.5157819465401</v>
      </c>
      <c r="I37" s="3">
        <f>IF(ISNUMBER(Bloomberg_m!C53),Bloomberg_m!C53,"na")</f>
        <v>1666</v>
      </c>
      <c r="J37" s="3" t="str">
        <f>IF(ISNUMBER(Bloomberg_m!D53),Bloomberg_m!D53,"na")</f>
        <v>na</v>
      </c>
      <c r="K37" s="3" t="str">
        <f>IF(ISNUMBER(Bloomberg_m!E53),Bloomberg_m!E53,"na")</f>
        <v>na</v>
      </c>
      <c r="L37" s="3">
        <f>IF(ISNUMBER(Bloomberg_m!L53),Bloomberg_m!L53,"na")</f>
        <v>29.44</v>
      </c>
      <c r="M37" t="str">
        <f>IF(ISNUMBER(INDEX(Haver_M!$B$1:$ZN$1000,MATCH(data!$A37,Haver_M!$B$1:$B$1000,0),MATCH(data!M$1,Haver_M!$B$1:$ZN$1,0))),INDEX(Haver_M!$B$1:$ZN$1000,MATCH(data!$A37,Haver_M!$B$1:$B$1000,0),MATCH(data!M$1,Haver_M!$B$1:$ZN$1,0)),"na")</f>
        <v>na</v>
      </c>
      <c r="N37" t="str">
        <f>IF(ISNUMBER(INDEX(Haver_M!$B$1:$ZN$1000,MATCH(data!$A37,Haver_M!$B$1:$B$1000,0),MATCH(data!N$1,Haver_M!$B$1:$ZN$1,0))),INDEX(Haver_M!$B$1:$ZN$1000,MATCH(data!$A37,Haver_M!$B$1:$B$1000,0),MATCH(data!N$1,Haver_M!$B$1:$ZN$1,0)),"na")</f>
        <v>na</v>
      </c>
      <c r="O37">
        <f>IF(ISNUMBER(INDEX(Haver_M!$B$1:$ZN$1000,MATCH(data!$A37,Haver_M!$B$1:$B$1000,0),MATCH(data!O$1,Haver_M!$B$1:$ZN$1,0))),INDEX(Haver_M!$B$1:$ZN$1000,MATCH(data!$A37,Haver_M!$B$1:$B$1000,0),MATCH(data!O$1,Haver_M!$B$1:$ZN$1,0)),"na")</f>
        <v>120.54138</v>
      </c>
      <c r="P37">
        <f>IF(ISNUMBER(INDEX(Haver_M!$B$1:$ZN$1000,MATCH(data!$A37,Haver_M!$B$1:$B$1000,0),MATCH(data!P$1,Haver_M!$B$1:$ZN$1,0))),INDEX(Haver_M!$B$1:$ZN$1000,MATCH(data!$A37,Haver_M!$B$1:$B$1000,0),MATCH(data!P$1,Haver_M!$B$1:$ZN$1,0)),"na")</f>
        <v>53.195500000000003</v>
      </c>
      <c r="Q37">
        <f>IF(ISNUMBER(INDEX(Haver_M!$B$1:$ZN$1000,MATCH(data!$A37,Haver_M!$B$1:$B$1000,0),MATCH(data!Q$1,Haver_M!$B$1:$ZN$1,0))),INDEX(Haver_M!$B$1:$ZN$1000,MATCH(data!$A37,Haver_M!$B$1:$B$1000,0),MATCH(data!Q$1,Haver_M!$B$1:$ZN$1,0)),"na")</f>
        <v>57.294600000000003</v>
      </c>
      <c r="R37">
        <f>IF(ISNUMBER(INDEX(Haver_M!$B$1:$ZN$1000,MATCH(data!$A37,Haver_M!$B$1:$B$1000,0),MATCH(data!R$1,Haver_M!$B$1:$ZN$1,0))),INDEX(Haver_M!$B$1:$ZN$1000,MATCH(data!$A37,Haver_M!$B$1:$B$1000,0),MATCH(data!R$1,Haver_M!$B$1:$ZN$1,0)),"na")</f>
        <v>88.197500000000005</v>
      </c>
      <c r="S37">
        <f>IF(ISNUMBER(INDEX(Haver_M!$B$1:$ZN$1000,MATCH(data!$A37,Haver_M!$B$1:$B$1000,0),MATCH(data!S$1,Haver_M!$B$1:$ZN$1,0))),INDEX(Haver_M!$B$1:$ZN$1000,MATCH(data!$A37,Haver_M!$B$1:$B$1000,0),MATCH(data!S$1,Haver_M!$B$1:$ZN$1,0)),"na")</f>
        <v>107.9576</v>
      </c>
      <c r="T37">
        <f>IF(ISNUMBER(INDEX(Haver_M!$B$1:$ZN$1000,MATCH(data!$A37,Haver_M!$B$1:$B$1000,0),MATCH(data!T$1,Haver_M!$B$1:$ZN$1,0))),INDEX(Haver_M!$B$1:$ZN$1000,MATCH(data!$A37,Haver_M!$B$1:$B$1000,0),MATCH(data!T$1,Haver_M!$B$1:$ZN$1,0)),"na")</f>
        <v>59.997399999999999</v>
      </c>
      <c r="U37">
        <f>IF(ISNUMBER(INDEX(Haver_M!$B$1:$ZN$1000,MATCH(data!$A37,Haver_M!$B$1:$B$1000,0),MATCH(data!U$1,Haver_M!$B$1:$ZN$1,0))),INDEX(Haver_M!$B$1:$ZN$1000,MATCH(data!$A37,Haver_M!$B$1:$B$1000,0),MATCH(data!U$1,Haver_M!$B$1:$ZN$1,0)),"na")</f>
        <v>77.852400000000003</v>
      </c>
      <c r="V37">
        <f>IF(ISNUMBER(INDEX(Haver_M!$B$1:$ZN$1000,MATCH(data!$A37,Haver_M!$B$1:$B$1000,0),MATCH(data!V$1,Haver_M!$B$1:$ZN$1,0))),INDEX(Haver_M!$B$1:$ZN$1000,MATCH(data!$A37,Haver_M!$B$1:$B$1000,0),MATCH(data!V$1,Haver_M!$B$1:$ZN$1,0)),"na")</f>
        <v>86.534899999999993</v>
      </c>
      <c r="W37">
        <f>IF(ISNUMBER(INDEX(Haver_M!$B$1:$ZN$1000,MATCH(data!$A37,Haver_M!$B$1:$B$1000,0),MATCH(data!W$1,Haver_M!$B$1:$ZN$1,0))),INDEX(Haver_M!$B$1:$ZN$1000,MATCH(data!$A37,Haver_M!$B$1:$B$1000,0),MATCH(data!W$1,Haver_M!$B$1:$ZN$1,0)),"na")</f>
        <v>2.77</v>
      </c>
      <c r="X37" t="str">
        <f>IF(ISNUMBER(INDEX(Haver_M!$B$1:$ZN$1000,MATCH(data!$A37,Haver_M!$B$1:$B$1000,0),MATCH(data!X$1,Haver_M!$B$1:$ZN$1,0))),INDEX(Haver_M!$B$1:$ZN$1000,MATCH(data!$A37,Haver_M!$B$1:$B$1000,0),MATCH(data!X$1,Haver_M!$B$1:$ZN$1,0)),"na")</f>
        <v>na</v>
      </c>
      <c r="Y37">
        <f>IF(ISNUMBER(INDEX(Haver_M!$B$1:$ZN$1000,MATCH(data!$A37,Haver_M!$B$1:$B$1000,0),MATCH(data!Y$1,Haver_M!$B$1:$ZN$1,0))),INDEX(Haver_M!$B$1:$ZN$1000,MATCH(data!$A37,Haver_M!$B$1:$B$1000,0),MATCH(data!Y$1,Haver_M!$B$1:$ZN$1,0)),"na")</f>
        <v>97.8</v>
      </c>
      <c r="Z37">
        <f>IF(ISNUMBER(INDEX(Haver_M!$B$1:$ZN$1000,MATCH(data!$A37,Haver_M!$B$1:$B$1000,0),MATCH(data!Z$1,Haver_M!$B$1:$ZN$1,0))),INDEX(Haver_M!$B$1:$ZN$1000,MATCH(data!$A37,Haver_M!$B$1:$B$1000,0),MATCH(data!Z$1,Haver_M!$B$1:$ZN$1,0)),"na")</f>
        <v>81.242699999999999</v>
      </c>
      <c r="AA37" t="str">
        <f>IF(ISNUMBER(INDEX(Haver_M!$B$1:$ZN$1000,MATCH(data!$A37,Haver_M!$B$1:$B$1000,0),MATCH(data!AA$1,Haver_M!$B$1:$ZN$1,0))),INDEX(Haver_M!$B$1:$ZN$1000,MATCH(data!$A37,Haver_M!$B$1:$B$1000,0),MATCH(data!AA$1,Haver_M!$B$1:$ZN$1,0)),"na")</f>
        <v>na</v>
      </c>
      <c r="AB37">
        <f>IF(ISNUMBER(INDEX(Haver_M!$B$1:$ZN$1000,MATCH(data!$A37,Haver_M!$B$1:$B$1000,0),MATCH(data!AB$1,Haver_M!$B$1:$ZN$1,0))),INDEX(Haver_M!$B$1:$ZN$1000,MATCH(data!$A37,Haver_M!$B$1:$B$1000,0),MATCH(data!AB$1,Haver_M!$B$1:$ZN$1,0)),"na")</f>
        <v>13467.6</v>
      </c>
      <c r="AC37">
        <f>IF(ISNUMBER(INDEX(Haver_M!$B$1:$ZN$1000,MATCH(data!$A37,Haver_M!$B$1:$B$1000,0),MATCH(data!AC$1,Haver_M!$B$1:$ZN$1,0))),INDEX(Haver_M!$B$1:$ZN$1000,MATCH(data!$A37,Haver_M!$B$1:$B$1000,0),MATCH(data!AC$1,Haver_M!$B$1:$ZN$1,0)),"na")</f>
        <v>13928.9</v>
      </c>
      <c r="AD37">
        <f>IF(ISNUMBER(INDEX(Haver_M!$B$1:$ZN$1000,MATCH(data!$A37,Haver_M!$B$1:$B$1000,0),MATCH(data!AD$1,Haver_M!$B$1:$ZN$1,0))),INDEX(Haver_M!$B$1:$ZN$1000,MATCH(data!$A37,Haver_M!$B$1:$B$1000,0),MATCH(data!AD$1,Haver_M!$B$1:$ZN$1,0)),"na")</f>
        <v>99.33</v>
      </c>
      <c r="AE37">
        <f>IF(ISNUMBER(INDEX(Haver_M!$B$1:$ZN$1000,MATCH(data!$A37,Haver_M!$B$1:$B$1000,0),MATCH(data!AE$1,Haver_M!$B$1:$ZN$1,0))),INDEX(Haver_M!$B$1:$ZN$1000,MATCH(data!$A37,Haver_M!$B$1:$B$1000,0),MATCH(data!AE$1,Haver_M!$B$1:$ZN$1,0)),"na")</f>
        <v>42.4</v>
      </c>
      <c r="AF37" t="str">
        <f>IF(ISNUMBER(INDEX(Haver_M!$B$1:$ZN$1000,MATCH(data!$A37,Haver_M!$B$1:$B$1000,0),MATCH(data!AF$1,Haver_M!$B$1:$ZN$1,0))),INDEX(Haver_M!$B$1:$ZN$1000,MATCH(data!$A37,Haver_M!$B$1:$B$1000,0),MATCH(data!AF$1,Haver_M!$B$1:$ZN$1,0)),"na")</f>
        <v>na</v>
      </c>
      <c r="AG37" t="str">
        <f>IF(ISNUMBER(INDEX(Haver_M!$B$1:$ZN$1000,MATCH(data!$A37,Haver_M!$B$1:$B$1000,0),MATCH(data!AG$1,Haver_M!$B$1:$ZN$1,0))),INDEX(Haver_M!$B$1:$ZN$1000,MATCH(data!$A37,Haver_M!$B$1:$B$1000,0),MATCH(data!AG$1,Haver_M!$B$1:$ZN$1,0)),"na")</f>
        <v>na</v>
      </c>
      <c r="AH37" t="str">
        <f>IF(ISNUMBER(INDEX(Haver_M!$B$1:$ZN$1000,MATCH(data!$A37,Haver_M!$B$1:$B$1000,0),MATCH(data!AH$1,Haver_M!$B$1:$ZN$1,0))),INDEX(Haver_M!$B$1:$ZN$1000,MATCH(data!$A37,Haver_M!$B$1:$B$1000,0),MATCH(data!AH$1,Haver_M!$B$1:$ZN$1,0)),"na")</f>
        <v>na</v>
      </c>
      <c r="AI37" t="str">
        <f>IF(ISNUMBER(INDEX(Haver_M!$B$1:$ZN$1000,MATCH(data!$A37,Haver_M!$B$1:$B$1000,0),MATCH(data!AI$1,Haver_M!$B$1:$ZN$1,0))),INDEX(Haver_M!$B$1:$ZN$1000,MATCH(data!$A37,Haver_M!$B$1:$B$1000,0),MATCH(data!AI$1,Haver_M!$B$1:$ZN$1,0)),"na")</f>
        <v>na</v>
      </c>
      <c r="AJ37" t="str">
        <f>IF(ISNUMBER(INDEX(Haver_M!$B$1:$ZN$1000,MATCH(data!$A37,Haver_M!$B$1:$B$1000,0),MATCH(data!AJ$1,Haver_M!$B$1:$ZN$1,0))),INDEX(Haver_M!$B$1:$ZN$1000,MATCH(data!$A37,Haver_M!$B$1:$B$1000,0),MATCH(data!AJ$1,Haver_M!$B$1:$ZN$1,0)),"na")</f>
        <v>na</v>
      </c>
      <c r="AK37" t="str">
        <f>IF(ISNUMBER(INDEX(Haver_M!$B$1:$ZN$1000,MATCH(data!$A37,Haver_M!$B$1:$B$1000,0),MATCH(data!AK$1,Haver_M!$B$1:$ZN$1,0))),INDEX(Haver_M!$B$1:$ZN$1000,MATCH(data!$A37,Haver_M!$B$1:$B$1000,0),MATCH(data!AK$1,Haver_M!$B$1:$ZN$1,0)),"na")</f>
        <v>na</v>
      </c>
      <c r="AL37" t="str">
        <f>IF(ISNUMBER(INDEX(Haver_M!$B$1:$ZN$1000,MATCH(data!$A37,Haver_M!$B$1:$B$1000,0),MATCH(data!AL$1,Haver_M!$B$1:$ZN$1,0))),INDEX(Haver_M!$B$1:$ZN$1000,MATCH(data!$A37,Haver_M!$B$1:$B$1000,0),MATCH(data!AL$1,Haver_M!$B$1:$ZN$1,0)),"na")</f>
        <v>na</v>
      </c>
      <c r="AM37" t="str">
        <f>IF(ISNUMBER(INDEX(Haver_M!$B$1:$ZN$1000,MATCH(data!$A37,Haver_M!$B$1:$B$1000,0),MATCH(data!AM$1,Haver_M!$B$1:$ZN$1,0))),INDEX(Haver_M!$B$1:$ZN$1000,MATCH(data!$A37,Haver_M!$B$1:$B$1000,0),MATCH(data!AM$1,Haver_M!$B$1:$ZN$1,0)),"na")</f>
        <v>na</v>
      </c>
      <c r="AN37" t="str">
        <f>IF(ISNUMBER(INDEX(Haver_M!$B$1:$ZN$1000,MATCH(data!$A37,Haver_M!$B$1:$B$1000,0),MATCH(data!AN$1,Haver_M!$B$1:$ZN$1,0))),INDEX(Haver_M!$B$1:$ZN$1000,MATCH(data!$A37,Haver_M!$B$1:$B$1000,0),MATCH(data!AN$1,Haver_M!$B$1:$ZN$1,0)),"na")</f>
        <v>na</v>
      </c>
      <c r="AO37" t="str">
        <f>IF(ISNUMBER(INDEX(Haver_M!$B$1:$ZN$1000,MATCH(data!$A37,Haver_M!$B$1:$B$1000,0),MATCH(data!AO$1,Haver_M!$B$1:$ZN$1,0))),INDEX(Haver_M!$B$1:$ZN$1000,MATCH(data!$A37,Haver_M!$B$1:$B$1000,0),MATCH(data!AO$1,Haver_M!$B$1:$ZN$1,0)),"na")</f>
        <v>na</v>
      </c>
      <c r="AP37" t="str">
        <f>IF(ISNUMBER(INDEX(Haver_M!$B$1:$ZN$1000,MATCH(data!$A37,Haver_M!$B$1:$B$1000,0),MATCH(data!AP$1,Haver_M!$B$1:$ZN$1,0))),INDEX(Haver_M!$B$1:$ZN$1000,MATCH(data!$A37,Haver_M!$B$1:$B$1000,0),MATCH(data!AP$1,Haver_M!$B$1:$ZN$1,0)),"na")</f>
        <v>na</v>
      </c>
      <c r="AQ37" t="str">
        <f>IF(ISNUMBER(INDEX(Haver_M!$B$1:$ZN$1000,MATCH(data!$A37,Haver_M!$B$1:$B$1000,0),MATCH(data!AQ$1,Haver_M!$B$1:$ZN$1,0))),INDEX(Haver_M!$B$1:$ZN$1000,MATCH(data!$A37,Haver_M!$B$1:$B$1000,0),MATCH(data!AQ$1,Haver_M!$B$1:$ZN$1,0)),"na")</f>
        <v>na</v>
      </c>
      <c r="AR37" t="str">
        <f>IF(ISNUMBER(INDEX(Haver_M!$B$1:$ZN$1000,MATCH(data!$A37,Haver_M!$B$1:$B$1000,0),MATCH(data!AR$1,Haver_M!$B$1:$ZN$1,0))),INDEX(Haver_M!$B$1:$ZN$1000,MATCH(data!$A37,Haver_M!$B$1:$B$1000,0),MATCH(data!AR$1,Haver_M!$B$1:$ZN$1,0)),"na")</f>
        <v>na</v>
      </c>
      <c r="AS37">
        <f>IF(ISNUMBER(INDEX(Haver_M!$B$1:$ZN$1000,MATCH(data!$A37,Haver_M!$B$1:$B$1000,0),MATCH(data!AS$1,Haver_M!$B$1:$ZN$1,0))),INDEX(Haver_M!$B$1:$ZN$1000,MATCH(data!$A37,Haver_M!$B$1:$B$1000,0),MATCH(data!AS$1,Haver_M!$B$1:$ZN$1,0)),"na")</f>
        <v>6142.73</v>
      </c>
      <c r="AT37">
        <f>IF(ISNUMBER(INDEX(Haver_M!$B$1:$ZN$1000,MATCH(data!$A37,Haver_M!$B$1:$B$1000,0),MATCH(data!AT$1,Haver_M!$B$1:$ZN$1,0))),INDEX(Haver_M!$B$1:$ZN$1000,MATCH(data!$A37,Haver_M!$B$1:$B$1000,0),MATCH(data!AT$1,Haver_M!$B$1:$ZN$1,0)),"na")</f>
        <v>81.007999999999996</v>
      </c>
      <c r="AU37">
        <f>IF(ISNUMBER(INDEX(Haver_M!$B$1:$ZN$1000,MATCH(data!$A37,Haver_M!$B$1:$B$1000,0),MATCH(data!AU$1,Haver_M!$B$1:$ZN$1,0))),INDEX(Haver_M!$B$1:$ZN$1000,MATCH(data!$A37,Haver_M!$B$1:$B$1000,0),MATCH(data!AU$1,Haver_M!$B$1:$ZN$1,0)),"na")</f>
        <v>79.963317000000004</v>
      </c>
      <c r="AV37">
        <f>IF(ISNUMBER(INDEX(Haver_M!$B$1:$ZN$1000,MATCH(data!$A37,Haver_M!$B$1:$B$1000,0),MATCH(data!AV$1,Haver_M!$B$1:$ZN$1,0))),INDEX(Haver_M!$B$1:$ZN$1000,MATCH(data!$A37,Haver_M!$B$1:$B$1000,0),MATCH(data!AV$1,Haver_M!$B$1:$ZN$1,0)),"na")</f>
        <v>69.400000000000006</v>
      </c>
      <c r="AW37">
        <f>IF(ISNUMBER(INDEX(Haver_M!$B$1:$ZN$1000,MATCH(data!$A37,Haver_M!$B$1:$B$1000,0),MATCH(data!AW$1,Haver_M!$B$1:$ZN$1,0))),INDEX(Haver_M!$B$1:$ZN$1000,MATCH(data!$A37,Haver_M!$B$1:$B$1000,0),MATCH(data!AW$1,Haver_M!$B$1:$ZN$1,0)),"na")</f>
        <v>788394.52614883531</v>
      </c>
      <c r="AX37">
        <f>IF(ISNUMBER(INDEX(Haver_M!$B$1:$ZN$1000,MATCH(data!$A37,Haver_M!$B$1:$B$1000,0),MATCH(data!AX$1,Haver_M!$B$1:$ZN$1,0))),INDEX(Haver_M!$B$1:$ZN$1000,MATCH(data!$A37,Haver_M!$B$1:$B$1000,0),MATCH(data!AX$1,Haver_M!$B$1:$ZN$1,0)),"na")</f>
        <v>3233</v>
      </c>
      <c r="AY37">
        <f>IF(ISNUMBER(INDEX(Haver_M!$B$1:$ZN$1000,MATCH(data!$A37,Haver_M!$B$1:$B$1000,0),MATCH(data!AY$1,Haver_M!$B$1:$ZN$1,0))),INDEX(Haver_M!$B$1:$ZN$1000,MATCH(data!$A37,Haver_M!$B$1:$B$1000,0),MATCH(data!AY$1,Haver_M!$B$1:$ZN$1,0)),"na")</f>
        <v>1814</v>
      </c>
      <c r="AZ37" t="str">
        <f>IF(ISNUMBER(INDEX(Haver_M!$B$1:$ZN$1000,MATCH(data!$A37,Haver_M!$B$1:$B$1000,0),MATCH(data!AZ$1,Haver_M!$B$1:$ZN$1,0))),INDEX(Haver_M!$B$1:$ZN$1000,MATCH(data!$A37,Haver_M!$B$1:$B$1000,0),MATCH(data!AZ$1,Haver_M!$B$1:$ZN$1,0)),"na")</f>
        <v>na</v>
      </c>
      <c r="BA37">
        <f>IF(ISNUMBER(INDEX(Haver_M!$B$1:$ZN$1000,MATCH(data!$A37,Haver_M!$B$1:$B$1000,0),MATCH(data!BA$1,Haver_M!$B$1:$ZN$1,0))),INDEX(Haver_M!$B$1:$ZN$1000,MATCH(data!$A37,Haver_M!$B$1:$B$1000,0),MATCH(data!BA$1,Haver_M!$B$1:$ZN$1,0)),"na")</f>
        <v>159.22744294443675</v>
      </c>
      <c r="BB37" t="str">
        <f>IF(ISNUMBER(INDEX(Haver_M!$B$1:$ZN$1000,MATCH(data!$A37,Haver_M!$B$1:$B$1000,0),MATCH(data!BB$1,Haver_M!$B$1:$ZN$1,0))),INDEX(Haver_M!$B$1:$ZN$1000,MATCH(data!$A37,Haver_M!$B$1:$B$1000,0),MATCH(data!BB$1,Haver_M!$B$1:$ZN$1,0)),"")</f>
        <v/>
      </c>
    </row>
    <row r="38" spans="1:54" x14ac:dyDescent="0.25">
      <c r="A38" s="2">
        <v>37652</v>
      </c>
      <c r="B38" t="str">
        <f>IF(ISNUMBER(INDEX(Haver_Q!$B$1:$BD$1000,MATCH(data!$A38,Haver_Q!$B$1:$B$1000,0),MATCH(data!B$1,Haver_Q!$B$1:$BD$1,0))),100*INDEX(Haver_Q!$B$1:$BD$1000,MATCH(data!$A38,Haver_Q!$B$1:$B$1000,0),MATCH(data!B$1,Haver_Q!$B$1:$BD$1,0)),"na")</f>
        <v>na</v>
      </c>
      <c r="C38" t="str">
        <f>IF(ISNUMBER(INDEX(Haver_Q!$B$1:$BD$1000,MATCH(data!$A38,Haver_Q!$B$1:$B$1000,0),MATCH(data!C$1,Haver_Q!$B$1:$BD$1,0))),100*INDEX(Haver_Q!$B$1:$BD$1000,MATCH(data!$A38,Haver_Q!$B$1:$B$1000,0),MATCH(data!C$1,Haver_Q!$B$1:$BD$1,0)),"na")</f>
        <v>na</v>
      </c>
      <c r="D38" t="str">
        <f>IF(ISNUMBER(INDEX(Haver_Q!$B$1:$BD$1000,MATCH(data!$A38,Haver_Q!$B$1:$B$1000,0),MATCH(data!D$1,Haver_Q!$B$1:$BD$1,0))),100*INDEX(Haver_Q!$B$1:$BD$1000,MATCH(data!$A38,Haver_Q!$B$1:$B$1000,0),MATCH(data!D$1,Haver_Q!$B$1:$BD$1,0)),"na")</f>
        <v>na</v>
      </c>
      <c r="E38" t="str">
        <f>IF(ISNUMBER(INDEX(Haver_Q!$B$1:$BD$1000,MATCH(data!$A38,Haver_Q!$B$1:$B$1000,0),MATCH(data!E$1,Haver_Q!$B$1:$BD$1,0))),100*INDEX(Haver_Q!$B$1:$BD$1000,MATCH(data!$A38,Haver_Q!$B$1:$B$1000,0),MATCH(data!E$1,Haver_Q!$B$1:$BD$1,0)),"na")</f>
        <v>na</v>
      </c>
      <c r="F38" t="str">
        <f>IF(ISNUMBER(INDEX(Haver_Q!$B$1:$BD$1000,MATCH(data!$A38,Haver_Q!$B$1:$B$1000,0),MATCH(data!F$1,Haver_Q!$B$1:$BD$1,0))),100*INDEX(Haver_Q!$B$1:$BD$1000,MATCH(data!$A38,Haver_Q!$B$1:$B$1000,0),MATCH(data!F$1,Haver_Q!$B$1:$BD$1,0)),"na")</f>
        <v>na</v>
      </c>
      <c r="G38" t="str">
        <f>IF(ISNUMBER(INDEX(Haver_Q!$B$1:$BD$1000,MATCH(data!$A38,Haver_Q!$B$1:$B$1000,0),MATCH(data!G$1,Haver_Q!$B$1:$BD$1,0))),100*INDEX(Haver_Q!$B$1:$BD$1000,MATCH(data!$A38,Haver_Q!$B$1:$B$1000,0),MATCH(data!G$1,Haver_Q!$B$1:$BD$1,0)),"na")</f>
        <v>na</v>
      </c>
      <c r="H38" t="str">
        <f>IF(ISNUMBER(INDEX(Haver_Q!$B$1:$BD$1000,MATCH(data!$A38,Haver_Q!$B$1:$B$1000,0),MATCH(data!H$1,Haver_Q!$B$1:$BD$1,0))),100*INDEX(Haver_Q!$B$1:$BD$1000,MATCH(data!$A38,Haver_Q!$B$1:$B$1000,0),MATCH(data!H$1,Haver_Q!$B$1:$BD$1,0)),"na")</f>
        <v>na</v>
      </c>
      <c r="I38" s="3">
        <f>IF(ISNUMBER(Bloomberg_m!C54),Bloomberg_m!C54,"na")</f>
        <v>1694</v>
      </c>
      <c r="J38" s="3" t="str">
        <f>IF(ISNUMBER(Bloomberg_m!D54),Bloomberg_m!D54,"na")</f>
        <v>na</v>
      </c>
      <c r="K38" s="3" t="str">
        <f>IF(ISNUMBER(Bloomberg_m!E54),Bloomberg_m!E54,"na")</f>
        <v>na</v>
      </c>
      <c r="L38" s="3">
        <f>IF(ISNUMBER(Bloomberg_m!L54),Bloomberg_m!L54,"na")</f>
        <v>32.950000000000003</v>
      </c>
      <c r="M38" t="str">
        <f>IF(ISNUMBER(INDEX(Haver_M!$B$1:$ZN$1000,MATCH(data!$A38,Haver_M!$B$1:$B$1000,0),MATCH(data!M$1,Haver_M!$B$1:$ZN$1,0))),INDEX(Haver_M!$B$1:$ZN$1000,MATCH(data!$A38,Haver_M!$B$1:$B$1000,0),MATCH(data!M$1,Haver_M!$B$1:$ZN$1,0)),"na")</f>
        <v>na</v>
      </c>
      <c r="N38" t="str">
        <f>IF(ISNUMBER(INDEX(Haver_M!$B$1:$ZN$1000,MATCH(data!$A38,Haver_M!$B$1:$B$1000,0),MATCH(data!N$1,Haver_M!$B$1:$ZN$1,0))),INDEX(Haver_M!$B$1:$ZN$1000,MATCH(data!$A38,Haver_M!$B$1:$B$1000,0),MATCH(data!N$1,Haver_M!$B$1:$ZN$1,0)),"na")</f>
        <v>na</v>
      </c>
      <c r="O38">
        <f>IF(ISNUMBER(INDEX(Haver_M!$B$1:$ZN$1000,MATCH(data!$A38,Haver_M!$B$1:$B$1000,0),MATCH(data!O$1,Haver_M!$B$1:$ZN$1,0))),INDEX(Haver_M!$B$1:$ZN$1000,MATCH(data!$A38,Haver_M!$B$1:$B$1000,0),MATCH(data!O$1,Haver_M!$B$1:$ZN$1,0)),"na")</f>
        <v>115.15513</v>
      </c>
      <c r="P38">
        <f>IF(ISNUMBER(INDEX(Haver_M!$B$1:$ZN$1000,MATCH(data!$A38,Haver_M!$B$1:$B$1000,0),MATCH(data!P$1,Haver_M!$B$1:$ZN$1,0))),INDEX(Haver_M!$B$1:$ZN$1000,MATCH(data!$A38,Haver_M!$B$1:$B$1000,0),MATCH(data!P$1,Haver_M!$B$1:$ZN$1,0)),"na")</f>
        <v>53.274900000000002</v>
      </c>
      <c r="Q38">
        <f>IF(ISNUMBER(INDEX(Haver_M!$B$1:$ZN$1000,MATCH(data!$A38,Haver_M!$B$1:$B$1000,0),MATCH(data!Q$1,Haver_M!$B$1:$ZN$1,0))),INDEX(Haver_M!$B$1:$ZN$1000,MATCH(data!$A38,Haver_M!$B$1:$B$1000,0),MATCH(data!Q$1,Haver_M!$B$1:$ZN$1,0)),"na")</f>
        <v>57.4465</v>
      </c>
      <c r="R38">
        <f>IF(ISNUMBER(INDEX(Haver_M!$B$1:$ZN$1000,MATCH(data!$A38,Haver_M!$B$1:$B$1000,0),MATCH(data!R$1,Haver_M!$B$1:$ZN$1,0))),INDEX(Haver_M!$B$1:$ZN$1000,MATCH(data!$A38,Haver_M!$B$1:$B$1000,0),MATCH(data!R$1,Haver_M!$B$1:$ZN$1,0)),"na")</f>
        <v>87.667199999999994</v>
      </c>
      <c r="S38">
        <f>IF(ISNUMBER(INDEX(Haver_M!$B$1:$ZN$1000,MATCH(data!$A38,Haver_M!$B$1:$B$1000,0),MATCH(data!S$1,Haver_M!$B$1:$ZN$1,0))),INDEX(Haver_M!$B$1:$ZN$1000,MATCH(data!$A38,Haver_M!$B$1:$B$1000,0),MATCH(data!S$1,Haver_M!$B$1:$ZN$1,0)),"na")</f>
        <v>109.02290000000001</v>
      </c>
      <c r="T38">
        <f>IF(ISNUMBER(INDEX(Haver_M!$B$1:$ZN$1000,MATCH(data!$A38,Haver_M!$B$1:$B$1000,0),MATCH(data!T$1,Haver_M!$B$1:$ZN$1,0))),INDEX(Haver_M!$B$1:$ZN$1000,MATCH(data!$A38,Haver_M!$B$1:$B$1000,0),MATCH(data!T$1,Haver_M!$B$1:$ZN$1,0)),"na")</f>
        <v>58.961599999999997</v>
      </c>
      <c r="U38">
        <f>IF(ISNUMBER(INDEX(Haver_M!$B$1:$ZN$1000,MATCH(data!$A38,Haver_M!$B$1:$B$1000,0),MATCH(data!U$1,Haver_M!$B$1:$ZN$1,0))),INDEX(Haver_M!$B$1:$ZN$1000,MATCH(data!$A38,Haver_M!$B$1:$B$1000,0),MATCH(data!U$1,Haver_M!$B$1:$ZN$1,0)),"na")</f>
        <v>78.339100000000002</v>
      </c>
      <c r="V38">
        <f>IF(ISNUMBER(INDEX(Haver_M!$B$1:$ZN$1000,MATCH(data!$A38,Haver_M!$B$1:$B$1000,0),MATCH(data!V$1,Haver_M!$B$1:$ZN$1,0))),INDEX(Haver_M!$B$1:$ZN$1000,MATCH(data!$A38,Haver_M!$B$1:$B$1000,0),MATCH(data!V$1,Haver_M!$B$1:$ZN$1,0)),"na")</f>
        <v>85.428100000000001</v>
      </c>
      <c r="W38">
        <f>IF(ISNUMBER(INDEX(Haver_M!$B$1:$ZN$1000,MATCH(data!$A38,Haver_M!$B$1:$B$1000,0),MATCH(data!W$1,Haver_M!$B$1:$ZN$1,0))),INDEX(Haver_M!$B$1:$ZN$1000,MATCH(data!$A38,Haver_M!$B$1:$B$1000,0),MATCH(data!W$1,Haver_M!$B$1:$ZN$1,0)),"na")</f>
        <v>2.9</v>
      </c>
      <c r="X38" t="str">
        <f>IF(ISNUMBER(INDEX(Haver_M!$B$1:$ZN$1000,MATCH(data!$A38,Haver_M!$B$1:$B$1000,0),MATCH(data!X$1,Haver_M!$B$1:$ZN$1,0))),INDEX(Haver_M!$B$1:$ZN$1000,MATCH(data!$A38,Haver_M!$B$1:$B$1000,0),MATCH(data!X$1,Haver_M!$B$1:$ZN$1,0)),"na")</f>
        <v>na</v>
      </c>
      <c r="Y38">
        <f>IF(ISNUMBER(INDEX(Haver_M!$B$1:$ZN$1000,MATCH(data!$A38,Haver_M!$B$1:$B$1000,0),MATCH(data!Y$1,Haver_M!$B$1:$ZN$1,0))),INDEX(Haver_M!$B$1:$ZN$1000,MATCH(data!$A38,Haver_M!$B$1:$B$1000,0),MATCH(data!Y$1,Haver_M!$B$1:$ZN$1,0)),"na")</f>
        <v>97.68</v>
      </c>
      <c r="Z38">
        <f>IF(ISNUMBER(INDEX(Haver_M!$B$1:$ZN$1000,MATCH(data!$A38,Haver_M!$B$1:$B$1000,0),MATCH(data!Z$1,Haver_M!$B$1:$ZN$1,0))),INDEX(Haver_M!$B$1:$ZN$1000,MATCH(data!$A38,Haver_M!$B$1:$B$1000,0),MATCH(data!Z$1,Haver_M!$B$1:$ZN$1,0)),"na")</f>
        <v>80.257900000000006</v>
      </c>
      <c r="AA38" t="str">
        <f>IF(ISNUMBER(INDEX(Haver_M!$B$1:$ZN$1000,MATCH(data!$A38,Haver_M!$B$1:$B$1000,0),MATCH(data!AA$1,Haver_M!$B$1:$ZN$1,0))),INDEX(Haver_M!$B$1:$ZN$1000,MATCH(data!$A38,Haver_M!$B$1:$B$1000,0),MATCH(data!AA$1,Haver_M!$B$1:$ZN$1,0)),"na")</f>
        <v>na</v>
      </c>
      <c r="AB38">
        <f>IF(ISNUMBER(INDEX(Haver_M!$B$1:$ZN$1000,MATCH(data!$A38,Haver_M!$B$1:$B$1000,0),MATCH(data!AB$1,Haver_M!$B$1:$ZN$1,0))),INDEX(Haver_M!$B$1:$ZN$1000,MATCH(data!$A38,Haver_M!$B$1:$B$1000,0),MATCH(data!AB$1,Haver_M!$B$1:$ZN$1,0)),"na")</f>
        <v>14140.9</v>
      </c>
      <c r="AC38">
        <f>IF(ISNUMBER(INDEX(Haver_M!$B$1:$ZN$1000,MATCH(data!$A38,Haver_M!$B$1:$B$1000,0),MATCH(data!AC$1,Haver_M!$B$1:$ZN$1,0))),INDEX(Haver_M!$B$1:$ZN$1000,MATCH(data!$A38,Haver_M!$B$1:$B$1000,0),MATCH(data!AC$1,Haver_M!$B$1:$ZN$1,0)),"na")</f>
        <v>14065</v>
      </c>
      <c r="AD38">
        <f>IF(ISNUMBER(INDEX(Haver_M!$B$1:$ZN$1000,MATCH(data!$A38,Haver_M!$B$1:$B$1000,0),MATCH(data!AD$1,Haver_M!$B$1:$ZN$1,0))),INDEX(Haver_M!$B$1:$ZN$1000,MATCH(data!$A38,Haver_M!$B$1:$B$1000,0),MATCH(data!AD$1,Haver_M!$B$1:$ZN$1,0)),"na")</f>
        <v>99.27</v>
      </c>
      <c r="AE38">
        <f>IF(ISNUMBER(INDEX(Haver_M!$B$1:$ZN$1000,MATCH(data!$A38,Haver_M!$B$1:$B$1000,0),MATCH(data!AE$1,Haver_M!$B$1:$ZN$1,0))),INDEX(Haver_M!$B$1:$ZN$1000,MATCH(data!$A38,Haver_M!$B$1:$B$1000,0),MATCH(data!AE$1,Haver_M!$B$1:$ZN$1,0)),"na")</f>
        <v>40.799999999999997</v>
      </c>
      <c r="AF38" t="str">
        <f>IF(ISNUMBER(INDEX(Haver_M!$B$1:$ZN$1000,MATCH(data!$A38,Haver_M!$B$1:$B$1000,0),MATCH(data!AF$1,Haver_M!$B$1:$ZN$1,0))),INDEX(Haver_M!$B$1:$ZN$1000,MATCH(data!$A38,Haver_M!$B$1:$B$1000,0),MATCH(data!AF$1,Haver_M!$B$1:$ZN$1,0)),"na")</f>
        <v>na</v>
      </c>
      <c r="AG38" t="str">
        <f>IF(ISNUMBER(INDEX(Haver_M!$B$1:$ZN$1000,MATCH(data!$A38,Haver_M!$B$1:$B$1000,0),MATCH(data!AG$1,Haver_M!$B$1:$ZN$1,0))),INDEX(Haver_M!$B$1:$ZN$1000,MATCH(data!$A38,Haver_M!$B$1:$B$1000,0),MATCH(data!AG$1,Haver_M!$B$1:$ZN$1,0)),"na")</f>
        <v>na</v>
      </c>
      <c r="AH38" t="str">
        <f>IF(ISNUMBER(INDEX(Haver_M!$B$1:$ZN$1000,MATCH(data!$A38,Haver_M!$B$1:$B$1000,0),MATCH(data!AH$1,Haver_M!$B$1:$ZN$1,0))),INDEX(Haver_M!$B$1:$ZN$1000,MATCH(data!$A38,Haver_M!$B$1:$B$1000,0),MATCH(data!AH$1,Haver_M!$B$1:$ZN$1,0)),"na")</f>
        <v>na</v>
      </c>
      <c r="AI38" t="str">
        <f>IF(ISNUMBER(INDEX(Haver_M!$B$1:$ZN$1000,MATCH(data!$A38,Haver_M!$B$1:$B$1000,0),MATCH(data!AI$1,Haver_M!$B$1:$ZN$1,0))),INDEX(Haver_M!$B$1:$ZN$1000,MATCH(data!$A38,Haver_M!$B$1:$B$1000,0),MATCH(data!AI$1,Haver_M!$B$1:$ZN$1,0)),"na")</f>
        <v>na</v>
      </c>
      <c r="AJ38" t="str">
        <f>IF(ISNUMBER(INDEX(Haver_M!$B$1:$ZN$1000,MATCH(data!$A38,Haver_M!$B$1:$B$1000,0),MATCH(data!AJ$1,Haver_M!$B$1:$ZN$1,0))),INDEX(Haver_M!$B$1:$ZN$1000,MATCH(data!$A38,Haver_M!$B$1:$B$1000,0),MATCH(data!AJ$1,Haver_M!$B$1:$ZN$1,0)),"na")</f>
        <v>na</v>
      </c>
      <c r="AK38" t="str">
        <f>IF(ISNUMBER(INDEX(Haver_M!$B$1:$ZN$1000,MATCH(data!$A38,Haver_M!$B$1:$B$1000,0),MATCH(data!AK$1,Haver_M!$B$1:$ZN$1,0))),INDEX(Haver_M!$B$1:$ZN$1000,MATCH(data!$A38,Haver_M!$B$1:$B$1000,0),MATCH(data!AK$1,Haver_M!$B$1:$ZN$1,0)),"na")</f>
        <v>na</v>
      </c>
      <c r="AL38" t="str">
        <f>IF(ISNUMBER(INDEX(Haver_M!$B$1:$ZN$1000,MATCH(data!$A38,Haver_M!$B$1:$B$1000,0),MATCH(data!AL$1,Haver_M!$B$1:$ZN$1,0))),INDEX(Haver_M!$B$1:$ZN$1000,MATCH(data!$A38,Haver_M!$B$1:$B$1000,0),MATCH(data!AL$1,Haver_M!$B$1:$ZN$1,0)),"na")</f>
        <v>na</v>
      </c>
      <c r="AM38" t="str">
        <f>IF(ISNUMBER(INDEX(Haver_M!$B$1:$ZN$1000,MATCH(data!$A38,Haver_M!$B$1:$B$1000,0),MATCH(data!AM$1,Haver_M!$B$1:$ZN$1,0))),INDEX(Haver_M!$B$1:$ZN$1000,MATCH(data!$A38,Haver_M!$B$1:$B$1000,0),MATCH(data!AM$1,Haver_M!$B$1:$ZN$1,0)),"na")</f>
        <v>na</v>
      </c>
      <c r="AN38" t="str">
        <f>IF(ISNUMBER(INDEX(Haver_M!$B$1:$ZN$1000,MATCH(data!$A38,Haver_M!$B$1:$B$1000,0),MATCH(data!AN$1,Haver_M!$B$1:$ZN$1,0))),INDEX(Haver_M!$B$1:$ZN$1000,MATCH(data!$A38,Haver_M!$B$1:$B$1000,0),MATCH(data!AN$1,Haver_M!$B$1:$ZN$1,0)),"na")</f>
        <v>na</v>
      </c>
      <c r="AO38" t="str">
        <f>IF(ISNUMBER(INDEX(Haver_M!$B$1:$ZN$1000,MATCH(data!$A38,Haver_M!$B$1:$B$1000,0),MATCH(data!AO$1,Haver_M!$B$1:$ZN$1,0))),INDEX(Haver_M!$B$1:$ZN$1000,MATCH(data!$A38,Haver_M!$B$1:$B$1000,0),MATCH(data!AO$1,Haver_M!$B$1:$ZN$1,0)),"na")</f>
        <v>na</v>
      </c>
      <c r="AP38" t="str">
        <f>IF(ISNUMBER(INDEX(Haver_M!$B$1:$ZN$1000,MATCH(data!$A38,Haver_M!$B$1:$B$1000,0),MATCH(data!AP$1,Haver_M!$B$1:$ZN$1,0))),INDEX(Haver_M!$B$1:$ZN$1000,MATCH(data!$A38,Haver_M!$B$1:$B$1000,0),MATCH(data!AP$1,Haver_M!$B$1:$ZN$1,0)),"na")</f>
        <v>na</v>
      </c>
      <c r="AQ38" t="str">
        <f>IF(ISNUMBER(INDEX(Haver_M!$B$1:$ZN$1000,MATCH(data!$A38,Haver_M!$B$1:$B$1000,0),MATCH(data!AQ$1,Haver_M!$B$1:$ZN$1,0))),INDEX(Haver_M!$B$1:$ZN$1000,MATCH(data!$A38,Haver_M!$B$1:$B$1000,0),MATCH(data!AQ$1,Haver_M!$B$1:$ZN$1,0)),"na")</f>
        <v>na</v>
      </c>
      <c r="AR38" t="str">
        <f>IF(ISNUMBER(INDEX(Haver_M!$B$1:$ZN$1000,MATCH(data!$A38,Haver_M!$B$1:$B$1000,0),MATCH(data!AR$1,Haver_M!$B$1:$ZN$1,0))),INDEX(Haver_M!$B$1:$ZN$1000,MATCH(data!$A38,Haver_M!$B$1:$B$1000,0),MATCH(data!AR$1,Haver_M!$B$1:$ZN$1,0)),"na")</f>
        <v>na</v>
      </c>
      <c r="AS38">
        <f>IF(ISNUMBER(INDEX(Haver_M!$B$1:$ZN$1000,MATCH(data!$A38,Haver_M!$B$1:$B$1000,0),MATCH(data!AS$1,Haver_M!$B$1:$ZN$1,0))),INDEX(Haver_M!$B$1:$ZN$1000,MATCH(data!$A38,Haver_M!$B$1:$B$1000,0),MATCH(data!AS$1,Haver_M!$B$1:$ZN$1,0)),"na")</f>
        <v>6168.1</v>
      </c>
      <c r="AT38">
        <f>IF(ISNUMBER(INDEX(Haver_M!$B$1:$ZN$1000,MATCH(data!$A38,Haver_M!$B$1:$B$1000,0),MATCH(data!AT$1,Haver_M!$B$1:$ZN$1,0))),INDEX(Haver_M!$B$1:$ZN$1000,MATCH(data!$A38,Haver_M!$B$1:$B$1000,0),MATCH(data!AT$1,Haver_M!$B$1:$ZN$1,0)),"na")</f>
        <v>82.156000000000006</v>
      </c>
      <c r="AU38">
        <f>IF(ISNUMBER(INDEX(Haver_M!$B$1:$ZN$1000,MATCH(data!$A38,Haver_M!$B$1:$B$1000,0),MATCH(data!AU$1,Haver_M!$B$1:$ZN$1,0))),INDEX(Haver_M!$B$1:$ZN$1000,MATCH(data!$A38,Haver_M!$B$1:$B$1000,0),MATCH(data!AU$1,Haver_M!$B$1:$ZN$1,0)),"na")</f>
        <v>80.026015000000001</v>
      </c>
      <c r="AV38">
        <f>IF(ISNUMBER(INDEX(Haver_M!$B$1:$ZN$1000,MATCH(data!$A38,Haver_M!$B$1:$B$1000,0),MATCH(data!AV$1,Haver_M!$B$1:$ZN$1,0))),INDEX(Haver_M!$B$1:$ZN$1000,MATCH(data!$A38,Haver_M!$B$1:$B$1000,0),MATCH(data!AV$1,Haver_M!$B$1:$ZN$1,0)),"na")</f>
        <v>70.400000000000006</v>
      </c>
      <c r="AW38">
        <f>IF(ISNUMBER(INDEX(Haver_M!$B$1:$ZN$1000,MATCH(data!$A38,Haver_M!$B$1:$B$1000,0),MATCH(data!AW$1,Haver_M!$B$1:$ZN$1,0))),INDEX(Haver_M!$B$1:$ZN$1000,MATCH(data!$A38,Haver_M!$B$1:$B$1000,0),MATCH(data!AW$1,Haver_M!$B$1:$ZN$1,0)),"na")</f>
        <v>748382.50552842033</v>
      </c>
      <c r="AX38">
        <f>IF(ISNUMBER(INDEX(Haver_M!$B$1:$ZN$1000,MATCH(data!$A38,Haver_M!$B$1:$B$1000,0),MATCH(data!AX$1,Haver_M!$B$1:$ZN$1,0))),INDEX(Haver_M!$B$1:$ZN$1000,MATCH(data!$A38,Haver_M!$B$1:$B$1000,0),MATCH(data!AX$1,Haver_M!$B$1:$ZN$1,0)),"na")</f>
        <v>3282</v>
      </c>
      <c r="AY38">
        <f>IF(ISNUMBER(INDEX(Haver_M!$B$1:$ZN$1000,MATCH(data!$A38,Haver_M!$B$1:$B$1000,0),MATCH(data!AY$1,Haver_M!$B$1:$ZN$1,0))),INDEX(Haver_M!$B$1:$ZN$1000,MATCH(data!$A38,Haver_M!$B$1:$B$1000,0),MATCH(data!AY$1,Haver_M!$B$1:$ZN$1,0)),"na")</f>
        <v>1973</v>
      </c>
      <c r="AZ38" t="str">
        <f>IF(ISNUMBER(INDEX(Haver_M!$B$1:$ZN$1000,MATCH(data!$A38,Haver_M!$B$1:$B$1000,0),MATCH(data!AZ$1,Haver_M!$B$1:$ZN$1,0))),INDEX(Haver_M!$B$1:$ZN$1000,MATCH(data!$A38,Haver_M!$B$1:$B$1000,0),MATCH(data!AZ$1,Haver_M!$B$1:$ZN$1,0)),"na")</f>
        <v>na</v>
      </c>
      <c r="BA38">
        <f>IF(ISNUMBER(INDEX(Haver_M!$B$1:$ZN$1000,MATCH(data!$A38,Haver_M!$B$1:$B$1000,0),MATCH(data!BA$1,Haver_M!$B$1:$ZN$1,0))),INDEX(Haver_M!$B$1:$ZN$1000,MATCH(data!$A38,Haver_M!$B$1:$B$1000,0),MATCH(data!BA$1,Haver_M!$B$1:$ZN$1,0)),"na")</f>
        <v>274.51129733289667</v>
      </c>
      <c r="BB38" t="str">
        <f>IF(ISNUMBER(INDEX(Haver_M!$B$1:$ZN$1000,MATCH(data!$A38,Haver_M!$B$1:$B$1000,0),MATCH(data!BB$1,Haver_M!$B$1:$ZN$1,0))),INDEX(Haver_M!$B$1:$ZN$1000,MATCH(data!$A38,Haver_M!$B$1:$B$1000,0),MATCH(data!BB$1,Haver_M!$B$1:$ZN$1,0)),"")</f>
        <v/>
      </c>
    </row>
    <row r="39" spans="1:54" x14ac:dyDescent="0.25">
      <c r="A39" s="2">
        <v>37680</v>
      </c>
      <c r="B39" t="str">
        <f>IF(ISNUMBER(INDEX(Haver_Q!$B$1:$BD$1000,MATCH(data!$A39,Haver_Q!$B$1:$B$1000,0),MATCH(data!B$1,Haver_Q!$B$1:$BD$1,0))),100*INDEX(Haver_Q!$B$1:$BD$1000,MATCH(data!$A39,Haver_Q!$B$1:$B$1000,0),MATCH(data!B$1,Haver_Q!$B$1:$BD$1,0)),"na")</f>
        <v>na</v>
      </c>
      <c r="C39" t="str">
        <f>IF(ISNUMBER(INDEX(Haver_Q!$B$1:$BD$1000,MATCH(data!$A39,Haver_Q!$B$1:$B$1000,0),MATCH(data!C$1,Haver_Q!$B$1:$BD$1,0))),100*INDEX(Haver_Q!$B$1:$BD$1000,MATCH(data!$A39,Haver_Q!$B$1:$B$1000,0),MATCH(data!C$1,Haver_Q!$B$1:$BD$1,0)),"na")</f>
        <v>na</v>
      </c>
      <c r="D39" t="str">
        <f>IF(ISNUMBER(INDEX(Haver_Q!$B$1:$BD$1000,MATCH(data!$A39,Haver_Q!$B$1:$B$1000,0),MATCH(data!D$1,Haver_Q!$B$1:$BD$1,0))),100*INDEX(Haver_Q!$B$1:$BD$1000,MATCH(data!$A39,Haver_Q!$B$1:$B$1000,0),MATCH(data!D$1,Haver_Q!$B$1:$BD$1,0)),"na")</f>
        <v>na</v>
      </c>
      <c r="E39" t="str">
        <f>IF(ISNUMBER(INDEX(Haver_Q!$B$1:$BD$1000,MATCH(data!$A39,Haver_Q!$B$1:$B$1000,0),MATCH(data!E$1,Haver_Q!$B$1:$BD$1,0))),100*INDEX(Haver_Q!$B$1:$BD$1000,MATCH(data!$A39,Haver_Q!$B$1:$B$1000,0),MATCH(data!E$1,Haver_Q!$B$1:$BD$1,0)),"na")</f>
        <v>na</v>
      </c>
      <c r="F39" t="str">
        <f>IF(ISNUMBER(INDEX(Haver_Q!$B$1:$BD$1000,MATCH(data!$A39,Haver_Q!$B$1:$B$1000,0),MATCH(data!F$1,Haver_Q!$B$1:$BD$1,0))),100*INDEX(Haver_Q!$B$1:$BD$1000,MATCH(data!$A39,Haver_Q!$B$1:$B$1000,0),MATCH(data!F$1,Haver_Q!$B$1:$BD$1,0)),"na")</f>
        <v>na</v>
      </c>
      <c r="G39" t="str">
        <f>IF(ISNUMBER(INDEX(Haver_Q!$B$1:$BD$1000,MATCH(data!$A39,Haver_Q!$B$1:$B$1000,0),MATCH(data!G$1,Haver_Q!$B$1:$BD$1,0))),100*INDEX(Haver_Q!$B$1:$BD$1000,MATCH(data!$A39,Haver_Q!$B$1:$B$1000,0),MATCH(data!G$1,Haver_Q!$B$1:$BD$1,0)),"na")</f>
        <v>na</v>
      </c>
      <c r="H39" t="str">
        <f>IF(ISNUMBER(INDEX(Haver_Q!$B$1:$BD$1000,MATCH(data!$A39,Haver_Q!$B$1:$B$1000,0),MATCH(data!H$1,Haver_Q!$B$1:$BD$1,0))),100*INDEX(Haver_Q!$B$1:$BD$1000,MATCH(data!$A39,Haver_Q!$B$1:$B$1000,0),MATCH(data!H$1,Haver_Q!$B$1:$BD$1,0)),"na")</f>
        <v>na</v>
      </c>
      <c r="I39" s="3">
        <f>IF(ISNUMBER(Bloomberg_m!C55),Bloomberg_m!C55,"na")</f>
        <v>1674</v>
      </c>
      <c r="J39" s="3" t="str">
        <f>IF(ISNUMBER(Bloomberg_m!D55),Bloomberg_m!D55,"na")</f>
        <v>na</v>
      </c>
      <c r="K39" s="3" t="str">
        <f>IF(ISNUMBER(Bloomberg_m!E55),Bloomberg_m!E55,"na")</f>
        <v>na</v>
      </c>
      <c r="L39" s="3">
        <f>IF(ISNUMBER(Bloomberg_m!L55),Bloomberg_m!L55,"na")</f>
        <v>35.799999999999997</v>
      </c>
      <c r="M39" t="str">
        <f>IF(ISNUMBER(INDEX(Haver_M!$B$1:$ZN$1000,MATCH(data!$A39,Haver_M!$B$1:$B$1000,0),MATCH(data!M$1,Haver_M!$B$1:$ZN$1,0))),INDEX(Haver_M!$B$1:$ZN$1000,MATCH(data!$A39,Haver_M!$B$1:$B$1000,0),MATCH(data!M$1,Haver_M!$B$1:$ZN$1,0)),"na")</f>
        <v>na</v>
      </c>
      <c r="N39" t="str">
        <f>IF(ISNUMBER(INDEX(Haver_M!$B$1:$ZN$1000,MATCH(data!$A39,Haver_M!$B$1:$B$1000,0),MATCH(data!N$1,Haver_M!$B$1:$ZN$1,0))),INDEX(Haver_M!$B$1:$ZN$1000,MATCH(data!$A39,Haver_M!$B$1:$B$1000,0),MATCH(data!N$1,Haver_M!$B$1:$ZN$1,0)),"na")</f>
        <v>na</v>
      </c>
      <c r="O39">
        <f>IF(ISNUMBER(INDEX(Haver_M!$B$1:$ZN$1000,MATCH(data!$A39,Haver_M!$B$1:$B$1000,0),MATCH(data!O$1,Haver_M!$B$1:$ZN$1,0))),INDEX(Haver_M!$B$1:$ZN$1000,MATCH(data!$A39,Haver_M!$B$1:$B$1000,0),MATCH(data!O$1,Haver_M!$B$1:$ZN$1,0)),"na")</f>
        <v>111.4093</v>
      </c>
      <c r="P39">
        <f>IF(ISNUMBER(INDEX(Haver_M!$B$1:$ZN$1000,MATCH(data!$A39,Haver_M!$B$1:$B$1000,0),MATCH(data!P$1,Haver_M!$B$1:$ZN$1,0))),INDEX(Haver_M!$B$1:$ZN$1000,MATCH(data!$A39,Haver_M!$B$1:$B$1000,0),MATCH(data!P$1,Haver_M!$B$1:$ZN$1,0)),"na")</f>
        <v>53.425600000000003</v>
      </c>
      <c r="Q39">
        <f>IF(ISNUMBER(INDEX(Haver_M!$B$1:$ZN$1000,MATCH(data!$A39,Haver_M!$B$1:$B$1000,0),MATCH(data!Q$1,Haver_M!$B$1:$ZN$1,0))),INDEX(Haver_M!$B$1:$ZN$1000,MATCH(data!$A39,Haver_M!$B$1:$B$1000,0),MATCH(data!Q$1,Haver_M!$B$1:$ZN$1,0)),"na")</f>
        <v>57.607500000000002</v>
      </c>
      <c r="R39">
        <f>IF(ISNUMBER(INDEX(Haver_M!$B$1:$ZN$1000,MATCH(data!$A39,Haver_M!$B$1:$B$1000,0),MATCH(data!R$1,Haver_M!$B$1:$ZN$1,0))),INDEX(Haver_M!$B$1:$ZN$1000,MATCH(data!$A39,Haver_M!$B$1:$B$1000,0),MATCH(data!R$1,Haver_M!$B$1:$ZN$1,0)),"na")</f>
        <v>89.328999999999994</v>
      </c>
      <c r="S39">
        <f>IF(ISNUMBER(INDEX(Haver_M!$B$1:$ZN$1000,MATCH(data!$A39,Haver_M!$B$1:$B$1000,0),MATCH(data!S$1,Haver_M!$B$1:$ZN$1,0))),INDEX(Haver_M!$B$1:$ZN$1000,MATCH(data!$A39,Haver_M!$B$1:$B$1000,0),MATCH(data!S$1,Haver_M!$B$1:$ZN$1,0)),"na")</f>
        <v>110.471</v>
      </c>
      <c r="T39">
        <f>IF(ISNUMBER(INDEX(Haver_M!$B$1:$ZN$1000,MATCH(data!$A39,Haver_M!$B$1:$B$1000,0),MATCH(data!T$1,Haver_M!$B$1:$ZN$1,0))),INDEX(Haver_M!$B$1:$ZN$1000,MATCH(data!$A39,Haver_M!$B$1:$B$1000,0),MATCH(data!T$1,Haver_M!$B$1:$ZN$1,0)),"na")</f>
        <v>59.450899999999997</v>
      </c>
      <c r="U39">
        <f>IF(ISNUMBER(INDEX(Haver_M!$B$1:$ZN$1000,MATCH(data!$A39,Haver_M!$B$1:$B$1000,0),MATCH(data!U$1,Haver_M!$B$1:$ZN$1,0))),INDEX(Haver_M!$B$1:$ZN$1000,MATCH(data!$A39,Haver_M!$B$1:$B$1000,0),MATCH(data!U$1,Haver_M!$B$1:$ZN$1,0)),"na")</f>
        <v>81.849900000000005</v>
      </c>
      <c r="V39">
        <f>IF(ISNUMBER(INDEX(Haver_M!$B$1:$ZN$1000,MATCH(data!$A39,Haver_M!$B$1:$B$1000,0),MATCH(data!V$1,Haver_M!$B$1:$ZN$1,0))),INDEX(Haver_M!$B$1:$ZN$1000,MATCH(data!$A39,Haver_M!$B$1:$B$1000,0),MATCH(data!V$1,Haver_M!$B$1:$ZN$1,0)),"na")</f>
        <v>86.836799999999997</v>
      </c>
      <c r="W39">
        <f>IF(ISNUMBER(INDEX(Haver_M!$B$1:$ZN$1000,MATCH(data!$A39,Haver_M!$B$1:$B$1000,0),MATCH(data!W$1,Haver_M!$B$1:$ZN$1,0))),INDEX(Haver_M!$B$1:$ZN$1000,MATCH(data!$A39,Haver_M!$B$1:$B$1000,0),MATCH(data!W$1,Haver_M!$B$1:$ZN$1,0)),"na")</f>
        <v>2.9</v>
      </c>
      <c r="X39" t="str">
        <f>IF(ISNUMBER(INDEX(Haver_M!$B$1:$ZN$1000,MATCH(data!$A39,Haver_M!$B$1:$B$1000,0),MATCH(data!X$1,Haver_M!$B$1:$ZN$1,0))),INDEX(Haver_M!$B$1:$ZN$1000,MATCH(data!$A39,Haver_M!$B$1:$B$1000,0),MATCH(data!X$1,Haver_M!$B$1:$ZN$1,0)),"na")</f>
        <v>na</v>
      </c>
      <c r="Y39">
        <f>IF(ISNUMBER(INDEX(Haver_M!$B$1:$ZN$1000,MATCH(data!$A39,Haver_M!$B$1:$B$1000,0),MATCH(data!Y$1,Haver_M!$B$1:$ZN$1,0))),INDEX(Haver_M!$B$1:$ZN$1000,MATCH(data!$A39,Haver_M!$B$1:$B$1000,0),MATCH(data!Y$1,Haver_M!$B$1:$ZN$1,0)),"na")</f>
        <v>97.66</v>
      </c>
      <c r="Z39">
        <f>IF(ISNUMBER(INDEX(Haver_M!$B$1:$ZN$1000,MATCH(data!$A39,Haver_M!$B$1:$B$1000,0),MATCH(data!Z$1,Haver_M!$B$1:$ZN$1,0))),INDEX(Haver_M!$B$1:$ZN$1000,MATCH(data!$A39,Haver_M!$B$1:$B$1000,0),MATCH(data!Z$1,Haver_M!$B$1:$ZN$1,0)),"na")</f>
        <v>80.750299999999996</v>
      </c>
      <c r="AA39" t="str">
        <f>IF(ISNUMBER(INDEX(Haver_M!$B$1:$ZN$1000,MATCH(data!$A39,Haver_M!$B$1:$B$1000,0),MATCH(data!AA$1,Haver_M!$B$1:$ZN$1,0))),INDEX(Haver_M!$B$1:$ZN$1000,MATCH(data!$A39,Haver_M!$B$1:$B$1000,0),MATCH(data!AA$1,Haver_M!$B$1:$ZN$1,0)),"na")</f>
        <v>na</v>
      </c>
      <c r="AB39">
        <f>IF(ISNUMBER(INDEX(Haver_M!$B$1:$ZN$1000,MATCH(data!$A39,Haver_M!$B$1:$B$1000,0),MATCH(data!AB$1,Haver_M!$B$1:$ZN$1,0))),INDEX(Haver_M!$B$1:$ZN$1000,MATCH(data!$A39,Haver_M!$B$1:$B$1000,0),MATCH(data!AB$1,Haver_M!$B$1:$ZN$1,0)),"na")</f>
        <v>13943.1</v>
      </c>
      <c r="AC39">
        <f>IF(ISNUMBER(INDEX(Haver_M!$B$1:$ZN$1000,MATCH(data!$A39,Haver_M!$B$1:$B$1000,0),MATCH(data!AC$1,Haver_M!$B$1:$ZN$1,0))),INDEX(Haver_M!$B$1:$ZN$1000,MATCH(data!$A39,Haver_M!$B$1:$B$1000,0),MATCH(data!AC$1,Haver_M!$B$1:$ZN$1,0)),"na")</f>
        <v>13827.9</v>
      </c>
      <c r="AD39">
        <f>IF(ISNUMBER(INDEX(Haver_M!$B$1:$ZN$1000,MATCH(data!$A39,Haver_M!$B$1:$B$1000,0),MATCH(data!AD$1,Haver_M!$B$1:$ZN$1,0))),INDEX(Haver_M!$B$1:$ZN$1000,MATCH(data!$A39,Haver_M!$B$1:$B$1000,0),MATCH(data!AD$1,Haver_M!$B$1:$ZN$1,0)),"na")</f>
        <v>99.18</v>
      </c>
      <c r="AE39">
        <f>IF(ISNUMBER(INDEX(Haver_M!$B$1:$ZN$1000,MATCH(data!$A39,Haver_M!$B$1:$B$1000,0),MATCH(data!AE$1,Haver_M!$B$1:$ZN$1,0))),INDEX(Haver_M!$B$1:$ZN$1000,MATCH(data!$A39,Haver_M!$B$1:$B$1000,0),MATCH(data!AE$1,Haver_M!$B$1:$ZN$1,0)),"na")</f>
        <v>39.799999999999997</v>
      </c>
      <c r="AF39" t="str">
        <f>IF(ISNUMBER(INDEX(Haver_M!$B$1:$ZN$1000,MATCH(data!$A39,Haver_M!$B$1:$B$1000,0),MATCH(data!AF$1,Haver_M!$B$1:$ZN$1,0))),INDEX(Haver_M!$B$1:$ZN$1000,MATCH(data!$A39,Haver_M!$B$1:$B$1000,0),MATCH(data!AF$1,Haver_M!$B$1:$ZN$1,0)),"na")</f>
        <v>na</v>
      </c>
      <c r="AG39" t="str">
        <f>IF(ISNUMBER(INDEX(Haver_M!$B$1:$ZN$1000,MATCH(data!$A39,Haver_M!$B$1:$B$1000,0),MATCH(data!AG$1,Haver_M!$B$1:$ZN$1,0))),INDEX(Haver_M!$B$1:$ZN$1000,MATCH(data!$A39,Haver_M!$B$1:$B$1000,0),MATCH(data!AG$1,Haver_M!$B$1:$ZN$1,0)),"na")</f>
        <v>na</v>
      </c>
      <c r="AH39" t="str">
        <f>IF(ISNUMBER(INDEX(Haver_M!$B$1:$ZN$1000,MATCH(data!$A39,Haver_M!$B$1:$B$1000,0),MATCH(data!AH$1,Haver_M!$B$1:$ZN$1,0))),INDEX(Haver_M!$B$1:$ZN$1000,MATCH(data!$A39,Haver_M!$B$1:$B$1000,0),MATCH(data!AH$1,Haver_M!$B$1:$ZN$1,0)),"na")</f>
        <v>na</v>
      </c>
      <c r="AI39" t="str">
        <f>IF(ISNUMBER(INDEX(Haver_M!$B$1:$ZN$1000,MATCH(data!$A39,Haver_M!$B$1:$B$1000,0),MATCH(data!AI$1,Haver_M!$B$1:$ZN$1,0))),INDEX(Haver_M!$B$1:$ZN$1000,MATCH(data!$A39,Haver_M!$B$1:$B$1000,0),MATCH(data!AI$1,Haver_M!$B$1:$ZN$1,0)),"na")</f>
        <v>na</v>
      </c>
      <c r="AJ39" t="str">
        <f>IF(ISNUMBER(INDEX(Haver_M!$B$1:$ZN$1000,MATCH(data!$A39,Haver_M!$B$1:$B$1000,0),MATCH(data!AJ$1,Haver_M!$B$1:$ZN$1,0))),INDEX(Haver_M!$B$1:$ZN$1000,MATCH(data!$A39,Haver_M!$B$1:$B$1000,0),MATCH(data!AJ$1,Haver_M!$B$1:$ZN$1,0)),"na")</f>
        <v>na</v>
      </c>
      <c r="AK39" t="str">
        <f>IF(ISNUMBER(INDEX(Haver_M!$B$1:$ZN$1000,MATCH(data!$A39,Haver_M!$B$1:$B$1000,0),MATCH(data!AK$1,Haver_M!$B$1:$ZN$1,0))),INDEX(Haver_M!$B$1:$ZN$1000,MATCH(data!$A39,Haver_M!$B$1:$B$1000,0),MATCH(data!AK$1,Haver_M!$B$1:$ZN$1,0)),"na")</f>
        <v>na</v>
      </c>
      <c r="AL39" t="str">
        <f>IF(ISNUMBER(INDEX(Haver_M!$B$1:$ZN$1000,MATCH(data!$A39,Haver_M!$B$1:$B$1000,0),MATCH(data!AL$1,Haver_M!$B$1:$ZN$1,0))),INDEX(Haver_M!$B$1:$ZN$1000,MATCH(data!$A39,Haver_M!$B$1:$B$1000,0),MATCH(data!AL$1,Haver_M!$B$1:$ZN$1,0)),"na")</f>
        <v>na</v>
      </c>
      <c r="AM39" t="str">
        <f>IF(ISNUMBER(INDEX(Haver_M!$B$1:$ZN$1000,MATCH(data!$A39,Haver_M!$B$1:$B$1000,0),MATCH(data!AM$1,Haver_M!$B$1:$ZN$1,0))),INDEX(Haver_M!$B$1:$ZN$1000,MATCH(data!$A39,Haver_M!$B$1:$B$1000,0),MATCH(data!AM$1,Haver_M!$B$1:$ZN$1,0)),"na")</f>
        <v>na</v>
      </c>
      <c r="AN39" t="str">
        <f>IF(ISNUMBER(INDEX(Haver_M!$B$1:$ZN$1000,MATCH(data!$A39,Haver_M!$B$1:$B$1000,0),MATCH(data!AN$1,Haver_M!$B$1:$ZN$1,0))),INDEX(Haver_M!$B$1:$ZN$1000,MATCH(data!$A39,Haver_M!$B$1:$B$1000,0),MATCH(data!AN$1,Haver_M!$B$1:$ZN$1,0)),"na")</f>
        <v>na</v>
      </c>
      <c r="AO39" t="str">
        <f>IF(ISNUMBER(INDEX(Haver_M!$B$1:$ZN$1000,MATCH(data!$A39,Haver_M!$B$1:$B$1000,0),MATCH(data!AO$1,Haver_M!$B$1:$ZN$1,0))),INDEX(Haver_M!$B$1:$ZN$1000,MATCH(data!$A39,Haver_M!$B$1:$B$1000,0),MATCH(data!AO$1,Haver_M!$B$1:$ZN$1,0)),"na")</f>
        <v>na</v>
      </c>
      <c r="AP39" t="str">
        <f>IF(ISNUMBER(INDEX(Haver_M!$B$1:$ZN$1000,MATCH(data!$A39,Haver_M!$B$1:$B$1000,0),MATCH(data!AP$1,Haver_M!$B$1:$ZN$1,0))),INDEX(Haver_M!$B$1:$ZN$1000,MATCH(data!$A39,Haver_M!$B$1:$B$1000,0),MATCH(data!AP$1,Haver_M!$B$1:$ZN$1,0)),"na")</f>
        <v>na</v>
      </c>
      <c r="AQ39" t="str">
        <f>IF(ISNUMBER(INDEX(Haver_M!$B$1:$ZN$1000,MATCH(data!$A39,Haver_M!$B$1:$B$1000,0),MATCH(data!AQ$1,Haver_M!$B$1:$ZN$1,0))),INDEX(Haver_M!$B$1:$ZN$1000,MATCH(data!$A39,Haver_M!$B$1:$B$1000,0),MATCH(data!AQ$1,Haver_M!$B$1:$ZN$1,0)),"na")</f>
        <v>na</v>
      </c>
      <c r="AR39" t="str">
        <f>IF(ISNUMBER(INDEX(Haver_M!$B$1:$ZN$1000,MATCH(data!$A39,Haver_M!$B$1:$B$1000,0),MATCH(data!AR$1,Haver_M!$B$1:$ZN$1,0))),INDEX(Haver_M!$B$1:$ZN$1000,MATCH(data!$A39,Haver_M!$B$1:$B$1000,0),MATCH(data!AR$1,Haver_M!$B$1:$ZN$1,0)),"na")</f>
        <v>na</v>
      </c>
      <c r="AS39">
        <f>IF(ISNUMBER(INDEX(Haver_M!$B$1:$ZN$1000,MATCH(data!$A39,Haver_M!$B$1:$B$1000,0),MATCH(data!AS$1,Haver_M!$B$1:$ZN$1,0))),INDEX(Haver_M!$B$1:$ZN$1000,MATCH(data!$A39,Haver_M!$B$1:$B$1000,0),MATCH(data!AS$1,Haver_M!$B$1:$ZN$1,0)),"na")</f>
        <v>5873.29</v>
      </c>
      <c r="AT39">
        <f>IF(ISNUMBER(INDEX(Haver_M!$B$1:$ZN$1000,MATCH(data!$A39,Haver_M!$B$1:$B$1000,0),MATCH(data!AT$1,Haver_M!$B$1:$ZN$1,0))),INDEX(Haver_M!$B$1:$ZN$1000,MATCH(data!$A39,Haver_M!$B$1:$B$1000,0),MATCH(data!AT$1,Haver_M!$B$1:$ZN$1,0)),"na")</f>
        <v>82.506</v>
      </c>
      <c r="AU39">
        <f>IF(ISNUMBER(INDEX(Haver_M!$B$1:$ZN$1000,MATCH(data!$A39,Haver_M!$B$1:$B$1000,0),MATCH(data!AU$1,Haver_M!$B$1:$ZN$1,0))),INDEX(Haver_M!$B$1:$ZN$1000,MATCH(data!$A39,Haver_M!$B$1:$B$1000,0),MATCH(data!AU$1,Haver_M!$B$1:$ZN$1,0)),"na")</f>
        <v>80.770103000000006</v>
      </c>
      <c r="AV39">
        <f>IF(ISNUMBER(INDEX(Haver_M!$B$1:$ZN$1000,MATCH(data!$A39,Haver_M!$B$1:$B$1000,0),MATCH(data!AV$1,Haver_M!$B$1:$ZN$1,0))),INDEX(Haver_M!$B$1:$ZN$1000,MATCH(data!$A39,Haver_M!$B$1:$B$1000,0),MATCH(data!AV$1,Haver_M!$B$1:$ZN$1,0)),"na")</f>
        <v>72.900000000000006</v>
      </c>
      <c r="AW39">
        <f>IF(ISNUMBER(INDEX(Haver_M!$B$1:$ZN$1000,MATCH(data!$A39,Haver_M!$B$1:$B$1000,0),MATCH(data!AW$1,Haver_M!$B$1:$ZN$1,0))),INDEX(Haver_M!$B$1:$ZN$1000,MATCH(data!$A39,Haver_M!$B$1:$B$1000,0),MATCH(data!AW$1,Haver_M!$B$1:$ZN$1,0)),"na")</f>
        <v>756539.83481742674</v>
      </c>
      <c r="AX39">
        <f>IF(ISNUMBER(INDEX(Haver_M!$B$1:$ZN$1000,MATCH(data!$A39,Haver_M!$B$1:$B$1000,0),MATCH(data!AX$1,Haver_M!$B$1:$ZN$1,0))),INDEX(Haver_M!$B$1:$ZN$1000,MATCH(data!$A39,Haver_M!$B$1:$B$1000,0),MATCH(data!AX$1,Haver_M!$B$1:$ZN$1,0)),"na")</f>
        <v>3330</v>
      </c>
      <c r="AY39">
        <f>IF(ISNUMBER(INDEX(Haver_M!$B$1:$ZN$1000,MATCH(data!$A39,Haver_M!$B$1:$B$1000,0),MATCH(data!AY$1,Haver_M!$B$1:$ZN$1,0))),INDEX(Haver_M!$B$1:$ZN$1000,MATCH(data!$A39,Haver_M!$B$1:$B$1000,0),MATCH(data!AY$1,Haver_M!$B$1:$ZN$1,0)),"na")</f>
        <v>1886</v>
      </c>
      <c r="AZ39" t="str">
        <f>IF(ISNUMBER(INDEX(Haver_M!$B$1:$ZN$1000,MATCH(data!$A39,Haver_M!$B$1:$B$1000,0),MATCH(data!AZ$1,Haver_M!$B$1:$ZN$1,0))),INDEX(Haver_M!$B$1:$ZN$1000,MATCH(data!$A39,Haver_M!$B$1:$B$1000,0),MATCH(data!AZ$1,Haver_M!$B$1:$ZN$1,0)),"na")</f>
        <v>na</v>
      </c>
      <c r="BA39">
        <f>IF(ISNUMBER(INDEX(Haver_M!$B$1:$ZN$1000,MATCH(data!$A39,Haver_M!$B$1:$B$1000,0),MATCH(data!BA$1,Haver_M!$B$1:$ZN$1,0))),INDEX(Haver_M!$B$1:$ZN$1000,MATCH(data!$A39,Haver_M!$B$1:$B$1000,0),MATCH(data!BA$1,Haver_M!$B$1:$ZN$1,0)),"na")</f>
        <v>420.85692919236772</v>
      </c>
      <c r="BB39" t="str">
        <f>IF(ISNUMBER(INDEX(Haver_M!$B$1:$ZN$1000,MATCH(data!$A39,Haver_M!$B$1:$B$1000,0),MATCH(data!BB$1,Haver_M!$B$1:$ZN$1,0))),INDEX(Haver_M!$B$1:$ZN$1000,MATCH(data!$A39,Haver_M!$B$1:$B$1000,0),MATCH(data!BB$1,Haver_M!$B$1:$ZN$1,0)),"")</f>
        <v/>
      </c>
    </row>
    <row r="40" spans="1:54" x14ac:dyDescent="0.25">
      <c r="A40" s="2">
        <v>37711</v>
      </c>
      <c r="B40">
        <f>IF(ISNUMBER(INDEX(Haver_Q!$B$1:$BD$1000,MATCH(data!$A40,Haver_Q!$B$1:$B$1000,0),MATCH(data!B$1,Haver_Q!$B$1:$BD$1,0))),100*INDEX(Haver_Q!$B$1:$BD$1000,MATCH(data!$A40,Haver_Q!$B$1:$B$1000,0),MATCH(data!B$1,Haver_Q!$B$1:$BD$1,0)),"na")</f>
        <v>0.85577979142970051</v>
      </c>
      <c r="C40">
        <f>IF(ISNUMBER(INDEX(Haver_Q!$B$1:$BD$1000,MATCH(data!$A40,Haver_Q!$B$1:$B$1000,0),MATCH(data!C$1,Haver_Q!$B$1:$BD$1,0))),100*INDEX(Haver_Q!$B$1:$BD$1000,MATCH(data!$A40,Haver_Q!$B$1:$B$1000,0),MATCH(data!C$1,Haver_Q!$B$1:$BD$1,0)),"na")</f>
        <v>1.2483729076002037</v>
      </c>
      <c r="D40">
        <f>IF(ISNUMBER(INDEX(Haver_Q!$B$1:$BD$1000,MATCH(data!$A40,Haver_Q!$B$1:$B$1000,0),MATCH(data!D$1,Haver_Q!$B$1:$BD$1,0))),100*INDEX(Haver_Q!$B$1:$BD$1000,MATCH(data!$A40,Haver_Q!$B$1:$B$1000,0),MATCH(data!D$1,Haver_Q!$B$1:$BD$1,0)),"na")</f>
        <v>6.7851106610389289</v>
      </c>
      <c r="E40">
        <f>IF(ISNUMBER(INDEX(Haver_Q!$B$1:$BD$1000,MATCH(data!$A40,Haver_Q!$B$1:$B$1000,0),MATCH(data!E$1,Haver_Q!$B$1:$BD$1,0))),100*INDEX(Haver_Q!$B$1:$BD$1000,MATCH(data!$A40,Haver_Q!$B$1:$B$1000,0),MATCH(data!E$1,Haver_Q!$B$1:$BD$1,0)),"na")</f>
        <v>2.5068334101223888</v>
      </c>
      <c r="F40">
        <f>IF(ISNUMBER(INDEX(Haver_Q!$B$1:$BD$1000,MATCH(data!$A40,Haver_Q!$B$1:$B$1000,0),MATCH(data!F$1,Haver_Q!$B$1:$BD$1,0))),100*INDEX(Haver_Q!$B$1:$BD$1000,MATCH(data!$A40,Haver_Q!$B$1:$B$1000,0),MATCH(data!F$1,Haver_Q!$B$1:$BD$1,0)),"na")</f>
        <v>-6.3373701570467844</v>
      </c>
      <c r="G40">
        <f>IF(ISNUMBER(INDEX(Haver_Q!$B$1:$BD$1000,MATCH(data!$A40,Haver_Q!$B$1:$B$1000,0),MATCH(data!G$1,Haver_Q!$B$1:$BD$1,0))),100*INDEX(Haver_Q!$B$1:$BD$1000,MATCH(data!$A40,Haver_Q!$B$1:$B$1000,0),MATCH(data!G$1,Haver_Q!$B$1:$BD$1,0)),"na")</f>
        <v>62.327795125592836</v>
      </c>
      <c r="H40">
        <f>IF(ISNUMBER(INDEX(Haver_Q!$B$1:$BD$1000,MATCH(data!$A40,Haver_Q!$B$1:$B$1000,0),MATCH(data!H$1,Haver_Q!$B$1:$BD$1,0))),100*INDEX(Haver_Q!$B$1:$BD$1000,MATCH(data!$A40,Haver_Q!$B$1:$B$1000,0),MATCH(data!H$1,Haver_Q!$B$1:$BD$1,0)),"na")</f>
        <v>298.98158398715742</v>
      </c>
      <c r="I40" s="3">
        <f>IF(ISNUMBER(Bloomberg_m!C56),Bloomberg_m!C56,"na")</f>
        <v>1850</v>
      </c>
      <c r="J40" s="3" t="str">
        <f>IF(ISNUMBER(Bloomberg_m!D56),Bloomberg_m!D56,"na")</f>
        <v>na</v>
      </c>
      <c r="K40" s="3" t="str">
        <f>IF(ISNUMBER(Bloomberg_m!E56),Bloomberg_m!E56,"na")</f>
        <v>na</v>
      </c>
      <c r="L40" s="3">
        <f>IF(ISNUMBER(Bloomberg_m!L56),Bloomberg_m!L56,"na")</f>
        <v>33.32</v>
      </c>
      <c r="M40" t="str">
        <f>IF(ISNUMBER(INDEX(Haver_M!$B$1:$ZN$1000,MATCH(data!$A40,Haver_M!$B$1:$B$1000,0),MATCH(data!M$1,Haver_M!$B$1:$ZN$1,0))),INDEX(Haver_M!$B$1:$ZN$1000,MATCH(data!$A40,Haver_M!$B$1:$B$1000,0),MATCH(data!M$1,Haver_M!$B$1:$ZN$1,0)),"na")</f>
        <v>na</v>
      </c>
      <c r="N40" t="str">
        <f>IF(ISNUMBER(INDEX(Haver_M!$B$1:$ZN$1000,MATCH(data!$A40,Haver_M!$B$1:$B$1000,0),MATCH(data!N$1,Haver_M!$B$1:$ZN$1,0))),INDEX(Haver_M!$B$1:$ZN$1000,MATCH(data!$A40,Haver_M!$B$1:$B$1000,0),MATCH(data!N$1,Haver_M!$B$1:$ZN$1,0)),"na")</f>
        <v>na</v>
      </c>
      <c r="O40">
        <f>IF(ISNUMBER(INDEX(Haver_M!$B$1:$ZN$1000,MATCH(data!$A40,Haver_M!$B$1:$B$1000,0),MATCH(data!O$1,Haver_M!$B$1:$ZN$1,0))),INDEX(Haver_M!$B$1:$ZN$1000,MATCH(data!$A40,Haver_M!$B$1:$B$1000,0),MATCH(data!O$1,Haver_M!$B$1:$ZN$1,0)),"na")</f>
        <v>112.14297000000001</v>
      </c>
      <c r="P40">
        <f>IF(ISNUMBER(INDEX(Haver_M!$B$1:$ZN$1000,MATCH(data!$A40,Haver_M!$B$1:$B$1000,0),MATCH(data!P$1,Haver_M!$B$1:$ZN$1,0))),INDEX(Haver_M!$B$1:$ZN$1000,MATCH(data!$A40,Haver_M!$B$1:$B$1000,0),MATCH(data!P$1,Haver_M!$B$1:$ZN$1,0)),"na")</f>
        <v>53.7684</v>
      </c>
      <c r="Q40">
        <f>IF(ISNUMBER(INDEX(Haver_M!$B$1:$ZN$1000,MATCH(data!$A40,Haver_M!$B$1:$B$1000,0),MATCH(data!Q$1,Haver_M!$B$1:$ZN$1,0))),INDEX(Haver_M!$B$1:$ZN$1000,MATCH(data!$A40,Haver_M!$B$1:$B$1000,0),MATCH(data!Q$1,Haver_M!$B$1:$ZN$1,0)),"na")</f>
        <v>57.821199999999997</v>
      </c>
      <c r="R40">
        <f>IF(ISNUMBER(INDEX(Haver_M!$B$1:$ZN$1000,MATCH(data!$A40,Haver_M!$B$1:$B$1000,0),MATCH(data!R$1,Haver_M!$B$1:$ZN$1,0))),INDEX(Haver_M!$B$1:$ZN$1000,MATCH(data!$A40,Haver_M!$B$1:$B$1000,0),MATCH(data!R$1,Haver_M!$B$1:$ZN$1,0)),"na")</f>
        <v>88.2761</v>
      </c>
      <c r="S40">
        <f>IF(ISNUMBER(INDEX(Haver_M!$B$1:$ZN$1000,MATCH(data!$A40,Haver_M!$B$1:$B$1000,0),MATCH(data!S$1,Haver_M!$B$1:$ZN$1,0))),INDEX(Haver_M!$B$1:$ZN$1000,MATCH(data!$A40,Haver_M!$B$1:$B$1000,0),MATCH(data!S$1,Haver_M!$B$1:$ZN$1,0)),"na")</f>
        <v>110.45480000000001</v>
      </c>
      <c r="T40">
        <f>IF(ISNUMBER(INDEX(Haver_M!$B$1:$ZN$1000,MATCH(data!$A40,Haver_M!$B$1:$B$1000,0),MATCH(data!T$1,Haver_M!$B$1:$ZN$1,0))),INDEX(Haver_M!$B$1:$ZN$1000,MATCH(data!$A40,Haver_M!$B$1:$B$1000,0),MATCH(data!T$1,Haver_M!$B$1:$ZN$1,0)),"na")</f>
        <v>59.867600000000003</v>
      </c>
      <c r="U40">
        <f>IF(ISNUMBER(INDEX(Haver_M!$B$1:$ZN$1000,MATCH(data!$A40,Haver_M!$B$1:$B$1000,0),MATCH(data!U$1,Haver_M!$B$1:$ZN$1,0))),INDEX(Haver_M!$B$1:$ZN$1000,MATCH(data!$A40,Haver_M!$B$1:$B$1000,0),MATCH(data!U$1,Haver_M!$B$1:$ZN$1,0)),"na")</f>
        <v>77.349000000000004</v>
      </c>
      <c r="V40">
        <f>IF(ISNUMBER(INDEX(Haver_M!$B$1:$ZN$1000,MATCH(data!$A40,Haver_M!$B$1:$B$1000,0),MATCH(data!V$1,Haver_M!$B$1:$ZN$1,0))),INDEX(Haver_M!$B$1:$ZN$1000,MATCH(data!$A40,Haver_M!$B$1:$B$1000,0),MATCH(data!V$1,Haver_M!$B$1:$ZN$1,0)),"na")</f>
        <v>85.925600000000003</v>
      </c>
      <c r="W40">
        <f>IF(ISNUMBER(INDEX(Haver_M!$B$1:$ZN$1000,MATCH(data!$A40,Haver_M!$B$1:$B$1000,0),MATCH(data!W$1,Haver_M!$B$1:$ZN$1,0))),INDEX(Haver_M!$B$1:$ZN$1000,MATCH(data!$A40,Haver_M!$B$1:$B$1000,0),MATCH(data!W$1,Haver_M!$B$1:$ZN$1,0)),"na")</f>
        <v>3.13</v>
      </c>
      <c r="X40" t="str">
        <f>IF(ISNUMBER(INDEX(Haver_M!$B$1:$ZN$1000,MATCH(data!$A40,Haver_M!$B$1:$B$1000,0),MATCH(data!X$1,Haver_M!$B$1:$ZN$1,0))),INDEX(Haver_M!$B$1:$ZN$1000,MATCH(data!$A40,Haver_M!$B$1:$B$1000,0),MATCH(data!X$1,Haver_M!$B$1:$ZN$1,0)),"na")</f>
        <v>na</v>
      </c>
      <c r="Y40">
        <f>IF(ISNUMBER(INDEX(Haver_M!$B$1:$ZN$1000,MATCH(data!$A40,Haver_M!$B$1:$B$1000,0),MATCH(data!Y$1,Haver_M!$B$1:$ZN$1,0))),INDEX(Haver_M!$B$1:$ZN$1000,MATCH(data!$A40,Haver_M!$B$1:$B$1000,0),MATCH(data!Y$1,Haver_M!$B$1:$ZN$1,0)),"na")</f>
        <v>97.78</v>
      </c>
      <c r="Z40">
        <f>IF(ISNUMBER(INDEX(Haver_M!$B$1:$ZN$1000,MATCH(data!$A40,Haver_M!$B$1:$B$1000,0),MATCH(data!Z$1,Haver_M!$B$1:$ZN$1,0))),INDEX(Haver_M!$B$1:$ZN$1000,MATCH(data!$A40,Haver_M!$B$1:$B$1000,0),MATCH(data!Z$1,Haver_M!$B$1:$ZN$1,0)),"na")</f>
        <v>80.750299999999996</v>
      </c>
      <c r="AA40" t="str">
        <f>IF(ISNUMBER(INDEX(Haver_M!$B$1:$ZN$1000,MATCH(data!$A40,Haver_M!$B$1:$B$1000,0),MATCH(data!AA$1,Haver_M!$B$1:$ZN$1,0))),INDEX(Haver_M!$B$1:$ZN$1000,MATCH(data!$A40,Haver_M!$B$1:$B$1000,0),MATCH(data!AA$1,Haver_M!$B$1:$ZN$1,0)),"na")</f>
        <v>na</v>
      </c>
      <c r="AB40">
        <f>IF(ISNUMBER(INDEX(Haver_M!$B$1:$ZN$1000,MATCH(data!$A40,Haver_M!$B$1:$B$1000,0),MATCH(data!AB$1,Haver_M!$B$1:$ZN$1,0))),INDEX(Haver_M!$B$1:$ZN$1000,MATCH(data!$A40,Haver_M!$B$1:$B$1000,0),MATCH(data!AB$1,Haver_M!$B$1:$ZN$1,0)),"na")</f>
        <v>13370.9</v>
      </c>
      <c r="AC40">
        <f>IF(ISNUMBER(INDEX(Haver_M!$B$1:$ZN$1000,MATCH(data!$A40,Haver_M!$B$1:$B$1000,0),MATCH(data!AC$1,Haver_M!$B$1:$ZN$1,0))),INDEX(Haver_M!$B$1:$ZN$1000,MATCH(data!$A40,Haver_M!$B$1:$B$1000,0),MATCH(data!AC$1,Haver_M!$B$1:$ZN$1,0)),"na")</f>
        <v>14156.3</v>
      </c>
      <c r="AD40">
        <f>IF(ISNUMBER(INDEX(Haver_M!$B$1:$ZN$1000,MATCH(data!$A40,Haver_M!$B$1:$B$1000,0),MATCH(data!AD$1,Haver_M!$B$1:$ZN$1,0))),INDEX(Haver_M!$B$1:$ZN$1000,MATCH(data!$A40,Haver_M!$B$1:$B$1000,0),MATCH(data!AD$1,Haver_M!$B$1:$ZN$1,0)),"na")</f>
        <v>99.06</v>
      </c>
      <c r="AE40">
        <f>IF(ISNUMBER(INDEX(Haver_M!$B$1:$ZN$1000,MATCH(data!$A40,Haver_M!$B$1:$B$1000,0),MATCH(data!AE$1,Haver_M!$B$1:$ZN$1,0))),INDEX(Haver_M!$B$1:$ZN$1000,MATCH(data!$A40,Haver_M!$B$1:$B$1000,0),MATCH(data!AE$1,Haver_M!$B$1:$ZN$1,0)),"na")</f>
        <v>37.5</v>
      </c>
      <c r="AF40" t="str">
        <f>IF(ISNUMBER(INDEX(Haver_M!$B$1:$ZN$1000,MATCH(data!$A40,Haver_M!$B$1:$B$1000,0),MATCH(data!AF$1,Haver_M!$B$1:$ZN$1,0))),INDEX(Haver_M!$B$1:$ZN$1000,MATCH(data!$A40,Haver_M!$B$1:$B$1000,0),MATCH(data!AF$1,Haver_M!$B$1:$ZN$1,0)),"na")</f>
        <v>na</v>
      </c>
      <c r="AG40" t="str">
        <f>IF(ISNUMBER(INDEX(Haver_M!$B$1:$ZN$1000,MATCH(data!$A40,Haver_M!$B$1:$B$1000,0),MATCH(data!AG$1,Haver_M!$B$1:$ZN$1,0))),INDEX(Haver_M!$B$1:$ZN$1000,MATCH(data!$A40,Haver_M!$B$1:$B$1000,0),MATCH(data!AG$1,Haver_M!$B$1:$ZN$1,0)),"na")</f>
        <v>na</v>
      </c>
      <c r="AH40" t="str">
        <f>IF(ISNUMBER(INDEX(Haver_M!$B$1:$ZN$1000,MATCH(data!$A40,Haver_M!$B$1:$B$1000,0),MATCH(data!AH$1,Haver_M!$B$1:$ZN$1,0))),INDEX(Haver_M!$B$1:$ZN$1000,MATCH(data!$A40,Haver_M!$B$1:$B$1000,0),MATCH(data!AH$1,Haver_M!$B$1:$ZN$1,0)),"na")</f>
        <v>na</v>
      </c>
      <c r="AI40" t="str">
        <f>IF(ISNUMBER(INDEX(Haver_M!$B$1:$ZN$1000,MATCH(data!$A40,Haver_M!$B$1:$B$1000,0),MATCH(data!AI$1,Haver_M!$B$1:$ZN$1,0))),INDEX(Haver_M!$B$1:$ZN$1000,MATCH(data!$A40,Haver_M!$B$1:$B$1000,0),MATCH(data!AI$1,Haver_M!$B$1:$ZN$1,0)),"na")</f>
        <v>na</v>
      </c>
      <c r="AJ40" t="str">
        <f>IF(ISNUMBER(INDEX(Haver_M!$B$1:$ZN$1000,MATCH(data!$A40,Haver_M!$B$1:$B$1000,0),MATCH(data!AJ$1,Haver_M!$B$1:$ZN$1,0))),INDEX(Haver_M!$B$1:$ZN$1000,MATCH(data!$A40,Haver_M!$B$1:$B$1000,0),MATCH(data!AJ$1,Haver_M!$B$1:$ZN$1,0)),"na")</f>
        <v>na</v>
      </c>
      <c r="AK40" t="str">
        <f>IF(ISNUMBER(INDEX(Haver_M!$B$1:$ZN$1000,MATCH(data!$A40,Haver_M!$B$1:$B$1000,0),MATCH(data!AK$1,Haver_M!$B$1:$ZN$1,0))),INDEX(Haver_M!$B$1:$ZN$1000,MATCH(data!$A40,Haver_M!$B$1:$B$1000,0),MATCH(data!AK$1,Haver_M!$B$1:$ZN$1,0)),"na")</f>
        <v>na</v>
      </c>
      <c r="AL40" t="str">
        <f>IF(ISNUMBER(INDEX(Haver_M!$B$1:$ZN$1000,MATCH(data!$A40,Haver_M!$B$1:$B$1000,0),MATCH(data!AL$1,Haver_M!$B$1:$ZN$1,0))),INDEX(Haver_M!$B$1:$ZN$1000,MATCH(data!$A40,Haver_M!$B$1:$B$1000,0),MATCH(data!AL$1,Haver_M!$B$1:$ZN$1,0)),"na")</f>
        <v>na</v>
      </c>
      <c r="AM40" t="str">
        <f>IF(ISNUMBER(INDEX(Haver_M!$B$1:$ZN$1000,MATCH(data!$A40,Haver_M!$B$1:$B$1000,0),MATCH(data!AM$1,Haver_M!$B$1:$ZN$1,0))),INDEX(Haver_M!$B$1:$ZN$1000,MATCH(data!$A40,Haver_M!$B$1:$B$1000,0),MATCH(data!AM$1,Haver_M!$B$1:$ZN$1,0)),"na")</f>
        <v>na</v>
      </c>
      <c r="AN40" t="str">
        <f>IF(ISNUMBER(INDEX(Haver_M!$B$1:$ZN$1000,MATCH(data!$A40,Haver_M!$B$1:$B$1000,0),MATCH(data!AN$1,Haver_M!$B$1:$ZN$1,0))),INDEX(Haver_M!$B$1:$ZN$1000,MATCH(data!$A40,Haver_M!$B$1:$B$1000,0),MATCH(data!AN$1,Haver_M!$B$1:$ZN$1,0)),"na")</f>
        <v>na</v>
      </c>
      <c r="AO40" t="str">
        <f>IF(ISNUMBER(INDEX(Haver_M!$B$1:$ZN$1000,MATCH(data!$A40,Haver_M!$B$1:$B$1000,0),MATCH(data!AO$1,Haver_M!$B$1:$ZN$1,0))),INDEX(Haver_M!$B$1:$ZN$1000,MATCH(data!$A40,Haver_M!$B$1:$B$1000,0),MATCH(data!AO$1,Haver_M!$B$1:$ZN$1,0)),"na")</f>
        <v>na</v>
      </c>
      <c r="AP40" t="str">
        <f>IF(ISNUMBER(INDEX(Haver_M!$B$1:$ZN$1000,MATCH(data!$A40,Haver_M!$B$1:$B$1000,0),MATCH(data!AP$1,Haver_M!$B$1:$ZN$1,0))),INDEX(Haver_M!$B$1:$ZN$1000,MATCH(data!$A40,Haver_M!$B$1:$B$1000,0),MATCH(data!AP$1,Haver_M!$B$1:$ZN$1,0)),"na")</f>
        <v>na</v>
      </c>
      <c r="AQ40" t="str">
        <f>IF(ISNUMBER(INDEX(Haver_M!$B$1:$ZN$1000,MATCH(data!$A40,Haver_M!$B$1:$B$1000,0),MATCH(data!AQ$1,Haver_M!$B$1:$ZN$1,0))),INDEX(Haver_M!$B$1:$ZN$1000,MATCH(data!$A40,Haver_M!$B$1:$B$1000,0),MATCH(data!AQ$1,Haver_M!$B$1:$ZN$1,0)),"na")</f>
        <v>na</v>
      </c>
      <c r="AR40" t="str">
        <f>IF(ISNUMBER(INDEX(Haver_M!$B$1:$ZN$1000,MATCH(data!$A40,Haver_M!$B$1:$B$1000,0),MATCH(data!AR$1,Haver_M!$B$1:$ZN$1,0))),INDEX(Haver_M!$B$1:$ZN$1000,MATCH(data!$A40,Haver_M!$B$1:$B$1000,0),MATCH(data!AR$1,Haver_M!$B$1:$ZN$1,0)),"na")</f>
        <v>na</v>
      </c>
      <c r="AS40">
        <f>IF(ISNUMBER(INDEX(Haver_M!$B$1:$ZN$1000,MATCH(data!$A40,Haver_M!$B$1:$B$1000,0),MATCH(data!AS$1,Haver_M!$B$1:$ZN$1,0))),INDEX(Haver_M!$B$1:$ZN$1000,MATCH(data!$A40,Haver_M!$B$1:$B$1000,0),MATCH(data!AS$1,Haver_M!$B$1:$ZN$1,0)),"na")</f>
        <v>5936.8</v>
      </c>
      <c r="AT40">
        <f>IF(ISNUMBER(INDEX(Haver_M!$B$1:$ZN$1000,MATCH(data!$A40,Haver_M!$B$1:$B$1000,0),MATCH(data!AT$1,Haver_M!$B$1:$ZN$1,0))),INDEX(Haver_M!$B$1:$ZN$1000,MATCH(data!$A40,Haver_M!$B$1:$B$1000,0),MATCH(data!AT$1,Haver_M!$B$1:$ZN$1,0)),"na")</f>
        <v>82.183999999999997</v>
      </c>
      <c r="AU40">
        <f>IF(ISNUMBER(INDEX(Haver_M!$B$1:$ZN$1000,MATCH(data!$A40,Haver_M!$B$1:$B$1000,0),MATCH(data!AU$1,Haver_M!$B$1:$ZN$1,0))),INDEX(Haver_M!$B$1:$ZN$1000,MATCH(data!$A40,Haver_M!$B$1:$B$1000,0),MATCH(data!AU$1,Haver_M!$B$1:$ZN$1,0)),"na")</f>
        <v>80.134530999999996</v>
      </c>
      <c r="AV40">
        <f>IF(ISNUMBER(INDEX(Haver_M!$B$1:$ZN$1000,MATCH(data!$A40,Haver_M!$B$1:$B$1000,0),MATCH(data!AV$1,Haver_M!$B$1:$ZN$1,0))),INDEX(Haver_M!$B$1:$ZN$1000,MATCH(data!$A40,Haver_M!$B$1:$B$1000,0),MATCH(data!AV$1,Haver_M!$B$1:$ZN$1,0)),"na")</f>
        <v>70.7</v>
      </c>
      <c r="AW40">
        <f>IF(ISNUMBER(INDEX(Haver_M!$B$1:$ZN$1000,MATCH(data!$A40,Haver_M!$B$1:$B$1000,0),MATCH(data!AW$1,Haver_M!$B$1:$ZN$1,0))),INDEX(Haver_M!$B$1:$ZN$1000,MATCH(data!$A40,Haver_M!$B$1:$B$1000,0),MATCH(data!AW$1,Haver_M!$B$1:$ZN$1,0)),"na")</f>
        <v>735091.55167087563</v>
      </c>
      <c r="AX40">
        <f>IF(ISNUMBER(INDEX(Haver_M!$B$1:$ZN$1000,MATCH(data!$A40,Haver_M!$B$1:$B$1000,0),MATCH(data!AX$1,Haver_M!$B$1:$ZN$1,0))),INDEX(Haver_M!$B$1:$ZN$1000,MATCH(data!$A40,Haver_M!$B$1:$B$1000,0),MATCH(data!AX$1,Haver_M!$B$1:$ZN$1,0)),"na")</f>
        <v>3325</v>
      </c>
      <c r="AY40">
        <f>IF(ISNUMBER(INDEX(Haver_M!$B$1:$ZN$1000,MATCH(data!$A40,Haver_M!$B$1:$B$1000,0),MATCH(data!AY$1,Haver_M!$B$1:$ZN$1,0))),INDEX(Haver_M!$B$1:$ZN$1000,MATCH(data!$A40,Haver_M!$B$1:$B$1000,0),MATCH(data!AY$1,Haver_M!$B$1:$ZN$1,0)),"na")</f>
        <v>1554</v>
      </c>
      <c r="AZ40" t="str">
        <f>IF(ISNUMBER(INDEX(Haver_M!$B$1:$ZN$1000,MATCH(data!$A40,Haver_M!$B$1:$B$1000,0),MATCH(data!AZ$1,Haver_M!$B$1:$ZN$1,0))),INDEX(Haver_M!$B$1:$ZN$1000,MATCH(data!$A40,Haver_M!$B$1:$B$1000,0),MATCH(data!AZ$1,Haver_M!$B$1:$ZN$1,0)),"na")</f>
        <v>na</v>
      </c>
      <c r="BA40">
        <f>IF(ISNUMBER(INDEX(Haver_M!$B$1:$ZN$1000,MATCH(data!$A40,Haver_M!$B$1:$B$1000,0),MATCH(data!BA$1,Haver_M!$B$1:$ZN$1,0))),INDEX(Haver_M!$B$1:$ZN$1000,MATCH(data!$A40,Haver_M!$B$1:$B$1000,0),MATCH(data!BA$1,Haver_M!$B$1:$ZN$1,0)),"na")</f>
        <v>518.52624890487903</v>
      </c>
      <c r="BB40" t="str">
        <f>IF(ISNUMBER(INDEX(Haver_M!$B$1:$ZN$1000,MATCH(data!$A40,Haver_M!$B$1:$B$1000,0),MATCH(data!BB$1,Haver_M!$B$1:$ZN$1,0))),INDEX(Haver_M!$B$1:$ZN$1000,MATCH(data!$A40,Haver_M!$B$1:$B$1000,0),MATCH(data!BB$1,Haver_M!$B$1:$ZN$1,0)),"")</f>
        <v/>
      </c>
    </row>
    <row r="41" spans="1:54" x14ac:dyDescent="0.25">
      <c r="A41" s="2">
        <v>37741</v>
      </c>
      <c r="B41" t="str">
        <f>IF(ISNUMBER(INDEX(Haver_Q!$B$1:$BD$1000,MATCH(data!$A41,Haver_Q!$B$1:$B$1000,0),MATCH(data!B$1,Haver_Q!$B$1:$BD$1,0))),100*INDEX(Haver_Q!$B$1:$BD$1000,MATCH(data!$A41,Haver_Q!$B$1:$B$1000,0),MATCH(data!B$1,Haver_Q!$B$1:$BD$1,0)),"na")</f>
        <v>na</v>
      </c>
      <c r="C41" t="str">
        <f>IF(ISNUMBER(INDEX(Haver_Q!$B$1:$BD$1000,MATCH(data!$A41,Haver_Q!$B$1:$B$1000,0),MATCH(data!C$1,Haver_Q!$B$1:$BD$1,0))),100*INDEX(Haver_Q!$B$1:$BD$1000,MATCH(data!$A41,Haver_Q!$B$1:$B$1000,0),MATCH(data!C$1,Haver_Q!$B$1:$BD$1,0)),"na")</f>
        <v>na</v>
      </c>
      <c r="D41" t="str">
        <f>IF(ISNUMBER(INDEX(Haver_Q!$B$1:$BD$1000,MATCH(data!$A41,Haver_Q!$B$1:$B$1000,0),MATCH(data!D$1,Haver_Q!$B$1:$BD$1,0))),100*INDEX(Haver_Q!$B$1:$BD$1000,MATCH(data!$A41,Haver_Q!$B$1:$B$1000,0),MATCH(data!D$1,Haver_Q!$B$1:$BD$1,0)),"na")</f>
        <v>na</v>
      </c>
      <c r="E41" t="str">
        <f>IF(ISNUMBER(INDEX(Haver_Q!$B$1:$BD$1000,MATCH(data!$A41,Haver_Q!$B$1:$B$1000,0),MATCH(data!E$1,Haver_Q!$B$1:$BD$1,0))),100*INDEX(Haver_Q!$B$1:$BD$1000,MATCH(data!$A41,Haver_Q!$B$1:$B$1000,0),MATCH(data!E$1,Haver_Q!$B$1:$BD$1,0)),"na")</f>
        <v>na</v>
      </c>
      <c r="F41" t="str">
        <f>IF(ISNUMBER(INDEX(Haver_Q!$B$1:$BD$1000,MATCH(data!$A41,Haver_Q!$B$1:$B$1000,0),MATCH(data!F$1,Haver_Q!$B$1:$BD$1,0))),100*INDEX(Haver_Q!$B$1:$BD$1000,MATCH(data!$A41,Haver_Q!$B$1:$B$1000,0),MATCH(data!F$1,Haver_Q!$B$1:$BD$1,0)),"na")</f>
        <v>na</v>
      </c>
      <c r="G41" t="str">
        <f>IF(ISNUMBER(INDEX(Haver_Q!$B$1:$BD$1000,MATCH(data!$A41,Haver_Q!$B$1:$B$1000,0),MATCH(data!G$1,Haver_Q!$B$1:$BD$1,0))),100*INDEX(Haver_Q!$B$1:$BD$1000,MATCH(data!$A41,Haver_Q!$B$1:$B$1000,0),MATCH(data!G$1,Haver_Q!$B$1:$BD$1,0)),"na")</f>
        <v>na</v>
      </c>
      <c r="H41" t="str">
        <f>IF(ISNUMBER(INDEX(Haver_Q!$B$1:$BD$1000,MATCH(data!$A41,Haver_Q!$B$1:$B$1000,0),MATCH(data!H$1,Haver_Q!$B$1:$BD$1,0))),100*INDEX(Haver_Q!$B$1:$BD$1000,MATCH(data!$A41,Haver_Q!$B$1:$B$1000,0),MATCH(data!H$1,Haver_Q!$B$1:$BD$1,0)),"na")</f>
        <v>na</v>
      </c>
      <c r="I41" s="3">
        <f>IF(ISNUMBER(Bloomberg_m!C57),Bloomberg_m!C57,"na")</f>
        <v>2064</v>
      </c>
      <c r="J41" s="3" t="str">
        <f>IF(ISNUMBER(Bloomberg_m!D57),Bloomberg_m!D57,"na")</f>
        <v>na</v>
      </c>
      <c r="K41" s="3" t="str">
        <f>IF(ISNUMBER(Bloomberg_m!E57),Bloomberg_m!E57,"na")</f>
        <v>na</v>
      </c>
      <c r="L41" s="3">
        <f>IF(ISNUMBER(Bloomberg_m!L57),Bloomberg_m!L57,"na")</f>
        <v>28.22</v>
      </c>
      <c r="M41" t="str">
        <f>IF(ISNUMBER(INDEX(Haver_M!$B$1:$ZN$1000,MATCH(data!$A41,Haver_M!$B$1:$B$1000,0),MATCH(data!M$1,Haver_M!$B$1:$ZN$1,0))),INDEX(Haver_M!$B$1:$ZN$1000,MATCH(data!$A41,Haver_M!$B$1:$B$1000,0),MATCH(data!M$1,Haver_M!$B$1:$ZN$1,0)),"na")</f>
        <v>na</v>
      </c>
      <c r="N41" t="str">
        <f>IF(ISNUMBER(INDEX(Haver_M!$B$1:$ZN$1000,MATCH(data!$A41,Haver_M!$B$1:$B$1000,0),MATCH(data!N$1,Haver_M!$B$1:$ZN$1,0))),INDEX(Haver_M!$B$1:$ZN$1000,MATCH(data!$A41,Haver_M!$B$1:$B$1000,0),MATCH(data!N$1,Haver_M!$B$1:$ZN$1,0)),"na")</f>
        <v>na</v>
      </c>
      <c r="O41">
        <f>IF(ISNUMBER(INDEX(Haver_M!$B$1:$ZN$1000,MATCH(data!$A41,Haver_M!$B$1:$B$1000,0),MATCH(data!O$1,Haver_M!$B$1:$ZN$1,0))),INDEX(Haver_M!$B$1:$ZN$1000,MATCH(data!$A41,Haver_M!$B$1:$B$1000,0),MATCH(data!O$1,Haver_M!$B$1:$ZN$1,0)),"na")</f>
        <v>115.61315</v>
      </c>
      <c r="P41">
        <f>IF(ISNUMBER(INDEX(Haver_M!$B$1:$ZN$1000,MATCH(data!$A41,Haver_M!$B$1:$B$1000,0),MATCH(data!P$1,Haver_M!$B$1:$ZN$1,0))),INDEX(Haver_M!$B$1:$ZN$1000,MATCH(data!$A41,Haver_M!$B$1:$B$1000,0),MATCH(data!P$1,Haver_M!$B$1:$ZN$1,0)),"na")</f>
        <v>53.905700000000003</v>
      </c>
      <c r="Q41">
        <f>IF(ISNUMBER(INDEX(Haver_M!$B$1:$ZN$1000,MATCH(data!$A41,Haver_M!$B$1:$B$1000,0),MATCH(data!Q$1,Haver_M!$B$1:$ZN$1,0))),INDEX(Haver_M!$B$1:$ZN$1000,MATCH(data!$A41,Haver_M!$B$1:$B$1000,0),MATCH(data!Q$1,Haver_M!$B$1:$ZN$1,0)),"na")</f>
        <v>58.002499999999998</v>
      </c>
      <c r="R41">
        <f>IF(ISNUMBER(INDEX(Haver_M!$B$1:$ZN$1000,MATCH(data!$A41,Haver_M!$B$1:$B$1000,0),MATCH(data!R$1,Haver_M!$B$1:$ZN$1,0))),INDEX(Haver_M!$B$1:$ZN$1000,MATCH(data!$A41,Haver_M!$B$1:$B$1000,0),MATCH(data!R$1,Haver_M!$B$1:$ZN$1,0)),"na")</f>
        <v>88.191400000000002</v>
      </c>
      <c r="S41">
        <f>IF(ISNUMBER(INDEX(Haver_M!$B$1:$ZN$1000,MATCH(data!$A41,Haver_M!$B$1:$B$1000,0),MATCH(data!S$1,Haver_M!$B$1:$ZN$1,0))),INDEX(Haver_M!$B$1:$ZN$1000,MATCH(data!$A41,Haver_M!$B$1:$B$1000,0),MATCH(data!S$1,Haver_M!$B$1:$ZN$1,0)),"na")</f>
        <v>109.2158</v>
      </c>
      <c r="T41">
        <f>IF(ISNUMBER(INDEX(Haver_M!$B$1:$ZN$1000,MATCH(data!$A41,Haver_M!$B$1:$B$1000,0),MATCH(data!T$1,Haver_M!$B$1:$ZN$1,0))),INDEX(Haver_M!$B$1:$ZN$1000,MATCH(data!$A41,Haver_M!$B$1:$B$1000,0),MATCH(data!T$1,Haver_M!$B$1:$ZN$1,0)),"na")</f>
        <v>59.7699</v>
      </c>
      <c r="U41">
        <f>IF(ISNUMBER(INDEX(Haver_M!$B$1:$ZN$1000,MATCH(data!$A41,Haver_M!$B$1:$B$1000,0),MATCH(data!U$1,Haver_M!$B$1:$ZN$1,0))),INDEX(Haver_M!$B$1:$ZN$1000,MATCH(data!$A41,Haver_M!$B$1:$B$1000,0),MATCH(data!U$1,Haver_M!$B$1:$ZN$1,0)),"na")</f>
        <v>77.680300000000003</v>
      </c>
      <c r="V41">
        <f>IF(ISNUMBER(INDEX(Haver_M!$B$1:$ZN$1000,MATCH(data!$A41,Haver_M!$B$1:$B$1000,0),MATCH(data!V$1,Haver_M!$B$1:$ZN$1,0))),INDEX(Haver_M!$B$1:$ZN$1000,MATCH(data!$A41,Haver_M!$B$1:$B$1000,0),MATCH(data!V$1,Haver_M!$B$1:$ZN$1,0)),"na")</f>
        <v>86.490799999999993</v>
      </c>
      <c r="W41">
        <f>IF(ISNUMBER(INDEX(Haver_M!$B$1:$ZN$1000,MATCH(data!$A41,Haver_M!$B$1:$B$1000,0),MATCH(data!W$1,Haver_M!$B$1:$ZN$1,0))),INDEX(Haver_M!$B$1:$ZN$1000,MATCH(data!$A41,Haver_M!$B$1:$B$1000,0),MATCH(data!W$1,Haver_M!$B$1:$ZN$1,0)),"na")</f>
        <v>3.08</v>
      </c>
      <c r="X41" t="str">
        <f>IF(ISNUMBER(INDEX(Haver_M!$B$1:$ZN$1000,MATCH(data!$A41,Haver_M!$B$1:$B$1000,0),MATCH(data!X$1,Haver_M!$B$1:$ZN$1,0))),INDEX(Haver_M!$B$1:$ZN$1000,MATCH(data!$A41,Haver_M!$B$1:$B$1000,0),MATCH(data!X$1,Haver_M!$B$1:$ZN$1,0)),"na")</f>
        <v>na</v>
      </c>
      <c r="Y41">
        <f>IF(ISNUMBER(INDEX(Haver_M!$B$1:$ZN$1000,MATCH(data!$A41,Haver_M!$B$1:$B$1000,0),MATCH(data!Y$1,Haver_M!$B$1:$ZN$1,0))),INDEX(Haver_M!$B$1:$ZN$1000,MATCH(data!$A41,Haver_M!$B$1:$B$1000,0),MATCH(data!Y$1,Haver_M!$B$1:$ZN$1,0)),"na")</f>
        <v>98.04</v>
      </c>
      <c r="Z41">
        <f>IF(ISNUMBER(INDEX(Haver_M!$B$1:$ZN$1000,MATCH(data!$A41,Haver_M!$B$1:$B$1000,0),MATCH(data!Z$1,Haver_M!$B$1:$ZN$1,0))),INDEX(Haver_M!$B$1:$ZN$1000,MATCH(data!$A41,Haver_M!$B$1:$B$1000,0),MATCH(data!Z$1,Haver_M!$B$1:$ZN$1,0)),"na")</f>
        <v>80.750299999999996</v>
      </c>
      <c r="AA41" t="str">
        <f>IF(ISNUMBER(INDEX(Haver_M!$B$1:$ZN$1000,MATCH(data!$A41,Haver_M!$B$1:$B$1000,0),MATCH(data!AA$1,Haver_M!$B$1:$ZN$1,0))),INDEX(Haver_M!$B$1:$ZN$1000,MATCH(data!$A41,Haver_M!$B$1:$B$1000,0),MATCH(data!AA$1,Haver_M!$B$1:$ZN$1,0)),"na")</f>
        <v>na</v>
      </c>
      <c r="AB41">
        <f>IF(ISNUMBER(INDEX(Haver_M!$B$1:$ZN$1000,MATCH(data!$A41,Haver_M!$B$1:$B$1000,0),MATCH(data!AB$1,Haver_M!$B$1:$ZN$1,0))),INDEX(Haver_M!$B$1:$ZN$1000,MATCH(data!$A41,Haver_M!$B$1:$B$1000,0),MATCH(data!AB$1,Haver_M!$B$1:$ZN$1,0)),"na")</f>
        <v>13296.6</v>
      </c>
      <c r="AC41">
        <f>IF(ISNUMBER(INDEX(Haver_M!$B$1:$ZN$1000,MATCH(data!$A41,Haver_M!$B$1:$B$1000,0),MATCH(data!AC$1,Haver_M!$B$1:$ZN$1,0))),INDEX(Haver_M!$B$1:$ZN$1000,MATCH(data!$A41,Haver_M!$B$1:$B$1000,0),MATCH(data!AC$1,Haver_M!$B$1:$ZN$1,0)),"na")</f>
        <v>14224.7</v>
      </c>
      <c r="AD41">
        <f>IF(ISNUMBER(INDEX(Haver_M!$B$1:$ZN$1000,MATCH(data!$A41,Haver_M!$B$1:$B$1000,0),MATCH(data!AD$1,Haver_M!$B$1:$ZN$1,0))),INDEX(Haver_M!$B$1:$ZN$1000,MATCH(data!$A41,Haver_M!$B$1:$B$1000,0),MATCH(data!AD$1,Haver_M!$B$1:$ZN$1,0)),"na")</f>
        <v>98.94</v>
      </c>
      <c r="AE41">
        <f>IF(ISNUMBER(INDEX(Haver_M!$B$1:$ZN$1000,MATCH(data!$A41,Haver_M!$B$1:$B$1000,0),MATCH(data!AE$1,Haver_M!$B$1:$ZN$1,0))),INDEX(Haver_M!$B$1:$ZN$1000,MATCH(data!$A41,Haver_M!$B$1:$B$1000,0),MATCH(data!AE$1,Haver_M!$B$1:$ZN$1,0)),"na")</f>
        <v>40.200000000000003</v>
      </c>
      <c r="AF41" t="str">
        <f>IF(ISNUMBER(INDEX(Haver_M!$B$1:$ZN$1000,MATCH(data!$A41,Haver_M!$B$1:$B$1000,0),MATCH(data!AF$1,Haver_M!$B$1:$ZN$1,0))),INDEX(Haver_M!$B$1:$ZN$1000,MATCH(data!$A41,Haver_M!$B$1:$B$1000,0),MATCH(data!AF$1,Haver_M!$B$1:$ZN$1,0)),"na")</f>
        <v>na</v>
      </c>
      <c r="AG41" t="str">
        <f>IF(ISNUMBER(INDEX(Haver_M!$B$1:$ZN$1000,MATCH(data!$A41,Haver_M!$B$1:$B$1000,0),MATCH(data!AG$1,Haver_M!$B$1:$ZN$1,0))),INDEX(Haver_M!$B$1:$ZN$1000,MATCH(data!$A41,Haver_M!$B$1:$B$1000,0),MATCH(data!AG$1,Haver_M!$B$1:$ZN$1,0)),"na")</f>
        <v>na</v>
      </c>
      <c r="AH41" t="str">
        <f>IF(ISNUMBER(INDEX(Haver_M!$B$1:$ZN$1000,MATCH(data!$A41,Haver_M!$B$1:$B$1000,0),MATCH(data!AH$1,Haver_M!$B$1:$ZN$1,0))),INDEX(Haver_M!$B$1:$ZN$1000,MATCH(data!$A41,Haver_M!$B$1:$B$1000,0),MATCH(data!AH$1,Haver_M!$B$1:$ZN$1,0)),"na")</f>
        <v>na</v>
      </c>
      <c r="AI41" t="str">
        <f>IF(ISNUMBER(INDEX(Haver_M!$B$1:$ZN$1000,MATCH(data!$A41,Haver_M!$B$1:$B$1000,0),MATCH(data!AI$1,Haver_M!$B$1:$ZN$1,0))),INDEX(Haver_M!$B$1:$ZN$1000,MATCH(data!$A41,Haver_M!$B$1:$B$1000,0),MATCH(data!AI$1,Haver_M!$B$1:$ZN$1,0)),"na")</f>
        <v>na</v>
      </c>
      <c r="AJ41" t="str">
        <f>IF(ISNUMBER(INDEX(Haver_M!$B$1:$ZN$1000,MATCH(data!$A41,Haver_M!$B$1:$B$1000,0),MATCH(data!AJ$1,Haver_M!$B$1:$ZN$1,0))),INDEX(Haver_M!$B$1:$ZN$1000,MATCH(data!$A41,Haver_M!$B$1:$B$1000,0),MATCH(data!AJ$1,Haver_M!$B$1:$ZN$1,0)),"na")</f>
        <v>na</v>
      </c>
      <c r="AK41" t="str">
        <f>IF(ISNUMBER(INDEX(Haver_M!$B$1:$ZN$1000,MATCH(data!$A41,Haver_M!$B$1:$B$1000,0),MATCH(data!AK$1,Haver_M!$B$1:$ZN$1,0))),INDEX(Haver_M!$B$1:$ZN$1000,MATCH(data!$A41,Haver_M!$B$1:$B$1000,0),MATCH(data!AK$1,Haver_M!$B$1:$ZN$1,0)),"na")</f>
        <v>na</v>
      </c>
      <c r="AL41" t="str">
        <f>IF(ISNUMBER(INDEX(Haver_M!$B$1:$ZN$1000,MATCH(data!$A41,Haver_M!$B$1:$B$1000,0),MATCH(data!AL$1,Haver_M!$B$1:$ZN$1,0))),INDEX(Haver_M!$B$1:$ZN$1000,MATCH(data!$A41,Haver_M!$B$1:$B$1000,0),MATCH(data!AL$1,Haver_M!$B$1:$ZN$1,0)),"na")</f>
        <v>na</v>
      </c>
      <c r="AM41" t="str">
        <f>IF(ISNUMBER(INDEX(Haver_M!$B$1:$ZN$1000,MATCH(data!$A41,Haver_M!$B$1:$B$1000,0),MATCH(data!AM$1,Haver_M!$B$1:$ZN$1,0))),INDEX(Haver_M!$B$1:$ZN$1000,MATCH(data!$A41,Haver_M!$B$1:$B$1000,0),MATCH(data!AM$1,Haver_M!$B$1:$ZN$1,0)),"na")</f>
        <v>na</v>
      </c>
      <c r="AN41" t="str">
        <f>IF(ISNUMBER(INDEX(Haver_M!$B$1:$ZN$1000,MATCH(data!$A41,Haver_M!$B$1:$B$1000,0),MATCH(data!AN$1,Haver_M!$B$1:$ZN$1,0))),INDEX(Haver_M!$B$1:$ZN$1000,MATCH(data!$A41,Haver_M!$B$1:$B$1000,0),MATCH(data!AN$1,Haver_M!$B$1:$ZN$1,0)),"na")</f>
        <v>na</v>
      </c>
      <c r="AO41" t="str">
        <f>IF(ISNUMBER(INDEX(Haver_M!$B$1:$ZN$1000,MATCH(data!$A41,Haver_M!$B$1:$B$1000,0),MATCH(data!AO$1,Haver_M!$B$1:$ZN$1,0))),INDEX(Haver_M!$B$1:$ZN$1000,MATCH(data!$A41,Haver_M!$B$1:$B$1000,0),MATCH(data!AO$1,Haver_M!$B$1:$ZN$1,0)),"na")</f>
        <v>na</v>
      </c>
      <c r="AP41" t="str">
        <f>IF(ISNUMBER(INDEX(Haver_M!$B$1:$ZN$1000,MATCH(data!$A41,Haver_M!$B$1:$B$1000,0),MATCH(data!AP$1,Haver_M!$B$1:$ZN$1,0))),INDEX(Haver_M!$B$1:$ZN$1000,MATCH(data!$A41,Haver_M!$B$1:$B$1000,0),MATCH(data!AP$1,Haver_M!$B$1:$ZN$1,0)),"na")</f>
        <v>na</v>
      </c>
      <c r="AQ41" t="str">
        <f>IF(ISNUMBER(INDEX(Haver_M!$B$1:$ZN$1000,MATCH(data!$A41,Haver_M!$B$1:$B$1000,0),MATCH(data!AQ$1,Haver_M!$B$1:$ZN$1,0))),INDEX(Haver_M!$B$1:$ZN$1000,MATCH(data!$A41,Haver_M!$B$1:$B$1000,0),MATCH(data!AQ$1,Haver_M!$B$1:$ZN$1,0)),"na")</f>
        <v>na</v>
      </c>
      <c r="AR41" t="str">
        <f>IF(ISNUMBER(INDEX(Haver_M!$B$1:$ZN$1000,MATCH(data!$A41,Haver_M!$B$1:$B$1000,0),MATCH(data!AR$1,Haver_M!$B$1:$ZN$1,0))),INDEX(Haver_M!$B$1:$ZN$1000,MATCH(data!$A41,Haver_M!$B$1:$B$1000,0),MATCH(data!AR$1,Haver_M!$B$1:$ZN$1,0)),"na")</f>
        <v>na</v>
      </c>
      <c r="AS41">
        <f>IF(ISNUMBER(INDEX(Haver_M!$B$1:$ZN$1000,MATCH(data!$A41,Haver_M!$B$1:$B$1000,0),MATCH(data!AS$1,Haver_M!$B$1:$ZN$1,0))),INDEX(Haver_M!$B$1:$ZN$1000,MATCH(data!$A41,Haver_M!$B$1:$B$1000,0),MATCH(data!AS$1,Haver_M!$B$1:$ZN$1,0)),"na")</f>
        <v>6263.24</v>
      </c>
      <c r="AT41">
        <f>IF(ISNUMBER(INDEX(Haver_M!$B$1:$ZN$1000,MATCH(data!$A41,Haver_M!$B$1:$B$1000,0),MATCH(data!AT$1,Haver_M!$B$1:$ZN$1,0))),INDEX(Haver_M!$B$1:$ZN$1000,MATCH(data!$A41,Haver_M!$B$1:$B$1000,0),MATCH(data!AT$1,Haver_M!$B$1:$ZN$1,0)),"na")</f>
        <v>82.644000000000005</v>
      </c>
      <c r="AU41">
        <f>IF(ISNUMBER(INDEX(Haver_M!$B$1:$ZN$1000,MATCH(data!$A41,Haver_M!$B$1:$B$1000,0),MATCH(data!AU$1,Haver_M!$B$1:$ZN$1,0))),INDEX(Haver_M!$B$1:$ZN$1000,MATCH(data!$A41,Haver_M!$B$1:$B$1000,0),MATCH(data!AU$1,Haver_M!$B$1:$ZN$1,0)),"na")</f>
        <v>80.238202000000001</v>
      </c>
      <c r="AV41">
        <f>IF(ISNUMBER(INDEX(Haver_M!$B$1:$ZN$1000,MATCH(data!$A41,Haver_M!$B$1:$B$1000,0),MATCH(data!AV$1,Haver_M!$B$1:$ZN$1,0))),INDEX(Haver_M!$B$1:$ZN$1000,MATCH(data!$A41,Haver_M!$B$1:$B$1000,0),MATCH(data!AV$1,Haver_M!$B$1:$ZN$1,0)),"na")</f>
        <v>71</v>
      </c>
      <c r="AW41">
        <f>IF(ISNUMBER(INDEX(Haver_M!$B$1:$ZN$1000,MATCH(data!$A41,Haver_M!$B$1:$B$1000,0),MATCH(data!AW$1,Haver_M!$B$1:$ZN$1,0))),INDEX(Haver_M!$B$1:$ZN$1000,MATCH(data!$A41,Haver_M!$B$1:$B$1000,0),MATCH(data!AW$1,Haver_M!$B$1:$ZN$1,0)),"na")</f>
        <v>746849.17064565874</v>
      </c>
      <c r="AX41">
        <f>IF(ISNUMBER(INDEX(Haver_M!$B$1:$ZN$1000,MATCH(data!$A41,Haver_M!$B$1:$B$1000,0),MATCH(data!AX$1,Haver_M!$B$1:$ZN$1,0))),INDEX(Haver_M!$B$1:$ZN$1000,MATCH(data!$A41,Haver_M!$B$1:$B$1000,0),MATCH(data!AX$1,Haver_M!$B$1:$ZN$1,0)),"na")</f>
        <v>3274</v>
      </c>
      <c r="AY41">
        <f>IF(ISNUMBER(INDEX(Haver_M!$B$1:$ZN$1000,MATCH(data!$A41,Haver_M!$B$1:$B$1000,0),MATCH(data!AY$1,Haver_M!$B$1:$ZN$1,0))),INDEX(Haver_M!$B$1:$ZN$1000,MATCH(data!$A41,Haver_M!$B$1:$B$1000,0),MATCH(data!AY$1,Haver_M!$B$1:$ZN$1,0)),"na")</f>
        <v>1889</v>
      </c>
      <c r="AZ41" t="str">
        <f>IF(ISNUMBER(INDEX(Haver_M!$B$1:$ZN$1000,MATCH(data!$A41,Haver_M!$B$1:$B$1000,0),MATCH(data!AZ$1,Haver_M!$B$1:$ZN$1,0))),INDEX(Haver_M!$B$1:$ZN$1000,MATCH(data!$A41,Haver_M!$B$1:$B$1000,0),MATCH(data!AZ$1,Haver_M!$B$1:$ZN$1,0)),"na")</f>
        <v>na</v>
      </c>
      <c r="BA41">
        <f>IF(ISNUMBER(INDEX(Haver_M!$B$1:$ZN$1000,MATCH(data!$A41,Haver_M!$B$1:$B$1000,0),MATCH(data!BA$1,Haver_M!$B$1:$ZN$1,0))),INDEX(Haver_M!$B$1:$ZN$1000,MATCH(data!$A41,Haver_M!$B$1:$B$1000,0),MATCH(data!BA$1,Haver_M!$B$1:$ZN$1,0)),"na")</f>
        <v>265.28232487880445</v>
      </c>
      <c r="BB41" t="str">
        <f>IF(ISNUMBER(INDEX(Haver_M!$B$1:$ZN$1000,MATCH(data!$A41,Haver_M!$B$1:$B$1000,0),MATCH(data!BB$1,Haver_M!$B$1:$ZN$1,0))),INDEX(Haver_M!$B$1:$ZN$1000,MATCH(data!$A41,Haver_M!$B$1:$B$1000,0),MATCH(data!BB$1,Haver_M!$B$1:$ZN$1,0)),"")</f>
        <v/>
      </c>
    </row>
    <row r="42" spans="1:54" x14ac:dyDescent="0.25">
      <c r="A42" s="2">
        <v>37772</v>
      </c>
      <c r="B42" t="str">
        <f>IF(ISNUMBER(INDEX(Haver_Q!$B$1:$BD$1000,MATCH(data!$A42,Haver_Q!$B$1:$B$1000,0),MATCH(data!B$1,Haver_Q!$B$1:$BD$1,0))),100*INDEX(Haver_Q!$B$1:$BD$1000,MATCH(data!$A42,Haver_Q!$B$1:$B$1000,0),MATCH(data!B$1,Haver_Q!$B$1:$BD$1,0)),"na")</f>
        <v>na</v>
      </c>
      <c r="C42" t="str">
        <f>IF(ISNUMBER(INDEX(Haver_Q!$B$1:$BD$1000,MATCH(data!$A42,Haver_Q!$B$1:$B$1000,0),MATCH(data!C$1,Haver_Q!$B$1:$BD$1,0))),100*INDEX(Haver_Q!$B$1:$BD$1000,MATCH(data!$A42,Haver_Q!$B$1:$B$1000,0),MATCH(data!C$1,Haver_Q!$B$1:$BD$1,0)),"na")</f>
        <v>na</v>
      </c>
      <c r="D42" t="str">
        <f>IF(ISNUMBER(INDEX(Haver_Q!$B$1:$BD$1000,MATCH(data!$A42,Haver_Q!$B$1:$B$1000,0),MATCH(data!D$1,Haver_Q!$B$1:$BD$1,0))),100*INDEX(Haver_Q!$B$1:$BD$1000,MATCH(data!$A42,Haver_Q!$B$1:$B$1000,0),MATCH(data!D$1,Haver_Q!$B$1:$BD$1,0)),"na")</f>
        <v>na</v>
      </c>
      <c r="E42" t="str">
        <f>IF(ISNUMBER(INDEX(Haver_Q!$B$1:$BD$1000,MATCH(data!$A42,Haver_Q!$B$1:$B$1000,0),MATCH(data!E$1,Haver_Q!$B$1:$BD$1,0))),100*INDEX(Haver_Q!$B$1:$BD$1000,MATCH(data!$A42,Haver_Q!$B$1:$B$1000,0),MATCH(data!E$1,Haver_Q!$B$1:$BD$1,0)),"na")</f>
        <v>na</v>
      </c>
      <c r="F42" t="str">
        <f>IF(ISNUMBER(INDEX(Haver_Q!$B$1:$BD$1000,MATCH(data!$A42,Haver_Q!$B$1:$B$1000,0),MATCH(data!F$1,Haver_Q!$B$1:$BD$1,0))),100*INDEX(Haver_Q!$B$1:$BD$1000,MATCH(data!$A42,Haver_Q!$B$1:$B$1000,0),MATCH(data!F$1,Haver_Q!$B$1:$BD$1,0)),"na")</f>
        <v>na</v>
      </c>
      <c r="G42" t="str">
        <f>IF(ISNUMBER(INDEX(Haver_Q!$B$1:$BD$1000,MATCH(data!$A42,Haver_Q!$B$1:$B$1000,0),MATCH(data!G$1,Haver_Q!$B$1:$BD$1,0))),100*INDEX(Haver_Q!$B$1:$BD$1000,MATCH(data!$A42,Haver_Q!$B$1:$B$1000,0),MATCH(data!G$1,Haver_Q!$B$1:$BD$1,0)),"na")</f>
        <v>na</v>
      </c>
      <c r="H42" t="str">
        <f>IF(ISNUMBER(INDEX(Haver_Q!$B$1:$BD$1000,MATCH(data!$A42,Haver_Q!$B$1:$B$1000,0),MATCH(data!H$1,Haver_Q!$B$1:$BD$1,0))),100*INDEX(Haver_Q!$B$1:$BD$1000,MATCH(data!$A42,Haver_Q!$B$1:$B$1000,0),MATCH(data!H$1,Haver_Q!$B$1:$BD$1,0)),"na")</f>
        <v>na</v>
      </c>
      <c r="I42" s="3">
        <f>IF(ISNUMBER(Bloomberg_m!C58),Bloomberg_m!C58,"na")</f>
        <v>2231</v>
      </c>
      <c r="J42" s="3" t="str">
        <f>IF(ISNUMBER(Bloomberg_m!D58),Bloomberg_m!D58,"na")</f>
        <v>na</v>
      </c>
      <c r="K42" s="3" t="str">
        <f>IF(ISNUMBER(Bloomberg_m!E58),Bloomberg_m!E58,"na")</f>
        <v>na</v>
      </c>
      <c r="L42" s="3">
        <f>IF(ISNUMBER(Bloomberg_m!L58),Bloomberg_m!L58,"na")</f>
        <v>28.13</v>
      </c>
      <c r="M42" t="str">
        <f>IF(ISNUMBER(INDEX(Haver_M!$B$1:$ZN$1000,MATCH(data!$A42,Haver_M!$B$1:$B$1000,0),MATCH(data!M$1,Haver_M!$B$1:$ZN$1,0))),INDEX(Haver_M!$B$1:$ZN$1000,MATCH(data!$A42,Haver_M!$B$1:$B$1000,0),MATCH(data!M$1,Haver_M!$B$1:$ZN$1,0)),"na")</f>
        <v>na</v>
      </c>
      <c r="N42" t="str">
        <f>IF(ISNUMBER(INDEX(Haver_M!$B$1:$ZN$1000,MATCH(data!$A42,Haver_M!$B$1:$B$1000,0),MATCH(data!N$1,Haver_M!$B$1:$ZN$1,0))),INDEX(Haver_M!$B$1:$ZN$1000,MATCH(data!$A42,Haver_M!$B$1:$B$1000,0),MATCH(data!N$1,Haver_M!$B$1:$ZN$1,0)),"na")</f>
        <v>na</v>
      </c>
      <c r="O42">
        <f>IF(ISNUMBER(INDEX(Haver_M!$B$1:$ZN$1000,MATCH(data!$A42,Haver_M!$B$1:$B$1000,0),MATCH(data!O$1,Haver_M!$B$1:$ZN$1,0))),INDEX(Haver_M!$B$1:$ZN$1000,MATCH(data!$A42,Haver_M!$B$1:$B$1000,0),MATCH(data!O$1,Haver_M!$B$1:$ZN$1,0)),"na")</f>
        <v>117.76662</v>
      </c>
      <c r="P42">
        <f>IF(ISNUMBER(INDEX(Haver_M!$B$1:$ZN$1000,MATCH(data!$A42,Haver_M!$B$1:$B$1000,0),MATCH(data!P$1,Haver_M!$B$1:$ZN$1,0))),INDEX(Haver_M!$B$1:$ZN$1000,MATCH(data!$A42,Haver_M!$B$1:$B$1000,0),MATCH(data!P$1,Haver_M!$B$1:$ZN$1,0)),"na")</f>
        <v>54.020499999999998</v>
      </c>
      <c r="Q42">
        <f>IF(ISNUMBER(INDEX(Haver_M!$B$1:$ZN$1000,MATCH(data!$A42,Haver_M!$B$1:$B$1000,0),MATCH(data!Q$1,Haver_M!$B$1:$ZN$1,0))),INDEX(Haver_M!$B$1:$ZN$1000,MATCH(data!$A42,Haver_M!$B$1:$B$1000,0),MATCH(data!Q$1,Haver_M!$B$1:$ZN$1,0)),"na")</f>
        <v>58.2485</v>
      </c>
      <c r="R42">
        <f>IF(ISNUMBER(INDEX(Haver_M!$B$1:$ZN$1000,MATCH(data!$A42,Haver_M!$B$1:$B$1000,0),MATCH(data!R$1,Haver_M!$B$1:$ZN$1,0))),INDEX(Haver_M!$B$1:$ZN$1000,MATCH(data!$A42,Haver_M!$B$1:$B$1000,0),MATCH(data!R$1,Haver_M!$B$1:$ZN$1,0)),"na")</f>
        <v>88.378200000000007</v>
      </c>
      <c r="S42">
        <f>IF(ISNUMBER(INDEX(Haver_M!$B$1:$ZN$1000,MATCH(data!$A42,Haver_M!$B$1:$B$1000,0),MATCH(data!S$1,Haver_M!$B$1:$ZN$1,0))),INDEX(Haver_M!$B$1:$ZN$1000,MATCH(data!$A42,Haver_M!$B$1:$B$1000,0),MATCH(data!S$1,Haver_M!$B$1:$ZN$1,0)),"na")</f>
        <v>109.971</v>
      </c>
      <c r="T42">
        <f>IF(ISNUMBER(INDEX(Haver_M!$B$1:$ZN$1000,MATCH(data!$A42,Haver_M!$B$1:$B$1000,0),MATCH(data!T$1,Haver_M!$B$1:$ZN$1,0))),INDEX(Haver_M!$B$1:$ZN$1000,MATCH(data!$A42,Haver_M!$B$1:$B$1000,0),MATCH(data!T$1,Haver_M!$B$1:$ZN$1,0)),"na")</f>
        <v>60.217599999999997</v>
      </c>
      <c r="U42">
        <f>IF(ISNUMBER(INDEX(Haver_M!$B$1:$ZN$1000,MATCH(data!$A42,Haver_M!$B$1:$B$1000,0),MATCH(data!U$1,Haver_M!$B$1:$ZN$1,0))),INDEX(Haver_M!$B$1:$ZN$1000,MATCH(data!$A42,Haver_M!$B$1:$B$1000,0),MATCH(data!U$1,Haver_M!$B$1:$ZN$1,0)),"na")</f>
        <v>77.022599999999997</v>
      </c>
      <c r="V42">
        <f>IF(ISNUMBER(INDEX(Haver_M!$B$1:$ZN$1000,MATCH(data!$A42,Haver_M!$B$1:$B$1000,0),MATCH(data!V$1,Haver_M!$B$1:$ZN$1,0))),INDEX(Haver_M!$B$1:$ZN$1000,MATCH(data!$A42,Haver_M!$B$1:$B$1000,0),MATCH(data!V$1,Haver_M!$B$1:$ZN$1,0)),"na")</f>
        <v>86.377099999999999</v>
      </c>
      <c r="W42">
        <f>IF(ISNUMBER(INDEX(Haver_M!$B$1:$ZN$1000,MATCH(data!$A42,Haver_M!$B$1:$B$1000,0),MATCH(data!W$1,Haver_M!$B$1:$ZN$1,0))),INDEX(Haver_M!$B$1:$ZN$1000,MATCH(data!$A42,Haver_M!$B$1:$B$1000,0),MATCH(data!W$1,Haver_M!$B$1:$ZN$1,0)),"na")</f>
        <v>3.21</v>
      </c>
      <c r="X42" t="str">
        <f>IF(ISNUMBER(INDEX(Haver_M!$B$1:$ZN$1000,MATCH(data!$A42,Haver_M!$B$1:$B$1000,0),MATCH(data!X$1,Haver_M!$B$1:$ZN$1,0))),INDEX(Haver_M!$B$1:$ZN$1000,MATCH(data!$A42,Haver_M!$B$1:$B$1000,0),MATCH(data!X$1,Haver_M!$B$1:$ZN$1,0)),"na")</f>
        <v>na</v>
      </c>
      <c r="Y42">
        <f>IF(ISNUMBER(INDEX(Haver_M!$B$1:$ZN$1000,MATCH(data!$A42,Haver_M!$B$1:$B$1000,0),MATCH(data!Y$1,Haver_M!$B$1:$ZN$1,0))),INDEX(Haver_M!$B$1:$ZN$1000,MATCH(data!$A42,Haver_M!$B$1:$B$1000,0),MATCH(data!Y$1,Haver_M!$B$1:$ZN$1,0)),"na")</f>
        <v>98.39</v>
      </c>
      <c r="Z42">
        <f>IF(ISNUMBER(INDEX(Haver_M!$B$1:$ZN$1000,MATCH(data!$A42,Haver_M!$B$1:$B$1000,0),MATCH(data!Z$1,Haver_M!$B$1:$ZN$1,0))),INDEX(Haver_M!$B$1:$ZN$1000,MATCH(data!$A42,Haver_M!$B$1:$B$1000,0),MATCH(data!Z$1,Haver_M!$B$1:$ZN$1,0)),"na")</f>
        <v>80.750299999999996</v>
      </c>
      <c r="AA42" t="str">
        <f>IF(ISNUMBER(INDEX(Haver_M!$B$1:$ZN$1000,MATCH(data!$A42,Haver_M!$B$1:$B$1000,0),MATCH(data!AA$1,Haver_M!$B$1:$ZN$1,0))),INDEX(Haver_M!$B$1:$ZN$1000,MATCH(data!$A42,Haver_M!$B$1:$B$1000,0),MATCH(data!AA$1,Haver_M!$B$1:$ZN$1,0)),"na")</f>
        <v>na</v>
      </c>
      <c r="AB42">
        <f>IF(ISNUMBER(INDEX(Haver_M!$B$1:$ZN$1000,MATCH(data!$A42,Haver_M!$B$1:$B$1000,0),MATCH(data!AB$1,Haver_M!$B$1:$ZN$1,0))),INDEX(Haver_M!$B$1:$ZN$1000,MATCH(data!$A42,Haver_M!$B$1:$B$1000,0),MATCH(data!AB$1,Haver_M!$B$1:$ZN$1,0)),"na")</f>
        <v>12991.1</v>
      </c>
      <c r="AC42">
        <f>IF(ISNUMBER(INDEX(Haver_M!$B$1:$ZN$1000,MATCH(data!$A42,Haver_M!$B$1:$B$1000,0),MATCH(data!AC$1,Haver_M!$B$1:$ZN$1,0))),INDEX(Haver_M!$B$1:$ZN$1000,MATCH(data!$A42,Haver_M!$B$1:$B$1000,0),MATCH(data!AC$1,Haver_M!$B$1:$ZN$1,0)),"na")</f>
        <v>13899.6</v>
      </c>
      <c r="AD42">
        <f>IF(ISNUMBER(INDEX(Haver_M!$B$1:$ZN$1000,MATCH(data!$A42,Haver_M!$B$1:$B$1000,0),MATCH(data!AD$1,Haver_M!$B$1:$ZN$1,0))),INDEX(Haver_M!$B$1:$ZN$1000,MATCH(data!$A42,Haver_M!$B$1:$B$1000,0),MATCH(data!AD$1,Haver_M!$B$1:$ZN$1,0)),"na")</f>
        <v>98.8</v>
      </c>
      <c r="AE42">
        <f>IF(ISNUMBER(INDEX(Haver_M!$B$1:$ZN$1000,MATCH(data!$A42,Haver_M!$B$1:$B$1000,0),MATCH(data!AE$1,Haver_M!$B$1:$ZN$1,0))),INDEX(Haver_M!$B$1:$ZN$1000,MATCH(data!$A42,Haver_M!$B$1:$B$1000,0),MATCH(data!AE$1,Haver_M!$B$1:$ZN$1,0)),"na")</f>
        <v>40.299999999999997</v>
      </c>
      <c r="AF42" t="str">
        <f>IF(ISNUMBER(INDEX(Haver_M!$B$1:$ZN$1000,MATCH(data!$A42,Haver_M!$B$1:$B$1000,0),MATCH(data!AF$1,Haver_M!$B$1:$ZN$1,0))),INDEX(Haver_M!$B$1:$ZN$1000,MATCH(data!$A42,Haver_M!$B$1:$B$1000,0),MATCH(data!AF$1,Haver_M!$B$1:$ZN$1,0)),"na")</f>
        <v>na</v>
      </c>
      <c r="AG42" t="str">
        <f>IF(ISNUMBER(INDEX(Haver_M!$B$1:$ZN$1000,MATCH(data!$A42,Haver_M!$B$1:$B$1000,0),MATCH(data!AG$1,Haver_M!$B$1:$ZN$1,0))),INDEX(Haver_M!$B$1:$ZN$1000,MATCH(data!$A42,Haver_M!$B$1:$B$1000,0),MATCH(data!AG$1,Haver_M!$B$1:$ZN$1,0)),"na")</f>
        <v>na</v>
      </c>
      <c r="AH42" t="str">
        <f>IF(ISNUMBER(INDEX(Haver_M!$B$1:$ZN$1000,MATCH(data!$A42,Haver_M!$B$1:$B$1000,0),MATCH(data!AH$1,Haver_M!$B$1:$ZN$1,0))),INDEX(Haver_M!$B$1:$ZN$1000,MATCH(data!$A42,Haver_M!$B$1:$B$1000,0),MATCH(data!AH$1,Haver_M!$B$1:$ZN$1,0)),"na")</f>
        <v>na</v>
      </c>
      <c r="AI42" t="str">
        <f>IF(ISNUMBER(INDEX(Haver_M!$B$1:$ZN$1000,MATCH(data!$A42,Haver_M!$B$1:$B$1000,0),MATCH(data!AI$1,Haver_M!$B$1:$ZN$1,0))),INDEX(Haver_M!$B$1:$ZN$1000,MATCH(data!$A42,Haver_M!$B$1:$B$1000,0),MATCH(data!AI$1,Haver_M!$B$1:$ZN$1,0)),"na")</f>
        <v>na</v>
      </c>
      <c r="AJ42" t="str">
        <f>IF(ISNUMBER(INDEX(Haver_M!$B$1:$ZN$1000,MATCH(data!$A42,Haver_M!$B$1:$B$1000,0),MATCH(data!AJ$1,Haver_M!$B$1:$ZN$1,0))),INDEX(Haver_M!$B$1:$ZN$1000,MATCH(data!$A42,Haver_M!$B$1:$B$1000,0),MATCH(data!AJ$1,Haver_M!$B$1:$ZN$1,0)),"na")</f>
        <v>na</v>
      </c>
      <c r="AK42" t="str">
        <f>IF(ISNUMBER(INDEX(Haver_M!$B$1:$ZN$1000,MATCH(data!$A42,Haver_M!$B$1:$B$1000,0),MATCH(data!AK$1,Haver_M!$B$1:$ZN$1,0))),INDEX(Haver_M!$B$1:$ZN$1000,MATCH(data!$A42,Haver_M!$B$1:$B$1000,0),MATCH(data!AK$1,Haver_M!$B$1:$ZN$1,0)),"na")</f>
        <v>na</v>
      </c>
      <c r="AL42" t="str">
        <f>IF(ISNUMBER(INDEX(Haver_M!$B$1:$ZN$1000,MATCH(data!$A42,Haver_M!$B$1:$B$1000,0),MATCH(data!AL$1,Haver_M!$B$1:$ZN$1,0))),INDEX(Haver_M!$B$1:$ZN$1000,MATCH(data!$A42,Haver_M!$B$1:$B$1000,0),MATCH(data!AL$1,Haver_M!$B$1:$ZN$1,0)),"na")</f>
        <v>na</v>
      </c>
      <c r="AM42" t="str">
        <f>IF(ISNUMBER(INDEX(Haver_M!$B$1:$ZN$1000,MATCH(data!$A42,Haver_M!$B$1:$B$1000,0),MATCH(data!AM$1,Haver_M!$B$1:$ZN$1,0))),INDEX(Haver_M!$B$1:$ZN$1000,MATCH(data!$A42,Haver_M!$B$1:$B$1000,0),MATCH(data!AM$1,Haver_M!$B$1:$ZN$1,0)),"na")</f>
        <v>na</v>
      </c>
      <c r="AN42" t="str">
        <f>IF(ISNUMBER(INDEX(Haver_M!$B$1:$ZN$1000,MATCH(data!$A42,Haver_M!$B$1:$B$1000,0),MATCH(data!AN$1,Haver_M!$B$1:$ZN$1,0))),INDEX(Haver_M!$B$1:$ZN$1000,MATCH(data!$A42,Haver_M!$B$1:$B$1000,0),MATCH(data!AN$1,Haver_M!$B$1:$ZN$1,0)),"na")</f>
        <v>na</v>
      </c>
      <c r="AO42" t="str">
        <f>IF(ISNUMBER(INDEX(Haver_M!$B$1:$ZN$1000,MATCH(data!$A42,Haver_M!$B$1:$B$1000,0),MATCH(data!AO$1,Haver_M!$B$1:$ZN$1,0))),INDEX(Haver_M!$B$1:$ZN$1000,MATCH(data!$A42,Haver_M!$B$1:$B$1000,0),MATCH(data!AO$1,Haver_M!$B$1:$ZN$1,0)),"na")</f>
        <v>na</v>
      </c>
      <c r="AP42" t="str">
        <f>IF(ISNUMBER(INDEX(Haver_M!$B$1:$ZN$1000,MATCH(data!$A42,Haver_M!$B$1:$B$1000,0),MATCH(data!AP$1,Haver_M!$B$1:$ZN$1,0))),INDEX(Haver_M!$B$1:$ZN$1000,MATCH(data!$A42,Haver_M!$B$1:$B$1000,0),MATCH(data!AP$1,Haver_M!$B$1:$ZN$1,0)),"na")</f>
        <v>na</v>
      </c>
      <c r="AQ42" t="str">
        <f>IF(ISNUMBER(INDEX(Haver_M!$B$1:$ZN$1000,MATCH(data!$A42,Haver_M!$B$1:$B$1000,0),MATCH(data!AQ$1,Haver_M!$B$1:$ZN$1,0))),INDEX(Haver_M!$B$1:$ZN$1000,MATCH(data!$A42,Haver_M!$B$1:$B$1000,0),MATCH(data!AQ$1,Haver_M!$B$1:$ZN$1,0)),"na")</f>
        <v>na</v>
      </c>
      <c r="AR42" t="str">
        <f>IF(ISNUMBER(INDEX(Haver_M!$B$1:$ZN$1000,MATCH(data!$A42,Haver_M!$B$1:$B$1000,0),MATCH(data!AR$1,Haver_M!$B$1:$ZN$1,0))),INDEX(Haver_M!$B$1:$ZN$1000,MATCH(data!$A42,Haver_M!$B$1:$B$1000,0),MATCH(data!AR$1,Haver_M!$B$1:$ZN$1,0)),"na")</f>
        <v>na</v>
      </c>
      <c r="AS42">
        <f>IF(ISNUMBER(INDEX(Haver_M!$B$1:$ZN$1000,MATCH(data!$A42,Haver_M!$B$1:$B$1000,0),MATCH(data!AS$1,Haver_M!$B$1:$ZN$1,0))),INDEX(Haver_M!$B$1:$ZN$1000,MATCH(data!$A42,Haver_M!$B$1:$B$1000,0),MATCH(data!AS$1,Haver_M!$B$1:$ZN$1,0)),"na")</f>
        <v>6551.97</v>
      </c>
      <c r="AT42">
        <f>IF(ISNUMBER(INDEX(Haver_M!$B$1:$ZN$1000,MATCH(data!$A42,Haver_M!$B$1:$B$1000,0),MATCH(data!AT$1,Haver_M!$B$1:$ZN$1,0))),INDEX(Haver_M!$B$1:$ZN$1000,MATCH(data!$A42,Haver_M!$B$1:$B$1000,0),MATCH(data!AT$1,Haver_M!$B$1:$ZN$1,0)),"na")</f>
        <v>81.924999999999997</v>
      </c>
      <c r="AU42">
        <f>IF(ISNUMBER(INDEX(Haver_M!$B$1:$ZN$1000,MATCH(data!$A42,Haver_M!$B$1:$B$1000,0),MATCH(data!AU$1,Haver_M!$B$1:$ZN$1,0))),INDEX(Haver_M!$B$1:$ZN$1000,MATCH(data!$A42,Haver_M!$B$1:$B$1000,0),MATCH(data!AU$1,Haver_M!$B$1:$ZN$1,0)),"na")</f>
        <v>80.015065000000007</v>
      </c>
      <c r="AV42">
        <f>IF(ISNUMBER(INDEX(Haver_M!$B$1:$ZN$1000,MATCH(data!$A42,Haver_M!$B$1:$B$1000,0),MATCH(data!AV$1,Haver_M!$B$1:$ZN$1,0))),INDEX(Haver_M!$B$1:$ZN$1000,MATCH(data!$A42,Haver_M!$B$1:$B$1000,0),MATCH(data!AV$1,Haver_M!$B$1:$ZN$1,0)),"na")</f>
        <v>70.599999999999994</v>
      </c>
      <c r="AW42">
        <f>IF(ISNUMBER(INDEX(Haver_M!$B$1:$ZN$1000,MATCH(data!$A42,Haver_M!$B$1:$B$1000,0),MATCH(data!AW$1,Haver_M!$B$1:$ZN$1,0))),INDEX(Haver_M!$B$1:$ZN$1000,MATCH(data!$A42,Haver_M!$B$1:$B$1000,0),MATCH(data!AW$1,Haver_M!$B$1:$ZN$1,0)),"na")</f>
        <v>755334.84693304799</v>
      </c>
      <c r="AX42">
        <f>IF(ISNUMBER(INDEX(Haver_M!$B$1:$ZN$1000,MATCH(data!$A42,Haver_M!$B$1:$B$1000,0),MATCH(data!AX$1,Haver_M!$B$1:$ZN$1,0))),INDEX(Haver_M!$B$1:$ZN$1000,MATCH(data!$A42,Haver_M!$B$1:$B$1000,0),MATCH(data!AX$1,Haver_M!$B$1:$ZN$1,0)),"na")</f>
        <v>3332</v>
      </c>
      <c r="AY42">
        <f>IF(ISNUMBER(INDEX(Haver_M!$B$1:$ZN$1000,MATCH(data!$A42,Haver_M!$B$1:$B$1000,0),MATCH(data!AY$1,Haver_M!$B$1:$ZN$1,0))),INDEX(Haver_M!$B$1:$ZN$1000,MATCH(data!$A42,Haver_M!$B$1:$B$1000,0),MATCH(data!AY$1,Haver_M!$B$1:$ZN$1,0)),"na")</f>
        <v>1666</v>
      </c>
      <c r="AZ42" t="str">
        <f>IF(ISNUMBER(INDEX(Haver_M!$B$1:$ZN$1000,MATCH(data!$A42,Haver_M!$B$1:$B$1000,0),MATCH(data!AZ$1,Haver_M!$B$1:$ZN$1,0))),INDEX(Haver_M!$B$1:$ZN$1000,MATCH(data!$A42,Haver_M!$B$1:$B$1000,0),MATCH(data!AZ$1,Haver_M!$B$1:$ZN$1,0)),"na")</f>
        <v>na</v>
      </c>
      <c r="BA42">
        <f>IF(ISNUMBER(INDEX(Haver_M!$B$1:$ZN$1000,MATCH(data!$A42,Haver_M!$B$1:$B$1000,0),MATCH(data!BA$1,Haver_M!$B$1:$ZN$1,0))),INDEX(Haver_M!$B$1:$ZN$1000,MATCH(data!$A42,Haver_M!$B$1:$B$1000,0),MATCH(data!BA$1,Haver_M!$B$1:$ZN$1,0)),"na")</f>
        <v>137.46524948010307</v>
      </c>
      <c r="BB42" t="str">
        <f>IF(ISNUMBER(INDEX(Haver_M!$B$1:$ZN$1000,MATCH(data!$A42,Haver_M!$B$1:$B$1000,0),MATCH(data!BB$1,Haver_M!$B$1:$ZN$1,0))),INDEX(Haver_M!$B$1:$ZN$1000,MATCH(data!$A42,Haver_M!$B$1:$B$1000,0),MATCH(data!BB$1,Haver_M!$B$1:$ZN$1,0)),"")</f>
        <v/>
      </c>
    </row>
    <row r="43" spans="1:54" x14ac:dyDescent="0.25">
      <c r="A43" s="2">
        <v>37802</v>
      </c>
      <c r="B43">
        <f>IF(ISNUMBER(INDEX(Haver_Q!$B$1:$BD$1000,MATCH(data!$A43,Haver_Q!$B$1:$B$1000,0),MATCH(data!B$1,Haver_Q!$B$1:$BD$1,0))),100*INDEX(Haver_Q!$B$1:$BD$1000,MATCH(data!$A43,Haver_Q!$B$1:$B$1000,0),MATCH(data!B$1,Haver_Q!$B$1:$BD$1,0)),"na")</f>
        <v>0.99502606882264644</v>
      </c>
      <c r="C43">
        <f>IF(ISNUMBER(INDEX(Haver_Q!$B$1:$BD$1000,MATCH(data!$A43,Haver_Q!$B$1:$B$1000,0),MATCH(data!C$1,Haver_Q!$B$1:$BD$1,0))),100*INDEX(Haver_Q!$B$1:$BD$1000,MATCH(data!$A43,Haver_Q!$B$1:$B$1000,0),MATCH(data!C$1,Haver_Q!$B$1:$BD$1,0)),"na")</f>
        <v>2.7935094705248797</v>
      </c>
      <c r="D43">
        <f>IF(ISNUMBER(INDEX(Haver_Q!$B$1:$BD$1000,MATCH(data!$A43,Haver_Q!$B$1:$B$1000,0),MATCH(data!D$1,Haver_Q!$B$1:$BD$1,0))),100*INDEX(Haver_Q!$B$1:$BD$1000,MATCH(data!$A43,Haver_Q!$B$1:$B$1000,0),MATCH(data!D$1,Haver_Q!$B$1:$BD$1,0)),"na")</f>
        <v>-0.36480916880016201</v>
      </c>
      <c r="E43">
        <f>IF(ISNUMBER(INDEX(Haver_Q!$B$1:$BD$1000,MATCH(data!$A43,Haver_Q!$B$1:$B$1000,0),MATCH(data!E$1,Haver_Q!$B$1:$BD$1,0))),100*INDEX(Haver_Q!$B$1:$BD$1000,MATCH(data!$A43,Haver_Q!$B$1:$B$1000,0),MATCH(data!E$1,Haver_Q!$B$1:$BD$1,0)),"na")</f>
        <v>-0.18512555537164577</v>
      </c>
      <c r="F43">
        <f>IF(ISNUMBER(INDEX(Haver_Q!$B$1:$BD$1000,MATCH(data!$A43,Haver_Q!$B$1:$B$1000,0),MATCH(data!F$1,Haver_Q!$B$1:$BD$1,0))),100*INDEX(Haver_Q!$B$1:$BD$1000,MATCH(data!$A43,Haver_Q!$B$1:$B$1000,0),MATCH(data!F$1,Haver_Q!$B$1:$BD$1,0)),"na")</f>
        <v>-1.9864146951938388</v>
      </c>
      <c r="G43">
        <f>IF(ISNUMBER(INDEX(Haver_Q!$B$1:$BD$1000,MATCH(data!$A43,Haver_Q!$B$1:$B$1000,0),MATCH(data!G$1,Haver_Q!$B$1:$BD$1,0))),100*INDEX(Haver_Q!$B$1:$BD$1000,MATCH(data!$A43,Haver_Q!$B$1:$B$1000,0),MATCH(data!G$1,Haver_Q!$B$1:$BD$1,0)),"na")</f>
        <v>-23.294279017093743</v>
      </c>
      <c r="H43">
        <f>IF(ISNUMBER(INDEX(Haver_Q!$B$1:$BD$1000,MATCH(data!$A43,Haver_Q!$B$1:$B$1000,0),MATCH(data!H$1,Haver_Q!$B$1:$BD$1,0))),100*INDEX(Haver_Q!$B$1:$BD$1000,MATCH(data!$A43,Haver_Q!$B$1:$B$1000,0),MATCH(data!H$1,Haver_Q!$B$1:$BD$1,0)),"na")</f>
        <v>270.05226841632526</v>
      </c>
      <c r="I43" s="3">
        <f>IF(ISNUMBER(Bloomberg_m!C59),Bloomberg_m!C59,"na")</f>
        <v>2136</v>
      </c>
      <c r="J43" s="3" t="str">
        <f>IF(ISNUMBER(Bloomberg_m!D59),Bloomberg_m!D59,"na")</f>
        <v>na</v>
      </c>
      <c r="K43" s="3" t="str">
        <f>IF(ISNUMBER(Bloomberg_m!E59),Bloomberg_m!E59,"na")</f>
        <v>na</v>
      </c>
      <c r="L43" s="3">
        <f>IF(ISNUMBER(Bloomberg_m!L59),Bloomberg_m!L59,"na")</f>
        <v>30.71</v>
      </c>
      <c r="M43" t="str">
        <f>IF(ISNUMBER(INDEX(Haver_M!$B$1:$ZN$1000,MATCH(data!$A43,Haver_M!$B$1:$B$1000,0),MATCH(data!M$1,Haver_M!$B$1:$ZN$1,0))),INDEX(Haver_M!$B$1:$ZN$1000,MATCH(data!$A43,Haver_M!$B$1:$B$1000,0),MATCH(data!M$1,Haver_M!$B$1:$ZN$1,0)),"na")</f>
        <v>na</v>
      </c>
      <c r="N43" t="str">
        <f>IF(ISNUMBER(INDEX(Haver_M!$B$1:$ZN$1000,MATCH(data!$A43,Haver_M!$B$1:$B$1000,0),MATCH(data!N$1,Haver_M!$B$1:$ZN$1,0))),INDEX(Haver_M!$B$1:$ZN$1000,MATCH(data!$A43,Haver_M!$B$1:$B$1000,0),MATCH(data!N$1,Haver_M!$B$1:$ZN$1,0)),"na")</f>
        <v>na</v>
      </c>
      <c r="O43">
        <f>IF(ISNUMBER(INDEX(Haver_M!$B$1:$ZN$1000,MATCH(data!$A43,Haver_M!$B$1:$B$1000,0),MATCH(data!O$1,Haver_M!$B$1:$ZN$1,0))),INDEX(Haver_M!$B$1:$ZN$1000,MATCH(data!$A43,Haver_M!$B$1:$B$1000,0),MATCH(data!O$1,Haver_M!$B$1:$ZN$1,0)),"na")</f>
        <v>114.71387</v>
      </c>
      <c r="P43">
        <f>IF(ISNUMBER(INDEX(Haver_M!$B$1:$ZN$1000,MATCH(data!$A43,Haver_M!$B$1:$B$1000,0),MATCH(data!P$1,Haver_M!$B$1:$ZN$1,0))),INDEX(Haver_M!$B$1:$ZN$1000,MATCH(data!$A43,Haver_M!$B$1:$B$1000,0),MATCH(data!P$1,Haver_M!$B$1:$ZN$1,0)),"na")</f>
        <v>54.1708</v>
      </c>
      <c r="Q43">
        <f>IF(ISNUMBER(INDEX(Haver_M!$B$1:$ZN$1000,MATCH(data!$A43,Haver_M!$B$1:$B$1000,0),MATCH(data!Q$1,Haver_M!$B$1:$ZN$1,0))),INDEX(Haver_M!$B$1:$ZN$1000,MATCH(data!$A43,Haver_M!$B$1:$B$1000,0),MATCH(data!Q$1,Haver_M!$B$1:$ZN$1,0)),"na")</f>
        <v>58.395800000000001</v>
      </c>
      <c r="R43">
        <f>IF(ISNUMBER(INDEX(Haver_M!$B$1:$ZN$1000,MATCH(data!$A43,Haver_M!$B$1:$B$1000,0),MATCH(data!R$1,Haver_M!$B$1:$ZN$1,0))),INDEX(Haver_M!$B$1:$ZN$1000,MATCH(data!$A43,Haver_M!$B$1:$B$1000,0),MATCH(data!R$1,Haver_M!$B$1:$ZN$1,0)),"na")</f>
        <v>89.004499999999993</v>
      </c>
      <c r="S43">
        <f>IF(ISNUMBER(INDEX(Haver_M!$B$1:$ZN$1000,MATCH(data!$A43,Haver_M!$B$1:$B$1000,0),MATCH(data!S$1,Haver_M!$B$1:$ZN$1,0))),INDEX(Haver_M!$B$1:$ZN$1000,MATCH(data!$A43,Haver_M!$B$1:$B$1000,0),MATCH(data!S$1,Haver_M!$B$1:$ZN$1,0)),"na")</f>
        <v>110.9872</v>
      </c>
      <c r="T43">
        <f>IF(ISNUMBER(INDEX(Haver_M!$B$1:$ZN$1000,MATCH(data!$A43,Haver_M!$B$1:$B$1000,0),MATCH(data!T$1,Haver_M!$B$1:$ZN$1,0))),INDEX(Haver_M!$B$1:$ZN$1000,MATCH(data!$A43,Haver_M!$B$1:$B$1000,0),MATCH(data!T$1,Haver_M!$B$1:$ZN$1,0)),"na")</f>
        <v>60.157499999999999</v>
      </c>
      <c r="U43">
        <f>IF(ISNUMBER(INDEX(Haver_M!$B$1:$ZN$1000,MATCH(data!$A43,Haver_M!$B$1:$B$1000,0),MATCH(data!U$1,Haver_M!$B$1:$ZN$1,0))),INDEX(Haver_M!$B$1:$ZN$1000,MATCH(data!$A43,Haver_M!$B$1:$B$1000,0),MATCH(data!U$1,Haver_M!$B$1:$ZN$1,0)),"na")</f>
        <v>78.080299999999994</v>
      </c>
      <c r="V43">
        <f>IF(ISNUMBER(INDEX(Haver_M!$B$1:$ZN$1000,MATCH(data!$A43,Haver_M!$B$1:$B$1000,0),MATCH(data!V$1,Haver_M!$B$1:$ZN$1,0))),INDEX(Haver_M!$B$1:$ZN$1000,MATCH(data!$A43,Haver_M!$B$1:$B$1000,0),MATCH(data!V$1,Haver_M!$B$1:$ZN$1,0)),"na")</f>
        <v>86.890600000000006</v>
      </c>
      <c r="W43">
        <f>IF(ISNUMBER(INDEX(Haver_M!$B$1:$ZN$1000,MATCH(data!$A43,Haver_M!$B$1:$B$1000,0),MATCH(data!W$1,Haver_M!$B$1:$ZN$1,0))),INDEX(Haver_M!$B$1:$ZN$1000,MATCH(data!$A43,Haver_M!$B$1:$B$1000,0),MATCH(data!W$1,Haver_M!$B$1:$ZN$1,0)),"na")</f>
        <v>3.27</v>
      </c>
      <c r="X43" t="str">
        <f>IF(ISNUMBER(INDEX(Haver_M!$B$1:$ZN$1000,MATCH(data!$A43,Haver_M!$B$1:$B$1000,0),MATCH(data!X$1,Haver_M!$B$1:$ZN$1,0))),INDEX(Haver_M!$B$1:$ZN$1000,MATCH(data!$A43,Haver_M!$B$1:$B$1000,0),MATCH(data!X$1,Haver_M!$B$1:$ZN$1,0)),"na")</f>
        <v>na</v>
      </c>
      <c r="Y43">
        <f>IF(ISNUMBER(INDEX(Haver_M!$B$1:$ZN$1000,MATCH(data!$A43,Haver_M!$B$1:$B$1000,0),MATCH(data!Y$1,Haver_M!$B$1:$ZN$1,0))),INDEX(Haver_M!$B$1:$ZN$1000,MATCH(data!$A43,Haver_M!$B$1:$B$1000,0),MATCH(data!Y$1,Haver_M!$B$1:$ZN$1,0)),"na")</f>
        <v>98.78</v>
      </c>
      <c r="Z43">
        <f>IF(ISNUMBER(INDEX(Haver_M!$B$1:$ZN$1000,MATCH(data!$A43,Haver_M!$B$1:$B$1000,0),MATCH(data!Z$1,Haver_M!$B$1:$ZN$1,0))),INDEX(Haver_M!$B$1:$ZN$1000,MATCH(data!$A43,Haver_M!$B$1:$B$1000,0),MATCH(data!Z$1,Haver_M!$B$1:$ZN$1,0)),"na")</f>
        <v>82.227500000000006</v>
      </c>
      <c r="AA43" t="str">
        <f>IF(ISNUMBER(INDEX(Haver_M!$B$1:$ZN$1000,MATCH(data!$A43,Haver_M!$B$1:$B$1000,0),MATCH(data!AA$1,Haver_M!$B$1:$ZN$1,0))),INDEX(Haver_M!$B$1:$ZN$1000,MATCH(data!$A43,Haver_M!$B$1:$B$1000,0),MATCH(data!AA$1,Haver_M!$B$1:$ZN$1,0)),"na")</f>
        <v>na</v>
      </c>
      <c r="AB43">
        <f>IF(ISNUMBER(INDEX(Haver_M!$B$1:$ZN$1000,MATCH(data!$A43,Haver_M!$B$1:$B$1000,0),MATCH(data!AB$1,Haver_M!$B$1:$ZN$1,0))),INDEX(Haver_M!$B$1:$ZN$1000,MATCH(data!$A43,Haver_M!$B$1:$B$1000,0),MATCH(data!AB$1,Haver_M!$B$1:$ZN$1,0)),"na")</f>
        <v>13377.8</v>
      </c>
      <c r="AC43">
        <f>IF(ISNUMBER(INDEX(Haver_M!$B$1:$ZN$1000,MATCH(data!$A43,Haver_M!$B$1:$B$1000,0),MATCH(data!AC$1,Haver_M!$B$1:$ZN$1,0))),INDEX(Haver_M!$B$1:$ZN$1000,MATCH(data!$A43,Haver_M!$B$1:$B$1000,0),MATCH(data!AC$1,Haver_M!$B$1:$ZN$1,0)),"na")</f>
        <v>13921.6</v>
      </c>
      <c r="AD43">
        <f>IF(ISNUMBER(INDEX(Haver_M!$B$1:$ZN$1000,MATCH(data!$A43,Haver_M!$B$1:$B$1000,0),MATCH(data!AD$1,Haver_M!$B$1:$ZN$1,0))),INDEX(Haver_M!$B$1:$ZN$1000,MATCH(data!$A43,Haver_M!$B$1:$B$1000,0),MATCH(data!AD$1,Haver_M!$B$1:$ZN$1,0)),"na")</f>
        <v>98.67</v>
      </c>
      <c r="AE43">
        <f>IF(ISNUMBER(INDEX(Haver_M!$B$1:$ZN$1000,MATCH(data!$A43,Haver_M!$B$1:$B$1000,0),MATCH(data!AE$1,Haver_M!$B$1:$ZN$1,0))),INDEX(Haver_M!$B$1:$ZN$1000,MATCH(data!$A43,Haver_M!$B$1:$B$1000,0),MATCH(data!AE$1,Haver_M!$B$1:$ZN$1,0)),"na")</f>
        <v>40.9</v>
      </c>
      <c r="AF43" t="str">
        <f>IF(ISNUMBER(INDEX(Haver_M!$B$1:$ZN$1000,MATCH(data!$A43,Haver_M!$B$1:$B$1000,0),MATCH(data!AF$1,Haver_M!$B$1:$ZN$1,0))),INDEX(Haver_M!$B$1:$ZN$1000,MATCH(data!$A43,Haver_M!$B$1:$B$1000,0),MATCH(data!AF$1,Haver_M!$B$1:$ZN$1,0)),"na")</f>
        <v>na</v>
      </c>
      <c r="AG43" t="str">
        <f>IF(ISNUMBER(INDEX(Haver_M!$B$1:$ZN$1000,MATCH(data!$A43,Haver_M!$B$1:$B$1000,0),MATCH(data!AG$1,Haver_M!$B$1:$ZN$1,0))),INDEX(Haver_M!$B$1:$ZN$1000,MATCH(data!$A43,Haver_M!$B$1:$B$1000,0),MATCH(data!AG$1,Haver_M!$B$1:$ZN$1,0)),"na")</f>
        <v>na</v>
      </c>
      <c r="AH43" t="str">
        <f>IF(ISNUMBER(INDEX(Haver_M!$B$1:$ZN$1000,MATCH(data!$A43,Haver_M!$B$1:$B$1000,0),MATCH(data!AH$1,Haver_M!$B$1:$ZN$1,0))),INDEX(Haver_M!$B$1:$ZN$1000,MATCH(data!$A43,Haver_M!$B$1:$B$1000,0),MATCH(data!AH$1,Haver_M!$B$1:$ZN$1,0)),"na")</f>
        <v>na</v>
      </c>
      <c r="AI43" t="str">
        <f>IF(ISNUMBER(INDEX(Haver_M!$B$1:$ZN$1000,MATCH(data!$A43,Haver_M!$B$1:$B$1000,0),MATCH(data!AI$1,Haver_M!$B$1:$ZN$1,0))),INDEX(Haver_M!$B$1:$ZN$1000,MATCH(data!$A43,Haver_M!$B$1:$B$1000,0),MATCH(data!AI$1,Haver_M!$B$1:$ZN$1,0)),"na")</f>
        <v>na</v>
      </c>
      <c r="AJ43" t="str">
        <f>IF(ISNUMBER(INDEX(Haver_M!$B$1:$ZN$1000,MATCH(data!$A43,Haver_M!$B$1:$B$1000,0),MATCH(data!AJ$1,Haver_M!$B$1:$ZN$1,0))),INDEX(Haver_M!$B$1:$ZN$1000,MATCH(data!$A43,Haver_M!$B$1:$B$1000,0),MATCH(data!AJ$1,Haver_M!$B$1:$ZN$1,0)),"na")</f>
        <v>na</v>
      </c>
      <c r="AK43" t="str">
        <f>IF(ISNUMBER(INDEX(Haver_M!$B$1:$ZN$1000,MATCH(data!$A43,Haver_M!$B$1:$B$1000,0),MATCH(data!AK$1,Haver_M!$B$1:$ZN$1,0))),INDEX(Haver_M!$B$1:$ZN$1000,MATCH(data!$A43,Haver_M!$B$1:$B$1000,0),MATCH(data!AK$1,Haver_M!$B$1:$ZN$1,0)),"na")</f>
        <v>na</v>
      </c>
      <c r="AL43" t="str">
        <f>IF(ISNUMBER(INDEX(Haver_M!$B$1:$ZN$1000,MATCH(data!$A43,Haver_M!$B$1:$B$1000,0),MATCH(data!AL$1,Haver_M!$B$1:$ZN$1,0))),INDEX(Haver_M!$B$1:$ZN$1000,MATCH(data!$A43,Haver_M!$B$1:$B$1000,0),MATCH(data!AL$1,Haver_M!$B$1:$ZN$1,0)),"na")</f>
        <v>na</v>
      </c>
      <c r="AM43" t="str">
        <f>IF(ISNUMBER(INDEX(Haver_M!$B$1:$ZN$1000,MATCH(data!$A43,Haver_M!$B$1:$B$1000,0),MATCH(data!AM$1,Haver_M!$B$1:$ZN$1,0))),INDEX(Haver_M!$B$1:$ZN$1000,MATCH(data!$A43,Haver_M!$B$1:$B$1000,0),MATCH(data!AM$1,Haver_M!$B$1:$ZN$1,0)),"na")</f>
        <v>na</v>
      </c>
      <c r="AN43" t="str">
        <f>IF(ISNUMBER(INDEX(Haver_M!$B$1:$ZN$1000,MATCH(data!$A43,Haver_M!$B$1:$B$1000,0),MATCH(data!AN$1,Haver_M!$B$1:$ZN$1,0))),INDEX(Haver_M!$B$1:$ZN$1000,MATCH(data!$A43,Haver_M!$B$1:$B$1000,0),MATCH(data!AN$1,Haver_M!$B$1:$ZN$1,0)),"na")</f>
        <v>na</v>
      </c>
      <c r="AO43" t="str">
        <f>IF(ISNUMBER(INDEX(Haver_M!$B$1:$ZN$1000,MATCH(data!$A43,Haver_M!$B$1:$B$1000,0),MATCH(data!AO$1,Haver_M!$B$1:$ZN$1,0))),INDEX(Haver_M!$B$1:$ZN$1000,MATCH(data!$A43,Haver_M!$B$1:$B$1000,0),MATCH(data!AO$1,Haver_M!$B$1:$ZN$1,0)),"na")</f>
        <v>na</v>
      </c>
      <c r="AP43" t="str">
        <f>IF(ISNUMBER(INDEX(Haver_M!$B$1:$ZN$1000,MATCH(data!$A43,Haver_M!$B$1:$B$1000,0),MATCH(data!AP$1,Haver_M!$B$1:$ZN$1,0))),INDEX(Haver_M!$B$1:$ZN$1000,MATCH(data!$A43,Haver_M!$B$1:$B$1000,0),MATCH(data!AP$1,Haver_M!$B$1:$ZN$1,0)),"na")</f>
        <v>na</v>
      </c>
      <c r="AQ43" t="str">
        <f>IF(ISNUMBER(INDEX(Haver_M!$B$1:$ZN$1000,MATCH(data!$A43,Haver_M!$B$1:$B$1000,0),MATCH(data!AQ$1,Haver_M!$B$1:$ZN$1,0))),INDEX(Haver_M!$B$1:$ZN$1000,MATCH(data!$A43,Haver_M!$B$1:$B$1000,0),MATCH(data!AQ$1,Haver_M!$B$1:$ZN$1,0)),"na")</f>
        <v>na</v>
      </c>
      <c r="AR43" t="str">
        <f>IF(ISNUMBER(INDEX(Haver_M!$B$1:$ZN$1000,MATCH(data!$A43,Haver_M!$B$1:$B$1000,0),MATCH(data!AR$1,Haver_M!$B$1:$ZN$1,0))),INDEX(Haver_M!$B$1:$ZN$1000,MATCH(data!$A43,Haver_M!$B$1:$B$1000,0),MATCH(data!AR$1,Haver_M!$B$1:$ZN$1,0)),"na")</f>
        <v>na</v>
      </c>
      <c r="AS43">
        <f>IF(ISNUMBER(INDEX(Haver_M!$B$1:$ZN$1000,MATCH(data!$A43,Haver_M!$B$1:$B$1000,0),MATCH(data!AS$1,Haver_M!$B$1:$ZN$1,0))),INDEX(Haver_M!$B$1:$ZN$1000,MATCH(data!$A43,Haver_M!$B$1:$B$1000,0),MATCH(data!AS$1,Haver_M!$B$1:$ZN$1,0)),"na")</f>
        <v>6988.14</v>
      </c>
      <c r="AT43">
        <f>IF(ISNUMBER(INDEX(Haver_M!$B$1:$ZN$1000,MATCH(data!$A43,Haver_M!$B$1:$B$1000,0),MATCH(data!AT$1,Haver_M!$B$1:$ZN$1,0))),INDEX(Haver_M!$B$1:$ZN$1000,MATCH(data!$A43,Haver_M!$B$1:$B$1000,0),MATCH(data!AT$1,Haver_M!$B$1:$ZN$1,0)),"na")</f>
        <v>82.546999999999997</v>
      </c>
      <c r="AU43">
        <f>IF(ISNUMBER(INDEX(Haver_M!$B$1:$ZN$1000,MATCH(data!$A43,Haver_M!$B$1:$B$1000,0),MATCH(data!AU$1,Haver_M!$B$1:$ZN$1,0))),INDEX(Haver_M!$B$1:$ZN$1000,MATCH(data!$A43,Haver_M!$B$1:$B$1000,0),MATCH(data!AU$1,Haver_M!$B$1:$ZN$1,0)),"na")</f>
        <v>80.563626999999997</v>
      </c>
      <c r="AV43">
        <f>IF(ISNUMBER(INDEX(Haver_M!$B$1:$ZN$1000,MATCH(data!$A43,Haver_M!$B$1:$B$1000,0),MATCH(data!AV$1,Haver_M!$B$1:$ZN$1,0))),INDEX(Haver_M!$B$1:$ZN$1000,MATCH(data!$A43,Haver_M!$B$1:$B$1000,0),MATCH(data!AV$1,Haver_M!$B$1:$ZN$1,0)),"na")</f>
        <v>70.900000000000006</v>
      </c>
      <c r="AW43">
        <f>IF(ISNUMBER(INDEX(Haver_M!$B$1:$ZN$1000,MATCH(data!$A43,Haver_M!$B$1:$B$1000,0),MATCH(data!AW$1,Haver_M!$B$1:$ZN$1,0))),INDEX(Haver_M!$B$1:$ZN$1000,MATCH(data!$A43,Haver_M!$B$1:$B$1000,0),MATCH(data!AW$1,Haver_M!$B$1:$ZN$1,0)),"na")</f>
        <v>775463.52929719118</v>
      </c>
      <c r="AX43">
        <f>IF(ISNUMBER(INDEX(Haver_M!$B$1:$ZN$1000,MATCH(data!$A43,Haver_M!$B$1:$B$1000,0),MATCH(data!AX$1,Haver_M!$B$1:$ZN$1,0))),INDEX(Haver_M!$B$1:$ZN$1000,MATCH(data!$A43,Haver_M!$B$1:$B$1000,0),MATCH(data!AX$1,Haver_M!$B$1:$ZN$1,0)),"na")</f>
        <v>3365</v>
      </c>
      <c r="AY43">
        <f>IF(ISNUMBER(INDEX(Haver_M!$B$1:$ZN$1000,MATCH(data!$A43,Haver_M!$B$1:$B$1000,0),MATCH(data!AY$1,Haver_M!$B$1:$ZN$1,0))),INDEX(Haver_M!$B$1:$ZN$1000,MATCH(data!$A43,Haver_M!$B$1:$B$1000,0),MATCH(data!AY$1,Haver_M!$B$1:$ZN$1,0)),"na")</f>
        <v>1801</v>
      </c>
      <c r="AZ43" t="str">
        <f>IF(ISNUMBER(INDEX(Haver_M!$B$1:$ZN$1000,MATCH(data!$A43,Haver_M!$B$1:$B$1000,0),MATCH(data!AZ$1,Haver_M!$B$1:$ZN$1,0))),INDEX(Haver_M!$B$1:$ZN$1000,MATCH(data!$A43,Haver_M!$B$1:$B$1000,0),MATCH(data!AZ$1,Haver_M!$B$1:$ZN$1,0)),"na")</f>
        <v>na</v>
      </c>
      <c r="BA43">
        <f>IF(ISNUMBER(INDEX(Haver_M!$B$1:$ZN$1000,MATCH(data!$A43,Haver_M!$B$1:$B$1000,0),MATCH(data!BA$1,Haver_M!$B$1:$ZN$1,0))),INDEX(Haver_M!$B$1:$ZN$1000,MATCH(data!$A43,Haver_M!$B$1:$B$1000,0),MATCH(data!BA$1,Haver_M!$B$1:$ZN$1,0)),"na")</f>
        <v>132.56760769266285</v>
      </c>
      <c r="BB43" t="str">
        <f>IF(ISNUMBER(INDEX(Haver_M!$B$1:$ZN$1000,MATCH(data!$A43,Haver_M!$B$1:$B$1000,0),MATCH(data!BB$1,Haver_M!$B$1:$ZN$1,0))),INDEX(Haver_M!$B$1:$ZN$1000,MATCH(data!$A43,Haver_M!$B$1:$B$1000,0),MATCH(data!BB$1,Haver_M!$B$1:$ZN$1,0)),"")</f>
        <v/>
      </c>
    </row>
    <row r="44" spans="1:54" x14ac:dyDescent="0.25">
      <c r="A44" s="2">
        <v>37833</v>
      </c>
      <c r="B44" t="str">
        <f>IF(ISNUMBER(INDEX(Haver_Q!$B$1:$BD$1000,MATCH(data!$A44,Haver_Q!$B$1:$B$1000,0),MATCH(data!B$1,Haver_Q!$B$1:$BD$1,0))),100*INDEX(Haver_Q!$B$1:$BD$1000,MATCH(data!$A44,Haver_Q!$B$1:$B$1000,0),MATCH(data!B$1,Haver_Q!$B$1:$BD$1,0)),"na")</f>
        <v>na</v>
      </c>
      <c r="C44" t="str">
        <f>IF(ISNUMBER(INDEX(Haver_Q!$B$1:$BD$1000,MATCH(data!$A44,Haver_Q!$B$1:$B$1000,0),MATCH(data!C$1,Haver_Q!$B$1:$BD$1,0))),100*INDEX(Haver_Q!$B$1:$BD$1000,MATCH(data!$A44,Haver_Q!$B$1:$B$1000,0),MATCH(data!C$1,Haver_Q!$B$1:$BD$1,0)),"na")</f>
        <v>na</v>
      </c>
      <c r="D44" t="str">
        <f>IF(ISNUMBER(INDEX(Haver_Q!$B$1:$BD$1000,MATCH(data!$A44,Haver_Q!$B$1:$B$1000,0),MATCH(data!D$1,Haver_Q!$B$1:$BD$1,0))),100*INDEX(Haver_Q!$B$1:$BD$1000,MATCH(data!$A44,Haver_Q!$B$1:$B$1000,0),MATCH(data!D$1,Haver_Q!$B$1:$BD$1,0)),"na")</f>
        <v>na</v>
      </c>
      <c r="E44" t="str">
        <f>IF(ISNUMBER(INDEX(Haver_Q!$B$1:$BD$1000,MATCH(data!$A44,Haver_Q!$B$1:$B$1000,0),MATCH(data!E$1,Haver_Q!$B$1:$BD$1,0))),100*INDEX(Haver_Q!$B$1:$BD$1000,MATCH(data!$A44,Haver_Q!$B$1:$B$1000,0),MATCH(data!E$1,Haver_Q!$B$1:$BD$1,0)),"na")</f>
        <v>na</v>
      </c>
      <c r="F44" t="str">
        <f>IF(ISNUMBER(INDEX(Haver_Q!$B$1:$BD$1000,MATCH(data!$A44,Haver_Q!$B$1:$B$1000,0),MATCH(data!F$1,Haver_Q!$B$1:$BD$1,0))),100*INDEX(Haver_Q!$B$1:$BD$1000,MATCH(data!$A44,Haver_Q!$B$1:$B$1000,0),MATCH(data!F$1,Haver_Q!$B$1:$BD$1,0)),"na")</f>
        <v>na</v>
      </c>
      <c r="G44" t="str">
        <f>IF(ISNUMBER(INDEX(Haver_Q!$B$1:$BD$1000,MATCH(data!$A44,Haver_Q!$B$1:$B$1000,0),MATCH(data!G$1,Haver_Q!$B$1:$BD$1,0))),100*INDEX(Haver_Q!$B$1:$BD$1000,MATCH(data!$A44,Haver_Q!$B$1:$B$1000,0),MATCH(data!G$1,Haver_Q!$B$1:$BD$1,0)),"na")</f>
        <v>na</v>
      </c>
      <c r="H44" t="str">
        <f>IF(ISNUMBER(INDEX(Haver_Q!$B$1:$BD$1000,MATCH(data!$A44,Haver_Q!$B$1:$B$1000,0),MATCH(data!H$1,Haver_Q!$B$1:$BD$1,0))),100*INDEX(Haver_Q!$B$1:$BD$1000,MATCH(data!$A44,Haver_Q!$B$1:$B$1000,0),MATCH(data!H$1,Haver_Q!$B$1:$BD$1,0)),"na")</f>
        <v>na</v>
      </c>
      <c r="I44" s="3">
        <f>IF(ISNUMBER(Bloomberg_m!C60),Bloomberg_m!C60,"na")</f>
        <v>2192</v>
      </c>
      <c r="J44" s="3" t="str">
        <f>IF(ISNUMBER(Bloomberg_m!D60),Bloomberg_m!D60,"na")</f>
        <v>na</v>
      </c>
      <c r="K44" s="3" t="str">
        <f>IF(ISNUMBER(Bloomberg_m!E60),Bloomberg_m!E60,"na")</f>
        <v>na</v>
      </c>
      <c r="L44" s="3">
        <f>IF(ISNUMBER(Bloomberg_m!L60),Bloomberg_m!L60,"na")</f>
        <v>30.75</v>
      </c>
      <c r="M44" t="str">
        <f>IF(ISNUMBER(INDEX(Haver_M!$B$1:$ZN$1000,MATCH(data!$A44,Haver_M!$B$1:$B$1000,0),MATCH(data!M$1,Haver_M!$B$1:$ZN$1,0))),INDEX(Haver_M!$B$1:$ZN$1000,MATCH(data!$A44,Haver_M!$B$1:$B$1000,0),MATCH(data!M$1,Haver_M!$B$1:$ZN$1,0)),"na")</f>
        <v>na</v>
      </c>
      <c r="N44" t="str">
        <f>IF(ISNUMBER(INDEX(Haver_M!$B$1:$ZN$1000,MATCH(data!$A44,Haver_M!$B$1:$B$1000,0),MATCH(data!N$1,Haver_M!$B$1:$ZN$1,0))),INDEX(Haver_M!$B$1:$ZN$1000,MATCH(data!$A44,Haver_M!$B$1:$B$1000,0),MATCH(data!N$1,Haver_M!$B$1:$ZN$1,0)),"na")</f>
        <v>na</v>
      </c>
      <c r="O44">
        <f>IF(ISNUMBER(INDEX(Haver_M!$B$1:$ZN$1000,MATCH(data!$A44,Haver_M!$B$1:$B$1000,0),MATCH(data!O$1,Haver_M!$B$1:$ZN$1,0))),INDEX(Haver_M!$B$1:$ZN$1000,MATCH(data!$A44,Haver_M!$B$1:$B$1000,0),MATCH(data!O$1,Haver_M!$B$1:$ZN$1,0)),"na")</f>
        <v>115.65987</v>
      </c>
      <c r="P44">
        <f>IF(ISNUMBER(INDEX(Haver_M!$B$1:$ZN$1000,MATCH(data!$A44,Haver_M!$B$1:$B$1000,0),MATCH(data!P$1,Haver_M!$B$1:$ZN$1,0))),INDEX(Haver_M!$B$1:$ZN$1000,MATCH(data!$A44,Haver_M!$B$1:$B$1000,0),MATCH(data!P$1,Haver_M!$B$1:$ZN$1,0)),"na")</f>
        <v>54.363</v>
      </c>
      <c r="Q44">
        <f>IF(ISNUMBER(INDEX(Haver_M!$B$1:$ZN$1000,MATCH(data!$A44,Haver_M!$B$1:$B$1000,0),MATCH(data!Q$1,Haver_M!$B$1:$ZN$1,0))),INDEX(Haver_M!$B$1:$ZN$1000,MATCH(data!$A44,Haver_M!$B$1:$B$1000,0),MATCH(data!Q$1,Haver_M!$B$1:$ZN$1,0)),"na")</f>
        <v>58.578200000000002</v>
      </c>
      <c r="R44">
        <f>IF(ISNUMBER(INDEX(Haver_M!$B$1:$ZN$1000,MATCH(data!$A44,Haver_M!$B$1:$B$1000,0),MATCH(data!R$1,Haver_M!$B$1:$ZN$1,0))),INDEX(Haver_M!$B$1:$ZN$1000,MATCH(data!$A44,Haver_M!$B$1:$B$1000,0),MATCH(data!R$1,Haver_M!$B$1:$ZN$1,0)),"na")</f>
        <v>88.905900000000003</v>
      </c>
      <c r="S44">
        <f>IF(ISNUMBER(INDEX(Haver_M!$B$1:$ZN$1000,MATCH(data!$A44,Haver_M!$B$1:$B$1000,0),MATCH(data!S$1,Haver_M!$B$1:$ZN$1,0))),INDEX(Haver_M!$B$1:$ZN$1000,MATCH(data!$A44,Haver_M!$B$1:$B$1000,0),MATCH(data!S$1,Haver_M!$B$1:$ZN$1,0)),"na")</f>
        <v>111.6009</v>
      </c>
      <c r="T44">
        <f>IF(ISNUMBER(INDEX(Haver_M!$B$1:$ZN$1000,MATCH(data!$A44,Haver_M!$B$1:$B$1000,0),MATCH(data!T$1,Haver_M!$B$1:$ZN$1,0))),INDEX(Haver_M!$B$1:$ZN$1000,MATCH(data!$A44,Haver_M!$B$1:$B$1000,0),MATCH(data!T$1,Haver_M!$B$1:$ZN$1,0)),"na")</f>
        <v>60.580599999999997</v>
      </c>
      <c r="U44">
        <f>IF(ISNUMBER(INDEX(Haver_M!$B$1:$ZN$1000,MATCH(data!$A44,Haver_M!$B$1:$B$1000,0),MATCH(data!U$1,Haver_M!$B$1:$ZN$1,0))),INDEX(Haver_M!$B$1:$ZN$1000,MATCH(data!$A44,Haver_M!$B$1:$B$1000,0),MATCH(data!U$1,Haver_M!$B$1:$ZN$1,0)),"na")</f>
        <v>77.620900000000006</v>
      </c>
      <c r="V44">
        <f>IF(ISNUMBER(INDEX(Haver_M!$B$1:$ZN$1000,MATCH(data!$A44,Haver_M!$B$1:$B$1000,0),MATCH(data!V$1,Haver_M!$B$1:$ZN$1,0))),INDEX(Haver_M!$B$1:$ZN$1000,MATCH(data!$A44,Haver_M!$B$1:$B$1000,0),MATCH(data!V$1,Haver_M!$B$1:$ZN$1,0)),"na")</f>
        <v>86.619799999999998</v>
      </c>
      <c r="W44">
        <f>IF(ISNUMBER(INDEX(Haver_M!$B$1:$ZN$1000,MATCH(data!$A44,Haver_M!$B$1:$B$1000,0),MATCH(data!W$1,Haver_M!$B$1:$ZN$1,0))),INDEX(Haver_M!$B$1:$ZN$1000,MATCH(data!$A44,Haver_M!$B$1:$B$1000,0),MATCH(data!W$1,Haver_M!$B$1:$ZN$1,0)),"na")</f>
        <v>3.58</v>
      </c>
      <c r="X44" t="str">
        <f>IF(ISNUMBER(INDEX(Haver_M!$B$1:$ZN$1000,MATCH(data!$A44,Haver_M!$B$1:$B$1000,0),MATCH(data!X$1,Haver_M!$B$1:$ZN$1,0))),INDEX(Haver_M!$B$1:$ZN$1000,MATCH(data!$A44,Haver_M!$B$1:$B$1000,0),MATCH(data!X$1,Haver_M!$B$1:$ZN$1,0)),"na")</f>
        <v>na</v>
      </c>
      <c r="Y44">
        <f>IF(ISNUMBER(INDEX(Haver_M!$B$1:$ZN$1000,MATCH(data!$A44,Haver_M!$B$1:$B$1000,0),MATCH(data!Y$1,Haver_M!$B$1:$ZN$1,0))),INDEX(Haver_M!$B$1:$ZN$1000,MATCH(data!$A44,Haver_M!$B$1:$B$1000,0),MATCH(data!Y$1,Haver_M!$B$1:$ZN$1,0)),"na")</f>
        <v>99.12</v>
      </c>
      <c r="Z44">
        <f>IF(ISNUMBER(INDEX(Haver_M!$B$1:$ZN$1000,MATCH(data!$A44,Haver_M!$B$1:$B$1000,0),MATCH(data!Z$1,Haver_M!$B$1:$ZN$1,0))),INDEX(Haver_M!$B$1:$ZN$1000,MATCH(data!$A44,Haver_M!$B$1:$B$1000,0),MATCH(data!Z$1,Haver_M!$B$1:$ZN$1,0)),"na")</f>
        <v>82.473699999999994</v>
      </c>
      <c r="AA44" t="str">
        <f>IF(ISNUMBER(INDEX(Haver_M!$B$1:$ZN$1000,MATCH(data!$A44,Haver_M!$B$1:$B$1000,0),MATCH(data!AA$1,Haver_M!$B$1:$ZN$1,0))),INDEX(Haver_M!$B$1:$ZN$1000,MATCH(data!$A44,Haver_M!$B$1:$B$1000,0),MATCH(data!AA$1,Haver_M!$B$1:$ZN$1,0)),"na")</f>
        <v>na</v>
      </c>
      <c r="AB44">
        <f>IF(ISNUMBER(INDEX(Haver_M!$B$1:$ZN$1000,MATCH(data!$A44,Haver_M!$B$1:$B$1000,0),MATCH(data!AB$1,Haver_M!$B$1:$ZN$1,0))),INDEX(Haver_M!$B$1:$ZN$1000,MATCH(data!$A44,Haver_M!$B$1:$B$1000,0),MATCH(data!AB$1,Haver_M!$B$1:$ZN$1,0)),"na")</f>
        <v>13521.3</v>
      </c>
      <c r="AC44">
        <f>IF(ISNUMBER(INDEX(Haver_M!$B$1:$ZN$1000,MATCH(data!$A44,Haver_M!$B$1:$B$1000,0),MATCH(data!AC$1,Haver_M!$B$1:$ZN$1,0))),INDEX(Haver_M!$B$1:$ZN$1000,MATCH(data!$A44,Haver_M!$B$1:$B$1000,0),MATCH(data!AC$1,Haver_M!$B$1:$ZN$1,0)),"na")</f>
        <v>14202.8</v>
      </c>
      <c r="AD44">
        <f>IF(ISNUMBER(INDEX(Haver_M!$B$1:$ZN$1000,MATCH(data!$A44,Haver_M!$B$1:$B$1000,0),MATCH(data!AD$1,Haver_M!$B$1:$ZN$1,0))),INDEX(Haver_M!$B$1:$ZN$1000,MATCH(data!$A44,Haver_M!$B$1:$B$1000,0),MATCH(data!AD$1,Haver_M!$B$1:$ZN$1,0)),"na")</f>
        <v>98.56</v>
      </c>
      <c r="AE44">
        <f>IF(ISNUMBER(INDEX(Haver_M!$B$1:$ZN$1000,MATCH(data!$A44,Haver_M!$B$1:$B$1000,0),MATCH(data!AE$1,Haver_M!$B$1:$ZN$1,0))),INDEX(Haver_M!$B$1:$ZN$1000,MATCH(data!$A44,Haver_M!$B$1:$B$1000,0),MATCH(data!AE$1,Haver_M!$B$1:$ZN$1,0)),"na")</f>
        <v>41</v>
      </c>
      <c r="AF44" t="str">
        <f>IF(ISNUMBER(INDEX(Haver_M!$B$1:$ZN$1000,MATCH(data!$A44,Haver_M!$B$1:$B$1000,0),MATCH(data!AF$1,Haver_M!$B$1:$ZN$1,0))),INDEX(Haver_M!$B$1:$ZN$1000,MATCH(data!$A44,Haver_M!$B$1:$B$1000,0),MATCH(data!AF$1,Haver_M!$B$1:$ZN$1,0)),"na")</f>
        <v>na</v>
      </c>
      <c r="AG44" t="str">
        <f>IF(ISNUMBER(INDEX(Haver_M!$B$1:$ZN$1000,MATCH(data!$A44,Haver_M!$B$1:$B$1000,0),MATCH(data!AG$1,Haver_M!$B$1:$ZN$1,0))),INDEX(Haver_M!$B$1:$ZN$1000,MATCH(data!$A44,Haver_M!$B$1:$B$1000,0),MATCH(data!AG$1,Haver_M!$B$1:$ZN$1,0)),"na")</f>
        <v>na</v>
      </c>
      <c r="AH44" t="str">
        <f>IF(ISNUMBER(INDEX(Haver_M!$B$1:$ZN$1000,MATCH(data!$A44,Haver_M!$B$1:$B$1000,0),MATCH(data!AH$1,Haver_M!$B$1:$ZN$1,0))),INDEX(Haver_M!$B$1:$ZN$1000,MATCH(data!$A44,Haver_M!$B$1:$B$1000,0),MATCH(data!AH$1,Haver_M!$B$1:$ZN$1,0)),"na")</f>
        <v>na</v>
      </c>
      <c r="AI44" t="str">
        <f>IF(ISNUMBER(INDEX(Haver_M!$B$1:$ZN$1000,MATCH(data!$A44,Haver_M!$B$1:$B$1000,0),MATCH(data!AI$1,Haver_M!$B$1:$ZN$1,0))),INDEX(Haver_M!$B$1:$ZN$1000,MATCH(data!$A44,Haver_M!$B$1:$B$1000,0),MATCH(data!AI$1,Haver_M!$B$1:$ZN$1,0)),"na")</f>
        <v>na</v>
      </c>
      <c r="AJ44" t="str">
        <f>IF(ISNUMBER(INDEX(Haver_M!$B$1:$ZN$1000,MATCH(data!$A44,Haver_M!$B$1:$B$1000,0),MATCH(data!AJ$1,Haver_M!$B$1:$ZN$1,0))),INDEX(Haver_M!$B$1:$ZN$1000,MATCH(data!$A44,Haver_M!$B$1:$B$1000,0),MATCH(data!AJ$1,Haver_M!$B$1:$ZN$1,0)),"na")</f>
        <v>na</v>
      </c>
      <c r="AK44" t="str">
        <f>IF(ISNUMBER(INDEX(Haver_M!$B$1:$ZN$1000,MATCH(data!$A44,Haver_M!$B$1:$B$1000,0),MATCH(data!AK$1,Haver_M!$B$1:$ZN$1,0))),INDEX(Haver_M!$B$1:$ZN$1000,MATCH(data!$A44,Haver_M!$B$1:$B$1000,0),MATCH(data!AK$1,Haver_M!$B$1:$ZN$1,0)),"na")</f>
        <v>na</v>
      </c>
      <c r="AL44" t="str">
        <f>IF(ISNUMBER(INDEX(Haver_M!$B$1:$ZN$1000,MATCH(data!$A44,Haver_M!$B$1:$B$1000,0),MATCH(data!AL$1,Haver_M!$B$1:$ZN$1,0))),INDEX(Haver_M!$B$1:$ZN$1000,MATCH(data!$A44,Haver_M!$B$1:$B$1000,0),MATCH(data!AL$1,Haver_M!$B$1:$ZN$1,0)),"na")</f>
        <v>na</v>
      </c>
      <c r="AM44" t="str">
        <f>IF(ISNUMBER(INDEX(Haver_M!$B$1:$ZN$1000,MATCH(data!$A44,Haver_M!$B$1:$B$1000,0),MATCH(data!AM$1,Haver_M!$B$1:$ZN$1,0))),INDEX(Haver_M!$B$1:$ZN$1000,MATCH(data!$A44,Haver_M!$B$1:$B$1000,0),MATCH(data!AM$1,Haver_M!$B$1:$ZN$1,0)),"na")</f>
        <v>na</v>
      </c>
      <c r="AN44" t="str">
        <f>IF(ISNUMBER(INDEX(Haver_M!$B$1:$ZN$1000,MATCH(data!$A44,Haver_M!$B$1:$B$1000,0),MATCH(data!AN$1,Haver_M!$B$1:$ZN$1,0))),INDEX(Haver_M!$B$1:$ZN$1000,MATCH(data!$A44,Haver_M!$B$1:$B$1000,0),MATCH(data!AN$1,Haver_M!$B$1:$ZN$1,0)),"na")</f>
        <v>na</v>
      </c>
      <c r="AO44" t="str">
        <f>IF(ISNUMBER(INDEX(Haver_M!$B$1:$ZN$1000,MATCH(data!$A44,Haver_M!$B$1:$B$1000,0),MATCH(data!AO$1,Haver_M!$B$1:$ZN$1,0))),INDEX(Haver_M!$B$1:$ZN$1000,MATCH(data!$A44,Haver_M!$B$1:$B$1000,0),MATCH(data!AO$1,Haver_M!$B$1:$ZN$1,0)),"na")</f>
        <v>na</v>
      </c>
      <c r="AP44" t="str">
        <f>IF(ISNUMBER(INDEX(Haver_M!$B$1:$ZN$1000,MATCH(data!$A44,Haver_M!$B$1:$B$1000,0),MATCH(data!AP$1,Haver_M!$B$1:$ZN$1,0))),INDEX(Haver_M!$B$1:$ZN$1000,MATCH(data!$A44,Haver_M!$B$1:$B$1000,0),MATCH(data!AP$1,Haver_M!$B$1:$ZN$1,0)),"na")</f>
        <v>na</v>
      </c>
      <c r="AQ44" t="str">
        <f>IF(ISNUMBER(INDEX(Haver_M!$B$1:$ZN$1000,MATCH(data!$A44,Haver_M!$B$1:$B$1000,0),MATCH(data!AQ$1,Haver_M!$B$1:$ZN$1,0))),INDEX(Haver_M!$B$1:$ZN$1000,MATCH(data!$A44,Haver_M!$B$1:$B$1000,0),MATCH(data!AQ$1,Haver_M!$B$1:$ZN$1,0)),"na")</f>
        <v>na</v>
      </c>
      <c r="AR44" t="str">
        <f>IF(ISNUMBER(INDEX(Haver_M!$B$1:$ZN$1000,MATCH(data!$A44,Haver_M!$B$1:$B$1000,0),MATCH(data!AR$1,Haver_M!$B$1:$ZN$1,0))),INDEX(Haver_M!$B$1:$ZN$1000,MATCH(data!$A44,Haver_M!$B$1:$B$1000,0),MATCH(data!AR$1,Haver_M!$B$1:$ZN$1,0)),"na")</f>
        <v>na</v>
      </c>
      <c r="AS44">
        <f>IF(ISNUMBER(INDEX(Haver_M!$B$1:$ZN$1000,MATCH(data!$A44,Haver_M!$B$1:$B$1000,0),MATCH(data!AS$1,Haver_M!$B$1:$ZN$1,0))),INDEX(Haver_M!$B$1:$ZN$1000,MATCH(data!$A44,Haver_M!$B$1:$B$1000,0),MATCH(data!AS$1,Haver_M!$B$1:$ZN$1,0)),"na")</f>
        <v>7173.6</v>
      </c>
      <c r="AT44">
        <f>IF(ISNUMBER(INDEX(Haver_M!$B$1:$ZN$1000,MATCH(data!$A44,Haver_M!$B$1:$B$1000,0),MATCH(data!AT$1,Haver_M!$B$1:$ZN$1,0))),INDEX(Haver_M!$B$1:$ZN$1000,MATCH(data!$A44,Haver_M!$B$1:$B$1000,0),MATCH(data!AT$1,Haver_M!$B$1:$ZN$1,0)),"na")</f>
        <v>82.626999999999995</v>
      </c>
      <c r="AU44">
        <f>IF(ISNUMBER(INDEX(Haver_M!$B$1:$ZN$1000,MATCH(data!$A44,Haver_M!$B$1:$B$1000,0),MATCH(data!AU$1,Haver_M!$B$1:$ZN$1,0))),INDEX(Haver_M!$B$1:$ZN$1000,MATCH(data!$A44,Haver_M!$B$1:$B$1000,0),MATCH(data!AU$1,Haver_M!$B$1:$ZN$1,0)),"na")</f>
        <v>80.665790000000001</v>
      </c>
      <c r="AV44">
        <f>IF(ISNUMBER(INDEX(Haver_M!$B$1:$ZN$1000,MATCH(data!$A44,Haver_M!$B$1:$B$1000,0),MATCH(data!AV$1,Haver_M!$B$1:$ZN$1,0))),INDEX(Haver_M!$B$1:$ZN$1000,MATCH(data!$A44,Haver_M!$B$1:$B$1000,0),MATCH(data!AV$1,Haver_M!$B$1:$ZN$1,0)),"na")</f>
        <v>70.599999999999994</v>
      </c>
      <c r="AW44">
        <f>IF(ISNUMBER(INDEX(Haver_M!$B$1:$ZN$1000,MATCH(data!$A44,Haver_M!$B$1:$B$1000,0),MATCH(data!AW$1,Haver_M!$B$1:$ZN$1,0))),INDEX(Haver_M!$B$1:$ZN$1000,MATCH(data!$A44,Haver_M!$B$1:$B$1000,0),MATCH(data!AW$1,Haver_M!$B$1:$ZN$1,0)),"na")</f>
        <v>791681.03646756883</v>
      </c>
      <c r="AX44">
        <f>IF(ISNUMBER(INDEX(Haver_M!$B$1:$ZN$1000,MATCH(data!$A44,Haver_M!$B$1:$B$1000,0),MATCH(data!AX$1,Haver_M!$B$1:$ZN$1,0))),INDEX(Haver_M!$B$1:$ZN$1000,MATCH(data!$A44,Haver_M!$B$1:$B$1000,0),MATCH(data!AX$1,Haver_M!$B$1:$ZN$1,0)),"na")</f>
        <v>3399</v>
      </c>
      <c r="AY44">
        <f>IF(ISNUMBER(INDEX(Haver_M!$B$1:$ZN$1000,MATCH(data!$A44,Haver_M!$B$1:$B$1000,0),MATCH(data!AY$1,Haver_M!$B$1:$ZN$1,0))),INDEX(Haver_M!$B$1:$ZN$1000,MATCH(data!$A44,Haver_M!$B$1:$B$1000,0),MATCH(data!AY$1,Haver_M!$B$1:$ZN$1,0)),"na")</f>
        <v>1866</v>
      </c>
      <c r="AZ44" t="str">
        <f>IF(ISNUMBER(INDEX(Haver_M!$B$1:$ZN$1000,MATCH(data!$A44,Haver_M!$B$1:$B$1000,0),MATCH(data!AZ$1,Haver_M!$B$1:$ZN$1,0))),INDEX(Haver_M!$B$1:$ZN$1000,MATCH(data!$A44,Haver_M!$B$1:$B$1000,0),MATCH(data!AZ$1,Haver_M!$B$1:$ZN$1,0)),"na")</f>
        <v>na</v>
      </c>
      <c r="BA44">
        <f>IF(ISNUMBER(INDEX(Haver_M!$B$1:$ZN$1000,MATCH(data!$A44,Haver_M!$B$1:$B$1000,0),MATCH(data!BA$1,Haver_M!$B$1:$ZN$1,0))),INDEX(Haver_M!$B$1:$ZN$1000,MATCH(data!$A44,Haver_M!$B$1:$B$1000,0),MATCH(data!BA$1,Haver_M!$B$1:$ZN$1,0)),"na")</f>
        <v>112.4561087145744</v>
      </c>
      <c r="BB44" t="str">
        <f>IF(ISNUMBER(INDEX(Haver_M!$B$1:$ZN$1000,MATCH(data!$A44,Haver_M!$B$1:$B$1000,0),MATCH(data!BB$1,Haver_M!$B$1:$ZN$1,0))),INDEX(Haver_M!$B$1:$ZN$1000,MATCH(data!$A44,Haver_M!$B$1:$B$1000,0),MATCH(data!BB$1,Haver_M!$B$1:$ZN$1,0)),"")</f>
        <v/>
      </c>
    </row>
    <row r="45" spans="1:54" x14ac:dyDescent="0.25">
      <c r="A45" s="2">
        <v>37864</v>
      </c>
      <c r="B45" t="str">
        <f>IF(ISNUMBER(INDEX(Haver_Q!$B$1:$BD$1000,MATCH(data!$A45,Haver_Q!$B$1:$B$1000,0),MATCH(data!B$1,Haver_Q!$B$1:$BD$1,0))),100*INDEX(Haver_Q!$B$1:$BD$1000,MATCH(data!$A45,Haver_Q!$B$1:$B$1000,0),MATCH(data!B$1,Haver_Q!$B$1:$BD$1,0)),"na")</f>
        <v>na</v>
      </c>
      <c r="C45" t="str">
        <f>IF(ISNUMBER(INDEX(Haver_Q!$B$1:$BD$1000,MATCH(data!$A45,Haver_Q!$B$1:$B$1000,0),MATCH(data!C$1,Haver_Q!$B$1:$BD$1,0))),100*INDEX(Haver_Q!$B$1:$BD$1000,MATCH(data!$A45,Haver_Q!$B$1:$B$1000,0),MATCH(data!C$1,Haver_Q!$B$1:$BD$1,0)),"na")</f>
        <v>na</v>
      </c>
      <c r="D45" t="str">
        <f>IF(ISNUMBER(INDEX(Haver_Q!$B$1:$BD$1000,MATCH(data!$A45,Haver_Q!$B$1:$B$1000,0),MATCH(data!D$1,Haver_Q!$B$1:$BD$1,0))),100*INDEX(Haver_Q!$B$1:$BD$1000,MATCH(data!$A45,Haver_Q!$B$1:$B$1000,0),MATCH(data!D$1,Haver_Q!$B$1:$BD$1,0)),"na")</f>
        <v>na</v>
      </c>
      <c r="E45" t="str">
        <f>IF(ISNUMBER(INDEX(Haver_Q!$B$1:$BD$1000,MATCH(data!$A45,Haver_Q!$B$1:$B$1000,0),MATCH(data!E$1,Haver_Q!$B$1:$BD$1,0))),100*INDEX(Haver_Q!$B$1:$BD$1000,MATCH(data!$A45,Haver_Q!$B$1:$B$1000,0),MATCH(data!E$1,Haver_Q!$B$1:$BD$1,0)),"na")</f>
        <v>na</v>
      </c>
      <c r="F45" t="str">
        <f>IF(ISNUMBER(INDEX(Haver_Q!$B$1:$BD$1000,MATCH(data!$A45,Haver_Q!$B$1:$B$1000,0),MATCH(data!F$1,Haver_Q!$B$1:$BD$1,0))),100*INDEX(Haver_Q!$B$1:$BD$1000,MATCH(data!$A45,Haver_Q!$B$1:$B$1000,0),MATCH(data!F$1,Haver_Q!$B$1:$BD$1,0)),"na")</f>
        <v>na</v>
      </c>
      <c r="G45" t="str">
        <f>IF(ISNUMBER(INDEX(Haver_Q!$B$1:$BD$1000,MATCH(data!$A45,Haver_Q!$B$1:$B$1000,0),MATCH(data!G$1,Haver_Q!$B$1:$BD$1,0))),100*INDEX(Haver_Q!$B$1:$BD$1000,MATCH(data!$A45,Haver_Q!$B$1:$B$1000,0),MATCH(data!G$1,Haver_Q!$B$1:$BD$1,0)),"na")</f>
        <v>na</v>
      </c>
      <c r="H45" t="str">
        <f>IF(ISNUMBER(INDEX(Haver_Q!$B$1:$BD$1000,MATCH(data!$A45,Haver_Q!$B$1:$B$1000,0),MATCH(data!H$1,Haver_Q!$B$1:$BD$1,0))),100*INDEX(Haver_Q!$B$1:$BD$1000,MATCH(data!$A45,Haver_Q!$B$1:$B$1000,0),MATCH(data!H$1,Haver_Q!$B$1:$BD$1,0)),"na")</f>
        <v>na</v>
      </c>
      <c r="I45" s="3">
        <f>IF(ISNUMBER(Bloomberg_m!C61),Bloomberg_m!C61,"na")</f>
        <v>2286</v>
      </c>
      <c r="J45" s="3" t="str">
        <f>IF(ISNUMBER(Bloomberg_m!D61),Bloomberg_m!D61,"na")</f>
        <v>na</v>
      </c>
      <c r="K45" s="3" t="str">
        <f>IF(ISNUMBER(Bloomberg_m!E61),Bloomberg_m!E61,"na")</f>
        <v>na</v>
      </c>
      <c r="L45" s="3">
        <f>IF(ISNUMBER(Bloomberg_m!L61),Bloomberg_m!L61,"na")</f>
        <v>31.58</v>
      </c>
      <c r="M45" t="str">
        <f>IF(ISNUMBER(INDEX(Haver_M!$B$1:$ZN$1000,MATCH(data!$A45,Haver_M!$B$1:$B$1000,0),MATCH(data!M$1,Haver_M!$B$1:$ZN$1,0))),INDEX(Haver_M!$B$1:$ZN$1000,MATCH(data!$A45,Haver_M!$B$1:$B$1000,0),MATCH(data!M$1,Haver_M!$B$1:$ZN$1,0)),"na")</f>
        <v>na</v>
      </c>
      <c r="N45" t="str">
        <f>IF(ISNUMBER(INDEX(Haver_M!$B$1:$ZN$1000,MATCH(data!$A45,Haver_M!$B$1:$B$1000,0),MATCH(data!N$1,Haver_M!$B$1:$ZN$1,0))),INDEX(Haver_M!$B$1:$ZN$1000,MATCH(data!$A45,Haver_M!$B$1:$B$1000,0),MATCH(data!N$1,Haver_M!$B$1:$ZN$1,0)),"na")</f>
        <v>na</v>
      </c>
      <c r="O45">
        <f>IF(ISNUMBER(INDEX(Haver_M!$B$1:$ZN$1000,MATCH(data!$A45,Haver_M!$B$1:$B$1000,0),MATCH(data!O$1,Haver_M!$B$1:$ZN$1,0))),INDEX(Haver_M!$B$1:$ZN$1000,MATCH(data!$A45,Haver_M!$B$1:$B$1000,0),MATCH(data!O$1,Haver_M!$B$1:$ZN$1,0)),"na")</f>
        <v>112.46751999999999</v>
      </c>
      <c r="P45">
        <f>IF(ISNUMBER(INDEX(Haver_M!$B$1:$ZN$1000,MATCH(data!$A45,Haver_M!$B$1:$B$1000,0),MATCH(data!P$1,Haver_M!$B$1:$ZN$1,0))),INDEX(Haver_M!$B$1:$ZN$1000,MATCH(data!$A45,Haver_M!$B$1:$B$1000,0),MATCH(data!P$1,Haver_M!$B$1:$ZN$1,0)),"na")</f>
        <v>54.51</v>
      </c>
      <c r="Q45">
        <f>IF(ISNUMBER(INDEX(Haver_M!$B$1:$ZN$1000,MATCH(data!$A45,Haver_M!$B$1:$B$1000,0),MATCH(data!Q$1,Haver_M!$B$1:$ZN$1,0))),INDEX(Haver_M!$B$1:$ZN$1000,MATCH(data!$A45,Haver_M!$B$1:$B$1000,0),MATCH(data!Q$1,Haver_M!$B$1:$ZN$1,0)),"na")</f>
        <v>58.828800000000001</v>
      </c>
      <c r="R45">
        <f>IF(ISNUMBER(INDEX(Haver_M!$B$1:$ZN$1000,MATCH(data!$A45,Haver_M!$B$1:$B$1000,0),MATCH(data!R$1,Haver_M!$B$1:$ZN$1,0))),INDEX(Haver_M!$B$1:$ZN$1000,MATCH(data!$A45,Haver_M!$B$1:$B$1000,0),MATCH(data!R$1,Haver_M!$B$1:$ZN$1,0)),"na")</f>
        <v>88.771699999999996</v>
      </c>
      <c r="S45">
        <f>IF(ISNUMBER(INDEX(Haver_M!$B$1:$ZN$1000,MATCH(data!$A45,Haver_M!$B$1:$B$1000,0),MATCH(data!S$1,Haver_M!$B$1:$ZN$1,0))),INDEX(Haver_M!$B$1:$ZN$1000,MATCH(data!$A45,Haver_M!$B$1:$B$1000,0),MATCH(data!S$1,Haver_M!$B$1:$ZN$1,0)),"na")</f>
        <v>111.4611</v>
      </c>
      <c r="T45">
        <f>IF(ISNUMBER(INDEX(Haver_M!$B$1:$ZN$1000,MATCH(data!$A45,Haver_M!$B$1:$B$1000,0),MATCH(data!T$1,Haver_M!$B$1:$ZN$1,0))),INDEX(Haver_M!$B$1:$ZN$1000,MATCH(data!$A45,Haver_M!$B$1:$B$1000,0),MATCH(data!T$1,Haver_M!$B$1:$ZN$1,0)),"na")</f>
        <v>60.268799999999999</v>
      </c>
      <c r="U45">
        <f>IF(ISNUMBER(INDEX(Haver_M!$B$1:$ZN$1000,MATCH(data!$A45,Haver_M!$B$1:$B$1000,0),MATCH(data!U$1,Haver_M!$B$1:$ZN$1,0))),INDEX(Haver_M!$B$1:$ZN$1000,MATCH(data!$A45,Haver_M!$B$1:$B$1000,0),MATCH(data!U$1,Haver_M!$B$1:$ZN$1,0)),"na")</f>
        <v>76.967799999999997</v>
      </c>
      <c r="V45">
        <f>IF(ISNUMBER(INDEX(Haver_M!$B$1:$ZN$1000,MATCH(data!$A45,Haver_M!$B$1:$B$1000,0),MATCH(data!V$1,Haver_M!$B$1:$ZN$1,0))),INDEX(Haver_M!$B$1:$ZN$1000,MATCH(data!$A45,Haver_M!$B$1:$B$1000,0),MATCH(data!V$1,Haver_M!$B$1:$ZN$1,0)),"na")</f>
        <v>86.255600000000001</v>
      </c>
      <c r="W45">
        <f>IF(ISNUMBER(INDEX(Haver_M!$B$1:$ZN$1000,MATCH(data!$A45,Haver_M!$B$1:$B$1000,0),MATCH(data!W$1,Haver_M!$B$1:$ZN$1,0))),INDEX(Haver_M!$B$1:$ZN$1000,MATCH(data!$A45,Haver_M!$B$1:$B$1000,0),MATCH(data!W$1,Haver_M!$B$1:$ZN$1,0)),"na")</f>
        <v>3.77</v>
      </c>
      <c r="X45" t="str">
        <f>IF(ISNUMBER(INDEX(Haver_M!$B$1:$ZN$1000,MATCH(data!$A45,Haver_M!$B$1:$B$1000,0),MATCH(data!X$1,Haver_M!$B$1:$ZN$1,0))),INDEX(Haver_M!$B$1:$ZN$1000,MATCH(data!$A45,Haver_M!$B$1:$B$1000,0),MATCH(data!X$1,Haver_M!$B$1:$ZN$1,0)),"na")</f>
        <v>na</v>
      </c>
      <c r="Y45">
        <f>IF(ISNUMBER(INDEX(Haver_M!$B$1:$ZN$1000,MATCH(data!$A45,Haver_M!$B$1:$B$1000,0),MATCH(data!Y$1,Haver_M!$B$1:$ZN$1,0))),INDEX(Haver_M!$B$1:$ZN$1000,MATCH(data!$A45,Haver_M!$B$1:$B$1000,0),MATCH(data!Y$1,Haver_M!$B$1:$ZN$1,0)),"na")</f>
        <v>99.41</v>
      </c>
      <c r="Z45">
        <f>IF(ISNUMBER(INDEX(Haver_M!$B$1:$ZN$1000,MATCH(data!$A45,Haver_M!$B$1:$B$1000,0),MATCH(data!Z$1,Haver_M!$B$1:$ZN$1,0))),INDEX(Haver_M!$B$1:$ZN$1000,MATCH(data!$A45,Haver_M!$B$1:$B$1000,0),MATCH(data!Z$1,Haver_M!$B$1:$ZN$1,0)),"na")</f>
        <v>82.391599999999997</v>
      </c>
      <c r="AA45" t="str">
        <f>IF(ISNUMBER(INDEX(Haver_M!$B$1:$ZN$1000,MATCH(data!$A45,Haver_M!$B$1:$B$1000,0),MATCH(data!AA$1,Haver_M!$B$1:$ZN$1,0))),INDEX(Haver_M!$B$1:$ZN$1000,MATCH(data!$A45,Haver_M!$B$1:$B$1000,0),MATCH(data!AA$1,Haver_M!$B$1:$ZN$1,0)),"na")</f>
        <v>na</v>
      </c>
      <c r="AB45">
        <f>IF(ISNUMBER(INDEX(Haver_M!$B$1:$ZN$1000,MATCH(data!$A45,Haver_M!$B$1:$B$1000,0),MATCH(data!AB$1,Haver_M!$B$1:$ZN$1,0))),INDEX(Haver_M!$B$1:$ZN$1000,MATCH(data!$A45,Haver_M!$B$1:$B$1000,0),MATCH(data!AB$1,Haver_M!$B$1:$ZN$1,0)),"na")</f>
        <v>13441.9</v>
      </c>
      <c r="AC45">
        <f>IF(ISNUMBER(INDEX(Haver_M!$B$1:$ZN$1000,MATCH(data!$A45,Haver_M!$B$1:$B$1000,0),MATCH(data!AC$1,Haver_M!$B$1:$ZN$1,0))),INDEX(Haver_M!$B$1:$ZN$1000,MATCH(data!$A45,Haver_M!$B$1:$B$1000,0),MATCH(data!AC$1,Haver_M!$B$1:$ZN$1,0)),"na")</f>
        <v>13972.6</v>
      </c>
      <c r="AD45">
        <f>IF(ISNUMBER(INDEX(Haver_M!$B$1:$ZN$1000,MATCH(data!$A45,Haver_M!$B$1:$B$1000,0),MATCH(data!AD$1,Haver_M!$B$1:$ZN$1,0))),INDEX(Haver_M!$B$1:$ZN$1000,MATCH(data!$A45,Haver_M!$B$1:$B$1000,0),MATCH(data!AD$1,Haver_M!$B$1:$ZN$1,0)),"na")</f>
        <v>98.48</v>
      </c>
      <c r="AE45">
        <f>IF(ISNUMBER(INDEX(Haver_M!$B$1:$ZN$1000,MATCH(data!$A45,Haver_M!$B$1:$B$1000,0),MATCH(data!AE$1,Haver_M!$B$1:$ZN$1,0))),INDEX(Haver_M!$B$1:$ZN$1000,MATCH(data!$A45,Haver_M!$B$1:$B$1000,0),MATCH(data!AE$1,Haver_M!$B$1:$ZN$1,0)),"na")</f>
        <v>40.9</v>
      </c>
      <c r="AF45" t="str">
        <f>IF(ISNUMBER(INDEX(Haver_M!$B$1:$ZN$1000,MATCH(data!$A45,Haver_M!$B$1:$B$1000,0),MATCH(data!AF$1,Haver_M!$B$1:$ZN$1,0))),INDEX(Haver_M!$B$1:$ZN$1000,MATCH(data!$A45,Haver_M!$B$1:$B$1000,0),MATCH(data!AF$1,Haver_M!$B$1:$ZN$1,0)),"na")</f>
        <v>na</v>
      </c>
      <c r="AG45" t="str">
        <f>IF(ISNUMBER(INDEX(Haver_M!$B$1:$ZN$1000,MATCH(data!$A45,Haver_M!$B$1:$B$1000,0),MATCH(data!AG$1,Haver_M!$B$1:$ZN$1,0))),INDEX(Haver_M!$B$1:$ZN$1000,MATCH(data!$A45,Haver_M!$B$1:$B$1000,0),MATCH(data!AG$1,Haver_M!$B$1:$ZN$1,0)),"na")</f>
        <v>na</v>
      </c>
      <c r="AH45" t="str">
        <f>IF(ISNUMBER(INDEX(Haver_M!$B$1:$ZN$1000,MATCH(data!$A45,Haver_M!$B$1:$B$1000,0),MATCH(data!AH$1,Haver_M!$B$1:$ZN$1,0))),INDEX(Haver_M!$B$1:$ZN$1000,MATCH(data!$A45,Haver_M!$B$1:$B$1000,0),MATCH(data!AH$1,Haver_M!$B$1:$ZN$1,0)),"na")</f>
        <v>na</v>
      </c>
      <c r="AI45" t="str">
        <f>IF(ISNUMBER(INDEX(Haver_M!$B$1:$ZN$1000,MATCH(data!$A45,Haver_M!$B$1:$B$1000,0),MATCH(data!AI$1,Haver_M!$B$1:$ZN$1,0))),INDEX(Haver_M!$B$1:$ZN$1000,MATCH(data!$A45,Haver_M!$B$1:$B$1000,0),MATCH(data!AI$1,Haver_M!$B$1:$ZN$1,0)),"na")</f>
        <v>na</v>
      </c>
      <c r="AJ45" t="str">
        <f>IF(ISNUMBER(INDEX(Haver_M!$B$1:$ZN$1000,MATCH(data!$A45,Haver_M!$B$1:$B$1000,0),MATCH(data!AJ$1,Haver_M!$B$1:$ZN$1,0))),INDEX(Haver_M!$B$1:$ZN$1000,MATCH(data!$A45,Haver_M!$B$1:$B$1000,0),MATCH(data!AJ$1,Haver_M!$B$1:$ZN$1,0)),"na")</f>
        <v>na</v>
      </c>
      <c r="AK45" t="str">
        <f>IF(ISNUMBER(INDEX(Haver_M!$B$1:$ZN$1000,MATCH(data!$A45,Haver_M!$B$1:$B$1000,0),MATCH(data!AK$1,Haver_M!$B$1:$ZN$1,0))),INDEX(Haver_M!$B$1:$ZN$1000,MATCH(data!$A45,Haver_M!$B$1:$B$1000,0),MATCH(data!AK$1,Haver_M!$B$1:$ZN$1,0)),"na")</f>
        <v>na</v>
      </c>
      <c r="AL45" t="str">
        <f>IF(ISNUMBER(INDEX(Haver_M!$B$1:$ZN$1000,MATCH(data!$A45,Haver_M!$B$1:$B$1000,0),MATCH(data!AL$1,Haver_M!$B$1:$ZN$1,0))),INDEX(Haver_M!$B$1:$ZN$1000,MATCH(data!$A45,Haver_M!$B$1:$B$1000,0),MATCH(data!AL$1,Haver_M!$B$1:$ZN$1,0)),"na")</f>
        <v>na</v>
      </c>
      <c r="AM45" t="str">
        <f>IF(ISNUMBER(INDEX(Haver_M!$B$1:$ZN$1000,MATCH(data!$A45,Haver_M!$B$1:$B$1000,0),MATCH(data!AM$1,Haver_M!$B$1:$ZN$1,0))),INDEX(Haver_M!$B$1:$ZN$1000,MATCH(data!$A45,Haver_M!$B$1:$B$1000,0),MATCH(data!AM$1,Haver_M!$B$1:$ZN$1,0)),"na")</f>
        <v>na</v>
      </c>
      <c r="AN45" t="str">
        <f>IF(ISNUMBER(INDEX(Haver_M!$B$1:$ZN$1000,MATCH(data!$A45,Haver_M!$B$1:$B$1000,0),MATCH(data!AN$1,Haver_M!$B$1:$ZN$1,0))),INDEX(Haver_M!$B$1:$ZN$1000,MATCH(data!$A45,Haver_M!$B$1:$B$1000,0),MATCH(data!AN$1,Haver_M!$B$1:$ZN$1,0)),"na")</f>
        <v>na</v>
      </c>
      <c r="AO45" t="str">
        <f>IF(ISNUMBER(INDEX(Haver_M!$B$1:$ZN$1000,MATCH(data!$A45,Haver_M!$B$1:$B$1000,0),MATCH(data!AO$1,Haver_M!$B$1:$ZN$1,0))),INDEX(Haver_M!$B$1:$ZN$1000,MATCH(data!$A45,Haver_M!$B$1:$B$1000,0),MATCH(data!AO$1,Haver_M!$B$1:$ZN$1,0)),"na")</f>
        <v>na</v>
      </c>
      <c r="AP45" t="str">
        <f>IF(ISNUMBER(INDEX(Haver_M!$B$1:$ZN$1000,MATCH(data!$A45,Haver_M!$B$1:$B$1000,0),MATCH(data!AP$1,Haver_M!$B$1:$ZN$1,0))),INDEX(Haver_M!$B$1:$ZN$1000,MATCH(data!$A45,Haver_M!$B$1:$B$1000,0),MATCH(data!AP$1,Haver_M!$B$1:$ZN$1,0)),"na")</f>
        <v>na</v>
      </c>
      <c r="AQ45" t="str">
        <f>IF(ISNUMBER(INDEX(Haver_M!$B$1:$ZN$1000,MATCH(data!$A45,Haver_M!$B$1:$B$1000,0),MATCH(data!AQ$1,Haver_M!$B$1:$ZN$1,0))),INDEX(Haver_M!$B$1:$ZN$1000,MATCH(data!$A45,Haver_M!$B$1:$B$1000,0),MATCH(data!AQ$1,Haver_M!$B$1:$ZN$1,0)),"na")</f>
        <v>na</v>
      </c>
      <c r="AR45" t="str">
        <f>IF(ISNUMBER(INDEX(Haver_M!$B$1:$ZN$1000,MATCH(data!$A45,Haver_M!$B$1:$B$1000,0),MATCH(data!AR$1,Haver_M!$B$1:$ZN$1,0))),INDEX(Haver_M!$B$1:$ZN$1000,MATCH(data!$A45,Haver_M!$B$1:$B$1000,0),MATCH(data!AR$1,Haver_M!$B$1:$ZN$1,0)),"na")</f>
        <v>na</v>
      </c>
      <c r="AS45">
        <f>IF(ISNUMBER(INDEX(Haver_M!$B$1:$ZN$1000,MATCH(data!$A45,Haver_M!$B$1:$B$1000,0),MATCH(data!AS$1,Haver_M!$B$1:$ZN$1,0))),INDEX(Haver_M!$B$1:$ZN$1000,MATCH(data!$A45,Haver_M!$B$1:$B$1000,0),MATCH(data!AS$1,Haver_M!$B$1:$ZN$1,0)),"na")</f>
        <v>7413.51</v>
      </c>
      <c r="AT45">
        <f>IF(ISNUMBER(INDEX(Haver_M!$B$1:$ZN$1000,MATCH(data!$A45,Haver_M!$B$1:$B$1000,0),MATCH(data!AT$1,Haver_M!$B$1:$ZN$1,0))),INDEX(Haver_M!$B$1:$ZN$1000,MATCH(data!$A45,Haver_M!$B$1:$B$1000,0),MATCH(data!AT$1,Haver_M!$B$1:$ZN$1,0)),"na")</f>
        <v>82.509</v>
      </c>
      <c r="AU45">
        <f>IF(ISNUMBER(INDEX(Haver_M!$B$1:$ZN$1000,MATCH(data!$A45,Haver_M!$B$1:$B$1000,0),MATCH(data!AU$1,Haver_M!$B$1:$ZN$1,0))),INDEX(Haver_M!$B$1:$ZN$1000,MATCH(data!$A45,Haver_M!$B$1:$B$1000,0),MATCH(data!AU$1,Haver_M!$B$1:$ZN$1,0)),"na")</f>
        <v>79.983929000000003</v>
      </c>
      <c r="AV45">
        <f>IF(ISNUMBER(INDEX(Haver_M!$B$1:$ZN$1000,MATCH(data!$A45,Haver_M!$B$1:$B$1000,0),MATCH(data!AV$1,Haver_M!$B$1:$ZN$1,0))),INDEX(Haver_M!$B$1:$ZN$1000,MATCH(data!$A45,Haver_M!$B$1:$B$1000,0),MATCH(data!AV$1,Haver_M!$B$1:$ZN$1,0)),"na")</f>
        <v>70.400000000000006</v>
      </c>
      <c r="AW45">
        <f>IF(ISNUMBER(INDEX(Haver_M!$B$1:$ZN$1000,MATCH(data!$A45,Haver_M!$B$1:$B$1000,0),MATCH(data!AW$1,Haver_M!$B$1:$ZN$1,0))),INDEX(Haver_M!$B$1:$ZN$1000,MATCH(data!$A45,Haver_M!$B$1:$B$1000,0),MATCH(data!AW$1,Haver_M!$B$1:$ZN$1,0)),"na")</f>
        <v>811223.11637181172</v>
      </c>
      <c r="AX45">
        <f>IF(ISNUMBER(INDEX(Haver_M!$B$1:$ZN$1000,MATCH(data!$A45,Haver_M!$B$1:$B$1000,0),MATCH(data!AX$1,Haver_M!$B$1:$ZN$1,0))),INDEX(Haver_M!$B$1:$ZN$1000,MATCH(data!$A45,Haver_M!$B$1:$B$1000,0),MATCH(data!AX$1,Haver_M!$B$1:$ZN$1,0)),"na")</f>
        <v>3401</v>
      </c>
      <c r="AY45">
        <f>IF(ISNUMBER(INDEX(Haver_M!$B$1:$ZN$1000,MATCH(data!$A45,Haver_M!$B$1:$B$1000,0),MATCH(data!AY$1,Haver_M!$B$1:$ZN$1,0))),INDEX(Haver_M!$B$1:$ZN$1000,MATCH(data!$A45,Haver_M!$B$1:$B$1000,0),MATCH(data!AY$1,Haver_M!$B$1:$ZN$1,0)),"na")</f>
        <v>1922</v>
      </c>
      <c r="AZ45" t="str">
        <f>IF(ISNUMBER(INDEX(Haver_M!$B$1:$ZN$1000,MATCH(data!$A45,Haver_M!$B$1:$B$1000,0),MATCH(data!AZ$1,Haver_M!$B$1:$ZN$1,0))),INDEX(Haver_M!$B$1:$ZN$1000,MATCH(data!$A45,Haver_M!$B$1:$B$1000,0),MATCH(data!AZ$1,Haver_M!$B$1:$ZN$1,0)),"na")</f>
        <v>na</v>
      </c>
      <c r="BA45">
        <f>IF(ISNUMBER(INDEX(Haver_M!$B$1:$ZN$1000,MATCH(data!$A45,Haver_M!$B$1:$B$1000,0),MATCH(data!BA$1,Haver_M!$B$1:$ZN$1,0))),INDEX(Haver_M!$B$1:$ZN$1000,MATCH(data!$A45,Haver_M!$B$1:$B$1000,0),MATCH(data!BA$1,Haver_M!$B$1:$ZN$1,0)),"na")</f>
        <v>119.88173216342734</v>
      </c>
      <c r="BB45" t="str">
        <f>IF(ISNUMBER(INDEX(Haver_M!$B$1:$ZN$1000,MATCH(data!$A45,Haver_M!$B$1:$B$1000,0),MATCH(data!BB$1,Haver_M!$B$1:$ZN$1,0))),INDEX(Haver_M!$B$1:$ZN$1000,MATCH(data!$A45,Haver_M!$B$1:$B$1000,0),MATCH(data!BB$1,Haver_M!$B$1:$ZN$1,0)),"")</f>
        <v/>
      </c>
    </row>
    <row r="46" spans="1:54" x14ac:dyDescent="0.25">
      <c r="A46" s="2">
        <v>37894</v>
      </c>
      <c r="B46">
        <f>IF(ISNUMBER(INDEX(Haver_Q!$B$1:$BD$1000,MATCH(data!$A46,Haver_Q!$B$1:$B$1000,0),MATCH(data!B$1,Haver_Q!$B$1:$BD$1,0))),100*INDEX(Haver_Q!$B$1:$BD$1000,MATCH(data!$A46,Haver_Q!$B$1:$B$1000,0),MATCH(data!B$1,Haver_Q!$B$1:$BD$1,0)),"na")</f>
        <v>-2.1860671535078868E-2</v>
      </c>
      <c r="C46">
        <f>IF(ISNUMBER(INDEX(Haver_Q!$B$1:$BD$1000,MATCH(data!$A46,Haver_Q!$B$1:$B$1000,0),MATCH(data!C$1,Haver_Q!$B$1:$BD$1,0))),100*INDEX(Haver_Q!$B$1:$BD$1000,MATCH(data!$A46,Haver_Q!$B$1:$B$1000,0),MATCH(data!C$1,Haver_Q!$B$1:$BD$1,0)),"na")</f>
        <v>-9.0393230478833519</v>
      </c>
      <c r="D46">
        <f>IF(ISNUMBER(INDEX(Haver_Q!$B$1:$BD$1000,MATCH(data!$A46,Haver_Q!$B$1:$B$1000,0),MATCH(data!D$1,Haver_Q!$B$1:$BD$1,0))),100*INDEX(Haver_Q!$B$1:$BD$1000,MATCH(data!$A46,Haver_Q!$B$1:$B$1000,0),MATCH(data!D$1,Haver_Q!$B$1:$BD$1,0)),"na")</f>
        <v>2.6484979346363069</v>
      </c>
      <c r="E46">
        <f>IF(ISNUMBER(INDEX(Haver_Q!$B$1:$BD$1000,MATCH(data!$A46,Haver_Q!$B$1:$B$1000,0),MATCH(data!E$1,Haver_Q!$B$1:$BD$1,0))),100*INDEX(Haver_Q!$B$1:$BD$1000,MATCH(data!$A46,Haver_Q!$B$1:$B$1000,0),MATCH(data!E$1,Haver_Q!$B$1:$BD$1,0)),"na")</f>
        <v>-2.9877614158485666</v>
      </c>
      <c r="F46">
        <f>IF(ISNUMBER(INDEX(Haver_Q!$B$1:$BD$1000,MATCH(data!$A46,Haver_Q!$B$1:$B$1000,0),MATCH(data!F$1,Haver_Q!$B$1:$BD$1,0))),100*INDEX(Haver_Q!$B$1:$BD$1000,MATCH(data!$A46,Haver_Q!$B$1:$B$1000,0),MATCH(data!F$1,Haver_Q!$B$1:$BD$1,0)),"na")</f>
        <v>19.248857237791839</v>
      </c>
      <c r="G46">
        <f>IF(ISNUMBER(INDEX(Haver_Q!$B$1:$BD$1000,MATCH(data!$A46,Haver_Q!$B$1:$B$1000,0),MATCH(data!G$1,Haver_Q!$B$1:$BD$1,0))),100*INDEX(Haver_Q!$B$1:$BD$1000,MATCH(data!$A46,Haver_Q!$B$1:$B$1000,0),MATCH(data!G$1,Haver_Q!$B$1:$BD$1,0)),"na")</f>
        <v>-1.7492611168808292</v>
      </c>
      <c r="H46">
        <f>IF(ISNUMBER(INDEX(Haver_Q!$B$1:$BD$1000,MATCH(data!$A46,Haver_Q!$B$1:$B$1000,0),MATCH(data!H$1,Haver_Q!$B$1:$BD$1,0))),100*INDEX(Haver_Q!$B$1:$BD$1000,MATCH(data!$A46,Haver_Q!$B$1:$B$1000,0),MATCH(data!H$1,Haver_Q!$B$1:$BD$1,0)),"na")</f>
        <v>639.61061004274291</v>
      </c>
      <c r="I46" s="3">
        <f>IF(ISNUMBER(Bloomberg_m!C62),Bloomberg_m!C62,"na")</f>
        <v>2463</v>
      </c>
      <c r="J46" s="3" t="str">
        <f>IF(ISNUMBER(Bloomberg_m!D62),Bloomberg_m!D62,"na")</f>
        <v>na</v>
      </c>
      <c r="K46" s="3" t="str">
        <f>IF(ISNUMBER(Bloomberg_m!E62),Bloomberg_m!E62,"na")</f>
        <v>na</v>
      </c>
      <c r="L46" s="3">
        <f>IF(ISNUMBER(Bloomberg_m!L62),Bloomberg_m!L62,"na")</f>
        <v>28.28</v>
      </c>
      <c r="M46" t="str">
        <f>IF(ISNUMBER(INDEX(Haver_M!$B$1:$ZN$1000,MATCH(data!$A46,Haver_M!$B$1:$B$1000,0),MATCH(data!M$1,Haver_M!$B$1:$ZN$1,0))),INDEX(Haver_M!$B$1:$ZN$1000,MATCH(data!$A46,Haver_M!$B$1:$B$1000,0),MATCH(data!M$1,Haver_M!$B$1:$ZN$1,0)),"na")</f>
        <v>na</v>
      </c>
      <c r="N46" t="str">
        <f>IF(ISNUMBER(INDEX(Haver_M!$B$1:$ZN$1000,MATCH(data!$A46,Haver_M!$B$1:$B$1000,0),MATCH(data!N$1,Haver_M!$B$1:$ZN$1,0))),INDEX(Haver_M!$B$1:$ZN$1000,MATCH(data!$A46,Haver_M!$B$1:$B$1000,0),MATCH(data!N$1,Haver_M!$B$1:$ZN$1,0)),"na")</f>
        <v>na</v>
      </c>
      <c r="O46">
        <f>IF(ISNUMBER(INDEX(Haver_M!$B$1:$ZN$1000,MATCH(data!$A46,Haver_M!$B$1:$B$1000,0),MATCH(data!O$1,Haver_M!$B$1:$ZN$1,0))),INDEX(Haver_M!$B$1:$ZN$1000,MATCH(data!$A46,Haver_M!$B$1:$B$1000,0),MATCH(data!O$1,Haver_M!$B$1:$ZN$1,0)),"na")</f>
        <v>110.76161999999999</v>
      </c>
      <c r="P46">
        <f>IF(ISNUMBER(INDEX(Haver_M!$B$1:$ZN$1000,MATCH(data!$A46,Haver_M!$B$1:$B$1000,0),MATCH(data!P$1,Haver_M!$B$1:$ZN$1,0))),INDEX(Haver_M!$B$1:$ZN$1000,MATCH(data!$A46,Haver_M!$B$1:$B$1000,0),MATCH(data!P$1,Haver_M!$B$1:$ZN$1,0)),"na")</f>
        <v>54.702199999999998</v>
      </c>
      <c r="Q46">
        <f>IF(ISNUMBER(INDEX(Haver_M!$B$1:$ZN$1000,MATCH(data!$A46,Haver_M!$B$1:$B$1000,0),MATCH(data!Q$1,Haver_M!$B$1:$ZN$1,0))),INDEX(Haver_M!$B$1:$ZN$1000,MATCH(data!$A46,Haver_M!$B$1:$B$1000,0),MATCH(data!Q$1,Haver_M!$B$1:$ZN$1,0)),"na")</f>
        <v>58.9405</v>
      </c>
      <c r="R46">
        <f>IF(ISNUMBER(INDEX(Haver_M!$B$1:$ZN$1000,MATCH(data!$A46,Haver_M!$B$1:$B$1000,0),MATCH(data!R$1,Haver_M!$B$1:$ZN$1,0))),INDEX(Haver_M!$B$1:$ZN$1000,MATCH(data!$A46,Haver_M!$B$1:$B$1000,0),MATCH(data!R$1,Haver_M!$B$1:$ZN$1,0)),"na")</f>
        <v>88.612200000000001</v>
      </c>
      <c r="S46">
        <f>IF(ISNUMBER(INDEX(Haver_M!$B$1:$ZN$1000,MATCH(data!$A46,Haver_M!$B$1:$B$1000,0),MATCH(data!S$1,Haver_M!$B$1:$ZN$1,0))),INDEX(Haver_M!$B$1:$ZN$1000,MATCH(data!$A46,Haver_M!$B$1:$B$1000,0),MATCH(data!S$1,Haver_M!$B$1:$ZN$1,0)),"na")</f>
        <v>112.1651</v>
      </c>
      <c r="T46">
        <f>IF(ISNUMBER(INDEX(Haver_M!$B$1:$ZN$1000,MATCH(data!$A46,Haver_M!$B$1:$B$1000,0),MATCH(data!T$1,Haver_M!$B$1:$ZN$1,0))),INDEX(Haver_M!$B$1:$ZN$1000,MATCH(data!$A46,Haver_M!$B$1:$B$1000,0),MATCH(data!T$1,Haver_M!$B$1:$ZN$1,0)),"na")</f>
        <v>60.249600000000001</v>
      </c>
      <c r="U46">
        <f>IF(ISNUMBER(INDEX(Haver_M!$B$1:$ZN$1000,MATCH(data!$A46,Haver_M!$B$1:$B$1000,0),MATCH(data!U$1,Haver_M!$B$1:$ZN$1,0))),INDEX(Haver_M!$B$1:$ZN$1000,MATCH(data!$A46,Haver_M!$B$1:$B$1000,0),MATCH(data!U$1,Haver_M!$B$1:$ZN$1,0)),"na")</f>
        <v>76.413300000000007</v>
      </c>
      <c r="V46">
        <f>IF(ISNUMBER(INDEX(Haver_M!$B$1:$ZN$1000,MATCH(data!$A46,Haver_M!$B$1:$B$1000,0),MATCH(data!V$1,Haver_M!$B$1:$ZN$1,0))),INDEX(Haver_M!$B$1:$ZN$1000,MATCH(data!$A46,Haver_M!$B$1:$B$1000,0),MATCH(data!V$1,Haver_M!$B$1:$ZN$1,0)),"na")</f>
        <v>86.545699999999997</v>
      </c>
      <c r="W46">
        <f>IF(ISNUMBER(INDEX(Haver_M!$B$1:$ZN$1000,MATCH(data!$A46,Haver_M!$B$1:$B$1000,0),MATCH(data!W$1,Haver_M!$B$1:$ZN$1,0))),INDEX(Haver_M!$B$1:$ZN$1000,MATCH(data!$A46,Haver_M!$B$1:$B$1000,0),MATCH(data!W$1,Haver_M!$B$1:$ZN$1,0)),"na")</f>
        <v>3.9</v>
      </c>
      <c r="X46" t="str">
        <f>IF(ISNUMBER(INDEX(Haver_M!$B$1:$ZN$1000,MATCH(data!$A46,Haver_M!$B$1:$B$1000,0),MATCH(data!X$1,Haver_M!$B$1:$ZN$1,0))),INDEX(Haver_M!$B$1:$ZN$1000,MATCH(data!$A46,Haver_M!$B$1:$B$1000,0),MATCH(data!X$1,Haver_M!$B$1:$ZN$1,0)),"na")</f>
        <v>na</v>
      </c>
      <c r="Y46">
        <f>IF(ISNUMBER(INDEX(Haver_M!$B$1:$ZN$1000,MATCH(data!$A46,Haver_M!$B$1:$B$1000,0),MATCH(data!Y$1,Haver_M!$B$1:$ZN$1,0))),INDEX(Haver_M!$B$1:$ZN$1000,MATCH(data!$A46,Haver_M!$B$1:$B$1000,0),MATCH(data!Y$1,Haver_M!$B$1:$ZN$1,0)),"na")</f>
        <v>99.64</v>
      </c>
      <c r="Z46">
        <f>IF(ISNUMBER(INDEX(Haver_M!$B$1:$ZN$1000,MATCH(data!$A46,Haver_M!$B$1:$B$1000,0),MATCH(data!Z$1,Haver_M!$B$1:$ZN$1,0))),INDEX(Haver_M!$B$1:$ZN$1000,MATCH(data!$A46,Haver_M!$B$1:$B$1000,0),MATCH(data!Z$1,Haver_M!$B$1:$ZN$1,0)),"na")</f>
        <v>82.063299999999998</v>
      </c>
      <c r="AA46" t="str">
        <f>IF(ISNUMBER(INDEX(Haver_M!$B$1:$ZN$1000,MATCH(data!$A46,Haver_M!$B$1:$B$1000,0),MATCH(data!AA$1,Haver_M!$B$1:$ZN$1,0))),INDEX(Haver_M!$B$1:$ZN$1000,MATCH(data!$A46,Haver_M!$B$1:$B$1000,0),MATCH(data!AA$1,Haver_M!$B$1:$ZN$1,0)),"na")</f>
        <v>na</v>
      </c>
      <c r="AB46">
        <f>IF(ISNUMBER(INDEX(Haver_M!$B$1:$ZN$1000,MATCH(data!$A46,Haver_M!$B$1:$B$1000,0),MATCH(data!AB$1,Haver_M!$B$1:$ZN$1,0))),INDEX(Haver_M!$B$1:$ZN$1000,MATCH(data!$A46,Haver_M!$B$1:$B$1000,0),MATCH(data!AB$1,Haver_M!$B$1:$ZN$1,0)),"na")</f>
        <v>13738.1</v>
      </c>
      <c r="AC46">
        <f>IF(ISNUMBER(INDEX(Haver_M!$B$1:$ZN$1000,MATCH(data!$A46,Haver_M!$B$1:$B$1000,0),MATCH(data!AC$1,Haver_M!$B$1:$ZN$1,0))),INDEX(Haver_M!$B$1:$ZN$1000,MATCH(data!$A46,Haver_M!$B$1:$B$1000,0),MATCH(data!AC$1,Haver_M!$B$1:$ZN$1,0)),"na")</f>
        <v>14074.4</v>
      </c>
      <c r="AD46">
        <f>IF(ISNUMBER(INDEX(Haver_M!$B$1:$ZN$1000,MATCH(data!$A46,Haver_M!$B$1:$B$1000,0),MATCH(data!AD$1,Haver_M!$B$1:$ZN$1,0))),INDEX(Haver_M!$B$1:$ZN$1000,MATCH(data!$A46,Haver_M!$B$1:$B$1000,0),MATCH(data!AD$1,Haver_M!$B$1:$ZN$1,0)),"na")</f>
        <v>98.46</v>
      </c>
      <c r="AE46">
        <f>IF(ISNUMBER(INDEX(Haver_M!$B$1:$ZN$1000,MATCH(data!$A46,Haver_M!$B$1:$B$1000,0),MATCH(data!AE$1,Haver_M!$B$1:$ZN$1,0))),INDEX(Haver_M!$B$1:$ZN$1000,MATCH(data!$A46,Haver_M!$B$1:$B$1000,0),MATCH(data!AE$1,Haver_M!$B$1:$ZN$1,0)),"na")</f>
        <v>40.1</v>
      </c>
      <c r="AF46" t="str">
        <f>IF(ISNUMBER(INDEX(Haver_M!$B$1:$ZN$1000,MATCH(data!$A46,Haver_M!$B$1:$B$1000,0),MATCH(data!AF$1,Haver_M!$B$1:$ZN$1,0))),INDEX(Haver_M!$B$1:$ZN$1000,MATCH(data!$A46,Haver_M!$B$1:$B$1000,0),MATCH(data!AF$1,Haver_M!$B$1:$ZN$1,0)),"na")</f>
        <v>na</v>
      </c>
      <c r="AG46" t="str">
        <f>IF(ISNUMBER(INDEX(Haver_M!$B$1:$ZN$1000,MATCH(data!$A46,Haver_M!$B$1:$B$1000,0),MATCH(data!AG$1,Haver_M!$B$1:$ZN$1,0))),INDEX(Haver_M!$B$1:$ZN$1000,MATCH(data!$A46,Haver_M!$B$1:$B$1000,0),MATCH(data!AG$1,Haver_M!$B$1:$ZN$1,0)),"na")</f>
        <v>na</v>
      </c>
      <c r="AH46" t="str">
        <f>IF(ISNUMBER(INDEX(Haver_M!$B$1:$ZN$1000,MATCH(data!$A46,Haver_M!$B$1:$B$1000,0),MATCH(data!AH$1,Haver_M!$B$1:$ZN$1,0))),INDEX(Haver_M!$B$1:$ZN$1000,MATCH(data!$A46,Haver_M!$B$1:$B$1000,0),MATCH(data!AH$1,Haver_M!$B$1:$ZN$1,0)),"na")</f>
        <v>na</v>
      </c>
      <c r="AI46" t="str">
        <f>IF(ISNUMBER(INDEX(Haver_M!$B$1:$ZN$1000,MATCH(data!$A46,Haver_M!$B$1:$B$1000,0),MATCH(data!AI$1,Haver_M!$B$1:$ZN$1,0))),INDEX(Haver_M!$B$1:$ZN$1000,MATCH(data!$A46,Haver_M!$B$1:$B$1000,0),MATCH(data!AI$1,Haver_M!$B$1:$ZN$1,0)),"na")</f>
        <v>na</v>
      </c>
      <c r="AJ46" t="str">
        <f>IF(ISNUMBER(INDEX(Haver_M!$B$1:$ZN$1000,MATCH(data!$A46,Haver_M!$B$1:$B$1000,0),MATCH(data!AJ$1,Haver_M!$B$1:$ZN$1,0))),INDEX(Haver_M!$B$1:$ZN$1000,MATCH(data!$A46,Haver_M!$B$1:$B$1000,0),MATCH(data!AJ$1,Haver_M!$B$1:$ZN$1,0)),"na")</f>
        <v>na</v>
      </c>
      <c r="AK46" t="str">
        <f>IF(ISNUMBER(INDEX(Haver_M!$B$1:$ZN$1000,MATCH(data!$A46,Haver_M!$B$1:$B$1000,0),MATCH(data!AK$1,Haver_M!$B$1:$ZN$1,0))),INDEX(Haver_M!$B$1:$ZN$1000,MATCH(data!$A46,Haver_M!$B$1:$B$1000,0),MATCH(data!AK$1,Haver_M!$B$1:$ZN$1,0)),"na")</f>
        <v>na</v>
      </c>
      <c r="AL46" t="str">
        <f>IF(ISNUMBER(INDEX(Haver_M!$B$1:$ZN$1000,MATCH(data!$A46,Haver_M!$B$1:$B$1000,0),MATCH(data!AL$1,Haver_M!$B$1:$ZN$1,0))),INDEX(Haver_M!$B$1:$ZN$1000,MATCH(data!$A46,Haver_M!$B$1:$B$1000,0),MATCH(data!AL$1,Haver_M!$B$1:$ZN$1,0)),"na")</f>
        <v>na</v>
      </c>
      <c r="AM46" t="str">
        <f>IF(ISNUMBER(INDEX(Haver_M!$B$1:$ZN$1000,MATCH(data!$A46,Haver_M!$B$1:$B$1000,0),MATCH(data!AM$1,Haver_M!$B$1:$ZN$1,0))),INDEX(Haver_M!$B$1:$ZN$1000,MATCH(data!$A46,Haver_M!$B$1:$B$1000,0),MATCH(data!AM$1,Haver_M!$B$1:$ZN$1,0)),"na")</f>
        <v>na</v>
      </c>
      <c r="AN46" t="str">
        <f>IF(ISNUMBER(INDEX(Haver_M!$B$1:$ZN$1000,MATCH(data!$A46,Haver_M!$B$1:$B$1000,0),MATCH(data!AN$1,Haver_M!$B$1:$ZN$1,0))),INDEX(Haver_M!$B$1:$ZN$1000,MATCH(data!$A46,Haver_M!$B$1:$B$1000,0),MATCH(data!AN$1,Haver_M!$B$1:$ZN$1,0)),"na")</f>
        <v>na</v>
      </c>
      <c r="AO46" t="str">
        <f>IF(ISNUMBER(INDEX(Haver_M!$B$1:$ZN$1000,MATCH(data!$A46,Haver_M!$B$1:$B$1000,0),MATCH(data!AO$1,Haver_M!$B$1:$ZN$1,0))),INDEX(Haver_M!$B$1:$ZN$1000,MATCH(data!$A46,Haver_M!$B$1:$B$1000,0),MATCH(data!AO$1,Haver_M!$B$1:$ZN$1,0)),"na")</f>
        <v>na</v>
      </c>
      <c r="AP46" t="str">
        <f>IF(ISNUMBER(INDEX(Haver_M!$B$1:$ZN$1000,MATCH(data!$A46,Haver_M!$B$1:$B$1000,0),MATCH(data!AP$1,Haver_M!$B$1:$ZN$1,0))),INDEX(Haver_M!$B$1:$ZN$1000,MATCH(data!$A46,Haver_M!$B$1:$B$1000,0),MATCH(data!AP$1,Haver_M!$B$1:$ZN$1,0)),"na")</f>
        <v>na</v>
      </c>
      <c r="AQ46" t="str">
        <f>IF(ISNUMBER(INDEX(Haver_M!$B$1:$ZN$1000,MATCH(data!$A46,Haver_M!$B$1:$B$1000,0),MATCH(data!AQ$1,Haver_M!$B$1:$ZN$1,0))),INDEX(Haver_M!$B$1:$ZN$1000,MATCH(data!$A46,Haver_M!$B$1:$B$1000,0),MATCH(data!AQ$1,Haver_M!$B$1:$ZN$1,0)),"na")</f>
        <v>na</v>
      </c>
      <c r="AR46" t="str">
        <f>IF(ISNUMBER(INDEX(Haver_M!$B$1:$ZN$1000,MATCH(data!$A46,Haver_M!$B$1:$B$1000,0),MATCH(data!AR$1,Haver_M!$B$1:$ZN$1,0))),INDEX(Haver_M!$B$1:$ZN$1000,MATCH(data!$A46,Haver_M!$B$1:$B$1000,0),MATCH(data!AR$1,Haver_M!$B$1:$ZN$1,0)),"na")</f>
        <v>na</v>
      </c>
      <c r="AS46">
        <f>IF(ISNUMBER(INDEX(Haver_M!$B$1:$ZN$1000,MATCH(data!$A46,Haver_M!$B$1:$B$1000,0),MATCH(data!AS$1,Haver_M!$B$1:$ZN$1,0))),INDEX(Haver_M!$B$1:$ZN$1000,MATCH(data!$A46,Haver_M!$B$1:$B$1000,0),MATCH(data!AS$1,Haver_M!$B$1:$ZN$1,0)),"na")</f>
        <v>7767.49</v>
      </c>
      <c r="AT46">
        <f>IF(ISNUMBER(INDEX(Haver_M!$B$1:$ZN$1000,MATCH(data!$A46,Haver_M!$B$1:$B$1000,0),MATCH(data!AT$1,Haver_M!$B$1:$ZN$1,0))),INDEX(Haver_M!$B$1:$ZN$1000,MATCH(data!$A46,Haver_M!$B$1:$B$1000,0),MATCH(data!AT$1,Haver_M!$B$1:$ZN$1,0)),"na")</f>
        <v>83.123000000000005</v>
      </c>
      <c r="AU46">
        <f>IF(ISNUMBER(INDEX(Haver_M!$B$1:$ZN$1000,MATCH(data!$A46,Haver_M!$B$1:$B$1000,0),MATCH(data!AU$1,Haver_M!$B$1:$ZN$1,0))),INDEX(Haver_M!$B$1:$ZN$1000,MATCH(data!$A46,Haver_M!$B$1:$B$1000,0),MATCH(data!AU$1,Haver_M!$B$1:$ZN$1,0)),"na")</f>
        <v>80.251344000000003</v>
      </c>
      <c r="AV46">
        <f>IF(ISNUMBER(INDEX(Haver_M!$B$1:$ZN$1000,MATCH(data!$A46,Haver_M!$B$1:$B$1000,0),MATCH(data!AV$1,Haver_M!$B$1:$ZN$1,0))),INDEX(Haver_M!$B$1:$ZN$1000,MATCH(data!$A46,Haver_M!$B$1:$B$1000,0),MATCH(data!AV$1,Haver_M!$B$1:$ZN$1,0)),"na")</f>
        <v>68.900000000000006</v>
      </c>
      <c r="AW46">
        <f>IF(ISNUMBER(INDEX(Haver_M!$B$1:$ZN$1000,MATCH(data!$A46,Haver_M!$B$1:$B$1000,0),MATCH(data!AW$1,Haver_M!$B$1:$ZN$1,0))),INDEX(Haver_M!$B$1:$ZN$1000,MATCH(data!$A46,Haver_M!$B$1:$B$1000,0),MATCH(data!AW$1,Haver_M!$B$1:$ZN$1,0)),"na")</f>
        <v>816167.08588635281</v>
      </c>
      <c r="AX46">
        <f>IF(ISNUMBER(INDEX(Haver_M!$B$1:$ZN$1000,MATCH(data!$A46,Haver_M!$B$1:$B$1000,0),MATCH(data!AX$1,Haver_M!$B$1:$ZN$1,0))),INDEX(Haver_M!$B$1:$ZN$1000,MATCH(data!$A46,Haver_M!$B$1:$B$1000,0),MATCH(data!AX$1,Haver_M!$B$1:$ZN$1,0)),"na")</f>
        <v>3395</v>
      </c>
      <c r="AY46">
        <f>IF(ISNUMBER(INDEX(Haver_M!$B$1:$ZN$1000,MATCH(data!$A46,Haver_M!$B$1:$B$1000,0),MATCH(data!AY$1,Haver_M!$B$1:$ZN$1,0))),INDEX(Haver_M!$B$1:$ZN$1000,MATCH(data!$A46,Haver_M!$B$1:$B$1000,0),MATCH(data!AY$1,Haver_M!$B$1:$ZN$1,0)),"na")</f>
        <v>1900</v>
      </c>
      <c r="AZ46" t="str">
        <f>IF(ISNUMBER(INDEX(Haver_M!$B$1:$ZN$1000,MATCH(data!$A46,Haver_M!$B$1:$B$1000,0),MATCH(data!AZ$1,Haver_M!$B$1:$ZN$1,0))),INDEX(Haver_M!$B$1:$ZN$1000,MATCH(data!$A46,Haver_M!$B$1:$B$1000,0),MATCH(data!AZ$1,Haver_M!$B$1:$ZN$1,0)),"na")</f>
        <v>na</v>
      </c>
      <c r="BA46">
        <f>IF(ISNUMBER(INDEX(Haver_M!$B$1:$ZN$1000,MATCH(data!$A46,Haver_M!$B$1:$B$1000,0),MATCH(data!BA$1,Haver_M!$B$1:$ZN$1,0))),INDEX(Haver_M!$B$1:$ZN$1000,MATCH(data!$A46,Haver_M!$B$1:$B$1000,0),MATCH(data!BA$1,Haver_M!$B$1:$ZN$1,0)),"na")</f>
        <v>97.038433946957966</v>
      </c>
      <c r="BB46" t="str">
        <f>IF(ISNUMBER(INDEX(Haver_M!$B$1:$ZN$1000,MATCH(data!$A46,Haver_M!$B$1:$B$1000,0),MATCH(data!BB$1,Haver_M!$B$1:$ZN$1,0))),INDEX(Haver_M!$B$1:$ZN$1000,MATCH(data!$A46,Haver_M!$B$1:$B$1000,0),MATCH(data!BB$1,Haver_M!$B$1:$ZN$1,0)),"")</f>
        <v/>
      </c>
    </row>
    <row r="47" spans="1:54" x14ac:dyDescent="0.25">
      <c r="A47" s="2">
        <v>37925</v>
      </c>
      <c r="B47" t="str">
        <f>IF(ISNUMBER(INDEX(Haver_Q!$B$1:$BD$1000,MATCH(data!$A47,Haver_Q!$B$1:$B$1000,0),MATCH(data!B$1,Haver_Q!$B$1:$BD$1,0))),100*INDEX(Haver_Q!$B$1:$BD$1000,MATCH(data!$A47,Haver_Q!$B$1:$B$1000,0),MATCH(data!B$1,Haver_Q!$B$1:$BD$1,0)),"na")</f>
        <v>na</v>
      </c>
      <c r="C47" t="str">
        <f>IF(ISNUMBER(INDEX(Haver_Q!$B$1:$BD$1000,MATCH(data!$A47,Haver_Q!$B$1:$B$1000,0),MATCH(data!C$1,Haver_Q!$B$1:$BD$1,0))),100*INDEX(Haver_Q!$B$1:$BD$1000,MATCH(data!$A47,Haver_Q!$B$1:$B$1000,0),MATCH(data!C$1,Haver_Q!$B$1:$BD$1,0)),"na")</f>
        <v>na</v>
      </c>
      <c r="D47" t="str">
        <f>IF(ISNUMBER(INDEX(Haver_Q!$B$1:$BD$1000,MATCH(data!$A47,Haver_Q!$B$1:$B$1000,0),MATCH(data!D$1,Haver_Q!$B$1:$BD$1,0))),100*INDEX(Haver_Q!$B$1:$BD$1000,MATCH(data!$A47,Haver_Q!$B$1:$B$1000,0),MATCH(data!D$1,Haver_Q!$B$1:$BD$1,0)),"na")</f>
        <v>na</v>
      </c>
      <c r="E47" t="str">
        <f>IF(ISNUMBER(INDEX(Haver_Q!$B$1:$BD$1000,MATCH(data!$A47,Haver_Q!$B$1:$B$1000,0),MATCH(data!E$1,Haver_Q!$B$1:$BD$1,0))),100*INDEX(Haver_Q!$B$1:$BD$1000,MATCH(data!$A47,Haver_Q!$B$1:$B$1000,0),MATCH(data!E$1,Haver_Q!$B$1:$BD$1,0)),"na")</f>
        <v>na</v>
      </c>
      <c r="F47" t="str">
        <f>IF(ISNUMBER(INDEX(Haver_Q!$B$1:$BD$1000,MATCH(data!$A47,Haver_Q!$B$1:$B$1000,0),MATCH(data!F$1,Haver_Q!$B$1:$BD$1,0))),100*INDEX(Haver_Q!$B$1:$BD$1000,MATCH(data!$A47,Haver_Q!$B$1:$B$1000,0),MATCH(data!F$1,Haver_Q!$B$1:$BD$1,0)),"na")</f>
        <v>na</v>
      </c>
      <c r="G47" t="str">
        <f>IF(ISNUMBER(INDEX(Haver_Q!$B$1:$BD$1000,MATCH(data!$A47,Haver_Q!$B$1:$B$1000,0),MATCH(data!G$1,Haver_Q!$B$1:$BD$1,0))),100*INDEX(Haver_Q!$B$1:$BD$1000,MATCH(data!$A47,Haver_Q!$B$1:$B$1000,0),MATCH(data!G$1,Haver_Q!$B$1:$BD$1,0)),"na")</f>
        <v>na</v>
      </c>
      <c r="H47" t="str">
        <f>IF(ISNUMBER(INDEX(Haver_Q!$B$1:$BD$1000,MATCH(data!$A47,Haver_Q!$B$1:$B$1000,0),MATCH(data!H$1,Haver_Q!$B$1:$BD$1,0))),100*INDEX(Haver_Q!$B$1:$BD$1000,MATCH(data!$A47,Haver_Q!$B$1:$B$1000,0),MATCH(data!H$1,Haver_Q!$B$1:$BD$1,0)),"na")</f>
        <v>na</v>
      </c>
      <c r="I47" s="3">
        <f>IF(ISNUMBER(Bloomberg_m!C63),Bloomberg_m!C63,"na")</f>
        <v>4163</v>
      </c>
      <c r="J47" s="3" t="str">
        <f>IF(ISNUMBER(Bloomberg_m!D63),Bloomberg_m!D63,"na")</f>
        <v>na</v>
      </c>
      <c r="K47" s="3" t="str">
        <f>IF(ISNUMBER(Bloomberg_m!E63),Bloomberg_m!E63,"na")</f>
        <v>na</v>
      </c>
      <c r="L47" s="3">
        <f>IF(ISNUMBER(Bloomberg_m!L63),Bloomberg_m!L63,"na")</f>
        <v>30.32</v>
      </c>
      <c r="M47" t="str">
        <f>IF(ISNUMBER(INDEX(Haver_M!$B$1:$ZN$1000,MATCH(data!$A47,Haver_M!$B$1:$B$1000,0),MATCH(data!M$1,Haver_M!$B$1:$ZN$1,0))),INDEX(Haver_M!$B$1:$ZN$1000,MATCH(data!$A47,Haver_M!$B$1:$B$1000,0),MATCH(data!M$1,Haver_M!$B$1:$ZN$1,0)),"na")</f>
        <v>na</v>
      </c>
      <c r="N47" t="str">
        <f>IF(ISNUMBER(INDEX(Haver_M!$B$1:$ZN$1000,MATCH(data!$A47,Haver_M!$B$1:$B$1000,0),MATCH(data!N$1,Haver_M!$B$1:$ZN$1,0))),INDEX(Haver_M!$B$1:$ZN$1000,MATCH(data!$A47,Haver_M!$B$1:$B$1000,0),MATCH(data!N$1,Haver_M!$B$1:$ZN$1,0)),"na")</f>
        <v>na</v>
      </c>
      <c r="O47">
        <f>IF(ISNUMBER(INDEX(Haver_M!$B$1:$ZN$1000,MATCH(data!$A47,Haver_M!$B$1:$B$1000,0),MATCH(data!O$1,Haver_M!$B$1:$ZN$1,0))),INDEX(Haver_M!$B$1:$ZN$1000,MATCH(data!$A47,Haver_M!$B$1:$B$1000,0),MATCH(data!O$1,Haver_M!$B$1:$ZN$1,0)),"na")</f>
        <v>107.64431</v>
      </c>
      <c r="P47">
        <f>IF(ISNUMBER(INDEX(Haver_M!$B$1:$ZN$1000,MATCH(data!$A47,Haver_M!$B$1:$B$1000,0),MATCH(data!P$1,Haver_M!$B$1:$ZN$1,0))),INDEX(Haver_M!$B$1:$ZN$1000,MATCH(data!$A47,Haver_M!$B$1:$B$1000,0),MATCH(data!P$1,Haver_M!$B$1:$ZN$1,0)),"na")</f>
        <v>54.8553</v>
      </c>
      <c r="Q47">
        <f>IF(ISNUMBER(INDEX(Haver_M!$B$1:$ZN$1000,MATCH(data!$A47,Haver_M!$B$1:$B$1000,0),MATCH(data!Q$1,Haver_M!$B$1:$ZN$1,0))),INDEX(Haver_M!$B$1:$ZN$1000,MATCH(data!$A47,Haver_M!$B$1:$B$1000,0),MATCH(data!Q$1,Haver_M!$B$1:$ZN$1,0)),"na")</f>
        <v>59.101799999999997</v>
      </c>
      <c r="R47">
        <f>IF(ISNUMBER(INDEX(Haver_M!$B$1:$ZN$1000,MATCH(data!$A47,Haver_M!$B$1:$B$1000,0),MATCH(data!R$1,Haver_M!$B$1:$ZN$1,0))),INDEX(Haver_M!$B$1:$ZN$1000,MATCH(data!$A47,Haver_M!$B$1:$B$1000,0),MATCH(data!R$1,Haver_M!$B$1:$ZN$1,0)),"na")</f>
        <v>89.039199999999994</v>
      </c>
      <c r="S47">
        <f>IF(ISNUMBER(INDEX(Haver_M!$B$1:$ZN$1000,MATCH(data!$A47,Haver_M!$B$1:$B$1000,0),MATCH(data!S$1,Haver_M!$B$1:$ZN$1,0))),INDEX(Haver_M!$B$1:$ZN$1000,MATCH(data!$A47,Haver_M!$B$1:$B$1000,0),MATCH(data!S$1,Haver_M!$B$1:$ZN$1,0)),"na")</f>
        <v>114.1703</v>
      </c>
      <c r="T47">
        <f>IF(ISNUMBER(INDEX(Haver_M!$B$1:$ZN$1000,MATCH(data!$A47,Haver_M!$B$1:$B$1000,0),MATCH(data!T$1,Haver_M!$B$1:$ZN$1,0))),INDEX(Haver_M!$B$1:$ZN$1000,MATCH(data!$A47,Haver_M!$B$1:$B$1000,0),MATCH(data!T$1,Haver_M!$B$1:$ZN$1,0)),"na")</f>
        <v>60.474699999999999</v>
      </c>
      <c r="U47">
        <f>IF(ISNUMBER(INDEX(Haver_M!$B$1:$ZN$1000,MATCH(data!$A47,Haver_M!$B$1:$B$1000,0),MATCH(data!U$1,Haver_M!$B$1:$ZN$1,0))),INDEX(Haver_M!$B$1:$ZN$1000,MATCH(data!$A47,Haver_M!$B$1:$B$1000,0),MATCH(data!U$1,Haver_M!$B$1:$ZN$1,0)),"na")</f>
        <v>78.535300000000007</v>
      </c>
      <c r="V47">
        <f>IF(ISNUMBER(INDEX(Haver_M!$B$1:$ZN$1000,MATCH(data!$A47,Haver_M!$B$1:$B$1000,0),MATCH(data!V$1,Haver_M!$B$1:$ZN$1,0))),INDEX(Haver_M!$B$1:$ZN$1000,MATCH(data!$A47,Haver_M!$B$1:$B$1000,0),MATCH(data!V$1,Haver_M!$B$1:$ZN$1,0)),"na")</f>
        <v>86.620400000000004</v>
      </c>
      <c r="W47">
        <f>IF(ISNUMBER(INDEX(Haver_M!$B$1:$ZN$1000,MATCH(data!$A47,Haver_M!$B$1:$B$1000,0),MATCH(data!W$1,Haver_M!$B$1:$ZN$1,0))),INDEX(Haver_M!$B$1:$ZN$1000,MATCH(data!$A47,Haver_M!$B$1:$B$1000,0),MATCH(data!W$1,Haver_M!$B$1:$ZN$1,0)),"na")</f>
        <v>3.82</v>
      </c>
      <c r="X47" t="str">
        <f>IF(ISNUMBER(INDEX(Haver_M!$B$1:$ZN$1000,MATCH(data!$A47,Haver_M!$B$1:$B$1000,0),MATCH(data!X$1,Haver_M!$B$1:$ZN$1,0))),INDEX(Haver_M!$B$1:$ZN$1000,MATCH(data!$A47,Haver_M!$B$1:$B$1000,0),MATCH(data!X$1,Haver_M!$B$1:$ZN$1,0)),"na")</f>
        <v>na</v>
      </c>
      <c r="Y47">
        <f>IF(ISNUMBER(INDEX(Haver_M!$B$1:$ZN$1000,MATCH(data!$A47,Haver_M!$B$1:$B$1000,0),MATCH(data!Y$1,Haver_M!$B$1:$ZN$1,0))),INDEX(Haver_M!$B$1:$ZN$1000,MATCH(data!$A47,Haver_M!$B$1:$B$1000,0),MATCH(data!Y$1,Haver_M!$B$1:$ZN$1,0)),"na")</f>
        <v>99.84</v>
      </c>
      <c r="Z47">
        <f>IF(ISNUMBER(INDEX(Haver_M!$B$1:$ZN$1000,MATCH(data!$A47,Haver_M!$B$1:$B$1000,0),MATCH(data!Z$1,Haver_M!$B$1:$ZN$1,0))),INDEX(Haver_M!$B$1:$ZN$1000,MATCH(data!$A47,Haver_M!$B$1:$B$1000,0),MATCH(data!Z$1,Haver_M!$B$1:$ZN$1,0)),"na")</f>
        <v>82.966099999999997</v>
      </c>
      <c r="AA47" t="str">
        <f>IF(ISNUMBER(INDEX(Haver_M!$B$1:$ZN$1000,MATCH(data!$A47,Haver_M!$B$1:$B$1000,0),MATCH(data!AA$1,Haver_M!$B$1:$ZN$1,0))),INDEX(Haver_M!$B$1:$ZN$1000,MATCH(data!$A47,Haver_M!$B$1:$B$1000,0),MATCH(data!AA$1,Haver_M!$B$1:$ZN$1,0)),"na")</f>
        <v>na</v>
      </c>
      <c r="AB47">
        <f>IF(ISNUMBER(INDEX(Haver_M!$B$1:$ZN$1000,MATCH(data!$A47,Haver_M!$B$1:$B$1000,0),MATCH(data!AB$1,Haver_M!$B$1:$ZN$1,0))),INDEX(Haver_M!$B$1:$ZN$1000,MATCH(data!$A47,Haver_M!$B$1:$B$1000,0),MATCH(data!AB$1,Haver_M!$B$1:$ZN$1,0)),"na")</f>
        <v>14050.7</v>
      </c>
      <c r="AC47">
        <f>IF(ISNUMBER(INDEX(Haver_M!$B$1:$ZN$1000,MATCH(data!$A47,Haver_M!$B$1:$B$1000,0),MATCH(data!AC$1,Haver_M!$B$1:$ZN$1,0))),INDEX(Haver_M!$B$1:$ZN$1000,MATCH(data!$A47,Haver_M!$B$1:$B$1000,0),MATCH(data!AC$1,Haver_M!$B$1:$ZN$1,0)),"na")</f>
        <v>14413.9</v>
      </c>
      <c r="AD47">
        <f>IF(ISNUMBER(INDEX(Haver_M!$B$1:$ZN$1000,MATCH(data!$A47,Haver_M!$B$1:$B$1000,0),MATCH(data!AD$1,Haver_M!$B$1:$ZN$1,0))),INDEX(Haver_M!$B$1:$ZN$1000,MATCH(data!$A47,Haver_M!$B$1:$B$1000,0),MATCH(data!AD$1,Haver_M!$B$1:$ZN$1,0)),"na")</f>
        <v>98.49</v>
      </c>
      <c r="AE47">
        <f>IF(ISNUMBER(INDEX(Haver_M!$B$1:$ZN$1000,MATCH(data!$A47,Haver_M!$B$1:$B$1000,0),MATCH(data!AE$1,Haver_M!$B$1:$ZN$1,0))),INDEX(Haver_M!$B$1:$ZN$1000,MATCH(data!$A47,Haver_M!$B$1:$B$1000,0),MATCH(data!AE$1,Haver_M!$B$1:$ZN$1,0)),"na")</f>
        <v>40.6</v>
      </c>
      <c r="AF47" t="str">
        <f>IF(ISNUMBER(INDEX(Haver_M!$B$1:$ZN$1000,MATCH(data!$A47,Haver_M!$B$1:$B$1000,0),MATCH(data!AF$1,Haver_M!$B$1:$ZN$1,0))),INDEX(Haver_M!$B$1:$ZN$1000,MATCH(data!$A47,Haver_M!$B$1:$B$1000,0),MATCH(data!AF$1,Haver_M!$B$1:$ZN$1,0)),"na")</f>
        <v>na</v>
      </c>
      <c r="AG47" t="str">
        <f>IF(ISNUMBER(INDEX(Haver_M!$B$1:$ZN$1000,MATCH(data!$A47,Haver_M!$B$1:$B$1000,0),MATCH(data!AG$1,Haver_M!$B$1:$ZN$1,0))),INDEX(Haver_M!$B$1:$ZN$1000,MATCH(data!$A47,Haver_M!$B$1:$B$1000,0),MATCH(data!AG$1,Haver_M!$B$1:$ZN$1,0)),"na")</f>
        <v>na</v>
      </c>
      <c r="AH47" t="str">
        <f>IF(ISNUMBER(INDEX(Haver_M!$B$1:$ZN$1000,MATCH(data!$A47,Haver_M!$B$1:$B$1000,0),MATCH(data!AH$1,Haver_M!$B$1:$ZN$1,0))),INDEX(Haver_M!$B$1:$ZN$1000,MATCH(data!$A47,Haver_M!$B$1:$B$1000,0),MATCH(data!AH$1,Haver_M!$B$1:$ZN$1,0)),"na")</f>
        <v>na</v>
      </c>
      <c r="AI47" t="str">
        <f>IF(ISNUMBER(INDEX(Haver_M!$B$1:$ZN$1000,MATCH(data!$A47,Haver_M!$B$1:$B$1000,0),MATCH(data!AI$1,Haver_M!$B$1:$ZN$1,0))),INDEX(Haver_M!$B$1:$ZN$1000,MATCH(data!$A47,Haver_M!$B$1:$B$1000,0),MATCH(data!AI$1,Haver_M!$B$1:$ZN$1,0)),"na")</f>
        <v>na</v>
      </c>
      <c r="AJ47" t="str">
        <f>IF(ISNUMBER(INDEX(Haver_M!$B$1:$ZN$1000,MATCH(data!$A47,Haver_M!$B$1:$B$1000,0),MATCH(data!AJ$1,Haver_M!$B$1:$ZN$1,0))),INDEX(Haver_M!$B$1:$ZN$1000,MATCH(data!$A47,Haver_M!$B$1:$B$1000,0),MATCH(data!AJ$1,Haver_M!$B$1:$ZN$1,0)),"na")</f>
        <v>na</v>
      </c>
      <c r="AK47" t="str">
        <f>IF(ISNUMBER(INDEX(Haver_M!$B$1:$ZN$1000,MATCH(data!$A47,Haver_M!$B$1:$B$1000,0),MATCH(data!AK$1,Haver_M!$B$1:$ZN$1,0))),INDEX(Haver_M!$B$1:$ZN$1000,MATCH(data!$A47,Haver_M!$B$1:$B$1000,0),MATCH(data!AK$1,Haver_M!$B$1:$ZN$1,0)),"na")</f>
        <v>na</v>
      </c>
      <c r="AL47" t="str">
        <f>IF(ISNUMBER(INDEX(Haver_M!$B$1:$ZN$1000,MATCH(data!$A47,Haver_M!$B$1:$B$1000,0),MATCH(data!AL$1,Haver_M!$B$1:$ZN$1,0))),INDEX(Haver_M!$B$1:$ZN$1000,MATCH(data!$A47,Haver_M!$B$1:$B$1000,0),MATCH(data!AL$1,Haver_M!$B$1:$ZN$1,0)),"na")</f>
        <v>na</v>
      </c>
      <c r="AM47" t="str">
        <f>IF(ISNUMBER(INDEX(Haver_M!$B$1:$ZN$1000,MATCH(data!$A47,Haver_M!$B$1:$B$1000,0),MATCH(data!AM$1,Haver_M!$B$1:$ZN$1,0))),INDEX(Haver_M!$B$1:$ZN$1000,MATCH(data!$A47,Haver_M!$B$1:$B$1000,0),MATCH(data!AM$1,Haver_M!$B$1:$ZN$1,0)),"na")</f>
        <v>na</v>
      </c>
      <c r="AN47" t="str">
        <f>IF(ISNUMBER(INDEX(Haver_M!$B$1:$ZN$1000,MATCH(data!$A47,Haver_M!$B$1:$B$1000,0),MATCH(data!AN$1,Haver_M!$B$1:$ZN$1,0))),INDEX(Haver_M!$B$1:$ZN$1000,MATCH(data!$A47,Haver_M!$B$1:$B$1000,0),MATCH(data!AN$1,Haver_M!$B$1:$ZN$1,0)),"na")</f>
        <v>na</v>
      </c>
      <c r="AO47" t="str">
        <f>IF(ISNUMBER(INDEX(Haver_M!$B$1:$ZN$1000,MATCH(data!$A47,Haver_M!$B$1:$B$1000,0),MATCH(data!AO$1,Haver_M!$B$1:$ZN$1,0))),INDEX(Haver_M!$B$1:$ZN$1000,MATCH(data!$A47,Haver_M!$B$1:$B$1000,0),MATCH(data!AO$1,Haver_M!$B$1:$ZN$1,0)),"na")</f>
        <v>na</v>
      </c>
      <c r="AP47" t="str">
        <f>IF(ISNUMBER(INDEX(Haver_M!$B$1:$ZN$1000,MATCH(data!$A47,Haver_M!$B$1:$B$1000,0),MATCH(data!AP$1,Haver_M!$B$1:$ZN$1,0))),INDEX(Haver_M!$B$1:$ZN$1000,MATCH(data!$A47,Haver_M!$B$1:$B$1000,0),MATCH(data!AP$1,Haver_M!$B$1:$ZN$1,0)),"na")</f>
        <v>na</v>
      </c>
      <c r="AQ47" t="str">
        <f>IF(ISNUMBER(INDEX(Haver_M!$B$1:$ZN$1000,MATCH(data!$A47,Haver_M!$B$1:$B$1000,0),MATCH(data!AQ$1,Haver_M!$B$1:$ZN$1,0))),INDEX(Haver_M!$B$1:$ZN$1000,MATCH(data!$A47,Haver_M!$B$1:$B$1000,0),MATCH(data!AQ$1,Haver_M!$B$1:$ZN$1,0)),"na")</f>
        <v>na</v>
      </c>
      <c r="AR47" t="str">
        <f>IF(ISNUMBER(INDEX(Haver_M!$B$1:$ZN$1000,MATCH(data!$A47,Haver_M!$B$1:$B$1000,0),MATCH(data!AR$1,Haver_M!$B$1:$ZN$1,0))),INDEX(Haver_M!$B$1:$ZN$1000,MATCH(data!$A47,Haver_M!$B$1:$B$1000,0),MATCH(data!AR$1,Haver_M!$B$1:$ZN$1,0)),"na")</f>
        <v>na</v>
      </c>
      <c r="AS47">
        <f>IF(ISNUMBER(INDEX(Haver_M!$B$1:$ZN$1000,MATCH(data!$A47,Haver_M!$B$1:$B$1000,0),MATCH(data!AS$1,Haver_M!$B$1:$ZN$1,0))),INDEX(Haver_M!$B$1:$ZN$1000,MATCH(data!$A47,Haver_M!$B$1:$B$1000,0),MATCH(data!AS$1,Haver_M!$B$1:$ZN$1,0)),"na")</f>
        <v>7894.36</v>
      </c>
      <c r="AT47">
        <f>IF(ISNUMBER(INDEX(Haver_M!$B$1:$ZN$1000,MATCH(data!$A47,Haver_M!$B$1:$B$1000,0),MATCH(data!AT$1,Haver_M!$B$1:$ZN$1,0))),INDEX(Haver_M!$B$1:$ZN$1000,MATCH(data!$A47,Haver_M!$B$1:$B$1000,0),MATCH(data!AT$1,Haver_M!$B$1:$ZN$1,0)),"na")</f>
        <v>83.174999999999997</v>
      </c>
      <c r="AU47">
        <f>IF(ISNUMBER(INDEX(Haver_M!$B$1:$ZN$1000,MATCH(data!$A47,Haver_M!$B$1:$B$1000,0),MATCH(data!AU$1,Haver_M!$B$1:$ZN$1,0))),INDEX(Haver_M!$B$1:$ZN$1000,MATCH(data!$A47,Haver_M!$B$1:$B$1000,0),MATCH(data!AU$1,Haver_M!$B$1:$ZN$1,0)),"na")</f>
        <v>80.495333000000002</v>
      </c>
      <c r="AV47">
        <f>IF(ISNUMBER(INDEX(Haver_M!$B$1:$ZN$1000,MATCH(data!$A47,Haver_M!$B$1:$B$1000,0),MATCH(data!AV$1,Haver_M!$B$1:$ZN$1,0))),INDEX(Haver_M!$B$1:$ZN$1000,MATCH(data!$A47,Haver_M!$B$1:$B$1000,0),MATCH(data!AV$1,Haver_M!$B$1:$ZN$1,0)),"na")</f>
        <v>69.8</v>
      </c>
      <c r="AW47">
        <f>IF(ISNUMBER(INDEX(Haver_M!$B$1:$ZN$1000,MATCH(data!$A47,Haver_M!$B$1:$B$1000,0),MATCH(data!AW$1,Haver_M!$B$1:$ZN$1,0))),INDEX(Haver_M!$B$1:$ZN$1000,MATCH(data!$A47,Haver_M!$B$1:$B$1000,0),MATCH(data!AW$1,Haver_M!$B$1:$ZN$1,0)),"na")</f>
        <v>795628.0933679872</v>
      </c>
      <c r="AX47">
        <f>IF(ISNUMBER(INDEX(Haver_M!$B$1:$ZN$1000,MATCH(data!$A47,Haver_M!$B$1:$B$1000,0),MATCH(data!AX$1,Haver_M!$B$1:$ZN$1,0))),INDEX(Haver_M!$B$1:$ZN$1000,MATCH(data!$A47,Haver_M!$B$1:$B$1000,0),MATCH(data!AX$1,Haver_M!$B$1:$ZN$1,0)),"na")</f>
        <v>3494</v>
      </c>
      <c r="AY47">
        <f>IF(ISNUMBER(INDEX(Haver_M!$B$1:$ZN$1000,MATCH(data!$A47,Haver_M!$B$1:$B$1000,0),MATCH(data!AY$1,Haver_M!$B$1:$ZN$1,0))),INDEX(Haver_M!$B$1:$ZN$1000,MATCH(data!$A47,Haver_M!$B$1:$B$1000,0),MATCH(data!AY$1,Haver_M!$B$1:$ZN$1,0)),"na")</f>
        <v>1829</v>
      </c>
      <c r="AZ47" t="str">
        <f>IF(ISNUMBER(INDEX(Haver_M!$B$1:$ZN$1000,MATCH(data!$A47,Haver_M!$B$1:$B$1000,0),MATCH(data!AZ$1,Haver_M!$B$1:$ZN$1,0))),INDEX(Haver_M!$B$1:$ZN$1000,MATCH(data!$A47,Haver_M!$B$1:$B$1000,0),MATCH(data!AZ$1,Haver_M!$B$1:$ZN$1,0)),"na")</f>
        <v>na</v>
      </c>
      <c r="BA47">
        <f>IF(ISNUMBER(INDEX(Haver_M!$B$1:$ZN$1000,MATCH(data!$A47,Haver_M!$B$1:$B$1000,0),MATCH(data!BA$1,Haver_M!$B$1:$ZN$1,0))),INDEX(Haver_M!$B$1:$ZN$1000,MATCH(data!$A47,Haver_M!$B$1:$B$1000,0),MATCH(data!BA$1,Haver_M!$B$1:$ZN$1,0)),"na")</f>
        <v>67.640740795828293</v>
      </c>
      <c r="BB47" t="str">
        <f>IF(ISNUMBER(INDEX(Haver_M!$B$1:$ZN$1000,MATCH(data!$A47,Haver_M!$B$1:$B$1000,0),MATCH(data!BB$1,Haver_M!$B$1:$ZN$1,0))),INDEX(Haver_M!$B$1:$ZN$1000,MATCH(data!$A47,Haver_M!$B$1:$B$1000,0),MATCH(data!BB$1,Haver_M!$B$1:$ZN$1,0)),"")</f>
        <v/>
      </c>
    </row>
    <row r="48" spans="1:54" x14ac:dyDescent="0.25">
      <c r="A48" s="2">
        <v>37955</v>
      </c>
      <c r="B48" t="str">
        <f>IF(ISNUMBER(INDEX(Haver_Q!$B$1:$BD$1000,MATCH(data!$A48,Haver_Q!$B$1:$B$1000,0),MATCH(data!B$1,Haver_Q!$B$1:$BD$1,0))),100*INDEX(Haver_Q!$B$1:$BD$1000,MATCH(data!$A48,Haver_Q!$B$1:$B$1000,0),MATCH(data!B$1,Haver_Q!$B$1:$BD$1,0)),"na")</f>
        <v>na</v>
      </c>
      <c r="C48" t="str">
        <f>IF(ISNUMBER(INDEX(Haver_Q!$B$1:$BD$1000,MATCH(data!$A48,Haver_Q!$B$1:$B$1000,0),MATCH(data!C$1,Haver_Q!$B$1:$BD$1,0))),100*INDEX(Haver_Q!$B$1:$BD$1000,MATCH(data!$A48,Haver_Q!$B$1:$B$1000,0),MATCH(data!C$1,Haver_Q!$B$1:$BD$1,0)),"na")</f>
        <v>na</v>
      </c>
      <c r="D48" t="str">
        <f>IF(ISNUMBER(INDEX(Haver_Q!$B$1:$BD$1000,MATCH(data!$A48,Haver_Q!$B$1:$B$1000,0),MATCH(data!D$1,Haver_Q!$B$1:$BD$1,0))),100*INDEX(Haver_Q!$B$1:$BD$1000,MATCH(data!$A48,Haver_Q!$B$1:$B$1000,0),MATCH(data!D$1,Haver_Q!$B$1:$BD$1,0)),"na")</f>
        <v>na</v>
      </c>
      <c r="E48" t="str">
        <f>IF(ISNUMBER(INDEX(Haver_Q!$B$1:$BD$1000,MATCH(data!$A48,Haver_Q!$B$1:$B$1000,0),MATCH(data!E$1,Haver_Q!$B$1:$BD$1,0))),100*INDEX(Haver_Q!$B$1:$BD$1000,MATCH(data!$A48,Haver_Q!$B$1:$B$1000,0),MATCH(data!E$1,Haver_Q!$B$1:$BD$1,0)),"na")</f>
        <v>na</v>
      </c>
      <c r="F48" t="str">
        <f>IF(ISNUMBER(INDEX(Haver_Q!$B$1:$BD$1000,MATCH(data!$A48,Haver_Q!$B$1:$B$1000,0),MATCH(data!F$1,Haver_Q!$B$1:$BD$1,0))),100*INDEX(Haver_Q!$B$1:$BD$1000,MATCH(data!$A48,Haver_Q!$B$1:$B$1000,0),MATCH(data!F$1,Haver_Q!$B$1:$BD$1,0)),"na")</f>
        <v>na</v>
      </c>
      <c r="G48" t="str">
        <f>IF(ISNUMBER(INDEX(Haver_Q!$B$1:$BD$1000,MATCH(data!$A48,Haver_Q!$B$1:$B$1000,0),MATCH(data!G$1,Haver_Q!$B$1:$BD$1,0))),100*INDEX(Haver_Q!$B$1:$BD$1000,MATCH(data!$A48,Haver_Q!$B$1:$B$1000,0),MATCH(data!G$1,Haver_Q!$B$1:$BD$1,0)),"na")</f>
        <v>na</v>
      </c>
      <c r="H48" t="str">
        <f>IF(ISNUMBER(INDEX(Haver_Q!$B$1:$BD$1000,MATCH(data!$A48,Haver_Q!$B$1:$B$1000,0),MATCH(data!H$1,Haver_Q!$B$1:$BD$1,0))),100*INDEX(Haver_Q!$B$1:$BD$1000,MATCH(data!$A48,Haver_Q!$B$1:$B$1000,0),MATCH(data!H$1,Haver_Q!$B$1:$BD$1,0)),"na")</f>
        <v>na</v>
      </c>
      <c r="I48" s="3">
        <f>IF(ISNUMBER(Bloomberg_m!C64),Bloomberg_m!C64,"na")</f>
        <v>4250</v>
      </c>
      <c r="J48" s="3" t="str">
        <f>IF(ISNUMBER(Bloomberg_m!D64),Bloomberg_m!D64,"na")</f>
        <v>na</v>
      </c>
      <c r="K48" s="3" t="str">
        <f>IF(ISNUMBER(Bloomberg_m!E64),Bloomberg_m!E64,"na")</f>
        <v>na</v>
      </c>
      <c r="L48" s="3">
        <f>IF(ISNUMBER(Bloomberg_m!L64),Bloomberg_m!L64,"na")</f>
        <v>31.09</v>
      </c>
      <c r="M48" t="str">
        <f>IF(ISNUMBER(INDEX(Haver_M!$B$1:$ZN$1000,MATCH(data!$A48,Haver_M!$B$1:$B$1000,0),MATCH(data!M$1,Haver_M!$B$1:$ZN$1,0))),INDEX(Haver_M!$B$1:$ZN$1000,MATCH(data!$A48,Haver_M!$B$1:$B$1000,0),MATCH(data!M$1,Haver_M!$B$1:$ZN$1,0)),"na")</f>
        <v>na</v>
      </c>
      <c r="N48" t="str">
        <f>IF(ISNUMBER(INDEX(Haver_M!$B$1:$ZN$1000,MATCH(data!$A48,Haver_M!$B$1:$B$1000,0),MATCH(data!N$1,Haver_M!$B$1:$ZN$1,0))),INDEX(Haver_M!$B$1:$ZN$1000,MATCH(data!$A48,Haver_M!$B$1:$B$1000,0),MATCH(data!N$1,Haver_M!$B$1:$ZN$1,0)),"na")</f>
        <v>na</v>
      </c>
      <c r="O48">
        <f>IF(ISNUMBER(INDEX(Haver_M!$B$1:$ZN$1000,MATCH(data!$A48,Haver_M!$B$1:$B$1000,0),MATCH(data!O$1,Haver_M!$B$1:$ZN$1,0))),INDEX(Haver_M!$B$1:$ZN$1000,MATCH(data!$A48,Haver_M!$B$1:$B$1000,0),MATCH(data!O$1,Haver_M!$B$1:$ZN$1,0)),"na")</f>
        <v>108.71679</v>
      </c>
      <c r="P48">
        <f>IF(ISNUMBER(INDEX(Haver_M!$B$1:$ZN$1000,MATCH(data!$A48,Haver_M!$B$1:$B$1000,0),MATCH(data!P$1,Haver_M!$B$1:$ZN$1,0))),INDEX(Haver_M!$B$1:$ZN$1000,MATCH(data!$A48,Haver_M!$B$1:$B$1000,0),MATCH(data!P$1,Haver_M!$B$1:$ZN$1,0)),"na")</f>
        <v>55.075400000000002</v>
      </c>
      <c r="Q48">
        <f>IF(ISNUMBER(INDEX(Haver_M!$B$1:$ZN$1000,MATCH(data!$A48,Haver_M!$B$1:$B$1000,0),MATCH(data!Q$1,Haver_M!$B$1:$ZN$1,0))),INDEX(Haver_M!$B$1:$ZN$1000,MATCH(data!$A48,Haver_M!$B$1:$B$1000,0),MATCH(data!Q$1,Haver_M!$B$1:$ZN$1,0)),"na")</f>
        <v>59.2911</v>
      </c>
      <c r="R48">
        <f>IF(ISNUMBER(INDEX(Haver_M!$B$1:$ZN$1000,MATCH(data!$A48,Haver_M!$B$1:$B$1000,0),MATCH(data!R$1,Haver_M!$B$1:$ZN$1,0))),INDEX(Haver_M!$B$1:$ZN$1000,MATCH(data!$A48,Haver_M!$B$1:$B$1000,0),MATCH(data!R$1,Haver_M!$B$1:$ZN$1,0)),"na")</f>
        <v>89.132300000000001</v>
      </c>
      <c r="S48">
        <f>IF(ISNUMBER(INDEX(Haver_M!$B$1:$ZN$1000,MATCH(data!$A48,Haver_M!$B$1:$B$1000,0),MATCH(data!S$1,Haver_M!$B$1:$ZN$1,0))),INDEX(Haver_M!$B$1:$ZN$1000,MATCH(data!$A48,Haver_M!$B$1:$B$1000,0),MATCH(data!S$1,Haver_M!$B$1:$ZN$1,0)),"na")</f>
        <v>113.5977</v>
      </c>
      <c r="T48">
        <f>IF(ISNUMBER(INDEX(Haver_M!$B$1:$ZN$1000,MATCH(data!$A48,Haver_M!$B$1:$B$1000,0),MATCH(data!T$1,Haver_M!$B$1:$ZN$1,0))),INDEX(Haver_M!$B$1:$ZN$1000,MATCH(data!$A48,Haver_M!$B$1:$B$1000,0),MATCH(data!T$1,Haver_M!$B$1:$ZN$1,0)),"na")</f>
        <v>61.6999</v>
      </c>
      <c r="U48">
        <f>IF(ISNUMBER(INDEX(Haver_M!$B$1:$ZN$1000,MATCH(data!$A48,Haver_M!$B$1:$B$1000,0),MATCH(data!U$1,Haver_M!$B$1:$ZN$1,0))),INDEX(Haver_M!$B$1:$ZN$1000,MATCH(data!$A48,Haver_M!$B$1:$B$1000,0),MATCH(data!U$1,Haver_M!$B$1:$ZN$1,0)),"na")</f>
        <v>75.415400000000005</v>
      </c>
      <c r="V48">
        <f>IF(ISNUMBER(INDEX(Haver_M!$B$1:$ZN$1000,MATCH(data!$A48,Haver_M!$B$1:$B$1000,0),MATCH(data!V$1,Haver_M!$B$1:$ZN$1,0))),INDEX(Haver_M!$B$1:$ZN$1000,MATCH(data!$A48,Haver_M!$B$1:$B$1000,0),MATCH(data!V$1,Haver_M!$B$1:$ZN$1,0)),"na")</f>
        <v>87.014899999999997</v>
      </c>
      <c r="W48">
        <f>IF(ISNUMBER(INDEX(Haver_M!$B$1:$ZN$1000,MATCH(data!$A48,Haver_M!$B$1:$B$1000,0),MATCH(data!W$1,Haver_M!$B$1:$ZN$1,0))),INDEX(Haver_M!$B$1:$ZN$1000,MATCH(data!$A48,Haver_M!$B$1:$B$1000,0),MATCH(data!W$1,Haver_M!$B$1:$ZN$1,0)),"na")</f>
        <v>3.94</v>
      </c>
      <c r="X48" t="str">
        <f>IF(ISNUMBER(INDEX(Haver_M!$B$1:$ZN$1000,MATCH(data!$A48,Haver_M!$B$1:$B$1000,0),MATCH(data!X$1,Haver_M!$B$1:$ZN$1,0))),INDEX(Haver_M!$B$1:$ZN$1000,MATCH(data!$A48,Haver_M!$B$1:$B$1000,0),MATCH(data!X$1,Haver_M!$B$1:$ZN$1,0)),"na")</f>
        <v>na</v>
      </c>
      <c r="Y48">
        <f>IF(ISNUMBER(INDEX(Haver_M!$B$1:$ZN$1000,MATCH(data!$A48,Haver_M!$B$1:$B$1000,0),MATCH(data!Y$1,Haver_M!$B$1:$ZN$1,0))),INDEX(Haver_M!$B$1:$ZN$1000,MATCH(data!$A48,Haver_M!$B$1:$B$1000,0),MATCH(data!Y$1,Haver_M!$B$1:$ZN$1,0)),"na")</f>
        <v>100</v>
      </c>
      <c r="Z48">
        <f>IF(ISNUMBER(INDEX(Haver_M!$B$1:$ZN$1000,MATCH(data!$A48,Haver_M!$B$1:$B$1000,0),MATCH(data!Z$1,Haver_M!$B$1:$ZN$1,0))),INDEX(Haver_M!$B$1:$ZN$1000,MATCH(data!$A48,Haver_M!$B$1:$B$1000,0),MATCH(data!Z$1,Haver_M!$B$1:$ZN$1,0)),"na")</f>
        <v>83.950699999999998</v>
      </c>
      <c r="AA48" t="str">
        <f>IF(ISNUMBER(INDEX(Haver_M!$B$1:$ZN$1000,MATCH(data!$A48,Haver_M!$B$1:$B$1000,0),MATCH(data!AA$1,Haver_M!$B$1:$ZN$1,0))),INDEX(Haver_M!$B$1:$ZN$1000,MATCH(data!$A48,Haver_M!$B$1:$B$1000,0),MATCH(data!AA$1,Haver_M!$B$1:$ZN$1,0)),"na")</f>
        <v>na</v>
      </c>
      <c r="AB48">
        <f>IF(ISNUMBER(INDEX(Haver_M!$B$1:$ZN$1000,MATCH(data!$A48,Haver_M!$B$1:$B$1000,0),MATCH(data!AB$1,Haver_M!$B$1:$ZN$1,0))),INDEX(Haver_M!$B$1:$ZN$1000,MATCH(data!$A48,Haver_M!$B$1:$B$1000,0),MATCH(data!AB$1,Haver_M!$B$1:$ZN$1,0)),"na")</f>
        <v>14309.2</v>
      </c>
      <c r="AC48">
        <f>IF(ISNUMBER(INDEX(Haver_M!$B$1:$ZN$1000,MATCH(data!$A48,Haver_M!$B$1:$B$1000,0),MATCH(data!AC$1,Haver_M!$B$1:$ZN$1,0))),INDEX(Haver_M!$B$1:$ZN$1000,MATCH(data!$A48,Haver_M!$B$1:$B$1000,0),MATCH(data!AC$1,Haver_M!$B$1:$ZN$1,0)),"na")</f>
        <v>14694.2</v>
      </c>
      <c r="AD48">
        <f>IF(ISNUMBER(INDEX(Haver_M!$B$1:$ZN$1000,MATCH(data!$A48,Haver_M!$B$1:$B$1000,0),MATCH(data!AD$1,Haver_M!$B$1:$ZN$1,0))),INDEX(Haver_M!$B$1:$ZN$1000,MATCH(data!$A48,Haver_M!$B$1:$B$1000,0),MATCH(data!AD$1,Haver_M!$B$1:$ZN$1,0)),"na")</f>
        <v>98.56</v>
      </c>
      <c r="AE48">
        <f>IF(ISNUMBER(INDEX(Haver_M!$B$1:$ZN$1000,MATCH(data!$A48,Haver_M!$B$1:$B$1000,0),MATCH(data!AE$1,Haver_M!$B$1:$ZN$1,0))),INDEX(Haver_M!$B$1:$ZN$1000,MATCH(data!$A48,Haver_M!$B$1:$B$1000,0),MATCH(data!AE$1,Haver_M!$B$1:$ZN$1,0)),"na")</f>
        <v>40.299999999999997</v>
      </c>
      <c r="AF48" t="str">
        <f>IF(ISNUMBER(INDEX(Haver_M!$B$1:$ZN$1000,MATCH(data!$A48,Haver_M!$B$1:$B$1000,0),MATCH(data!AF$1,Haver_M!$B$1:$ZN$1,0))),INDEX(Haver_M!$B$1:$ZN$1000,MATCH(data!$A48,Haver_M!$B$1:$B$1000,0),MATCH(data!AF$1,Haver_M!$B$1:$ZN$1,0)),"na")</f>
        <v>na</v>
      </c>
      <c r="AG48" t="str">
        <f>IF(ISNUMBER(INDEX(Haver_M!$B$1:$ZN$1000,MATCH(data!$A48,Haver_M!$B$1:$B$1000,0),MATCH(data!AG$1,Haver_M!$B$1:$ZN$1,0))),INDEX(Haver_M!$B$1:$ZN$1000,MATCH(data!$A48,Haver_M!$B$1:$B$1000,0),MATCH(data!AG$1,Haver_M!$B$1:$ZN$1,0)),"na")</f>
        <v>na</v>
      </c>
      <c r="AH48" t="str">
        <f>IF(ISNUMBER(INDEX(Haver_M!$B$1:$ZN$1000,MATCH(data!$A48,Haver_M!$B$1:$B$1000,0),MATCH(data!AH$1,Haver_M!$B$1:$ZN$1,0))),INDEX(Haver_M!$B$1:$ZN$1000,MATCH(data!$A48,Haver_M!$B$1:$B$1000,0),MATCH(data!AH$1,Haver_M!$B$1:$ZN$1,0)),"na")</f>
        <v>na</v>
      </c>
      <c r="AI48" t="str">
        <f>IF(ISNUMBER(INDEX(Haver_M!$B$1:$ZN$1000,MATCH(data!$A48,Haver_M!$B$1:$B$1000,0),MATCH(data!AI$1,Haver_M!$B$1:$ZN$1,0))),INDEX(Haver_M!$B$1:$ZN$1000,MATCH(data!$A48,Haver_M!$B$1:$B$1000,0),MATCH(data!AI$1,Haver_M!$B$1:$ZN$1,0)),"na")</f>
        <v>na</v>
      </c>
      <c r="AJ48" t="str">
        <f>IF(ISNUMBER(INDEX(Haver_M!$B$1:$ZN$1000,MATCH(data!$A48,Haver_M!$B$1:$B$1000,0),MATCH(data!AJ$1,Haver_M!$B$1:$ZN$1,0))),INDEX(Haver_M!$B$1:$ZN$1000,MATCH(data!$A48,Haver_M!$B$1:$B$1000,0),MATCH(data!AJ$1,Haver_M!$B$1:$ZN$1,0)),"na")</f>
        <v>na</v>
      </c>
      <c r="AK48" t="str">
        <f>IF(ISNUMBER(INDEX(Haver_M!$B$1:$ZN$1000,MATCH(data!$A48,Haver_M!$B$1:$B$1000,0),MATCH(data!AK$1,Haver_M!$B$1:$ZN$1,0))),INDEX(Haver_M!$B$1:$ZN$1000,MATCH(data!$A48,Haver_M!$B$1:$B$1000,0),MATCH(data!AK$1,Haver_M!$B$1:$ZN$1,0)),"na")</f>
        <v>na</v>
      </c>
      <c r="AL48" t="str">
        <f>IF(ISNUMBER(INDEX(Haver_M!$B$1:$ZN$1000,MATCH(data!$A48,Haver_M!$B$1:$B$1000,0),MATCH(data!AL$1,Haver_M!$B$1:$ZN$1,0))),INDEX(Haver_M!$B$1:$ZN$1000,MATCH(data!$A48,Haver_M!$B$1:$B$1000,0),MATCH(data!AL$1,Haver_M!$B$1:$ZN$1,0)),"na")</f>
        <v>na</v>
      </c>
      <c r="AM48" t="str">
        <f>IF(ISNUMBER(INDEX(Haver_M!$B$1:$ZN$1000,MATCH(data!$A48,Haver_M!$B$1:$B$1000,0),MATCH(data!AM$1,Haver_M!$B$1:$ZN$1,0))),INDEX(Haver_M!$B$1:$ZN$1000,MATCH(data!$A48,Haver_M!$B$1:$B$1000,0),MATCH(data!AM$1,Haver_M!$B$1:$ZN$1,0)),"na")</f>
        <v>na</v>
      </c>
      <c r="AN48" t="str">
        <f>IF(ISNUMBER(INDEX(Haver_M!$B$1:$ZN$1000,MATCH(data!$A48,Haver_M!$B$1:$B$1000,0),MATCH(data!AN$1,Haver_M!$B$1:$ZN$1,0))),INDEX(Haver_M!$B$1:$ZN$1000,MATCH(data!$A48,Haver_M!$B$1:$B$1000,0),MATCH(data!AN$1,Haver_M!$B$1:$ZN$1,0)),"na")</f>
        <v>na</v>
      </c>
      <c r="AO48" t="str">
        <f>IF(ISNUMBER(INDEX(Haver_M!$B$1:$ZN$1000,MATCH(data!$A48,Haver_M!$B$1:$B$1000,0),MATCH(data!AO$1,Haver_M!$B$1:$ZN$1,0))),INDEX(Haver_M!$B$1:$ZN$1000,MATCH(data!$A48,Haver_M!$B$1:$B$1000,0),MATCH(data!AO$1,Haver_M!$B$1:$ZN$1,0)),"na")</f>
        <v>na</v>
      </c>
      <c r="AP48" t="str">
        <f>IF(ISNUMBER(INDEX(Haver_M!$B$1:$ZN$1000,MATCH(data!$A48,Haver_M!$B$1:$B$1000,0),MATCH(data!AP$1,Haver_M!$B$1:$ZN$1,0))),INDEX(Haver_M!$B$1:$ZN$1000,MATCH(data!$A48,Haver_M!$B$1:$B$1000,0),MATCH(data!AP$1,Haver_M!$B$1:$ZN$1,0)),"na")</f>
        <v>na</v>
      </c>
      <c r="AQ48" t="str">
        <f>IF(ISNUMBER(INDEX(Haver_M!$B$1:$ZN$1000,MATCH(data!$A48,Haver_M!$B$1:$B$1000,0),MATCH(data!AQ$1,Haver_M!$B$1:$ZN$1,0))),INDEX(Haver_M!$B$1:$ZN$1000,MATCH(data!$A48,Haver_M!$B$1:$B$1000,0),MATCH(data!AQ$1,Haver_M!$B$1:$ZN$1,0)),"na")</f>
        <v>na</v>
      </c>
      <c r="AR48" t="str">
        <f>IF(ISNUMBER(INDEX(Haver_M!$B$1:$ZN$1000,MATCH(data!$A48,Haver_M!$B$1:$B$1000,0),MATCH(data!AR$1,Haver_M!$B$1:$ZN$1,0))),INDEX(Haver_M!$B$1:$ZN$1000,MATCH(data!$A48,Haver_M!$B$1:$B$1000,0),MATCH(data!AR$1,Haver_M!$B$1:$ZN$1,0)),"na")</f>
        <v>na</v>
      </c>
      <c r="AS48">
        <f>IF(ISNUMBER(INDEX(Haver_M!$B$1:$ZN$1000,MATCH(data!$A48,Haver_M!$B$1:$B$1000,0),MATCH(data!AS$1,Haver_M!$B$1:$ZN$1,0))),INDEX(Haver_M!$B$1:$ZN$1000,MATCH(data!$A48,Haver_M!$B$1:$B$1000,0),MATCH(data!AS$1,Haver_M!$B$1:$ZN$1,0)),"na")</f>
        <v>8400.09</v>
      </c>
      <c r="AT48">
        <f>IF(ISNUMBER(INDEX(Haver_M!$B$1:$ZN$1000,MATCH(data!$A48,Haver_M!$B$1:$B$1000,0),MATCH(data!AT$1,Haver_M!$B$1:$ZN$1,0))),INDEX(Haver_M!$B$1:$ZN$1000,MATCH(data!$A48,Haver_M!$B$1:$B$1000,0),MATCH(data!AT$1,Haver_M!$B$1:$ZN$1,0)),"na")</f>
        <v>83.971999999999994</v>
      </c>
      <c r="AU48">
        <f>IF(ISNUMBER(INDEX(Haver_M!$B$1:$ZN$1000,MATCH(data!$A48,Haver_M!$B$1:$B$1000,0),MATCH(data!AU$1,Haver_M!$B$1:$ZN$1,0))),INDEX(Haver_M!$B$1:$ZN$1000,MATCH(data!$A48,Haver_M!$B$1:$B$1000,0),MATCH(data!AU$1,Haver_M!$B$1:$ZN$1,0)),"na")</f>
        <v>80.896180999999999</v>
      </c>
      <c r="AV48">
        <f>IF(ISNUMBER(INDEX(Haver_M!$B$1:$ZN$1000,MATCH(data!$A48,Haver_M!$B$1:$B$1000,0),MATCH(data!AV$1,Haver_M!$B$1:$ZN$1,0))),INDEX(Haver_M!$B$1:$ZN$1000,MATCH(data!$A48,Haver_M!$B$1:$B$1000,0),MATCH(data!AV$1,Haver_M!$B$1:$ZN$1,0)),"na")</f>
        <v>68.7</v>
      </c>
      <c r="AW48">
        <f>IF(ISNUMBER(INDEX(Haver_M!$B$1:$ZN$1000,MATCH(data!$A48,Haver_M!$B$1:$B$1000,0),MATCH(data!AW$1,Haver_M!$B$1:$ZN$1,0))),INDEX(Haver_M!$B$1:$ZN$1000,MATCH(data!$A48,Haver_M!$B$1:$B$1000,0),MATCH(data!AW$1,Haver_M!$B$1:$ZN$1,0)),"na")</f>
        <v>831056.30309577577</v>
      </c>
      <c r="AX48">
        <f>IF(ISNUMBER(INDEX(Haver_M!$B$1:$ZN$1000,MATCH(data!$A48,Haver_M!$B$1:$B$1000,0),MATCH(data!AX$1,Haver_M!$B$1:$ZN$1,0))),INDEX(Haver_M!$B$1:$ZN$1000,MATCH(data!$A48,Haver_M!$B$1:$B$1000,0),MATCH(data!AX$1,Haver_M!$B$1:$ZN$1,0)),"na")</f>
        <v>3420</v>
      </c>
      <c r="AY48">
        <f>IF(ISNUMBER(INDEX(Haver_M!$B$1:$ZN$1000,MATCH(data!$A48,Haver_M!$B$1:$B$1000,0),MATCH(data!AY$1,Haver_M!$B$1:$ZN$1,0))),INDEX(Haver_M!$B$1:$ZN$1000,MATCH(data!$A48,Haver_M!$B$1:$B$1000,0),MATCH(data!AY$1,Haver_M!$B$1:$ZN$1,0)),"na")</f>
        <v>1700</v>
      </c>
      <c r="AZ48" t="str">
        <f>IF(ISNUMBER(INDEX(Haver_M!$B$1:$ZN$1000,MATCH(data!$A48,Haver_M!$B$1:$B$1000,0),MATCH(data!AZ$1,Haver_M!$B$1:$ZN$1,0))),INDEX(Haver_M!$B$1:$ZN$1000,MATCH(data!$A48,Haver_M!$B$1:$B$1000,0),MATCH(data!AZ$1,Haver_M!$B$1:$ZN$1,0)),"na")</f>
        <v>na</v>
      </c>
      <c r="BA48">
        <f>IF(ISNUMBER(INDEX(Haver_M!$B$1:$ZN$1000,MATCH(data!$A48,Haver_M!$B$1:$B$1000,0),MATCH(data!BA$1,Haver_M!$B$1:$ZN$1,0))),INDEX(Haver_M!$B$1:$ZN$1000,MATCH(data!$A48,Haver_M!$B$1:$B$1000,0),MATCH(data!BA$1,Haver_M!$B$1:$ZN$1,0)),"na")</f>
        <v>138.3141815375017</v>
      </c>
      <c r="BB48" t="str">
        <f>IF(ISNUMBER(INDEX(Haver_M!$B$1:$ZN$1000,MATCH(data!$A48,Haver_M!$B$1:$B$1000,0),MATCH(data!BB$1,Haver_M!$B$1:$ZN$1,0))),INDEX(Haver_M!$B$1:$ZN$1000,MATCH(data!$A48,Haver_M!$B$1:$B$1000,0),MATCH(data!BB$1,Haver_M!$B$1:$ZN$1,0)),"")</f>
        <v/>
      </c>
    </row>
    <row r="49" spans="1:54" x14ac:dyDescent="0.25">
      <c r="A49" s="2">
        <v>37986</v>
      </c>
      <c r="B49">
        <f>IF(ISNUMBER(INDEX(Haver_Q!$B$1:$BD$1000,MATCH(data!$A49,Haver_Q!$B$1:$B$1000,0),MATCH(data!B$1,Haver_Q!$B$1:$BD$1,0))),100*INDEX(Haver_Q!$B$1:$BD$1000,MATCH(data!$A49,Haver_Q!$B$1:$B$1000,0),MATCH(data!B$1,Haver_Q!$B$1:$BD$1,0)),"na")</f>
        <v>4.2529079112158419</v>
      </c>
      <c r="C49">
        <f>IF(ISNUMBER(INDEX(Haver_Q!$B$1:$BD$1000,MATCH(data!$A49,Haver_Q!$B$1:$B$1000,0),MATCH(data!C$1,Haver_Q!$B$1:$BD$1,0))),100*INDEX(Haver_Q!$B$1:$BD$1000,MATCH(data!$A49,Haver_Q!$B$1:$B$1000,0),MATCH(data!C$1,Haver_Q!$B$1:$BD$1,0)),"na")</f>
        <v>-0.15832335185890223</v>
      </c>
      <c r="D49">
        <f>IF(ISNUMBER(INDEX(Haver_Q!$B$1:$BD$1000,MATCH(data!$A49,Haver_Q!$B$1:$B$1000,0),MATCH(data!D$1,Haver_Q!$B$1:$BD$1,0))),100*INDEX(Haver_Q!$B$1:$BD$1000,MATCH(data!$A49,Haver_Q!$B$1:$B$1000,0),MATCH(data!D$1,Haver_Q!$B$1:$BD$1,0)),"na")</f>
        <v>5.8488371153960106</v>
      </c>
      <c r="E49">
        <f>IF(ISNUMBER(INDEX(Haver_Q!$B$1:$BD$1000,MATCH(data!$A49,Haver_Q!$B$1:$B$1000,0),MATCH(data!E$1,Haver_Q!$B$1:$BD$1,0))),100*INDEX(Haver_Q!$B$1:$BD$1000,MATCH(data!$A49,Haver_Q!$B$1:$B$1000,0),MATCH(data!E$1,Haver_Q!$B$1:$BD$1,0)),"na")</f>
        <v>1.6111657105109201</v>
      </c>
      <c r="F49">
        <f>IF(ISNUMBER(INDEX(Haver_Q!$B$1:$BD$1000,MATCH(data!$A49,Haver_Q!$B$1:$B$1000,0),MATCH(data!F$1,Haver_Q!$B$1:$BD$1,0))),100*INDEX(Haver_Q!$B$1:$BD$1000,MATCH(data!$A49,Haver_Q!$B$1:$B$1000,0),MATCH(data!F$1,Haver_Q!$B$1:$BD$1,0)),"na")</f>
        <v>9.7737671478218999</v>
      </c>
      <c r="G49">
        <f>IF(ISNUMBER(INDEX(Haver_Q!$B$1:$BD$1000,MATCH(data!$A49,Haver_Q!$B$1:$B$1000,0),MATCH(data!G$1,Haver_Q!$B$1:$BD$1,0))),100*INDEX(Haver_Q!$B$1:$BD$1000,MATCH(data!$A49,Haver_Q!$B$1:$B$1000,0),MATCH(data!G$1,Haver_Q!$B$1:$BD$1,0)),"na")</f>
        <v>-3.7723282981212636</v>
      </c>
      <c r="H49">
        <f>IF(ISNUMBER(INDEX(Haver_Q!$B$1:$BD$1000,MATCH(data!$A49,Haver_Q!$B$1:$B$1000,0),MATCH(data!H$1,Haver_Q!$B$1:$BD$1,0))),100*INDEX(Haver_Q!$B$1:$BD$1000,MATCH(data!$A49,Haver_Q!$B$1:$B$1000,0),MATCH(data!H$1,Haver_Q!$B$1:$BD$1,0)),"na")</f>
        <v>619.26394791764039</v>
      </c>
      <c r="I49" s="3">
        <f>IF(ISNUMBER(Bloomberg_m!C65),Bloomberg_m!C65,"na")</f>
        <v>4609</v>
      </c>
      <c r="J49" s="3" t="str">
        <f>IF(ISNUMBER(Bloomberg_m!D65),Bloomberg_m!D65,"na")</f>
        <v>na</v>
      </c>
      <c r="K49" s="3" t="str">
        <f>IF(ISNUMBER(Bloomberg_m!E65),Bloomberg_m!E65,"na")</f>
        <v>na</v>
      </c>
      <c r="L49" s="3">
        <f>IF(ISNUMBER(Bloomberg_m!L65),Bloomberg_m!L65,"na")</f>
        <v>32.119999999999997</v>
      </c>
      <c r="M49" t="str">
        <f>IF(ISNUMBER(INDEX(Haver_M!$B$1:$ZN$1000,MATCH(data!$A49,Haver_M!$B$1:$B$1000,0),MATCH(data!M$1,Haver_M!$B$1:$ZN$1,0))),INDEX(Haver_M!$B$1:$ZN$1000,MATCH(data!$A49,Haver_M!$B$1:$B$1000,0),MATCH(data!M$1,Haver_M!$B$1:$ZN$1,0)),"na")</f>
        <v>na</v>
      </c>
      <c r="N49" t="str">
        <f>IF(ISNUMBER(INDEX(Haver_M!$B$1:$ZN$1000,MATCH(data!$A49,Haver_M!$B$1:$B$1000,0),MATCH(data!N$1,Haver_M!$B$1:$ZN$1,0))),INDEX(Haver_M!$B$1:$ZN$1000,MATCH(data!$A49,Haver_M!$B$1:$B$1000,0),MATCH(data!N$1,Haver_M!$B$1:$ZN$1,0)),"na")</f>
        <v>na</v>
      </c>
      <c r="O49">
        <f>IF(ISNUMBER(INDEX(Haver_M!$B$1:$ZN$1000,MATCH(data!$A49,Haver_M!$B$1:$B$1000,0),MATCH(data!O$1,Haver_M!$B$1:$ZN$1,0))),INDEX(Haver_M!$B$1:$ZN$1000,MATCH(data!$A49,Haver_M!$B$1:$B$1000,0),MATCH(data!O$1,Haver_M!$B$1:$ZN$1,0)),"na")</f>
        <v>107.20341999999999</v>
      </c>
      <c r="P49">
        <f>IF(ISNUMBER(INDEX(Haver_M!$B$1:$ZN$1000,MATCH(data!$A49,Haver_M!$B$1:$B$1000,0),MATCH(data!P$1,Haver_M!$B$1:$ZN$1,0))),INDEX(Haver_M!$B$1:$ZN$1000,MATCH(data!$A49,Haver_M!$B$1:$B$1000,0),MATCH(data!P$1,Haver_M!$B$1:$ZN$1,0)),"na")</f>
        <v>55.266100000000002</v>
      </c>
      <c r="Q49">
        <f>IF(ISNUMBER(INDEX(Haver_M!$B$1:$ZN$1000,MATCH(data!$A49,Haver_M!$B$1:$B$1000,0),MATCH(data!Q$1,Haver_M!$B$1:$ZN$1,0))),INDEX(Haver_M!$B$1:$ZN$1000,MATCH(data!$A49,Haver_M!$B$1:$B$1000,0),MATCH(data!Q$1,Haver_M!$B$1:$ZN$1,0)),"na")</f>
        <v>59.481900000000003</v>
      </c>
      <c r="R49">
        <f>IF(ISNUMBER(INDEX(Haver_M!$B$1:$ZN$1000,MATCH(data!$A49,Haver_M!$B$1:$B$1000,0),MATCH(data!R$1,Haver_M!$B$1:$ZN$1,0))),INDEX(Haver_M!$B$1:$ZN$1000,MATCH(data!$A49,Haver_M!$B$1:$B$1000,0),MATCH(data!R$1,Haver_M!$B$1:$ZN$1,0)),"na")</f>
        <v>90.548599999999993</v>
      </c>
      <c r="S49">
        <f>IF(ISNUMBER(INDEX(Haver_M!$B$1:$ZN$1000,MATCH(data!$A49,Haver_M!$B$1:$B$1000,0),MATCH(data!S$1,Haver_M!$B$1:$ZN$1,0))),INDEX(Haver_M!$B$1:$ZN$1000,MATCH(data!$A49,Haver_M!$B$1:$B$1000,0),MATCH(data!S$1,Haver_M!$B$1:$ZN$1,0)),"na")</f>
        <v>113.27760000000001</v>
      </c>
      <c r="T49">
        <f>IF(ISNUMBER(INDEX(Haver_M!$B$1:$ZN$1000,MATCH(data!$A49,Haver_M!$B$1:$B$1000,0),MATCH(data!T$1,Haver_M!$B$1:$ZN$1,0))),INDEX(Haver_M!$B$1:$ZN$1000,MATCH(data!$A49,Haver_M!$B$1:$B$1000,0),MATCH(data!T$1,Haver_M!$B$1:$ZN$1,0)),"na")</f>
        <v>61.419699999999999</v>
      </c>
      <c r="U49">
        <f>IF(ISNUMBER(INDEX(Haver_M!$B$1:$ZN$1000,MATCH(data!$A49,Haver_M!$B$1:$B$1000,0),MATCH(data!U$1,Haver_M!$B$1:$ZN$1,0))),INDEX(Haver_M!$B$1:$ZN$1000,MATCH(data!$A49,Haver_M!$B$1:$B$1000,0),MATCH(data!U$1,Haver_M!$B$1:$ZN$1,0)),"na")</f>
        <v>79.09</v>
      </c>
      <c r="V49">
        <f>IF(ISNUMBER(INDEX(Haver_M!$B$1:$ZN$1000,MATCH(data!$A49,Haver_M!$B$1:$B$1000,0),MATCH(data!V$1,Haver_M!$B$1:$ZN$1,0))),INDEX(Haver_M!$B$1:$ZN$1000,MATCH(data!$A49,Haver_M!$B$1:$B$1000,0),MATCH(data!V$1,Haver_M!$B$1:$ZN$1,0)),"na")</f>
        <v>87.729600000000005</v>
      </c>
      <c r="W49">
        <f>IF(ISNUMBER(INDEX(Haver_M!$B$1:$ZN$1000,MATCH(data!$A49,Haver_M!$B$1:$B$1000,0),MATCH(data!W$1,Haver_M!$B$1:$ZN$1,0))),INDEX(Haver_M!$B$1:$ZN$1000,MATCH(data!$A49,Haver_M!$B$1:$B$1000,0),MATCH(data!W$1,Haver_M!$B$1:$ZN$1,0)),"na")</f>
        <v>3.36</v>
      </c>
      <c r="X49" t="str">
        <f>IF(ISNUMBER(INDEX(Haver_M!$B$1:$ZN$1000,MATCH(data!$A49,Haver_M!$B$1:$B$1000,0),MATCH(data!X$1,Haver_M!$B$1:$ZN$1,0))),INDEX(Haver_M!$B$1:$ZN$1000,MATCH(data!$A49,Haver_M!$B$1:$B$1000,0),MATCH(data!X$1,Haver_M!$B$1:$ZN$1,0)),"na")</f>
        <v>na</v>
      </c>
      <c r="Y49">
        <f>IF(ISNUMBER(INDEX(Haver_M!$B$1:$ZN$1000,MATCH(data!$A49,Haver_M!$B$1:$B$1000,0),MATCH(data!Y$1,Haver_M!$B$1:$ZN$1,0))),INDEX(Haver_M!$B$1:$ZN$1000,MATCH(data!$A49,Haver_M!$B$1:$B$1000,0),MATCH(data!Y$1,Haver_M!$B$1:$ZN$1,0)),"na")</f>
        <v>100.12</v>
      </c>
      <c r="Z49">
        <f>IF(ISNUMBER(INDEX(Haver_M!$B$1:$ZN$1000,MATCH(data!$A49,Haver_M!$B$1:$B$1000,0),MATCH(data!Z$1,Haver_M!$B$1:$ZN$1,0))),INDEX(Haver_M!$B$1:$ZN$1000,MATCH(data!$A49,Haver_M!$B$1:$B$1000,0),MATCH(data!Z$1,Haver_M!$B$1:$ZN$1,0)),"na")</f>
        <v>85.017700000000005</v>
      </c>
      <c r="AA49" t="str">
        <f>IF(ISNUMBER(INDEX(Haver_M!$B$1:$ZN$1000,MATCH(data!$A49,Haver_M!$B$1:$B$1000,0),MATCH(data!AA$1,Haver_M!$B$1:$ZN$1,0))),INDEX(Haver_M!$B$1:$ZN$1000,MATCH(data!$A49,Haver_M!$B$1:$B$1000,0),MATCH(data!AA$1,Haver_M!$B$1:$ZN$1,0)),"na")</f>
        <v>na</v>
      </c>
      <c r="AB49">
        <f>IF(ISNUMBER(INDEX(Haver_M!$B$1:$ZN$1000,MATCH(data!$A49,Haver_M!$B$1:$B$1000,0),MATCH(data!AB$1,Haver_M!$B$1:$ZN$1,0))),INDEX(Haver_M!$B$1:$ZN$1000,MATCH(data!$A49,Haver_M!$B$1:$B$1000,0),MATCH(data!AB$1,Haver_M!$B$1:$ZN$1,0)),"na")</f>
        <v>14662.7</v>
      </c>
      <c r="AC49">
        <f>IF(ISNUMBER(INDEX(Haver_M!$B$1:$ZN$1000,MATCH(data!$A49,Haver_M!$B$1:$B$1000,0),MATCH(data!AC$1,Haver_M!$B$1:$ZN$1,0))),INDEX(Haver_M!$B$1:$ZN$1000,MATCH(data!$A49,Haver_M!$B$1:$B$1000,0),MATCH(data!AC$1,Haver_M!$B$1:$ZN$1,0)),"na")</f>
        <v>15009.2</v>
      </c>
      <c r="AD49">
        <f>IF(ISNUMBER(INDEX(Haver_M!$B$1:$ZN$1000,MATCH(data!$A49,Haver_M!$B$1:$B$1000,0),MATCH(data!AD$1,Haver_M!$B$1:$ZN$1,0))),INDEX(Haver_M!$B$1:$ZN$1000,MATCH(data!$A49,Haver_M!$B$1:$B$1000,0),MATCH(data!AD$1,Haver_M!$B$1:$ZN$1,0)),"na")</f>
        <v>98.68</v>
      </c>
      <c r="AE49">
        <f>IF(ISNUMBER(INDEX(Haver_M!$B$1:$ZN$1000,MATCH(data!$A49,Haver_M!$B$1:$B$1000,0),MATCH(data!AE$1,Haver_M!$B$1:$ZN$1,0))),INDEX(Haver_M!$B$1:$ZN$1000,MATCH(data!$A49,Haver_M!$B$1:$B$1000,0),MATCH(data!AE$1,Haver_M!$B$1:$ZN$1,0)),"na")</f>
        <v>39</v>
      </c>
      <c r="AF49" t="str">
        <f>IF(ISNUMBER(INDEX(Haver_M!$B$1:$ZN$1000,MATCH(data!$A49,Haver_M!$B$1:$B$1000,0),MATCH(data!AF$1,Haver_M!$B$1:$ZN$1,0))),INDEX(Haver_M!$B$1:$ZN$1000,MATCH(data!$A49,Haver_M!$B$1:$B$1000,0),MATCH(data!AF$1,Haver_M!$B$1:$ZN$1,0)),"na")</f>
        <v>na</v>
      </c>
      <c r="AG49" t="str">
        <f>IF(ISNUMBER(INDEX(Haver_M!$B$1:$ZN$1000,MATCH(data!$A49,Haver_M!$B$1:$B$1000,0),MATCH(data!AG$1,Haver_M!$B$1:$ZN$1,0))),INDEX(Haver_M!$B$1:$ZN$1000,MATCH(data!$A49,Haver_M!$B$1:$B$1000,0),MATCH(data!AG$1,Haver_M!$B$1:$ZN$1,0)),"na")</f>
        <v>na</v>
      </c>
      <c r="AH49" t="str">
        <f>IF(ISNUMBER(INDEX(Haver_M!$B$1:$ZN$1000,MATCH(data!$A49,Haver_M!$B$1:$B$1000,0),MATCH(data!AH$1,Haver_M!$B$1:$ZN$1,0))),INDEX(Haver_M!$B$1:$ZN$1000,MATCH(data!$A49,Haver_M!$B$1:$B$1000,0),MATCH(data!AH$1,Haver_M!$B$1:$ZN$1,0)),"na")</f>
        <v>na</v>
      </c>
      <c r="AI49" t="str">
        <f>IF(ISNUMBER(INDEX(Haver_M!$B$1:$ZN$1000,MATCH(data!$A49,Haver_M!$B$1:$B$1000,0),MATCH(data!AI$1,Haver_M!$B$1:$ZN$1,0))),INDEX(Haver_M!$B$1:$ZN$1000,MATCH(data!$A49,Haver_M!$B$1:$B$1000,0),MATCH(data!AI$1,Haver_M!$B$1:$ZN$1,0)),"na")</f>
        <v>na</v>
      </c>
      <c r="AJ49" t="str">
        <f>IF(ISNUMBER(INDEX(Haver_M!$B$1:$ZN$1000,MATCH(data!$A49,Haver_M!$B$1:$B$1000,0),MATCH(data!AJ$1,Haver_M!$B$1:$ZN$1,0))),INDEX(Haver_M!$B$1:$ZN$1000,MATCH(data!$A49,Haver_M!$B$1:$B$1000,0),MATCH(data!AJ$1,Haver_M!$B$1:$ZN$1,0)),"na")</f>
        <v>na</v>
      </c>
      <c r="AK49" t="str">
        <f>IF(ISNUMBER(INDEX(Haver_M!$B$1:$ZN$1000,MATCH(data!$A49,Haver_M!$B$1:$B$1000,0),MATCH(data!AK$1,Haver_M!$B$1:$ZN$1,0))),INDEX(Haver_M!$B$1:$ZN$1000,MATCH(data!$A49,Haver_M!$B$1:$B$1000,0),MATCH(data!AK$1,Haver_M!$B$1:$ZN$1,0)),"na")</f>
        <v>na</v>
      </c>
      <c r="AL49" t="str">
        <f>IF(ISNUMBER(INDEX(Haver_M!$B$1:$ZN$1000,MATCH(data!$A49,Haver_M!$B$1:$B$1000,0),MATCH(data!AL$1,Haver_M!$B$1:$ZN$1,0))),INDEX(Haver_M!$B$1:$ZN$1000,MATCH(data!$A49,Haver_M!$B$1:$B$1000,0),MATCH(data!AL$1,Haver_M!$B$1:$ZN$1,0)),"na")</f>
        <v>na</v>
      </c>
      <c r="AM49" t="str">
        <f>IF(ISNUMBER(INDEX(Haver_M!$B$1:$ZN$1000,MATCH(data!$A49,Haver_M!$B$1:$B$1000,0),MATCH(data!AM$1,Haver_M!$B$1:$ZN$1,0))),INDEX(Haver_M!$B$1:$ZN$1000,MATCH(data!$A49,Haver_M!$B$1:$B$1000,0),MATCH(data!AM$1,Haver_M!$B$1:$ZN$1,0)),"na")</f>
        <v>na</v>
      </c>
      <c r="AN49" t="str">
        <f>IF(ISNUMBER(INDEX(Haver_M!$B$1:$ZN$1000,MATCH(data!$A49,Haver_M!$B$1:$B$1000,0),MATCH(data!AN$1,Haver_M!$B$1:$ZN$1,0))),INDEX(Haver_M!$B$1:$ZN$1000,MATCH(data!$A49,Haver_M!$B$1:$B$1000,0),MATCH(data!AN$1,Haver_M!$B$1:$ZN$1,0)),"na")</f>
        <v>na</v>
      </c>
      <c r="AO49" t="str">
        <f>IF(ISNUMBER(INDEX(Haver_M!$B$1:$ZN$1000,MATCH(data!$A49,Haver_M!$B$1:$B$1000,0),MATCH(data!AO$1,Haver_M!$B$1:$ZN$1,0))),INDEX(Haver_M!$B$1:$ZN$1000,MATCH(data!$A49,Haver_M!$B$1:$B$1000,0),MATCH(data!AO$1,Haver_M!$B$1:$ZN$1,0)),"na")</f>
        <v>na</v>
      </c>
      <c r="AP49" t="str">
        <f>IF(ISNUMBER(INDEX(Haver_M!$B$1:$ZN$1000,MATCH(data!$A49,Haver_M!$B$1:$B$1000,0),MATCH(data!AP$1,Haver_M!$B$1:$ZN$1,0))),INDEX(Haver_M!$B$1:$ZN$1000,MATCH(data!$A49,Haver_M!$B$1:$B$1000,0),MATCH(data!AP$1,Haver_M!$B$1:$ZN$1,0)),"na")</f>
        <v>na</v>
      </c>
      <c r="AQ49" t="str">
        <f>IF(ISNUMBER(INDEX(Haver_M!$B$1:$ZN$1000,MATCH(data!$A49,Haver_M!$B$1:$B$1000,0),MATCH(data!AQ$1,Haver_M!$B$1:$ZN$1,0))),INDEX(Haver_M!$B$1:$ZN$1000,MATCH(data!$A49,Haver_M!$B$1:$B$1000,0),MATCH(data!AQ$1,Haver_M!$B$1:$ZN$1,0)),"na")</f>
        <v>na</v>
      </c>
      <c r="AR49" t="str">
        <f>IF(ISNUMBER(INDEX(Haver_M!$B$1:$ZN$1000,MATCH(data!$A49,Haver_M!$B$1:$B$1000,0),MATCH(data!AR$1,Haver_M!$B$1:$ZN$1,0))),INDEX(Haver_M!$B$1:$ZN$1000,MATCH(data!$A49,Haver_M!$B$1:$B$1000,0),MATCH(data!AR$1,Haver_M!$B$1:$ZN$1,0)),"na")</f>
        <v>na</v>
      </c>
      <c r="AS49">
        <f>IF(ISNUMBER(INDEX(Haver_M!$B$1:$ZN$1000,MATCH(data!$A49,Haver_M!$B$1:$B$1000,0),MATCH(data!AS$1,Haver_M!$B$1:$ZN$1,0))),INDEX(Haver_M!$B$1:$ZN$1000,MATCH(data!$A49,Haver_M!$B$1:$B$1000,0),MATCH(data!AS$1,Haver_M!$B$1:$ZN$1,0)),"na")</f>
        <v>8546.41</v>
      </c>
      <c r="AT49">
        <f>IF(ISNUMBER(INDEX(Haver_M!$B$1:$ZN$1000,MATCH(data!$A49,Haver_M!$B$1:$B$1000,0),MATCH(data!AT$1,Haver_M!$B$1:$ZN$1,0))),INDEX(Haver_M!$B$1:$ZN$1000,MATCH(data!$A49,Haver_M!$B$1:$B$1000,0),MATCH(data!AT$1,Haver_M!$B$1:$ZN$1,0)),"na")</f>
        <v>85.32</v>
      </c>
      <c r="AU49">
        <f>IF(ISNUMBER(INDEX(Haver_M!$B$1:$ZN$1000,MATCH(data!$A49,Haver_M!$B$1:$B$1000,0),MATCH(data!AU$1,Haver_M!$B$1:$ZN$1,0))),INDEX(Haver_M!$B$1:$ZN$1000,MATCH(data!$A49,Haver_M!$B$1:$B$1000,0),MATCH(data!AU$1,Haver_M!$B$1:$ZN$1,0)),"na")</f>
        <v>81.713458000000003</v>
      </c>
      <c r="AV49">
        <f>IF(ISNUMBER(INDEX(Haver_M!$B$1:$ZN$1000,MATCH(data!$A49,Haver_M!$B$1:$B$1000,0),MATCH(data!AV$1,Haver_M!$B$1:$ZN$1,0))),INDEX(Haver_M!$B$1:$ZN$1000,MATCH(data!$A49,Haver_M!$B$1:$B$1000,0),MATCH(data!AV$1,Haver_M!$B$1:$ZN$1,0)),"na")</f>
        <v>71</v>
      </c>
      <c r="AW49">
        <f>IF(ISNUMBER(INDEX(Haver_M!$B$1:$ZN$1000,MATCH(data!$A49,Haver_M!$B$1:$B$1000,0),MATCH(data!AW$1,Haver_M!$B$1:$ZN$1,0))),INDEX(Haver_M!$B$1:$ZN$1000,MATCH(data!$A49,Haver_M!$B$1:$B$1000,0),MATCH(data!AW$1,Haver_M!$B$1:$ZN$1,0)),"na")</f>
        <v>824793.4802738321</v>
      </c>
      <c r="AX49">
        <f>IF(ISNUMBER(INDEX(Haver_M!$B$1:$ZN$1000,MATCH(data!$A49,Haver_M!$B$1:$B$1000,0),MATCH(data!AX$1,Haver_M!$B$1:$ZN$1,0))),INDEX(Haver_M!$B$1:$ZN$1000,MATCH(data!$A49,Haver_M!$B$1:$B$1000,0),MATCH(data!AX$1,Haver_M!$B$1:$ZN$1,0)),"na")</f>
        <v>3417</v>
      </c>
      <c r="AY49">
        <f>IF(ISNUMBER(INDEX(Haver_M!$B$1:$ZN$1000,MATCH(data!$A49,Haver_M!$B$1:$B$1000,0),MATCH(data!AY$1,Haver_M!$B$1:$ZN$1,0))),INDEX(Haver_M!$B$1:$ZN$1000,MATCH(data!$A49,Haver_M!$B$1:$B$1000,0),MATCH(data!AY$1,Haver_M!$B$1:$ZN$1,0)),"na")</f>
        <v>2141</v>
      </c>
      <c r="AZ49" t="str">
        <f>IF(ISNUMBER(INDEX(Haver_M!$B$1:$ZN$1000,MATCH(data!$A49,Haver_M!$B$1:$B$1000,0),MATCH(data!AZ$1,Haver_M!$B$1:$ZN$1,0))),INDEX(Haver_M!$B$1:$ZN$1000,MATCH(data!$A49,Haver_M!$B$1:$B$1000,0),MATCH(data!AZ$1,Haver_M!$B$1:$ZN$1,0)),"na")</f>
        <v>na</v>
      </c>
      <c r="BA49">
        <f>IF(ISNUMBER(INDEX(Haver_M!$B$1:$ZN$1000,MATCH(data!$A49,Haver_M!$B$1:$B$1000,0),MATCH(data!BA$1,Haver_M!$B$1:$ZN$1,0))),INDEX(Haver_M!$B$1:$ZN$1000,MATCH(data!$A49,Haver_M!$B$1:$B$1000,0),MATCH(data!BA$1,Haver_M!$B$1:$ZN$1,0)),"na")</f>
        <v>221.73944219930272</v>
      </c>
      <c r="BB49" t="str">
        <f>IF(ISNUMBER(INDEX(Haver_M!$B$1:$ZN$1000,MATCH(data!$A49,Haver_M!$B$1:$B$1000,0),MATCH(data!BB$1,Haver_M!$B$1:$ZN$1,0))),INDEX(Haver_M!$B$1:$ZN$1000,MATCH(data!$A49,Haver_M!$B$1:$B$1000,0),MATCH(data!BB$1,Haver_M!$B$1:$ZN$1,0)),"")</f>
        <v/>
      </c>
    </row>
    <row r="50" spans="1:54" x14ac:dyDescent="0.25">
      <c r="A50" s="2">
        <v>38017</v>
      </c>
      <c r="B50" t="str">
        <f>IF(ISNUMBER(INDEX(Haver_Q!$B$1:$BD$1000,MATCH(data!$A50,Haver_Q!$B$1:$B$1000,0),MATCH(data!B$1,Haver_Q!$B$1:$BD$1,0))),100*INDEX(Haver_Q!$B$1:$BD$1000,MATCH(data!$A50,Haver_Q!$B$1:$B$1000,0),MATCH(data!B$1,Haver_Q!$B$1:$BD$1,0)),"na")</f>
        <v>na</v>
      </c>
      <c r="C50" t="str">
        <f>IF(ISNUMBER(INDEX(Haver_Q!$B$1:$BD$1000,MATCH(data!$A50,Haver_Q!$B$1:$B$1000,0),MATCH(data!C$1,Haver_Q!$B$1:$BD$1,0))),100*INDEX(Haver_Q!$B$1:$BD$1000,MATCH(data!$A50,Haver_Q!$B$1:$B$1000,0),MATCH(data!C$1,Haver_Q!$B$1:$BD$1,0)),"na")</f>
        <v>na</v>
      </c>
      <c r="D50" t="str">
        <f>IF(ISNUMBER(INDEX(Haver_Q!$B$1:$BD$1000,MATCH(data!$A50,Haver_Q!$B$1:$B$1000,0),MATCH(data!D$1,Haver_Q!$B$1:$BD$1,0))),100*INDEX(Haver_Q!$B$1:$BD$1000,MATCH(data!$A50,Haver_Q!$B$1:$B$1000,0),MATCH(data!D$1,Haver_Q!$B$1:$BD$1,0)),"na")</f>
        <v>na</v>
      </c>
      <c r="E50" t="str">
        <f>IF(ISNUMBER(INDEX(Haver_Q!$B$1:$BD$1000,MATCH(data!$A50,Haver_Q!$B$1:$B$1000,0),MATCH(data!E$1,Haver_Q!$B$1:$BD$1,0))),100*INDEX(Haver_Q!$B$1:$BD$1000,MATCH(data!$A50,Haver_Q!$B$1:$B$1000,0),MATCH(data!E$1,Haver_Q!$B$1:$BD$1,0)),"na")</f>
        <v>na</v>
      </c>
      <c r="F50" t="str">
        <f>IF(ISNUMBER(INDEX(Haver_Q!$B$1:$BD$1000,MATCH(data!$A50,Haver_Q!$B$1:$B$1000,0),MATCH(data!F$1,Haver_Q!$B$1:$BD$1,0))),100*INDEX(Haver_Q!$B$1:$BD$1000,MATCH(data!$A50,Haver_Q!$B$1:$B$1000,0),MATCH(data!F$1,Haver_Q!$B$1:$BD$1,0)),"na")</f>
        <v>na</v>
      </c>
      <c r="G50" t="str">
        <f>IF(ISNUMBER(INDEX(Haver_Q!$B$1:$BD$1000,MATCH(data!$A50,Haver_Q!$B$1:$B$1000,0),MATCH(data!G$1,Haver_Q!$B$1:$BD$1,0))),100*INDEX(Haver_Q!$B$1:$BD$1000,MATCH(data!$A50,Haver_Q!$B$1:$B$1000,0),MATCH(data!G$1,Haver_Q!$B$1:$BD$1,0)),"na")</f>
        <v>na</v>
      </c>
      <c r="H50" t="str">
        <f>IF(ISNUMBER(INDEX(Haver_Q!$B$1:$BD$1000,MATCH(data!$A50,Haver_Q!$B$1:$B$1000,0),MATCH(data!H$1,Haver_Q!$B$1:$BD$1,0))),100*INDEX(Haver_Q!$B$1:$BD$1000,MATCH(data!$A50,Haver_Q!$B$1:$B$1000,0),MATCH(data!H$1,Haver_Q!$B$1:$BD$1,0)),"na")</f>
        <v>na</v>
      </c>
      <c r="I50" s="3">
        <f>IF(ISNUMBER(Bloomberg_m!C66),Bloomberg_m!C66,"na")</f>
        <v>5229</v>
      </c>
      <c r="J50" s="3" t="str">
        <f>IF(ISNUMBER(Bloomberg_m!D66),Bloomberg_m!D66,"na")</f>
        <v>na</v>
      </c>
      <c r="K50" s="3" t="str">
        <f>IF(ISNUMBER(Bloomberg_m!E66),Bloomberg_m!E66,"na")</f>
        <v>na</v>
      </c>
      <c r="L50" s="3">
        <f>IF(ISNUMBER(Bloomberg_m!L66),Bloomberg_m!L66,"na")</f>
        <v>34.24</v>
      </c>
      <c r="M50" t="str">
        <f>IF(ISNUMBER(INDEX(Haver_M!$B$1:$ZN$1000,MATCH(data!$A50,Haver_M!$B$1:$B$1000,0),MATCH(data!M$1,Haver_M!$B$1:$ZN$1,0))),INDEX(Haver_M!$B$1:$ZN$1000,MATCH(data!$A50,Haver_M!$B$1:$B$1000,0),MATCH(data!M$1,Haver_M!$B$1:$ZN$1,0)),"na")</f>
        <v>na</v>
      </c>
      <c r="N50" t="str">
        <f>IF(ISNUMBER(INDEX(Haver_M!$B$1:$ZN$1000,MATCH(data!$A50,Haver_M!$B$1:$B$1000,0),MATCH(data!N$1,Haver_M!$B$1:$ZN$1,0))),INDEX(Haver_M!$B$1:$ZN$1000,MATCH(data!$A50,Haver_M!$B$1:$B$1000,0),MATCH(data!N$1,Haver_M!$B$1:$ZN$1,0)),"na")</f>
        <v>na</v>
      </c>
      <c r="O50">
        <f>IF(ISNUMBER(INDEX(Haver_M!$B$1:$ZN$1000,MATCH(data!$A50,Haver_M!$B$1:$B$1000,0),MATCH(data!O$1,Haver_M!$B$1:$ZN$1,0))),INDEX(Haver_M!$B$1:$ZN$1000,MATCH(data!$A50,Haver_M!$B$1:$B$1000,0),MATCH(data!O$1,Haver_M!$B$1:$ZN$1,0)),"na")</f>
        <v>110.05423999999999</v>
      </c>
      <c r="P50">
        <f>IF(ISNUMBER(INDEX(Haver_M!$B$1:$ZN$1000,MATCH(data!$A50,Haver_M!$B$1:$B$1000,0),MATCH(data!P$1,Haver_M!$B$1:$ZN$1,0))),INDEX(Haver_M!$B$1:$ZN$1000,MATCH(data!$A50,Haver_M!$B$1:$B$1000,0),MATCH(data!P$1,Haver_M!$B$1:$ZN$1,0)),"na")</f>
        <v>55.523000000000003</v>
      </c>
      <c r="Q50">
        <f>IF(ISNUMBER(INDEX(Haver_M!$B$1:$ZN$1000,MATCH(data!$A50,Haver_M!$B$1:$B$1000,0),MATCH(data!Q$1,Haver_M!$B$1:$ZN$1,0))),INDEX(Haver_M!$B$1:$ZN$1000,MATCH(data!$A50,Haver_M!$B$1:$B$1000,0),MATCH(data!Q$1,Haver_M!$B$1:$ZN$1,0)),"na")</f>
        <v>59.637599999999999</v>
      </c>
      <c r="R50">
        <f>IF(ISNUMBER(INDEX(Haver_M!$B$1:$ZN$1000,MATCH(data!$A50,Haver_M!$B$1:$B$1000,0),MATCH(data!R$1,Haver_M!$B$1:$ZN$1,0))),INDEX(Haver_M!$B$1:$ZN$1000,MATCH(data!$A50,Haver_M!$B$1:$B$1000,0),MATCH(data!R$1,Haver_M!$B$1:$ZN$1,0)),"na")</f>
        <v>91.023600000000002</v>
      </c>
      <c r="S50">
        <f>IF(ISNUMBER(INDEX(Haver_M!$B$1:$ZN$1000,MATCH(data!$A50,Haver_M!$B$1:$B$1000,0),MATCH(data!S$1,Haver_M!$B$1:$ZN$1,0))),INDEX(Haver_M!$B$1:$ZN$1000,MATCH(data!$A50,Haver_M!$B$1:$B$1000,0),MATCH(data!S$1,Haver_M!$B$1:$ZN$1,0)),"na")</f>
        <v>112.8947</v>
      </c>
      <c r="T50">
        <f>IF(ISNUMBER(INDEX(Haver_M!$B$1:$ZN$1000,MATCH(data!$A50,Haver_M!$B$1:$B$1000,0),MATCH(data!T$1,Haver_M!$B$1:$ZN$1,0))),INDEX(Haver_M!$B$1:$ZN$1000,MATCH(data!$A50,Haver_M!$B$1:$B$1000,0),MATCH(data!T$1,Haver_M!$B$1:$ZN$1,0)),"na")</f>
        <v>65.259900000000002</v>
      </c>
      <c r="U50">
        <f>IF(ISNUMBER(INDEX(Haver_M!$B$1:$ZN$1000,MATCH(data!$A50,Haver_M!$B$1:$B$1000,0),MATCH(data!U$1,Haver_M!$B$1:$ZN$1,0))),INDEX(Haver_M!$B$1:$ZN$1000,MATCH(data!$A50,Haver_M!$B$1:$B$1000,0),MATCH(data!U$1,Haver_M!$B$1:$ZN$1,0)),"na")</f>
        <v>85.698899999999995</v>
      </c>
      <c r="V50">
        <f>IF(ISNUMBER(INDEX(Haver_M!$B$1:$ZN$1000,MATCH(data!$A50,Haver_M!$B$1:$B$1000,0),MATCH(data!V$1,Haver_M!$B$1:$ZN$1,0))),INDEX(Haver_M!$B$1:$ZN$1000,MATCH(data!$A50,Haver_M!$B$1:$B$1000,0),MATCH(data!V$1,Haver_M!$B$1:$ZN$1,0)),"na")</f>
        <v>87.130499999999998</v>
      </c>
      <c r="W50">
        <f>IF(ISNUMBER(INDEX(Haver_M!$B$1:$ZN$1000,MATCH(data!$A50,Haver_M!$B$1:$B$1000,0),MATCH(data!W$1,Haver_M!$B$1:$ZN$1,0))),INDEX(Haver_M!$B$1:$ZN$1000,MATCH(data!$A50,Haver_M!$B$1:$B$1000,0),MATCH(data!W$1,Haver_M!$B$1:$ZN$1,0)),"na")</f>
        <v>3.81</v>
      </c>
      <c r="X50" t="str">
        <f>IF(ISNUMBER(INDEX(Haver_M!$B$1:$ZN$1000,MATCH(data!$A50,Haver_M!$B$1:$B$1000,0),MATCH(data!X$1,Haver_M!$B$1:$ZN$1,0))),INDEX(Haver_M!$B$1:$ZN$1000,MATCH(data!$A50,Haver_M!$B$1:$B$1000,0),MATCH(data!X$1,Haver_M!$B$1:$ZN$1,0)),"na")</f>
        <v>na</v>
      </c>
      <c r="Y50">
        <f>IF(ISNUMBER(INDEX(Haver_M!$B$1:$ZN$1000,MATCH(data!$A50,Haver_M!$B$1:$B$1000,0),MATCH(data!Y$1,Haver_M!$B$1:$ZN$1,0))),INDEX(Haver_M!$B$1:$ZN$1000,MATCH(data!$A50,Haver_M!$B$1:$B$1000,0),MATCH(data!Y$1,Haver_M!$B$1:$ZN$1,0)),"na")</f>
        <v>100.2</v>
      </c>
      <c r="Z50">
        <f>IF(ISNUMBER(INDEX(Haver_M!$B$1:$ZN$1000,MATCH(data!$A50,Haver_M!$B$1:$B$1000,0),MATCH(data!Z$1,Haver_M!$B$1:$ZN$1,0))),INDEX(Haver_M!$B$1:$ZN$1000,MATCH(data!$A50,Haver_M!$B$1:$B$1000,0),MATCH(data!Z$1,Haver_M!$B$1:$ZN$1,0)),"na")</f>
        <v>85.181700000000006</v>
      </c>
      <c r="AA50" t="str">
        <f>IF(ISNUMBER(INDEX(Haver_M!$B$1:$ZN$1000,MATCH(data!$A50,Haver_M!$B$1:$B$1000,0),MATCH(data!AA$1,Haver_M!$B$1:$ZN$1,0))),INDEX(Haver_M!$B$1:$ZN$1000,MATCH(data!$A50,Haver_M!$B$1:$B$1000,0),MATCH(data!AA$1,Haver_M!$B$1:$ZN$1,0)),"na")</f>
        <v>na</v>
      </c>
      <c r="AB50">
        <f>IF(ISNUMBER(INDEX(Haver_M!$B$1:$ZN$1000,MATCH(data!$A50,Haver_M!$B$1:$B$1000,0),MATCH(data!AB$1,Haver_M!$B$1:$ZN$1,0))),INDEX(Haver_M!$B$1:$ZN$1000,MATCH(data!$A50,Haver_M!$B$1:$B$1000,0),MATCH(data!AB$1,Haver_M!$B$1:$ZN$1,0)),"na")</f>
        <v>14676.1</v>
      </c>
      <c r="AC50">
        <f>IF(ISNUMBER(INDEX(Haver_M!$B$1:$ZN$1000,MATCH(data!$A50,Haver_M!$B$1:$B$1000,0),MATCH(data!AC$1,Haver_M!$B$1:$ZN$1,0))),INDEX(Haver_M!$B$1:$ZN$1000,MATCH(data!$A50,Haver_M!$B$1:$B$1000,0),MATCH(data!AC$1,Haver_M!$B$1:$ZN$1,0)),"na")</f>
        <v>14719</v>
      </c>
      <c r="AD50">
        <f>IF(ISNUMBER(INDEX(Haver_M!$B$1:$ZN$1000,MATCH(data!$A50,Haver_M!$B$1:$B$1000,0),MATCH(data!AD$1,Haver_M!$B$1:$ZN$1,0))),INDEX(Haver_M!$B$1:$ZN$1000,MATCH(data!$A50,Haver_M!$B$1:$B$1000,0),MATCH(data!AD$1,Haver_M!$B$1:$ZN$1,0)),"na")</f>
        <v>98.8</v>
      </c>
      <c r="AE50">
        <f>IF(ISNUMBER(INDEX(Haver_M!$B$1:$ZN$1000,MATCH(data!$A50,Haver_M!$B$1:$B$1000,0),MATCH(data!AE$1,Haver_M!$B$1:$ZN$1,0))),INDEX(Haver_M!$B$1:$ZN$1000,MATCH(data!$A50,Haver_M!$B$1:$B$1000,0),MATCH(data!AE$1,Haver_M!$B$1:$ZN$1,0)),"na")</f>
        <v>39.5</v>
      </c>
      <c r="AF50">
        <f>IF(ISNUMBER(INDEX(Haver_M!$B$1:$ZN$1000,MATCH(data!$A50,Haver_M!$B$1:$B$1000,0),MATCH(data!AF$1,Haver_M!$B$1:$ZN$1,0))),INDEX(Haver_M!$B$1:$ZN$1000,MATCH(data!$A50,Haver_M!$B$1:$B$1000,0),MATCH(data!AF$1,Haver_M!$B$1:$ZN$1,0)),"na")</f>
        <v>99.02</v>
      </c>
      <c r="AG50" t="str">
        <f>IF(ISNUMBER(INDEX(Haver_M!$B$1:$ZN$1000,MATCH(data!$A50,Haver_M!$B$1:$B$1000,0),MATCH(data!AG$1,Haver_M!$B$1:$ZN$1,0))),INDEX(Haver_M!$B$1:$ZN$1000,MATCH(data!$A50,Haver_M!$B$1:$B$1000,0),MATCH(data!AG$1,Haver_M!$B$1:$ZN$1,0)),"na")</f>
        <v>na</v>
      </c>
      <c r="AH50" t="str">
        <f>IF(ISNUMBER(INDEX(Haver_M!$B$1:$ZN$1000,MATCH(data!$A50,Haver_M!$B$1:$B$1000,0),MATCH(data!AH$1,Haver_M!$B$1:$ZN$1,0))),INDEX(Haver_M!$B$1:$ZN$1000,MATCH(data!$A50,Haver_M!$B$1:$B$1000,0),MATCH(data!AH$1,Haver_M!$B$1:$ZN$1,0)),"na")</f>
        <v>na</v>
      </c>
      <c r="AI50" t="str">
        <f>IF(ISNUMBER(INDEX(Haver_M!$B$1:$ZN$1000,MATCH(data!$A50,Haver_M!$B$1:$B$1000,0),MATCH(data!AI$1,Haver_M!$B$1:$ZN$1,0))),INDEX(Haver_M!$B$1:$ZN$1000,MATCH(data!$A50,Haver_M!$B$1:$B$1000,0),MATCH(data!AI$1,Haver_M!$B$1:$ZN$1,0)),"na")</f>
        <v>na</v>
      </c>
      <c r="AJ50" t="str">
        <f>IF(ISNUMBER(INDEX(Haver_M!$B$1:$ZN$1000,MATCH(data!$A50,Haver_M!$B$1:$B$1000,0),MATCH(data!AJ$1,Haver_M!$B$1:$ZN$1,0))),INDEX(Haver_M!$B$1:$ZN$1000,MATCH(data!$A50,Haver_M!$B$1:$B$1000,0),MATCH(data!AJ$1,Haver_M!$B$1:$ZN$1,0)),"na")</f>
        <v>na</v>
      </c>
      <c r="AK50" t="str">
        <f>IF(ISNUMBER(INDEX(Haver_M!$B$1:$ZN$1000,MATCH(data!$A50,Haver_M!$B$1:$B$1000,0),MATCH(data!AK$1,Haver_M!$B$1:$ZN$1,0))),INDEX(Haver_M!$B$1:$ZN$1000,MATCH(data!$A50,Haver_M!$B$1:$B$1000,0),MATCH(data!AK$1,Haver_M!$B$1:$ZN$1,0)),"na")</f>
        <v>na</v>
      </c>
      <c r="AL50" t="str">
        <f>IF(ISNUMBER(INDEX(Haver_M!$B$1:$ZN$1000,MATCH(data!$A50,Haver_M!$B$1:$B$1000,0),MATCH(data!AL$1,Haver_M!$B$1:$ZN$1,0))),INDEX(Haver_M!$B$1:$ZN$1000,MATCH(data!$A50,Haver_M!$B$1:$B$1000,0),MATCH(data!AL$1,Haver_M!$B$1:$ZN$1,0)),"na")</f>
        <v>na</v>
      </c>
      <c r="AM50" t="str">
        <f>IF(ISNUMBER(INDEX(Haver_M!$B$1:$ZN$1000,MATCH(data!$A50,Haver_M!$B$1:$B$1000,0),MATCH(data!AM$1,Haver_M!$B$1:$ZN$1,0))),INDEX(Haver_M!$B$1:$ZN$1000,MATCH(data!$A50,Haver_M!$B$1:$B$1000,0),MATCH(data!AM$1,Haver_M!$B$1:$ZN$1,0)),"na")</f>
        <v>na</v>
      </c>
      <c r="AN50" t="str">
        <f>IF(ISNUMBER(INDEX(Haver_M!$B$1:$ZN$1000,MATCH(data!$A50,Haver_M!$B$1:$B$1000,0),MATCH(data!AN$1,Haver_M!$B$1:$ZN$1,0))),INDEX(Haver_M!$B$1:$ZN$1000,MATCH(data!$A50,Haver_M!$B$1:$B$1000,0),MATCH(data!AN$1,Haver_M!$B$1:$ZN$1,0)),"na")</f>
        <v>na</v>
      </c>
      <c r="AO50" t="str">
        <f>IF(ISNUMBER(INDEX(Haver_M!$B$1:$ZN$1000,MATCH(data!$A50,Haver_M!$B$1:$B$1000,0),MATCH(data!AO$1,Haver_M!$B$1:$ZN$1,0))),INDEX(Haver_M!$B$1:$ZN$1000,MATCH(data!$A50,Haver_M!$B$1:$B$1000,0),MATCH(data!AO$1,Haver_M!$B$1:$ZN$1,0)),"na")</f>
        <v>na</v>
      </c>
      <c r="AP50" t="str">
        <f>IF(ISNUMBER(INDEX(Haver_M!$B$1:$ZN$1000,MATCH(data!$A50,Haver_M!$B$1:$B$1000,0),MATCH(data!AP$1,Haver_M!$B$1:$ZN$1,0))),INDEX(Haver_M!$B$1:$ZN$1000,MATCH(data!$A50,Haver_M!$B$1:$B$1000,0),MATCH(data!AP$1,Haver_M!$B$1:$ZN$1,0)),"na")</f>
        <v>na</v>
      </c>
      <c r="AQ50" t="str">
        <f>IF(ISNUMBER(INDEX(Haver_M!$B$1:$ZN$1000,MATCH(data!$A50,Haver_M!$B$1:$B$1000,0),MATCH(data!AQ$1,Haver_M!$B$1:$ZN$1,0))),INDEX(Haver_M!$B$1:$ZN$1000,MATCH(data!$A50,Haver_M!$B$1:$B$1000,0),MATCH(data!AQ$1,Haver_M!$B$1:$ZN$1,0)),"na")</f>
        <v>na</v>
      </c>
      <c r="AR50" t="str">
        <f>IF(ISNUMBER(INDEX(Haver_M!$B$1:$ZN$1000,MATCH(data!$A50,Haver_M!$B$1:$B$1000,0),MATCH(data!AR$1,Haver_M!$B$1:$ZN$1,0))),INDEX(Haver_M!$B$1:$ZN$1000,MATCH(data!$A50,Haver_M!$B$1:$B$1000,0),MATCH(data!AR$1,Haver_M!$B$1:$ZN$1,0)),"na")</f>
        <v>na</v>
      </c>
      <c r="AS50">
        <f>IF(ISNUMBER(INDEX(Haver_M!$B$1:$ZN$1000,MATCH(data!$A50,Haver_M!$B$1:$B$1000,0),MATCH(data!AS$1,Haver_M!$B$1:$ZN$1,0))),INDEX(Haver_M!$B$1:$ZN$1000,MATCH(data!$A50,Haver_M!$B$1:$B$1000,0),MATCH(data!AS$1,Haver_M!$B$1:$ZN$1,0)),"na")</f>
        <v>9267.7900000000009</v>
      </c>
      <c r="AT50">
        <f>IF(ISNUMBER(INDEX(Haver_M!$B$1:$ZN$1000,MATCH(data!$A50,Haver_M!$B$1:$B$1000,0),MATCH(data!AT$1,Haver_M!$B$1:$ZN$1,0))),INDEX(Haver_M!$B$1:$ZN$1000,MATCH(data!$A50,Haver_M!$B$1:$B$1000,0),MATCH(data!AT$1,Haver_M!$B$1:$ZN$1,0)),"na")</f>
        <v>83.436000000000007</v>
      </c>
      <c r="AU50">
        <f>IF(ISNUMBER(INDEX(Haver_M!$B$1:$ZN$1000,MATCH(data!$A50,Haver_M!$B$1:$B$1000,0),MATCH(data!AU$1,Haver_M!$B$1:$ZN$1,0))),INDEX(Haver_M!$B$1:$ZN$1000,MATCH(data!$A50,Haver_M!$B$1:$B$1000,0),MATCH(data!AU$1,Haver_M!$B$1:$ZN$1,0)),"na")</f>
        <v>82.175197999999995</v>
      </c>
      <c r="AV50">
        <f>IF(ISNUMBER(INDEX(Haver_M!$B$1:$ZN$1000,MATCH(data!$A50,Haver_M!$B$1:$B$1000,0),MATCH(data!AV$1,Haver_M!$B$1:$ZN$1,0))),INDEX(Haver_M!$B$1:$ZN$1000,MATCH(data!$A50,Haver_M!$B$1:$B$1000,0),MATCH(data!AV$1,Haver_M!$B$1:$ZN$1,0)),"na")</f>
        <v>75.2</v>
      </c>
      <c r="AW50">
        <f>IF(ISNUMBER(INDEX(Haver_M!$B$1:$ZN$1000,MATCH(data!$A50,Haver_M!$B$1:$B$1000,0),MATCH(data!AW$1,Haver_M!$B$1:$ZN$1,0))),INDEX(Haver_M!$B$1:$ZN$1000,MATCH(data!$A50,Haver_M!$B$1:$B$1000,0),MATCH(data!AW$1,Haver_M!$B$1:$ZN$1,0)),"na")</f>
        <v>843411.59110963473</v>
      </c>
      <c r="AX50">
        <f>IF(ISNUMBER(INDEX(Haver_M!$B$1:$ZN$1000,MATCH(data!$A50,Haver_M!$B$1:$B$1000,0),MATCH(data!AX$1,Haver_M!$B$1:$ZN$1,0))),INDEX(Haver_M!$B$1:$ZN$1000,MATCH(data!$A50,Haver_M!$B$1:$B$1000,0),MATCH(data!AX$1,Haver_M!$B$1:$ZN$1,0)),"na")</f>
        <v>3387</v>
      </c>
      <c r="AY50">
        <f>IF(ISNUMBER(INDEX(Haver_M!$B$1:$ZN$1000,MATCH(data!$A50,Haver_M!$B$1:$B$1000,0),MATCH(data!AY$1,Haver_M!$B$1:$ZN$1,0))),INDEX(Haver_M!$B$1:$ZN$1000,MATCH(data!$A50,Haver_M!$B$1:$B$1000,0),MATCH(data!AY$1,Haver_M!$B$1:$ZN$1,0)),"na")</f>
        <v>1897</v>
      </c>
      <c r="AZ50" t="str">
        <f>IF(ISNUMBER(INDEX(Haver_M!$B$1:$ZN$1000,MATCH(data!$A50,Haver_M!$B$1:$B$1000,0),MATCH(data!AZ$1,Haver_M!$B$1:$ZN$1,0))),INDEX(Haver_M!$B$1:$ZN$1000,MATCH(data!$A50,Haver_M!$B$1:$B$1000,0),MATCH(data!AZ$1,Haver_M!$B$1:$ZN$1,0)),"na")</f>
        <v>na</v>
      </c>
      <c r="BA50">
        <f>IF(ISNUMBER(INDEX(Haver_M!$B$1:$ZN$1000,MATCH(data!$A50,Haver_M!$B$1:$B$1000,0),MATCH(data!BA$1,Haver_M!$B$1:$ZN$1,0))),INDEX(Haver_M!$B$1:$ZN$1000,MATCH(data!$A50,Haver_M!$B$1:$B$1000,0),MATCH(data!BA$1,Haver_M!$B$1:$ZN$1,0)),"na")</f>
        <v>99.450042525629357</v>
      </c>
      <c r="BB50" t="str">
        <f>IF(ISNUMBER(INDEX(Haver_M!$B$1:$ZN$1000,MATCH(data!$A50,Haver_M!$B$1:$B$1000,0),MATCH(data!BB$1,Haver_M!$B$1:$ZN$1,0))),INDEX(Haver_M!$B$1:$ZN$1000,MATCH(data!$A50,Haver_M!$B$1:$B$1000,0),MATCH(data!BB$1,Haver_M!$B$1:$ZN$1,0)),"")</f>
        <v/>
      </c>
    </row>
    <row r="51" spans="1:54" x14ac:dyDescent="0.25">
      <c r="A51" s="2">
        <v>38046</v>
      </c>
      <c r="B51" t="str">
        <f>IF(ISNUMBER(INDEX(Haver_Q!$B$1:$BD$1000,MATCH(data!$A51,Haver_Q!$B$1:$B$1000,0),MATCH(data!B$1,Haver_Q!$B$1:$BD$1,0))),100*INDEX(Haver_Q!$B$1:$BD$1000,MATCH(data!$A51,Haver_Q!$B$1:$B$1000,0),MATCH(data!B$1,Haver_Q!$B$1:$BD$1,0)),"na")</f>
        <v>na</v>
      </c>
      <c r="C51" t="str">
        <f>IF(ISNUMBER(INDEX(Haver_Q!$B$1:$BD$1000,MATCH(data!$A51,Haver_Q!$B$1:$B$1000,0),MATCH(data!C$1,Haver_Q!$B$1:$BD$1,0))),100*INDEX(Haver_Q!$B$1:$BD$1000,MATCH(data!$A51,Haver_Q!$B$1:$B$1000,0),MATCH(data!C$1,Haver_Q!$B$1:$BD$1,0)),"na")</f>
        <v>na</v>
      </c>
      <c r="D51" t="str">
        <f>IF(ISNUMBER(INDEX(Haver_Q!$B$1:$BD$1000,MATCH(data!$A51,Haver_Q!$B$1:$B$1000,0),MATCH(data!D$1,Haver_Q!$B$1:$BD$1,0))),100*INDEX(Haver_Q!$B$1:$BD$1000,MATCH(data!$A51,Haver_Q!$B$1:$B$1000,0),MATCH(data!D$1,Haver_Q!$B$1:$BD$1,0)),"na")</f>
        <v>na</v>
      </c>
      <c r="E51" t="str">
        <f>IF(ISNUMBER(INDEX(Haver_Q!$B$1:$BD$1000,MATCH(data!$A51,Haver_Q!$B$1:$B$1000,0),MATCH(data!E$1,Haver_Q!$B$1:$BD$1,0))),100*INDEX(Haver_Q!$B$1:$BD$1000,MATCH(data!$A51,Haver_Q!$B$1:$B$1000,0),MATCH(data!E$1,Haver_Q!$B$1:$BD$1,0)),"na")</f>
        <v>na</v>
      </c>
      <c r="F51" t="str">
        <f>IF(ISNUMBER(INDEX(Haver_Q!$B$1:$BD$1000,MATCH(data!$A51,Haver_Q!$B$1:$B$1000,0),MATCH(data!F$1,Haver_Q!$B$1:$BD$1,0))),100*INDEX(Haver_Q!$B$1:$BD$1000,MATCH(data!$A51,Haver_Q!$B$1:$B$1000,0),MATCH(data!F$1,Haver_Q!$B$1:$BD$1,0)),"na")</f>
        <v>na</v>
      </c>
      <c r="G51" t="str">
        <f>IF(ISNUMBER(INDEX(Haver_Q!$B$1:$BD$1000,MATCH(data!$A51,Haver_Q!$B$1:$B$1000,0),MATCH(data!G$1,Haver_Q!$B$1:$BD$1,0))),100*INDEX(Haver_Q!$B$1:$BD$1000,MATCH(data!$A51,Haver_Q!$B$1:$B$1000,0),MATCH(data!G$1,Haver_Q!$B$1:$BD$1,0)),"na")</f>
        <v>na</v>
      </c>
      <c r="H51" t="str">
        <f>IF(ISNUMBER(INDEX(Haver_Q!$B$1:$BD$1000,MATCH(data!$A51,Haver_Q!$B$1:$B$1000,0),MATCH(data!H$1,Haver_Q!$B$1:$BD$1,0))),100*INDEX(Haver_Q!$B$1:$BD$1000,MATCH(data!$A51,Haver_Q!$B$1:$B$1000,0),MATCH(data!H$1,Haver_Q!$B$1:$BD$1,0)),"na")</f>
        <v>na</v>
      </c>
      <c r="I51" s="3">
        <f>IF(ISNUMBER(Bloomberg_m!C67),Bloomberg_m!C67,"na")</f>
        <v>5450</v>
      </c>
      <c r="J51" s="3" t="str">
        <f>IF(ISNUMBER(Bloomberg_m!D67),Bloomberg_m!D67,"na")</f>
        <v>na</v>
      </c>
      <c r="K51" s="3" t="str">
        <f>IF(ISNUMBER(Bloomberg_m!E67),Bloomberg_m!E67,"na")</f>
        <v>na</v>
      </c>
      <c r="L51" s="3">
        <f>IF(ISNUMBER(Bloomberg_m!L67),Bloomberg_m!L67,"na")</f>
        <v>34.729999999999997</v>
      </c>
      <c r="M51" t="str">
        <f>IF(ISNUMBER(INDEX(Haver_M!$B$1:$ZN$1000,MATCH(data!$A51,Haver_M!$B$1:$B$1000,0),MATCH(data!M$1,Haver_M!$B$1:$ZN$1,0))),INDEX(Haver_M!$B$1:$ZN$1000,MATCH(data!$A51,Haver_M!$B$1:$B$1000,0),MATCH(data!M$1,Haver_M!$B$1:$ZN$1,0)),"na")</f>
        <v>na</v>
      </c>
      <c r="N51" t="str">
        <f>IF(ISNUMBER(INDEX(Haver_M!$B$1:$ZN$1000,MATCH(data!$A51,Haver_M!$B$1:$B$1000,0),MATCH(data!N$1,Haver_M!$B$1:$ZN$1,0))),INDEX(Haver_M!$B$1:$ZN$1000,MATCH(data!$A51,Haver_M!$B$1:$B$1000,0),MATCH(data!N$1,Haver_M!$B$1:$ZN$1,0)),"na")</f>
        <v>na</v>
      </c>
      <c r="O51">
        <f>IF(ISNUMBER(INDEX(Haver_M!$B$1:$ZN$1000,MATCH(data!$A51,Haver_M!$B$1:$B$1000,0),MATCH(data!O$1,Haver_M!$B$1:$ZN$1,0))),INDEX(Haver_M!$B$1:$ZN$1000,MATCH(data!$A51,Haver_M!$B$1:$B$1000,0),MATCH(data!O$1,Haver_M!$B$1:$ZN$1,0)),"na")</f>
        <v>109.61216</v>
      </c>
      <c r="P51">
        <f>IF(ISNUMBER(INDEX(Haver_M!$B$1:$ZN$1000,MATCH(data!$A51,Haver_M!$B$1:$B$1000,0),MATCH(data!P$1,Haver_M!$B$1:$ZN$1,0))),INDEX(Haver_M!$B$1:$ZN$1000,MATCH(data!$A51,Haver_M!$B$1:$B$1000,0),MATCH(data!P$1,Haver_M!$B$1:$ZN$1,0)),"na")</f>
        <v>55.859000000000002</v>
      </c>
      <c r="Q51">
        <f>IF(ISNUMBER(INDEX(Haver_M!$B$1:$ZN$1000,MATCH(data!$A51,Haver_M!$B$1:$B$1000,0),MATCH(data!Q$1,Haver_M!$B$1:$ZN$1,0))),INDEX(Haver_M!$B$1:$ZN$1000,MATCH(data!$A51,Haver_M!$B$1:$B$1000,0),MATCH(data!Q$1,Haver_M!$B$1:$ZN$1,0)),"na")</f>
        <v>59.803400000000003</v>
      </c>
      <c r="R51">
        <f>IF(ISNUMBER(INDEX(Haver_M!$B$1:$ZN$1000,MATCH(data!$A51,Haver_M!$B$1:$B$1000,0),MATCH(data!R$1,Haver_M!$B$1:$ZN$1,0))),INDEX(Haver_M!$B$1:$ZN$1000,MATCH(data!$A51,Haver_M!$B$1:$B$1000,0),MATCH(data!R$1,Haver_M!$B$1:$ZN$1,0)),"na")</f>
        <v>90.892300000000006</v>
      </c>
      <c r="S51">
        <f>IF(ISNUMBER(INDEX(Haver_M!$B$1:$ZN$1000,MATCH(data!$A51,Haver_M!$B$1:$B$1000,0),MATCH(data!S$1,Haver_M!$B$1:$ZN$1,0))),INDEX(Haver_M!$B$1:$ZN$1000,MATCH(data!$A51,Haver_M!$B$1:$B$1000,0),MATCH(data!S$1,Haver_M!$B$1:$ZN$1,0)),"na")</f>
        <v>112.5663</v>
      </c>
      <c r="T51">
        <f>IF(ISNUMBER(INDEX(Haver_M!$B$1:$ZN$1000,MATCH(data!$A51,Haver_M!$B$1:$B$1000,0),MATCH(data!T$1,Haver_M!$B$1:$ZN$1,0))),INDEX(Haver_M!$B$1:$ZN$1000,MATCH(data!$A51,Haver_M!$B$1:$B$1000,0),MATCH(data!T$1,Haver_M!$B$1:$ZN$1,0)),"na")</f>
        <v>65.586200000000005</v>
      </c>
      <c r="U51">
        <f>IF(ISNUMBER(INDEX(Haver_M!$B$1:$ZN$1000,MATCH(data!$A51,Haver_M!$B$1:$B$1000,0),MATCH(data!U$1,Haver_M!$B$1:$ZN$1,0))),INDEX(Haver_M!$B$1:$ZN$1000,MATCH(data!$A51,Haver_M!$B$1:$B$1000,0),MATCH(data!U$1,Haver_M!$B$1:$ZN$1,0)),"na")</f>
        <v>82.461200000000005</v>
      </c>
      <c r="V51">
        <f>IF(ISNUMBER(INDEX(Haver_M!$B$1:$ZN$1000,MATCH(data!$A51,Haver_M!$B$1:$B$1000,0),MATCH(data!V$1,Haver_M!$B$1:$ZN$1,0))),INDEX(Haver_M!$B$1:$ZN$1000,MATCH(data!$A51,Haver_M!$B$1:$B$1000,0),MATCH(data!V$1,Haver_M!$B$1:$ZN$1,0)),"na")</f>
        <v>87.401499999999999</v>
      </c>
      <c r="W51">
        <f>IF(ISNUMBER(INDEX(Haver_M!$B$1:$ZN$1000,MATCH(data!$A51,Haver_M!$B$1:$B$1000,0),MATCH(data!W$1,Haver_M!$B$1:$ZN$1,0))),INDEX(Haver_M!$B$1:$ZN$1000,MATCH(data!$A51,Haver_M!$B$1:$B$1000,0),MATCH(data!W$1,Haver_M!$B$1:$ZN$1,0)),"na")</f>
        <v>3.98</v>
      </c>
      <c r="X51" t="str">
        <f>IF(ISNUMBER(INDEX(Haver_M!$B$1:$ZN$1000,MATCH(data!$A51,Haver_M!$B$1:$B$1000,0),MATCH(data!X$1,Haver_M!$B$1:$ZN$1,0))),INDEX(Haver_M!$B$1:$ZN$1000,MATCH(data!$A51,Haver_M!$B$1:$B$1000,0),MATCH(data!X$1,Haver_M!$B$1:$ZN$1,0)),"na")</f>
        <v>na</v>
      </c>
      <c r="Y51">
        <f>IF(ISNUMBER(INDEX(Haver_M!$B$1:$ZN$1000,MATCH(data!$A51,Haver_M!$B$1:$B$1000,0),MATCH(data!Y$1,Haver_M!$B$1:$ZN$1,0))),INDEX(Haver_M!$B$1:$ZN$1000,MATCH(data!$A51,Haver_M!$B$1:$B$1000,0),MATCH(data!Y$1,Haver_M!$B$1:$ZN$1,0)),"na")</f>
        <v>100.25</v>
      </c>
      <c r="Z51">
        <f>IF(ISNUMBER(INDEX(Haver_M!$B$1:$ZN$1000,MATCH(data!$A51,Haver_M!$B$1:$B$1000,0),MATCH(data!Z$1,Haver_M!$B$1:$ZN$1,0))),INDEX(Haver_M!$B$1:$ZN$1000,MATCH(data!$A51,Haver_M!$B$1:$B$1000,0),MATCH(data!Z$1,Haver_M!$B$1:$ZN$1,0)),"na")</f>
        <v>85.181700000000006</v>
      </c>
      <c r="AA51" t="str">
        <f>IF(ISNUMBER(INDEX(Haver_M!$B$1:$ZN$1000,MATCH(data!$A51,Haver_M!$B$1:$B$1000,0),MATCH(data!AA$1,Haver_M!$B$1:$ZN$1,0))),INDEX(Haver_M!$B$1:$ZN$1000,MATCH(data!$A51,Haver_M!$B$1:$B$1000,0),MATCH(data!AA$1,Haver_M!$B$1:$ZN$1,0)),"na")</f>
        <v>na</v>
      </c>
      <c r="AB51">
        <f>IF(ISNUMBER(INDEX(Haver_M!$B$1:$ZN$1000,MATCH(data!$A51,Haver_M!$B$1:$B$1000,0),MATCH(data!AB$1,Haver_M!$B$1:$ZN$1,0))),INDEX(Haver_M!$B$1:$ZN$1000,MATCH(data!$A51,Haver_M!$B$1:$B$1000,0),MATCH(data!AB$1,Haver_M!$B$1:$ZN$1,0)),"na")</f>
        <v>14822.2</v>
      </c>
      <c r="AC51">
        <f>IF(ISNUMBER(INDEX(Haver_M!$B$1:$ZN$1000,MATCH(data!$A51,Haver_M!$B$1:$B$1000,0),MATCH(data!AC$1,Haver_M!$B$1:$ZN$1,0))),INDEX(Haver_M!$B$1:$ZN$1000,MATCH(data!$A51,Haver_M!$B$1:$B$1000,0),MATCH(data!AC$1,Haver_M!$B$1:$ZN$1,0)),"na")</f>
        <v>15436.3</v>
      </c>
      <c r="AD51">
        <f>IF(ISNUMBER(INDEX(Haver_M!$B$1:$ZN$1000,MATCH(data!$A51,Haver_M!$B$1:$B$1000,0),MATCH(data!AD$1,Haver_M!$B$1:$ZN$1,0))),INDEX(Haver_M!$B$1:$ZN$1000,MATCH(data!$A51,Haver_M!$B$1:$B$1000,0),MATCH(data!AD$1,Haver_M!$B$1:$ZN$1,0)),"na")</f>
        <v>98.91</v>
      </c>
      <c r="AE51">
        <f>IF(ISNUMBER(INDEX(Haver_M!$B$1:$ZN$1000,MATCH(data!$A51,Haver_M!$B$1:$B$1000,0),MATCH(data!AE$1,Haver_M!$B$1:$ZN$1,0))),INDEX(Haver_M!$B$1:$ZN$1000,MATCH(data!$A51,Haver_M!$B$1:$B$1000,0),MATCH(data!AE$1,Haver_M!$B$1:$ZN$1,0)),"na")</f>
        <v>40</v>
      </c>
      <c r="AF51">
        <f>IF(ISNUMBER(INDEX(Haver_M!$B$1:$ZN$1000,MATCH(data!$A51,Haver_M!$B$1:$B$1000,0),MATCH(data!AF$1,Haver_M!$B$1:$ZN$1,0))),INDEX(Haver_M!$B$1:$ZN$1000,MATCH(data!$A51,Haver_M!$B$1:$B$1000,0),MATCH(data!AF$1,Haver_M!$B$1:$ZN$1,0)),"na")</f>
        <v>99.11</v>
      </c>
      <c r="AG51" t="str">
        <f>IF(ISNUMBER(INDEX(Haver_M!$B$1:$ZN$1000,MATCH(data!$A51,Haver_M!$B$1:$B$1000,0),MATCH(data!AG$1,Haver_M!$B$1:$ZN$1,0))),INDEX(Haver_M!$B$1:$ZN$1000,MATCH(data!$A51,Haver_M!$B$1:$B$1000,0),MATCH(data!AG$1,Haver_M!$B$1:$ZN$1,0)),"na")</f>
        <v>na</v>
      </c>
      <c r="AH51" t="str">
        <f>IF(ISNUMBER(INDEX(Haver_M!$B$1:$ZN$1000,MATCH(data!$A51,Haver_M!$B$1:$B$1000,0),MATCH(data!AH$1,Haver_M!$B$1:$ZN$1,0))),INDEX(Haver_M!$B$1:$ZN$1000,MATCH(data!$A51,Haver_M!$B$1:$B$1000,0),MATCH(data!AH$1,Haver_M!$B$1:$ZN$1,0)),"na")</f>
        <v>na</v>
      </c>
      <c r="AI51" t="str">
        <f>IF(ISNUMBER(INDEX(Haver_M!$B$1:$ZN$1000,MATCH(data!$A51,Haver_M!$B$1:$B$1000,0),MATCH(data!AI$1,Haver_M!$B$1:$ZN$1,0))),INDEX(Haver_M!$B$1:$ZN$1000,MATCH(data!$A51,Haver_M!$B$1:$B$1000,0),MATCH(data!AI$1,Haver_M!$B$1:$ZN$1,0)),"na")</f>
        <v>na</v>
      </c>
      <c r="AJ51" t="str">
        <f>IF(ISNUMBER(INDEX(Haver_M!$B$1:$ZN$1000,MATCH(data!$A51,Haver_M!$B$1:$B$1000,0),MATCH(data!AJ$1,Haver_M!$B$1:$ZN$1,0))),INDEX(Haver_M!$B$1:$ZN$1000,MATCH(data!$A51,Haver_M!$B$1:$B$1000,0),MATCH(data!AJ$1,Haver_M!$B$1:$ZN$1,0)),"na")</f>
        <v>na</v>
      </c>
      <c r="AK51" t="str">
        <f>IF(ISNUMBER(INDEX(Haver_M!$B$1:$ZN$1000,MATCH(data!$A51,Haver_M!$B$1:$B$1000,0),MATCH(data!AK$1,Haver_M!$B$1:$ZN$1,0))),INDEX(Haver_M!$B$1:$ZN$1000,MATCH(data!$A51,Haver_M!$B$1:$B$1000,0),MATCH(data!AK$1,Haver_M!$B$1:$ZN$1,0)),"na")</f>
        <v>na</v>
      </c>
      <c r="AL51" t="str">
        <f>IF(ISNUMBER(INDEX(Haver_M!$B$1:$ZN$1000,MATCH(data!$A51,Haver_M!$B$1:$B$1000,0),MATCH(data!AL$1,Haver_M!$B$1:$ZN$1,0))),INDEX(Haver_M!$B$1:$ZN$1000,MATCH(data!$A51,Haver_M!$B$1:$B$1000,0),MATCH(data!AL$1,Haver_M!$B$1:$ZN$1,0)),"na")</f>
        <v>na</v>
      </c>
      <c r="AM51" t="str">
        <f>IF(ISNUMBER(INDEX(Haver_M!$B$1:$ZN$1000,MATCH(data!$A51,Haver_M!$B$1:$B$1000,0),MATCH(data!AM$1,Haver_M!$B$1:$ZN$1,0))),INDEX(Haver_M!$B$1:$ZN$1000,MATCH(data!$A51,Haver_M!$B$1:$B$1000,0),MATCH(data!AM$1,Haver_M!$B$1:$ZN$1,0)),"na")</f>
        <v>na</v>
      </c>
      <c r="AN51" t="str">
        <f>IF(ISNUMBER(INDEX(Haver_M!$B$1:$ZN$1000,MATCH(data!$A51,Haver_M!$B$1:$B$1000,0),MATCH(data!AN$1,Haver_M!$B$1:$ZN$1,0))),INDEX(Haver_M!$B$1:$ZN$1000,MATCH(data!$A51,Haver_M!$B$1:$B$1000,0),MATCH(data!AN$1,Haver_M!$B$1:$ZN$1,0)),"na")</f>
        <v>na</v>
      </c>
      <c r="AO51" t="str">
        <f>IF(ISNUMBER(INDEX(Haver_M!$B$1:$ZN$1000,MATCH(data!$A51,Haver_M!$B$1:$B$1000,0),MATCH(data!AO$1,Haver_M!$B$1:$ZN$1,0))),INDEX(Haver_M!$B$1:$ZN$1000,MATCH(data!$A51,Haver_M!$B$1:$B$1000,0),MATCH(data!AO$1,Haver_M!$B$1:$ZN$1,0)),"na")</f>
        <v>na</v>
      </c>
      <c r="AP51" t="str">
        <f>IF(ISNUMBER(INDEX(Haver_M!$B$1:$ZN$1000,MATCH(data!$A51,Haver_M!$B$1:$B$1000,0),MATCH(data!AP$1,Haver_M!$B$1:$ZN$1,0))),INDEX(Haver_M!$B$1:$ZN$1000,MATCH(data!$A51,Haver_M!$B$1:$B$1000,0),MATCH(data!AP$1,Haver_M!$B$1:$ZN$1,0)),"na")</f>
        <v>na</v>
      </c>
      <c r="AQ51" t="str">
        <f>IF(ISNUMBER(INDEX(Haver_M!$B$1:$ZN$1000,MATCH(data!$A51,Haver_M!$B$1:$B$1000,0),MATCH(data!AQ$1,Haver_M!$B$1:$ZN$1,0))),INDEX(Haver_M!$B$1:$ZN$1000,MATCH(data!$A51,Haver_M!$B$1:$B$1000,0),MATCH(data!AQ$1,Haver_M!$B$1:$ZN$1,0)),"na")</f>
        <v>na</v>
      </c>
      <c r="AR51" t="str">
        <f>IF(ISNUMBER(INDEX(Haver_M!$B$1:$ZN$1000,MATCH(data!$A51,Haver_M!$B$1:$B$1000,0),MATCH(data!AR$1,Haver_M!$B$1:$ZN$1,0))),INDEX(Haver_M!$B$1:$ZN$1000,MATCH(data!$A51,Haver_M!$B$1:$B$1000,0),MATCH(data!AR$1,Haver_M!$B$1:$ZN$1,0)),"na")</f>
        <v>na</v>
      </c>
      <c r="AS51">
        <f>IF(ISNUMBER(INDEX(Haver_M!$B$1:$ZN$1000,MATCH(data!$A51,Haver_M!$B$1:$B$1000,0),MATCH(data!AS$1,Haver_M!$B$1:$ZN$1,0))),INDEX(Haver_M!$B$1:$ZN$1000,MATCH(data!$A51,Haver_M!$B$1:$B$1000,0),MATCH(data!AS$1,Haver_M!$B$1:$ZN$1,0)),"na")</f>
        <v>9897.86</v>
      </c>
      <c r="AT51">
        <f>IF(ISNUMBER(INDEX(Haver_M!$B$1:$ZN$1000,MATCH(data!$A51,Haver_M!$B$1:$B$1000,0),MATCH(data!AT$1,Haver_M!$B$1:$ZN$1,0))),INDEX(Haver_M!$B$1:$ZN$1000,MATCH(data!$A51,Haver_M!$B$1:$B$1000,0),MATCH(data!AT$1,Haver_M!$B$1:$ZN$1,0)),"na")</f>
        <v>84.781999999999996</v>
      </c>
      <c r="AU51">
        <f>IF(ISNUMBER(INDEX(Haver_M!$B$1:$ZN$1000,MATCH(data!$A51,Haver_M!$B$1:$B$1000,0),MATCH(data!AU$1,Haver_M!$B$1:$ZN$1,0))),INDEX(Haver_M!$B$1:$ZN$1000,MATCH(data!$A51,Haver_M!$B$1:$B$1000,0),MATCH(data!AU$1,Haver_M!$B$1:$ZN$1,0)),"na")</f>
        <v>82.483082999999993</v>
      </c>
      <c r="AV51">
        <f>IF(ISNUMBER(INDEX(Haver_M!$B$1:$ZN$1000,MATCH(data!$A51,Haver_M!$B$1:$B$1000,0),MATCH(data!AV$1,Haver_M!$B$1:$ZN$1,0))),INDEX(Haver_M!$B$1:$ZN$1000,MATCH(data!$A51,Haver_M!$B$1:$B$1000,0),MATCH(data!AV$1,Haver_M!$B$1:$ZN$1,0)),"na")</f>
        <v>73.3</v>
      </c>
      <c r="AW51">
        <f>IF(ISNUMBER(INDEX(Haver_M!$B$1:$ZN$1000,MATCH(data!$A51,Haver_M!$B$1:$B$1000,0),MATCH(data!AW$1,Haver_M!$B$1:$ZN$1,0))),INDEX(Haver_M!$B$1:$ZN$1000,MATCH(data!$A51,Haver_M!$B$1:$B$1000,0),MATCH(data!AW$1,Haver_M!$B$1:$ZN$1,0)),"na")</f>
        <v>877687.70372953382</v>
      </c>
      <c r="AX51">
        <f>IF(ISNUMBER(INDEX(Haver_M!$B$1:$ZN$1000,MATCH(data!$A51,Haver_M!$B$1:$B$1000,0),MATCH(data!AX$1,Haver_M!$B$1:$ZN$1,0))),INDEX(Haver_M!$B$1:$ZN$1000,MATCH(data!$A51,Haver_M!$B$1:$B$1000,0),MATCH(data!AX$1,Haver_M!$B$1:$ZN$1,0)),"na")</f>
        <v>3367</v>
      </c>
      <c r="AY51">
        <f>IF(ISNUMBER(INDEX(Haver_M!$B$1:$ZN$1000,MATCH(data!$A51,Haver_M!$B$1:$B$1000,0),MATCH(data!AY$1,Haver_M!$B$1:$ZN$1,0))),INDEX(Haver_M!$B$1:$ZN$1000,MATCH(data!$A51,Haver_M!$B$1:$B$1000,0),MATCH(data!AY$1,Haver_M!$B$1:$ZN$1,0)),"na")</f>
        <v>1752</v>
      </c>
      <c r="AZ51" t="str">
        <f>IF(ISNUMBER(INDEX(Haver_M!$B$1:$ZN$1000,MATCH(data!$A51,Haver_M!$B$1:$B$1000,0),MATCH(data!AZ$1,Haver_M!$B$1:$ZN$1,0))),INDEX(Haver_M!$B$1:$ZN$1000,MATCH(data!$A51,Haver_M!$B$1:$B$1000,0),MATCH(data!AZ$1,Haver_M!$B$1:$ZN$1,0)),"na")</f>
        <v>na</v>
      </c>
      <c r="BA51">
        <f>IF(ISNUMBER(INDEX(Haver_M!$B$1:$ZN$1000,MATCH(data!$A51,Haver_M!$B$1:$B$1000,0),MATCH(data!BA$1,Haver_M!$B$1:$ZN$1,0))),INDEX(Haver_M!$B$1:$ZN$1000,MATCH(data!$A51,Haver_M!$B$1:$B$1000,0),MATCH(data!BA$1,Haver_M!$B$1:$ZN$1,0)),"na")</f>
        <v>103.41335512699015</v>
      </c>
      <c r="BB51" t="str">
        <f>IF(ISNUMBER(INDEX(Haver_M!$B$1:$ZN$1000,MATCH(data!$A51,Haver_M!$B$1:$B$1000,0),MATCH(data!BB$1,Haver_M!$B$1:$ZN$1,0))),INDEX(Haver_M!$B$1:$ZN$1000,MATCH(data!$A51,Haver_M!$B$1:$B$1000,0),MATCH(data!BB$1,Haver_M!$B$1:$ZN$1,0)),"")</f>
        <v/>
      </c>
    </row>
    <row r="52" spans="1:54" x14ac:dyDescent="0.25">
      <c r="A52" s="2">
        <v>38077</v>
      </c>
      <c r="B52">
        <f>IF(ISNUMBER(INDEX(Haver_Q!$B$1:$BD$1000,MATCH(data!$A52,Haver_Q!$B$1:$B$1000,0),MATCH(data!B$1,Haver_Q!$B$1:$BD$1,0))),100*INDEX(Haver_Q!$B$1:$BD$1000,MATCH(data!$A52,Haver_Q!$B$1:$B$1000,0),MATCH(data!B$1,Haver_Q!$B$1:$BD$1,0)),"na")</f>
        <v>5.5091797657793151</v>
      </c>
      <c r="C52">
        <f>IF(ISNUMBER(INDEX(Haver_Q!$B$1:$BD$1000,MATCH(data!$A52,Haver_Q!$B$1:$B$1000,0),MATCH(data!C$1,Haver_Q!$B$1:$BD$1,0))),100*INDEX(Haver_Q!$B$1:$BD$1000,MATCH(data!$A52,Haver_Q!$B$1:$B$1000,0),MATCH(data!C$1,Haver_Q!$B$1:$BD$1,0)),"na")</f>
        <v>1.1743094167108614</v>
      </c>
      <c r="D52">
        <f>IF(ISNUMBER(INDEX(Haver_Q!$B$1:$BD$1000,MATCH(data!$A52,Haver_Q!$B$1:$B$1000,0),MATCH(data!D$1,Haver_Q!$B$1:$BD$1,0))),100*INDEX(Haver_Q!$B$1:$BD$1000,MATCH(data!$A52,Haver_Q!$B$1:$B$1000,0),MATCH(data!D$1,Haver_Q!$B$1:$BD$1,0)),"na")</f>
        <v>3.3028679134544658</v>
      </c>
      <c r="E52">
        <f>IF(ISNUMBER(INDEX(Haver_Q!$B$1:$BD$1000,MATCH(data!$A52,Haver_Q!$B$1:$B$1000,0),MATCH(data!E$1,Haver_Q!$B$1:$BD$1,0))),100*INDEX(Haver_Q!$B$1:$BD$1000,MATCH(data!$A52,Haver_Q!$B$1:$B$1000,0),MATCH(data!E$1,Haver_Q!$B$1:$BD$1,0)),"na")</f>
        <v>21.930751121548255</v>
      </c>
      <c r="F52">
        <f>IF(ISNUMBER(INDEX(Haver_Q!$B$1:$BD$1000,MATCH(data!$A52,Haver_Q!$B$1:$B$1000,0),MATCH(data!F$1,Haver_Q!$B$1:$BD$1,0))),100*INDEX(Haver_Q!$B$1:$BD$1000,MATCH(data!$A52,Haver_Q!$B$1:$B$1000,0),MATCH(data!F$1,Haver_Q!$B$1:$BD$1,0)),"na")</f>
        <v>13.719500491776637</v>
      </c>
      <c r="G52">
        <f>IF(ISNUMBER(INDEX(Haver_Q!$B$1:$BD$1000,MATCH(data!$A52,Haver_Q!$B$1:$B$1000,0),MATCH(data!G$1,Haver_Q!$B$1:$BD$1,0))),100*INDEX(Haver_Q!$B$1:$BD$1000,MATCH(data!$A52,Haver_Q!$B$1:$B$1000,0),MATCH(data!G$1,Haver_Q!$B$1:$BD$1,0)),"na")</f>
        <v>12.166751779827422</v>
      </c>
      <c r="H52">
        <f>IF(ISNUMBER(INDEX(Haver_Q!$B$1:$BD$1000,MATCH(data!$A52,Haver_Q!$B$1:$B$1000,0),MATCH(data!H$1,Haver_Q!$B$1:$BD$1,0))),100*INDEX(Haver_Q!$B$1:$BD$1000,MATCH(data!$A52,Haver_Q!$B$1:$B$1000,0),MATCH(data!H$1,Haver_Q!$B$1:$BD$1,0)),"na")</f>
        <v>418.82745849781395</v>
      </c>
      <c r="I52" s="3">
        <f>IF(ISNUMBER(Bloomberg_m!C68),Bloomberg_m!C68,"na")</f>
        <v>5131</v>
      </c>
      <c r="J52" s="3" t="str">
        <f>IF(ISNUMBER(Bloomberg_m!D68),Bloomberg_m!D68,"na")</f>
        <v>na</v>
      </c>
      <c r="K52" s="3" t="str">
        <f>IF(ISNUMBER(Bloomberg_m!E68),Bloomberg_m!E68,"na")</f>
        <v>na</v>
      </c>
      <c r="L52" s="3">
        <f>IF(ISNUMBER(Bloomberg_m!L68),Bloomberg_m!L68,"na")</f>
        <v>36.729999999999997</v>
      </c>
      <c r="M52" t="str">
        <f>IF(ISNUMBER(INDEX(Haver_M!$B$1:$ZN$1000,MATCH(data!$A52,Haver_M!$B$1:$B$1000,0),MATCH(data!M$1,Haver_M!$B$1:$ZN$1,0))),INDEX(Haver_M!$B$1:$ZN$1000,MATCH(data!$A52,Haver_M!$B$1:$B$1000,0),MATCH(data!M$1,Haver_M!$B$1:$ZN$1,0)),"na")</f>
        <v>na</v>
      </c>
      <c r="N52" t="str">
        <f>IF(ISNUMBER(INDEX(Haver_M!$B$1:$ZN$1000,MATCH(data!$A52,Haver_M!$B$1:$B$1000,0),MATCH(data!N$1,Haver_M!$B$1:$ZN$1,0))),INDEX(Haver_M!$B$1:$ZN$1000,MATCH(data!$A52,Haver_M!$B$1:$B$1000,0),MATCH(data!N$1,Haver_M!$B$1:$ZN$1,0)),"na")</f>
        <v>na</v>
      </c>
      <c r="O52">
        <f>IF(ISNUMBER(INDEX(Haver_M!$B$1:$ZN$1000,MATCH(data!$A52,Haver_M!$B$1:$B$1000,0),MATCH(data!O$1,Haver_M!$B$1:$ZN$1,0))),INDEX(Haver_M!$B$1:$ZN$1000,MATCH(data!$A52,Haver_M!$B$1:$B$1000,0),MATCH(data!O$1,Haver_M!$B$1:$ZN$1,0)),"na")</f>
        <v>110.33435</v>
      </c>
      <c r="P52">
        <f>IF(ISNUMBER(INDEX(Haver_M!$B$1:$ZN$1000,MATCH(data!$A52,Haver_M!$B$1:$B$1000,0),MATCH(data!P$1,Haver_M!$B$1:$ZN$1,0))),INDEX(Haver_M!$B$1:$ZN$1000,MATCH(data!$A52,Haver_M!$B$1:$B$1000,0),MATCH(data!P$1,Haver_M!$B$1:$ZN$1,0)),"na")</f>
        <v>56.044699999999999</v>
      </c>
      <c r="Q52">
        <f>IF(ISNUMBER(INDEX(Haver_M!$B$1:$ZN$1000,MATCH(data!$A52,Haver_M!$B$1:$B$1000,0),MATCH(data!Q$1,Haver_M!$B$1:$ZN$1,0))),INDEX(Haver_M!$B$1:$ZN$1000,MATCH(data!$A52,Haver_M!$B$1:$B$1000,0),MATCH(data!Q$1,Haver_M!$B$1:$ZN$1,0)),"na")</f>
        <v>59.989600000000003</v>
      </c>
      <c r="R52">
        <f>IF(ISNUMBER(INDEX(Haver_M!$B$1:$ZN$1000,MATCH(data!$A52,Haver_M!$B$1:$B$1000,0),MATCH(data!R$1,Haver_M!$B$1:$ZN$1,0))),INDEX(Haver_M!$B$1:$ZN$1000,MATCH(data!$A52,Haver_M!$B$1:$B$1000,0),MATCH(data!R$1,Haver_M!$B$1:$ZN$1,0)),"na")</f>
        <v>92.233999999999995</v>
      </c>
      <c r="S52">
        <f>IF(ISNUMBER(INDEX(Haver_M!$B$1:$ZN$1000,MATCH(data!$A52,Haver_M!$B$1:$B$1000,0),MATCH(data!S$1,Haver_M!$B$1:$ZN$1,0))),INDEX(Haver_M!$B$1:$ZN$1000,MATCH(data!$A52,Haver_M!$B$1:$B$1000,0),MATCH(data!S$1,Haver_M!$B$1:$ZN$1,0)),"na")</f>
        <v>112.233</v>
      </c>
      <c r="T52">
        <f>IF(ISNUMBER(INDEX(Haver_M!$B$1:$ZN$1000,MATCH(data!$A52,Haver_M!$B$1:$B$1000,0),MATCH(data!T$1,Haver_M!$B$1:$ZN$1,0))),INDEX(Haver_M!$B$1:$ZN$1000,MATCH(data!$A52,Haver_M!$B$1:$B$1000,0),MATCH(data!T$1,Haver_M!$B$1:$ZN$1,0)),"na")</f>
        <v>67.309100000000001</v>
      </c>
      <c r="U52">
        <f>IF(ISNUMBER(INDEX(Haver_M!$B$1:$ZN$1000,MATCH(data!$A52,Haver_M!$B$1:$B$1000,0),MATCH(data!U$1,Haver_M!$B$1:$ZN$1,0))),INDEX(Haver_M!$B$1:$ZN$1000,MATCH(data!$A52,Haver_M!$B$1:$B$1000,0),MATCH(data!U$1,Haver_M!$B$1:$ZN$1,0)),"na")</f>
        <v>83.623699999999999</v>
      </c>
      <c r="V52">
        <f>IF(ISNUMBER(INDEX(Haver_M!$B$1:$ZN$1000,MATCH(data!$A52,Haver_M!$B$1:$B$1000,0),MATCH(data!V$1,Haver_M!$B$1:$ZN$1,0))),INDEX(Haver_M!$B$1:$ZN$1000,MATCH(data!$A52,Haver_M!$B$1:$B$1000,0),MATCH(data!V$1,Haver_M!$B$1:$ZN$1,0)),"na")</f>
        <v>89.525599999999997</v>
      </c>
      <c r="W52">
        <f>IF(ISNUMBER(INDEX(Haver_M!$B$1:$ZN$1000,MATCH(data!$A52,Haver_M!$B$1:$B$1000,0),MATCH(data!W$1,Haver_M!$B$1:$ZN$1,0))),INDEX(Haver_M!$B$1:$ZN$1000,MATCH(data!$A52,Haver_M!$B$1:$B$1000,0),MATCH(data!W$1,Haver_M!$B$1:$ZN$1,0)),"na")</f>
        <v>3.95</v>
      </c>
      <c r="X52" t="str">
        <f>IF(ISNUMBER(INDEX(Haver_M!$B$1:$ZN$1000,MATCH(data!$A52,Haver_M!$B$1:$B$1000,0),MATCH(data!X$1,Haver_M!$B$1:$ZN$1,0))),INDEX(Haver_M!$B$1:$ZN$1000,MATCH(data!$A52,Haver_M!$B$1:$B$1000,0),MATCH(data!X$1,Haver_M!$B$1:$ZN$1,0)),"na")</f>
        <v>na</v>
      </c>
      <c r="Y52">
        <f>IF(ISNUMBER(INDEX(Haver_M!$B$1:$ZN$1000,MATCH(data!$A52,Haver_M!$B$1:$B$1000,0),MATCH(data!Y$1,Haver_M!$B$1:$ZN$1,0))),INDEX(Haver_M!$B$1:$ZN$1000,MATCH(data!$A52,Haver_M!$B$1:$B$1000,0),MATCH(data!Y$1,Haver_M!$B$1:$ZN$1,0)),"na")</f>
        <v>100.24</v>
      </c>
      <c r="Z52">
        <f>IF(ISNUMBER(INDEX(Haver_M!$B$1:$ZN$1000,MATCH(data!$A52,Haver_M!$B$1:$B$1000,0),MATCH(data!Z$1,Haver_M!$B$1:$ZN$1,0))),INDEX(Haver_M!$B$1:$ZN$1000,MATCH(data!$A52,Haver_M!$B$1:$B$1000,0),MATCH(data!Z$1,Haver_M!$B$1:$ZN$1,0)),"na")</f>
        <v>87.151300000000006</v>
      </c>
      <c r="AA52" t="str">
        <f>IF(ISNUMBER(INDEX(Haver_M!$B$1:$ZN$1000,MATCH(data!$A52,Haver_M!$B$1:$B$1000,0),MATCH(data!AA$1,Haver_M!$B$1:$ZN$1,0))),INDEX(Haver_M!$B$1:$ZN$1000,MATCH(data!$A52,Haver_M!$B$1:$B$1000,0),MATCH(data!AA$1,Haver_M!$B$1:$ZN$1,0)),"na")</f>
        <v>na</v>
      </c>
      <c r="AB52">
        <f>IF(ISNUMBER(INDEX(Haver_M!$B$1:$ZN$1000,MATCH(data!$A52,Haver_M!$B$1:$B$1000,0),MATCH(data!AB$1,Haver_M!$B$1:$ZN$1,0))),INDEX(Haver_M!$B$1:$ZN$1000,MATCH(data!$A52,Haver_M!$B$1:$B$1000,0),MATCH(data!AB$1,Haver_M!$B$1:$ZN$1,0)),"na")</f>
        <v>15204.5</v>
      </c>
      <c r="AC52">
        <f>IF(ISNUMBER(INDEX(Haver_M!$B$1:$ZN$1000,MATCH(data!$A52,Haver_M!$B$1:$B$1000,0),MATCH(data!AC$1,Haver_M!$B$1:$ZN$1,0))),INDEX(Haver_M!$B$1:$ZN$1000,MATCH(data!$A52,Haver_M!$B$1:$B$1000,0),MATCH(data!AC$1,Haver_M!$B$1:$ZN$1,0)),"na")</f>
        <v>15662.9</v>
      </c>
      <c r="AD52">
        <f>IF(ISNUMBER(INDEX(Haver_M!$B$1:$ZN$1000,MATCH(data!$A52,Haver_M!$B$1:$B$1000,0),MATCH(data!AD$1,Haver_M!$B$1:$ZN$1,0))),INDEX(Haver_M!$B$1:$ZN$1000,MATCH(data!$A52,Haver_M!$B$1:$B$1000,0),MATCH(data!AD$1,Haver_M!$B$1:$ZN$1,0)),"na")</f>
        <v>99.02</v>
      </c>
      <c r="AE52">
        <f>IF(ISNUMBER(INDEX(Haver_M!$B$1:$ZN$1000,MATCH(data!$A52,Haver_M!$B$1:$B$1000,0),MATCH(data!AE$1,Haver_M!$B$1:$ZN$1,0))),INDEX(Haver_M!$B$1:$ZN$1000,MATCH(data!$A52,Haver_M!$B$1:$B$1000,0),MATCH(data!AE$1,Haver_M!$B$1:$ZN$1,0)),"na")</f>
        <v>39.1</v>
      </c>
      <c r="AF52">
        <f>IF(ISNUMBER(INDEX(Haver_M!$B$1:$ZN$1000,MATCH(data!$A52,Haver_M!$B$1:$B$1000,0),MATCH(data!AF$1,Haver_M!$B$1:$ZN$1,0))),INDEX(Haver_M!$B$1:$ZN$1000,MATCH(data!$A52,Haver_M!$B$1:$B$1000,0),MATCH(data!AF$1,Haver_M!$B$1:$ZN$1,0)),"na")</f>
        <v>99.21</v>
      </c>
      <c r="AG52" t="str">
        <f>IF(ISNUMBER(INDEX(Haver_M!$B$1:$ZN$1000,MATCH(data!$A52,Haver_M!$B$1:$B$1000,0),MATCH(data!AG$1,Haver_M!$B$1:$ZN$1,0))),INDEX(Haver_M!$B$1:$ZN$1000,MATCH(data!$A52,Haver_M!$B$1:$B$1000,0),MATCH(data!AG$1,Haver_M!$B$1:$ZN$1,0)),"na")</f>
        <v>na</v>
      </c>
      <c r="AH52" t="str">
        <f>IF(ISNUMBER(INDEX(Haver_M!$B$1:$ZN$1000,MATCH(data!$A52,Haver_M!$B$1:$B$1000,0),MATCH(data!AH$1,Haver_M!$B$1:$ZN$1,0))),INDEX(Haver_M!$B$1:$ZN$1000,MATCH(data!$A52,Haver_M!$B$1:$B$1000,0),MATCH(data!AH$1,Haver_M!$B$1:$ZN$1,0)),"na")</f>
        <v>na</v>
      </c>
      <c r="AI52" t="str">
        <f>IF(ISNUMBER(INDEX(Haver_M!$B$1:$ZN$1000,MATCH(data!$A52,Haver_M!$B$1:$B$1000,0),MATCH(data!AI$1,Haver_M!$B$1:$ZN$1,0))),INDEX(Haver_M!$B$1:$ZN$1000,MATCH(data!$A52,Haver_M!$B$1:$B$1000,0),MATCH(data!AI$1,Haver_M!$B$1:$ZN$1,0)),"na")</f>
        <v>na</v>
      </c>
      <c r="AJ52" t="str">
        <f>IF(ISNUMBER(INDEX(Haver_M!$B$1:$ZN$1000,MATCH(data!$A52,Haver_M!$B$1:$B$1000,0),MATCH(data!AJ$1,Haver_M!$B$1:$ZN$1,0))),INDEX(Haver_M!$B$1:$ZN$1000,MATCH(data!$A52,Haver_M!$B$1:$B$1000,0),MATCH(data!AJ$1,Haver_M!$B$1:$ZN$1,0)),"na")</f>
        <v>na</v>
      </c>
      <c r="AK52" t="str">
        <f>IF(ISNUMBER(INDEX(Haver_M!$B$1:$ZN$1000,MATCH(data!$A52,Haver_M!$B$1:$B$1000,0),MATCH(data!AK$1,Haver_M!$B$1:$ZN$1,0))),INDEX(Haver_M!$B$1:$ZN$1000,MATCH(data!$A52,Haver_M!$B$1:$B$1000,0),MATCH(data!AK$1,Haver_M!$B$1:$ZN$1,0)),"na")</f>
        <v>na</v>
      </c>
      <c r="AL52" t="str">
        <f>IF(ISNUMBER(INDEX(Haver_M!$B$1:$ZN$1000,MATCH(data!$A52,Haver_M!$B$1:$B$1000,0),MATCH(data!AL$1,Haver_M!$B$1:$ZN$1,0))),INDEX(Haver_M!$B$1:$ZN$1000,MATCH(data!$A52,Haver_M!$B$1:$B$1000,0),MATCH(data!AL$1,Haver_M!$B$1:$ZN$1,0)),"na")</f>
        <v>na</v>
      </c>
      <c r="AM52" t="str">
        <f>IF(ISNUMBER(INDEX(Haver_M!$B$1:$ZN$1000,MATCH(data!$A52,Haver_M!$B$1:$B$1000,0),MATCH(data!AM$1,Haver_M!$B$1:$ZN$1,0))),INDEX(Haver_M!$B$1:$ZN$1000,MATCH(data!$A52,Haver_M!$B$1:$B$1000,0),MATCH(data!AM$1,Haver_M!$B$1:$ZN$1,0)),"na")</f>
        <v>na</v>
      </c>
      <c r="AN52" t="str">
        <f>IF(ISNUMBER(INDEX(Haver_M!$B$1:$ZN$1000,MATCH(data!$A52,Haver_M!$B$1:$B$1000,0),MATCH(data!AN$1,Haver_M!$B$1:$ZN$1,0))),INDEX(Haver_M!$B$1:$ZN$1000,MATCH(data!$A52,Haver_M!$B$1:$B$1000,0),MATCH(data!AN$1,Haver_M!$B$1:$ZN$1,0)),"na")</f>
        <v>na</v>
      </c>
      <c r="AO52" t="str">
        <f>IF(ISNUMBER(INDEX(Haver_M!$B$1:$ZN$1000,MATCH(data!$A52,Haver_M!$B$1:$B$1000,0),MATCH(data!AO$1,Haver_M!$B$1:$ZN$1,0))),INDEX(Haver_M!$B$1:$ZN$1000,MATCH(data!$A52,Haver_M!$B$1:$B$1000,0),MATCH(data!AO$1,Haver_M!$B$1:$ZN$1,0)),"na")</f>
        <v>na</v>
      </c>
      <c r="AP52" t="str">
        <f>IF(ISNUMBER(INDEX(Haver_M!$B$1:$ZN$1000,MATCH(data!$A52,Haver_M!$B$1:$B$1000,0),MATCH(data!AP$1,Haver_M!$B$1:$ZN$1,0))),INDEX(Haver_M!$B$1:$ZN$1000,MATCH(data!$A52,Haver_M!$B$1:$B$1000,0),MATCH(data!AP$1,Haver_M!$B$1:$ZN$1,0)),"na")</f>
        <v>na</v>
      </c>
      <c r="AQ52" t="str">
        <f>IF(ISNUMBER(INDEX(Haver_M!$B$1:$ZN$1000,MATCH(data!$A52,Haver_M!$B$1:$B$1000,0),MATCH(data!AQ$1,Haver_M!$B$1:$ZN$1,0))),INDEX(Haver_M!$B$1:$ZN$1000,MATCH(data!$A52,Haver_M!$B$1:$B$1000,0),MATCH(data!AQ$1,Haver_M!$B$1:$ZN$1,0)),"na")</f>
        <v>na</v>
      </c>
      <c r="AR52" t="str">
        <f>IF(ISNUMBER(INDEX(Haver_M!$B$1:$ZN$1000,MATCH(data!$A52,Haver_M!$B$1:$B$1000,0),MATCH(data!AR$1,Haver_M!$B$1:$ZN$1,0))),INDEX(Haver_M!$B$1:$ZN$1000,MATCH(data!$A52,Haver_M!$B$1:$B$1000,0),MATCH(data!AR$1,Haver_M!$B$1:$ZN$1,0)),"na")</f>
        <v>na</v>
      </c>
      <c r="AS52">
        <f>IF(ISNUMBER(INDEX(Haver_M!$B$1:$ZN$1000,MATCH(data!$A52,Haver_M!$B$1:$B$1000,0),MATCH(data!AS$1,Haver_M!$B$1:$ZN$1,0))),INDEX(Haver_M!$B$1:$ZN$1000,MATCH(data!$A52,Haver_M!$B$1:$B$1000,0),MATCH(data!AS$1,Haver_M!$B$1:$ZN$1,0)),"na")</f>
        <v>10104.65</v>
      </c>
      <c r="AT52">
        <f>IF(ISNUMBER(INDEX(Haver_M!$B$1:$ZN$1000,MATCH(data!$A52,Haver_M!$B$1:$B$1000,0),MATCH(data!AT$1,Haver_M!$B$1:$ZN$1,0))),INDEX(Haver_M!$B$1:$ZN$1000,MATCH(data!$A52,Haver_M!$B$1:$B$1000,0),MATCH(data!AT$1,Haver_M!$B$1:$ZN$1,0)),"na")</f>
        <v>86.26</v>
      </c>
      <c r="AU52">
        <f>IF(ISNUMBER(INDEX(Haver_M!$B$1:$ZN$1000,MATCH(data!$A52,Haver_M!$B$1:$B$1000,0),MATCH(data!AU$1,Haver_M!$B$1:$ZN$1,0))),INDEX(Haver_M!$B$1:$ZN$1000,MATCH(data!$A52,Haver_M!$B$1:$B$1000,0),MATCH(data!AU$1,Haver_M!$B$1:$ZN$1,0)),"na")</f>
        <v>83.435839999999999</v>
      </c>
      <c r="AV52">
        <f>IF(ISNUMBER(INDEX(Haver_M!$B$1:$ZN$1000,MATCH(data!$A52,Haver_M!$B$1:$B$1000,0),MATCH(data!AV$1,Haver_M!$B$1:$ZN$1,0))),INDEX(Haver_M!$B$1:$ZN$1000,MATCH(data!$A52,Haver_M!$B$1:$B$1000,0),MATCH(data!AV$1,Haver_M!$B$1:$ZN$1,0)),"na")</f>
        <v>74.599999999999994</v>
      </c>
      <c r="AW52">
        <f>IF(ISNUMBER(INDEX(Haver_M!$B$1:$ZN$1000,MATCH(data!$A52,Haver_M!$B$1:$B$1000,0),MATCH(data!AW$1,Haver_M!$B$1:$ZN$1,0))),INDEX(Haver_M!$B$1:$ZN$1000,MATCH(data!$A52,Haver_M!$B$1:$B$1000,0),MATCH(data!AW$1,Haver_M!$B$1:$ZN$1,0)),"na")</f>
        <v>847649.36919919308</v>
      </c>
      <c r="AX52">
        <f>IF(ISNUMBER(INDEX(Haver_M!$B$1:$ZN$1000,MATCH(data!$A52,Haver_M!$B$1:$B$1000,0),MATCH(data!AX$1,Haver_M!$B$1:$ZN$1,0))),INDEX(Haver_M!$B$1:$ZN$1000,MATCH(data!$A52,Haver_M!$B$1:$B$1000,0),MATCH(data!AX$1,Haver_M!$B$1:$ZN$1,0)),"na")</f>
        <v>3385</v>
      </c>
      <c r="AY52">
        <f>IF(ISNUMBER(INDEX(Haver_M!$B$1:$ZN$1000,MATCH(data!$A52,Haver_M!$B$1:$B$1000,0),MATCH(data!AY$1,Haver_M!$B$1:$ZN$1,0))),INDEX(Haver_M!$B$1:$ZN$1000,MATCH(data!$A52,Haver_M!$B$1:$B$1000,0),MATCH(data!AY$1,Haver_M!$B$1:$ZN$1,0)),"na")</f>
        <v>1789</v>
      </c>
      <c r="AZ52" t="str">
        <f>IF(ISNUMBER(INDEX(Haver_M!$B$1:$ZN$1000,MATCH(data!$A52,Haver_M!$B$1:$B$1000,0),MATCH(data!AZ$1,Haver_M!$B$1:$ZN$1,0))),INDEX(Haver_M!$B$1:$ZN$1000,MATCH(data!$A52,Haver_M!$B$1:$B$1000,0),MATCH(data!AZ$1,Haver_M!$B$1:$ZN$1,0)),"na")</f>
        <v>na</v>
      </c>
      <c r="BA52">
        <f>IF(ISNUMBER(INDEX(Haver_M!$B$1:$ZN$1000,MATCH(data!$A52,Haver_M!$B$1:$B$1000,0),MATCH(data!BA$1,Haver_M!$B$1:$ZN$1,0))),INDEX(Haver_M!$B$1:$ZN$1000,MATCH(data!$A52,Haver_M!$B$1:$B$1000,0),MATCH(data!BA$1,Haver_M!$B$1:$ZN$1,0)),"na")</f>
        <v>102.82116367658904</v>
      </c>
      <c r="BB52" t="str">
        <f>IF(ISNUMBER(INDEX(Haver_M!$B$1:$ZN$1000,MATCH(data!$A52,Haver_M!$B$1:$B$1000,0),MATCH(data!BB$1,Haver_M!$B$1:$ZN$1,0))),INDEX(Haver_M!$B$1:$ZN$1000,MATCH(data!$A52,Haver_M!$B$1:$B$1000,0),MATCH(data!BB$1,Haver_M!$B$1:$ZN$1,0)),"")</f>
        <v/>
      </c>
    </row>
    <row r="53" spans="1:54" x14ac:dyDescent="0.25">
      <c r="A53" s="2">
        <v>38107</v>
      </c>
      <c r="B53" t="str">
        <f>IF(ISNUMBER(INDEX(Haver_Q!$B$1:$BD$1000,MATCH(data!$A53,Haver_Q!$B$1:$B$1000,0),MATCH(data!B$1,Haver_Q!$B$1:$BD$1,0))),100*INDEX(Haver_Q!$B$1:$BD$1000,MATCH(data!$A53,Haver_Q!$B$1:$B$1000,0),MATCH(data!B$1,Haver_Q!$B$1:$BD$1,0)),"na")</f>
        <v>na</v>
      </c>
      <c r="C53" t="str">
        <f>IF(ISNUMBER(INDEX(Haver_Q!$B$1:$BD$1000,MATCH(data!$A53,Haver_Q!$B$1:$B$1000,0),MATCH(data!C$1,Haver_Q!$B$1:$BD$1,0))),100*INDEX(Haver_Q!$B$1:$BD$1000,MATCH(data!$A53,Haver_Q!$B$1:$B$1000,0),MATCH(data!C$1,Haver_Q!$B$1:$BD$1,0)),"na")</f>
        <v>na</v>
      </c>
      <c r="D53" t="str">
        <f>IF(ISNUMBER(INDEX(Haver_Q!$B$1:$BD$1000,MATCH(data!$A53,Haver_Q!$B$1:$B$1000,0),MATCH(data!D$1,Haver_Q!$B$1:$BD$1,0))),100*INDEX(Haver_Q!$B$1:$BD$1000,MATCH(data!$A53,Haver_Q!$B$1:$B$1000,0),MATCH(data!D$1,Haver_Q!$B$1:$BD$1,0)),"na")</f>
        <v>na</v>
      </c>
      <c r="E53" t="str">
        <f>IF(ISNUMBER(INDEX(Haver_Q!$B$1:$BD$1000,MATCH(data!$A53,Haver_Q!$B$1:$B$1000,0),MATCH(data!E$1,Haver_Q!$B$1:$BD$1,0))),100*INDEX(Haver_Q!$B$1:$BD$1000,MATCH(data!$A53,Haver_Q!$B$1:$B$1000,0),MATCH(data!E$1,Haver_Q!$B$1:$BD$1,0)),"na")</f>
        <v>na</v>
      </c>
      <c r="F53" t="str">
        <f>IF(ISNUMBER(INDEX(Haver_Q!$B$1:$BD$1000,MATCH(data!$A53,Haver_Q!$B$1:$B$1000,0),MATCH(data!F$1,Haver_Q!$B$1:$BD$1,0))),100*INDEX(Haver_Q!$B$1:$BD$1000,MATCH(data!$A53,Haver_Q!$B$1:$B$1000,0),MATCH(data!F$1,Haver_Q!$B$1:$BD$1,0)),"na")</f>
        <v>na</v>
      </c>
      <c r="G53" t="str">
        <f>IF(ISNUMBER(INDEX(Haver_Q!$B$1:$BD$1000,MATCH(data!$A53,Haver_Q!$B$1:$B$1000,0),MATCH(data!G$1,Haver_Q!$B$1:$BD$1,0))),100*INDEX(Haver_Q!$B$1:$BD$1000,MATCH(data!$A53,Haver_Q!$B$1:$B$1000,0),MATCH(data!G$1,Haver_Q!$B$1:$BD$1,0)),"na")</f>
        <v>na</v>
      </c>
      <c r="H53" t="str">
        <f>IF(ISNUMBER(INDEX(Haver_Q!$B$1:$BD$1000,MATCH(data!$A53,Haver_Q!$B$1:$B$1000,0),MATCH(data!H$1,Haver_Q!$B$1:$BD$1,0))),100*INDEX(Haver_Q!$B$1:$BD$1000,MATCH(data!$A53,Haver_Q!$B$1:$B$1000,0),MATCH(data!H$1,Haver_Q!$B$1:$BD$1,0)),"na")</f>
        <v>na</v>
      </c>
      <c r="I53" s="3">
        <f>IF(ISNUMBER(Bloomberg_m!C69),Bloomberg_m!C69,"na")</f>
        <v>4489</v>
      </c>
      <c r="J53" s="3" t="str">
        <f>IF(ISNUMBER(Bloomberg_m!D69),Bloomberg_m!D69,"na")</f>
        <v>na</v>
      </c>
      <c r="K53" s="3" t="str">
        <f>IF(ISNUMBER(Bloomberg_m!E69),Bloomberg_m!E69,"na")</f>
        <v>na</v>
      </c>
      <c r="L53" s="3">
        <f>IF(ISNUMBER(Bloomberg_m!L69),Bloomberg_m!L69,"na")</f>
        <v>36.72</v>
      </c>
      <c r="M53" t="str">
        <f>IF(ISNUMBER(INDEX(Haver_M!$B$1:$ZN$1000,MATCH(data!$A53,Haver_M!$B$1:$B$1000,0),MATCH(data!M$1,Haver_M!$B$1:$ZN$1,0))),INDEX(Haver_M!$B$1:$ZN$1000,MATCH(data!$A53,Haver_M!$B$1:$B$1000,0),MATCH(data!M$1,Haver_M!$B$1:$ZN$1,0)),"na")</f>
        <v>na</v>
      </c>
      <c r="N53" t="str">
        <f>IF(ISNUMBER(INDEX(Haver_M!$B$1:$ZN$1000,MATCH(data!$A53,Haver_M!$B$1:$B$1000,0),MATCH(data!N$1,Haver_M!$B$1:$ZN$1,0))),INDEX(Haver_M!$B$1:$ZN$1000,MATCH(data!$A53,Haver_M!$B$1:$B$1000,0),MATCH(data!N$1,Haver_M!$B$1:$ZN$1,0)),"na")</f>
        <v>na</v>
      </c>
      <c r="O53">
        <f>IF(ISNUMBER(INDEX(Haver_M!$B$1:$ZN$1000,MATCH(data!$A53,Haver_M!$B$1:$B$1000,0),MATCH(data!O$1,Haver_M!$B$1:$ZN$1,0))),INDEX(Haver_M!$B$1:$ZN$1000,MATCH(data!$A53,Haver_M!$B$1:$B$1000,0),MATCH(data!O$1,Haver_M!$B$1:$ZN$1,0)),"na")</f>
        <v>107.86163999999999</v>
      </c>
      <c r="P53">
        <f>IF(ISNUMBER(INDEX(Haver_M!$B$1:$ZN$1000,MATCH(data!$A53,Haver_M!$B$1:$B$1000,0),MATCH(data!P$1,Haver_M!$B$1:$ZN$1,0))),INDEX(Haver_M!$B$1:$ZN$1000,MATCH(data!$A53,Haver_M!$B$1:$B$1000,0),MATCH(data!P$1,Haver_M!$B$1:$ZN$1,0)),"na")</f>
        <v>56.175800000000002</v>
      </c>
      <c r="Q53">
        <f>IF(ISNUMBER(INDEX(Haver_M!$B$1:$ZN$1000,MATCH(data!$A53,Haver_M!$B$1:$B$1000,0),MATCH(data!Q$1,Haver_M!$B$1:$ZN$1,0))),INDEX(Haver_M!$B$1:$ZN$1000,MATCH(data!$A53,Haver_M!$B$1:$B$1000,0),MATCH(data!Q$1,Haver_M!$B$1:$ZN$1,0)),"na")</f>
        <v>60.204099999999997</v>
      </c>
      <c r="R53">
        <f>IF(ISNUMBER(INDEX(Haver_M!$B$1:$ZN$1000,MATCH(data!$A53,Haver_M!$B$1:$B$1000,0),MATCH(data!R$1,Haver_M!$B$1:$ZN$1,0))),INDEX(Haver_M!$B$1:$ZN$1000,MATCH(data!$A53,Haver_M!$B$1:$B$1000,0),MATCH(data!R$1,Haver_M!$B$1:$ZN$1,0)),"na")</f>
        <v>92.293899999999994</v>
      </c>
      <c r="S53">
        <f>IF(ISNUMBER(INDEX(Haver_M!$B$1:$ZN$1000,MATCH(data!$A53,Haver_M!$B$1:$B$1000,0),MATCH(data!S$1,Haver_M!$B$1:$ZN$1,0))),INDEX(Haver_M!$B$1:$ZN$1000,MATCH(data!$A53,Haver_M!$B$1:$B$1000,0),MATCH(data!S$1,Haver_M!$B$1:$ZN$1,0)),"na")</f>
        <v>114.2347</v>
      </c>
      <c r="T53">
        <f>IF(ISNUMBER(INDEX(Haver_M!$B$1:$ZN$1000,MATCH(data!$A53,Haver_M!$B$1:$B$1000,0),MATCH(data!T$1,Haver_M!$B$1:$ZN$1,0))),INDEX(Haver_M!$B$1:$ZN$1000,MATCH(data!$A53,Haver_M!$B$1:$B$1000,0),MATCH(data!T$1,Haver_M!$B$1:$ZN$1,0)),"na")</f>
        <v>66.683199999999999</v>
      </c>
      <c r="U53">
        <f>IF(ISNUMBER(INDEX(Haver_M!$B$1:$ZN$1000,MATCH(data!$A53,Haver_M!$B$1:$B$1000,0),MATCH(data!U$1,Haver_M!$B$1:$ZN$1,0))),INDEX(Haver_M!$B$1:$ZN$1000,MATCH(data!$A53,Haver_M!$B$1:$B$1000,0),MATCH(data!U$1,Haver_M!$B$1:$ZN$1,0)),"na")</f>
        <v>83.991</v>
      </c>
      <c r="V53">
        <f>IF(ISNUMBER(INDEX(Haver_M!$B$1:$ZN$1000,MATCH(data!$A53,Haver_M!$B$1:$B$1000,0),MATCH(data!V$1,Haver_M!$B$1:$ZN$1,0))),INDEX(Haver_M!$B$1:$ZN$1000,MATCH(data!$A53,Haver_M!$B$1:$B$1000,0),MATCH(data!V$1,Haver_M!$B$1:$ZN$1,0)),"na")</f>
        <v>89.011200000000002</v>
      </c>
      <c r="W53">
        <f>IF(ISNUMBER(INDEX(Haver_M!$B$1:$ZN$1000,MATCH(data!$A53,Haver_M!$B$1:$B$1000,0),MATCH(data!W$1,Haver_M!$B$1:$ZN$1,0))),INDEX(Haver_M!$B$1:$ZN$1000,MATCH(data!$A53,Haver_M!$B$1:$B$1000,0),MATCH(data!W$1,Haver_M!$B$1:$ZN$1,0)),"na")</f>
        <v>3.96</v>
      </c>
      <c r="X53" t="str">
        <f>IF(ISNUMBER(INDEX(Haver_M!$B$1:$ZN$1000,MATCH(data!$A53,Haver_M!$B$1:$B$1000,0),MATCH(data!X$1,Haver_M!$B$1:$ZN$1,0))),INDEX(Haver_M!$B$1:$ZN$1000,MATCH(data!$A53,Haver_M!$B$1:$B$1000,0),MATCH(data!X$1,Haver_M!$B$1:$ZN$1,0)),"na")</f>
        <v>na</v>
      </c>
      <c r="Y53">
        <f>IF(ISNUMBER(INDEX(Haver_M!$B$1:$ZN$1000,MATCH(data!$A53,Haver_M!$B$1:$B$1000,0),MATCH(data!Y$1,Haver_M!$B$1:$ZN$1,0))),INDEX(Haver_M!$B$1:$ZN$1000,MATCH(data!$A53,Haver_M!$B$1:$B$1000,0),MATCH(data!Y$1,Haver_M!$B$1:$ZN$1,0)),"na")</f>
        <v>100.21</v>
      </c>
      <c r="Z53">
        <f>IF(ISNUMBER(INDEX(Haver_M!$B$1:$ZN$1000,MATCH(data!$A53,Haver_M!$B$1:$B$1000,0),MATCH(data!Z$1,Haver_M!$B$1:$ZN$1,0))),INDEX(Haver_M!$B$1:$ZN$1000,MATCH(data!$A53,Haver_M!$B$1:$B$1000,0),MATCH(data!Z$1,Haver_M!$B$1:$ZN$1,0)),"na")</f>
        <v>87.725700000000003</v>
      </c>
      <c r="AA53" t="str">
        <f>IF(ISNUMBER(INDEX(Haver_M!$B$1:$ZN$1000,MATCH(data!$A53,Haver_M!$B$1:$B$1000,0),MATCH(data!AA$1,Haver_M!$B$1:$ZN$1,0))),INDEX(Haver_M!$B$1:$ZN$1000,MATCH(data!$A53,Haver_M!$B$1:$B$1000,0),MATCH(data!AA$1,Haver_M!$B$1:$ZN$1,0)),"na")</f>
        <v>na</v>
      </c>
      <c r="AB53">
        <f>IF(ISNUMBER(INDEX(Haver_M!$B$1:$ZN$1000,MATCH(data!$A53,Haver_M!$B$1:$B$1000,0),MATCH(data!AB$1,Haver_M!$B$1:$ZN$1,0))),INDEX(Haver_M!$B$1:$ZN$1000,MATCH(data!$A53,Haver_M!$B$1:$B$1000,0),MATCH(data!AB$1,Haver_M!$B$1:$ZN$1,0)),"na")</f>
        <v>15043.2</v>
      </c>
      <c r="AC53">
        <f>IF(ISNUMBER(INDEX(Haver_M!$B$1:$ZN$1000,MATCH(data!$A53,Haver_M!$B$1:$B$1000,0),MATCH(data!AC$1,Haver_M!$B$1:$ZN$1,0))),INDEX(Haver_M!$B$1:$ZN$1000,MATCH(data!$A53,Haver_M!$B$1:$B$1000,0),MATCH(data!AC$1,Haver_M!$B$1:$ZN$1,0)),"na")</f>
        <v>15752.4</v>
      </c>
      <c r="AD53">
        <f>IF(ISNUMBER(INDEX(Haver_M!$B$1:$ZN$1000,MATCH(data!$A53,Haver_M!$B$1:$B$1000,0),MATCH(data!AD$1,Haver_M!$B$1:$ZN$1,0))),INDEX(Haver_M!$B$1:$ZN$1000,MATCH(data!$A53,Haver_M!$B$1:$B$1000,0),MATCH(data!AD$1,Haver_M!$B$1:$ZN$1,0)),"na")</f>
        <v>99.1</v>
      </c>
      <c r="AE53">
        <f>IF(ISNUMBER(INDEX(Haver_M!$B$1:$ZN$1000,MATCH(data!$A53,Haver_M!$B$1:$B$1000,0),MATCH(data!AE$1,Haver_M!$B$1:$ZN$1,0))),INDEX(Haver_M!$B$1:$ZN$1000,MATCH(data!$A53,Haver_M!$B$1:$B$1000,0),MATCH(data!AE$1,Haver_M!$B$1:$ZN$1,0)),"na")</f>
        <v>39.9</v>
      </c>
      <c r="AF53">
        <f>IF(ISNUMBER(INDEX(Haver_M!$B$1:$ZN$1000,MATCH(data!$A53,Haver_M!$B$1:$B$1000,0),MATCH(data!AF$1,Haver_M!$B$1:$ZN$1,0))),INDEX(Haver_M!$B$1:$ZN$1000,MATCH(data!$A53,Haver_M!$B$1:$B$1000,0),MATCH(data!AF$1,Haver_M!$B$1:$ZN$1,0)),"na")</f>
        <v>99.35</v>
      </c>
      <c r="AG53" t="str">
        <f>IF(ISNUMBER(INDEX(Haver_M!$B$1:$ZN$1000,MATCH(data!$A53,Haver_M!$B$1:$B$1000,0),MATCH(data!AG$1,Haver_M!$B$1:$ZN$1,0))),INDEX(Haver_M!$B$1:$ZN$1000,MATCH(data!$A53,Haver_M!$B$1:$B$1000,0),MATCH(data!AG$1,Haver_M!$B$1:$ZN$1,0)),"na")</f>
        <v>na</v>
      </c>
      <c r="AH53" t="str">
        <f>IF(ISNUMBER(INDEX(Haver_M!$B$1:$ZN$1000,MATCH(data!$A53,Haver_M!$B$1:$B$1000,0),MATCH(data!AH$1,Haver_M!$B$1:$ZN$1,0))),INDEX(Haver_M!$B$1:$ZN$1000,MATCH(data!$A53,Haver_M!$B$1:$B$1000,0),MATCH(data!AH$1,Haver_M!$B$1:$ZN$1,0)),"na")</f>
        <v>na</v>
      </c>
      <c r="AI53" t="str">
        <f>IF(ISNUMBER(INDEX(Haver_M!$B$1:$ZN$1000,MATCH(data!$A53,Haver_M!$B$1:$B$1000,0),MATCH(data!AI$1,Haver_M!$B$1:$ZN$1,0))),INDEX(Haver_M!$B$1:$ZN$1000,MATCH(data!$A53,Haver_M!$B$1:$B$1000,0),MATCH(data!AI$1,Haver_M!$B$1:$ZN$1,0)),"na")</f>
        <v>na</v>
      </c>
      <c r="AJ53" t="str">
        <f>IF(ISNUMBER(INDEX(Haver_M!$B$1:$ZN$1000,MATCH(data!$A53,Haver_M!$B$1:$B$1000,0),MATCH(data!AJ$1,Haver_M!$B$1:$ZN$1,0))),INDEX(Haver_M!$B$1:$ZN$1000,MATCH(data!$A53,Haver_M!$B$1:$B$1000,0),MATCH(data!AJ$1,Haver_M!$B$1:$ZN$1,0)),"na")</f>
        <v>na</v>
      </c>
      <c r="AK53" t="str">
        <f>IF(ISNUMBER(INDEX(Haver_M!$B$1:$ZN$1000,MATCH(data!$A53,Haver_M!$B$1:$B$1000,0),MATCH(data!AK$1,Haver_M!$B$1:$ZN$1,0))),INDEX(Haver_M!$B$1:$ZN$1000,MATCH(data!$A53,Haver_M!$B$1:$B$1000,0),MATCH(data!AK$1,Haver_M!$B$1:$ZN$1,0)),"na")</f>
        <v>na</v>
      </c>
      <c r="AL53" t="str">
        <f>IF(ISNUMBER(INDEX(Haver_M!$B$1:$ZN$1000,MATCH(data!$A53,Haver_M!$B$1:$B$1000,0),MATCH(data!AL$1,Haver_M!$B$1:$ZN$1,0))),INDEX(Haver_M!$B$1:$ZN$1000,MATCH(data!$A53,Haver_M!$B$1:$B$1000,0),MATCH(data!AL$1,Haver_M!$B$1:$ZN$1,0)),"na")</f>
        <v>na</v>
      </c>
      <c r="AM53" t="str">
        <f>IF(ISNUMBER(INDEX(Haver_M!$B$1:$ZN$1000,MATCH(data!$A53,Haver_M!$B$1:$B$1000,0),MATCH(data!AM$1,Haver_M!$B$1:$ZN$1,0))),INDEX(Haver_M!$B$1:$ZN$1000,MATCH(data!$A53,Haver_M!$B$1:$B$1000,0),MATCH(data!AM$1,Haver_M!$B$1:$ZN$1,0)),"na")</f>
        <v>na</v>
      </c>
      <c r="AN53" t="str">
        <f>IF(ISNUMBER(INDEX(Haver_M!$B$1:$ZN$1000,MATCH(data!$A53,Haver_M!$B$1:$B$1000,0),MATCH(data!AN$1,Haver_M!$B$1:$ZN$1,0))),INDEX(Haver_M!$B$1:$ZN$1000,MATCH(data!$A53,Haver_M!$B$1:$B$1000,0),MATCH(data!AN$1,Haver_M!$B$1:$ZN$1,0)),"na")</f>
        <v>na</v>
      </c>
      <c r="AO53" t="str">
        <f>IF(ISNUMBER(INDEX(Haver_M!$B$1:$ZN$1000,MATCH(data!$A53,Haver_M!$B$1:$B$1000,0),MATCH(data!AO$1,Haver_M!$B$1:$ZN$1,0))),INDEX(Haver_M!$B$1:$ZN$1000,MATCH(data!$A53,Haver_M!$B$1:$B$1000,0),MATCH(data!AO$1,Haver_M!$B$1:$ZN$1,0)),"na")</f>
        <v>na</v>
      </c>
      <c r="AP53" t="str">
        <f>IF(ISNUMBER(INDEX(Haver_M!$B$1:$ZN$1000,MATCH(data!$A53,Haver_M!$B$1:$B$1000,0),MATCH(data!AP$1,Haver_M!$B$1:$ZN$1,0))),INDEX(Haver_M!$B$1:$ZN$1000,MATCH(data!$A53,Haver_M!$B$1:$B$1000,0),MATCH(data!AP$1,Haver_M!$B$1:$ZN$1,0)),"na")</f>
        <v>na</v>
      </c>
      <c r="AQ53" t="str">
        <f>IF(ISNUMBER(INDEX(Haver_M!$B$1:$ZN$1000,MATCH(data!$A53,Haver_M!$B$1:$B$1000,0),MATCH(data!AQ$1,Haver_M!$B$1:$ZN$1,0))),INDEX(Haver_M!$B$1:$ZN$1000,MATCH(data!$A53,Haver_M!$B$1:$B$1000,0),MATCH(data!AQ$1,Haver_M!$B$1:$ZN$1,0)),"na")</f>
        <v>na</v>
      </c>
      <c r="AR53" t="str">
        <f>IF(ISNUMBER(INDEX(Haver_M!$B$1:$ZN$1000,MATCH(data!$A53,Haver_M!$B$1:$B$1000,0),MATCH(data!AR$1,Haver_M!$B$1:$ZN$1,0))),INDEX(Haver_M!$B$1:$ZN$1000,MATCH(data!$A53,Haver_M!$B$1:$B$1000,0),MATCH(data!AR$1,Haver_M!$B$1:$ZN$1,0)),"na")</f>
        <v>na</v>
      </c>
      <c r="AS53">
        <f>IF(ISNUMBER(INDEX(Haver_M!$B$1:$ZN$1000,MATCH(data!$A53,Haver_M!$B$1:$B$1000,0),MATCH(data!AS$1,Haver_M!$B$1:$ZN$1,0))),INDEX(Haver_M!$B$1:$ZN$1000,MATCH(data!$A53,Haver_M!$B$1:$B$1000,0),MATCH(data!AS$1,Haver_M!$B$1:$ZN$1,0)),"na")</f>
        <v>10580.25</v>
      </c>
      <c r="AT53">
        <f>IF(ISNUMBER(INDEX(Haver_M!$B$1:$ZN$1000,MATCH(data!$A53,Haver_M!$B$1:$B$1000,0),MATCH(data!AT$1,Haver_M!$B$1:$ZN$1,0))),INDEX(Haver_M!$B$1:$ZN$1000,MATCH(data!$A53,Haver_M!$B$1:$B$1000,0),MATCH(data!AT$1,Haver_M!$B$1:$ZN$1,0)),"na")</f>
        <v>85.596999999999994</v>
      </c>
      <c r="AU53">
        <f>IF(ISNUMBER(INDEX(Haver_M!$B$1:$ZN$1000,MATCH(data!$A53,Haver_M!$B$1:$B$1000,0),MATCH(data!AU$1,Haver_M!$B$1:$ZN$1,0))),INDEX(Haver_M!$B$1:$ZN$1000,MATCH(data!$A53,Haver_M!$B$1:$B$1000,0),MATCH(data!AU$1,Haver_M!$B$1:$ZN$1,0)),"na")</f>
        <v>83.253844000000001</v>
      </c>
      <c r="AV53">
        <f>IF(ISNUMBER(INDEX(Haver_M!$B$1:$ZN$1000,MATCH(data!$A53,Haver_M!$B$1:$B$1000,0),MATCH(data!AV$1,Haver_M!$B$1:$ZN$1,0))),INDEX(Haver_M!$B$1:$ZN$1000,MATCH(data!$A53,Haver_M!$B$1:$B$1000,0),MATCH(data!AV$1,Haver_M!$B$1:$ZN$1,0)),"na")</f>
        <v>75.900000000000006</v>
      </c>
      <c r="AW53">
        <f>IF(ISNUMBER(INDEX(Haver_M!$B$1:$ZN$1000,MATCH(data!$A53,Haver_M!$B$1:$B$1000,0),MATCH(data!AW$1,Haver_M!$B$1:$ZN$1,0))),INDEX(Haver_M!$B$1:$ZN$1000,MATCH(data!$A53,Haver_M!$B$1:$B$1000,0),MATCH(data!AW$1,Haver_M!$B$1:$ZN$1,0)),"na")</f>
        <v>877004.8621723298</v>
      </c>
      <c r="AX53">
        <f>IF(ISNUMBER(INDEX(Haver_M!$B$1:$ZN$1000,MATCH(data!$A53,Haver_M!$B$1:$B$1000,0),MATCH(data!AX$1,Haver_M!$B$1:$ZN$1,0))),INDEX(Haver_M!$B$1:$ZN$1000,MATCH(data!$A53,Haver_M!$B$1:$B$1000,0),MATCH(data!AX$1,Haver_M!$B$1:$ZN$1,0)),"na")</f>
        <v>3419</v>
      </c>
      <c r="AY53">
        <f>IF(ISNUMBER(INDEX(Haver_M!$B$1:$ZN$1000,MATCH(data!$A53,Haver_M!$B$1:$B$1000,0),MATCH(data!AY$1,Haver_M!$B$1:$ZN$1,0))),INDEX(Haver_M!$B$1:$ZN$1000,MATCH(data!$A53,Haver_M!$B$1:$B$1000,0),MATCH(data!AY$1,Haver_M!$B$1:$ZN$1,0)),"na")</f>
        <v>1766</v>
      </c>
      <c r="AZ53" t="str">
        <f>IF(ISNUMBER(INDEX(Haver_M!$B$1:$ZN$1000,MATCH(data!$A53,Haver_M!$B$1:$B$1000,0),MATCH(data!AZ$1,Haver_M!$B$1:$ZN$1,0))),INDEX(Haver_M!$B$1:$ZN$1000,MATCH(data!$A53,Haver_M!$B$1:$B$1000,0),MATCH(data!AZ$1,Haver_M!$B$1:$ZN$1,0)),"na")</f>
        <v>na</v>
      </c>
      <c r="BA53">
        <f>IF(ISNUMBER(INDEX(Haver_M!$B$1:$ZN$1000,MATCH(data!$A53,Haver_M!$B$1:$B$1000,0),MATCH(data!BA$1,Haver_M!$B$1:$ZN$1,0))),INDEX(Haver_M!$B$1:$ZN$1000,MATCH(data!$A53,Haver_M!$B$1:$B$1000,0),MATCH(data!BA$1,Haver_M!$B$1:$ZN$1,0)),"na")</f>
        <v>89.289901678655056</v>
      </c>
      <c r="BB53" t="str">
        <f>IF(ISNUMBER(INDEX(Haver_M!$B$1:$ZN$1000,MATCH(data!$A53,Haver_M!$B$1:$B$1000,0),MATCH(data!BB$1,Haver_M!$B$1:$ZN$1,0))),INDEX(Haver_M!$B$1:$ZN$1000,MATCH(data!$A53,Haver_M!$B$1:$B$1000,0),MATCH(data!BB$1,Haver_M!$B$1:$ZN$1,0)),"")</f>
        <v/>
      </c>
    </row>
    <row r="54" spans="1:54" x14ac:dyDescent="0.25">
      <c r="A54" s="2">
        <v>38138</v>
      </c>
      <c r="B54" t="str">
        <f>IF(ISNUMBER(INDEX(Haver_Q!$B$1:$BD$1000,MATCH(data!$A54,Haver_Q!$B$1:$B$1000,0),MATCH(data!B$1,Haver_Q!$B$1:$BD$1,0))),100*INDEX(Haver_Q!$B$1:$BD$1000,MATCH(data!$A54,Haver_Q!$B$1:$B$1000,0),MATCH(data!B$1,Haver_Q!$B$1:$BD$1,0)),"na")</f>
        <v>na</v>
      </c>
      <c r="C54" t="str">
        <f>IF(ISNUMBER(INDEX(Haver_Q!$B$1:$BD$1000,MATCH(data!$A54,Haver_Q!$B$1:$B$1000,0),MATCH(data!C$1,Haver_Q!$B$1:$BD$1,0))),100*INDEX(Haver_Q!$B$1:$BD$1000,MATCH(data!$A54,Haver_Q!$B$1:$B$1000,0),MATCH(data!C$1,Haver_Q!$B$1:$BD$1,0)),"na")</f>
        <v>na</v>
      </c>
      <c r="D54" t="str">
        <f>IF(ISNUMBER(INDEX(Haver_Q!$B$1:$BD$1000,MATCH(data!$A54,Haver_Q!$B$1:$B$1000,0),MATCH(data!D$1,Haver_Q!$B$1:$BD$1,0))),100*INDEX(Haver_Q!$B$1:$BD$1000,MATCH(data!$A54,Haver_Q!$B$1:$B$1000,0),MATCH(data!D$1,Haver_Q!$B$1:$BD$1,0)),"na")</f>
        <v>na</v>
      </c>
      <c r="E54" t="str">
        <f>IF(ISNUMBER(INDEX(Haver_Q!$B$1:$BD$1000,MATCH(data!$A54,Haver_Q!$B$1:$B$1000,0),MATCH(data!E$1,Haver_Q!$B$1:$BD$1,0))),100*INDEX(Haver_Q!$B$1:$BD$1000,MATCH(data!$A54,Haver_Q!$B$1:$B$1000,0),MATCH(data!E$1,Haver_Q!$B$1:$BD$1,0)),"na")</f>
        <v>na</v>
      </c>
      <c r="F54" t="str">
        <f>IF(ISNUMBER(INDEX(Haver_Q!$B$1:$BD$1000,MATCH(data!$A54,Haver_Q!$B$1:$B$1000,0),MATCH(data!F$1,Haver_Q!$B$1:$BD$1,0))),100*INDEX(Haver_Q!$B$1:$BD$1000,MATCH(data!$A54,Haver_Q!$B$1:$B$1000,0),MATCH(data!F$1,Haver_Q!$B$1:$BD$1,0)),"na")</f>
        <v>na</v>
      </c>
      <c r="G54" t="str">
        <f>IF(ISNUMBER(INDEX(Haver_Q!$B$1:$BD$1000,MATCH(data!$A54,Haver_Q!$B$1:$B$1000,0),MATCH(data!G$1,Haver_Q!$B$1:$BD$1,0))),100*INDEX(Haver_Q!$B$1:$BD$1000,MATCH(data!$A54,Haver_Q!$B$1:$B$1000,0),MATCH(data!G$1,Haver_Q!$B$1:$BD$1,0)),"na")</f>
        <v>na</v>
      </c>
      <c r="H54" t="str">
        <f>IF(ISNUMBER(INDEX(Haver_Q!$B$1:$BD$1000,MATCH(data!$A54,Haver_Q!$B$1:$B$1000,0),MATCH(data!H$1,Haver_Q!$B$1:$BD$1,0))),100*INDEX(Haver_Q!$B$1:$BD$1000,MATCH(data!$A54,Haver_Q!$B$1:$B$1000,0),MATCH(data!H$1,Haver_Q!$B$1:$BD$1,0)),"na")</f>
        <v>na</v>
      </c>
      <c r="I54" s="3">
        <f>IF(ISNUMBER(Bloomberg_m!C70),Bloomberg_m!C70,"na")</f>
        <v>3596</v>
      </c>
      <c r="J54" s="3" t="str">
        <f>IF(ISNUMBER(Bloomberg_m!D70),Bloomberg_m!D70,"na")</f>
        <v>na</v>
      </c>
      <c r="K54" s="3" t="str">
        <f>IF(ISNUMBER(Bloomberg_m!E70),Bloomberg_m!E70,"na")</f>
        <v>na</v>
      </c>
      <c r="L54" s="3">
        <f>IF(ISNUMBER(Bloomberg_m!L70),Bloomberg_m!L70,"na")</f>
        <v>40.29</v>
      </c>
      <c r="M54" t="str">
        <f>IF(ISNUMBER(INDEX(Haver_M!$B$1:$ZN$1000,MATCH(data!$A54,Haver_M!$B$1:$B$1000,0),MATCH(data!M$1,Haver_M!$B$1:$ZN$1,0))),INDEX(Haver_M!$B$1:$ZN$1000,MATCH(data!$A54,Haver_M!$B$1:$B$1000,0),MATCH(data!M$1,Haver_M!$B$1:$ZN$1,0)),"na")</f>
        <v>na</v>
      </c>
      <c r="N54" t="str">
        <f>IF(ISNUMBER(INDEX(Haver_M!$B$1:$ZN$1000,MATCH(data!$A54,Haver_M!$B$1:$B$1000,0),MATCH(data!N$1,Haver_M!$B$1:$ZN$1,0))),INDEX(Haver_M!$B$1:$ZN$1000,MATCH(data!$A54,Haver_M!$B$1:$B$1000,0),MATCH(data!N$1,Haver_M!$B$1:$ZN$1,0)),"na")</f>
        <v>na</v>
      </c>
      <c r="O54">
        <f>IF(ISNUMBER(INDEX(Haver_M!$B$1:$ZN$1000,MATCH(data!$A54,Haver_M!$B$1:$B$1000,0),MATCH(data!O$1,Haver_M!$B$1:$ZN$1,0))),INDEX(Haver_M!$B$1:$ZN$1000,MATCH(data!$A54,Haver_M!$B$1:$B$1000,0),MATCH(data!O$1,Haver_M!$B$1:$ZN$1,0)),"na")</f>
        <v>105.60213</v>
      </c>
      <c r="P54">
        <f>IF(ISNUMBER(INDEX(Haver_M!$B$1:$ZN$1000,MATCH(data!$A54,Haver_M!$B$1:$B$1000,0),MATCH(data!P$1,Haver_M!$B$1:$ZN$1,0))),INDEX(Haver_M!$B$1:$ZN$1000,MATCH(data!$A54,Haver_M!$B$1:$B$1000,0),MATCH(data!P$1,Haver_M!$B$1:$ZN$1,0)),"na")</f>
        <v>56.375900000000001</v>
      </c>
      <c r="Q54">
        <f>IF(ISNUMBER(INDEX(Haver_M!$B$1:$ZN$1000,MATCH(data!$A54,Haver_M!$B$1:$B$1000,0),MATCH(data!Q$1,Haver_M!$B$1:$ZN$1,0))),INDEX(Haver_M!$B$1:$ZN$1000,MATCH(data!$A54,Haver_M!$B$1:$B$1000,0),MATCH(data!Q$1,Haver_M!$B$1:$ZN$1,0)),"na")</f>
        <v>60.412500000000001</v>
      </c>
      <c r="R54">
        <f>IF(ISNUMBER(INDEX(Haver_M!$B$1:$ZN$1000,MATCH(data!$A54,Haver_M!$B$1:$B$1000,0),MATCH(data!R$1,Haver_M!$B$1:$ZN$1,0))),INDEX(Haver_M!$B$1:$ZN$1000,MATCH(data!$A54,Haver_M!$B$1:$B$1000,0),MATCH(data!R$1,Haver_M!$B$1:$ZN$1,0)),"na")</f>
        <v>92.073400000000007</v>
      </c>
      <c r="S54">
        <f>IF(ISNUMBER(INDEX(Haver_M!$B$1:$ZN$1000,MATCH(data!$A54,Haver_M!$B$1:$B$1000,0),MATCH(data!S$1,Haver_M!$B$1:$ZN$1,0))),INDEX(Haver_M!$B$1:$ZN$1000,MATCH(data!$A54,Haver_M!$B$1:$B$1000,0),MATCH(data!S$1,Haver_M!$B$1:$ZN$1,0)),"na")</f>
        <v>112.9062</v>
      </c>
      <c r="T54">
        <f>IF(ISNUMBER(INDEX(Haver_M!$B$1:$ZN$1000,MATCH(data!$A54,Haver_M!$B$1:$B$1000,0),MATCH(data!T$1,Haver_M!$B$1:$ZN$1,0))),INDEX(Haver_M!$B$1:$ZN$1000,MATCH(data!$A54,Haver_M!$B$1:$B$1000,0),MATCH(data!T$1,Haver_M!$B$1:$ZN$1,0)),"na")</f>
        <v>66.106099999999998</v>
      </c>
      <c r="U54">
        <f>IF(ISNUMBER(INDEX(Haver_M!$B$1:$ZN$1000,MATCH(data!$A54,Haver_M!$B$1:$B$1000,0),MATCH(data!U$1,Haver_M!$B$1:$ZN$1,0))),INDEX(Haver_M!$B$1:$ZN$1000,MATCH(data!$A54,Haver_M!$B$1:$B$1000,0),MATCH(data!U$1,Haver_M!$B$1:$ZN$1,0)),"na")</f>
        <v>83.141300000000001</v>
      </c>
      <c r="V54">
        <f>IF(ISNUMBER(INDEX(Haver_M!$B$1:$ZN$1000,MATCH(data!$A54,Haver_M!$B$1:$B$1000,0),MATCH(data!V$1,Haver_M!$B$1:$ZN$1,0))),INDEX(Haver_M!$B$1:$ZN$1000,MATCH(data!$A54,Haver_M!$B$1:$B$1000,0),MATCH(data!V$1,Haver_M!$B$1:$ZN$1,0)),"na")</f>
        <v>89.090199999999996</v>
      </c>
      <c r="W54">
        <f>IF(ISNUMBER(INDEX(Haver_M!$B$1:$ZN$1000,MATCH(data!$A54,Haver_M!$B$1:$B$1000,0),MATCH(data!W$1,Haver_M!$B$1:$ZN$1,0))),INDEX(Haver_M!$B$1:$ZN$1000,MATCH(data!$A54,Haver_M!$B$1:$B$1000,0),MATCH(data!W$1,Haver_M!$B$1:$ZN$1,0)),"na")</f>
        <v>3.85</v>
      </c>
      <c r="X54" t="str">
        <f>IF(ISNUMBER(INDEX(Haver_M!$B$1:$ZN$1000,MATCH(data!$A54,Haver_M!$B$1:$B$1000,0),MATCH(data!X$1,Haver_M!$B$1:$ZN$1,0))),INDEX(Haver_M!$B$1:$ZN$1000,MATCH(data!$A54,Haver_M!$B$1:$B$1000,0),MATCH(data!X$1,Haver_M!$B$1:$ZN$1,0)),"na")</f>
        <v>na</v>
      </c>
      <c r="Y54">
        <f>IF(ISNUMBER(INDEX(Haver_M!$B$1:$ZN$1000,MATCH(data!$A54,Haver_M!$B$1:$B$1000,0),MATCH(data!Y$1,Haver_M!$B$1:$ZN$1,0))),INDEX(Haver_M!$B$1:$ZN$1000,MATCH(data!$A54,Haver_M!$B$1:$B$1000,0),MATCH(data!Y$1,Haver_M!$B$1:$ZN$1,0)),"na")</f>
        <v>100.14</v>
      </c>
      <c r="Z54">
        <f>IF(ISNUMBER(INDEX(Haver_M!$B$1:$ZN$1000,MATCH(data!$A54,Haver_M!$B$1:$B$1000,0),MATCH(data!Z$1,Haver_M!$B$1:$ZN$1,0))),INDEX(Haver_M!$B$1:$ZN$1000,MATCH(data!$A54,Haver_M!$B$1:$B$1000,0),MATCH(data!Z$1,Haver_M!$B$1:$ZN$1,0)),"na")</f>
        <v>88.710499999999996</v>
      </c>
      <c r="AA54" t="str">
        <f>IF(ISNUMBER(INDEX(Haver_M!$B$1:$ZN$1000,MATCH(data!$A54,Haver_M!$B$1:$B$1000,0),MATCH(data!AA$1,Haver_M!$B$1:$ZN$1,0))),INDEX(Haver_M!$B$1:$ZN$1000,MATCH(data!$A54,Haver_M!$B$1:$B$1000,0),MATCH(data!AA$1,Haver_M!$B$1:$ZN$1,0)),"na")</f>
        <v>na</v>
      </c>
      <c r="AB54">
        <f>IF(ISNUMBER(INDEX(Haver_M!$B$1:$ZN$1000,MATCH(data!$A54,Haver_M!$B$1:$B$1000,0),MATCH(data!AB$1,Haver_M!$B$1:$ZN$1,0))),INDEX(Haver_M!$B$1:$ZN$1000,MATCH(data!$A54,Haver_M!$B$1:$B$1000,0),MATCH(data!AB$1,Haver_M!$B$1:$ZN$1,0)),"na")</f>
        <v>16039</v>
      </c>
      <c r="AC54">
        <f>IF(ISNUMBER(INDEX(Haver_M!$B$1:$ZN$1000,MATCH(data!$A54,Haver_M!$B$1:$B$1000,0),MATCH(data!AC$1,Haver_M!$B$1:$ZN$1,0))),INDEX(Haver_M!$B$1:$ZN$1000,MATCH(data!$A54,Haver_M!$B$1:$B$1000,0),MATCH(data!AC$1,Haver_M!$B$1:$ZN$1,0)),"na")</f>
        <v>16545.2</v>
      </c>
      <c r="AD54">
        <f>IF(ISNUMBER(INDEX(Haver_M!$B$1:$ZN$1000,MATCH(data!$A54,Haver_M!$B$1:$B$1000,0),MATCH(data!AD$1,Haver_M!$B$1:$ZN$1,0))),INDEX(Haver_M!$B$1:$ZN$1000,MATCH(data!$A54,Haver_M!$B$1:$B$1000,0),MATCH(data!AD$1,Haver_M!$B$1:$ZN$1,0)),"na")</f>
        <v>99.17</v>
      </c>
      <c r="AE54">
        <f>IF(ISNUMBER(INDEX(Haver_M!$B$1:$ZN$1000,MATCH(data!$A54,Haver_M!$B$1:$B$1000,0),MATCH(data!AE$1,Haver_M!$B$1:$ZN$1,0))),INDEX(Haver_M!$B$1:$ZN$1000,MATCH(data!$A54,Haver_M!$B$1:$B$1000,0),MATCH(data!AE$1,Haver_M!$B$1:$ZN$1,0)),"na")</f>
        <v>40.5</v>
      </c>
      <c r="AF54">
        <f>IF(ISNUMBER(INDEX(Haver_M!$B$1:$ZN$1000,MATCH(data!$A54,Haver_M!$B$1:$B$1000,0),MATCH(data!AF$1,Haver_M!$B$1:$ZN$1,0))),INDEX(Haver_M!$B$1:$ZN$1000,MATCH(data!$A54,Haver_M!$B$1:$B$1000,0),MATCH(data!AF$1,Haver_M!$B$1:$ZN$1,0)),"na")</f>
        <v>99.48</v>
      </c>
      <c r="AG54" t="str">
        <f>IF(ISNUMBER(INDEX(Haver_M!$B$1:$ZN$1000,MATCH(data!$A54,Haver_M!$B$1:$B$1000,0),MATCH(data!AG$1,Haver_M!$B$1:$ZN$1,0))),INDEX(Haver_M!$B$1:$ZN$1000,MATCH(data!$A54,Haver_M!$B$1:$B$1000,0),MATCH(data!AG$1,Haver_M!$B$1:$ZN$1,0)),"na")</f>
        <v>na</v>
      </c>
      <c r="AH54" t="str">
        <f>IF(ISNUMBER(INDEX(Haver_M!$B$1:$ZN$1000,MATCH(data!$A54,Haver_M!$B$1:$B$1000,0),MATCH(data!AH$1,Haver_M!$B$1:$ZN$1,0))),INDEX(Haver_M!$B$1:$ZN$1000,MATCH(data!$A54,Haver_M!$B$1:$B$1000,0),MATCH(data!AH$1,Haver_M!$B$1:$ZN$1,0)),"na")</f>
        <v>na</v>
      </c>
      <c r="AI54" t="str">
        <f>IF(ISNUMBER(INDEX(Haver_M!$B$1:$ZN$1000,MATCH(data!$A54,Haver_M!$B$1:$B$1000,0),MATCH(data!AI$1,Haver_M!$B$1:$ZN$1,0))),INDEX(Haver_M!$B$1:$ZN$1000,MATCH(data!$A54,Haver_M!$B$1:$B$1000,0),MATCH(data!AI$1,Haver_M!$B$1:$ZN$1,0)),"na")</f>
        <v>na</v>
      </c>
      <c r="AJ54" t="str">
        <f>IF(ISNUMBER(INDEX(Haver_M!$B$1:$ZN$1000,MATCH(data!$A54,Haver_M!$B$1:$B$1000,0),MATCH(data!AJ$1,Haver_M!$B$1:$ZN$1,0))),INDEX(Haver_M!$B$1:$ZN$1000,MATCH(data!$A54,Haver_M!$B$1:$B$1000,0),MATCH(data!AJ$1,Haver_M!$B$1:$ZN$1,0)),"na")</f>
        <v>na</v>
      </c>
      <c r="AK54" t="str">
        <f>IF(ISNUMBER(INDEX(Haver_M!$B$1:$ZN$1000,MATCH(data!$A54,Haver_M!$B$1:$B$1000,0),MATCH(data!AK$1,Haver_M!$B$1:$ZN$1,0))),INDEX(Haver_M!$B$1:$ZN$1000,MATCH(data!$A54,Haver_M!$B$1:$B$1000,0),MATCH(data!AK$1,Haver_M!$B$1:$ZN$1,0)),"na")</f>
        <v>na</v>
      </c>
      <c r="AL54" t="str">
        <f>IF(ISNUMBER(INDEX(Haver_M!$B$1:$ZN$1000,MATCH(data!$A54,Haver_M!$B$1:$B$1000,0),MATCH(data!AL$1,Haver_M!$B$1:$ZN$1,0))),INDEX(Haver_M!$B$1:$ZN$1000,MATCH(data!$A54,Haver_M!$B$1:$B$1000,0),MATCH(data!AL$1,Haver_M!$B$1:$ZN$1,0)),"na")</f>
        <v>na</v>
      </c>
      <c r="AM54" t="str">
        <f>IF(ISNUMBER(INDEX(Haver_M!$B$1:$ZN$1000,MATCH(data!$A54,Haver_M!$B$1:$B$1000,0),MATCH(data!AM$1,Haver_M!$B$1:$ZN$1,0))),INDEX(Haver_M!$B$1:$ZN$1000,MATCH(data!$A54,Haver_M!$B$1:$B$1000,0),MATCH(data!AM$1,Haver_M!$B$1:$ZN$1,0)),"na")</f>
        <v>na</v>
      </c>
      <c r="AN54" t="str">
        <f>IF(ISNUMBER(INDEX(Haver_M!$B$1:$ZN$1000,MATCH(data!$A54,Haver_M!$B$1:$B$1000,0),MATCH(data!AN$1,Haver_M!$B$1:$ZN$1,0))),INDEX(Haver_M!$B$1:$ZN$1000,MATCH(data!$A54,Haver_M!$B$1:$B$1000,0),MATCH(data!AN$1,Haver_M!$B$1:$ZN$1,0)),"na")</f>
        <v>na</v>
      </c>
      <c r="AO54" t="str">
        <f>IF(ISNUMBER(INDEX(Haver_M!$B$1:$ZN$1000,MATCH(data!$A54,Haver_M!$B$1:$B$1000,0),MATCH(data!AO$1,Haver_M!$B$1:$ZN$1,0))),INDEX(Haver_M!$B$1:$ZN$1000,MATCH(data!$A54,Haver_M!$B$1:$B$1000,0),MATCH(data!AO$1,Haver_M!$B$1:$ZN$1,0)),"na")</f>
        <v>na</v>
      </c>
      <c r="AP54" t="str">
        <f>IF(ISNUMBER(INDEX(Haver_M!$B$1:$ZN$1000,MATCH(data!$A54,Haver_M!$B$1:$B$1000,0),MATCH(data!AP$1,Haver_M!$B$1:$ZN$1,0))),INDEX(Haver_M!$B$1:$ZN$1000,MATCH(data!$A54,Haver_M!$B$1:$B$1000,0),MATCH(data!AP$1,Haver_M!$B$1:$ZN$1,0)),"na")</f>
        <v>na</v>
      </c>
      <c r="AQ54" t="str">
        <f>IF(ISNUMBER(INDEX(Haver_M!$B$1:$ZN$1000,MATCH(data!$A54,Haver_M!$B$1:$B$1000,0),MATCH(data!AQ$1,Haver_M!$B$1:$ZN$1,0))),INDEX(Haver_M!$B$1:$ZN$1000,MATCH(data!$A54,Haver_M!$B$1:$B$1000,0),MATCH(data!AQ$1,Haver_M!$B$1:$ZN$1,0)),"na")</f>
        <v>na</v>
      </c>
      <c r="AR54" t="str">
        <f>IF(ISNUMBER(INDEX(Haver_M!$B$1:$ZN$1000,MATCH(data!$A54,Haver_M!$B$1:$B$1000,0),MATCH(data!AR$1,Haver_M!$B$1:$ZN$1,0))),INDEX(Haver_M!$B$1:$ZN$1000,MATCH(data!$A54,Haver_M!$B$1:$B$1000,0),MATCH(data!AR$1,Haver_M!$B$1:$ZN$1,0)),"na")</f>
        <v>na</v>
      </c>
      <c r="AS54">
        <f>IF(ISNUMBER(INDEX(Haver_M!$B$1:$ZN$1000,MATCH(data!$A54,Haver_M!$B$1:$B$1000,0),MATCH(data!AS$1,Haver_M!$B$1:$ZN$1,0))),INDEX(Haver_M!$B$1:$ZN$1000,MATCH(data!$A54,Haver_M!$B$1:$B$1000,0),MATCH(data!AS$1,Haver_M!$B$1:$ZN$1,0)),"na")</f>
        <v>9882.5</v>
      </c>
      <c r="AT54">
        <f>IF(ISNUMBER(INDEX(Haver_M!$B$1:$ZN$1000,MATCH(data!$A54,Haver_M!$B$1:$B$1000,0),MATCH(data!AT$1,Haver_M!$B$1:$ZN$1,0))),INDEX(Haver_M!$B$1:$ZN$1000,MATCH(data!$A54,Haver_M!$B$1:$B$1000,0),MATCH(data!AT$1,Haver_M!$B$1:$ZN$1,0)),"na")</f>
        <v>86.213999999999999</v>
      </c>
      <c r="AU54">
        <f>IF(ISNUMBER(INDEX(Haver_M!$B$1:$ZN$1000,MATCH(data!$A54,Haver_M!$B$1:$B$1000,0),MATCH(data!AU$1,Haver_M!$B$1:$ZN$1,0))),INDEX(Haver_M!$B$1:$ZN$1000,MATCH(data!$A54,Haver_M!$B$1:$B$1000,0),MATCH(data!AU$1,Haver_M!$B$1:$ZN$1,0)),"na")</f>
        <v>83.805944999999994</v>
      </c>
      <c r="AV54">
        <f>IF(ISNUMBER(INDEX(Haver_M!$B$1:$ZN$1000,MATCH(data!$A54,Haver_M!$B$1:$B$1000,0),MATCH(data!AV$1,Haver_M!$B$1:$ZN$1,0))),INDEX(Haver_M!$B$1:$ZN$1000,MATCH(data!$A54,Haver_M!$B$1:$B$1000,0),MATCH(data!AV$1,Haver_M!$B$1:$ZN$1,0)),"na")</f>
        <v>75.599999999999994</v>
      </c>
      <c r="AW54">
        <f>IF(ISNUMBER(INDEX(Haver_M!$B$1:$ZN$1000,MATCH(data!$A54,Haver_M!$B$1:$B$1000,0),MATCH(data!AW$1,Haver_M!$B$1:$ZN$1,0))),INDEX(Haver_M!$B$1:$ZN$1000,MATCH(data!$A54,Haver_M!$B$1:$B$1000,0),MATCH(data!AW$1,Haver_M!$B$1:$ZN$1,0)),"na")</f>
        <v>879905.30473571003</v>
      </c>
      <c r="AX54">
        <f>IF(ISNUMBER(INDEX(Haver_M!$B$1:$ZN$1000,MATCH(data!$A54,Haver_M!$B$1:$B$1000,0),MATCH(data!AX$1,Haver_M!$B$1:$ZN$1,0))),INDEX(Haver_M!$B$1:$ZN$1000,MATCH(data!$A54,Haver_M!$B$1:$B$1000,0),MATCH(data!AX$1,Haver_M!$B$1:$ZN$1,0)),"na")</f>
        <v>3399</v>
      </c>
      <c r="AY54">
        <f>IF(ISNUMBER(INDEX(Haver_M!$B$1:$ZN$1000,MATCH(data!$A54,Haver_M!$B$1:$B$1000,0),MATCH(data!AY$1,Haver_M!$B$1:$ZN$1,0))),INDEX(Haver_M!$B$1:$ZN$1000,MATCH(data!$A54,Haver_M!$B$1:$B$1000,0),MATCH(data!AY$1,Haver_M!$B$1:$ZN$1,0)),"na")</f>
        <v>1967</v>
      </c>
      <c r="AZ54" t="str">
        <f>IF(ISNUMBER(INDEX(Haver_M!$B$1:$ZN$1000,MATCH(data!$A54,Haver_M!$B$1:$B$1000,0),MATCH(data!AZ$1,Haver_M!$B$1:$ZN$1,0))),INDEX(Haver_M!$B$1:$ZN$1000,MATCH(data!$A54,Haver_M!$B$1:$B$1000,0),MATCH(data!AZ$1,Haver_M!$B$1:$ZN$1,0)),"na")</f>
        <v>na</v>
      </c>
      <c r="BA54">
        <f>IF(ISNUMBER(INDEX(Haver_M!$B$1:$ZN$1000,MATCH(data!$A54,Haver_M!$B$1:$B$1000,0),MATCH(data!BA$1,Haver_M!$B$1:$ZN$1,0))),INDEX(Haver_M!$B$1:$ZN$1000,MATCH(data!$A54,Haver_M!$B$1:$B$1000,0),MATCH(data!BA$1,Haver_M!$B$1:$ZN$1,0)),"na")</f>
        <v>127.32441785622464</v>
      </c>
      <c r="BB54" t="str">
        <f>IF(ISNUMBER(INDEX(Haver_M!$B$1:$ZN$1000,MATCH(data!$A54,Haver_M!$B$1:$B$1000,0),MATCH(data!BB$1,Haver_M!$B$1:$ZN$1,0))),INDEX(Haver_M!$B$1:$ZN$1000,MATCH(data!$A54,Haver_M!$B$1:$B$1000,0),MATCH(data!BB$1,Haver_M!$B$1:$ZN$1,0)),"")</f>
        <v/>
      </c>
    </row>
    <row r="55" spans="1:54" x14ac:dyDescent="0.25">
      <c r="A55" s="2">
        <v>38168</v>
      </c>
      <c r="B55">
        <f>IF(ISNUMBER(INDEX(Haver_Q!$B$1:$BD$1000,MATCH(data!$A55,Haver_Q!$B$1:$B$1000,0),MATCH(data!B$1,Haver_Q!$B$1:$BD$1,0))),100*INDEX(Haver_Q!$B$1:$BD$1000,MATCH(data!$A55,Haver_Q!$B$1:$B$1000,0),MATCH(data!B$1,Haver_Q!$B$1:$BD$1,0)),"na")</f>
        <v>6.608767001922522</v>
      </c>
      <c r="C55">
        <f>IF(ISNUMBER(INDEX(Haver_Q!$B$1:$BD$1000,MATCH(data!$A55,Haver_Q!$B$1:$B$1000,0),MATCH(data!C$1,Haver_Q!$B$1:$BD$1,0))),100*INDEX(Haver_Q!$B$1:$BD$1000,MATCH(data!$A55,Haver_Q!$B$1:$B$1000,0),MATCH(data!C$1,Haver_Q!$B$1:$BD$1,0)),"na")</f>
        <v>0.97019265465894122</v>
      </c>
      <c r="D55">
        <f>IF(ISNUMBER(INDEX(Haver_Q!$B$1:$BD$1000,MATCH(data!$A55,Haver_Q!$B$1:$B$1000,0),MATCH(data!D$1,Haver_Q!$B$1:$BD$1,0))),100*INDEX(Haver_Q!$B$1:$BD$1000,MATCH(data!$A55,Haver_Q!$B$1:$B$1000,0),MATCH(data!D$1,Haver_Q!$B$1:$BD$1,0)),"na")</f>
        <v>6.9433473005523494</v>
      </c>
      <c r="E55">
        <f>IF(ISNUMBER(INDEX(Haver_Q!$B$1:$BD$1000,MATCH(data!$A55,Haver_Q!$B$1:$B$1000,0),MATCH(data!E$1,Haver_Q!$B$1:$BD$1,0))),100*INDEX(Haver_Q!$B$1:$BD$1000,MATCH(data!$A55,Haver_Q!$B$1:$B$1000,0),MATCH(data!E$1,Haver_Q!$B$1:$BD$1,0)),"na")</f>
        <v>8.4885580042347577</v>
      </c>
      <c r="F55">
        <f>IF(ISNUMBER(INDEX(Haver_Q!$B$1:$BD$1000,MATCH(data!$A55,Haver_Q!$B$1:$B$1000,0),MATCH(data!F$1,Haver_Q!$B$1:$BD$1,0))),100*INDEX(Haver_Q!$B$1:$BD$1000,MATCH(data!$A55,Haver_Q!$B$1:$B$1000,0),MATCH(data!F$1,Haver_Q!$B$1:$BD$1,0)),"na")</f>
        <v>9.7088699013443858</v>
      </c>
      <c r="G55">
        <f>IF(ISNUMBER(INDEX(Haver_Q!$B$1:$BD$1000,MATCH(data!$A55,Haver_Q!$B$1:$B$1000,0),MATCH(data!G$1,Haver_Q!$B$1:$BD$1,0))),100*INDEX(Haver_Q!$B$1:$BD$1000,MATCH(data!$A55,Haver_Q!$B$1:$B$1000,0),MATCH(data!G$1,Haver_Q!$B$1:$BD$1,0)),"na")</f>
        <v>20.568033200775872</v>
      </c>
      <c r="H55">
        <f>IF(ISNUMBER(INDEX(Haver_Q!$B$1:$BD$1000,MATCH(data!$A55,Haver_Q!$B$1:$B$1000,0),MATCH(data!H$1,Haver_Q!$B$1:$BD$1,0))),100*INDEX(Haver_Q!$B$1:$BD$1000,MATCH(data!$A55,Haver_Q!$B$1:$B$1000,0),MATCH(data!H$1,Haver_Q!$B$1:$BD$1,0)),"na")</f>
        <v>428.12152353266805</v>
      </c>
      <c r="I55" s="3">
        <f>IF(ISNUMBER(Bloomberg_m!C71),Bloomberg_m!C71,"na")</f>
        <v>2902</v>
      </c>
      <c r="J55" s="3" t="str">
        <f>IF(ISNUMBER(Bloomberg_m!D71),Bloomberg_m!D71,"na")</f>
        <v>na</v>
      </c>
      <c r="K55" s="3" t="str">
        <f>IF(ISNUMBER(Bloomberg_m!E71),Bloomberg_m!E71,"na")</f>
        <v>na</v>
      </c>
      <c r="L55" s="3">
        <f>IF(ISNUMBER(Bloomberg_m!L71),Bloomberg_m!L71,"na")</f>
        <v>38.03</v>
      </c>
      <c r="M55" t="str">
        <f>IF(ISNUMBER(INDEX(Haver_M!$B$1:$ZN$1000,MATCH(data!$A55,Haver_M!$B$1:$B$1000,0),MATCH(data!M$1,Haver_M!$B$1:$ZN$1,0))),INDEX(Haver_M!$B$1:$ZN$1000,MATCH(data!$A55,Haver_M!$B$1:$B$1000,0),MATCH(data!M$1,Haver_M!$B$1:$ZN$1,0)),"na")</f>
        <v>na</v>
      </c>
      <c r="N55" t="str">
        <f>IF(ISNUMBER(INDEX(Haver_M!$B$1:$ZN$1000,MATCH(data!$A55,Haver_M!$B$1:$B$1000,0),MATCH(data!N$1,Haver_M!$B$1:$ZN$1,0))),INDEX(Haver_M!$B$1:$ZN$1000,MATCH(data!$A55,Haver_M!$B$1:$B$1000,0),MATCH(data!N$1,Haver_M!$B$1:$ZN$1,0)),"na")</f>
        <v>na</v>
      </c>
      <c r="O55">
        <f>IF(ISNUMBER(INDEX(Haver_M!$B$1:$ZN$1000,MATCH(data!$A55,Haver_M!$B$1:$B$1000,0),MATCH(data!O$1,Haver_M!$B$1:$ZN$1,0))),INDEX(Haver_M!$B$1:$ZN$1000,MATCH(data!$A55,Haver_M!$B$1:$B$1000,0),MATCH(data!O$1,Haver_M!$B$1:$ZN$1,0)),"na")</f>
        <v>106.28859</v>
      </c>
      <c r="P55">
        <f>IF(ISNUMBER(INDEX(Haver_M!$B$1:$ZN$1000,MATCH(data!$A55,Haver_M!$B$1:$B$1000,0),MATCH(data!P$1,Haver_M!$B$1:$ZN$1,0))),INDEX(Haver_M!$B$1:$ZN$1000,MATCH(data!$A55,Haver_M!$B$1:$B$1000,0),MATCH(data!P$1,Haver_M!$B$1:$ZN$1,0)),"na")</f>
        <v>56.587899999999998</v>
      </c>
      <c r="Q55">
        <f>IF(ISNUMBER(INDEX(Haver_M!$B$1:$ZN$1000,MATCH(data!$A55,Haver_M!$B$1:$B$1000,0),MATCH(data!Q$1,Haver_M!$B$1:$ZN$1,0))),INDEX(Haver_M!$B$1:$ZN$1000,MATCH(data!$A55,Haver_M!$B$1:$B$1000,0),MATCH(data!Q$1,Haver_M!$B$1:$ZN$1,0)),"na")</f>
        <v>60.634500000000003</v>
      </c>
      <c r="R55">
        <f>IF(ISNUMBER(INDEX(Haver_M!$B$1:$ZN$1000,MATCH(data!$A55,Haver_M!$B$1:$B$1000,0),MATCH(data!R$1,Haver_M!$B$1:$ZN$1,0))),INDEX(Haver_M!$B$1:$ZN$1000,MATCH(data!$A55,Haver_M!$B$1:$B$1000,0),MATCH(data!R$1,Haver_M!$B$1:$ZN$1,0)),"na")</f>
        <v>92.227500000000006</v>
      </c>
      <c r="S55">
        <f>IF(ISNUMBER(INDEX(Haver_M!$B$1:$ZN$1000,MATCH(data!$A55,Haver_M!$B$1:$B$1000,0),MATCH(data!S$1,Haver_M!$B$1:$ZN$1,0))),INDEX(Haver_M!$B$1:$ZN$1000,MATCH(data!$A55,Haver_M!$B$1:$B$1000,0),MATCH(data!S$1,Haver_M!$B$1:$ZN$1,0)),"na")</f>
        <v>113.70359999999999</v>
      </c>
      <c r="T55">
        <f>IF(ISNUMBER(INDEX(Haver_M!$B$1:$ZN$1000,MATCH(data!$A55,Haver_M!$B$1:$B$1000,0),MATCH(data!T$1,Haver_M!$B$1:$ZN$1,0))),INDEX(Haver_M!$B$1:$ZN$1000,MATCH(data!$A55,Haver_M!$B$1:$B$1000,0),MATCH(data!T$1,Haver_M!$B$1:$ZN$1,0)),"na")</f>
        <v>66.450400000000002</v>
      </c>
      <c r="U55">
        <f>IF(ISNUMBER(INDEX(Haver_M!$B$1:$ZN$1000,MATCH(data!$A55,Haver_M!$B$1:$B$1000,0),MATCH(data!U$1,Haver_M!$B$1:$ZN$1,0))),INDEX(Haver_M!$B$1:$ZN$1000,MATCH(data!$A55,Haver_M!$B$1:$B$1000,0),MATCH(data!U$1,Haver_M!$B$1:$ZN$1,0)),"na")</f>
        <v>83.306399999999996</v>
      </c>
      <c r="V55">
        <f>IF(ISNUMBER(INDEX(Haver_M!$B$1:$ZN$1000,MATCH(data!$A55,Haver_M!$B$1:$B$1000,0),MATCH(data!V$1,Haver_M!$B$1:$ZN$1,0))),INDEX(Haver_M!$B$1:$ZN$1000,MATCH(data!$A55,Haver_M!$B$1:$B$1000,0),MATCH(data!V$1,Haver_M!$B$1:$ZN$1,0)),"na")</f>
        <v>89.023899999999998</v>
      </c>
      <c r="W55">
        <f>IF(ISNUMBER(INDEX(Haver_M!$B$1:$ZN$1000,MATCH(data!$A55,Haver_M!$B$1:$B$1000,0),MATCH(data!W$1,Haver_M!$B$1:$ZN$1,0))),INDEX(Haver_M!$B$1:$ZN$1000,MATCH(data!$A55,Haver_M!$B$1:$B$1000,0),MATCH(data!W$1,Haver_M!$B$1:$ZN$1,0)),"na")</f>
        <v>3.93</v>
      </c>
      <c r="X55" t="str">
        <f>IF(ISNUMBER(INDEX(Haver_M!$B$1:$ZN$1000,MATCH(data!$A55,Haver_M!$B$1:$B$1000,0),MATCH(data!X$1,Haver_M!$B$1:$ZN$1,0))),INDEX(Haver_M!$B$1:$ZN$1000,MATCH(data!$A55,Haver_M!$B$1:$B$1000,0),MATCH(data!X$1,Haver_M!$B$1:$ZN$1,0)),"na")</f>
        <v>na</v>
      </c>
      <c r="Y55">
        <f>IF(ISNUMBER(INDEX(Haver_M!$B$1:$ZN$1000,MATCH(data!$A55,Haver_M!$B$1:$B$1000,0),MATCH(data!Y$1,Haver_M!$B$1:$ZN$1,0))),INDEX(Haver_M!$B$1:$ZN$1000,MATCH(data!$A55,Haver_M!$B$1:$B$1000,0),MATCH(data!Y$1,Haver_M!$B$1:$ZN$1,0)),"na")</f>
        <v>100.06</v>
      </c>
      <c r="Z55">
        <f>IF(ISNUMBER(INDEX(Haver_M!$B$1:$ZN$1000,MATCH(data!$A55,Haver_M!$B$1:$B$1000,0),MATCH(data!Z$1,Haver_M!$B$1:$ZN$1,0))),INDEX(Haver_M!$B$1:$ZN$1000,MATCH(data!$A55,Haver_M!$B$1:$B$1000,0),MATCH(data!Z$1,Haver_M!$B$1:$ZN$1,0)),"na")</f>
        <v>87.971900000000005</v>
      </c>
      <c r="AA55" t="str">
        <f>IF(ISNUMBER(INDEX(Haver_M!$B$1:$ZN$1000,MATCH(data!$A55,Haver_M!$B$1:$B$1000,0),MATCH(data!AA$1,Haver_M!$B$1:$ZN$1,0))),INDEX(Haver_M!$B$1:$ZN$1000,MATCH(data!$A55,Haver_M!$B$1:$B$1000,0),MATCH(data!AA$1,Haver_M!$B$1:$ZN$1,0)),"na")</f>
        <v>na</v>
      </c>
      <c r="AB55">
        <f>IF(ISNUMBER(INDEX(Haver_M!$B$1:$ZN$1000,MATCH(data!$A55,Haver_M!$B$1:$B$1000,0),MATCH(data!AB$1,Haver_M!$B$1:$ZN$1,0))),INDEX(Haver_M!$B$1:$ZN$1000,MATCH(data!$A55,Haver_M!$B$1:$B$1000,0),MATCH(data!AB$1,Haver_M!$B$1:$ZN$1,0)),"na")</f>
        <v>15502.3</v>
      </c>
      <c r="AC55">
        <f>IF(ISNUMBER(INDEX(Haver_M!$B$1:$ZN$1000,MATCH(data!$A55,Haver_M!$B$1:$B$1000,0),MATCH(data!AC$1,Haver_M!$B$1:$ZN$1,0))),INDEX(Haver_M!$B$1:$ZN$1000,MATCH(data!$A55,Haver_M!$B$1:$B$1000,0),MATCH(data!AC$1,Haver_M!$B$1:$ZN$1,0)),"na")</f>
        <v>16288.8</v>
      </c>
      <c r="AD55">
        <f>IF(ISNUMBER(INDEX(Haver_M!$B$1:$ZN$1000,MATCH(data!$A55,Haver_M!$B$1:$B$1000,0),MATCH(data!AD$1,Haver_M!$B$1:$ZN$1,0))),INDEX(Haver_M!$B$1:$ZN$1000,MATCH(data!$A55,Haver_M!$B$1:$B$1000,0),MATCH(data!AD$1,Haver_M!$B$1:$ZN$1,0)),"na")</f>
        <v>99.2</v>
      </c>
      <c r="AE55">
        <f>IF(ISNUMBER(INDEX(Haver_M!$B$1:$ZN$1000,MATCH(data!$A55,Haver_M!$B$1:$B$1000,0),MATCH(data!AE$1,Haver_M!$B$1:$ZN$1,0))),INDEX(Haver_M!$B$1:$ZN$1000,MATCH(data!$A55,Haver_M!$B$1:$B$1000,0),MATCH(data!AE$1,Haver_M!$B$1:$ZN$1,0)),"na")</f>
        <v>40.799999999999997</v>
      </c>
      <c r="AF55">
        <f>IF(ISNUMBER(INDEX(Haver_M!$B$1:$ZN$1000,MATCH(data!$A55,Haver_M!$B$1:$B$1000,0),MATCH(data!AF$1,Haver_M!$B$1:$ZN$1,0))),INDEX(Haver_M!$B$1:$ZN$1000,MATCH(data!$A55,Haver_M!$B$1:$B$1000,0),MATCH(data!AF$1,Haver_M!$B$1:$ZN$1,0)),"na")</f>
        <v>99.6</v>
      </c>
      <c r="AG55" t="str">
        <f>IF(ISNUMBER(INDEX(Haver_M!$B$1:$ZN$1000,MATCH(data!$A55,Haver_M!$B$1:$B$1000,0),MATCH(data!AG$1,Haver_M!$B$1:$ZN$1,0))),INDEX(Haver_M!$B$1:$ZN$1000,MATCH(data!$A55,Haver_M!$B$1:$B$1000,0),MATCH(data!AG$1,Haver_M!$B$1:$ZN$1,0)),"na")</f>
        <v>na</v>
      </c>
      <c r="AH55" t="str">
        <f>IF(ISNUMBER(INDEX(Haver_M!$B$1:$ZN$1000,MATCH(data!$A55,Haver_M!$B$1:$B$1000,0),MATCH(data!AH$1,Haver_M!$B$1:$ZN$1,0))),INDEX(Haver_M!$B$1:$ZN$1000,MATCH(data!$A55,Haver_M!$B$1:$B$1000,0),MATCH(data!AH$1,Haver_M!$B$1:$ZN$1,0)),"na")</f>
        <v>na</v>
      </c>
      <c r="AI55" t="str">
        <f>IF(ISNUMBER(INDEX(Haver_M!$B$1:$ZN$1000,MATCH(data!$A55,Haver_M!$B$1:$B$1000,0),MATCH(data!AI$1,Haver_M!$B$1:$ZN$1,0))),INDEX(Haver_M!$B$1:$ZN$1000,MATCH(data!$A55,Haver_M!$B$1:$B$1000,0),MATCH(data!AI$1,Haver_M!$B$1:$ZN$1,0)),"na")</f>
        <v>na</v>
      </c>
      <c r="AJ55" t="str">
        <f>IF(ISNUMBER(INDEX(Haver_M!$B$1:$ZN$1000,MATCH(data!$A55,Haver_M!$B$1:$B$1000,0),MATCH(data!AJ$1,Haver_M!$B$1:$ZN$1,0))),INDEX(Haver_M!$B$1:$ZN$1000,MATCH(data!$A55,Haver_M!$B$1:$B$1000,0),MATCH(data!AJ$1,Haver_M!$B$1:$ZN$1,0)),"na")</f>
        <v>na</v>
      </c>
      <c r="AK55" t="str">
        <f>IF(ISNUMBER(INDEX(Haver_M!$B$1:$ZN$1000,MATCH(data!$A55,Haver_M!$B$1:$B$1000,0),MATCH(data!AK$1,Haver_M!$B$1:$ZN$1,0))),INDEX(Haver_M!$B$1:$ZN$1000,MATCH(data!$A55,Haver_M!$B$1:$B$1000,0),MATCH(data!AK$1,Haver_M!$B$1:$ZN$1,0)),"na")</f>
        <v>na</v>
      </c>
      <c r="AL55" t="str">
        <f>IF(ISNUMBER(INDEX(Haver_M!$B$1:$ZN$1000,MATCH(data!$A55,Haver_M!$B$1:$B$1000,0),MATCH(data!AL$1,Haver_M!$B$1:$ZN$1,0))),INDEX(Haver_M!$B$1:$ZN$1000,MATCH(data!$A55,Haver_M!$B$1:$B$1000,0),MATCH(data!AL$1,Haver_M!$B$1:$ZN$1,0)),"na")</f>
        <v>na</v>
      </c>
      <c r="AM55" t="str">
        <f>IF(ISNUMBER(INDEX(Haver_M!$B$1:$ZN$1000,MATCH(data!$A55,Haver_M!$B$1:$B$1000,0),MATCH(data!AM$1,Haver_M!$B$1:$ZN$1,0))),INDEX(Haver_M!$B$1:$ZN$1000,MATCH(data!$A55,Haver_M!$B$1:$B$1000,0),MATCH(data!AM$1,Haver_M!$B$1:$ZN$1,0)),"na")</f>
        <v>na</v>
      </c>
      <c r="AN55" t="str">
        <f>IF(ISNUMBER(INDEX(Haver_M!$B$1:$ZN$1000,MATCH(data!$A55,Haver_M!$B$1:$B$1000,0),MATCH(data!AN$1,Haver_M!$B$1:$ZN$1,0))),INDEX(Haver_M!$B$1:$ZN$1000,MATCH(data!$A55,Haver_M!$B$1:$B$1000,0),MATCH(data!AN$1,Haver_M!$B$1:$ZN$1,0)),"na")</f>
        <v>na</v>
      </c>
      <c r="AO55" t="str">
        <f>IF(ISNUMBER(INDEX(Haver_M!$B$1:$ZN$1000,MATCH(data!$A55,Haver_M!$B$1:$B$1000,0),MATCH(data!AO$1,Haver_M!$B$1:$ZN$1,0))),INDEX(Haver_M!$B$1:$ZN$1000,MATCH(data!$A55,Haver_M!$B$1:$B$1000,0),MATCH(data!AO$1,Haver_M!$B$1:$ZN$1,0)),"na")</f>
        <v>na</v>
      </c>
      <c r="AP55" t="str">
        <f>IF(ISNUMBER(INDEX(Haver_M!$B$1:$ZN$1000,MATCH(data!$A55,Haver_M!$B$1:$B$1000,0),MATCH(data!AP$1,Haver_M!$B$1:$ZN$1,0))),INDEX(Haver_M!$B$1:$ZN$1000,MATCH(data!$A55,Haver_M!$B$1:$B$1000,0),MATCH(data!AP$1,Haver_M!$B$1:$ZN$1,0)),"na")</f>
        <v>na</v>
      </c>
      <c r="AQ55" t="str">
        <f>IF(ISNUMBER(INDEX(Haver_M!$B$1:$ZN$1000,MATCH(data!$A55,Haver_M!$B$1:$B$1000,0),MATCH(data!AQ$1,Haver_M!$B$1:$ZN$1,0))),INDEX(Haver_M!$B$1:$ZN$1000,MATCH(data!$A55,Haver_M!$B$1:$B$1000,0),MATCH(data!AQ$1,Haver_M!$B$1:$ZN$1,0)),"na")</f>
        <v>na</v>
      </c>
      <c r="AR55" t="str">
        <f>IF(ISNUMBER(INDEX(Haver_M!$B$1:$ZN$1000,MATCH(data!$A55,Haver_M!$B$1:$B$1000,0),MATCH(data!AR$1,Haver_M!$B$1:$ZN$1,0))),INDEX(Haver_M!$B$1:$ZN$1000,MATCH(data!$A55,Haver_M!$B$1:$B$1000,0),MATCH(data!AR$1,Haver_M!$B$1:$ZN$1,0)),"na")</f>
        <v>na</v>
      </c>
      <c r="AS55">
        <f>IF(ISNUMBER(INDEX(Haver_M!$B$1:$ZN$1000,MATCH(data!$A55,Haver_M!$B$1:$B$1000,0),MATCH(data!AS$1,Haver_M!$B$1:$ZN$1,0))),INDEX(Haver_M!$B$1:$ZN$1000,MATCH(data!$A55,Haver_M!$B$1:$B$1000,0),MATCH(data!AS$1,Haver_M!$B$1:$ZN$1,0)),"na")</f>
        <v>10161.719999999999</v>
      </c>
      <c r="AT55">
        <f>IF(ISNUMBER(INDEX(Haver_M!$B$1:$ZN$1000,MATCH(data!$A55,Haver_M!$B$1:$B$1000,0),MATCH(data!AT$1,Haver_M!$B$1:$ZN$1,0))),INDEX(Haver_M!$B$1:$ZN$1000,MATCH(data!$A55,Haver_M!$B$1:$B$1000,0),MATCH(data!AT$1,Haver_M!$B$1:$ZN$1,0)),"na")</f>
        <v>86.721000000000004</v>
      </c>
      <c r="AU55">
        <f>IF(ISNUMBER(INDEX(Haver_M!$B$1:$ZN$1000,MATCH(data!$A55,Haver_M!$B$1:$B$1000,0),MATCH(data!AU$1,Haver_M!$B$1:$ZN$1,0))),INDEX(Haver_M!$B$1:$ZN$1000,MATCH(data!$A55,Haver_M!$B$1:$B$1000,0),MATCH(data!AU$1,Haver_M!$B$1:$ZN$1,0)),"na")</f>
        <v>83.627713999999997</v>
      </c>
      <c r="AV55">
        <f>IF(ISNUMBER(INDEX(Haver_M!$B$1:$ZN$1000,MATCH(data!$A55,Haver_M!$B$1:$B$1000,0),MATCH(data!AV$1,Haver_M!$B$1:$ZN$1,0))),INDEX(Haver_M!$B$1:$ZN$1000,MATCH(data!$A55,Haver_M!$B$1:$B$1000,0),MATCH(data!AV$1,Haver_M!$B$1:$ZN$1,0)),"na")</f>
        <v>75.599999999999994</v>
      </c>
      <c r="AW55">
        <f>IF(ISNUMBER(INDEX(Haver_M!$B$1:$ZN$1000,MATCH(data!$A55,Haver_M!$B$1:$B$1000,0),MATCH(data!AW$1,Haver_M!$B$1:$ZN$1,0))),INDEX(Haver_M!$B$1:$ZN$1000,MATCH(data!$A55,Haver_M!$B$1:$B$1000,0),MATCH(data!AW$1,Haver_M!$B$1:$ZN$1,0)),"na")</f>
        <v>867285.34157925681</v>
      </c>
      <c r="AX55">
        <f>IF(ISNUMBER(INDEX(Haver_M!$B$1:$ZN$1000,MATCH(data!$A55,Haver_M!$B$1:$B$1000,0),MATCH(data!AX$1,Haver_M!$B$1:$ZN$1,0))),INDEX(Haver_M!$B$1:$ZN$1000,MATCH(data!$A55,Haver_M!$B$1:$B$1000,0),MATCH(data!AX$1,Haver_M!$B$1:$ZN$1,0)),"na")</f>
        <v>3395</v>
      </c>
      <c r="AY55">
        <f>IF(ISNUMBER(INDEX(Haver_M!$B$1:$ZN$1000,MATCH(data!$A55,Haver_M!$B$1:$B$1000,0),MATCH(data!AY$1,Haver_M!$B$1:$ZN$1,0))),INDEX(Haver_M!$B$1:$ZN$1000,MATCH(data!$A55,Haver_M!$B$1:$B$1000,0),MATCH(data!AY$1,Haver_M!$B$1:$ZN$1,0)),"na")</f>
        <v>1846</v>
      </c>
      <c r="AZ55" t="str">
        <f>IF(ISNUMBER(INDEX(Haver_M!$B$1:$ZN$1000,MATCH(data!$A55,Haver_M!$B$1:$B$1000,0),MATCH(data!AZ$1,Haver_M!$B$1:$ZN$1,0))),INDEX(Haver_M!$B$1:$ZN$1000,MATCH(data!$A55,Haver_M!$B$1:$B$1000,0),MATCH(data!AZ$1,Haver_M!$B$1:$ZN$1,0)),"na")</f>
        <v>na</v>
      </c>
      <c r="BA55">
        <f>IF(ISNUMBER(INDEX(Haver_M!$B$1:$ZN$1000,MATCH(data!$A55,Haver_M!$B$1:$B$1000,0),MATCH(data!BA$1,Haver_M!$B$1:$ZN$1,0))),INDEX(Haver_M!$B$1:$ZN$1000,MATCH(data!$A55,Haver_M!$B$1:$B$1000,0),MATCH(data!BA$1,Haver_M!$B$1:$ZN$1,0)),"na")</f>
        <v>80.301643897921281</v>
      </c>
      <c r="BB55" t="str">
        <f>IF(ISNUMBER(INDEX(Haver_M!$B$1:$ZN$1000,MATCH(data!$A55,Haver_M!$B$1:$B$1000,0),MATCH(data!BB$1,Haver_M!$B$1:$ZN$1,0))),INDEX(Haver_M!$B$1:$ZN$1000,MATCH(data!$A55,Haver_M!$B$1:$B$1000,0),MATCH(data!BB$1,Haver_M!$B$1:$ZN$1,0)),"")</f>
        <v/>
      </c>
    </row>
    <row r="56" spans="1:54" x14ac:dyDescent="0.25">
      <c r="A56" s="2">
        <v>38199</v>
      </c>
      <c r="B56" t="str">
        <f>IF(ISNUMBER(INDEX(Haver_Q!$B$1:$BD$1000,MATCH(data!$A56,Haver_Q!$B$1:$B$1000,0),MATCH(data!B$1,Haver_Q!$B$1:$BD$1,0))),100*INDEX(Haver_Q!$B$1:$BD$1000,MATCH(data!$A56,Haver_Q!$B$1:$B$1000,0),MATCH(data!B$1,Haver_Q!$B$1:$BD$1,0)),"na")</f>
        <v>na</v>
      </c>
      <c r="C56" t="str">
        <f>IF(ISNUMBER(INDEX(Haver_Q!$B$1:$BD$1000,MATCH(data!$A56,Haver_Q!$B$1:$B$1000,0),MATCH(data!C$1,Haver_Q!$B$1:$BD$1,0))),100*INDEX(Haver_Q!$B$1:$BD$1000,MATCH(data!$A56,Haver_Q!$B$1:$B$1000,0),MATCH(data!C$1,Haver_Q!$B$1:$BD$1,0)),"na")</f>
        <v>na</v>
      </c>
      <c r="D56" t="str">
        <f>IF(ISNUMBER(INDEX(Haver_Q!$B$1:$BD$1000,MATCH(data!$A56,Haver_Q!$B$1:$B$1000,0),MATCH(data!D$1,Haver_Q!$B$1:$BD$1,0))),100*INDEX(Haver_Q!$B$1:$BD$1000,MATCH(data!$A56,Haver_Q!$B$1:$B$1000,0),MATCH(data!D$1,Haver_Q!$B$1:$BD$1,0)),"na")</f>
        <v>na</v>
      </c>
      <c r="E56" t="str">
        <f>IF(ISNUMBER(INDEX(Haver_Q!$B$1:$BD$1000,MATCH(data!$A56,Haver_Q!$B$1:$B$1000,0),MATCH(data!E$1,Haver_Q!$B$1:$BD$1,0))),100*INDEX(Haver_Q!$B$1:$BD$1000,MATCH(data!$A56,Haver_Q!$B$1:$B$1000,0),MATCH(data!E$1,Haver_Q!$B$1:$BD$1,0)),"na")</f>
        <v>na</v>
      </c>
      <c r="F56" t="str">
        <f>IF(ISNUMBER(INDEX(Haver_Q!$B$1:$BD$1000,MATCH(data!$A56,Haver_Q!$B$1:$B$1000,0),MATCH(data!F$1,Haver_Q!$B$1:$BD$1,0))),100*INDEX(Haver_Q!$B$1:$BD$1000,MATCH(data!$A56,Haver_Q!$B$1:$B$1000,0),MATCH(data!F$1,Haver_Q!$B$1:$BD$1,0)),"na")</f>
        <v>na</v>
      </c>
      <c r="G56" t="str">
        <f>IF(ISNUMBER(INDEX(Haver_Q!$B$1:$BD$1000,MATCH(data!$A56,Haver_Q!$B$1:$B$1000,0),MATCH(data!G$1,Haver_Q!$B$1:$BD$1,0))),100*INDEX(Haver_Q!$B$1:$BD$1000,MATCH(data!$A56,Haver_Q!$B$1:$B$1000,0),MATCH(data!G$1,Haver_Q!$B$1:$BD$1,0)),"na")</f>
        <v>na</v>
      </c>
      <c r="H56" t="str">
        <f>IF(ISNUMBER(INDEX(Haver_Q!$B$1:$BD$1000,MATCH(data!$A56,Haver_Q!$B$1:$B$1000,0),MATCH(data!H$1,Haver_Q!$B$1:$BD$1,0))),100*INDEX(Haver_Q!$B$1:$BD$1000,MATCH(data!$A56,Haver_Q!$B$1:$B$1000,0),MATCH(data!H$1,Haver_Q!$B$1:$BD$1,0)),"na")</f>
        <v>na</v>
      </c>
      <c r="I56" s="3">
        <f>IF(ISNUMBER(Bloomberg_m!C72),Bloomberg_m!C72,"na")</f>
        <v>3778</v>
      </c>
      <c r="J56" s="3" t="str">
        <f>IF(ISNUMBER(Bloomberg_m!D72),Bloomberg_m!D72,"na")</f>
        <v>na</v>
      </c>
      <c r="K56" s="3" t="str">
        <f>IF(ISNUMBER(Bloomberg_m!E72),Bloomberg_m!E72,"na")</f>
        <v>na</v>
      </c>
      <c r="L56" s="3">
        <f>IF(ISNUMBER(Bloomberg_m!L72),Bloomberg_m!L72,"na")</f>
        <v>40.82</v>
      </c>
      <c r="M56" t="str">
        <f>IF(ISNUMBER(INDEX(Haver_M!$B$1:$ZN$1000,MATCH(data!$A56,Haver_M!$B$1:$B$1000,0),MATCH(data!M$1,Haver_M!$B$1:$ZN$1,0))),INDEX(Haver_M!$B$1:$ZN$1000,MATCH(data!$A56,Haver_M!$B$1:$B$1000,0),MATCH(data!M$1,Haver_M!$B$1:$ZN$1,0)),"na")</f>
        <v>na</v>
      </c>
      <c r="N56" t="str">
        <f>IF(ISNUMBER(INDEX(Haver_M!$B$1:$ZN$1000,MATCH(data!$A56,Haver_M!$B$1:$B$1000,0),MATCH(data!N$1,Haver_M!$B$1:$ZN$1,0))),INDEX(Haver_M!$B$1:$ZN$1000,MATCH(data!$A56,Haver_M!$B$1:$B$1000,0),MATCH(data!N$1,Haver_M!$B$1:$ZN$1,0)),"na")</f>
        <v>na</v>
      </c>
      <c r="O56">
        <f>IF(ISNUMBER(INDEX(Haver_M!$B$1:$ZN$1000,MATCH(data!$A56,Haver_M!$B$1:$B$1000,0),MATCH(data!O$1,Haver_M!$B$1:$ZN$1,0))),INDEX(Haver_M!$B$1:$ZN$1000,MATCH(data!$A56,Haver_M!$B$1:$B$1000,0),MATCH(data!O$1,Haver_M!$B$1:$ZN$1,0)),"na")</f>
        <v>105.45390999999999</v>
      </c>
      <c r="P56">
        <f>IF(ISNUMBER(INDEX(Haver_M!$B$1:$ZN$1000,MATCH(data!$A56,Haver_M!$B$1:$B$1000,0),MATCH(data!P$1,Haver_M!$B$1:$ZN$1,0))),INDEX(Haver_M!$B$1:$ZN$1000,MATCH(data!$A56,Haver_M!$B$1:$B$1000,0),MATCH(data!P$1,Haver_M!$B$1:$ZN$1,0)),"na")</f>
        <v>56.808399999999999</v>
      </c>
      <c r="Q56">
        <f>IF(ISNUMBER(INDEX(Haver_M!$B$1:$ZN$1000,MATCH(data!$A56,Haver_M!$B$1:$B$1000,0),MATCH(data!Q$1,Haver_M!$B$1:$ZN$1,0))),INDEX(Haver_M!$B$1:$ZN$1000,MATCH(data!$A56,Haver_M!$B$1:$B$1000,0),MATCH(data!Q$1,Haver_M!$B$1:$ZN$1,0)),"na")</f>
        <v>60.820599999999999</v>
      </c>
      <c r="R56">
        <f>IF(ISNUMBER(INDEX(Haver_M!$B$1:$ZN$1000,MATCH(data!$A56,Haver_M!$B$1:$B$1000,0),MATCH(data!R$1,Haver_M!$B$1:$ZN$1,0))),INDEX(Haver_M!$B$1:$ZN$1000,MATCH(data!$A56,Haver_M!$B$1:$B$1000,0),MATCH(data!R$1,Haver_M!$B$1:$ZN$1,0)),"na")</f>
        <v>91.831000000000003</v>
      </c>
      <c r="S56">
        <f>IF(ISNUMBER(INDEX(Haver_M!$B$1:$ZN$1000,MATCH(data!$A56,Haver_M!$B$1:$B$1000,0),MATCH(data!S$1,Haver_M!$B$1:$ZN$1,0))),INDEX(Haver_M!$B$1:$ZN$1000,MATCH(data!$A56,Haver_M!$B$1:$B$1000,0),MATCH(data!S$1,Haver_M!$B$1:$ZN$1,0)),"na")</f>
        <v>111.2628</v>
      </c>
      <c r="T56">
        <f>IF(ISNUMBER(INDEX(Haver_M!$B$1:$ZN$1000,MATCH(data!$A56,Haver_M!$B$1:$B$1000,0),MATCH(data!T$1,Haver_M!$B$1:$ZN$1,0))),INDEX(Haver_M!$B$1:$ZN$1000,MATCH(data!$A56,Haver_M!$B$1:$B$1000,0),MATCH(data!T$1,Haver_M!$B$1:$ZN$1,0)),"na")</f>
        <v>66.792400000000001</v>
      </c>
      <c r="U56">
        <f>IF(ISNUMBER(INDEX(Haver_M!$B$1:$ZN$1000,MATCH(data!$A56,Haver_M!$B$1:$B$1000,0),MATCH(data!U$1,Haver_M!$B$1:$ZN$1,0))),INDEX(Haver_M!$B$1:$ZN$1000,MATCH(data!$A56,Haver_M!$B$1:$B$1000,0),MATCH(data!U$1,Haver_M!$B$1:$ZN$1,0)),"na")</f>
        <v>82.843299999999999</v>
      </c>
      <c r="V56">
        <f>IF(ISNUMBER(INDEX(Haver_M!$B$1:$ZN$1000,MATCH(data!$A56,Haver_M!$B$1:$B$1000,0),MATCH(data!V$1,Haver_M!$B$1:$ZN$1,0))),INDEX(Haver_M!$B$1:$ZN$1000,MATCH(data!$A56,Haver_M!$B$1:$B$1000,0),MATCH(data!V$1,Haver_M!$B$1:$ZN$1,0)),"na")</f>
        <v>89.680700000000002</v>
      </c>
      <c r="W56">
        <f>IF(ISNUMBER(INDEX(Haver_M!$B$1:$ZN$1000,MATCH(data!$A56,Haver_M!$B$1:$B$1000,0),MATCH(data!W$1,Haver_M!$B$1:$ZN$1,0))),INDEX(Haver_M!$B$1:$ZN$1000,MATCH(data!$A56,Haver_M!$B$1:$B$1000,0),MATCH(data!W$1,Haver_M!$B$1:$ZN$1,0)),"na")</f>
        <v>3.82</v>
      </c>
      <c r="X56" t="str">
        <f>IF(ISNUMBER(INDEX(Haver_M!$B$1:$ZN$1000,MATCH(data!$A56,Haver_M!$B$1:$B$1000,0),MATCH(data!X$1,Haver_M!$B$1:$ZN$1,0))),INDEX(Haver_M!$B$1:$ZN$1000,MATCH(data!$A56,Haver_M!$B$1:$B$1000,0),MATCH(data!X$1,Haver_M!$B$1:$ZN$1,0)),"na")</f>
        <v>na</v>
      </c>
      <c r="Y56">
        <f>IF(ISNUMBER(INDEX(Haver_M!$B$1:$ZN$1000,MATCH(data!$A56,Haver_M!$B$1:$B$1000,0),MATCH(data!Y$1,Haver_M!$B$1:$ZN$1,0))),INDEX(Haver_M!$B$1:$ZN$1000,MATCH(data!$A56,Haver_M!$B$1:$B$1000,0),MATCH(data!Y$1,Haver_M!$B$1:$ZN$1,0)),"na")</f>
        <v>99.99</v>
      </c>
      <c r="Z56">
        <f>IF(ISNUMBER(INDEX(Haver_M!$B$1:$ZN$1000,MATCH(data!$A56,Haver_M!$B$1:$B$1000,0),MATCH(data!Z$1,Haver_M!$B$1:$ZN$1,0))),INDEX(Haver_M!$B$1:$ZN$1000,MATCH(data!$A56,Haver_M!$B$1:$B$1000,0),MATCH(data!Z$1,Haver_M!$B$1:$ZN$1,0)),"na")</f>
        <v>89.367000000000004</v>
      </c>
      <c r="AA56" t="str">
        <f>IF(ISNUMBER(INDEX(Haver_M!$B$1:$ZN$1000,MATCH(data!$A56,Haver_M!$B$1:$B$1000,0),MATCH(data!AA$1,Haver_M!$B$1:$ZN$1,0))),INDEX(Haver_M!$B$1:$ZN$1000,MATCH(data!$A56,Haver_M!$B$1:$B$1000,0),MATCH(data!AA$1,Haver_M!$B$1:$ZN$1,0)),"na")</f>
        <v>na</v>
      </c>
      <c r="AB56">
        <f>IF(ISNUMBER(INDEX(Haver_M!$B$1:$ZN$1000,MATCH(data!$A56,Haver_M!$B$1:$B$1000,0),MATCH(data!AB$1,Haver_M!$B$1:$ZN$1,0))),INDEX(Haver_M!$B$1:$ZN$1000,MATCH(data!$A56,Haver_M!$B$1:$B$1000,0),MATCH(data!AB$1,Haver_M!$B$1:$ZN$1,0)),"na")</f>
        <v>15657.8</v>
      </c>
      <c r="AC56">
        <f>IF(ISNUMBER(INDEX(Haver_M!$B$1:$ZN$1000,MATCH(data!$A56,Haver_M!$B$1:$B$1000,0),MATCH(data!AC$1,Haver_M!$B$1:$ZN$1,0))),INDEX(Haver_M!$B$1:$ZN$1000,MATCH(data!$A56,Haver_M!$B$1:$B$1000,0),MATCH(data!AC$1,Haver_M!$B$1:$ZN$1,0)),"na")</f>
        <v>16533</v>
      </c>
      <c r="AD56">
        <f>IF(ISNUMBER(INDEX(Haver_M!$B$1:$ZN$1000,MATCH(data!$A56,Haver_M!$B$1:$B$1000,0),MATCH(data!AD$1,Haver_M!$B$1:$ZN$1,0))),INDEX(Haver_M!$B$1:$ZN$1000,MATCH(data!$A56,Haver_M!$B$1:$B$1000,0),MATCH(data!AD$1,Haver_M!$B$1:$ZN$1,0)),"na")</f>
        <v>99.24</v>
      </c>
      <c r="AE56">
        <f>IF(ISNUMBER(INDEX(Haver_M!$B$1:$ZN$1000,MATCH(data!$A56,Haver_M!$B$1:$B$1000,0),MATCH(data!AE$1,Haver_M!$B$1:$ZN$1,0))),INDEX(Haver_M!$B$1:$ZN$1000,MATCH(data!$A56,Haver_M!$B$1:$B$1000,0),MATCH(data!AE$1,Haver_M!$B$1:$ZN$1,0)),"na")</f>
        <v>39.6</v>
      </c>
      <c r="AF56">
        <f>IF(ISNUMBER(INDEX(Haver_M!$B$1:$ZN$1000,MATCH(data!$A56,Haver_M!$B$1:$B$1000,0),MATCH(data!AF$1,Haver_M!$B$1:$ZN$1,0))),INDEX(Haver_M!$B$1:$ZN$1000,MATCH(data!$A56,Haver_M!$B$1:$B$1000,0),MATCH(data!AF$1,Haver_M!$B$1:$ZN$1,0)),"na")</f>
        <v>99.69</v>
      </c>
      <c r="AG56" t="str">
        <f>IF(ISNUMBER(INDEX(Haver_M!$B$1:$ZN$1000,MATCH(data!$A56,Haver_M!$B$1:$B$1000,0),MATCH(data!AG$1,Haver_M!$B$1:$ZN$1,0))),INDEX(Haver_M!$B$1:$ZN$1000,MATCH(data!$A56,Haver_M!$B$1:$B$1000,0),MATCH(data!AG$1,Haver_M!$B$1:$ZN$1,0)),"na")</f>
        <v>na</v>
      </c>
      <c r="AH56" t="str">
        <f>IF(ISNUMBER(INDEX(Haver_M!$B$1:$ZN$1000,MATCH(data!$A56,Haver_M!$B$1:$B$1000,0),MATCH(data!AH$1,Haver_M!$B$1:$ZN$1,0))),INDEX(Haver_M!$B$1:$ZN$1000,MATCH(data!$A56,Haver_M!$B$1:$B$1000,0),MATCH(data!AH$1,Haver_M!$B$1:$ZN$1,0)),"na")</f>
        <v>na</v>
      </c>
      <c r="AI56" t="str">
        <f>IF(ISNUMBER(INDEX(Haver_M!$B$1:$ZN$1000,MATCH(data!$A56,Haver_M!$B$1:$B$1000,0),MATCH(data!AI$1,Haver_M!$B$1:$ZN$1,0))),INDEX(Haver_M!$B$1:$ZN$1000,MATCH(data!$A56,Haver_M!$B$1:$B$1000,0),MATCH(data!AI$1,Haver_M!$B$1:$ZN$1,0)),"na")</f>
        <v>na</v>
      </c>
      <c r="AJ56" t="str">
        <f>IF(ISNUMBER(INDEX(Haver_M!$B$1:$ZN$1000,MATCH(data!$A56,Haver_M!$B$1:$B$1000,0),MATCH(data!AJ$1,Haver_M!$B$1:$ZN$1,0))),INDEX(Haver_M!$B$1:$ZN$1000,MATCH(data!$A56,Haver_M!$B$1:$B$1000,0),MATCH(data!AJ$1,Haver_M!$B$1:$ZN$1,0)),"na")</f>
        <v>na</v>
      </c>
      <c r="AK56" t="str">
        <f>IF(ISNUMBER(INDEX(Haver_M!$B$1:$ZN$1000,MATCH(data!$A56,Haver_M!$B$1:$B$1000,0),MATCH(data!AK$1,Haver_M!$B$1:$ZN$1,0))),INDEX(Haver_M!$B$1:$ZN$1000,MATCH(data!$A56,Haver_M!$B$1:$B$1000,0),MATCH(data!AK$1,Haver_M!$B$1:$ZN$1,0)),"na")</f>
        <v>na</v>
      </c>
      <c r="AL56" t="str">
        <f>IF(ISNUMBER(INDEX(Haver_M!$B$1:$ZN$1000,MATCH(data!$A56,Haver_M!$B$1:$B$1000,0),MATCH(data!AL$1,Haver_M!$B$1:$ZN$1,0))),INDEX(Haver_M!$B$1:$ZN$1000,MATCH(data!$A56,Haver_M!$B$1:$B$1000,0),MATCH(data!AL$1,Haver_M!$B$1:$ZN$1,0)),"na")</f>
        <v>na</v>
      </c>
      <c r="AM56" t="str">
        <f>IF(ISNUMBER(INDEX(Haver_M!$B$1:$ZN$1000,MATCH(data!$A56,Haver_M!$B$1:$B$1000,0),MATCH(data!AM$1,Haver_M!$B$1:$ZN$1,0))),INDEX(Haver_M!$B$1:$ZN$1000,MATCH(data!$A56,Haver_M!$B$1:$B$1000,0),MATCH(data!AM$1,Haver_M!$B$1:$ZN$1,0)),"na")</f>
        <v>na</v>
      </c>
      <c r="AN56" t="str">
        <f>IF(ISNUMBER(INDEX(Haver_M!$B$1:$ZN$1000,MATCH(data!$A56,Haver_M!$B$1:$B$1000,0),MATCH(data!AN$1,Haver_M!$B$1:$ZN$1,0))),INDEX(Haver_M!$B$1:$ZN$1000,MATCH(data!$A56,Haver_M!$B$1:$B$1000,0),MATCH(data!AN$1,Haver_M!$B$1:$ZN$1,0)),"na")</f>
        <v>na</v>
      </c>
      <c r="AO56" t="str">
        <f>IF(ISNUMBER(INDEX(Haver_M!$B$1:$ZN$1000,MATCH(data!$A56,Haver_M!$B$1:$B$1000,0),MATCH(data!AO$1,Haver_M!$B$1:$ZN$1,0))),INDEX(Haver_M!$B$1:$ZN$1000,MATCH(data!$A56,Haver_M!$B$1:$B$1000,0),MATCH(data!AO$1,Haver_M!$B$1:$ZN$1,0)),"na")</f>
        <v>na</v>
      </c>
      <c r="AP56" t="str">
        <f>IF(ISNUMBER(INDEX(Haver_M!$B$1:$ZN$1000,MATCH(data!$A56,Haver_M!$B$1:$B$1000,0),MATCH(data!AP$1,Haver_M!$B$1:$ZN$1,0))),INDEX(Haver_M!$B$1:$ZN$1000,MATCH(data!$A56,Haver_M!$B$1:$B$1000,0),MATCH(data!AP$1,Haver_M!$B$1:$ZN$1,0)),"na")</f>
        <v>na</v>
      </c>
      <c r="AQ56" t="str">
        <f>IF(ISNUMBER(INDEX(Haver_M!$B$1:$ZN$1000,MATCH(data!$A56,Haver_M!$B$1:$B$1000,0),MATCH(data!AQ$1,Haver_M!$B$1:$ZN$1,0))),INDEX(Haver_M!$B$1:$ZN$1000,MATCH(data!$A56,Haver_M!$B$1:$B$1000,0),MATCH(data!AQ$1,Haver_M!$B$1:$ZN$1,0)),"na")</f>
        <v>na</v>
      </c>
      <c r="AR56" t="str">
        <f>IF(ISNUMBER(INDEX(Haver_M!$B$1:$ZN$1000,MATCH(data!$A56,Haver_M!$B$1:$B$1000,0),MATCH(data!AR$1,Haver_M!$B$1:$ZN$1,0))),INDEX(Haver_M!$B$1:$ZN$1000,MATCH(data!$A56,Haver_M!$B$1:$B$1000,0),MATCH(data!AR$1,Haver_M!$B$1:$ZN$1,0)),"na")</f>
        <v>na</v>
      </c>
      <c r="AS56">
        <f>IF(ISNUMBER(INDEX(Haver_M!$B$1:$ZN$1000,MATCH(data!$A56,Haver_M!$B$1:$B$1000,0),MATCH(data!AS$1,Haver_M!$B$1:$ZN$1,0))),INDEX(Haver_M!$B$1:$ZN$1000,MATCH(data!$A56,Haver_M!$B$1:$B$1000,0),MATCH(data!AS$1,Haver_M!$B$1:$ZN$1,0)),"na")</f>
        <v>10036.76</v>
      </c>
      <c r="AT56">
        <f>IF(ISNUMBER(INDEX(Haver_M!$B$1:$ZN$1000,MATCH(data!$A56,Haver_M!$B$1:$B$1000,0),MATCH(data!AT$1,Haver_M!$B$1:$ZN$1,0))),INDEX(Haver_M!$B$1:$ZN$1000,MATCH(data!$A56,Haver_M!$B$1:$B$1000,0),MATCH(data!AT$1,Haver_M!$B$1:$ZN$1,0)),"na")</f>
        <v>87.153000000000006</v>
      </c>
      <c r="AU56">
        <f>IF(ISNUMBER(INDEX(Haver_M!$B$1:$ZN$1000,MATCH(data!$A56,Haver_M!$B$1:$B$1000,0),MATCH(data!AU$1,Haver_M!$B$1:$ZN$1,0))),INDEX(Haver_M!$B$1:$ZN$1000,MATCH(data!$A56,Haver_M!$B$1:$B$1000,0),MATCH(data!AU$1,Haver_M!$B$1:$ZN$1,0)),"na")</f>
        <v>83.213987000000003</v>
      </c>
      <c r="AV56">
        <f>IF(ISNUMBER(INDEX(Haver_M!$B$1:$ZN$1000,MATCH(data!$A56,Haver_M!$B$1:$B$1000,0),MATCH(data!AV$1,Haver_M!$B$1:$ZN$1,0))),INDEX(Haver_M!$B$1:$ZN$1000,MATCH(data!$A56,Haver_M!$B$1:$B$1000,0),MATCH(data!AV$1,Haver_M!$B$1:$ZN$1,0)),"na")</f>
        <v>75.599999999999994</v>
      </c>
      <c r="AW56">
        <f>IF(ISNUMBER(INDEX(Haver_M!$B$1:$ZN$1000,MATCH(data!$A56,Haver_M!$B$1:$B$1000,0),MATCH(data!AW$1,Haver_M!$B$1:$ZN$1,0))),INDEX(Haver_M!$B$1:$ZN$1000,MATCH(data!$A56,Haver_M!$B$1:$B$1000,0),MATCH(data!AW$1,Haver_M!$B$1:$ZN$1,0)),"na")</f>
        <v>884296.69800658035</v>
      </c>
      <c r="AX56">
        <f>IF(ISNUMBER(INDEX(Haver_M!$B$1:$ZN$1000,MATCH(data!$A56,Haver_M!$B$1:$B$1000,0),MATCH(data!AX$1,Haver_M!$B$1:$ZN$1,0))),INDEX(Haver_M!$B$1:$ZN$1000,MATCH(data!$A56,Haver_M!$B$1:$B$1000,0),MATCH(data!AX$1,Haver_M!$B$1:$ZN$1,0)),"na")</f>
        <v>3373</v>
      </c>
      <c r="AY56">
        <f>IF(ISNUMBER(INDEX(Haver_M!$B$1:$ZN$1000,MATCH(data!$A56,Haver_M!$B$1:$B$1000,0),MATCH(data!AY$1,Haver_M!$B$1:$ZN$1,0))),INDEX(Haver_M!$B$1:$ZN$1000,MATCH(data!$A56,Haver_M!$B$1:$B$1000,0),MATCH(data!AY$1,Haver_M!$B$1:$ZN$1,0)),"na")</f>
        <v>1805</v>
      </c>
      <c r="AZ56" t="str">
        <f>IF(ISNUMBER(INDEX(Haver_M!$B$1:$ZN$1000,MATCH(data!$A56,Haver_M!$B$1:$B$1000,0),MATCH(data!AZ$1,Haver_M!$B$1:$ZN$1,0))),INDEX(Haver_M!$B$1:$ZN$1000,MATCH(data!$A56,Haver_M!$B$1:$B$1000,0),MATCH(data!AZ$1,Haver_M!$B$1:$ZN$1,0)),"na")</f>
        <v>na</v>
      </c>
      <c r="BA56">
        <f>IF(ISNUMBER(INDEX(Haver_M!$B$1:$ZN$1000,MATCH(data!$A56,Haver_M!$B$1:$B$1000,0),MATCH(data!BA$1,Haver_M!$B$1:$ZN$1,0))),INDEX(Haver_M!$B$1:$ZN$1000,MATCH(data!$A56,Haver_M!$B$1:$B$1000,0),MATCH(data!BA$1,Haver_M!$B$1:$ZN$1,0)),"na")</f>
        <v>93.797958273830105</v>
      </c>
      <c r="BB56" t="str">
        <f>IF(ISNUMBER(INDEX(Haver_M!$B$1:$ZN$1000,MATCH(data!$A56,Haver_M!$B$1:$B$1000,0),MATCH(data!BB$1,Haver_M!$B$1:$ZN$1,0))),INDEX(Haver_M!$B$1:$ZN$1000,MATCH(data!$A56,Haver_M!$B$1:$B$1000,0),MATCH(data!BB$1,Haver_M!$B$1:$ZN$1,0)),"")</f>
        <v/>
      </c>
    </row>
    <row r="57" spans="1:54" x14ac:dyDescent="0.25">
      <c r="A57" s="2">
        <v>38230</v>
      </c>
      <c r="B57" t="str">
        <f>IF(ISNUMBER(INDEX(Haver_Q!$B$1:$BD$1000,MATCH(data!$A57,Haver_Q!$B$1:$B$1000,0),MATCH(data!B$1,Haver_Q!$B$1:$BD$1,0))),100*INDEX(Haver_Q!$B$1:$BD$1000,MATCH(data!$A57,Haver_Q!$B$1:$B$1000,0),MATCH(data!B$1,Haver_Q!$B$1:$BD$1,0)),"na")</f>
        <v>na</v>
      </c>
      <c r="C57" t="str">
        <f>IF(ISNUMBER(INDEX(Haver_Q!$B$1:$BD$1000,MATCH(data!$A57,Haver_Q!$B$1:$B$1000,0),MATCH(data!C$1,Haver_Q!$B$1:$BD$1,0))),100*INDEX(Haver_Q!$B$1:$BD$1000,MATCH(data!$A57,Haver_Q!$B$1:$B$1000,0),MATCH(data!C$1,Haver_Q!$B$1:$BD$1,0)),"na")</f>
        <v>na</v>
      </c>
      <c r="D57" t="str">
        <f>IF(ISNUMBER(INDEX(Haver_Q!$B$1:$BD$1000,MATCH(data!$A57,Haver_Q!$B$1:$B$1000,0),MATCH(data!D$1,Haver_Q!$B$1:$BD$1,0))),100*INDEX(Haver_Q!$B$1:$BD$1000,MATCH(data!$A57,Haver_Q!$B$1:$B$1000,0),MATCH(data!D$1,Haver_Q!$B$1:$BD$1,0)),"na")</f>
        <v>na</v>
      </c>
      <c r="E57" t="str">
        <f>IF(ISNUMBER(INDEX(Haver_Q!$B$1:$BD$1000,MATCH(data!$A57,Haver_Q!$B$1:$B$1000,0),MATCH(data!E$1,Haver_Q!$B$1:$BD$1,0))),100*INDEX(Haver_Q!$B$1:$BD$1000,MATCH(data!$A57,Haver_Q!$B$1:$B$1000,0),MATCH(data!E$1,Haver_Q!$B$1:$BD$1,0)),"na")</f>
        <v>na</v>
      </c>
      <c r="F57" t="str">
        <f>IF(ISNUMBER(INDEX(Haver_Q!$B$1:$BD$1000,MATCH(data!$A57,Haver_Q!$B$1:$B$1000,0),MATCH(data!F$1,Haver_Q!$B$1:$BD$1,0))),100*INDEX(Haver_Q!$B$1:$BD$1000,MATCH(data!$A57,Haver_Q!$B$1:$B$1000,0),MATCH(data!F$1,Haver_Q!$B$1:$BD$1,0)),"na")</f>
        <v>na</v>
      </c>
      <c r="G57" t="str">
        <f>IF(ISNUMBER(INDEX(Haver_Q!$B$1:$BD$1000,MATCH(data!$A57,Haver_Q!$B$1:$B$1000,0),MATCH(data!G$1,Haver_Q!$B$1:$BD$1,0))),100*INDEX(Haver_Q!$B$1:$BD$1000,MATCH(data!$A57,Haver_Q!$B$1:$B$1000,0),MATCH(data!G$1,Haver_Q!$B$1:$BD$1,0)),"na")</f>
        <v>na</v>
      </c>
      <c r="H57" t="str">
        <f>IF(ISNUMBER(INDEX(Haver_Q!$B$1:$BD$1000,MATCH(data!$A57,Haver_Q!$B$1:$B$1000,0),MATCH(data!H$1,Haver_Q!$B$1:$BD$1,0))),100*INDEX(Haver_Q!$B$1:$BD$1000,MATCH(data!$A57,Haver_Q!$B$1:$B$1000,0),MATCH(data!H$1,Haver_Q!$B$1:$BD$1,0)),"na")</f>
        <v>na</v>
      </c>
      <c r="I57" s="3">
        <f>IF(ISNUMBER(Bloomberg_m!C73),Bloomberg_m!C73,"na")</f>
        <v>4169</v>
      </c>
      <c r="J57" s="3" t="str">
        <f>IF(ISNUMBER(Bloomberg_m!D73),Bloomberg_m!D73,"na")</f>
        <v>na</v>
      </c>
      <c r="K57" s="3" t="str">
        <f>IF(ISNUMBER(Bloomberg_m!E73),Bloomberg_m!E73,"na")</f>
        <v>na</v>
      </c>
      <c r="L57" s="3">
        <f>IF(ISNUMBER(Bloomberg_m!L73),Bloomberg_m!L73,"na")</f>
        <v>44.92</v>
      </c>
      <c r="M57" t="str">
        <f>IF(ISNUMBER(INDEX(Haver_M!$B$1:$ZN$1000,MATCH(data!$A57,Haver_M!$B$1:$B$1000,0),MATCH(data!M$1,Haver_M!$B$1:$ZN$1,0))),INDEX(Haver_M!$B$1:$ZN$1000,MATCH(data!$A57,Haver_M!$B$1:$B$1000,0),MATCH(data!M$1,Haver_M!$B$1:$ZN$1,0)),"na")</f>
        <v>na</v>
      </c>
      <c r="N57" t="str">
        <f>IF(ISNUMBER(INDEX(Haver_M!$B$1:$ZN$1000,MATCH(data!$A57,Haver_M!$B$1:$B$1000,0),MATCH(data!N$1,Haver_M!$B$1:$ZN$1,0))),INDEX(Haver_M!$B$1:$ZN$1000,MATCH(data!$A57,Haver_M!$B$1:$B$1000,0),MATCH(data!N$1,Haver_M!$B$1:$ZN$1,0)),"na")</f>
        <v>na</v>
      </c>
      <c r="O57">
        <f>IF(ISNUMBER(INDEX(Haver_M!$B$1:$ZN$1000,MATCH(data!$A57,Haver_M!$B$1:$B$1000,0),MATCH(data!O$1,Haver_M!$B$1:$ZN$1,0))),INDEX(Haver_M!$B$1:$ZN$1000,MATCH(data!$A57,Haver_M!$B$1:$B$1000,0),MATCH(data!O$1,Haver_M!$B$1:$ZN$1,0)),"na")</f>
        <v>106.74599000000001</v>
      </c>
      <c r="P57">
        <f>IF(ISNUMBER(INDEX(Haver_M!$B$1:$ZN$1000,MATCH(data!$A57,Haver_M!$B$1:$B$1000,0),MATCH(data!P$1,Haver_M!$B$1:$ZN$1,0))),INDEX(Haver_M!$B$1:$ZN$1000,MATCH(data!$A57,Haver_M!$B$1:$B$1000,0),MATCH(data!P$1,Haver_M!$B$1:$ZN$1,0)),"na")</f>
        <v>57.140099999999997</v>
      </c>
      <c r="Q57">
        <f>IF(ISNUMBER(INDEX(Haver_M!$B$1:$ZN$1000,MATCH(data!$A57,Haver_M!$B$1:$B$1000,0),MATCH(data!Q$1,Haver_M!$B$1:$ZN$1,0))),INDEX(Haver_M!$B$1:$ZN$1000,MATCH(data!$A57,Haver_M!$B$1:$B$1000,0),MATCH(data!Q$1,Haver_M!$B$1:$ZN$1,0)),"na")</f>
        <v>61.035400000000003</v>
      </c>
      <c r="R57">
        <f>IF(ISNUMBER(INDEX(Haver_M!$B$1:$ZN$1000,MATCH(data!$A57,Haver_M!$B$1:$B$1000,0),MATCH(data!R$1,Haver_M!$B$1:$ZN$1,0))),INDEX(Haver_M!$B$1:$ZN$1000,MATCH(data!$A57,Haver_M!$B$1:$B$1000,0),MATCH(data!R$1,Haver_M!$B$1:$ZN$1,0)),"na")</f>
        <v>91.839200000000005</v>
      </c>
      <c r="S57">
        <f>IF(ISNUMBER(INDEX(Haver_M!$B$1:$ZN$1000,MATCH(data!$A57,Haver_M!$B$1:$B$1000,0),MATCH(data!S$1,Haver_M!$B$1:$ZN$1,0))),INDEX(Haver_M!$B$1:$ZN$1000,MATCH(data!$A57,Haver_M!$B$1:$B$1000,0),MATCH(data!S$1,Haver_M!$B$1:$ZN$1,0)),"na")</f>
        <v>110.8219</v>
      </c>
      <c r="T57">
        <f>IF(ISNUMBER(INDEX(Haver_M!$B$1:$ZN$1000,MATCH(data!$A57,Haver_M!$B$1:$B$1000,0),MATCH(data!T$1,Haver_M!$B$1:$ZN$1,0))),INDEX(Haver_M!$B$1:$ZN$1000,MATCH(data!$A57,Haver_M!$B$1:$B$1000,0),MATCH(data!T$1,Haver_M!$B$1:$ZN$1,0)),"na")</f>
        <v>67.569900000000004</v>
      </c>
      <c r="U57">
        <f>IF(ISNUMBER(INDEX(Haver_M!$B$1:$ZN$1000,MATCH(data!$A57,Haver_M!$B$1:$B$1000,0),MATCH(data!U$1,Haver_M!$B$1:$ZN$1,0))),INDEX(Haver_M!$B$1:$ZN$1000,MATCH(data!$A57,Haver_M!$B$1:$B$1000,0),MATCH(data!U$1,Haver_M!$B$1:$ZN$1,0)),"na")</f>
        <v>80.751599999999996</v>
      </c>
      <c r="V57">
        <f>IF(ISNUMBER(INDEX(Haver_M!$B$1:$ZN$1000,MATCH(data!$A57,Haver_M!$B$1:$B$1000,0),MATCH(data!V$1,Haver_M!$B$1:$ZN$1,0))),INDEX(Haver_M!$B$1:$ZN$1000,MATCH(data!$A57,Haver_M!$B$1:$B$1000,0),MATCH(data!V$1,Haver_M!$B$1:$ZN$1,0)),"na")</f>
        <v>90.213899999999995</v>
      </c>
      <c r="W57">
        <f>IF(ISNUMBER(INDEX(Haver_M!$B$1:$ZN$1000,MATCH(data!$A57,Haver_M!$B$1:$B$1000,0),MATCH(data!W$1,Haver_M!$B$1:$ZN$1,0))),INDEX(Haver_M!$B$1:$ZN$1000,MATCH(data!$A57,Haver_M!$B$1:$B$1000,0),MATCH(data!W$1,Haver_M!$B$1:$ZN$1,0)),"na")</f>
        <v>4.12</v>
      </c>
      <c r="X57" t="str">
        <f>IF(ISNUMBER(INDEX(Haver_M!$B$1:$ZN$1000,MATCH(data!$A57,Haver_M!$B$1:$B$1000,0),MATCH(data!X$1,Haver_M!$B$1:$ZN$1,0))),INDEX(Haver_M!$B$1:$ZN$1000,MATCH(data!$A57,Haver_M!$B$1:$B$1000,0),MATCH(data!X$1,Haver_M!$B$1:$ZN$1,0)),"na")</f>
        <v>na</v>
      </c>
      <c r="Y57">
        <f>IF(ISNUMBER(INDEX(Haver_M!$B$1:$ZN$1000,MATCH(data!$A57,Haver_M!$B$1:$B$1000,0),MATCH(data!Y$1,Haver_M!$B$1:$ZN$1,0))),INDEX(Haver_M!$B$1:$ZN$1000,MATCH(data!$A57,Haver_M!$B$1:$B$1000,0),MATCH(data!Y$1,Haver_M!$B$1:$ZN$1,0)),"na")</f>
        <v>99.93</v>
      </c>
      <c r="Z57">
        <f>IF(ISNUMBER(INDEX(Haver_M!$B$1:$ZN$1000,MATCH(data!$A57,Haver_M!$B$1:$B$1000,0),MATCH(data!Z$1,Haver_M!$B$1:$ZN$1,0))),INDEX(Haver_M!$B$1:$ZN$1000,MATCH(data!$A57,Haver_M!$B$1:$B$1000,0),MATCH(data!Z$1,Haver_M!$B$1:$ZN$1,0)),"na")</f>
        <v>88.874600000000001</v>
      </c>
      <c r="AA57" t="str">
        <f>IF(ISNUMBER(INDEX(Haver_M!$B$1:$ZN$1000,MATCH(data!$A57,Haver_M!$B$1:$B$1000,0),MATCH(data!AA$1,Haver_M!$B$1:$ZN$1,0))),INDEX(Haver_M!$B$1:$ZN$1000,MATCH(data!$A57,Haver_M!$B$1:$B$1000,0),MATCH(data!AA$1,Haver_M!$B$1:$ZN$1,0)),"na")</f>
        <v>na</v>
      </c>
      <c r="AB57">
        <f>IF(ISNUMBER(INDEX(Haver_M!$B$1:$ZN$1000,MATCH(data!$A57,Haver_M!$B$1:$B$1000,0),MATCH(data!AB$1,Haver_M!$B$1:$ZN$1,0))),INDEX(Haver_M!$B$1:$ZN$1000,MATCH(data!$A57,Haver_M!$B$1:$B$1000,0),MATCH(data!AB$1,Haver_M!$B$1:$ZN$1,0)),"na")</f>
        <v>15991.6</v>
      </c>
      <c r="AC57">
        <f>IF(ISNUMBER(INDEX(Haver_M!$B$1:$ZN$1000,MATCH(data!$A57,Haver_M!$B$1:$B$1000,0),MATCH(data!AC$1,Haver_M!$B$1:$ZN$1,0))),INDEX(Haver_M!$B$1:$ZN$1000,MATCH(data!$A57,Haver_M!$B$1:$B$1000,0),MATCH(data!AC$1,Haver_M!$B$1:$ZN$1,0)),"na")</f>
        <v>16574.5</v>
      </c>
      <c r="AD57">
        <f>IF(ISNUMBER(INDEX(Haver_M!$B$1:$ZN$1000,MATCH(data!$A57,Haver_M!$B$1:$B$1000,0),MATCH(data!AD$1,Haver_M!$B$1:$ZN$1,0))),INDEX(Haver_M!$B$1:$ZN$1000,MATCH(data!$A57,Haver_M!$B$1:$B$1000,0),MATCH(data!AD$1,Haver_M!$B$1:$ZN$1,0)),"na")</f>
        <v>99.27</v>
      </c>
      <c r="AE57">
        <f>IF(ISNUMBER(INDEX(Haver_M!$B$1:$ZN$1000,MATCH(data!$A57,Haver_M!$B$1:$B$1000,0),MATCH(data!AE$1,Haver_M!$B$1:$ZN$1,0))),INDEX(Haver_M!$B$1:$ZN$1000,MATCH(data!$A57,Haver_M!$B$1:$B$1000,0),MATCH(data!AE$1,Haver_M!$B$1:$ZN$1,0)),"na")</f>
        <v>39.200000000000003</v>
      </c>
      <c r="AF57">
        <f>IF(ISNUMBER(INDEX(Haver_M!$B$1:$ZN$1000,MATCH(data!$A57,Haver_M!$B$1:$B$1000,0),MATCH(data!AF$1,Haver_M!$B$1:$ZN$1,0))),INDEX(Haver_M!$B$1:$ZN$1000,MATCH(data!$A57,Haver_M!$B$1:$B$1000,0),MATCH(data!AF$1,Haver_M!$B$1:$ZN$1,0)),"na")</f>
        <v>99.77</v>
      </c>
      <c r="AG57" t="str">
        <f>IF(ISNUMBER(INDEX(Haver_M!$B$1:$ZN$1000,MATCH(data!$A57,Haver_M!$B$1:$B$1000,0),MATCH(data!AG$1,Haver_M!$B$1:$ZN$1,0))),INDEX(Haver_M!$B$1:$ZN$1000,MATCH(data!$A57,Haver_M!$B$1:$B$1000,0),MATCH(data!AG$1,Haver_M!$B$1:$ZN$1,0)),"na")</f>
        <v>na</v>
      </c>
      <c r="AH57" t="str">
        <f>IF(ISNUMBER(INDEX(Haver_M!$B$1:$ZN$1000,MATCH(data!$A57,Haver_M!$B$1:$B$1000,0),MATCH(data!AH$1,Haver_M!$B$1:$ZN$1,0))),INDEX(Haver_M!$B$1:$ZN$1000,MATCH(data!$A57,Haver_M!$B$1:$B$1000,0),MATCH(data!AH$1,Haver_M!$B$1:$ZN$1,0)),"na")</f>
        <v>na</v>
      </c>
      <c r="AI57" t="str">
        <f>IF(ISNUMBER(INDEX(Haver_M!$B$1:$ZN$1000,MATCH(data!$A57,Haver_M!$B$1:$B$1000,0),MATCH(data!AI$1,Haver_M!$B$1:$ZN$1,0))),INDEX(Haver_M!$B$1:$ZN$1000,MATCH(data!$A57,Haver_M!$B$1:$B$1000,0),MATCH(data!AI$1,Haver_M!$B$1:$ZN$1,0)),"na")</f>
        <v>na</v>
      </c>
      <c r="AJ57" t="str">
        <f>IF(ISNUMBER(INDEX(Haver_M!$B$1:$ZN$1000,MATCH(data!$A57,Haver_M!$B$1:$B$1000,0),MATCH(data!AJ$1,Haver_M!$B$1:$ZN$1,0))),INDEX(Haver_M!$B$1:$ZN$1000,MATCH(data!$A57,Haver_M!$B$1:$B$1000,0),MATCH(data!AJ$1,Haver_M!$B$1:$ZN$1,0)),"na")</f>
        <v>na</v>
      </c>
      <c r="AK57" t="str">
        <f>IF(ISNUMBER(INDEX(Haver_M!$B$1:$ZN$1000,MATCH(data!$A57,Haver_M!$B$1:$B$1000,0),MATCH(data!AK$1,Haver_M!$B$1:$ZN$1,0))),INDEX(Haver_M!$B$1:$ZN$1000,MATCH(data!$A57,Haver_M!$B$1:$B$1000,0),MATCH(data!AK$1,Haver_M!$B$1:$ZN$1,0)),"na")</f>
        <v>na</v>
      </c>
      <c r="AL57" t="str">
        <f>IF(ISNUMBER(INDEX(Haver_M!$B$1:$ZN$1000,MATCH(data!$A57,Haver_M!$B$1:$B$1000,0),MATCH(data!AL$1,Haver_M!$B$1:$ZN$1,0))),INDEX(Haver_M!$B$1:$ZN$1000,MATCH(data!$A57,Haver_M!$B$1:$B$1000,0),MATCH(data!AL$1,Haver_M!$B$1:$ZN$1,0)),"na")</f>
        <v>na</v>
      </c>
      <c r="AM57" t="str">
        <f>IF(ISNUMBER(INDEX(Haver_M!$B$1:$ZN$1000,MATCH(data!$A57,Haver_M!$B$1:$B$1000,0),MATCH(data!AM$1,Haver_M!$B$1:$ZN$1,0))),INDEX(Haver_M!$B$1:$ZN$1000,MATCH(data!$A57,Haver_M!$B$1:$B$1000,0),MATCH(data!AM$1,Haver_M!$B$1:$ZN$1,0)),"na")</f>
        <v>na</v>
      </c>
      <c r="AN57" t="str">
        <f>IF(ISNUMBER(INDEX(Haver_M!$B$1:$ZN$1000,MATCH(data!$A57,Haver_M!$B$1:$B$1000,0),MATCH(data!AN$1,Haver_M!$B$1:$ZN$1,0))),INDEX(Haver_M!$B$1:$ZN$1000,MATCH(data!$A57,Haver_M!$B$1:$B$1000,0),MATCH(data!AN$1,Haver_M!$B$1:$ZN$1,0)),"na")</f>
        <v>na</v>
      </c>
      <c r="AO57" t="str">
        <f>IF(ISNUMBER(INDEX(Haver_M!$B$1:$ZN$1000,MATCH(data!$A57,Haver_M!$B$1:$B$1000,0),MATCH(data!AO$1,Haver_M!$B$1:$ZN$1,0))),INDEX(Haver_M!$B$1:$ZN$1000,MATCH(data!$A57,Haver_M!$B$1:$B$1000,0),MATCH(data!AO$1,Haver_M!$B$1:$ZN$1,0)),"na")</f>
        <v>na</v>
      </c>
      <c r="AP57" t="str">
        <f>IF(ISNUMBER(INDEX(Haver_M!$B$1:$ZN$1000,MATCH(data!$A57,Haver_M!$B$1:$B$1000,0),MATCH(data!AP$1,Haver_M!$B$1:$ZN$1,0))),INDEX(Haver_M!$B$1:$ZN$1000,MATCH(data!$A57,Haver_M!$B$1:$B$1000,0),MATCH(data!AP$1,Haver_M!$B$1:$ZN$1,0)),"na")</f>
        <v>na</v>
      </c>
      <c r="AQ57" t="str">
        <f>IF(ISNUMBER(INDEX(Haver_M!$B$1:$ZN$1000,MATCH(data!$A57,Haver_M!$B$1:$B$1000,0),MATCH(data!AQ$1,Haver_M!$B$1:$ZN$1,0))),INDEX(Haver_M!$B$1:$ZN$1000,MATCH(data!$A57,Haver_M!$B$1:$B$1000,0),MATCH(data!AQ$1,Haver_M!$B$1:$ZN$1,0)),"na")</f>
        <v>na</v>
      </c>
      <c r="AR57" t="str">
        <f>IF(ISNUMBER(INDEX(Haver_M!$B$1:$ZN$1000,MATCH(data!$A57,Haver_M!$B$1:$B$1000,0),MATCH(data!AR$1,Haver_M!$B$1:$ZN$1,0))),INDEX(Haver_M!$B$1:$ZN$1000,MATCH(data!$A57,Haver_M!$B$1:$B$1000,0),MATCH(data!AR$1,Haver_M!$B$1:$ZN$1,0)),"na")</f>
        <v>na</v>
      </c>
      <c r="AS57">
        <f>IF(ISNUMBER(INDEX(Haver_M!$B$1:$ZN$1000,MATCH(data!$A57,Haver_M!$B$1:$B$1000,0),MATCH(data!AS$1,Haver_M!$B$1:$ZN$1,0))),INDEX(Haver_M!$B$1:$ZN$1000,MATCH(data!$A57,Haver_M!$B$1:$B$1000,0),MATCH(data!AS$1,Haver_M!$B$1:$ZN$1,0)),"na")</f>
        <v>10059.26</v>
      </c>
      <c r="AT57">
        <f>IF(ISNUMBER(INDEX(Haver_M!$B$1:$ZN$1000,MATCH(data!$A57,Haver_M!$B$1:$B$1000,0),MATCH(data!AT$1,Haver_M!$B$1:$ZN$1,0))),INDEX(Haver_M!$B$1:$ZN$1000,MATCH(data!$A57,Haver_M!$B$1:$B$1000,0),MATCH(data!AT$1,Haver_M!$B$1:$ZN$1,0)),"na")</f>
        <v>87.406000000000006</v>
      </c>
      <c r="AU57">
        <f>IF(ISNUMBER(INDEX(Haver_M!$B$1:$ZN$1000,MATCH(data!$A57,Haver_M!$B$1:$B$1000,0),MATCH(data!AU$1,Haver_M!$B$1:$ZN$1,0))),INDEX(Haver_M!$B$1:$ZN$1000,MATCH(data!$A57,Haver_M!$B$1:$B$1000,0),MATCH(data!AU$1,Haver_M!$B$1:$ZN$1,0)),"na")</f>
        <v>83.443799999999996</v>
      </c>
      <c r="AV57">
        <f>IF(ISNUMBER(INDEX(Haver_M!$B$1:$ZN$1000,MATCH(data!$A57,Haver_M!$B$1:$B$1000,0),MATCH(data!AV$1,Haver_M!$B$1:$ZN$1,0))),INDEX(Haver_M!$B$1:$ZN$1000,MATCH(data!$A57,Haver_M!$B$1:$B$1000,0),MATCH(data!AV$1,Haver_M!$B$1:$ZN$1,0)),"na")</f>
        <v>73.8</v>
      </c>
      <c r="AW57">
        <f>IF(ISNUMBER(INDEX(Haver_M!$B$1:$ZN$1000,MATCH(data!$A57,Haver_M!$B$1:$B$1000,0),MATCH(data!AW$1,Haver_M!$B$1:$ZN$1,0))),INDEX(Haver_M!$B$1:$ZN$1000,MATCH(data!$A57,Haver_M!$B$1:$B$1000,0),MATCH(data!AW$1,Haver_M!$B$1:$ZN$1,0)),"na")</f>
        <v>909504.99303599843</v>
      </c>
      <c r="AX57">
        <f>IF(ISNUMBER(INDEX(Haver_M!$B$1:$ZN$1000,MATCH(data!$A57,Haver_M!$B$1:$B$1000,0),MATCH(data!AX$1,Haver_M!$B$1:$ZN$1,0))),INDEX(Haver_M!$B$1:$ZN$1000,MATCH(data!$A57,Haver_M!$B$1:$B$1000,0),MATCH(data!AX$1,Haver_M!$B$1:$ZN$1,0)),"na")</f>
        <v>3343</v>
      </c>
      <c r="AY57">
        <f>IF(ISNUMBER(INDEX(Haver_M!$B$1:$ZN$1000,MATCH(data!$A57,Haver_M!$B$1:$B$1000,0),MATCH(data!AY$1,Haver_M!$B$1:$ZN$1,0))),INDEX(Haver_M!$B$1:$ZN$1000,MATCH(data!$A57,Haver_M!$B$1:$B$1000,0),MATCH(data!AY$1,Haver_M!$B$1:$ZN$1,0)),"na")</f>
        <v>1815</v>
      </c>
      <c r="AZ57" t="str">
        <f>IF(ISNUMBER(INDEX(Haver_M!$B$1:$ZN$1000,MATCH(data!$A57,Haver_M!$B$1:$B$1000,0),MATCH(data!AZ$1,Haver_M!$B$1:$ZN$1,0))),INDEX(Haver_M!$B$1:$ZN$1000,MATCH(data!$A57,Haver_M!$B$1:$B$1000,0),MATCH(data!AZ$1,Haver_M!$B$1:$ZN$1,0)),"na")</f>
        <v>na</v>
      </c>
      <c r="BA57">
        <f>IF(ISNUMBER(INDEX(Haver_M!$B$1:$ZN$1000,MATCH(data!$A57,Haver_M!$B$1:$B$1000,0),MATCH(data!BA$1,Haver_M!$B$1:$ZN$1,0))),INDEX(Haver_M!$B$1:$ZN$1000,MATCH(data!$A57,Haver_M!$B$1:$B$1000,0),MATCH(data!BA$1,Haver_M!$B$1:$ZN$1,0)),"na")</f>
        <v>63.087222513471701</v>
      </c>
      <c r="BB57" t="str">
        <f>IF(ISNUMBER(INDEX(Haver_M!$B$1:$ZN$1000,MATCH(data!$A57,Haver_M!$B$1:$B$1000,0),MATCH(data!BB$1,Haver_M!$B$1:$ZN$1,0))),INDEX(Haver_M!$B$1:$ZN$1000,MATCH(data!$A57,Haver_M!$B$1:$B$1000,0),MATCH(data!BB$1,Haver_M!$B$1:$ZN$1,0)),"")</f>
        <v/>
      </c>
    </row>
    <row r="58" spans="1:54" x14ac:dyDescent="0.25">
      <c r="A58" s="2">
        <v>38260</v>
      </c>
      <c r="B58">
        <f>IF(ISNUMBER(INDEX(Haver_Q!$B$1:$BD$1000,MATCH(data!$A58,Haver_Q!$B$1:$B$1000,0),MATCH(data!B$1,Haver_Q!$B$1:$BD$1,0))),100*INDEX(Haver_Q!$B$1:$BD$1000,MATCH(data!$A58,Haver_Q!$B$1:$B$1000,0),MATCH(data!B$1,Haver_Q!$B$1:$BD$1,0)),"na")</f>
        <v>-0.53896173186829266</v>
      </c>
      <c r="C58">
        <f>IF(ISNUMBER(INDEX(Haver_Q!$B$1:$BD$1000,MATCH(data!$A58,Haver_Q!$B$1:$B$1000,0),MATCH(data!C$1,Haver_Q!$B$1:$BD$1,0))),100*INDEX(Haver_Q!$B$1:$BD$1000,MATCH(data!$A58,Haver_Q!$B$1:$B$1000,0),MATCH(data!C$1,Haver_Q!$B$1:$BD$1,0)),"na")</f>
        <v>-5.4889233429159301</v>
      </c>
      <c r="D58">
        <f>IF(ISNUMBER(INDEX(Haver_Q!$B$1:$BD$1000,MATCH(data!$A58,Haver_Q!$B$1:$B$1000,0),MATCH(data!D$1,Haver_Q!$B$1:$BD$1,0))),100*INDEX(Haver_Q!$B$1:$BD$1000,MATCH(data!$A58,Haver_Q!$B$1:$B$1000,0),MATCH(data!D$1,Haver_Q!$B$1:$BD$1,0)),"na")</f>
        <v>5.9161746890440847</v>
      </c>
      <c r="E58">
        <f>IF(ISNUMBER(INDEX(Haver_Q!$B$1:$BD$1000,MATCH(data!$A58,Haver_Q!$B$1:$B$1000,0),MATCH(data!E$1,Haver_Q!$B$1:$BD$1,0))),100*INDEX(Haver_Q!$B$1:$BD$1000,MATCH(data!$A58,Haver_Q!$B$1:$B$1000,0),MATCH(data!E$1,Haver_Q!$B$1:$BD$1,0)),"na")</f>
        <v>-2.7045778534849352</v>
      </c>
      <c r="F58">
        <f>IF(ISNUMBER(INDEX(Haver_Q!$B$1:$BD$1000,MATCH(data!$A58,Haver_Q!$B$1:$B$1000,0),MATCH(data!F$1,Haver_Q!$B$1:$BD$1,0))),100*INDEX(Haver_Q!$B$1:$BD$1000,MATCH(data!$A58,Haver_Q!$B$1:$B$1000,0),MATCH(data!F$1,Haver_Q!$B$1:$BD$1,0)),"na")</f>
        <v>3.3477452698929877</v>
      </c>
      <c r="G58">
        <f>IF(ISNUMBER(INDEX(Haver_Q!$B$1:$BD$1000,MATCH(data!$A58,Haver_Q!$B$1:$B$1000,0),MATCH(data!G$1,Haver_Q!$B$1:$BD$1,0))),100*INDEX(Haver_Q!$B$1:$BD$1000,MATCH(data!$A58,Haver_Q!$B$1:$B$1000,0),MATCH(data!G$1,Haver_Q!$B$1:$BD$1,0)),"na")</f>
        <v>9.5885391202096049</v>
      </c>
      <c r="H58">
        <f>IF(ISNUMBER(INDEX(Haver_Q!$B$1:$BD$1000,MATCH(data!$A58,Haver_Q!$B$1:$B$1000,0),MATCH(data!H$1,Haver_Q!$B$1:$BD$1,0))),100*INDEX(Haver_Q!$B$1:$BD$1000,MATCH(data!$A58,Haver_Q!$B$1:$B$1000,0),MATCH(data!H$1,Haver_Q!$B$1:$BD$1,0)),"na")</f>
        <v>435.2138332063052</v>
      </c>
      <c r="I58" s="3">
        <f>IF(ISNUMBER(Bloomberg_m!C74),Bloomberg_m!C74,"na")</f>
        <v>4141</v>
      </c>
      <c r="J58" s="3" t="str">
        <f>IF(ISNUMBER(Bloomberg_m!D74),Bloomberg_m!D74,"na")</f>
        <v>na</v>
      </c>
      <c r="K58" s="3" t="str">
        <f>IF(ISNUMBER(Bloomberg_m!E74),Bloomberg_m!E74,"na")</f>
        <v>na</v>
      </c>
      <c r="L58" s="3">
        <f>IF(ISNUMBER(Bloomberg_m!L74),Bloomberg_m!L74,"na")</f>
        <v>45.93</v>
      </c>
      <c r="M58" t="str">
        <f>IF(ISNUMBER(INDEX(Haver_M!$B$1:$ZN$1000,MATCH(data!$A58,Haver_M!$B$1:$B$1000,0),MATCH(data!M$1,Haver_M!$B$1:$ZN$1,0))),INDEX(Haver_M!$B$1:$ZN$1000,MATCH(data!$A58,Haver_M!$B$1:$B$1000,0),MATCH(data!M$1,Haver_M!$B$1:$ZN$1,0)),"na")</f>
        <v>na</v>
      </c>
      <c r="N58" t="str">
        <f>IF(ISNUMBER(INDEX(Haver_M!$B$1:$ZN$1000,MATCH(data!$A58,Haver_M!$B$1:$B$1000,0),MATCH(data!N$1,Haver_M!$B$1:$ZN$1,0))),INDEX(Haver_M!$B$1:$ZN$1000,MATCH(data!$A58,Haver_M!$B$1:$B$1000,0),MATCH(data!N$1,Haver_M!$B$1:$ZN$1,0)),"na")</f>
        <v>na</v>
      </c>
      <c r="O58">
        <f>IF(ISNUMBER(INDEX(Haver_M!$B$1:$ZN$1000,MATCH(data!$A58,Haver_M!$B$1:$B$1000,0),MATCH(data!O$1,Haver_M!$B$1:$ZN$1,0))),INDEX(Haver_M!$B$1:$ZN$1000,MATCH(data!$A58,Haver_M!$B$1:$B$1000,0),MATCH(data!O$1,Haver_M!$B$1:$ZN$1,0)),"na")</f>
        <v>106.19713</v>
      </c>
      <c r="P58">
        <f>IF(ISNUMBER(INDEX(Haver_M!$B$1:$ZN$1000,MATCH(data!$A58,Haver_M!$B$1:$B$1000,0),MATCH(data!P$1,Haver_M!$B$1:$ZN$1,0))),INDEX(Haver_M!$B$1:$ZN$1000,MATCH(data!$A58,Haver_M!$B$1:$B$1000,0),MATCH(data!P$1,Haver_M!$B$1:$ZN$1,0)),"na")</f>
        <v>57.454500000000003</v>
      </c>
      <c r="Q58">
        <f>IF(ISNUMBER(INDEX(Haver_M!$B$1:$ZN$1000,MATCH(data!$A58,Haver_M!$B$1:$B$1000,0),MATCH(data!Q$1,Haver_M!$B$1:$ZN$1,0))),INDEX(Haver_M!$B$1:$ZN$1000,MATCH(data!$A58,Haver_M!$B$1:$B$1000,0),MATCH(data!Q$1,Haver_M!$B$1:$ZN$1,0)),"na")</f>
        <v>61.220199999999998</v>
      </c>
      <c r="R58">
        <f>IF(ISNUMBER(INDEX(Haver_M!$B$1:$ZN$1000,MATCH(data!$A58,Haver_M!$B$1:$B$1000,0),MATCH(data!R$1,Haver_M!$B$1:$ZN$1,0))),INDEX(Haver_M!$B$1:$ZN$1000,MATCH(data!$A58,Haver_M!$B$1:$B$1000,0),MATCH(data!R$1,Haver_M!$B$1:$ZN$1,0)),"na")</f>
        <v>92.419200000000004</v>
      </c>
      <c r="S58">
        <f>IF(ISNUMBER(INDEX(Haver_M!$B$1:$ZN$1000,MATCH(data!$A58,Haver_M!$B$1:$B$1000,0),MATCH(data!S$1,Haver_M!$B$1:$ZN$1,0))),INDEX(Haver_M!$B$1:$ZN$1000,MATCH(data!$A58,Haver_M!$B$1:$B$1000,0),MATCH(data!S$1,Haver_M!$B$1:$ZN$1,0)),"na")</f>
        <v>114.4294</v>
      </c>
      <c r="T58">
        <f>IF(ISNUMBER(INDEX(Haver_M!$B$1:$ZN$1000,MATCH(data!$A58,Haver_M!$B$1:$B$1000,0),MATCH(data!T$1,Haver_M!$B$1:$ZN$1,0))),INDEX(Haver_M!$B$1:$ZN$1000,MATCH(data!$A58,Haver_M!$B$1:$B$1000,0),MATCH(data!T$1,Haver_M!$B$1:$ZN$1,0)),"na")</f>
        <v>67.884</v>
      </c>
      <c r="U58">
        <f>IF(ISNUMBER(INDEX(Haver_M!$B$1:$ZN$1000,MATCH(data!$A58,Haver_M!$B$1:$B$1000,0),MATCH(data!U$1,Haver_M!$B$1:$ZN$1,0))),INDEX(Haver_M!$B$1:$ZN$1000,MATCH(data!$A58,Haver_M!$B$1:$B$1000,0),MATCH(data!U$1,Haver_M!$B$1:$ZN$1,0)),"na")</f>
        <v>82.5398</v>
      </c>
      <c r="V58">
        <f>IF(ISNUMBER(INDEX(Haver_M!$B$1:$ZN$1000,MATCH(data!$A58,Haver_M!$B$1:$B$1000,0),MATCH(data!V$1,Haver_M!$B$1:$ZN$1,0))),INDEX(Haver_M!$B$1:$ZN$1000,MATCH(data!$A58,Haver_M!$B$1:$B$1000,0),MATCH(data!V$1,Haver_M!$B$1:$ZN$1,0)),"na")</f>
        <v>89.877600000000001</v>
      </c>
      <c r="W58">
        <f>IF(ISNUMBER(INDEX(Haver_M!$B$1:$ZN$1000,MATCH(data!$A58,Haver_M!$B$1:$B$1000,0),MATCH(data!W$1,Haver_M!$B$1:$ZN$1,0))),INDEX(Haver_M!$B$1:$ZN$1000,MATCH(data!$A58,Haver_M!$B$1:$B$1000,0),MATCH(data!W$1,Haver_M!$B$1:$ZN$1,0)),"na")</f>
        <v>3.89</v>
      </c>
      <c r="X58" t="str">
        <f>IF(ISNUMBER(INDEX(Haver_M!$B$1:$ZN$1000,MATCH(data!$A58,Haver_M!$B$1:$B$1000,0),MATCH(data!X$1,Haver_M!$B$1:$ZN$1,0))),INDEX(Haver_M!$B$1:$ZN$1000,MATCH(data!$A58,Haver_M!$B$1:$B$1000,0),MATCH(data!X$1,Haver_M!$B$1:$ZN$1,0)),"na")</f>
        <v>na</v>
      </c>
      <c r="Y58">
        <f>IF(ISNUMBER(INDEX(Haver_M!$B$1:$ZN$1000,MATCH(data!$A58,Haver_M!$B$1:$B$1000,0),MATCH(data!Y$1,Haver_M!$B$1:$ZN$1,0))),INDEX(Haver_M!$B$1:$ZN$1000,MATCH(data!$A58,Haver_M!$B$1:$B$1000,0),MATCH(data!Y$1,Haver_M!$B$1:$ZN$1,0)),"na")</f>
        <v>99.9</v>
      </c>
      <c r="Z58">
        <f>IF(ISNUMBER(INDEX(Haver_M!$B$1:$ZN$1000,MATCH(data!$A58,Haver_M!$B$1:$B$1000,0),MATCH(data!Z$1,Haver_M!$B$1:$ZN$1,0))),INDEX(Haver_M!$B$1:$ZN$1000,MATCH(data!$A58,Haver_M!$B$1:$B$1000,0),MATCH(data!Z$1,Haver_M!$B$1:$ZN$1,0)),"na")</f>
        <v>89.941400000000002</v>
      </c>
      <c r="AA58" t="str">
        <f>IF(ISNUMBER(INDEX(Haver_M!$B$1:$ZN$1000,MATCH(data!$A58,Haver_M!$B$1:$B$1000,0),MATCH(data!AA$1,Haver_M!$B$1:$ZN$1,0))),INDEX(Haver_M!$B$1:$ZN$1000,MATCH(data!$A58,Haver_M!$B$1:$B$1000,0),MATCH(data!AA$1,Haver_M!$B$1:$ZN$1,0)),"na")</f>
        <v>na</v>
      </c>
      <c r="AB58">
        <f>IF(ISNUMBER(INDEX(Haver_M!$B$1:$ZN$1000,MATCH(data!$A58,Haver_M!$B$1:$B$1000,0),MATCH(data!AB$1,Haver_M!$B$1:$ZN$1,0))),INDEX(Haver_M!$B$1:$ZN$1000,MATCH(data!$A58,Haver_M!$B$1:$B$1000,0),MATCH(data!AB$1,Haver_M!$B$1:$ZN$1,0)),"na")</f>
        <v>15829.4</v>
      </c>
      <c r="AC58">
        <f>IF(ISNUMBER(INDEX(Haver_M!$B$1:$ZN$1000,MATCH(data!$A58,Haver_M!$B$1:$B$1000,0),MATCH(data!AC$1,Haver_M!$B$1:$ZN$1,0))),INDEX(Haver_M!$B$1:$ZN$1000,MATCH(data!$A58,Haver_M!$B$1:$B$1000,0),MATCH(data!AC$1,Haver_M!$B$1:$ZN$1,0)),"na")</f>
        <v>16325.4</v>
      </c>
      <c r="AD58">
        <f>IF(ISNUMBER(INDEX(Haver_M!$B$1:$ZN$1000,MATCH(data!$A58,Haver_M!$B$1:$B$1000,0),MATCH(data!AD$1,Haver_M!$B$1:$ZN$1,0))),INDEX(Haver_M!$B$1:$ZN$1000,MATCH(data!$A58,Haver_M!$B$1:$B$1000,0),MATCH(data!AD$1,Haver_M!$B$1:$ZN$1,0)),"na")</f>
        <v>99.33</v>
      </c>
      <c r="AE58">
        <f>IF(ISNUMBER(INDEX(Haver_M!$B$1:$ZN$1000,MATCH(data!$A58,Haver_M!$B$1:$B$1000,0),MATCH(data!AE$1,Haver_M!$B$1:$ZN$1,0))),INDEX(Haver_M!$B$1:$ZN$1000,MATCH(data!$A58,Haver_M!$B$1:$B$1000,0),MATCH(data!AE$1,Haver_M!$B$1:$ZN$1,0)),"na")</f>
        <v>40.1</v>
      </c>
      <c r="AF58">
        <f>IF(ISNUMBER(INDEX(Haver_M!$B$1:$ZN$1000,MATCH(data!$A58,Haver_M!$B$1:$B$1000,0),MATCH(data!AF$1,Haver_M!$B$1:$ZN$1,0))),INDEX(Haver_M!$B$1:$ZN$1000,MATCH(data!$A58,Haver_M!$B$1:$B$1000,0),MATCH(data!AF$1,Haver_M!$B$1:$ZN$1,0)),"na")</f>
        <v>99.82</v>
      </c>
      <c r="AG58" t="str">
        <f>IF(ISNUMBER(INDEX(Haver_M!$B$1:$ZN$1000,MATCH(data!$A58,Haver_M!$B$1:$B$1000,0),MATCH(data!AG$1,Haver_M!$B$1:$ZN$1,0))),INDEX(Haver_M!$B$1:$ZN$1000,MATCH(data!$A58,Haver_M!$B$1:$B$1000,0),MATCH(data!AG$1,Haver_M!$B$1:$ZN$1,0)),"na")</f>
        <v>na</v>
      </c>
      <c r="AH58" t="str">
        <f>IF(ISNUMBER(INDEX(Haver_M!$B$1:$ZN$1000,MATCH(data!$A58,Haver_M!$B$1:$B$1000,0),MATCH(data!AH$1,Haver_M!$B$1:$ZN$1,0))),INDEX(Haver_M!$B$1:$ZN$1000,MATCH(data!$A58,Haver_M!$B$1:$B$1000,0),MATCH(data!AH$1,Haver_M!$B$1:$ZN$1,0)),"na")</f>
        <v>na</v>
      </c>
      <c r="AI58" t="str">
        <f>IF(ISNUMBER(INDEX(Haver_M!$B$1:$ZN$1000,MATCH(data!$A58,Haver_M!$B$1:$B$1000,0),MATCH(data!AI$1,Haver_M!$B$1:$ZN$1,0))),INDEX(Haver_M!$B$1:$ZN$1000,MATCH(data!$A58,Haver_M!$B$1:$B$1000,0),MATCH(data!AI$1,Haver_M!$B$1:$ZN$1,0)),"na")</f>
        <v>na</v>
      </c>
      <c r="AJ58" t="str">
        <f>IF(ISNUMBER(INDEX(Haver_M!$B$1:$ZN$1000,MATCH(data!$A58,Haver_M!$B$1:$B$1000,0),MATCH(data!AJ$1,Haver_M!$B$1:$ZN$1,0))),INDEX(Haver_M!$B$1:$ZN$1000,MATCH(data!$A58,Haver_M!$B$1:$B$1000,0),MATCH(data!AJ$1,Haver_M!$B$1:$ZN$1,0)),"na")</f>
        <v>na</v>
      </c>
      <c r="AK58" t="str">
        <f>IF(ISNUMBER(INDEX(Haver_M!$B$1:$ZN$1000,MATCH(data!$A58,Haver_M!$B$1:$B$1000,0),MATCH(data!AK$1,Haver_M!$B$1:$ZN$1,0))),INDEX(Haver_M!$B$1:$ZN$1000,MATCH(data!$A58,Haver_M!$B$1:$B$1000,0),MATCH(data!AK$1,Haver_M!$B$1:$ZN$1,0)),"na")</f>
        <v>na</v>
      </c>
      <c r="AL58" t="str">
        <f>IF(ISNUMBER(INDEX(Haver_M!$B$1:$ZN$1000,MATCH(data!$A58,Haver_M!$B$1:$B$1000,0),MATCH(data!AL$1,Haver_M!$B$1:$ZN$1,0))),INDEX(Haver_M!$B$1:$ZN$1000,MATCH(data!$A58,Haver_M!$B$1:$B$1000,0),MATCH(data!AL$1,Haver_M!$B$1:$ZN$1,0)),"na")</f>
        <v>na</v>
      </c>
      <c r="AM58" t="str">
        <f>IF(ISNUMBER(INDEX(Haver_M!$B$1:$ZN$1000,MATCH(data!$A58,Haver_M!$B$1:$B$1000,0),MATCH(data!AM$1,Haver_M!$B$1:$ZN$1,0))),INDEX(Haver_M!$B$1:$ZN$1000,MATCH(data!$A58,Haver_M!$B$1:$B$1000,0),MATCH(data!AM$1,Haver_M!$B$1:$ZN$1,0)),"na")</f>
        <v>na</v>
      </c>
      <c r="AN58" t="str">
        <f>IF(ISNUMBER(INDEX(Haver_M!$B$1:$ZN$1000,MATCH(data!$A58,Haver_M!$B$1:$B$1000,0),MATCH(data!AN$1,Haver_M!$B$1:$ZN$1,0))),INDEX(Haver_M!$B$1:$ZN$1000,MATCH(data!$A58,Haver_M!$B$1:$B$1000,0),MATCH(data!AN$1,Haver_M!$B$1:$ZN$1,0)),"na")</f>
        <v>na</v>
      </c>
      <c r="AO58" t="str">
        <f>IF(ISNUMBER(INDEX(Haver_M!$B$1:$ZN$1000,MATCH(data!$A58,Haver_M!$B$1:$B$1000,0),MATCH(data!AO$1,Haver_M!$B$1:$ZN$1,0))),INDEX(Haver_M!$B$1:$ZN$1000,MATCH(data!$A58,Haver_M!$B$1:$B$1000,0),MATCH(data!AO$1,Haver_M!$B$1:$ZN$1,0)),"na")</f>
        <v>na</v>
      </c>
      <c r="AP58" t="str">
        <f>IF(ISNUMBER(INDEX(Haver_M!$B$1:$ZN$1000,MATCH(data!$A58,Haver_M!$B$1:$B$1000,0),MATCH(data!AP$1,Haver_M!$B$1:$ZN$1,0))),INDEX(Haver_M!$B$1:$ZN$1000,MATCH(data!$A58,Haver_M!$B$1:$B$1000,0),MATCH(data!AP$1,Haver_M!$B$1:$ZN$1,0)),"na")</f>
        <v>na</v>
      </c>
      <c r="AQ58" t="str">
        <f>IF(ISNUMBER(INDEX(Haver_M!$B$1:$ZN$1000,MATCH(data!$A58,Haver_M!$B$1:$B$1000,0),MATCH(data!AQ$1,Haver_M!$B$1:$ZN$1,0))),INDEX(Haver_M!$B$1:$ZN$1000,MATCH(data!$A58,Haver_M!$B$1:$B$1000,0),MATCH(data!AQ$1,Haver_M!$B$1:$ZN$1,0)),"na")</f>
        <v>na</v>
      </c>
      <c r="AR58" t="str">
        <f>IF(ISNUMBER(INDEX(Haver_M!$B$1:$ZN$1000,MATCH(data!$A58,Haver_M!$B$1:$B$1000,0),MATCH(data!AR$1,Haver_M!$B$1:$ZN$1,0))),INDEX(Haver_M!$B$1:$ZN$1000,MATCH(data!$A58,Haver_M!$B$1:$B$1000,0),MATCH(data!AR$1,Haver_M!$B$1:$ZN$1,0)),"na")</f>
        <v>na</v>
      </c>
      <c r="AS58">
        <f>IF(ISNUMBER(INDEX(Haver_M!$B$1:$ZN$1000,MATCH(data!$A58,Haver_M!$B$1:$B$1000,0),MATCH(data!AS$1,Haver_M!$B$1:$ZN$1,0))),INDEX(Haver_M!$B$1:$ZN$1000,MATCH(data!$A58,Haver_M!$B$1:$B$1000,0),MATCH(data!AS$1,Haver_M!$B$1:$ZN$1,0)),"na")</f>
        <v>10668.76</v>
      </c>
      <c r="AT58">
        <f>IF(ISNUMBER(INDEX(Haver_M!$B$1:$ZN$1000,MATCH(data!$A58,Haver_M!$B$1:$B$1000,0),MATCH(data!AT$1,Haver_M!$B$1:$ZN$1,0))),INDEX(Haver_M!$B$1:$ZN$1000,MATCH(data!$A58,Haver_M!$B$1:$B$1000,0),MATCH(data!AT$1,Haver_M!$B$1:$ZN$1,0)),"na")</f>
        <v>87.320999999999998</v>
      </c>
      <c r="AU58">
        <f>IF(ISNUMBER(INDEX(Haver_M!$B$1:$ZN$1000,MATCH(data!$A58,Haver_M!$B$1:$B$1000,0),MATCH(data!AU$1,Haver_M!$B$1:$ZN$1,0))),INDEX(Haver_M!$B$1:$ZN$1000,MATCH(data!$A58,Haver_M!$B$1:$B$1000,0),MATCH(data!AU$1,Haver_M!$B$1:$ZN$1,0)),"na")</f>
        <v>83.653031999999996</v>
      </c>
      <c r="AV58">
        <f>IF(ISNUMBER(INDEX(Haver_M!$B$1:$ZN$1000,MATCH(data!$A58,Haver_M!$B$1:$B$1000,0),MATCH(data!AV$1,Haver_M!$B$1:$ZN$1,0))),INDEX(Haver_M!$B$1:$ZN$1000,MATCH(data!$A58,Haver_M!$B$1:$B$1000,0),MATCH(data!AV$1,Haver_M!$B$1:$ZN$1,0)),"na")</f>
        <v>74.599999999999994</v>
      </c>
      <c r="AW58">
        <f>IF(ISNUMBER(INDEX(Haver_M!$B$1:$ZN$1000,MATCH(data!$A58,Haver_M!$B$1:$B$1000,0),MATCH(data!AW$1,Haver_M!$B$1:$ZN$1,0))),INDEX(Haver_M!$B$1:$ZN$1000,MATCH(data!$A58,Haver_M!$B$1:$B$1000,0),MATCH(data!AW$1,Haver_M!$B$1:$ZN$1,0)),"na")</f>
        <v>938517.03262369486</v>
      </c>
      <c r="AX58">
        <f>IF(ISNUMBER(INDEX(Haver_M!$B$1:$ZN$1000,MATCH(data!$A58,Haver_M!$B$1:$B$1000,0),MATCH(data!AX$1,Haver_M!$B$1:$ZN$1,0))),INDEX(Haver_M!$B$1:$ZN$1000,MATCH(data!$A58,Haver_M!$B$1:$B$1000,0),MATCH(data!AX$1,Haver_M!$B$1:$ZN$1,0)),"na")</f>
        <v>3405</v>
      </c>
      <c r="AY58">
        <f>IF(ISNUMBER(INDEX(Haver_M!$B$1:$ZN$1000,MATCH(data!$A58,Haver_M!$B$1:$B$1000,0),MATCH(data!AY$1,Haver_M!$B$1:$ZN$1,0))),INDEX(Haver_M!$B$1:$ZN$1000,MATCH(data!$A58,Haver_M!$B$1:$B$1000,0),MATCH(data!AY$1,Haver_M!$B$1:$ZN$1,0)),"na")</f>
        <v>1894</v>
      </c>
      <c r="AZ58" t="str">
        <f>IF(ISNUMBER(INDEX(Haver_M!$B$1:$ZN$1000,MATCH(data!$A58,Haver_M!$B$1:$B$1000,0),MATCH(data!AZ$1,Haver_M!$B$1:$ZN$1,0))),INDEX(Haver_M!$B$1:$ZN$1000,MATCH(data!$A58,Haver_M!$B$1:$B$1000,0),MATCH(data!AZ$1,Haver_M!$B$1:$ZN$1,0)),"na")</f>
        <v>na</v>
      </c>
      <c r="BA58">
        <f>IF(ISNUMBER(INDEX(Haver_M!$B$1:$ZN$1000,MATCH(data!$A58,Haver_M!$B$1:$B$1000,0),MATCH(data!BA$1,Haver_M!$B$1:$ZN$1,0))),INDEX(Haver_M!$B$1:$ZN$1000,MATCH(data!$A58,Haver_M!$B$1:$B$1000,0),MATCH(data!BA$1,Haver_M!$B$1:$ZN$1,0)),"na")</f>
        <v>46.525937605206401</v>
      </c>
      <c r="BB58" t="str">
        <f>IF(ISNUMBER(INDEX(Haver_M!$B$1:$ZN$1000,MATCH(data!$A58,Haver_M!$B$1:$B$1000,0),MATCH(data!BB$1,Haver_M!$B$1:$ZN$1,0))),INDEX(Haver_M!$B$1:$ZN$1000,MATCH(data!$A58,Haver_M!$B$1:$B$1000,0),MATCH(data!BB$1,Haver_M!$B$1:$ZN$1,0)),"")</f>
        <v/>
      </c>
    </row>
    <row r="59" spans="1:54" x14ac:dyDescent="0.25">
      <c r="A59" s="2">
        <v>38291</v>
      </c>
      <c r="B59" t="str">
        <f>IF(ISNUMBER(INDEX(Haver_Q!$B$1:$BD$1000,MATCH(data!$A59,Haver_Q!$B$1:$B$1000,0),MATCH(data!B$1,Haver_Q!$B$1:$BD$1,0))),100*INDEX(Haver_Q!$B$1:$BD$1000,MATCH(data!$A59,Haver_Q!$B$1:$B$1000,0),MATCH(data!B$1,Haver_Q!$B$1:$BD$1,0)),"na")</f>
        <v>na</v>
      </c>
      <c r="C59" t="str">
        <f>IF(ISNUMBER(INDEX(Haver_Q!$B$1:$BD$1000,MATCH(data!$A59,Haver_Q!$B$1:$B$1000,0),MATCH(data!C$1,Haver_Q!$B$1:$BD$1,0))),100*INDEX(Haver_Q!$B$1:$BD$1000,MATCH(data!$A59,Haver_Q!$B$1:$B$1000,0),MATCH(data!C$1,Haver_Q!$B$1:$BD$1,0)),"na")</f>
        <v>na</v>
      </c>
      <c r="D59" t="str">
        <f>IF(ISNUMBER(INDEX(Haver_Q!$B$1:$BD$1000,MATCH(data!$A59,Haver_Q!$B$1:$B$1000,0),MATCH(data!D$1,Haver_Q!$B$1:$BD$1,0))),100*INDEX(Haver_Q!$B$1:$BD$1000,MATCH(data!$A59,Haver_Q!$B$1:$B$1000,0),MATCH(data!D$1,Haver_Q!$B$1:$BD$1,0)),"na")</f>
        <v>na</v>
      </c>
      <c r="E59" t="str">
        <f>IF(ISNUMBER(INDEX(Haver_Q!$B$1:$BD$1000,MATCH(data!$A59,Haver_Q!$B$1:$B$1000,0),MATCH(data!E$1,Haver_Q!$B$1:$BD$1,0))),100*INDEX(Haver_Q!$B$1:$BD$1000,MATCH(data!$A59,Haver_Q!$B$1:$B$1000,0),MATCH(data!E$1,Haver_Q!$B$1:$BD$1,0)),"na")</f>
        <v>na</v>
      </c>
      <c r="F59" t="str">
        <f>IF(ISNUMBER(INDEX(Haver_Q!$B$1:$BD$1000,MATCH(data!$A59,Haver_Q!$B$1:$B$1000,0),MATCH(data!F$1,Haver_Q!$B$1:$BD$1,0))),100*INDEX(Haver_Q!$B$1:$BD$1000,MATCH(data!$A59,Haver_Q!$B$1:$B$1000,0),MATCH(data!F$1,Haver_Q!$B$1:$BD$1,0)),"na")</f>
        <v>na</v>
      </c>
      <c r="G59" t="str">
        <f>IF(ISNUMBER(INDEX(Haver_Q!$B$1:$BD$1000,MATCH(data!$A59,Haver_Q!$B$1:$B$1000,0),MATCH(data!G$1,Haver_Q!$B$1:$BD$1,0))),100*INDEX(Haver_Q!$B$1:$BD$1000,MATCH(data!$A59,Haver_Q!$B$1:$B$1000,0),MATCH(data!G$1,Haver_Q!$B$1:$BD$1,0)),"na")</f>
        <v>na</v>
      </c>
      <c r="H59" t="str">
        <f>IF(ISNUMBER(INDEX(Haver_Q!$B$1:$BD$1000,MATCH(data!$A59,Haver_Q!$B$1:$B$1000,0),MATCH(data!H$1,Haver_Q!$B$1:$BD$1,0))),100*INDEX(Haver_Q!$B$1:$BD$1000,MATCH(data!$A59,Haver_Q!$B$1:$B$1000,0),MATCH(data!H$1,Haver_Q!$B$1:$BD$1,0)),"na")</f>
        <v>na</v>
      </c>
      <c r="I59" s="3">
        <f>IF(ISNUMBER(Bloomberg_m!C75),Bloomberg_m!C75,"na")</f>
        <v>4542</v>
      </c>
      <c r="J59" s="3" t="str">
        <f>IF(ISNUMBER(Bloomberg_m!D75),Bloomberg_m!D75,"na")</f>
        <v>na</v>
      </c>
      <c r="K59" s="3" t="str">
        <f>IF(ISNUMBER(Bloomberg_m!E75),Bloomberg_m!E75,"na")</f>
        <v>na</v>
      </c>
      <c r="L59" s="3">
        <f>IF(ISNUMBER(Bloomberg_m!L75),Bloomberg_m!L75,"na")</f>
        <v>53.25</v>
      </c>
      <c r="M59" t="str">
        <f>IF(ISNUMBER(INDEX(Haver_M!$B$1:$ZN$1000,MATCH(data!$A59,Haver_M!$B$1:$B$1000,0),MATCH(data!M$1,Haver_M!$B$1:$ZN$1,0))),INDEX(Haver_M!$B$1:$ZN$1000,MATCH(data!$A59,Haver_M!$B$1:$B$1000,0),MATCH(data!M$1,Haver_M!$B$1:$ZN$1,0)),"na")</f>
        <v>na</v>
      </c>
      <c r="N59" t="str">
        <f>IF(ISNUMBER(INDEX(Haver_M!$B$1:$ZN$1000,MATCH(data!$A59,Haver_M!$B$1:$B$1000,0),MATCH(data!N$1,Haver_M!$B$1:$ZN$1,0))),INDEX(Haver_M!$B$1:$ZN$1000,MATCH(data!$A59,Haver_M!$B$1:$B$1000,0),MATCH(data!N$1,Haver_M!$B$1:$ZN$1,0)),"na")</f>
        <v>na</v>
      </c>
      <c r="O59">
        <f>IF(ISNUMBER(INDEX(Haver_M!$B$1:$ZN$1000,MATCH(data!$A59,Haver_M!$B$1:$B$1000,0),MATCH(data!O$1,Haver_M!$B$1:$ZN$1,0))),INDEX(Haver_M!$B$1:$ZN$1000,MATCH(data!$A59,Haver_M!$B$1:$B$1000,0),MATCH(data!O$1,Haver_M!$B$1:$ZN$1,0)),"na")</f>
        <v>106.68661</v>
      </c>
      <c r="P59">
        <f>IF(ISNUMBER(INDEX(Haver_M!$B$1:$ZN$1000,MATCH(data!$A59,Haver_M!$B$1:$B$1000,0),MATCH(data!P$1,Haver_M!$B$1:$ZN$1,0))),INDEX(Haver_M!$B$1:$ZN$1000,MATCH(data!$A59,Haver_M!$B$1:$B$1000,0),MATCH(data!P$1,Haver_M!$B$1:$ZN$1,0)),"na")</f>
        <v>57.8005</v>
      </c>
      <c r="Q59">
        <f>IF(ISNUMBER(INDEX(Haver_M!$B$1:$ZN$1000,MATCH(data!$A59,Haver_M!$B$1:$B$1000,0),MATCH(data!Q$1,Haver_M!$B$1:$ZN$1,0))),INDEX(Haver_M!$B$1:$ZN$1000,MATCH(data!$A59,Haver_M!$B$1:$B$1000,0),MATCH(data!Q$1,Haver_M!$B$1:$ZN$1,0)),"na")</f>
        <v>61.427700000000002</v>
      </c>
      <c r="R59">
        <f>IF(ISNUMBER(INDEX(Haver_M!$B$1:$ZN$1000,MATCH(data!$A59,Haver_M!$B$1:$B$1000,0),MATCH(data!R$1,Haver_M!$B$1:$ZN$1,0))),INDEX(Haver_M!$B$1:$ZN$1000,MATCH(data!$A59,Haver_M!$B$1:$B$1000,0),MATCH(data!R$1,Haver_M!$B$1:$ZN$1,0)),"na")</f>
        <v>92.788399999999996</v>
      </c>
      <c r="S59">
        <f>IF(ISNUMBER(INDEX(Haver_M!$B$1:$ZN$1000,MATCH(data!$A59,Haver_M!$B$1:$B$1000,0),MATCH(data!S$1,Haver_M!$B$1:$ZN$1,0))),INDEX(Haver_M!$B$1:$ZN$1000,MATCH(data!$A59,Haver_M!$B$1:$B$1000,0),MATCH(data!S$1,Haver_M!$B$1:$ZN$1,0)),"na")</f>
        <v>116.4717</v>
      </c>
      <c r="T59">
        <f>IF(ISNUMBER(INDEX(Haver_M!$B$1:$ZN$1000,MATCH(data!$A59,Haver_M!$B$1:$B$1000,0),MATCH(data!T$1,Haver_M!$B$1:$ZN$1,0))),INDEX(Haver_M!$B$1:$ZN$1000,MATCH(data!$A59,Haver_M!$B$1:$B$1000,0),MATCH(data!T$1,Haver_M!$B$1:$ZN$1,0)),"na")</f>
        <v>68.285799999999995</v>
      </c>
      <c r="U59">
        <f>IF(ISNUMBER(INDEX(Haver_M!$B$1:$ZN$1000,MATCH(data!$A59,Haver_M!$B$1:$B$1000,0),MATCH(data!U$1,Haver_M!$B$1:$ZN$1,0))),INDEX(Haver_M!$B$1:$ZN$1000,MATCH(data!$A59,Haver_M!$B$1:$B$1000,0),MATCH(data!U$1,Haver_M!$B$1:$ZN$1,0)),"na")</f>
        <v>83.080100000000002</v>
      </c>
      <c r="V59">
        <f>IF(ISNUMBER(INDEX(Haver_M!$B$1:$ZN$1000,MATCH(data!$A59,Haver_M!$B$1:$B$1000,0),MATCH(data!V$1,Haver_M!$B$1:$ZN$1,0))),INDEX(Haver_M!$B$1:$ZN$1000,MATCH(data!$A59,Haver_M!$B$1:$B$1000,0),MATCH(data!V$1,Haver_M!$B$1:$ZN$1,0)),"na")</f>
        <v>90.030199999999994</v>
      </c>
      <c r="W59">
        <f>IF(ISNUMBER(INDEX(Haver_M!$B$1:$ZN$1000,MATCH(data!$A59,Haver_M!$B$1:$B$1000,0),MATCH(data!W$1,Haver_M!$B$1:$ZN$1,0))),INDEX(Haver_M!$B$1:$ZN$1000,MATCH(data!$A59,Haver_M!$B$1:$B$1000,0),MATCH(data!W$1,Haver_M!$B$1:$ZN$1,0)),"na")</f>
        <v>3.93</v>
      </c>
      <c r="X59" t="str">
        <f>IF(ISNUMBER(INDEX(Haver_M!$B$1:$ZN$1000,MATCH(data!$A59,Haver_M!$B$1:$B$1000,0),MATCH(data!X$1,Haver_M!$B$1:$ZN$1,0))),INDEX(Haver_M!$B$1:$ZN$1000,MATCH(data!$A59,Haver_M!$B$1:$B$1000,0),MATCH(data!X$1,Haver_M!$B$1:$ZN$1,0)),"na")</f>
        <v>na</v>
      </c>
      <c r="Y59">
        <f>IF(ISNUMBER(INDEX(Haver_M!$B$1:$ZN$1000,MATCH(data!$A59,Haver_M!$B$1:$B$1000,0),MATCH(data!Y$1,Haver_M!$B$1:$ZN$1,0))),INDEX(Haver_M!$B$1:$ZN$1000,MATCH(data!$A59,Haver_M!$B$1:$B$1000,0),MATCH(data!Y$1,Haver_M!$B$1:$ZN$1,0)),"na")</f>
        <v>99.89</v>
      </c>
      <c r="Z59">
        <f>IF(ISNUMBER(INDEX(Haver_M!$B$1:$ZN$1000,MATCH(data!$A59,Haver_M!$B$1:$B$1000,0),MATCH(data!Z$1,Haver_M!$B$1:$ZN$1,0))),INDEX(Haver_M!$B$1:$ZN$1000,MATCH(data!$A59,Haver_M!$B$1:$B$1000,0),MATCH(data!Z$1,Haver_M!$B$1:$ZN$1,0)),"na")</f>
        <v>90.844099999999997</v>
      </c>
      <c r="AA59" t="str">
        <f>IF(ISNUMBER(INDEX(Haver_M!$B$1:$ZN$1000,MATCH(data!$A59,Haver_M!$B$1:$B$1000,0),MATCH(data!AA$1,Haver_M!$B$1:$ZN$1,0))),INDEX(Haver_M!$B$1:$ZN$1000,MATCH(data!$A59,Haver_M!$B$1:$B$1000,0),MATCH(data!AA$1,Haver_M!$B$1:$ZN$1,0)),"na")</f>
        <v>na</v>
      </c>
      <c r="AB59">
        <f>IF(ISNUMBER(INDEX(Haver_M!$B$1:$ZN$1000,MATCH(data!$A59,Haver_M!$B$1:$B$1000,0),MATCH(data!AB$1,Haver_M!$B$1:$ZN$1,0))),INDEX(Haver_M!$B$1:$ZN$1000,MATCH(data!$A59,Haver_M!$B$1:$B$1000,0),MATCH(data!AB$1,Haver_M!$B$1:$ZN$1,0)),"na")</f>
        <v>16355</v>
      </c>
      <c r="AC59">
        <f>IF(ISNUMBER(INDEX(Haver_M!$B$1:$ZN$1000,MATCH(data!$A59,Haver_M!$B$1:$B$1000,0),MATCH(data!AC$1,Haver_M!$B$1:$ZN$1,0))),INDEX(Haver_M!$B$1:$ZN$1000,MATCH(data!$A59,Haver_M!$B$1:$B$1000,0),MATCH(data!AC$1,Haver_M!$B$1:$ZN$1,0)),"na")</f>
        <v>16840.599999999999</v>
      </c>
      <c r="AD59">
        <f>IF(ISNUMBER(INDEX(Haver_M!$B$1:$ZN$1000,MATCH(data!$A59,Haver_M!$B$1:$B$1000,0),MATCH(data!AD$1,Haver_M!$B$1:$ZN$1,0))),INDEX(Haver_M!$B$1:$ZN$1000,MATCH(data!$A59,Haver_M!$B$1:$B$1000,0),MATCH(data!AD$1,Haver_M!$B$1:$ZN$1,0)),"na")</f>
        <v>99.4</v>
      </c>
      <c r="AE59">
        <f>IF(ISNUMBER(INDEX(Haver_M!$B$1:$ZN$1000,MATCH(data!$A59,Haver_M!$B$1:$B$1000,0),MATCH(data!AE$1,Haver_M!$B$1:$ZN$1,0))),INDEX(Haver_M!$B$1:$ZN$1000,MATCH(data!$A59,Haver_M!$B$1:$B$1000,0),MATCH(data!AE$1,Haver_M!$B$1:$ZN$1,0)),"na")</f>
        <v>39.799999999999997</v>
      </c>
      <c r="AF59">
        <f>IF(ISNUMBER(INDEX(Haver_M!$B$1:$ZN$1000,MATCH(data!$A59,Haver_M!$B$1:$B$1000,0),MATCH(data!AF$1,Haver_M!$B$1:$ZN$1,0))),INDEX(Haver_M!$B$1:$ZN$1000,MATCH(data!$A59,Haver_M!$B$1:$B$1000,0),MATCH(data!AF$1,Haver_M!$B$1:$ZN$1,0)),"na")</f>
        <v>99.85</v>
      </c>
      <c r="AG59" t="str">
        <f>IF(ISNUMBER(INDEX(Haver_M!$B$1:$ZN$1000,MATCH(data!$A59,Haver_M!$B$1:$B$1000,0),MATCH(data!AG$1,Haver_M!$B$1:$ZN$1,0))),INDEX(Haver_M!$B$1:$ZN$1000,MATCH(data!$A59,Haver_M!$B$1:$B$1000,0),MATCH(data!AG$1,Haver_M!$B$1:$ZN$1,0)),"na")</f>
        <v>na</v>
      </c>
      <c r="AH59" t="str">
        <f>IF(ISNUMBER(INDEX(Haver_M!$B$1:$ZN$1000,MATCH(data!$A59,Haver_M!$B$1:$B$1000,0),MATCH(data!AH$1,Haver_M!$B$1:$ZN$1,0))),INDEX(Haver_M!$B$1:$ZN$1000,MATCH(data!$A59,Haver_M!$B$1:$B$1000,0),MATCH(data!AH$1,Haver_M!$B$1:$ZN$1,0)),"na")</f>
        <v>na</v>
      </c>
      <c r="AI59" t="str">
        <f>IF(ISNUMBER(INDEX(Haver_M!$B$1:$ZN$1000,MATCH(data!$A59,Haver_M!$B$1:$B$1000,0),MATCH(data!AI$1,Haver_M!$B$1:$ZN$1,0))),INDEX(Haver_M!$B$1:$ZN$1000,MATCH(data!$A59,Haver_M!$B$1:$B$1000,0),MATCH(data!AI$1,Haver_M!$B$1:$ZN$1,0)),"na")</f>
        <v>na</v>
      </c>
      <c r="AJ59" t="str">
        <f>IF(ISNUMBER(INDEX(Haver_M!$B$1:$ZN$1000,MATCH(data!$A59,Haver_M!$B$1:$B$1000,0),MATCH(data!AJ$1,Haver_M!$B$1:$ZN$1,0))),INDEX(Haver_M!$B$1:$ZN$1000,MATCH(data!$A59,Haver_M!$B$1:$B$1000,0),MATCH(data!AJ$1,Haver_M!$B$1:$ZN$1,0)),"na")</f>
        <v>na</v>
      </c>
      <c r="AK59" t="str">
        <f>IF(ISNUMBER(INDEX(Haver_M!$B$1:$ZN$1000,MATCH(data!$A59,Haver_M!$B$1:$B$1000,0),MATCH(data!AK$1,Haver_M!$B$1:$ZN$1,0))),INDEX(Haver_M!$B$1:$ZN$1000,MATCH(data!$A59,Haver_M!$B$1:$B$1000,0),MATCH(data!AK$1,Haver_M!$B$1:$ZN$1,0)),"na")</f>
        <v>na</v>
      </c>
      <c r="AL59" t="str">
        <f>IF(ISNUMBER(INDEX(Haver_M!$B$1:$ZN$1000,MATCH(data!$A59,Haver_M!$B$1:$B$1000,0),MATCH(data!AL$1,Haver_M!$B$1:$ZN$1,0))),INDEX(Haver_M!$B$1:$ZN$1000,MATCH(data!$A59,Haver_M!$B$1:$B$1000,0),MATCH(data!AL$1,Haver_M!$B$1:$ZN$1,0)),"na")</f>
        <v>na</v>
      </c>
      <c r="AM59" t="str">
        <f>IF(ISNUMBER(INDEX(Haver_M!$B$1:$ZN$1000,MATCH(data!$A59,Haver_M!$B$1:$B$1000,0),MATCH(data!AM$1,Haver_M!$B$1:$ZN$1,0))),INDEX(Haver_M!$B$1:$ZN$1000,MATCH(data!$A59,Haver_M!$B$1:$B$1000,0),MATCH(data!AM$1,Haver_M!$B$1:$ZN$1,0)),"na")</f>
        <v>na</v>
      </c>
      <c r="AN59" t="str">
        <f>IF(ISNUMBER(INDEX(Haver_M!$B$1:$ZN$1000,MATCH(data!$A59,Haver_M!$B$1:$B$1000,0),MATCH(data!AN$1,Haver_M!$B$1:$ZN$1,0))),INDEX(Haver_M!$B$1:$ZN$1000,MATCH(data!$A59,Haver_M!$B$1:$B$1000,0),MATCH(data!AN$1,Haver_M!$B$1:$ZN$1,0)),"na")</f>
        <v>na</v>
      </c>
      <c r="AO59" t="str">
        <f>IF(ISNUMBER(INDEX(Haver_M!$B$1:$ZN$1000,MATCH(data!$A59,Haver_M!$B$1:$B$1000,0),MATCH(data!AO$1,Haver_M!$B$1:$ZN$1,0))),INDEX(Haver_M!$B$1:$ZN$1000,MATCH(data!$A59,Haver_M!$B$1:$B$1000,0),MATCH(data!AO$1,Haver_M!$B$1:$ZN$1,0)),"na")</f>
        <v>na</v>
      </c>
      <c r="AP59" t="str">
        <f>IF(ISNUMBER(INDEX(Haver_M!$B$1:$ZN$1000,MATCH(data!$A59,Haver_M!$B$1:$B$1000,0),MATCH(data!AP$1,Haver_M!$B$1:$ZN$1,0))),INDEX(Haver_M!$B$1:$ZN$1000,MATCH(data!$A59,Haver_M!$B$1:$B$1000,0),MATCH(data!AP$1,Haver_M!$B$1:$ZN$1,0)),"na")</f>
        <v>na</v>
      </c>
      <c r="AQ59" t="str">
        <f>IF(ISNUMBER(INDEX(Haver_M!$B$1:$ZN$1000,MATCH(data!$A59,Haver_M!$B$1:$B$1000,0),MATCH(data!AQ$1,Haver_M!$B$1:$ZN$1,0))),INDEX(Haver_M!$B$1:$ZN$1000,MATCH(data!$A59,Haver_M!$B$1:$B$1000,0),MATCH(data!AQ$1,Haver_M!$B$1:$ZN$1,0)),"na")</f>
        <v>na</v>
      </c>
      <c r="AR59" t="str">
        <f>IF(ISNUMBER(INDEX(Haver_M!$B$1:$ZN$1000,MATCH(data!$A59,Haver_M!$B$1:$B$1000,0),MATCH(data!AR$1,Haver_M!$B$1:$ZN$1,0))),INDEX(Haver_M!$B$1:$ZN$1000,MATCH(data!$A59,Haver_M!$B$1:$B$1000,0),MATCH(data!AR$1,Haver_M!$B$1:$ZN$1,0)),"na")</f>
        <v>na</v>
      </c>
      <c r="AS59">
        <f>IF(ISNUMBER(INDEX(Haver_M!$B$1:$ZN$1000,MATCH(data!$A59,Haver_M!$B$1:$B$1000,0),MATCH(data!AS$1,Haver_M!$B$1:$ZN$1,0))),INDEX(Haver_M!$B$1:$ZN$1000,MATCH(data!$A59,Haver_M!$B$1:$B$1000,0),MATCH(data!AS$1,Haver_M!$B$1:$ZN$1,0)),"na")</f>
        <v>11137.56</v>
      </c>
      <c r="AT59">
        <f>IF(ISNUMBER(INDEX(Haver_M!$B$1:$ZN$1000,MATCH(data!$A59,Haver_M!$B$1:$B$1000,0),MATCH(data!AT$1,Haver_M!$B$1:$ZN$1,0))),INDEX(Haver_M!$B$1:$ZN$1000,MATCH(data!$A59,Haver_M!$B$1:$B$1000,0),MATCH(data!AT$1,Haver_M!$B$1:$ZN$1,0)),"na")</f>
        <v>86.981999999999999</v>
      </c>
      <c r="AU59">
        <f>IF(ISNUMBER(INDEX(Haver_M!$B$1:$ZN$1000,MATCH(data!$A59,Haver_M!$B$1:$B$1000,0),MATCH(data!AU$1,Haver_M!$B$1:$ZN$1,0))),INDEX(Haver_M!$B$1:$ZN$1000,MATCH(data!$A59,Haver_M!$B$1:$B$1000,0),MATCH(data!AU$1,Haver_M!$B$1:$ZN$1,0)),"na")</f>
        <v>83.912294000000003</v>
      </c>
      <c r="AV59">
        <f>IF(ISNUMBER(INDEX(Haver_M!$B$1:$ZN$1000,MATCH(data!$A59,Haver_M!$B$1:$B$1000,0),MATCH(data!AV$1,Haver_M!$B$1:$ZN$1,0))),INDEX(Haver_M!$B$1:$ZN$1000,MATCH(data!$A59,Haver_M!$B$1:$B$1000,0),MATCH(data!AV$1,Haver_M!$B$1:$ZN$1,0)),"na")</f>
        <v>75.900000000000006</v>
      </c>
      <c r="AW59">
        <f>IF(ISNUMBER(INDEX(Haver_M!$B$1:$ZN$1000,MATCH(data!$A59,Haver_M!$B$1:$B$1000,0),MATCH(data!AW$1,Haver_M!$B$1:$ZN$1,0))),INDEX(Haver_M!$B$1:$ZN$1000,MATCH(data!$A59,Haver_M!$B$1:$B$1000,0),MATCH(data!AW$1,Haver_M!$B$1:$ZN$1,0)),"na")</f>
        <v>977220.15318806854</v>
      </c>
      <c r="AX59">
        <f>IF(ISNUMBER(INDEX(Haver_M!$B$1:$ZN$1000,MATCH(data!$A59,Haver_M!$B$1:$B$1000,0),MATCH(data!AX$1,Haver_M!$B$1:$ZN$1,0))),INDEX(Haver_M!$B$1:$ZN$1000,MATCH(data!$A59,Haver_M!$B$1:$B$1000,0),MATCH(data!AX$1,Haver_M!$B$1:$ZN$1,0)),"na")</f>
        <v>3526</v>
      </c>
      <c r="AY59">
        <f>IF(ISNUMBER(INDEX(Haver_M!$B$1:$ZN$1000,MATCH(data!$A59,Haver_M!$B$1:$B$1000,0),MATCH(data!AY$1,Haver_M!$B$1:$ZN$1,0))),INDEX(Haver_M!$B$1:$ZN$1000,MATCH(data!$A59,Haver_M!$B$1:$B$1000,0),MATCH(data!AY$1,Haver_M!$B$1:$ZN$1,0)),"na")</f>
        <v>1980</v>
      </c>
      <c r="AZ59" t="str">
        <f>IF(ISNUMBER(INDEX(Haver_M!$B$1:$ZN$1000,MATCH(data!$A59,Haver_M!$B$1:$B$1000,0),MATCH(data!AZ$1,Haver_M!$B$1:$ZN$1,0))),INDEX(Haver_M!$B$1:$ZN$1000,MATCH(data!$A59,Haver_M!$B$1:$B$1000,0),MATCH(data!AZ$1,Haver_M!$B$1:$ZN$1,0)),"na")</f>
        <v>na</v>
      </c>
      <c r="BA59">
        <f>IF(ISNUMBER(INDEX(Haver_M!$B$1:$ZN$1000,MATCH(data!$A59,Haver_M!$B$1:$B$1000,0),MATCH(data!BA$1,Haver_M!$B$1:$ZN$1,0))),INDEX(Haver_M!$B$1:$ZN$1000,MATCH(data!$A59,Haver_M!$B$1:$B$1000,0),MATCH(data!BA$1,Haver_M!$B$1:$ZN$1,0)),"na")</f>
        <v>95.051785192664369</v>
      </c>
      <c r="BB59" t="str">
        <f>IF(ISNUMBER(INDEX(Haver_M!$B$1:$ZN$1000,MATCH(data!$A59,Haver_M!$B$1:$B$1000,0),MATCH(data!BB$1,Haver_M!$B$1:$ZN$1,0))),INDEX(Haver_M!$B$1:$ZN$1000,MATCH(data!$A59,Haver_M!$B$1:$B$1000,0),MATCH(data!BB$1,Haver_M!$B$1:$ZN$1,0)),"")</f>
        <v/>
      </c>
    </row>
    <row r="60" spans="1:54" x14ac:dyDescent="0.25">
      <c r="A60" s="2">
        <v>38321</v>
      </c>
      <c r="B60" t="str">
        <f>IF(ISNUMBER(INDEX(Haver_Q!$B$1:$BD$1000,MATCH(data!$A60,Haver_Q!$B$1:$B$1000,0),MATCH(data!B$1,Haver_Q!$B$1:$BD$1,0))),100*INDEX(Haver_Q!$B$1:$BD$1000,MATCH(data!$A60,Haver_Q!$B$1:$B$1000,0),MATCH(data!B$1,Haver_Q!$B$1:$BD$1,0)),"na")</f>
        <v>na</v>
      </c>
      <c r="C60" t="str">
        <f>IF(ISNUMBER(INDEX(Haver_Q!$B$1:$BD$1000,MATCH(data!$A60,Haver_Q!$B$1:$B$1000,0),MATCH(data!C$1,Haver_Q!$B$1:$BD$1,0))),100*INDEX(Haver_Q!$B$1:$BD$1000,MATCH(data!$A60,Haver_Q!$B$1:$B$1000,0),MATCH(data!C$1,Haver_Q!$B$1:$BD$1,0)),"na")</f>
        <v>na</v>
      </c>
      <c r="D60" t="str">
        <f>IF(ISNUMBER(INDEX(Haver_Q!$B$1:$BD$1000,MATCH(data!$A60,Haver_Q!$B$1:$B$1000,0),MATCH(data!D$1,Haver_Q!$B$1:$BD$1,0))),100*INDEX(Haver_Q!$B$1:$BD$1000,MATCH(data!$A60,Haver_Q!$B$1:$B$1000,0),MATCH(data!D$1,Haver_Q!$B$1:$BD$1,0)),"na")</f>
        <v>na</v>
      </c>
      <c r="E60" t="str">
        <f>IF(ISNUMBER(INDEX(Haver_Q!$B$1:$BD$1000,MATCH(data!$A60,Haver_Q!$B$1:$B$1000,0),MATCH(data!E$1,Haver_Q!$B$1:$BD$1,0))),100*INDEX(Haver_Q!$B$1:$BD$1000,MATCH(data!$A60,Haver_Q!$B$1:$B$1000,0),MATCH(data!E$1,Haver_Q!$B$1:$BD$1,0)),"na")</f>
        <v>na</v>
      </c>
      <c r="F60" t="str">
        <f>IF(ISNUMBER(INDEX(Haver_Q!$B$1:$BD$1000,MATCH(data!$A60,Haver_Q!$B$1:$B$1000,0),MATCH(data!F$1,Haver_Q!$B$1:$BD$1,0))),100*INDEX(Haver_Q!$B$1:$BD$1000,MATCH(data!$A60,Haver_Q!$B$1:$B$1000,0),MATCH(data!F$1,Haver_Q!$B$1:$BD$1,0)),"na")</f>
        <v>na</v>
      </c>
      <c r="G60" t="str">
        <f>IF(ISNUMBER(INDEX(Haver_Q!$B$1:$BD$1000,MATCH(data!$A60,Haver_Q!$B$1:$B$1000,0),MATCH(data!G$1,Haver_Q!$B$1:$BD$1,0))),100*INDEX(Haver_Q!$B$1:$BD$1000,MATCH(data!$A60,Haver_Q!$B$1:$B$1000,0),MATCH(data!G$1,Haver_Q!$B$1:$BD$1,0)),"na")</f>
        <v>na</v>
      </c>
      <c r="H60" t="str">
        <f>IF(ISNUMBER(INDEX(Haver_Q!$B$1:$BD$1000,MATCH(data!$A60,Haver_Q!$B$1:$B$1000,0),MATCH(data!H$1,Haver_Q!$B$1:$BD$1,0))),100*INDEX(Haver_Q!$B$1:$BD$1000,MATCH(data!$A60,Haver_Q!$B$1:$B$1000,0),MATCH(data!H$1,Haver_Q!$B$1:$BD$1,0)),"na")</f>
        <v>na</v>
      </c>
      <c r="I60" s="3">
        <f>IF(ISNUMBER(Bloomberg_m!C76),Bloomberg_m!C76,"na")</f>
        <v>5310</v>
      </c>
      <c r="J60" s="3" t="str">
        <f>IF(ISNUMBER(Bloomberg_m!D76),Bloomberg_m!D76,"na")</f>
        <v>na</v>
      </c>
      <c r="K60" s="3" t="str">
        <f>IF(ISNUMBER(Bloomberg_m!E76),Bloomberg_m!E76,"na")</f>
        <v>na</v>
      </c>
      <c r="L60" s="3">
        <f>IF(ISNUMBER(Bloomberg_m!L76),Bloomberg_m!L76,"na")</f>
        <v>48.45</v>
      </c>
      <c r="M60" t="str">
        <f>IF(ISNUMBER(INDEX(Haver_M!$B$1:$ZN$1000,MATCH(data!$A60,Haver_M!$B$1:$B$1000,0),MATCH(data!M$1,Haver_M!$B$1:$ZN$1,0))),INDEX(Haver_M!$B$1:$ZN$1000,MATCH(data!$A60,Haver_M!$B$1:$B$1000,0),MATCH(data!M$1,Haver_M!$B$1:$ZN$1,0)),"na")</f>
        <v>na</v>
      </c>
      <c r="N60" t="str">
        <f>IF(ISNUMBER(INDEX(Haver_M!$B$1:$ZN$1000,MATCH(data!$A60,Haver_M!$B$1:$B$1000,0),MATCH(data!N$1,Haver_M!$B$1:$ZN$1,0))),INDEX(Haver_M!$B$1:$ZN$1000,MATCH(data!$A60,Haver_M!$B$1:$B$1000,0),MATCH(data!N$1,Haver_M!$B$1:$ZN$1,0)),"na")</f>
        <v>na</v>
      </c>
      <c r="O60">
        <f>IF(ISNUMBER(INDEX(Haver_M!$B$1:$ZN$1000,MATCH(data!$A60,Haver_M!$B$1:$B$1000,0),MATCH(data!O$1,Haver_M!$B$1:$ZN$1,0))),INDEX(Haver_M!$B$1:$ZN$1000,MATCH(data!$A60,Haver_M!$B$1:$B$1000,0),MATCH(data!O$1,Haver_M!$B$1:$ZN$1,0)),"na")</f>
        <v>106.41829</v>
      </c>
      <c r="P60">
        <f>IF(ISNUMBER(INDEX(Haver_M!$B$1:$ZN$1000,MATCH(data!$A60,Haver_M!$B$1:$B$1000,0),MATCH(data!P$1,Haver_M!$B$1:$ZN$1,0))),INDEX(Haver_M!$B$1:$ZN$1000,MATCH(data!$A60,Haver_M!$B$1:$B$1000,0),MATCH(data!P$1,Haver_M!$B$1:$ZN$1,0)),"na")</f>
        <v>58.043599999999998</v>
      </c>
      <c r="Q60">
        <f>IF(ISNUMBER(INDEX(Haver_M!$B$1:$ZN$1000,MATCH(data!$A60,Haver_M!$B$1:$B$1000,0),MATCH(data!Q$1,Haver_M!$B$1:$ZN$1,0))),INDEX(Haver_M!$B$1:$ZN$1000,MATCH(data!$A60,Haver_M!$B$1:$B$1000,0),MATCH(data!Q$1,Haver_M!$B$1:$ZN$1,0)),"na")</f>
        <v>61.613500000000002</v>
      </c>
      <c r="R60">
        <f>IF(ISNUMBER(INDEX(Haver_M!$B$1:$ZN$1000,MATCH(data!$A60,Haver_M!$B$1:$B$1000,0),MATCH(data!R$1,Haver_M!$B$1:$ZN$1,0))),INDEX(Haver_M!$B$1:$ZN$1000,MATCH(data!$A60,Haver_M!$B$1:$B$1000,0),MATCH(data!R$1,Haver_M!$B$1:$ZN$1,0)),"na")</f>
        <v>92.910799999999995</v>
      </c>
      <c r="S60">
        <f>IF(ISNUMBER(INDEX(Haver_M!$B$1:$ZN$1000,MATCH(data!$A60,Haver_M!$B$1:$B$1000,0),MATCH(data!S$1,Haver_M!$B$1:$ZN$1,0))),INDEX(Haver_M!$B$1:$ZN$1000,MATCH(data!$A60,Haver_M!$B$1:$B$1000,0),MATCH(data!S$1,Haver_M!$B$1:$ZN$1,0)),"na")</f>
        <v>114.37779999999999</v>
      </c>
      <c r="T60">
        <f>IF(ISNUMBER(INDEX(Haver_M!$B$1:$ZN$1000,MATCH(data!$A60,Haver_M!$B$1:$B$1000,0),MATCH(data!T$1,Haver_M!$B$1:$ZN$1,0))),INDEX(Haver_M!$B$1:$ZN$1000,MATCH(data!$A60,Haver_M!$B$1:$B$1000,0),MATCH(data!T$1,Haver_M!$B$1:$ZN$1,0)),"na")</f>
        <v>68.491</v>
      </c>
      <c r="U60">
        <f>IF(ISNUMBER(INDEX(Haver_M!$B$1:$ZN$1000,MATCH(data!$A60,Haver_M!$B$1:$B$1000,0),MATCH(data!U$1,Haver_M!$B$1:$ZN$1,0))),INDEX(Haver_M!$B$1:$ZN$1000,MATCH(data!$A60,Haver_M!$B$1:$B$1000,0),MATCH(data!U$1,Haver_M!$B$1:$ZN$1,0)),"na")</f>
        <v>83.656000000000006</v>
      </c>
      <c r="V60">
        <f>IF(ISNUMBER(INDEX(Haver_M!$B$1:$ZN$1000,MATCH(data!$A60,Haver_M!$B$1:$B$1000,0),MATCH(data!V$1,Haver_M!$B$1:$ZN$1,0))),INDEX(Haver_M!$B$1:$ZN$1000,MATCH(data!$A60,Haver_M!$B$1:$B$1000,0),MATCH(data!V$1,Haver_M!$B$1:$ZN$1,0)),"na")</f>
        <v>89.979799999999997</v>
      </c>
      <c r="W60">
        <f>IF(ISNUMBER(INDEX(Haver_M!$B$1:$ZN$1000,MATCH(data!$A60,Haver_M!$B$1:$B$1000,0),MATCH(data!W$1,Haver_M!$B$1:$ZN$1,0))),INDEX(Haver_M!$B$1:$ZN$1000,MATCH(data!$A60,Haver_M!$B$1:$B$1000,0),MATCH(data!W$1,Haver_M!$B$1:$ZN$1,0)),"na")</f>
        <v>3.81</v>
      </c>
      <c r="X60" t="str">
        <f>IF(ISNUMBER(INDEX(Haver_M!$B$1:$ZN$1000,MATCH(data!$A60,Haver_M!$B$1:$B$1000,0),MATCH(data!X$1,Haver_M!$B$1:$ZN$1,0))),INDEX(Haver_M!$B$1:$ZN$1000,MATCH(data!$A60,Haver_M!$B$1:$B$1000,0),MATCH(data!X$1,Haver_M!$B$1:$ZN$1,0)),"na")</f>
        <v>na</v>
      </c>
      <c r="Y60">
        <f>IF(ISNUMBER(INDEX(Haver_M!$B$1:$ZN$1000,MATCH(data!$A60,Haver_M!$B$1:$B$1000,0),MATCH(data!Y$1,Haver_M!$B$1:$ZN$1,0))),INDEX(Haver_M!$B$1:$ZN$1000,MATCH(data!$A60,Haver_M!$B$1:$B$1000,0),MATCH(data!Y$1,Haver_M!$B$1:$ZN$1,0)),"na")</f>
        <v>99.91</v>
      </c>
      <c r="Z60">
        <f>IF(ISNUMBER(INDEX(Haver_M!$B$1:$ZN$1000,MATCH(data!$A60,Haver_M!$B$1:$B$1000,0),MATCH(data!Z$1,Haver_M!$B$1:$ZN$1,0))),INDEX(Haver_M!$B$1:$ZN$1000,MATCH(data!$A60,Haver_M!$B$1:$B$1000,0),MATCH(data!Z$1,Haver_M!$B$1:$ZN$1,0)),"na")</f>
        <v>92.7316</v>
      </c>
      <c r="AA60" t="str">
        <f>IF(ISNUMBER(INDEX(Haver_M!$B$1:$ZN$1000,MATCH(data!$A60,Haver_M!$B$1:$B$1000,0),MATCH(data!AA$1,Haver_M!$B$1:$ZN$1,0))),INDEX(Haver_M!$B$1:$ZN$1000,MATCH(data!$A60,Haver_M!$B$1:$B$1000,0),MATCH(data!AA$1,Haver_M!$B$1:$ZN$1,0)),"na")</f>
        <v>na</v>
      </c>
      <c r="AB60">
        <f>IF(ISNUMBER(INDEX(Haver_M!$B$1:$ZN$1000,MATCH(data!$A60,Haver_M!$B$1:$B$1000,0),MATCH(data!AB$1,Haver_M!$B$1:$ZN$1,0))),INDEX(Haver_M!$B$1:$ZN$1000,MATCH(data!$A60,Haver_M!$B$1:$B$1000,0),MATCH(data!AB$1,Haver_M!$B$1:$ZN$1,0)),"na")</f>
        <v>16429.400000000001</v>
      </c>
      <c r="AC60">
        <f>IF(ISNUMBER(INDEX(Haver_M!$B$1:$ZN$1000,MATCH(data!$A60,Haver_M!$B$1:$B$1000,0),MATCH(data!AC$1,Haver_M!$B$1:$ZN$1,0))),INDEX(Haver_M!$B$1:$ZN$1000,MATCH(data!$A60,Haver_M!$B$1:$B$1000,0),MATCH(data!AC$1,Haver_M!$B$1:$ZN$1,0)),"na")</f>
        <v>17701.3</v>
      </c>
      <c r="AD60">
        <f>IF(ISNUMBER(INDEX(Haver_M!$B$1:$ZN$1000,MATCH(data!$A60,Haver_M!$B$1:$B$1000,0),MATCH(data!AD$1,Haver_M!$B$1:$ZN$1,0))),INDEX(Haver_M!$B$1:$ZN$1000,MATCH(data!$A60,Haver_M!$B$1:$B$1000,0),MATCH(data!AD$1,Haver_M!$B$1:$ZN$1,0)),"na")</f>
        <v>99.47</v>
      </c>
      <c r="AE60">
        <f>IF(ISNUMBER(INDEX(Haver_M!$B$1:$ZN$1000,MATCH(data!$A60,Haver_M!$B$1:$B$1000,0),MATCH(data!AE$1,Haver_M!$B$1:$ZN$1,0))),INDEX(Haver_M!$B$1:$ZN$1000,MATCH(data!$A60,Haver_M!$B$1:$B$1000,0),MATCH(data!AE$1,Haver_M!$B$1:$ZN$1,0)),"na")</f>
        <v>40.200000000000003</v>
      </c>
      <c r="AF60">
        <f>IF(ISNUMBER(INDEX(Haver_M!$B$1:$ZN$1000,MATCH(data!$A60,Haver_M!$B$1:$B$1000,0),MATCH(data!AF$1,Haver_M!$B$1:$ZN$1,0))),INDEX(Haver_M!$B$1:$ZN$1000,MATCH(data!$A60,Haver_M!$B$1:$B$1000,0),MATCH(data!AF$1,Haver_M!$B$1:$ZN$1,0)),"na")</f>
        <v>99.88</v>
      </c>
      <c r="AG60" t="str">
        <f>IF(ISNUMBER(INDEX(Haver_M!$B$1:$ZN$1000,MATCH(data!$A60,Haver_M!$B$1:$B$1000,0),MATCH(data!AG$1,Haver_M!$B$1:$ZN$1,0))),INDEX(Haver_M!$B$1:$ZN$1000,MATCH(data!$A60,Haver_M!$B$1:$B$1000,0),MATCH(data!AG$1,Haver_M!$B$1:$ZN$1,0)),"na")</f>
        <v>na</v>
      </c>
      <c r="AH60" t="str">
        <f>IF(ISNUMBER(INDEX(Haver_M!$B$1:$ZN$1000,MATCH(data!$A60,Haver_M!$B$1:$B$1000,0),MATCH(data!AH$1,Haver_M!$B$1:$ZN$1,0))),INDEX(Haver_M!$B$1:$ZN$1000,MATCH(data!$A60,Haver_M!$B$1:$B$1000,0),MATCH(data!AH$1,Haver_M!$B$1:$ZN$1,0)),"na")</f>
        <v>na</v>
      </c>
      <c r="AI60" t="str">
        <f>IF(ISNUMBER(INDEX(Haver_M!$B$1:$ZN$1000,MATCH(data!$A60,Haver_M!$B$1:$B$1000,0),MATCH(data!AI$1,Haver_M!$B$1:$ZN$1,0))),INDEX(Haver_M!$B$1:$ZN$1000,MATCH(data!$A60,Haver_M!$B$1:$B$1000,0),MATCH(data!AI$1,Haver_M!$B$1:$ZN$1,0)),"na")</f>
        <v>na</v>
      </c>
      <c r="AJ60" t="str">
        <f>IF(ISNUMBER(INDEX(Haver_M!$B$1:$ZN$1000,MATCH(data!$A60,Haver_M!$B$1:$B$1000,0),MATCH(data!AJ$1,Haver_M!$B$1:$ZN$1,0))),INDEX(Haver_M!$B$1:$ZN$1000,MATCH(data!$A60,Haver_M!$B$1:$B$1000,0),MATCH(data!AJ$1,Haver_M!$B$1:$ZN$1,0)),"na")</f>
        <v>na</v>
      </c>
      <c r="AK60" t="str">
        <f>IF(ISNUMBER(INDEX(Haver_M!$B$1:$ZN$1000,MATCH(data!$A60,Haver_M!$B$1:$B$1000,0),MATCH(data!AK$1,Haver_M!$B$1:$ZN$1,0))),INDEX(Haver_M!$B$1:$ZN$1000,MATCH(data!$A60,Haver_M!$B$1:$B$1000,0),MATCH(data!AK$1,Haver_M!$B$1:$ZN$1,0)),"na")</f>
        <v>na</v>
      </c>
      <c r="AL60" t="str">
        <f>IF(ISNUMBER(INDEX(Haver_M!$B$1:$ZN$1000,MATCH(data!$A60,Haver_M!$B$1:$B$1000,0),MATCH(data!AL$1,Haver_M!$B$1:$ZN$1,0))),INDEX(Haver_M!$B$1:$ZN$1000,MATCH(data!$A60,Haver_M!$B$1:$B$1000,0),MATCH(data!AL$1,Haver_M!$B$1:$ZN$1,0)),"na")</f>
        <v>na</v>
      </c>
      <c r="AM60" t="str">
        <f>IF(ISNUMBER(INDEX(Haver_M!$B$1:$ZN$1000,MATCH(data!$A60,Haver_M!$B$1:$B$1000,0),MATCH(data!AM$1,Haver_M!$B$1:$ZN$1,0))),INDEX(Haver_M!$B$1:$ZN$1000,MATCH(data!$A60,Haver_M!$B$1:$B$1000,0),MATCH(data!AM$1,Haver_M!$B$1:$ZN$1,0)),"na")</f>
        <v>na</v>
      </c>
      <c r="AN60" t="str">
        <f>IF(ISNUMBER(INDEX(Haver_M!$B$1:$ZN$1000,MATCH(data!$A60,Haver_M!$B$1:$B$1000,0),MATCH(data!AN$1,Haver_M!$B$1:$ZN$1,0))),INDEX(Haver_M!$B$1:$ZN$1000,MATCH(data!$A60,Haver_M!$B$1:$B$1000,0),MATCH(data!AN$1,Haver_M!$B$1:$ZN$1,0)),"na")</f>
        <v>na</v>
      </c>
      <c r="AO60" t="str">
        <f>IF(ISNUMBER(INDEX(Haver_M!$B$1:$ZN$1000,MATCH(data!$A60,Haver_M!$B$1:$B$1000,0),MATCH(data!AO$1,Haver_M!$B$1:$ZN$1,0))),INDEX(Haver_M!$B$1:$ZN$1000,MATCH(data!$A60,Haver_M!$B$1:$B$1000,0),MATCH(data!AO$1,Haver_M!$B$1:$ZN$1,0)),"na")</f>
        <v>na</v>
      </c>
      <c r="AP60" t="str">
        <f>IF(ISNUMBER(INDEX(Haver_M!$B$1:$ZN$1000,MATCH(data!$A60,Haver_M!$B$1:$B$1000,0),MATCH(data!AP$1,Haver_M!$B$1:$ZN$1,0))),INDEX(Haver_M!$B$1:$ZN$1000,MATCH(data!$A60,Haver_M!$B$1:$B$1000,0),MATCH(data!AP$1,Haver_M!$B$1:$ZN$1,0)),"na")</f>
        <v>na</v>
      </c>
      <c r="AQ60" t="str">
        <f>IF(ISNUMBER(INDEX(Haver_M!$B$1:$ZN$1000,MATCH(data!$A60,Haver_M!$B$1:$B$1000,0),MATCH(data!AQ$1,Haver_M!$B$1:$ZN$1,0))),INDEX(Haver_M!$B$1:$ZN$1000,MATCH(data!$A60,Haver_M!$B$1:$B$1000,0),MATCH(data!AQ$1,Haver_M!$B$1:$ZN$1,0)),"na")</f>
        <v>na</v>
      </c>
      <c r="AR60" t="str">
        <f>IF(ISNUMBER(INDEX(Haver_M!$B$1:$ZN$1000,MATCH(data!$A60,Haver_M!$B$1:$B$1000,0),MATCH(data!AR$1,Haver_M!$B$1:$ZN$1,0))),INDEX(Haver_M!$B$1:$ZN$1000,MATCH(data!$A60,Haver_M!$B$1:$B$1000,0),MATCH(data!AR$1,Haver_M!$B$1:$ZN$1,0)),"na")</f>
        <v>na</v>
      </c>
      <c r="AS60">
        <f>IF(ISNUMBER(INDEX(Haver_M!$B$1:$ZN$1000,MATCH(data!$A60,Haver_M!$B$1:$B$1000,0),MATCH(data!AS$1,Haver_M!$B$1:$ZN$1,0))),INDEX(Haver_M!$B$1:$ZN$1000,MATCH(data!$A60,Haver_M!$B$1:$B$1000,0),MATCH(data!AS$1,Haver_M!$B$1:$ZN$1,0)),"na")</f>
        <v>11898.57</v>
      </c>
      <c r="AT60">
        <f>IF(ISNUMBER(INDEX(Haver_M!$B$1:$ZN$1000,MATCH(data!$A60,Haver_M!$B$1:$B$1000,0),MATCH(data!AT$1,Haver_M!$B$1:$ZN$1,0))),INDEX(Haver_M!$B$1:$ZN$1000,MATCH(data!$A60,Haver_M!$B$1:$B$1000,0),MATCH(data!AT$1,Haver_M!$B$1:$ZN$1,0)),"na")</f>
        <v>89.242000000000004</v>
      </c>
      <c r="AU60">
        <f>IF(ISNUMBER(INDEX(Haver_M!$B$1:$ZN$1000,MATCH(data!$A60,Haver_M!$B$1:$B$1000,0),MATCH(data!AU$1,Haver_M!$B$1:$ZN$1,0))),INDEX(Haver_M!$B$1:$ZN$1000,MATCH(data!$A60,Haver_M!$B$1:$B$1000,0),MATCH(data!AU$1,Haver_M!$B$1:$ZN$1,0)),"na")</f>
        <v>84.721945000000005</v>
      </c>
      <c r="AV60">
        <f>IF(ISNUMBER(INDEX(Haver_M!$B$1:$ZN$1000,MATCH(data!$A60,Haver_M!$B$1:$B$1000,0),MATCH(data!AV$1,Haver_M!$B$1:$ZN$1,0))),INDEX(Haver_M!$B$1:$ZN$1000,MATCH(data!$A60,Haver_M!$B$1:$B$1000,0),MATCH(data!AV$1,Haver_M!$B$1:$ZN$1,0)),"na")</f>
        <v>77.099999999999994</v>
      </c>
      <c r="AW60">
        <f>IF(ISNUMBER(INDEX(Haver_M!$B$1:$ZN$1000,MATCH(data!$A60,Haver_M!$B$1:$B$1000,0),MATCH(data!AW$1,Haver_M!$B$1:$ZN$1,0))),INDEX(Haver_M!$B$1:$ZN$1000,MATCH(data!$A60,Haver_M!$B$1:$B$1000,0),MATCH(data!AW$1,Haver_M!$B$1:$ZN$1,0)),"na")</f>
        <v>948628.04148223426</v>
      </c>
      <c r="AX60">
        <f>IF(ISNUMBER(INDEX(Haver_M!$B$1:$ZN$1000,MATCH(data!$A60,Haver_M!$B$1:$B$1000,0),MATCH(data!AX$1,Haver_M!$B$1:$ZN$1,0))),INDEX(Haver_M!$B$1:$ZN$1000,MATCH(data!$A60,Haver_M!$B$1:$B$1000,0),MATCH(data!AX$1,Haver_M!$B$1:$ZN$1,0)),"na")</f>
        <v>3403</v>
      </c>
      <c r="AY60">
        <f>IF(ISNUMBER(INDEX(Haver_M!$B$1:$ZN$1000,MATCH(data!$A60,Haver_M!$B$1:$B$1000,0),MATCH(data!AY$1,Haver_M!$B$1:$ZN$1,0))),INDEX(Haver_M!$B$1:$ZN$1000,MATCH(data!$A60,Haver_M!$B$1:$B$1000,0),MATCH(data!AY$1,Haver_M!$B$1:$ZN$1,0)),"na")</f>
        <v>1950</v>
      </c>
      <c r="AZ60" t="str">
        <f>IF(ISNUMBER(INDEX(Haver_M!$B$1:$ZN$1000,MATCH(data!$A60,Haver_M!$B$1:$B$1000,0),MATCH(data!AZ$1,Haver_M!$B$1:$ZN$1,0))),INDEX(Haver_M!$B$1:$ZN$1000,MATCH(data!$A60,Haver_M!$B$1:$B$1000,0),MATCH(data!AZ$1,Haver_M!$B$1:$ZN$1,0)),"na")</f>
        <v>na</v>
      </c>
      <c r="BA60">
        <f>IF(ISNUMBER(INDEX(Haver_M!$B$1:$ZN$1000,MATCH(data!$A60,Haver_M!$B$1:$B$1000,0),MATCH(data!BA$1,Haver_M!$B$1:$ZN$1,0))),INDEX(Haver_M!$B$1:$ZN$1000,MATCH(data!$A60,Haver_M!$B$1:$B$1000,0),MATCH(data!BA$1,Haver_M!$B$1:$ZN$1,0)),"na")</f>
        <v>105.85602304932046</v>
      </c>
      <c r="BB60" t="str">
        <f>IF(ISNUMBER(INDEX(Haver_M!$B$1:$ZN$1000,MATCH(data!$A60,Haver_M!$B$1:$B$1000,0),MATCH(data!BB$1,Haver_M!$B$1:$ZN$1,0))),INDEX(Haver_M!$B$1:$ZN$1000,MATCH(data!$A60,Haver_M!$B$1:$B$1000,0),MATCH(data!BB$1,Haver_M!$B$1:$ZN$1,0)),"")</f>
        <v/>
      </c>
    </row>
    <row r="61" spans="1:54" x14ac:dyDescent="0.25">
      <c r="A61" s="2">
        <v>38352</v>
      </c>
      <c r="B61">
        <f>IF(ISNUMBER(INDEX(Haver_Q!$B$1:$BD$1000,MATCH(data!$A61,Haver_Q!$B$1:$B$1000,0),MATCH(data!B$1,Haver_Q!$B$1:$BD$1,0))),100*INDEX(Haver_Q!$B$1:$BD$1000,MATCH(data!$A61,Haver_Q!$B$1:$B$1000,0),MATCH(data!B$1,Haver_Q!$B$1:$BD$1,0)),"na")</f>
        <v>4.9896246472752592</v>
      </c>
      <c r="C61">
        <f>IF(ISNUMBER(INDEX(Haver_Q!$B$1:$BD$1000,MATCH(data!$A61,Haver_Q!$B$1:$B$1000,0),MATCH(data!C$1,Haver_Q!$B$1:$BD$1,0))),100*INDEX(Haver_Q!$B$1:$BD$1000,MATCH(data!$A61,Haver_Q!$B$1:$B$1000,0),MATCH(data!C$1,Haver_Q!$B$1:$BD$1,0)),"na")</f>
        <v>4.8709948972600614</v>
      </c>
      <c r="D61">
        <f>IF(ISNUMBER(INDEX(Haver_Q!$B$1:$BD$1000,MATCH(data!$A61,Haver_Q!$B$1:$B$1000,0),MATCH(data!D$1,Haver_Q!$B$1:$BD$1,0))),100*INDEX(Haver_Q!$B$1:$BD$1000,MATCH(data!$A61,Haver_Q!$B$1:$B$1000,0),MATCH(data!D$1,Haver_Q!$B$1:$BD$1,0)),"na")</f>
        <v>4.855622834041351</v>
      </c>
      <c r="E61">
        <f>IF(ISNUMBER(INDEX(Haver_Q!$B$1:$BD$1000,MATCH(data!$A61,Haver_Q!$B$1:$B$1000,0),MATCH(data!E$1,Haver_Q!$B$1:$BD$1,0))),100*INDEX(Haver_Q!$B$1:$BD$1000,MATCH(data!$A61,Haver_Q!$B$1:$B$1000,0),MATCH(data!E$1,Haver_Q!$B$1:$BD$1,0)),"na")</f>
        <v>11.549811855965796</v>
      </c>
      <c r="F61">
        <f>IF(ISNUMBER(INDEX(Haver_Q!$B$1:$BD$1000,MATCH(data!$A61,Haver_Q!$B$1:$B$1000,0),MATCH(data!F$1,Haver_Q!$B$1:$BD$1,0))),100*INDEX(Haver_Q!$B$1:$BD$1000,MATCH(data!$A61,Haver_Q!$B$1:$B$1000,0),MATCH(data!F$1,Haver_Q!$B$1:$BD$1,0)),"na")</f>
        <v>4.3872521148520693</v>
      </c>
      <c r="G61">
        <f>IF(ISNUMBER(INDEX(Haver_Q!$B$1:$BD$1000,MATCH(data!$A61,Haver_Q!$B$1:$B$1000,0),MATCH(data!G$1,Haver_Q!$B$1:$BD$1,0))),100*INDEX(Haver_Q!$B$1:$BD$1000,MATCH(data!$A61,Haver_Q!$B$1:$B$1000,0),MATCH(data!G$1,Haver_Q!$B$1:$BD$1,0)),"na")</f>
        <v>11.873971101646831</v>
      </c>
      <c r="H61">
        <f>IF(ISNUMBER(INDEX(Haver_Q!$B$1:$BD$1000,MATCH(data!$A61,Haver_Q!$B$1:$B$1000,0),MATCH(data!H$1,Haver_Q!$B$1:$BD$1,0))),100*INDEX(Haver_Q!$B$1:$BD$1000,MATCH(data!$A61,Haver_Q!$B$1:$B$1000,0),MATCH(data!H$1,Haver_Q!$B$1:$BD$1,0)),"na")</f>
        <v>385.15878041264602</v>
      </c>
      <c r="I61" s="3">
        <f>IF(ISNUMBER(Bloomberg_m!C77),Bloomberg_m!C77,"na")</f>
        <v>5519</v>
      </c>
      <c r="J61" s="3" t="str">
        <f>IF(ISNUMBER(Bloomberg_m!D77),Bloomberg_m!D77,"na")</f>
        <v>na</v>
      </c>
      <c r="K61" s="3" t="str">
        <f>IF(ISNUMBER(Bloomberg_m!E77),Bloomberg_m!E77,"na")</f>
        <v>na</v>
      </c>
      <c r="L61" s="3">
        <f>IF(ISNUMBER(Bloomberg_m!L77),Bloomberg_m!L77,"na")</f>
        <v>43.23</v>
      </c>
      <c r="M61" t="str">
        <f>IF(ISNUMBER(INDEX(Haver_M!$B$1:$ZN$1000,MATCH(data!$A61,Haver_M!$B$1:$B$1000,0),MATCH(data!M$1,Haver_M!$B$1:$ZN$1,0))),INDEX(Haver_M!$B$1:$ZN$1000,MATCH(data!$A61,Haver_M!$B$1:$B$1000,0),MATCH(data!M$1,Haver_M!$B$1:$ZN$1,0)),"na")</f>
        <v>na</v>
      </c>
      <c r="N61" t="str">
        <f>IF(ISNUMBER(INDEX(Haver_M!$B$1:$ZN$1000,MATCH(data!$A61,Haver_M!$B$1:$B$1000,0),MATCH(data!N$1,Haver_M!$B$1:$ZN$1,0))),INDEX(Haver_M!$B$1:$ZN$1000,MATCH(data!$A61,Haver_M!$B$1:$B$1000,0),MATCH(data!N$1,Haver_M!$B$1:$ZN$1,0)),"na")</f>
        <v>na</v>
      </c>
      <c r="O61">
        <f>IF(ISNUMBER(INDEX(Haver_M!$B$1:$ZN$1000,MATCH(data!$A61,Haver_M!$B$1:$B$1000,0),MATCH(data!O$1,Haver_M!$B$1:$ZN$1,0))),INDEX(Haver_M!$B$1:$ZN$1000,MATCH(data!$A61,Haver_M!$B$1:$B$1000,0),MATCH(data!O$1,Haver_M!$B$1:$ZN$1,0)),"na")</f>
        <v>107.58665000000001</v>
      </c>
      <c r="P61">
        <f>IF(ISNUMBER(INDEX(Haver_M!$B$1:$ZN$1000,MATCH(data!$A61,Haver_M!$B$1:$B$1000,0),MATCH(data!P$1,Haver_M!$B$1:$ZN$1,0))),INDEX(Haver_M!$B$1:$ZN$1000,MATCH(data!$A61,Haver_M!$B$1:$B$1000,0),MATCH(data!P$1,Haver_M!$B$1:$ZN$1,0)),"na")</f>
        <v>58.100700000000003</v>
      </c>
      <c r="Q61">
        <f>IF(ISNUMBER(INDEX(Haver_M!$B$1:$ZN$1000,MATCH(data!$A61,Haver_M!$B$1:$B$1000,0),MATCH(data!Q$1,Haver_M!$B$1:$ZN$1,0))),INDEX(Haver_M!$B$1:$ZN$1000,MATCH(data!$A61,Haver_M!$B$1:$B$1000,0),MATCH(data!Q$1,Haver_M!$B$1:$ZN$1,0)),"na")</f>
        <v>61.7973</v>
      </c>
      <c r="R61">
        <f>IF(ISNUMBER(INDEX(Haver_M!$B$1:$ZN$1000,MATCH(data!$A61,Haver_M!$B$1:$B$1000,0),MATCH(data!R$1,Haver_M!$B$1:$ZN$1,0))),INDEX(Haver_M!$B$1:$ZN$1000,MATCH(data!$A61,Haver_M!$B$1:$B$1000,0),MATCH(data!R$1,Haver_M!$B$1:$ZN$1,0)),"na")</f>
        <v>92.799000000000007</v>
      </c>
      <c r="S61">
        <f>IF(ISNUMBER(INDEX(Haver_M!$B$1:$ZN$1000,MATCH(data!$A61,Haver_M!$B$1:$B$1000,0),MATCH(data!S$1,Haver_M!$B$1:$ZN$1,0))),INDEX(Haver_M!$B$1:$ZN$1000,MATCH(data!$A61,Haver_M!$B$1:$B$1000,0),MATCH(data!S$1,Haver_M!$B$1:$ZN$1,0)),"na")</f>
        <v>108.5986</v>
      </c>
      <c r="T61">
        <f>IF(ISNUMBER(INDEX(Haver_M!$B$1:$ZN$1000,MATCH(data!$A61,Haver_M!$B$1:$B$1000,0),MATCH(data!T$1,Haver_M!$B$1:$ZN$1,0))),INDEX(Haver_M!$B$1:$ZN$1000,MATCH(data!$A61,Haver_M!$B$1:$B$1000,0),MATCH(data!T$1,Haver_M!$B$1:$ZN$1,0)),"na")</f>
        <v>68.946899999999999</v>
      </c>
      <c r="U61">
        <f>IF(ISNUMBER(INDEX(Haver_M!$B$1:$ZN$1000,MATCH(data!$A61,Haver_M!$B$1:$B$1000,0),MATCH(data!U$1,Haver_M!$B$1:$ZN$1,0))),INDEX(Haver_M!$B$1:$ZN$1000,MATCH(data!$A61,Haver_M!$B$1:$B$1000,0),MATCH(data!U$1,Haver_M!$B$1:$ZN$1,0)),"na")</f>
        <v>83.496600000000001</v>
      </c>
      <c r="V61">
        <f>IF(ISNUMBER(INDEX(Haver_M!$B$1:$ZN$1000,MATCH(data!$A61,Haver_M!$B$1:$B$1000,0),MATCH(data!V$1,Haver_M!$B$1:$ZN$1,0))),INDEX(Haver_M!$B$1:$ZN$1000,MATCH(data!$A61,Haver_M!$B$1:$B$1000,0),MATCH(data!V$1,Haver_M!$B$1:$ZN$1,0)),"na")</f>
        <v>90.953000000000003</v>
      </c>
      <c r="W61">
        <f>IF(ISNUMBER(INDEX(Haver_M!$B$1:$ZN$1000,MATCH(data!$A61,Haver_M!$B$1:$B$1000,0),MATCH(data!W$1,Haver_M!$B$1:$ZN$1,0))),INDEX(Haver_M!$B$1:$ZN$1000,MATCH(data!$A61,Haver_M!$B$1:$B$1000,0),MATCH(data!W$1,Haver_M!$B$1:$ZN$1,0)),"na")</f>
        <v>3.93</v>
      </c>
      <c r="X61" t="str">
        <f>IF(ISNUMBER(INDEX(Haver_M!$B$1:$ZN$1000,MATCH(data!$A61,Haver_M!$B$1:$B$1000,0),MATCH(data!X$1,Haver_M!$B$1:$ZN$1,0))),INDEX(Haver_M!$B$1:$ZN$1000,MATCH(data!$A61,Haver_M!$B$1:$B$1000,0),MATCH(data!X$1,Haver_M!$B$1:$ZN$1,0)),"na")</f>
        <v>na</v>
      </c>
      <c r="Y61">
        <f>IF(ISNUMBER(INDEX(Haver_M!$B$1:$ZN$1000,MATCH(data!$A61,Haver_M!$B$1:$B$1000,0),MATCH(data!Y$1,Haver_M!$B$1:$ZN$1,0))),INDEX(Haver_M!$B$1:$ZN$1000,MATCH(data!$A61,Haver_M!$B$1:$B$1000,0),MATCH(data!Y$1,Haver_M!$B$1:$ZN$1,0)),"na")</f>
        <v>99.92</v>
      </c>
      <c r="Z61">
        <f>IF(ISNUMBER(INDEX(Haver_M!$B$1:$ZN$1000,MATCH(data!$A61,Haver_M!$B$1:$B$1000,0),MATCH(data!Z$1,Haver_M!$B$1:$ZN$1,0))),INDEX(Haver_M!$B$1:$ZN$1000,MATCH(data!$A61,Haver_M!$B$1:$B$1000,0),MATCH(data!Z$1,Haver_M!$B$1:$ZN$1,0)),"na")</f>
        <v>91.336399999999998</v>
      </c>
      <c r="AA61" t="str">
        <f>IF(ISNUMBER(INDEX(Haver_M!$B$1:$ZN$1000,MATCH(data!$A61,Haver_M!$B$1:$B$1000,0),MATCH(data!AA$1,Haver_M!$B$1:$ZN$1,0))),INDEX(Haver_M!$B$1:$ZN$1000,MATCH(data!$A61,Haver_M!$B$1:$B$1000,0),MATCH(data!AA$1,Haver_M!$B$1:$ZN$1,0)),"na")</f>
        <v>na</v>
      </c>
      <c r="AB61">
        <f>IF(ISNUMBER(INDEX(Haver_M!$B$1:$ZN$1000,MATCH(data!$A61,Haver_M!$B$1:$B$1000,0),MATCH(data!AB$1,Haver_M!$B$1:$ZN$1,0))),INDEX(Haver_M!$B$1:$ZN$1000,MATCH(data!$A61,Haver_M!$B$1:$B$1000,0),MATCH(data!AB$1,Haver_M!$B$1:$ZN$1,0)),"na")</f>
        <v>15755.7</v>
      </c>
      <c r="AC61">
        <f>IF(ISNUMBER(INDEX(Haver_M!$B$1:$ZN$1000,MATCH(data!$A61,Haver_M!$B$1:$B$1000,0),MATCH(data!AC$1,Haver_M!$B$1:$ZN$1,0))),INDEX(Haver_M!$B$1:$ZN$1000,MATCH(data!$A61,Haver_M!$B$1:$B$1000,0),MATCH(data!AC$1,Haver_M!$B$1:$ZN$1,0)),"na")</f>
        <v>17328.900000000001</v>
      </c>
      <c r="AD61">
        <f>IF(ISNUMBER(INDEX(Haver_M!$B$1:$ZN$1000,MATCH(data!$A61,Haver_M!$B$1:$B$1000,0),MATCH(data!AD$1,Haver_M!$B$1:$ZN$1,0))),INDEX(Haver_M!$B$1:$ZN$1000,MATCH(data!$A61,Haver_M!$B$1:$B$1000,0),MATCH(data!AD$1,Haver_M!$B$1:$ZN$1,0)),"na")</f>
        <v>99.51</v>
      </c>
      <c r="AE61">
        <f>IF(ISNUMBER(INDEX(Haver_M!$B$1:$ZN$1000,MATCH(data!$A61,Haver_M!$B$1:$B$1000,0),MATCH(data!AE$1,Haver_M!$B$1:$ZN$1,0))),INDEX(Haver_M!$B$1:$ZN$1000,MATCH(data!$A61,Haver_M!$B$1:$B$1000,0),MATCH(data!AE$1,Haver_M!$B$1:$ZN$1,0)),"na")</f>
        <v>41.1</v>
      </c>
      <c r="AF61">
        <f>IF(ISNUMBER(INDEX(Haver_M!$B$1:$ZN$1000,MATCH(data!$A61,Haver_M!$B$1:$B$1000,0),MATCH(data!AF$1,Haver_M!$B$1:$ZN$1,0))),INDEX(Haver_M!$B$1:$ZN$1000,MATCH(data!$A61,Haver_M!$B$1:$B$1000,0),MATCH(data!AF$1,Haver_M!$B$1:$ZN$1,0)),"na")</f>
        <v>99.91</v>
      </c>
      <c r="AG61" t="str">
        <f>IF(ISNUMBER(INDEX(Haver_M!$B$1:$ZN$1000,MATCH(data!$A61,Haver_M!$B$1:$B$1000,0),MATCH(data!AG$1,Haver_M!$B$1:$ZN$1,0))),INDEX(Haver_M!$B$1:$ZN$1000,MATCH(data!$A61,Haver_M!$B$1:$B$1000,0),MATCH(data!AG$1,Haver_M!$B$1:$ZN$1,0)),"na")</f>
        <v>na</v>
      </c>
      <c r="AH61" t="str">
        <f>IF(ISNUMBER(INDEX(Haver_M!$B$1:$ZN$1000,MATCH(data!$A61,Haver_M!$B$1:$B$1000,0),MATCH(data!AH$1,Haver_M!$B$1:$ZN$1,0))),INDEX(Haver_M!$B$1:$ZN$1000,MATCH(data!$A61,Haver_M!$B$1:$B$1000,0),MATCH(data!AH$1,Haver_M!$B$1:$ZN$1,0)),"na")</f>
        <v>na</v>
      </c>
      <c r="AI61" t="str">
        <f>IF(ISNUMBER(INDEX(Haver_M!$B$1:$ZN$1000,MATCH(data!$A61,Haver_M!$B$1:$B$1000,0),MATCH(data!AI$1,Haver_M!$B$1:$ZN$1,0))),INDEX(Haver_M!$B$1:$ZN$1000,MATCH(data!$A61,Haver_M!$B$1:$B$1000,0),MATCH(data!AI$1,Haver_M!$B$1:$ZN$1,0)),"na")</f>
        <v>na</v>
      </c>
      <c r="AJ61" t="str">
        <f>IF(ISNUMBER(INDEX(Haver_M!$B$1:$ZN$1000,MATCH(data!$A61,Haver_M!$B$1:$B$1000,0),MATCH(data!AJ$1,Haver_M!$B$1:$ZN$1,0))),INDEX(Haver_M!$B$1:$ZN$1000,MATCH(data!$A61,Haver_M!$B$1:$B$1000,0),MATCH(data!AJ$1,Haver_M!$B$1:$ZN$1,0)),"na")</f>
        <v>na</v>
      </c>
      <c r="AK61" t="str">
        <f>IF(ISNUMBER(INDEX(Haver_M!$B$1:$ZN$1000,MATCH(data!$A61,Haver_M!$B$1:$B$1000,0),MATCH(data!AK$1,Haver_M!$B$1:$ZN$1,0))),INDEX(Haver_M!$B$1:$ZN$1000,MATCH(data!$A61,Haver_M!$B$1:$B$1000,0),MATCH(data!AK$1,Haver_M!$B$1:$ZN$1,0)),"na")</f>
        <v>na</v>
      </c>
      <c r="AL61" t="str">
        <f>IF(ISNUMBER(INDEX(Haver_M!$B$1:$ZN$1000,MATCH(data!$A61,Haver_M!$B$1:$B$1000,0),MATCH(data!AL$1,Haver_M!$B$1:$ZN$1,0))),INDEX(Haver_M!$B$1:$ZN$1000,MATCH(data!$A61,Haver_M!$B$1:$B$1000,0),MATCH(data!AL$1,Haver_M!$B$1:$ZN$1,0)),"na")</f>
        <v>na</v>
      </c>
      <c r="AM61" t="str">
        <f>IF(ISNUMBER(INDEX(Haver_M!$B$1:$ZN$1000,MATCH(data!$A61,Haver_M!$B$1:$B$1000,0),MATCH(data!AM$1,Haver_M!$B$1:$ZN$1,0))),INDEX(Haver_M!$B$1:$ZN$1000,MATCH(data!$A61,Haver_M!$B$1:$B$1000,0),MATCH(data!AM$1,Haver_M!$B$1:$ZN$1,0)),"na")</f>
        <v>na</v>
      </c>
      <c r="AN61" t="str">
        <f>IF(ISNUMBER(INDEX(Haver_M!$B$1:$ZN$1000,MATCH(data!$A61,Haver_M!$B$1:$B$1000,0),MATCH(data!AN$1,Haver_M!$B$1:$ZN$1,0))),INDEX(Haver_M!$B$1:$ZN$1000,MATCH(data!$A61,Haver_M!$B$1:$B$1000,0),MATCH(data!AN$1,Haver_M!$B$1:$ZN$1,0)),"na")</f>
        <v>na</v>
      </c>
      <c r="AO61" t="str">
        <f>IF(ISNUMBER(INDEX(Haver_M!$B$1:$ZN$1000,MATCH(data!$A61,Haver_M!$B$1:$B$1000,0),MATCH(data!AO$1,Haver_M!$B$1:$ZN$1,0))),INDEX(Haver_M!$B$1:$ZN$1000,MATCH(data!$A61,Haver_M!$B$1:$B$1000,0),MATCH(data!AO$1,Haver_M!$B$1:$ZN$1,0)),"na")</f>
        <v>na</v>
      </c>
      <c r="AP61" t="str">
        <f>IF(ISNUMBER(INDEX(Haver_M!$B$1:$ZN$1000,MATCH(data!$A61,Haver_M!$B$1:$B$1000,0),MATCH(data!AP$1,Haver_M!$B$1:$ZN$1,0))),INDEX(Haver_M!$B$1:$ZN$1000,MATCH(data!$A61,Haver_M!$B$1:$B$1000,0),MATCH(data!AP$1,Haver_M!$B$1:$ZN$1,0)),"na")</f>
        <v>na</v>
      </c>
      <c r="AQ61" t="str">
        <f>IF(ISNUMBER(INDEX(Haver_M!$B$1:$ZN$1000,MATCH(data!$A61,Haver_M!$B$1:$B$1000,0),MATCH(data!AQ$1,Haver_M!$B$1:$ZN$1,0))),INDEX(Haver_M!$B$1:$ZN$1000,MATCH(data!$A61,Haver_M!$B$1:$B$1000,0),MATCH(data!AQ$1,Haver_M!$B$1:$ZN$1,0)),"na")</f>
        <v>na</v>
      </c>
      <c r="AR61" t="str">
        <f>IF(ISNUMBER(INDEX(Haver_M!$B$1:$ZN$1000,MATCH(data!$A61,Haver_M!$B$1:$B$1000,0),MATCH(data!AR$1,Haver_M!$B$1:$ZN$1,0))),INDEX(Haver_M!$B$1:$ZN$1000,MATCH(data!$A61,Haver_M!$B$1:$B$1000,0),MATCH(data!AR$1,Haver_M!$B$1:$ZN$1,0)),"na")</f>
        <v>na</v>
      </c>
      <c r="AS61">
        <f>IF(ISNUMBER(INDEX(Haver_M!$B$1:$ZN$1000,MATCH(data!$A61,Haver_M!$B$1:$B$1000,0),MATCH(data!AS$1,Haver_M!$B$1:$ZN$1,0))),INDEX(Haver_M!$B$1:$ZN$1000,MATCH(data!$A61,Haver_M!$B$1:$B$1000,0),MATCH(data!AS$1,Haver_M!$B$1:$ZN$1,0)),"na")</f>
        <v>12503.79</v>
      </c>
      <c r="AT61">
        <f>IF(ISNUMBER(INDEX(Haver_M!$B$1:$ZN$1000,MATCH(data!$A61,Haver_M!$B$1:$B$1000,0),MATCH(data!AT$1,Haver_M!$B$1:$ZN$1,0))),INDEX(Haver_M!$B$1:$ZN$1000,MATCH(data!$A61,Haver_M!$B$1:$B$1000,0),MATCH(data!AT$1,Haver_M!$B$1:$ZN$1,0)),"na")</f>
        <v>89.206999999999994</v>
      </c>
      <c r="AU61">
        <f>IF(ISNUMBER(INDEX(Haver_M!$B$1:$ZN$1000,MATCH(data!$A61,Haver_M!$B$1:$B$1000,0),MATCH(data!AU$1,Haver_M!$B$1:$ZN$1,0))),INDEX(Haver_M!$B$1:$ZN$1000,MATCH(data!$A61,Haver_M!$B$1:$B$1000,0),MATCH(data!AU$1,Haver_M!$B$1:$ZN$1,0)),"na")</f>
        <v>84.418443999999994</v>
      </c>
      <c r="AV61">
        <f>IF(ISNUMBER(INDEX(Haver_M!$B$1:$ZN$1000,MATCH(data!$A61,Haver_M!$B$1:$B$1000,0),MATCH(data!AV$1,Haver_M!$B$1:$ZN$1,0))),INDEX(Haver_M!$B$1:$ZN$1000,MATCH(data!$A61,Haver_M!$B$1:$B$1000,0),MATCH(data!AV$1,Haver_M!$B$1:$ZN$1,0)),"na")</f>
        <v>77</v>
      </c>
      <c r="AW61">
        <f>IF(ISNUMBER(INDEX(Haver_M!$B$1:$ZN$1000,MATCH(data!$A61,Haver_M!$B$1:$B$1000,0),MATCH(data!AW$1,Haver_M!$B$1:$ZN$1,0))),INDEX(Haver_M!$B$1:$ZN$1000,MATCH(data!$A61,Haver_M!$B$1:$B$1000,0),MATCH(data!AW$1,Haver_M!$B$1:$ZN$1,0)),"na")</f>
        <v>982947.35491117998</v>
      </c>
      <c r="AX61">
        <f>IF(ISNUMBER(INDEX(Haver_M!$B$1:$ZN$1000,MATCH(data!$A61,Haver_M!$B$1:$B$1000,0),MATCH(data!AX$1,Haver_M!$B$1:$ZN$1,0))),INDEX(Haver_M!$B$1:$ZN$1000,MATCH(data!$A61,Haver_M!$B$1:$B$1000,0),MATCH(data!AX$1,Haver_M!$B$1:$ZN$1,0)),"na")</f>
        <v>3194</v>
      </c>
      <c r="AY61">
        <f>IF(ISNUMBER(INDEX(Haver_M!$B$1:$ZN$1000,MATCH(data!$A61,Haver_M!$B$1:$B$1000,0),MATCH(data!AY$1,Haver_M!$B$1:$ZN$1,0))),INDEX(Haver_M!$B$1:$ZN$1000,MATCH(data!$A61,Haver_M!$B$1:$B$1000,0),MATCH(data!AY$1,Haver_M!$B$1:$ZN$1,0)),"na")</f>
        <v>1974</v>
      </c>
      <c r="AZ61" t="str">
        <f>IF(ISNUMBER(INDEX(Haver_M!$B$1:$ZN$1000,MATCH(data!$A61,Haver_M!$B$1:$B$1000,0),MATCH(data!AZ$1,Haver_M!$B$1:$ZN$1,0))),INDEX(Haver_M!$B$1:$ZN$1000,MATCH(data!$A61,Haver_M!$B$1:$B$1000,0),MATCH(data!AZ$1,Haver_M!$B$1:$ZN$1,0)),"na")</f>
        <v>na</v>
      </c>
      <c r="BA61">
        <f>IF(ISNUMBER(INDEX(Haver_M!$B$1:$ZN$1000,MATCH(data!$A61,Haver_M!$B$1:$B$1000,0),MATCH(data!BA$1,Haver_M!$B$1:$ZN$1,0))),INDEX(Haver_M!$B$1:$ZN$1000,MATCH(data!$A61,Haver_M!$B$1:$B$1000,0),MATCH(data!BA$1,Haver_M!$B$1:$ZN$1,0)),"na")</f>
        <v>106.4569778024923</v>
      </c>
      <c r="BB61" t="str">
        <f>IF(ISNUMBER(INDEX(Haver_M!$B$1:$ZN$1000,MATCH(data!$A61,Haver_M!$B$1:$B$1000,0),MATCH(data!BB$1,Haver_M!$B$1:$ZN$1,0))),INDEX(Haver_M!$B$1:$ZN$1000,MATCH(data!$A61,Haver_M!$B$1:$B$1000,0),MATCH(data!BB$1,Haver_M!$B$1:$ZN$1,0)),"")</f>
        <v/>
      </c>
    </row>
    <row r="62" spans="1:54" x14ac:dyDescent="0.25">
      <c r="A62" s="2">
        <v>38383</v>
      </c>
      <c r="B62" t="str">
        <f>IF(ISNUMBER(INDEX(Haver_Q!$B$1:$BD$1000,MATCH(data!$A62,Haver_Q!$B$1:$B$1000,0),MATCH(data!B$1,Haver_Q!$B$1:$BD$1,0))),100*INDEX(Haver_Q!$B$1:$BD$1000,MATCH(data!$A62,Haver_Q!$B$1:$B$1000,0),MATCH(data!B$1,Haver_Q!$B$1:$BD$1,0)),"na")</f>
        <v>na</v>
      </c>
      <c r="C62" t="str">
        <f>IF(ISNUMBER(INDEX(Haver_Q!$B$1:$BD$1000,MATCH(data!$A62,Haver_Q!$B$1:$B$1000,0),MATCH(data!C$1,Haver_Q!$B$1:$BD$1,0))),100*INDEX(Haver_Q!$B$1:$BD$1000,MATCH(data!$A62,Haver_Q!$B$1:$B$1000,0),MATCH(data!C$1,Haver_Q!$B$1:$BD$1,0)),"na")</f>
        <v>na</v>
      </c>
      <c r="D62" t="str">
        <f>IF(ISNUMBER(INDEX(Haver_Q!$B$1:$BD$1000,MATCH(data!$A62,Haver_Q!$B$1:$B$1000,0),MATCH(data!D$1,Haver_Q!$B$1:$BD$1,0))),100*INDEX(Haver_Q!$B$1:$BD$1000,MATCH(data!$A62,Haver_Q!$B$1:$B$1000,0),MATCH(data!D$1,Haver_Q!$B$1:$BD$1,0)),"na")</f>
        <v>na</v>
      </c>
      <c r="E62" t="str">
        <f>IF(ISNUMBER(INDEX(Haver_Q!$B$1:$BD$1000,MATCH(data!$A62,Haver_Q!$B$1:$B$1000,0),MATCH(data!E$1,Haver_Q!$B$1:$BD$1,0))),100*INDEX(Haver_Q!$B$1:$BD$1000,MATCH(data!$A62,Haver_Q!$B$1:$B$1000,0),MATCH(data!E$1,Haver_Q!$B$1:$BD$1,0)),"na")</f>
        <v>na</v>
      </c>
      <c r="F62" t="str">
        <f>IF(ISNUMBER(INDEX(Haver_Q!$B$1:$BD$1000,MATCH(data!$A62,Haver_Q!$B$1:$B$1000,0),MATCH(data!F$1,Haver_Q!$B$1:$BD$1,0))),100*INDEX(Haver_Q!$B$1:$BD$1000,MATCH(data!$A62,Haver_Q!$B$1:$B$1000,0),MATCH(data!F$1,Haver_Q!$B$1:$BD$1,0)),"na")</f>
        <v>na</v>
      </c>
      <c r="G62" t="str">
        <f>IF(ISNUMBER(INDEX(Haver_Q!$B$1:$BD$1000,MATCH(data!$A62,Haver_Q!$B$1:$B$1000,0),MATCH(data!G$1,Haver_Q!$B$1:$BD$1,0))),100*INDEX(Haver_Q!$B$1:$BD$1000,MATCH(data!$A62,Haver_Q!$B$1:$B$1000,0),MATCH(data!G$1,Haver_Q!$B$1:$BD$1,0)),"na")</f>
        <v>na</v>
      </c>
      <c r="H62" t="str">
        <f>IF(ISNUMBER(INDEX(Haver_Q!$B$1:$BD$1000,MATCH(data!$A62,Haver_Q!$B$1:$B$1000,0),MATCH(data!H$1,Haver_Q!$B$1:$BD$1,0))),100*INDEX(Haver_Q!$B$1:$BD$1000,MATCH(data!$A62,Haver_Q!$B$1:$B$1000,0),MATCH(data!H$1,Haver_Q!$B$1:$BD$1,0)),"na")</f>
        <v>na</v>
      </c>
      <c r="I62" s="3">
        <f>IF(ISNUMBER(Bloomberg_m!C78),Bloomberg_m!C78,"na")</f>
        <v>4502</v>
      </c>
      <c r="J62" s="3" t="str">
        <f>IF(ISNUMBER(Bloomberg_m!D78),Bloomberg_m!D78,"na")</f>
        <v>na</v>
      </c>
      <c r="K62" s="3" t="str">
        <f>IF(ISNUMBER(Bloomberg_m!E78),Bloomberg_m!E78,"na")</f>
        <v>na</v>
      </c>
      <c r="L62" s="3">
        <f>IF(ISNUMBER(Bloomberg_m!L78),Bloomberg_m!L78,"na")</f>
        <v>46.82</v>
      </c>
      <c r="M62" t="str">
        <f>IF(ISNUMBER(INDEX(Haver_M!$B$1:$ZN$1000,MATCH(data!$A62,Haver_M!$B$1:$B$1000,0),MATCH(data!M$1,Haver_M!$B$1:$ZN$1,0))),INDEX(Haver_M!$B$1:$ZN$1000,MATCH(data!$A62,Haver_M!$B$1:$B$1000,0),MATCH(data!M$1,Haver_M!$B$1:$ZN$1,0)),"na")</f>
        <v>na</v>
      </c>
      <c r="N62" t="str">
        <f>IF(ISNUMBER(INDEX(Haver_M!$B$1:$ZN$1000,MATCH(data!$A62,Haver_M!$B$1:$B$1000,0),MATCH(data!N$1,Haver_M!$B$1:$ZN$1,0))),INDEX(Haver_M!$B$1:$ZN$1000,MATCH(data!$A62,Haver_M!$B$1:$B$1000,0),MATCH(data!N$1,Haver_M!$B$1:$ZN$1,0)),"na")</f>
        <v>na</v>
      </c>
      <c r="O62">
        <f>IF(ISNUMBER(INDEX(Haver_M!$B$1:$ZN$1000,MATCH(data!$A62,Haver_M!$B$1:$B$1000,0),MATCH(data!O$1,Haver_M!$B$1:$ZN$1,0))),INDEX(Haver_M!$B$1:$ZN$1000,MATCH(data!$A62,Haver_M!$B$1:$B$1000,0),MATCH(data!O$1,Haver_M!$B$1:$ZN$1,0)),"na")</f>
        <v>107.14464</v>
      </c>
      <c r="P62">
        <f>IF(ISNUMBER(INDEX(Haver_M!$B$1:$ZN$1000,MATCH(data!$A62,Haver_M!$B$1:$B$1000,0),MATCH(data!P$1,Haver_M!$B$1:$ZN$1,0))),INDEX(Haver_M!$B$1:$ZN$1000,MATCH(data!$A62,Haver_M!$B$1:$B$1000,0),MATCH(data!P$1,Haver_M!$B$1:$ZN$1,0)),"na")</f>
        <v>58.039900000000003</v>
      </c>
      <c r="Q62">
        <f>IF(ISNUMBER(INDEX(Haver_M!$B$1:$ZN$1000,MATCH(data!$A62,Haver_M!$B$1:$B$1000,0),MATCH(data!Q$1,Haver_M!$B$1:$ZN$1,0))),INDEX(Haver_M!$B$1:$ZN$1000,MATCH(data!$A62,Haver_M!$B$1:$B$1000,0),MATCH(data!Q$1,Haver_M!$B$1:$ZN$1,0)),"na")</f>
        <v>61.970199999999998</v>
      </c>
      <c r="R62">
        <f>IF(ISNUMBER(INDEX(Haver_M!$B$1:$ZN$1000,MATCH(data!$A62,Haver_M!$B$1:$B$1000,0),MATCH(data!R$1,Haver_M!$B$1:$ZN$1,0))),INDEX(Haver_M!$B$1:$ZN$1000,MATCH(data!$A62,Haver_M!$B$1:$B$1000,0),MATCH(data!R$1,Haver_M!$B$1:$ZN$1,0)),"na")</f>
        <v>93.354900000000001</v>
      </c>
      <c r="S62">
        <f>IF(ISNUMBER(INDEX(Haver_M!$B$1:$ZN$1000,MATCH(data!$A62,Haver_M!$B$1:$B$1000,0),MATCH(data!S$1,Haver_M!$B$1:$ZN$1,0))),INDEX(Haver_M!$B$1:$ZN$1000,MATCH(data!$A62,Haver_M!$B$1:$B$1000,0),MATCH(data!S$1,Haver_M!$B$1:$ZN$1,0)),"na")</f>
        <v>113.242</v>
      </c>
      <c r="T62">
        <f>IF(ISNUMBER(INDEX(Haver_M!$B$1:$ZN$1000,MATCH(data!$A62,Haver_M!$B$1:$B$1000,0),MATCH(data!T$1,Haver_M!$B$1:$ZN$1,0))),INDEX(Haver_M!$B$1:$ZN$1000,MATCH(data!$A62,Haver_M!$B$1:$B$1000,0),MATCH(data!T$1,Haver_M!$B$1:$ZN$1,0)),"na")</f>
        <v>70.991699999999994</v>
      </c>
      <c r="U62">
        <f>IF(ISNUMBER(INDEX(Haver_M!$B$1:$ZN$1000,MATCH(data!$A62,Haver_M!$B$1:$B$1000,0),MATCH(data!U$1,Haver_M!$B$1:$ZN$1,0))),INDEX(Haver_M!$B$1:$ZN$1000,MATCH(data!$A62,Haver_M!$B$1:$B$1000,0),MATCH(data!U$1,Haver_M!$B$1:$ZN$1,0)),"na")</f>
        <v>88.370500000000007</v>
      </c>
      <c r="V62">
        <f>IF(ISNUMBER(INDEX(Haver_M!$B$1:$ZN$1000,MATCH(data!$A62,Haver_M!$B$1:$B$1000,0),MATCH(data!V$1,Haver_M!$B$1:$ZN$1,0))),INDEX(Haver_M!$B$1:$ZN$1000,MATCH(data!$A62,Haver_M!$B$1:$B$1000,0),MATCH(data!V$1,Haver_M!$B$1:$ZN$1,0)),"na")</f>
        <v>90.139200000000002</v>
      </c>
      <c r="W62">
        <f>IF(ISNUMBER(INDEX(Haver_M!$B$1:$ZN$1000,MATCH(data!$A62,Haver_M!$B$1:$B$1000,0),MATCH(data!W$1,Haver_M!$B$1:$ZN$1,0))),INDEX(Haver_M!$B$1:$ZN$1000,MATCH(data!$A62,Haver_M!$B$1:$B$1000,0),MATCH(data!W$1,Haver_M!$B$1:$ZN$1,0)),"na")</f>
        <v>3.99</v>
      </c>
      <c r="X62" t="str">
        <f>IF(ISNUMBER(INDEX(Haver_M!$B$1:$ZN$1000,MATCH(data!$A62,Haver_M!$B$1:$B$1000,0),MATCH(data!X$1,Haver_M!$B$1:$ZN$1,0))),INDEX(Haver_M!$B$1:$ZN$1000,MATCH(data!$A62,Haver_M!$B$1:$B$1000,0),MATCH(data!X$1,Haver_M!$B$1:$ZN$1,0)),"na")</f>
        <v>na</v>
      </c>
      <c r="Y62">
        <f>IF(ISNUMBER(INDEX(Haver_M!$B$1:$ZN$1000,MATCH(data!$A62,Haver_M!$B$1:$B$1000,0),MATCH(data!Y$1,Haver_M!$B$1:$ZN$1,0))),INDEX(Haver_M!$B$1:$ZN$1000,MATCH(data!$A62,Haver_M!$B$1:$B$1000,0),MATCH(data!Y$1,Haver_M!$B$1:$ZN$1,0)),"na")</f>
        <v>99.91</v>
      </c>
      <c r="Z62">
        <f>IF(ISNUMBER(INDEX(Haver_M!$B$1:$ZN$1000,MATCH(data!$A62,Haver_M!$B$1:$B$1000,0),MATCH(data!Z$1,Haver_M!$B$1:$ZN$1,0))),INDEX(Haver_M!$B$1:$ZN$1000,MATCH(data!$A62,Haver_M!$B$1:$B$1000,0),MATCH(data!Z$1,Haver_M!$B$1:$ZN$1,0)),"na")</f>
        <v>91.828800000000001</v>
      </c>
      <c r="AA62" t="str">
        <f>IF(ISNUMBER(INDEX(Haver_M!$B$1:$ZN$1000,MATCH(data!$A62,Haver_M!$B$1:$B$1000,0),MATCH(data!AA$1,Haver_M!$B$1:$ZN$1,0))),INDEX(Haver_M!$B$1:$ZN$1000,MATCH(data!$A62,Haver_M!$B$1:$B$1000,0),MATCH(data!AA$1,Haver_M!$B$1:$ZN$1,0)),"na")</f>
        <v>na</v>
      </c>
      <c r="AB62">
        <f>IF(ISNUMBER(INDEX(Haver_M!$B$1:$ZN$1000,MATCH(data!$A62,Haver_M!$B$1:$B$1000,0),MATCH(data!AB$1,Haver_M!$B$1:$ZN$1,0))),INDEX(Haver_M!$B$1:$ZN$1000,MATCH(data!$A62,Haver_M!$B$1:$B$1000,0),MATCH(data!AB$1,Haver_M!$B$1:$ZN$1,0)),"na")</f>
        <v>16364.9</v>
      </c>
      <c r="AC62">
        <f>IF(ISNUMBER(INDEX(Haver_M!$B$1:$ZN$1000,MATCH(data!$A62,Haver_M!$B$1:$B$1000,0),MATCH(data!AC$1,Haver_M!$B$1:$ZN$1,0))),INDEX(Haver_M!$B$1:$ZN$1000,MATCH(data!$A62,Haver_M!$B$1:$B$1000,0),MATCH(data!AC$1,Haver_M!$B$1:$ZN$1,0)),"na")</f>
        <v>17697.5</v>
      </c>
      <c r="AD62">
        <f>IF(ISNUMBER(INDEX(Haver_M!$B$1:$ZN$1000,MATCH(data!$A62,Haver_M!$B$1:$B$1000,0),MATCH(data!AD$1,Haver_M!$B$1:$ZN$1,0))),INDEX(Haver_M!$B$1:$ZN$1000,MATCH(data!$A62,Haver_M!$B$1:$B$1000,0),MATCH(data!AD$1,Haver_M!$B$1:$ZN$1,0)),"na")</f>
        <v>99.54</v>
      </c>
      <c r="AE62">
        <f>IF(ISNUMBER(INDEX(Haver_M!$B$1:$ZN$1000,MATCH(data!$A62,Haver_M!$B$1:$B$1000,0),MATCH(data!AE$1,Haver_M!$B$1:$ZN$1,0))),INDEX(Haver_M!$B$1:$ZN$1000,MATCH(data!$A62,Haver_M!$B$1:$B$1000,0),MATCH(data!AE$1,Haver_M!$B$1:$ZN$1,0)),"na")</f>
        <v>42</v>
      </c>
      <c r="AF62">
        <f>IF(ISNUMBER(INDEX(Haver_M!$B$1:$ZN$1000,MATCH(data!$A62,Haver_M!$B$1:$B$1000,0),MATCH(data!AF$1,Haver_M!$B$1:$ZN$1,0))),INDEX(Haver_M!$B$1:$ZN$1000,MATCH(data!$A62,Haver_M!$B$1:$B$1000,0),MATCH(data!AF$1,Haver_M!$B$1:$ZN$1,0)),"na")</f>
        <v>99.93</v>
      </c>
      <c r="AG62" t="str">
        <f>IF(ISNUMBER(INDEX(Haver_M!$B$1:$ZN$1000,MATCH(data!$A62,Haver_M!$B$1:$B$1000,0),MATCH(data!AG$1,Haver_M!$B$1:$ZN$1,0))),INDEX(Haver_M!$B$1:$ZN$1000,MATCH(data!$A62,Haver_M!$B$1:$B$1000,0),MATCH(data!AG$1,Haver_M!$B$1:$ZN$1,0)),"na")</f>
        <v>na</v>
      </c>
      <c r="AH62" t="str">
        <f>IF(ISNUMBER(INDEX(Haver_M!$B$1:$ZN$1000,MATCH(data!$A62,Haver_M!$B$1:$B$1000,0),MATCH(data!AH$1,Haver_M!$B$1:$ZN$1,0))),INDEX(Haver_M!$B$1:$ZN$1000,MATCH(data!$A62,Haver_M!$B$1:$B$1000,0),MATCH(data!AH$1,Haver_M!$B$1:$ZN$1,0)),"na")</f>
        <v>na</v>
      </c>
      <c r="AI62" t="str">
        <f>IF(ISNUMBER(INDEX(Haver_M!$B$1:$ZN$1000,MATCH(data!$A62,Haver_M!$B$1:$B$1000,0),MATCH(data!AI$1,Haver_M!$B$1:$ZN$1,0))),INDEX(Haver_M!$B$1:$ZN$1000,MATCH(data!$A62,Haver_M!$B$1:$B$1000,0),MATCH(data!AI$1,Haver_M!$B$1:$ZN$1,0)),"na")</f>
        <v>na</v>
      </c>
      <c r="AJ62" t="str">
        <f>IF(ISNUMBER(INDEX(Haver_M!$B$1:$ZN$1000,MATCH(data!$A62,Haver_M!$B$1:$B$1000,0),MATCH(data!AJ$1,Haver_M!$B$1:$ZN$1,0))),INDEX(Haver_M!$B$1:$ZN$1000,MATCH(data!$A62,Haver_M!$B$1:$B$1000,0),MATCH(data!AJ$1,Haver_M!$B$1:$ZN$1,0)),"na")</f>
        <v>na</v>
      </c>
      <c r="AK62" t="str">
        <f>IF(ISNUMBER(INDEX(Haver_M!$B$1:$ZN$1000,MATCH(data!$A62,Haver_M!$B$1:$B$1000,0),MATCH(data!AK$1,Haver_M!$B$1:$ZN$1,0))),INDEX(Haver_M!$B$1:$ZN$1000,MATCH(data!$A62,Haver_M!$B$1:$B$1000,0),MATCH(data!AK$1,Haver_M!$B$1:$ZN$1,0)),"na")</f>
        <v>na</v>
      </c>
      <c r="AL62" t="str">
        <f>IF(ISNUMBER(INDEX(Haver_M!$B$1:$ZN$1000,MATCH(data!$A62,Haver_M!$B$1:$B$1000,0),MATCH(data!AL$1,Haver_M!$B$1:$ZN$1,0))),INDEX(Haver_M!$B$1:$ZN$1000,MATCH(data!$A62,Haver_M!$B$1:$B$1000,0),MATCH(data!AL$1,Haver_M!$B$1:$ZN$1,0)),"na")</f>
        <v>na</v>
      </c>
      <c r="AM62" t="str">
        <f>IF(ISNUMBER(INDEX(Haver_M!$B$1:$ZN$1000,MATCH(data!$A62,Haver_M!$B$1:$B$1000,0),MATCH(data!AM$1,Haver_M!$B$1:$ZN$1,0))),INDEX(Haver_M!$B$1:$ZN$1000,MATCH(data!$A62,Haver_M!$B$1:$B$1000,0),MATCH(data!AM$1,Haver_M!$B$1:$ZN$1,0)),"na")</f>
        <v>na</v>
      </c>
      <c r="AN62" t="str">
        <f>IF(ISNUMBER(INDEX(Haver_M!$B$1:$ZN$1000,MATCH(data!$A62,Haver_M!$B$1:$B$1000,0),MATCH(data!AN$1,Haver_M!$B$1:$ZN$1,0))),INDEX(Haver_M!$B$1:$ZN$1000,MATCH(data!$A62,Haver_M!$B$1:$B$1000,0),MATCH(data!AN$1,Haver_M!$B$1:$ZN$1,0)),"na")</f>
        <v>na</v>
      </c>
      <c r="AO62" t="str">
        <f>IF(ISNUMBER(INDEX(Haver_M!$B$1:$ZN$1000,MATCH(data!$A62,Haver_M!$B$1:$B$1000,0),MATCH(data!AO$1,Haver_M!$B$1:$ZN$1,0))),INDEX(Haver_M!$B$1:$ZN$1000,MATCH(data!$A62,Haver_M!$B$1:$B$1000,0),MATCH(data!AO$1,Haver_M!$B$1:$ZN$1,0)),"na")</f>
        <v>na</v>
      </c>
      <c r="AP62" t="str">
        <f>IF(ISNUMBER(INDEX(Haver_M!$B$1:$ZN$1000,MATCH(data!$A62,Haver_M!$B$1:$B$1000,0),MATCH(data!AP$1,Haver_M!$B$1:$ZN$1,0))),INDEX(Haver_M!$B$1:$ZN$1000,MATCH(data!$A62,Haver_M!$B$1:$B$1000,0),MATCH(data!AP$1,Haver_M!$B$1:$ZN$1,0)),"na")</f>
        <v>na</v>
      </c>
      <c r="AQ62" t="str">
        <f>IF(ISNUMBER(INDEX(Haver_M!$B$1:$ZN$1000,MATCH(data!$A62,Haver_M!$B$1:$B$1000,0),MATCH(data!AQ$1,Haver_M!$B$1:$ZN$1,0))),INDEX(Haver_M!$B$1:$ZN$1000,MATCH(data!$A62,Haver_M!$B$1:$B$1000,0),MATCH(data!AQ$1,Haver_M!$B$1:$ZN$1,0)),"na")</f>
        <v>na</v>
      </c>
      <c r="AR62" t="str">
        <f>IF(ISNUMBER(INDEX(Haver_M!$B$1:$ZN$1000,MATCH(data!$A62,Haver_M!$B$1:$B$1000,0),MATCH(data!AR$1,Haver_M!$B$1:$ZN$1,0))),INDEX(Haver_M!$B$1:$ZN$1000,MATCH(data!$A62,Haver_M!$B$1:$B$1000,0),MATCH(data!AR$1,Haver_M!$B$1:$ZN$1,0)),"na")</f>
        <v>na</v>
      </c>
      <c r="AS62">
        <f>IF(ISNUMBER(INDEX(Haver_M!$B$1:$ZN$1000,MATCH(data!$A62,Haver_M!$B$1:$B$1000,0),MATCH(data!AS$1,Haver_M!$B$1:$ZN$1,0))),INDEX(Haver_M!$B$1:$ZN$1000,MATCH(data!$A62,Haver_M!$B$1:$B$1000,0),MATCH(data!AS$1,Haver_M!$B$1:$ZN$1,0)),"na")</f>
        <v>12752.58</v>
      </c>
      <c r="AT62">
        <f>IF(ISNUMBER(INDEX(Haver_M!$B$1:$ZN$1000,MATCH(data!$A62,Haver_M!$B$1:$B$1000,0),MATCH(data!AT$1,Haver_M!$B$1:$ZN$1,0))),INDEX(Haver_M!$B$1:$ZN$1000,MATCH(data!$A62,Haver_M!$B$1:$B$1000,0),MATCH(data!AT$1,Haver_M!$B$1:$ZN$1,0)),"na")</f>
        <v>88.736000000000004</v>
      </c>
      <c r="AU62">
        <f>IF(ISNUMBER(INDEX(Haver_M!$B$1:$ZN$1000,MATCH(data!$A62,Haver_M!$B$1:$B$1000,0),MATCH(data!AU$1,Haver_M!$B$1:$ZN$1,0))),INDEX(Haver_M!$B$1:$ZN$1000,MATCH(data!$A62,Haver_M!$B$1:$B$1000,0),MATCH(data!AU$1,Haver_M!$B$1:$ZN$1,0)),"na")</f>
        <v>84.537968000000006</v>
      </c>
      <c r="AV62">
        <f>IF(ISNUMBER(INDEX(Haver_M!$B$1:$ZN$1000,MATCH(data!$A62,Haver_M!$B$1:$B$1000,0),MATCH(data!AV$1,Haver_M!$B$1:$ZN$1,0))),INDEX(Haver_M!$B$1:$ZN$1000,MATCH(data!$A62,Haver_M!$B$1:$B$1000,0),MATCH(data!AV$1,Haver_M!$B$1:$ZN$1,0)),"na")</f>
        <v>79.900000000000006</v>
      </c>
      <c r="AW62">
        <f>IF(ISNUMBER(INDEX(Haver_M!$B$1:$ZN$1000,MATCH(data!$A62,Haver_M!$B$1:$B$1000,0),MATCH(data!AW$1,Haver_M!$B$1:$ZN$1,0))),INDEX(Haver_M!$B$1:$ZN$1000,MATCH(data!$A62,Haver_M!$B$1:$B$1000,0),MATCH(data!AW$1,Haver_M!$B$1:$ZN$1,0)),"na")</f>
        <v>966427.68599465548</v>
      </c>
      <c r="AX62">
        <f>IF(ISNUMBER(INDEX(Haver_M!$B$1:$ZN$1000,MATCH(data!$A62,Haver_M!$B$1:$B$1000,0),MATCH(data!AX$1,Haver_M!$B$1:$ZN$1,0))),INDEX(Haver_M!$B$1:$ZN$1000,MATCH(data!$A62,Haver_M!$B$1:$B$1000,0),MATCH(data!AX$1,Haver_M!$B$1:$ZN$1,0)),"na")</f>
        <v>3333</v>
      </c>
      <c r="AY62">
        <f>IF(ISNUMBER(INDEX(Haver_M!$B$1:$ZN$1000,MATCH(data!$A62,Haver_M!$B$1:$B$1000,0),MATCH(data!AY$1,Haver_M!$B$1:$ZN$1,0))),INDEX(Haver_M!$B$1:$ZN$1000,MATCH(data!$A62,Haver_M!$B$1:$B$1000,0),MATCH(data!AY$1,Haver_M!$B$1:$ZN$1,0)),"na")</f>
        <v>1818</v>
      </c>
      <c r="AZ62">
        <f>IF(ISNUMBER(INDEX(Haver_M!$B$1:$ZN$1000,MATCH(data!$A62,Haver_M!$B$1:$B$1000,0),MATCH(data!AZ$1,Haver_M!$B$1:$ZN$1,0))),INDEX(Haver_M!$B$1:$ZN$1000,MATCH(data!$A62,Haver_M!$B$1:$B$1000,0),MATCH(data!AZ$1,Haver_M!$B$1:$ZN$1,0)),"na")</f>
        <v>52.4</v>
      </c>
      <c r="BA62">
        <f>IF(ISNUMBER(INDEX(Haver_M!$B$1:$ZN$1000,MATCH(data!$A62,Haver_M!$B$1:$B$1000,0),MATCH(data!BA$1,Haver_M!$B$1:$ZN$1,0))),INDEX(Haver_M!$B$1:$ZN$1000,MATCH(data!$A62,Haver_M!$B$1:$B$1000,0),MATCH(data!BA$1,Haver_M!$B$1:$ZN$1,0)),"na")</f>
        <v>87.126523899194709</v>
      </c>
      <c r="BB62" t="str">
        <f>IF(ISNUMBER(INDEX(Haver_M!$B$1:$ZN$1000,MATCH(data!$A62,Haver_M!$B$1:$B$1000,0),MATCH(data!BB$1,Haver_M!$B$1:$ZN$1,0))),INDEX(Haver_M!$B$1:$ZN$1000,MATCH(data!$A62,Haver_M!$B$1:$B$1000,0),MATCH(data!BB$1,Haver_M!$B$1:$ZN$1,0)),"")</f>
        <v/>
      </c>
    </row>
    <row r="63" spans="1:54" x14ac:dyDescent="0.25">
      <c r="A63" s="2">
        <v>38411</v>
      </c>
      <c r="B63" t="str">
        <f>IF(ISNUMBER(INDEX(Haver_Q!$B$1:$BD$1000,MATCH(data!$A63,Haver_Q!$B$1:$B$1000,0),MATCH(data!B$1,Haver_Q!$B$1:$BD$1,0))),100*INDEX(Haver_Q!$B$1:$BD$1000,MATCH(data!$A63,Haver_Q!$B$1:$B$1000,0),MATCH(data!B$1,Haver_Q!$B$1:$BD$1,0)),"na")</f>
        <v>na</v>
      </c>
      <c r="C63" t="str">
        <f>IF(ISNUMBER(INDEX(Haver_Q!$B$1:$BD$1000,MATCH(data!$A63,Haver_Q!$B$1:$B$1000,0),MATCH(data!C$1,Haver_Q!$B$1:$BD$1,0))),100*INDEX(Haver_Q!$B$1:$BD$1000,MATCH(data!$A63,Haver_Q!$B$1:$B$1000,0),MATCH(data!C$1,Haver_Q!$B$1:$BD$1,0)),"na")</f>
        <v>na</v>
      </c>
      <c r="D63" t="str">
        <f>IF(ISNUMBER(INDEX(Haver_Q!$B$1:$BD$1000,MATCH(data!$A63,Haver_Q!$B$1:$B$1000,0),MATCH(data!D$1,Haver_Q!$B$1:$BD$1,0))),100*INDEX(Haver_Q!$B$1:$BD$1000,MATCH(data!$A63,Haver_Q!$B$1:$B$1000,0),MATCH(data!D$1,Haver_Q!$B$1:$BD$1,0)),"na")</f>
        <v>na</v>
      </c>
      <c r="E63" t="str">
        <f>IF(ISNUMBER(INDEX(Haver_Q!$B$1:$BD$1000,MATCH(data!$A63,Haver_Q!$B$1:$B$1000,0),MATCH(data!E$1,Haver_Q!$B$1:$BD$1,0))),100*INDEX(Haver_Q!$B$1:$BD$1000,MATCH(data!$A63,Haver_Q!$B$1:$B$1000,0),MATCH(data!E$1,Haver_Q!$B$1:$BD$1,0)),"na")</f>
        <v>na</v>
      </c>
      <c r="F63" t="str">
        <f>IF(ISNUMBER(INDEX(Haver_Q!$B$1:$BD$1000,MATCH(data!$A63,Haver_Q!$B$1:$B$1000,0),MATCH(data!F$1,Haver_Q!$B$1:$BD$1,0))),100*INDEX(Haver_Q!$B$1:$BD$1000,MATCH(data!$A63,Haver_Q!$B$1:$B$1000,0),MATCH(data!F$1,Haver_Q!$B$1:$BD$1,0)),"na")</f>
        <v>na</v>
      </c>
      <c r="G63" t="str">
        <f>IF(ISNUMBER(INDEX(Haver_Q!$B$1:$BD$1000,MATCH(data!$A63,Haver_Q!$B$1:$B$1000,0),MATCH(data!G$1,Haver_Q!$B$1:$BD$1,0))),100*INDEX(Haver_Q!$B$1:$BD$1000,MATCH(data!$A63,Haver_Q!$B$1:$B$1000,0),MATCH(data!G$1,Haver_Q!$B$1:$BD$1,0)),"na")</f>
        <v>na</v>
      </c>
      <c r="H63" t="str">
        <f>IF(ISNUMBER(INDEX(Haver_Q!$B$1:$BD$1000,MATCH(data!$A63,Haver_Q!$B$1:$B$1000,0),MATCH(data!H$1,Haver_Q!$B$1:$BD$1,0))),100*INDEX(Haver_Q!$B$1:$BD$1000,MATCH(data!$A63,Haver_Q!$B$1:$B$1000,0),MATCH(data!H$1,Haver_Q!$B$1:$BD$1,0)),"na")</f>
        <v>na</v>
      </c>
      <c r="I63" s="3">
        <f>IF(ISNUMBER(Bloomberg_m!C79),Bloomberg_m!C79,"na")</f>
        <v>4532</v>
      </c>
      <c r="J63" s="3" t="str">
        <f>IF(ISNUMBER(Bloomberg_m!D79),Bloomberg_m!D79,"na")</f>
        <v>na</v>
      </c>
      <c r="K63" s="3" t="str">
        <f>IF(ISNUMBER(Bloomberg_m!E79),Bloomberg_m!E79,"na")</f>
        <v>na</v>
      </c>
      <c r="L63" s="3">
        <f>IF(ISNUMBER(Bloomberg_m!L79),Bloomberg_m!L79,"na")</f>
        <v>47.96</v>
      </c>
      <c r="M63" t="str">
        <f>IF(ISNUMBER(INDEX(Haver_M!$B$1:$ZN$1000,MATCH(data!$A63,Haver_M!$B$1:$B$1000,0),MATCH(data!M$1,Haver_M!$B$1:$ZN$1,0))),INDEX(Haver_M!$B$1:$ZN$1000,MATCH(data!$A63,Haver_M!$B$1:$B$1000,0),MATCH(data!M$1,Haver_M!$B$1:$ZN$1,0)),"na")</f>
        <v>na</v>
      </c>
      <c r="N63" t="str">
        <f>IF(ISNUMBER(INDEX(Haver_M!$B$1:$ZN$1000,MATCH(data!$A63,Haver_M!$B$1:$B$1000,0),MATCH(data!N$1,Haver_M!$B$1:$ZN$1,0))),INDEX(Haver_M!$B$1:$ZN$1000,MATCH(data!$A63,Haver_M!$B$1:$B$1000,0),MATCH(data!N$1,Haver_M!$B$1:$ZN$1,0)),"na")</f>
        <v>na</v>
      </c>
      <c r="O63">
        <f>IF(ISNUMBER(INDEX(Haver_M!$B$1:$ZN$1000,MATCH(data!$A63,Haver_M!$B$1:$B$1000,0),MATCH(data!O$1,Haver_M!$B$1:$ZN$1,0))),INDEX(Haver_M!$B$1:$ZN$1000,MATCH(data!$A63,Haver_M!$B$1:$B$1000,0),MATCH(data!O$1,Haver_M!$B$1:$ZN$1,0)),"na")</f>
        <v>108.28601999999999</v>
      </c>
      <c r="P63">
        <f>IF(ISNUMBER(INDEX(Haver_M!$B$1:$ZN$1000,MATCH(data!$A63,Haver_M!$B$1:$B$1000,0),MATCH(data!P$1,Haver_M!$B$1:$ZN$1,0))),INDEX(Haver_M!$B$1:$ZN$1000,MATCH(data!$A63,Haver_M!$B$1:$B$1000,0),MATCH(data!P$1,Haver_M!$B$1:$ZN$1,0)),"na")</f>
        <v>58.233800000000002</v>
      </c>
      <c r="Q63">
        <f>IF(ISNUMBER(INDEX(Haver_M!$B$1:$ZN$1000,MATCH(data!$A63,Haver_M!$B$1:$B$1000,0),MATCH(data!Q$1,Haver_M!$B$1:$ZN$1,0))),INDEX(Haver_M!$B$1:$ZN$1000,MATCH(data!$A63,Haver_M!$B$1:$B$1000,0),MATCH(data!Q$1,Haver_M!$B$1:$ZN$1,0)),"na")</f>
        <v>62.126399999999997</v>
      </c>
      <c r="R63">
        <f>IF(ISNUMBER(INDEX(Haver_M!$B$1:$ZN$1000,MATCH(data!$A63,Haver_M!$B$1:$B$1000,0),MATCH(data!R$1,Haver_M!$B$1:$ZN$1,0))),INDEX(Haver_M!$B$1:$ZN$1000,MATCH(data!$A63,Haver_M!$B$1:$B$1000,0),MATCH(data!R$1,Haver_M!$B$1:$ZN$1,0)),"na")</f>
        <v>93.451400000000007</v>
      </c>
      <c r="S63">
        <f>IF(ISNUMBER(INDEX(Haver_M!$B$1:$ZN$1000,MATCH(data!$A63,Haver_M!$B$1:$B$1000,0),MATCH(data!S$1,Haver_M!$B$1:$ZN$1,0))),INDEX(Haver_M!$B$1:$ZN$1000,MATCH(data!$A63,Haver_M!$B$1:$B$1000,0),MATCH(data!S$1,Haver_M!$B$1:$ZN$1,0)),"na")</f>
        <v>113.4427</v>
      </c>
      <c r="T63">
        <f>IF(ISNUMBER(INDEX(Haver_M!$B$1:$ZN$1000,MATCH(data!$A63,Haver_M!$B$1:$B$1000,0),MATCH(data!T$1,Haver_M!$B$1:$ZN$1,0))),INDEX(Haver_M!$B$1:$ZN$1000,MATCH(data!$A63,Haver_M!$B$1:$B$1000,0),MATCH(data!T$1,Haver_M!$B$1:$ZN$1,0)),"na")</f>
        <v>71.590500000000006</v>
      </c>
      <c r="U63">
        <f>IF(ISNUMBER(INDEX(Haver_M!$B$1:$ZN$1000,MATCH(data!$A63,Haver_M!$B$1:$B$1000,0),MATCH(data!U$1,Haver_M!$B$1:$ZN$1,0))),INDEX(Haver_M!$B$1:$ZN$1000,MATCH(data!$A63,Haver_M!$B$1:$B$1000,0),MATCH(data!U$1,Haver_M!$B$1:$ZN$1,0)),"na")</f>
        <v>84.822299999999998</v>
      </c>
      <c r="V63">
        <f>IF(ISNUMBER(INDEX(Haver_M!$B$1:$ZN$1000,MATCH(data!$A63,Haver_M!$B$1:$B$1000,0),MATCH(data!V$1,Haver_M!$B$1:$ZN$1,0))),INDEX(Haver_M!$B$1:$ZN$1000,MATCH(data!$A63,Haver_M!$B$1:$B$1000,0),MATCH(data!V$1,Haver_M!$B$1:$ZN$1,0)),"na")</f>
        <v>90.875399999999999</v>
      </c>
      <c r="W63">
        <f>IF(ISNUMBER(INDEX(Haver_M!$B$1:$ZN$1000,MATCH(data!$A63,Haver_M!$B$1:$B$1000,0),MATCH(data!W$1,Haver_M!$B$1:$ZN$1,0))),INDEX(Haver_M!$B$1:$ZN$1000,MATCH(data!$A63,Haver_M!$B$1:$B$1000,0),MATCH(data!W$1,Haver_M!$B$1:$ZN$1,0)),"na")</f>
        <v>3.63</v>
      </c>
      <c r="X63" t="str">
        <f>IF(ISNUMBER(INDEX(Haver_M!$B$1:$ZN$1000,MATCH(data!$A63,Haver_M!$B$1:$B$1000,0),MATCH(data!X$1,Haver_M!$B$1:$ZN$1,0))),INDEX(Haver_M!$B$1:$ZN$1000,MATCH(data!$A63,Haver_M!$B$1:$B$1000,0),MATCH(data!X$1,Haver_M!$B$1:$ZN$1,0)),"na")</f>
        <v>na</v>
      </c>
      <c r="Y63">
        <f>IF(ISNUMBER(INDEX(Haver_M!$B$1:$ZN$1000,MATCH(data!$A63,Haver_M!$B$1:$B$1000,0),MATCH(data!Y$1,Haver_M!$B$1:$ZN$1,0))),INDEX(Haver_M!$B$1:$ZN$1000,MATCH(data!$A63,Haver_M!$B$1:$B$1000,0),MATCH(data!Y$1,Haver_M!$B$1:$ZN$1,0)),"na")</f>
        <v>99.87</v>
      </c>
      <c r="Z63">
        <f>IF(ISNUMBER(INDEX(Haver_M!$B$1:$ZN$1000,MATCH(data!$A63,Haver_M!$B$1:$B$1000,0),MATCH(data!Z$1,Haver_M!$B$1:$ZN$1,0))),INDEX(Haver_M!$B$1:$ZN$1000,MATCH(data!$A63,Haver_M!$B$1:$B$1000,0),MATCH(data!Z$1,Haver_M!$B$1:$ZN$1,0)),"na")</f>
        <v>91.6648</v>
      </c>
      <c r="AA63" t="str">
        <f>IF(ISNUMBER(INDEX(Haver_M!$B$1:$ZN$1000,MATCH(data!$A63,Haver_M!$B$1:$B$1000,0),MATCH(data!AA$1,Haver_M!$B$1:$ZN$1,0))),INDEX(Haver_M!$B$1:$ZN$1000,MATCH(data!$A63,Haver_M!$B$1:$B$1000,0),MATCH(data!AA$1,Haver_M!$B$1:$ZN$1,0)),"na")</f>
        <v>na</v>
      </c>
      <c r="AB63">
        <f>IF(ISNUMBER(INDEX(Haver_M!$B$1:$ZN$1000,MATCH(data!$A63,Haver_M!$B$1:$B$1000,0),MATCH(data!AB$1,Haver_M!$B$1:$ZN$1,0))),INDEX(Haver_M!$B$1:$ZN$1000,MATCH(data!$A63,Haver_M!$B$1:$B$1000,0),MATCH(data!AB$1,Haver_M!$B$1:$ZN$1,0)),"na")</f>
        <v>16722.900000000001</v>
      </c>
      <c r="AC63">
        <f>IF(ISNUMBER(INDEX(Haver_M!$B$1:$ZN$1000,MATCH(data!$A63,Haver_M!$B$1:$B$1000,0),MATCH(data!AC$1,Haver_M!$B$1:$ZN$1,0))),INDEX(Haver_M!$B$1:$ZN$1000,MATCH(data!$A63,Haver_M!$B$1:$B$1000,0),MATCH(data!AC$1,Haver_M!$B$1:$ZN$1,0)),"na")</f>
        <v>17667.8</v>
      </c>
      <c r="AD63">
        <f>IF(ISNUMBER(INDEX(Haver_M!$B$1:$ZN$1000,MATCH(data!$A63,Haver_M!$B$1:$B$1000,0),MATCH(data!AD$1,Haver_M!$B$1:$ZN$1,0))),INDEX(Haver_M!$B$1:$ZN$1000,MATCH(data!$A63,Haver_M!$B$1:$B$1000,0),MATCH(data!AD$1,Haver_M!$B$1:$ZN$1,0)),"na")</f>
        <v>99.56</v>
      </c>
      <c r="AE63">
        <f>IF(ISNUMBER(INDEX(Haver_M!$B$1:$ZN$1000,MATCH(data!$A63,Haver_M!$B$1:$B$1000,0),MATCH(data!AE$1,Haver_M!$B$1:$ZN$1,0))),INDEX(Haver_M!$B$1:$ZN$1000,MATCH(data!$A63,Haver_M!$B$1:$B$1000,0),MATCH(data!AE$1,Haver_M!$B$1:$ZN$1,0)),"na")</f>
        <v>43.8</v>
      </c>
      <c r="AF63">
        <f>IF(ISNUMBER(INDEX(Haver_M!$B$1:$ZN$1000,MATCH(data!$A63,Haver_M!$B$1:$B$1000,0),MATCH(data!AF$1,Haver_M!$B$1:$ZN$1,0))),INDEX(Haver_M!$B$1:$ZN$1000,MATCH(data!$A63,Haver_M!$B$1:$B$1000,0),MATCH(data!AF$1,Haver_M!$B$1:$ZN$1,0)),"na")</f>
        <v>99.94</v>
      </c>
      <c r="AG63" t="str">
        <f>IF(ISNUMBER(INDEX(Haver_M!$B$1:$ZN$1000,MATCH(data!$A63,Haver_M!$B$1:$B$1000,0),MATCH(data!AG$1,Haver_M!$B$1:$ZN$1,0))),INDEX(Haver_M!$B$1:$ZN$1000,MATCH(data!$A63,Haver_M!$B$1:$B$1000,0),MATCH(data!AG$1,Haver_M!$B$1:$ZN$1,0)),"na")</f>
        <v>na</v>
      </c>
      <c r="AH63" t="str">
        <f>IF(ISNUMBER(INDEX(Haver_M!$B$1:$ZN$1000,MATCH(data!$A63,Haver_M!$B$1:$B$1000,0),MATCH(data!AH$1,Haver_M!$B$1:$ZN$1,0))),INDEX(Haver_M!$B$1:$ZN$1000,MATCH(data!$A63,Haver_M!$B$1:$B$1000,0),MATCH(data!AH$1,Haver_M!$B$1:$ZN$1,0)),"na")</f>
        <v>na</v>
      </c>
      <c r="AI63" t="str">
        <f>IF(ISNUMBER(INDEX(Haver_M!$B$1:$ZN$1000,MATCH(data!$A63,Haver_M!$B$1:$B$1000,0),MATCH(data!AI$1,Haver_M!$B$1:$ZN$1,0))),INDEX(Haver_M!$B$1:$ZN$1000,MATCH(data!$A63,Haver_M!$B$1:$B$1000,0),MATCH(data!AI$1,Haver_M!$B$1:$ZN$1,0)),"na")</f>
        <v>na</v>
      </c>
      <c r="AJ63" t="str">
        <f>IF(ISNUMBER(INDEX(Haver_M!$B$1:$ZN$1000,MATCH(data!$A63,Haver_M!$B$1:$B$1000,0),MATCH(data!AJ$1,Haver_M!$B$1:$ZN$1,0))),INDEX(Haver_M!$B$1:$ZN$1000,MATCH(data!$A63,Haver_M!$B$1:$B$1000,0),MATCH(data!AJ$1,Haver_M!$B$1:$ZN$1,0)),"na")</f>
        <v>na</v>
      </c>
      <c r="AK63" t="str">
        <f>IF(ISNUMBER(INDEX(Haver_M!$B$1:$ZN$1000,MATCH(data!$A63,Haver_M!$B$1:$B$1000,0),MATCH(data!AK$1,Haver_M!$B$1:$ZN$1,0))),INDEX(Haver_M!$B$1:$ZN$1000,MATCH(data!$A63,Haver_M!$B$1:$B$1000,0),MATCH(data!AK$1,Haver_M!$B$1:$ZN$1,0)),"na")</f>
        <v>na</v>
      </c>
      <c r="AL63" t="str">
        <f>IF(ISNUMBER(INDEX(Haver_M!$B$1:$ZN$1000,MATCH(data!$A63,Haver_M!$B$1:$B$1000,0),MATCH(data!AL$1,Haver_M!$B$1:$ZN$1,0))),INDEX(Haver_M!$B$1:$ZN$1000,MATCH(data!$A63,Haver_M!$B$1:$B$1000,0),MATCH(data!AL$1,Haver_M!$B$1:$ZN$1,0)),"na")</f>
        <v>na</v>
      </c>
      <c r="AM63" t="str">
        <f>IF(ISNUMBER(INDEX(Haver_M!$B$1:$ZN$1000,MATCH(data!$A63,Haver_M!$B$1:$B$1000,0),MATCH(data!AM$1,Haver_M!$B$1:$ZN$1,0))),INDEX(Haver_M!$B$1:$ZN$1000,MATCH(data!$A63,Haver_M!$B$1:$B$1000,0),MATCH(data!AM$1,Haver_M!$B$1:$ZN$1,0)),"na")</f>
        <v>na</v>
      </c>
      <c r="AN63" t="str">
        <f>IF(ISNUMBER(INDEX(Haver_M!$B$1:$ZN$1000,MATCH(data!$A63,Haver_M!$B$1:$B$1000,0),MATCH(data!AN$1,Haver_M!$B$1:$ZN$1,0))),INDEX(Haver_M!$B$1:$ZN$1000,MATCH(data!$A63,Haver_M!$B$1:$B$1000,0),MATCH(data!AN$1,Haver_M!$B$1:$ZN$1,0)),"na")</f>
        <v>na</v>
      </c>
      <c r="AO63" t="str">
        <f>IF(ISNUMBER(INDEX(Haver_M!$B$1:$ZN$1000,MATCH(data!$A63,Haver_M!$B$1:$B$1000,0),MATCH(data!AO$1,Haver_M!$B$1:$ZN$1,0))),INDEX(Haver_M!$B$1:$ZN$1000,MATCH(data!$A63,Haver_M!$B$1:$B$1000,0),MATCH(data!AO$1,Haver_M!$B$1:$ZN$1,0)),"na")</f>
        <v>na</v>
      </c>
      <c r="AP63" t="str">
        <f>IF(ISNUMBER(INDEX(Haver_M!$B$1:$ZN$1000,MATCH(data!$A63,Haver_M!$B$1:$B$1000,0),MATCH(data!AP$1,Haver_M!$B$1:$ZN$1,0))),INDEX(Haver_M!$B$1:$ZN$1000,MATCH(data!$A63,Haver_M!$B$1:$B$1000,0),MATCH(data!AP$1,Haver_M!$B$1:$ZN$1,0)),"na")</f>
        <v>na</v>
      </c>
      <c r="AQ63" t="str">
        <f>IF(ISNUMBER(INDEX(Haver_M!$B$1:$ZN$1000,MATCH(data!$A63,Haver_M!$B$1:$B$1000,0),MATCH(data!AQ$1,Haver_M!$B$1:$ZN$1,0))),INDEX(Haver_M!$B$1:$ZN$1000,MATCH(data!$A63,Haver_M!$B$1:$B$1000,0),MATCH(data!AQ$1,Haver_M!$B$1:$ZN$1,0)),"na")</f>
        <v>na</v>
      </c>
      <c r="AR63" t="str">
        <f>IF(ISNUMBER(INDEX(Haver_M!$B$1:$ZN$1000,MATCH(data!$A63,Haver_M!$B$1:$B$1000,0),MATCH(data!AR$1,Haver_M!$B$1:$ZN$1,0))),INDEX(Haver_M!$B$1:$ZN$1000,MATCH(data!$A63,Haver_M!$B$1:$B$1000,0),MATCH(data!AR$1,Haver_M!$B$1:$ZN$1,0)),"na")</f>
        <v>na</v>
      </c>
      <c r="AS63">
        <f>IF(ISNUMBER(INDEX(Haver_M!$B$1:$ZN$1000,MATCH(data!$A63,Haver_M!$B$1:$B$1000,0),MATCH(data!AS$1,Haver_M!$B$1:$ZN$1,0))),INDEX(Haver_M!$B$1:$ZN$1000,MATCH(data!$A63,Haver_M!$B$1:$B$1000,0),MATCH(data!AS$1,Haver_M!$B$1:$ZN$1,0)),"na")</f>
        <v>13586</v>
      </c>
      <c r="AT63">
        <f>IF(ISNUMBER(INDEX(Haver_M!$B$1:$ZN$1000,MATCH(data!$A63,Haver_M!$B$1:$B$1000,0),MATCH(data!AT$1,Haver_M!$B$1:$ZN$1,0))),INDEX(Haver_M!$B$1:$ZN$1000,MATCH(data!$A63,Haver_M!$B$1:$B$1000,0),MATCH(data!AT$1,Haver_M!$B$1:$ZN$1,0)),"na")</f>
        <v>88.62</v>
      </c>
      <c r="AU63">
        <f>IF(ISNUMBER(INDEX(Haver_M!$B$1:$ZN$1000,MATCH(data!$A63,Haver_M!$B$1:$B$1000,0),MATCH(data!AU$1,Haver_M!$B$1:$ZN$1,0))),INDEX(Haver_M!$B$1:$ZN$1000,MATCH(data!$A63,Haver_M!$B$1:$B$1000,0),MATCH(data!AU$1,Haver_M!$B$1:$ZN$1,0)),"na")</f>
        <v>84.779173999999998</v>
      </c>
      <c r="AV63">
        <f>IF(ISNUMBER(INDEX(Haver_M!$B$1:$ZN$1000,MATCH(data!$A63,Haver_M!$B$1:$B$1000,0),MATCH(data!AV$1,Haver_M!$B$1:$ZN$1,0))),INDEX(Haver_M!$B$1:$ZN$1000,MATCH(data!$A63,Haver_M!$B$1:$B$1000,0),MATCH(data!AV$1,Haver_M!$B$1:$ZN$1,0)),"na")</f>
        <v>78.7</v>
      </c>
      <c r="AW63">
        <f>IF(ISNUMBER(INDEX(Haver_M!$B$1:$ZN$1000,MATCH(data!$A63,Haver_M!$B$1:$B$1000,0),MATCH(data!AW$1,Haver_M!$B$1:$ZN$1,0))),INDEX(Haver_M!$B$1:$ZN$1000,MATCH(data!$A63,Haver_M!$B$1:$B$1000,0),MATCH(data!AW$1,Haver_M!$B$1:$ZN$1,0)),"na")</f>
        <v>1001139.3879658567</v>
      </c>
      <c r="AX63">
        <f>IF(ISNUMBER(INDEX(Haver_M!$B$1:$ZN$1000,MATCH(data!$A63,Haver_M!$B$1:$B$1000,0),MATCH(data!AX$1,Haver_M!$B$1:$ZN$1,0))),INDEX(Haver_M!$B$1:$ZN$1000,MATCH(data!$A63,Haver_M!$B$1:$B$1000,0),MATCH(data!AX$1,Haver_M!$B$1:$ZN$1,0)),"na")</f>
        <v>3360</v>
      </c>
      <c r="AY63">
        <f>IF(ISNUMBER(INDEX(Haver_M!$B$1:$ZN$1000,MATCH(data!$A63,Haver_M!$B$1:$B$1000,0),MATCH(data!AY$1,Haver_M!$B$1:$ZN$1,0))),INDEX(Haver_M!$B$1:$ZN$1000,MATCH(data!$A63,Haver_M!$B$1:$B$1000,0),MATCH(data!AY$1,Haver_M!$B$1:$ZN$1,0)),"na")</f>
        <v>1898</v>
      </c>
      <c r="AZ63">
        <f>IF(ISNUMBER(INDEX(Haver_M!$B$1:$ZN$1000,MATCH(data!$A63,Haver_M!$B$1:$B$1000,0),MATCH(data!AZ$1,Haver_M!$B$1:$ZN$1,0))),INDEX(Haver_M!$B$1:$ZN$1000,MATCH(data!$A63,Haver_M!$B$1:$B$1000,0),MATCH(data!AZ$1,Haver_M!$B$1:$ZN$1,0)),"na")</f>
        <v>53.6</v>
      </c>
      <c r="BA63">
        <f>IF(ISNUMBER(INDEX(Haver_M!$B$1:$ZN$1000,MATCH(data!$A63,Haver_M!$B$1:$B$1000,0),MATCH(data!BA$1,Haver_M!$B$1:$ZN$1,0))),INDEX(Haver_M!$B$1:$ZN$1000,MATCH(data!$A63,Haver_M!$B$1:$B$1000,0),MATCH(data!BA$1,Haver_M!$B$1:$ZN$1,0)),"na")</f>
        <v>76.060993456715224</v>
      </c>
      <c r="BB63" t="str">
        <f>IF(ISNUMBER(INDEX(Haver_M!$B$1:$ZN$1000,MATCH(data!$A63,Haver_M!$B$1:$B$1000,0),MATCH(data!BB$1,Haver_M!$B$1:$ZN$1,0))),INDEX(Haver_M!$B$1:$ZN$1000,MATCH(data!$A63,Haver_M!$B$1:$B$1000,0),MATCH(data!BB$1,Haver_M!$B$1:$ZN$1,0)),"")</f>
        <v/>
      </c>
    </row>
    <row r="64" spans="1:54" x14ac:dyDescent="0.25">
      <c r="A64" s="2">
        <v>38442</v>
      </c>
      <c r="B64">
        <f>IF(ISNUMBER(INDEX(Haver_Q!$B$1:$BD$1000,MATCH(data!$A64,Haver_Q!$B$1:$B$1000,0),MATCH(data!B$1,Haver_Q!$B$1:$BD$1,0))),100*INDEX(Haver_Q!$B$1:$BD$1000,MATCH(data!$A64,Haver_Q!$B$1:$B$1000,0),MATCH(data!B$1,Haver_Q!$B$1:$BD$1,0)),"na")</f>
        <v>0.61158503129232766</v>
      </c>
      <c r="C64">
        <f>IF(ISNUMBER(INDEX(Haver_Q!$B$1:$BD$1000,MATCH(data!$A64,Haver_Q!$B$1:$B$1000,0),MATCH(data!C$1,Haver_Q!$B$1:$BD$1,0))),100*INDEX(Haver_Q!$B$1:$BD$1000,MATCH(data!$A64,Haver_Q!$B$1:$B$1000,0),MATCH(data!C$1,Haver_Q!$B$1:$BD$1,0)),"na")</f>
        <v>2.1050549317055411</v>
      </c>
      <c r="D64">
        <f>IF(ISNUMBER(INDEX(Haver_Q!$B$1:$BD$1000,MATCH(data!$A64,Haver_Q!$B$1:$B$1000,0),MATCH(data!D$1,Haver_Q!$B$1:$BD$1,0))),100*INDEX(Haver_Q!$B$1:$BD$1000,MATCH(data!$A64,Haver_Q!$B$1:$B$1000,0),MATCH(data!D$1,Haver_Q!$B$1:$BD$1,0)),"na")</f>
        <v>0.78877194779891635</v>
      </c>
      <c r="E64">
        <f>IF(ISNUMBER(INDEX(Haver_Q!$B$1:$BD$1000,MATCH(data!$A64,Haver_Q!$B$1:$B$1000,0),MATCH(data!E$1,Haver_Q!$B$1:$BD$1,0))),100*INDEX(Haver_Q!$B$1:$BD$1000,MATCH(data!$A64,Haver_Q!$B$1:$B$1000,0),MATCH(data!E$1,Haver_Q!$B$1:$BD$1,0)),"na")</f>
        <v>8.3174897229016498</v>
      </c>
      <c r="F64">
        <f>IF(ISNUMBER(INDEX(Haver_Q!$B$1:$BD$1000,MATCH(data!$A64,Haver_Q!$B$1:$B$1000,0),MATCH(data!F$1,Haver_Q!$B$1:$BD$1,0))),100*INDEX(Haver_Q!$B$1:$BD$1000,MATCH(data!$A64,Haver_Q!$B$1:$B$1000,0),MATCH(data!F$1,Haver_Q!$B$1:$BD$1,0)),"na")</f>
        <v>4.1983094526730103</v>
      </c>
      <c r="G64">
        <f>IF(ISNUMBER(INDEX(Haver_Q!$B$1:$BD$1000,MATCH(data!$A64,Haver_Q!$B$1:$B$1000,0),MATCH(data!G$1,Haver_Q!$B$1:$BD$1,0))),100*INDEX(Haver_Q!$B$1:$BD$1000,MATCH(data!$A64,Haver_Q!$B$1:$B$1000,0),MATCH(data!G$1,Haver_Q!$B$1:$BD$1,0)),"na")</f>
        <v>-4.6887430725816692</v>
      </c>
      <c r="H64">
        <f>IF(ISNUMBER(INDEX(Haver_Q!$B$1:$BD$1000,MATCH(data!$A64,Haver_Q!$B$1:$B$1000,0),MATCH(data!H$1,Haver_Q!$B$1:$BD$1,0))),100*INDEX(Haver_Q!$B$1:$BD$1000,MATCH(data!$A64,Haver_Q!$B$1:$B$1000,0),MATCH(data!H$1,Haver_Q!$B$1:$BD$1,0)),"na")</f>
        <v>506.62018255773376</v>
      </c>
      <c r="I64" s="3">
        <f>IF(ISNUMBER(Bloomberg_m!C80),Bloomberg_m!C80,"na")</f>
        <v>4678</v>
      </c>
      <c r="J64" s="3" t="str">
        <f>IF(ISNUMBER(Bloomberg_m!D80),Bloomberg_m!D80,"na")</f>
        <v>na</v>
      </c>
      <c r="K64" s="3" t="str">
        <f>IF(ISNUMBER(Bloomberg_m!E80),Bloomberg_m!E80,"na")</f>
        <v>na</v>
      </c>
      <c r="L64" s="3">
        <f>IF(ISNUMBER(Bloomberg_m!L80),Bloomberg_m!L80,"na")</f>
        <v>54.17</v>
      </c>
      <c r="M64" t="str">
        <f>IF(ISNUMBER(INDEX(Haver_M!$B$1:$ZN$1000,MATCH(data!$A64,Haver_M!$B$1:$B$1000,0),MATCH(data!M$1,Haver_M!$B$1:$ZN$1,0))),INDEX(Haver_M!$B$1:$ZN$1000,MATCH(data!$A64,Haver_M!$B$1:$B$1000,0),MATCH(data!M$1,Haver_M!$B$1:$ZN$1,0)),"na")</f>
        <v>na</v>
      </c>
      <c r="N64" t="str">
        <f>IF(ISNUMBER(INDEX(Haver_M!$B$1:$ZN$1000,MATCH(data!$A64,Haver_M!$B$1:$B$1000,0),MATCH(data!N$1,Haver_M!$B$1:$ZN$1,0))),INDEX(Haver_M!$B$1:$ZN$1000,MATCH(data!$A64,Haver_M!$B$1:$B$1000,0),MATCH(data!N$1,Haver_M!$B$1:$ZN$1,0)),"na")</f>
        <v>na</v>
      </c>
      <c r="O64">
        <f>IF(ISNUMBER(INDEX(Haver_M!$B$1:$ZN$1000,MATCH(data!$A64,Haver_M!$B$1:$B$1000,0),MATCH(data!O$1,Haver_M!$B$1:$ZN$1,0))),INDEX(Haver_M!$B$1:$ZN$1000,MATCH(data!$A64,Haver_M!$B$1:$B$1000,0),MATCH(data!O$1,Haver_M!$B$1:$ZN$1,0)),"na")</f>
        <v>108.08723000000001</v>
      </c>
      <c r="P64">
        <f>IF(ISNUMBER(INDEX(Haver_M!$B$1:$ZN$1000,MATCH(data!$A64,Haver_M!$B$1:$B$1000,0),MATCH(data!P$1,Haver_M!$B$1:$ZN$1,0))),INDEX(Haver_M!$B$1:$ZN$1000,MATCH(data!$A64,Haver_M!$B$1:$B$1000,0),MATCH(data!P$1,Haver_M!$B$1:$ZN$1,0)),"na")</f>
        <v>58.429900000000004</v>
      </c>
      <c r="Q64">
        <f>IF(ISNUMBER(INDEX(Haver_M!$B$1:$ZN$1000,MATCH(data!$A64,Haver_M!$B$1:$B$1000,0),MATCH(data!Q$1,Haver_M!$B$1:$ZN$1,0))),INDEX(Haver_M!$B$1:$ZN$1000,MATCH(data!$A64,Haver_M!$B$1:$B$1000,0),MATCH(data!Q$1,Haver_M!$B$1:$ZN$1,0)),"na")</f>
        <v>62.236199999999997</v>
      </c>
      <c r="R64">
        <f>IF(ISNUMBER(INDEX(Haver_M!$B$1:$ZN$1000,MATCH(data!$A64,Haver_M!$B$1:$B$1000,0),MATCH(data!R$1,Haver_M!$B$1:$ZN$1,0))),INDEX(Haver_M!$B$1:$ZN$1000,MATCH(data!$A64,Haver_M!$B$1:$B$1000,0),MATCH(data!R$1,Haver_M!$B$1:$ZN$1,0)),"na")</f>
        <v>93.062700000000007</v>
      </c>
      <c r="S64">
        <f>IF(ISNUMBER(INDEX(Haver_M!$B$1:$ZN$1000,MATCH(data!$A64,Haver_M!$B$1:$B$1000,0),MATCH(data!S$1,Haver_M!$B$1:$ZN$1,0))),INDEX(Haver_M!$B$1:$ZN$1000,MATCH(data!$A64,Haver_M!$B$1:$B$1000,0),MATCH(data!S$1,Haver_M!$B$1:$ZN$1,0)),"na")</f>
        <v>111.4179</v>
      </c>
      <c r="T64">
        <f>IF(ISNUMBER(INDEX(Haver_M!$B$1:$ZN$1000,MATCH(data!$A64,Haver_M!$B$1:$B$1000,0),MATCH(data!T$1,Haver_M!$B$1:$ZN$1,0))),INDEX(Haver_M!$B$1:$ZN$1000,MATCH(data!$A64,Haver_M!$B$1:$B$1000,0),MATCH(data!T$1,Haver_M!$B$1:$ZN$1,0)),"na")</f>
        <v>71.515299999999996</v>
      </c>
      <c r="U64">
        <f>IF(ISNUMBER(INDEX(Haver_M!$B$1:$ZN$1000,MATCH(data!$A64,Haver_M!$B$1:$B$1000,0),MATCH(data!U$1,Haver_M!$B$1:$ZN$1,0))),INDEX(Haver_M!$B$1:$ZN$1000,MATCH(data!$A64,Haver_M!$B$1:$B$1000,0),MATCH(data!U$1,Haver_M!$B$1:$ZN$1,0)),"na")</f>
        <v>85.185299999999998</v>
      </c>
      <c r="V64">
        <f>IF(ISNUMBER(INDEX(Haver_M!$B$1:$ZN$1000,MATCH(data!$A64,Haver_M!$B$1:$B$1000,0),MATCH(data!V$1,Haver_M!$B$1:$ZN$1,0))),INDEX(Haver_M!$B$1:$ZN$1000,MATCH(data!$A64,Haver_M!$B$1:$B$1000,0),MATCH(data!V$1,Haver_M!$B$1:$ZN$1,0)),"na")</f>
        <v>90.688599999999994</v>
      </c>
      <c r="W64">
        <f>IF(ISNUMBER(INDEX(Haver_M!$B$1:$ZN$1000,MATCH(data!$A64,Haver_M!$B$1:$B$1000,0),MATCH(data!W$1,Haver_M!$B$1:$ZN$1,0))),INDEX(Haver_M!$B$1:$ZN$1000,MATCH(data!$A64,Haver_M!$B$1:$B$1000,0),MATCH(data!W$1,Haver_M!$B$1:$ZN$1,0)),"na")</f>
        <v>3.65</v>
      </c>
      <c r="X64" t="str">
        <f>IF(ISNUMBER(INDEX(Haver_M!$B$1:$ZN$1000,MATCH(data!$A64,Haver_M!$B$1:$B$1000,0),MATCH(data!X$1,Haver_M!$B$1:$ZN$1,0))),INDEX(Haver_M!$B$1:$ZN$1000,MATCH(data!$A64,Haver_M!$B$1:$B$1000,0),MATCH(data!X$1,Haver_M!$B$1:$ZN$1,0)),"na")</f>
        <v>na</v>
      </c>
      <c r="Y64">
        <f>IF(ISNUMBER(INDEX(Haver_M!$B$1:$ZN$1000,MATCH(data!$A64,Haver_M!$B$1:$B$1000,0),MATCH(data!Y$1,Haver_M!$B$1:$ZN$1,0))),INDEX(Haver_M!$B$1:$ZN$1000,MATCH(data!$A64,Haver_M!$B$1:$B$1000,0),MATCH(data!Y$1,Haver_M!$B$1:$ZN$1,0)),"na")</f>
        <v>99.81</v>
      </c>
      <c r="Z64">
        <f>IF(ISNUMBER(INDEX(Haver_M!$B$1:$ZN$1000,MATCH(data!$A64,Haver_M!$B$1:$B$1000,0),MATCH(data!Z$1,Haver_M!$B$1:$ZN$1,0))),INDEX(Haver_M!$B$1:$ZN$1000,MATCH(data!$A64,Haver_M!$B$1:$B$1000,0),MATCH(data!Z$1,Haver_M!$B$1:$ZN$1,0)),"na")</f>
        <v>92.239199999999997</v>
      </c>
      <c r="AA64" t="str">
        <f>IF(ISNUMBER(INDEX(Haver_M!$B$1:$ZN$1000,MATCH(data!$A64,Haver_M!$B$1:$B$1000,0),MATCH(data!AA$1,Haver_M!$B$1:$ZN$1,0))),INDEX(Haver_M!$B$1:$ZN$1000,MATCH(data!$A64,Haver_M!$B$1:$B$1000,0),MATCH(data!AA$1,Haver_M!$B$1:$ZN$1,0)),"na")</f>
        <v>na</v>
      </c>
      <c r="AB64">
        <f>IF(ISNUMBER(INDEX(Haver_M!$B$1:$ZN$1000,MATCH(data!$A64,Haver_M!$B$1:$B$1000,0),MATCH(data!AB$1,Haver_M!$B$1:$ZN$1,0))),INDEX(Haver_M!$B$1:$ZN$1000,MATCH(data!$A64,Haver_M!$B$1:$B$1000,0),MATCH(data!AB$1,Haver_M!$B$1:$ZN$1,0)),"na")</f>
        <v>16578.099999999999</v>
      </c>
      <c r="AC64">
        <f>IF(ISNUMBER(INDEX(Haver_M!$B$1:$ZN$1000,MATCH(data!$A64,Haver_M!$B$1:$B$1000,0),MATCH(data!AC$1,Haver_M!$B$1:$ZN$1,0))),INDEX(Haver_M!$B$1:$ZN$1000,MATCH(data!$A64,Haver_M!$B$1:$B$1000,0),MATCH(data!AC$1,Haver_M!$B$1:$ZN$1,0)),"na")</f>
        <v>17491</v>
      </c>
      <c r="AD64">
        <f>IF(ISNUMBER(INDEX(Haver_M!$B$1:$ZN$1000,MATCH(data!$A64,Haver_M!$B$1:$B$1000,0),MATCH(data!AD$1,Haver_M!$B$1:$ZN$1,0))),INDEX(Haver_M!$B$1:$ZN$1000,MATCH(data!$A64,Haver_M!$B$1:$B$1000,0),MATCH(data!AD$1,Haver_M!$B$1:$ZN$1,0)),"na")</f>
        <v>99.56</v>
      </c>
      <c r="AE64">
        <f>IF(ISNUMBER(INDEX(Haver_M!$B$1:$ZN$1000,MATCH(data!$A64,Haver_M!$B$1:$B$1000,0),MATCH(data!AE$1,Haver_M!$B$1:$ZN$1,0))),INDEX(Haver_M!$B$1:$ZN$1000,MATCH(data!$A64,Haver_M!$B$1:$B$1000,0),MATCH(data!AE$1,Haver_M!$B$1:$ZN$1,0)),"na")</f>
        <v>42.2</v>
      </c>
      <c r="AF64">
        <f>IF(ISNUMBER(INDEX(Haver_M!$B$1:$ZN$1000,MATCH(data!$A64,Haver_M!$B$1:$B$1000,0),MATCH(data!AF$1,Haver_M!$B$1:$ZN$1,0))),INDEX(Haver_M!$B$1:$ZN$1000,MATCH(data!$A64,Haver_M!$B$1:$B$1000,0),MATCH(data!AF$1,Haver_M!$B$1:$ZN$1,0)),"na")</f>
        <v>99.93</v>
      </c>
      <c r="AG64" t="str">
        <f>IF(ISNUMBER(INDEX(Haver_M!$B$1:$ZN$1000,MATCH(data!$A64,Haver_M!$B$1:$B$1000,0),MATCH(data!AG$1,Haver_M!$B$1:$ZN$1,0))),INDEX(Haver_M!$B$1:$ZN$1000,MATCH(data!$A64,Haver_M!$B$1:$B$1000,0),MATCH(data!AG$1,Haver_M!$B$1:$ZN$1,0)),"na")</f>
        <v>na</v>
      </c>
      <c r="AH64" t="str">
        <f>IF(ISNUMBER(INDEX(Haver_M!$B$1:$ZN$1000,MATCH(data!$A64,Haver_M!$B$1:$B$1000,0),MATCH(data!AH$1,Haver_M!$B$1:$ZN$1,0))),INDEX(Haver_M!$B$1:$ZN$1000,MATCH(data!$A64,Haver_M!$B$1:$B$1000,0),MATCH(data!AH$1,Haver_M!$B$1:$ZN$1,0)),"na")</f>
        <v>na</v>
      </c>
      <c r="AI64" t="str">
        <f>IF(ISNUMBER(INDEX(Haver_M!$B$1:$ZN$1000,MATCH(data!$A64,Haver_M!$B$1:$B$1000,0),MATCH(data!AI$1,Haver_M!$B$1:$ZN$1,0))),INDEX(Haver_M!$B$1:$ZN$1000,MATCH(data!$A64,Haver_M!$B$1:$B$1000,0),MATCH(data!AI$1,Haver_M!$B$1:$ZN$1,0)),"na")</f>
        <v>na</v>
      </c>
      <c r="AJ64" t="str">
        <f>IF(ISNUMBER(INDEX(Haver_M!$B$1:$ZN$1000,MATCH(data!$A64,Haver_M!$B$1:$B$1000,0),MATCH(data!AJ$1,Haver_M!$B$1:$ZN$1,0))),INDEX(Haver_M!$B$1:$ZN$1000,MATCH(data!$A64,Haver_M!$B$1:$B$1000,0),MATCH(data!AJ$1,Haver_M!$B$1:$ZN$1,0)),"na")</f>
        <v>na</v>
      </c>
      <c r="AK64" t="str">
        <f>IF(ISNUMBER(INDEX(Haver_M!$B$1:$ZN$1000,MATCH(data!$A64,Haver_M!$B$1:$B$1000,0),MATCH(data!AK$1,Haver_M!$B$1:$ZN$1,0))),INDEX(Haver_M!$B$1:$ZN$1000,MATCH(data!$A64,Haver_M!$B$1:$B$1000,0),MATCH(data!AK$1,Haver_M!$B$1:$ZN$1,0)),"na")</f>
        <v>na</v>
      </c>
      <c r="AL64" t="str">
        <f>IF(ISNUMBER(INDEX(Haver_M!$B$1:$ZN$1000,MATCH(data!$A64,Haver_M!$B$1:$B$1000,0),MATCH(data!AL$1,Haver_M!$B$1:$ZN$1,0))),INDEX(Haver_M!$B$1:$ZN$1000,MATCH(data!$A64,Haver_M!$B$1:$B$1000,0),MATCH(data!AL$1,Haver_M!$B$1:$ZN$1,0)),"na")</f>
        <v>na</v>
      </c>
      <c r="AM64" t="str">
        <f>IF(ISNUMBER(INDEX(Haver_M!$B$1:$ZN$1000,MATCH(data!$A64,Haver_M!$B$1:$B$1000,0),MATCH(data!AM$1,Haver_M!$B$1:$ZN$1,0))),INDEX(Haver_M!$B$1:$ZN$1000,MATCH(data!$A64,Haver_M!$B$1:$B$1000,0),MATCH(data!AM$1,Haver_M!$B$1:$ZN$1,0)),"na")</f>
        <v>na</v>
      </c>
      <c r="AN64" t="str">
        <f>IF(ISNUMBER(INDEX(Haver_M!$B$1:$ZN$1000,MATCH(data!$A64,Haver_M!$B$1:$B$1000,0),MATCH(data!AN$1,Haver_M!$B$1:$ZN$1,0))),INDEX(Haver_M!$B$1:$ZN$1000,MATCH(data!$A64,Haver_M!$B$1:$B$1000,0),MATCH(data!AN$1,Haver_M!$B$1:$ZN$1,0)),"na")</f>
        <v>na</v>
      </c>
      <c r="AO64" t="str">
        <f>IF(ISNUMBER(INDEX(Haver_M!$B$1:$ZN$1000,MATCH(data!$A64,Haver_M!$B$1:$B$1000,0),MATCH(data!AO$1,Haver_M!$B$1:$ZN$1,0))),INDEX(Haver_M!$B$1:$ZN$1000,MATCH(data!$A64,Haver_M!$B$1:$B$1000,0),MATCH(data!AO$1,Haver_M!$B$1:$ZN$1,0)),"na")</f>
        <v>na</v>
      </c>
      <c r="AP64" t="str">
        <f>IF(ISNUMBER(INDEX(Haver_M!$B$1:$ZN$1000,MATCH(data!$A64,Haver_M!$B$1:$B$1000,0),MATCH(data!AP$1,Haver_M!$B$1:$ZN$1,0))),INDEX(Haver_M!$B$1:$ZN$1000,MATCH(data!$A64,Haver_M!$B$1:$B$1000,0),MATCH(data!AP$1,Haver_M!$B$1:$ZN$1,0)),"na")</f>
        <v>na</v>
      </c>
      <c r="AQ64" t="str">
        <f>IF(ISNUMBER(INDEX(Haver_M!$B$1:$ZN$1000,MATCH(data!$A64,Haver_M!$B$1:$B$1000,0),MATCH(data!AQ$1,Haver_M!$B$1:$ZN$1,0))),INDEX(Haver_M!$B$1:$ZN$1000,MATCH(data!$A64,Haver_M!$B$1:$B$1000,0),MATCH(data!AQ$1,Haver_M!$B$1:$ZN$1,0)),"na")</f>
        <v>na</v>
      </c>
      <c r="AR64" t="str">
        <f>IF(ISNUMBER(INDEX(Haver_M!$B$1:$ZN$1000,MATCH(data!$A64,Haver_M!$B$1:$B$1000,0),MATCH(data!AR$1,Haver_M!$B$1:$ZN$1,0))),INDEX(Haver_M!$B$1:$ZN$1000,MATCH(data!$A64,Haver_M!$B$1:$B$1000,0),MATCH(data!AR$1,Haver_M!$B$1:$ZN$1,0)),"na")</f>
        <v>na</v>
      </c>
      <c r="AS64">
        <f>IF(ISNUMBER(INDEX(Haver_M!$B$1:$ZN$1000,MATCH(data!$A64,Haver_M!$B$1:$B$1000,0),MATCH(data!AS$1,Haver_M!$B$1:$ZN$1,0))),INDEX(Haver_M!$B$1:$ZN$1000,MATCH(data!$A64,Haver_M!$B$1:$B$1000,0),MATCH(data!AS$1,Haver_M!$B$1:$ZN$1,0)),"na")</f>
        <v>13294.26</v>
      </c>
      <c r="AT64">
        <f>IF(ISNUMBER(INDEX(Haver_M!$B$1:$ZN$1000,MATCH(data!$A64,Haver_M!$B$1:$B$1000,0),MATCH(data!AT$1,Haver_M!$B$1:$ZN$1,0))),INDEX(Haver_M!$B$1:$ZN$1000,MATCH(data!$A64,Haver_M!$B$1:$B$1000,0),MATCH(data!AT$1,Haver_M!$B$1:$ZN$1,0)),"na")</f>
        <v>88.241</v>
      </c>
      <c r="AU64">
        <f>IF(ISNUMBER(INDEX(Haver_M!$B$1:$ZN$1000,MATCH(data!$A64,Haver_M!$B$1:$B$1000,0),MATCH(data!AU$1,Haver_M!$B$1:$ZN$1,0))),INDEX(Haver_M!$B$1:$ZN$1000,MATCH(data!$A64,Haver_M!$B$1:$B$1000,0),MATCH(data!AU$1,Haver_M!$B$1:$ZN$1,0)),"na")</f>
        <v>84.487927999999997</v>
      </c>
      <c r="AV64">
        <f>IF(ISNUMBER(INDEX(Haver_M!$B$1:$ZN$1000,MATCH(data!$A64,Haver_M!$B$1:$B$1000,0),MATCH(data!AV$1,Haver_M!$B$1:$ZN$1,0))),INDEX(Haver_M!$B$1:$ZN$1000,MATCH(data!$A64,Haver_M!$B$1:$B$1000,0),MATCH(data!AV$1,Haver_M!$B$1:$ZN$1,0)),"na")</f>
        <v>79.5</v>
      </c>
      <c r="AW64">
        <f>IF(ISNUMBER(INDEX(Haver_M!$B$1:$ZN$1000,MATCH(data!$A64,Haver_M!$B$1:$B$1000,0),MATCH(data!AW$1,Haver_M!$B$1:$ZN$1,0))),INDEX(Haver_M!$B$1:$ZN$1000,MATCH(data!$A64,Haver_M!$B$1:$B$1000,0),MATCH(data!AW$1,Haver_M!$B$1:$ZN$1,0)),"na")</f>
        <v>1044991.4498542621</v>
      </c>
      <c r="AX64">
        <f>IF(ISNUMBER(INDEX(Haver_M!$B$1:$ZN$1000,MATCH(data!$A64,Haver_M!$B$1:$B$1000,0),MATCH(data!AX$1,Haver_M!$B$1:$ZN$1,0))),INDEX(Haver_M!$B$1:$ZN$1000,MATCH(data!$A64,Haver_M!$B$1:$B$1000,0),MATCH(data!AX$1,Haver_M!$B$1:$ZN$1,0)),"na")</f>
        <v>3272</v>
      </c>
      <c r="AY64">
        <f>IF(ISNUMBER(INDEX(Haver_M!$B$1:$ZN$1000,MATCH(data!$A64,Haver_M!$B$1:$B$1000,0),MATCH(data!AY$1,Haver_M!$B$1:$ZN$1,0))),INDEX(Haver_M!$B$1:$ZN$1000,MATCH(data!$A64,Haver_M!$B$1:$B$1000,0),MATCH(data!AY$1,Haver_M!$B$1:$ZN$1,0)),"na")</f>
        <v>1856</v>
      </c>
      <c r="AZ64">
        <f>IF(ISNUMBER(INDEX(Haver_M!$B$1:$ZN$1000,MATCH(data!$A64,Haver_M!$B$1:$B$1000,0),MATCH(data!AZ$1,Haver_M!$B$1:$ZN$1,0))),INDEX(Haver_M!$B$1:$ZN$1000,MATCH(data!$A64,Haver_M!$B$1:$B$1000,0),MATCH(data!AZ$1,Haver_M!$B$1:$ZN$1,0)),"na")</f>
        <v>51.5</v>
      </c>
      <c r="BA64">
        <f>IF(ISNUMBER(INDEX(Haver_M!$B$1:$ZN$1000,MATCH(data!$A64,Haver_M!$B$1:$B$1000,0),MATCH(data!BA$1,Haver_M!$B$1:$ZN$1,0))),INDEX(Haver_M!$B$1:$ZN$1000,MATCH(data!$A64,Haver_M!$B$1:$B$1000,0),MATCH(data!BA$1,Haver_M!$B$1:$ZN$1,0)),"na")</f>
        <v>55.697062943678254</v>
      </c>
      <c r="BB64" t="str">
        <f>IF(ISNUMBER(INDEX(Haver_M!$B$1:$ZN$1000,MATCH(data!$A64,Haver_M!$B$1:$B$1000,0),MATCH(data!BB$1,Haver_M!$B$1:$ZN$1,0))),INDEX(Haver_M!$B$1:$ZN$1000,MATCH(data!$A64,Haver_M!$B$1:$B$1000,0),MATCH(data!BB$1,Haver_M!$B$1:$ZN$1,0)),"")</f>
        <v/>
      </c>
    </row>
    <row r="65" spans="1:54" x14ac:dyDescent="0.25">
      <c r="A65" s="2">
        <v>38472</v>
      </c>
      <c r="B65" t="str">
        <f>IF(ISNUMBER(INDEX(Haver_Q!$B$1:$BD$1000,MATCH(data!$A65,Haver_Q!$B$1:$B$1000,0),MATCH(data!B$1,Haver_Q!$B$1:$BD$1,0))),100*INDEX(Haver_Q!$B$1:$BD$1000,MATCH(data!$A65,Haver_Q!$B$1:$B$1000,0),MATCH(data!B$1,Haver_Q!$B$1:$BD$1,0)),"na")</f>
        <v>na</v>
      </c>
      <c r="C65" t="str">
        <f>IF(ISNUMBER(INDEX(Haver_Q!$B$1:$BD$1000,MATCH(data!$A65,Haver_Q!$B$1:$B$1000,0),MATCH(data!C$1,Haver_Q!$B$1:$BD$1,0))),100*INDEX(Haver_Q!$B$1:$BD$1000,MATCH(data!$A65,Haver_Q!$B$1:$B$1000,0),MATCH(data!C$1,Haver_Q!$B$1:$BD$1,0)),"na")</f>
        <v>na</v>
      </c>
      <c r="D65" t="str">
        <f>IF(ISNUMBER(INDEX(Haver_Q!$B$1:$BD$1000,MATCH(data!$A65,Haver_Q!$B$1:$B$1000,0),MATCH(data!D$1,Haver_Q!$B$1:$BD$1,0))),100*INDEX(Haver_Q!$B$1:$BD$1000,MATCH(data!$A65,Haver_Q!$B$1:$B$1000,0),MATCH(data!D$1,Haver_Q!$B$1:$BD$1,0)),"na")</f>
        <v>na</v>
      </c>
      <c r="E65" t="str">
        <f>IF(ISNUMBER(INDEX(Haver_Q!$B$1:$BD$1000,MATCH(data!$A65,Haver_Q!$B$1:$B$1000,0),MATCH(data!E$1,Haver_Q!$B$1:$BD$1,0))),100*INDEX(Haver_Q!$B$1:$BD$1000,MATCH(data!$A65,Haver_Q!$B$1:$B$1000,0),MATCH(data!E$1,Haver_Q!$B$1:$BD$1,0)),"na")</f>
        <v>na</v>
      </c>
      <c r="F65" t="str">
        <f>IF(ISNUMBER(INDEX(Haver_Q!$B$1:$BD$1000,MATCH(data!$A65,Haver_Q!$B$1:$B$1000,0),MATCH(data!F$1,Haver_Q!$B$1:$BD$1,0))),100*INDEX(Haver_Q!$B$1:$BD$1000,MATCH(data!$A65,Haver_Q!$B$1:$B$1000,0),MATCH(data!F$1,Haver_Q!$B$1:$BD$1,0)),"na")</f>
        <v>na</v>
      </c>
      <c r="G65" t="str">
        <f>IF(ISNUMBER(INDEX(Haver_Q!$B$1:$BD$1000,MATCH(data!$A65,Haver_Q!$B$1:$B$1000,0),MATCH(data!G$1,Haver_Q!$B$1:$BD$1,0))),100*INDEX(Haver_Q!$B$1:$BD$1000,MATCH(data!$A65,Haver_Q!$B$1:$B$1000,0),MATCH(data!G$1,Haver_Q!$B$1:$BD$1,0)),"na")</f>
        <v>na</v>
      </c>
      <c r="H65" t="str">
        <f>IF(ISNUMBER(INDEX(Haver_Q!$B$1:$BD$1000,MATCH(data!$A65,Haver_Q!$B$1:$B$1000,0),MATCH(data!H$1,Haver_Q!$B$1:$BD$1,0))),100*INDEX(Haver_Q!$B$1:$BD$1000,MATCH(data!$A65,Haver_Q!$B$1:$B$1000,0),MATCH(data!H$1,Haver_Q!$B$1:$BD$1,0)),"na")</f>
        <v>na</v>
      </c>
      <c r="I65" s="3">
        <f>IF(ISNUMBER(Bloomberg_m!C81),Bloomberg_m!C81,"na")</f>
        <v>4532</v>
      </c>
      <c r="J65" s="3" t="str">
        <f>IF(ISNUMBER(Bloomberg_m!D81),Bloomberg_m!D81,"na")</f>
        <v>na</v>
      </c>
      <c r="K65" s="3" t="str">
        <f>IF(ISNUMBER(Bloomberg_m!E81),Bloomberg_m!E81,"na")</f>
        <v>na</v>
      </c>
      <c r="L65" s="3">
        <f>IF(ISNUMBER(Bloomberg_m!L81),Bloomberg_m!L81,"na")</f>
        <v>52.96</v>
      </c>
      <c r="M65" t="str">
        <f>IF(ISNUMBER(INDEX(Haver_M!$B$1:$ZN$1000,MATCH(data!$A65,Haver_M!$B$1:$B$1000,0),MATCH(data!M$1,Haver_M!$B$1:$ZN$1,0))),INDEX(Haver_M!$B$1:$ZN$1000,MATCH(data!$A65,Haver_M!$B$1:$B$1000,0),MATCH(data!M$1,Haver_M!$B$1:$ZN$1,0)),"na")</f>
        <v>na</v>
      </c>
      <c r="N65" t="str">
        <f>IF(ISNUMBER(INDEX(Haver_M!$B$1:$ZN$1000,MATCH(data!$A65,Haver_M!$B$1:$B$1000,0),MATCH(data!N$1,Haver_M!$B$1:$ZN$1,0))),INDEX(Haver_M!$B$1:$ZN$1000,MATCH(data!$A65,Haver_M!$B$1:$B$1000,0),MATCH(data!N$1,Haver_M!$B$1:$ZN$1,0)),"na")</f>
        <v>na</v>
      </c>
      <c r="O65">
        <f>IF(ISNUMBER(INDEX(Haver_M!$B$1:$ZN$1000,MATCH(data!$A65,Haver_M!$B$1:$B$1000,0),MATCH(data!O$1,Haver_M!$B$1:$ZN$1,0))),INDEX(Haver_M!$B$1:$ZN$1000,MATCH(data!$A65,Haver_M!$B$1:$B$1000,0),MATCH(data!O$1,Haver_M!$B$1:$ZN$1,0)),"na")</f>
        <v>108.98515999999999</v>
      </c>
      <c r="P65">
        <f>IF(ISNUMBER(INDEX(Haver_M!$B$1:$ZN$1000,MATCH(data!$A65,Haver_M!$B$1:$B$1000,0),MATCH(data!P$1,Haver_M!$B$1:$ZN$1,0))),INDEX(Haver_M!$B$1:$ZN$1000,MATCH(data!$A65,Haver_M!$B$1:$B$1000,0),MATCH(data!P$1,Haver_M!$B$1:$ZN$1,0)),"na")</f>
        <v>58.829799999999999</v>
      </c>
      <c r="Q65">
        <f>IF(ISNUMBER(INDEX(Haver_M!$B$1:$ZN$1000,MATCH(data!$A65,Haver_M!$B$1:$B$1000,0),MATCH(data!Q$1,Haver_M!$B$1:$ZN$1,0))),INDEX(Haver_M!$B$1:$ZN$1000,MATCH(data!$A65,Haver_M!$B$1:$B$1000,0),MATCH(data!Q$1,Haver_M!$B$1:$ZN$1,0)),"na")</f>
        <v>62.447299999999998</v>
      </c>
      <c r="R65">
        <f>IF(ISNUMBER(INDEX(Haver_M!$B$1:$ZN$1000,MATCH(data!$A65,Haver_M!$B$1:$B$1000,0),MATCH(data!R$1,Haver_M!$B$1:$ZN$1,0))),INDEX(Haver_M!$B$1:$ZN$1000,MATCH(data!$A65,Haver_M!$B$1:$B$1000,0),MATCH(data!R$1,Haver_M!$B$1:$ZN$1,0)),"na")</f>
        <v>93.6297</v>
      </c>
      <c r="S65">
        <f>IF(ISNUMBER(INDEX(Haver_M!$B$1:$ZN$1000,MATCH(data!$A65,Haver_M!$B$1:$B$1000,0),MATCH(data!S$1,Haver_M!$B$1:$ZN$1,0))),INDEX(Haver_M!$B$1:$ZN$1000,MATCH(data!$A65,Haver_M!$B$1:$B$1000,0),MATCH(data!S$1,Haver_M!$B$1:$ZN$1,0)),"na")</f>
        <v>114.2302</v>
      </c>
      <c r="T65">
        <f>IF(ISNUMBER(INDEX(Haver_M!$B$1:$ZN$1000,MATCH(data!$A65,Haver_M!$B$1:$B$1000,0),MATCH(data!T$1,Haver_M!$B$1:$ZN$1,0))),INDEX(Haver_M!$B$1:$ZN$1000,MATCH(data!$A65,Haver_M!$B$1:$B$1000,0),MATCH(data!T$1,Haver_M!$B$1:$ZN$1,0)),"na")</f>
        <v>71.816900000000004</v>
      </c>
      <c r="U65">
        <f>IF(ISNUMBER(INDEX(Haver_M!$B$1:$ZN$1000,MATCH(data!$A65,Haver_M!$B$1:$B$1000,0),MATCH(data!U$1,Haver_M!$B$1:$ZN$1,0))),INDEX(Haver_M!$B$1:$ZN$1000,MATCH(data!$A65,Haver_M!$B$1:$B$1000,0),MATCH(data!U$1,Haver_M!$B$1:$ZN$1,0)),"na")</f>
        <v>84.959299999999999</v>
      </c>
      <c r="V65">
        <f>IF(ISNUMBER(INDEX(Haver_M!$B$1:$ZN$1000,MATCH(data!$A65,Haver_M!$B$1:$B$1000,0),MATCH(data!V$1,Haver_M!$B$1:$ZN$1,0))),INDEX(Haver_M!$B$1:$ZN$1000,MATCH(data!$A65,Haver_M!$B$1:$B$1000,0),MATCH(data!V$1,Haver_M!$B$1:$ZN$1,0)),"na")</f>
        <v>90.769400000000005</v>
      </c>
      <c r="W65">
        <f>IF(ISNUMBER(INDEX(Haver_M!$B$1:$ZN$1000,MATCH(data!$A65,Haver_M!$B$1:$B$1000,0),MATCH(data!W$1,Haver_M!$B$1:$ZN$1,0))),INDEX(Haver_M!$B$1:$ZN$1000,MATCH(data!$A65,Haver_M!$B$1:$B$1000,0),MATCH(data!W$1,Haver_M!$B$1:$ZN$1,0)),"na")</f>
        <v>3.8</v>
      </c>
      <c r="X65" t="str">
        <f>IF(ISNUMBER(INDEX(Haver_M!$B$1:$ZN$1000,MATCH(data!$A65,Haver_M!$B$1:$B$1000,0),MATCH(data!X$1,Haver_M!$B$1:$ZN$1,0))),INDEX(Haver_M!$B$1:$ZN$1000,MATCH(data!$A65,Haver_M!$B$1:$B$1000,0),MATCH(data!X$1,Haver_M!$B$1:$ZN$1,0)),"na")</f>
        <v>na</v>
      </c>
      <c r="Y65">
        <f>IF(ISNUMBER(INDEX(Haver_M!$B$1:$ZN$1000,MATCH(data!$A65,Haver_M!$B$1:$B$1000,0),MATCH(data!Y$1,Haver_M!$B$1:$ZN$1,0))),INDEX(Haver_M!$B$1:$ZN$1000,MATCH(data!$A65,Haver_M!$B$1:$B$1000,0),MATCH(data!Y$1,Haver_M!$B$1:$ZN$1,0)),"na")</f>
        <v>99.75</v>
      </c>
      <c r="Z65">
        <f>IF(ISNUMBER(INDEX(Haver_M!$B$1:$ZN$1000,MATCH(data!$A65,Haver_M!$B$1:$B$1000,0),MATCH(data!Z$1,Haver_M!$B$1:$ZN$1,0))),INDEX(Haver_M!$B$1:$ZN$1000,MATCH(data!$A65,Haver_M!$B$1:$B$1000,0),MATCH(data!Z$1,Haver_M!$B$1:$ZN$1,0)),"na")</f>
        <v>91.6648</v>
      </c>
      <c r="AA65" t="str">
        <f>IF(ISNUMBER(INDEX(Haver_M!$B$1:$ZN$1000,MATCH(data!$A65,Haver_M!$B$1:$B$1000,0),MATCH(data!AA$1,Haver_M!$B$1:$ZN$1,0))),INDEX(Haver_M!$B$1:$ZN$1000,MATCH(data!$A65,Haver_M!$B$1:$B$1000,0),MATCH(data!AA$1,Haver_M!$B$1:$ZN$1,0)),"na")</f>
        <v>na</v>
      </c>
      <c r="AB65">
        <f>IF(ISNUMBER(INDEX(Haver_M!$B$1:$ZN$1000,MATCH(data!$A65,Haver_M!$B$1:$B$1000,0),MATCH(data!AB$1,Haver_M!$B$1:$ZN$1,0))),INDEX(Haver_M!$B$1:$ZN$1000,MATCH(data!$A65,Haver_M!$B$1:$B$1000,0),MATCH(data!AB$1,Haver_M!$B$1:$ZN$1,0)),"na")</f>
        <v>17628.900000000001</v>
      </c>
      <c r="AC65">
        <f>IF(ISNUMBER(INDEX(Haver_M!$B$1:$ZN$1000,MATCH(data!$A65,Haver_M!$B$1:$B$1000,0),MATCH(data!AC$1,Haver_M!$B$1:$ZN$1,0))),INDEX(Haver_M!$B$1:$ZN$1000,MATCH(data!$A65,Haver_M!$B$1:$B$1000,0),MATCH(data!AC$1,Haver_M!$B$1:$ZN$1,0)),"na")</f>
        <v>18030.900000000001</v>
      </c>
      <c r="AD65">
        <f>IF(ISNUMBER(INDEX(Haver_M!$B$1:$ZN$1000,MATCH(data!$A65,Haver_M!$B$1:$B$1000,0),MATCH(data!AD$1,Haver_M!$B$1:$ZN$1,0))),INDEX(Haver_M!$B$1:$ZN$1000,MATCH(data!$A65,Haver_M!$B$1:$B$1000,0),MATCH(data!AD$1,Haver_M!$B$1:$ZN$1,0)),"na")</f>
        <v>99.57</v>
      </c>
      <c r="AE65">
        <f>IF(ISNUMBER(INDEX(Haver_M!$B$1:$ZN$1000,MATCH(data!$A65,Haver_M!$B$1:$B$1000,0),MATCH(data!AE$1,Haver_M!$B$1:$ZN$1,0))),INDEX(Haver_M!$B$1:$ZN$1000,MATCH(data!$A65,Haver_M!$B$1:$B$1000,0),MATCH(data!AE$1,Haver_M!$B$1:$ZN$1,0)),"na")</f>
        <v>41.2</v>
      </c>
      <c r="AF65">
        <f>IF(ISNUMBER(INDEX(Haver_M!$B$1:$ZN$1000,MATCH(data!$A65,Haver_M!$B$1:$B$1000,0),MATCH(data!AF$1,Haver_M!$B$1:$ZN$1,0))),INDEX(Haver_M!$B$1:$ZN$1000,MATCH(data!$A65,Haver_M!$B$1:$B$1000,0),MATCH(data!AF$1,Haver_M!$B$1:$ZN$1,0)),"na")</f>
        <v>99.92</v>
      </c>
      <c r="AG65" t="str">
        <f>IF(ISNUMBER(INDEX(Haver_M!$B$1:$ZN$1000,MATCH(data!$A65,Haver_M!$B$1:$B$1000,0),MATCH(data!AG$1,Haver_M!$B$1:$ZN$1,0))),INDEX(Haver_M!$B$1:$ZN$1000,MATCH(data!$A65,Haver_M!$B$1:$B$1000,0),MATCH(data!AG$1,Haver_M!$B$1:$ZN$1,0)),"na")</f>
        <v>na</v>
      </c>
      <c r="AH65" t="str">
        <f>IF(ISNUMBER(INDEX(Haver_M!$B$1:$ZN$1000,MATCH(data!$A65,Haver_M!$B$1:$B$1000,0),MATCH(data!AH$1,Haver_M!$B$1:$ZN$1,0))),INDEX(Haver_M!$B$1:$ZN$1000,MATCH(data!$A65,Haver_M!$B$1:$B$1000,0),MATCH(data!AH$1,Haver_M!$B$1:$ZN$1,0)),"na")</f>
        <v>na</v>
      </c>
      <c r="AI65" t="str">
        <f>IF(ISNUMBER(INDEX(Haver_M!$B$1:$ZN$1000,MATCH(data!$A65,Haver_M!$B$1:$B$1000,0),MATCH(data!AI$1,Haver_M!$B$1:$ZN$1,0))),INDEX(Haver_M!$B$1:$ZN$1000,MATCH(data!$A65,Haver_M!$B$1:$B$1000,0),MATCH(data!AI$1,Haver_M!$B$1:$ZN$1,0)),"na")</f>
        <v>na</v>
      </c>
      <c r="AJ65" t="str">
        <f>IF(ISNUMBER(INDEX(Haver_M!$B$1:$ZN$1000,MATCH(data!$A65,Haver_M!$B$1:$B$1000,0),MATCH(data!AJ$1,Haver_M!$B$1:$ZN$1,0))),INDEX(Haver_M!$B$1:$ZN$1000,MATCH(data!$A65,Haver_M!$B$1:$B$1000,0),MATCH(data!AJ$1,Haver_M!$B$1:$ZN$1,0)),"na")</f>
        <v>na</v>
      </c>
      <c r="AK65" t="str">
        <f>IF(ISNUMBER(INDEX(Haver_M!$B$1:$ZN$1000,MATCH(data!$A65,Haver_M!$B$1:$B$1000,0),MATCH(data!AK$1,Haver_M!$B$1:$ZN$1,0))),INDEX(Haver_M!$B$1:$ZN$1000,MATCH(data!$A65,Haver_M!$B$1:$B$1000,0),MATCH(data!AK$1,Haver_M!$B$1:$ZN$1,0)),"na")</f>
        <v>na</v>
      </c>
      <c r="AL65" t="str">
        <f>IF(ISNUMBER(INDEX(Haver_M!$B$1:$ZN$1000,MATCH(data!$A65,Haver_M!$B$1:$B$1000,0),MATCH(data!AL$1,Haver_M!$B$1:$ZN$1,0))),INDEX(Haver_M!$B$1:$ZN$1000,MATCH(data!$A65,Haver_M!$B$1:$B$1000,0),MATCH(data!AL$1,Haver_M!$B$1:$ZN$1,0)),"na")</f>
        <v>na</v>
      </c>
      <c r="AM65" t="str">
        <f>IF(ISNUMBER(INDEX(Haver_M!$B$1:$ZN$1000,MATCH(data!$A65,Haver_M!$B$1:$B$1000,0),MATCH(data!AM$1,Haver_M!$B$1:$ZN$1,0))),INDEX(Haver_M!$B$1:$ZN$1000,MATCH(data!$A65,Haver_M!$B$1:$B$1000,0),MATCH(data!AM$1,Haver_M!$B$1:$ZN$1,0)),"na")</f>
        <v>na</v>
      </c>
      <c r="AN65" t="str">
        <f>IF(ISNUMBER(INDEX(Haver_M!$B$1:$ZN$1000,MATCH(data!$A65,Haver_M!$B$1:$B$1000,0),MATCH(data!AN$1,Haver_M!$B$1:$ZN$1,0))),INDEX(Haver_M!$B$1:$ZN$1000,MATCH(data!$A65,Haver_M!$B$1:$B$1000,0),MATCH(data!AN$1,Haver_M!$B$1:$ZN$1,0)),"na")</f>
        <v>na</v>
      </c>
      <c r="AO65" t="str">
        <f>IF(ISNUMBER(INDEX(Haver_M!$B$1:$ZN$1000,MATCH(data!$A65,Haver_M!$B$1:$B$1000,0),MATCH(data!AO$1,Haver_M!$B$1:$ZN$1,0))),INDEX(Haver_M!$B$1:$ZN$1000,MATCH(data!$A65,Haver_M!$B$1:$B$1000,0),MATCH(data!AO$1,Haver_M!$B$1:$ZN$1,0)),"na")</f>
        <v>na</v>
      </c>
      <c r="AP65" t="str">
        <f>IF(ISNUMBER(INDEX(Haver_M!$B$1:$ZN$1000,MATCH(data!$A65,Haver_M!$B$1:$B$1000,0),MATCH(data!AP$1,Haver_M!$B$1:$ZN$1,0))),INDEX(Haver_M!$B$1:$ZN$1000,MATCH(data!$A65,Haver_M!$B$1:$B$1000,0),MATCH(data!AP$1,Haver_M!$B$1:$ZN$1,0)),"na")</f>
        <v>na</v>
      </c>
      <c r="AQ65" t="str">
        <f>IF(ISNUMBER(INDEX(Haver_M!$B$1:$ZN$1000,MATCH(data!$A65,Haver_M!$B$1:$B$1000,0),MATCH(data!AQ$1,Haver_M!$B$1:$ZN$1,0))),INDEX(Haver_M!$B$1:$ZN$1000,MATCH(data!$A65,Haver_M!$B$1:$B$1000,0),MATCH(data!AQ$1,Haver_M!$B$1:$ZN$1,0)),"na")</f>
        <v>na</v>
      </c>
      <c r="AR65" t="str">
        <f>IF(ISNUMBER(INDEX(Haver_M!$B$1:$ZN$1000,MATCH(data!$A65,Haver_M!$B$1:$B$1000,0),MATCH(data!AR$1,Haver_M!$B$1:$ZN$1,0))),INDEX(Haver_M!$B$1:$ZN$1000,MATCH(data!$A65,Haver_M!$B$1:$B$1000,0),MATCH(data!AR$1,Haver_M!$B$1:$ZN$1,0)),"na")</f>
        <v>na</v>
      </c>
      <c r="AS65">
        <f>IF(ISNUMBER(INDEX(Haver_M!$B$1:$ZN$1000,MATCH(data!$A65,Haver_M!$B$1:$B$1000,0),MATCH(data!AS$1,Haver_M!$B$1:$ZN$1,0))),INDEX(Haver_M!$B$1:$ZN$1000,MATCH(data!$A65,Haver_M!$B$1:$B$1000,0),MATCH(data!AS$1,Haver_M!$B$1:$ZN$1,0)),"na")</f>
        <v>12284.35</v>
      </c>
      <c r="AT65">
        <f>IF(ISNUMBER(INDEX(Haver_M!$B$1:$ZN$1000,MATCH(data!$A65,Haver_M!$B$1:$B$1000,0),MATCH(data!AT$1,Haver_M!$B$1:$ZN$1,0))),INDEX(Haver_M!$B$1:$ZN$1000,MATCH(data!$A65,Haver_M!$B$1:$B$1000,0),MATCH(data!AT$1,Haver_M!$B$1:$ZN$1,0)),"na")</f>
        <v>88.754999999999995</v>
      </c>
      <c r="AU65">
        <f>IF(ISNUMBER(INDEX(Haver_M!$B$1:$ZN$1000,MATCH(data!$A65,Haver_M!$B$1:$B$1000,0),MATCH(data!AU$1,Haver_M!$B$1:$ZN$1,0))),INDEX(Haver_M!$B$1:$ZN$1000,MATCH(data!$A65,Haver_M!$B$1:$B$1000,0),MATCH(data!AU$1,Haver_M!$B$1:$ZN$1,0)),"na")</f>
        <v>84.943247999999997</v>
      </c>
      <c r="AV65">
        <f>IF(ISNUMBER(INDEX(Haver_M!$B$1:$ZN$1000,MATCH(data!$A65,Haver_M!$B$1:$B$1000,0),MATCH(data!AV$1,Haver_M!$B$1:$ZN$1,0))),INDEX(Haver_M!$B$1:$ZN$1000,MATCH(data!$A65,Haver_M!$B$1:$B$1000,0),MATCH(data!AV$1,Haver_M!$B$1:$ZN$1,0)),"na")</f>
        <v>78.5</v>
      </c>
      <c r="AW65">
        <f>IF(ISNUMBER(INDEX(Haver_M!$B$1:$ZN$1000,MATCH(data!$A65,Haver_M!$B$1:$B$1000,0),MATCH(data!AW$1,Haver_M!$B$1:$ZN$1,0))),INDEX(Haver_M!$B$1:$ZN$1000,MATCH(data!$A65,Haver_M!$B$1:$B$1000,0),MATCH(data!AW$1,Haver_M!$B$1:$ZN$1,0)),"na")</f>
        <v>988538.07803242339</v>
      </c>
      <c r="AX65">
        <f>IF(ISNUMBER(INDEX(Haver_M!$B$1:$ZN$1000,MATCH(data!$A65,Haver_M!$B$1:$B$1000,0),MATCH(data!AX$1,Haver_M!$B$1:$ZN$1,0))),INDEX(Haver_M!$B$1:$ZN$1000,MATCH(data!$A65,Haver_M!$B$1:$B$1000,0),MATCH(data!AX$1,Haver_M!$B$1:$ZN$1,0)),"na")</f>
        <v>3376</v>
      </c>
      <c r="AY65">
        <f>IF(ISNUMBER(INDEX(Haver_M!$B$1:$ZN$1000,MATCH(data!$A65,Haver_M!$B$1:$B$1000,0),MATCH(data!AY$1,Haver_M!$B$1:$ZN$1,0))),INDEX(Haver_M!$B$1:$ZN$1000,MATCH(data!$A65,Haver_M!$B$1:$B$1000,0),MATCH(data!AY$1,Haver_M!$B$1:$ZN$1,0)),"na")</f>
        <v>1781</v>
      </c>
      <c r="AZ65">
        <f>IF(ISNUMBER(INDEX(Haver_M!$B$1:$ZN$1000,MATCH(data!$A65,Haver_M!$B$1:$B$1000,0),MATCH(data!AZ$1,Haver_M!$B$1:$ZN$1,0))),INDEX(Haver_M!$B$1:$ZN$1000,MATCH(data!$A65,Haver_M!$B$1:$B$1000,0),MATCH(data!AZ$1,Haver_M!$B$1:$ZN$1,0)),"na")</f>
        <v>49.9</v>
      </c>
      <c r="BA65">
        <f>IF(ISNUMBER(INDEX(Haver_M!$B$1:$ZN$1000,MATCH(data!$A65,Haver_M!$B$1:$B$1000,0),MATCH(data!BA$1,Haver_M!$B$1:$ZN$1,0))),INDEX(Haver_M!$B$1:$ZN$1000,MATCH(data!$A65,Haver_M!$B$1:$B$1000,0),MATCH(data!BA$1,Haver_M!$B$1:$ZN$1,0)),"na")</f>
        <v>182.10377063142485</v>
      </c>
      <c r="BB65" t="str">
        <f>IF(ISNUMBER(INDEX(Haver_M!$B$1:$ZN$1000,MATCH(data!$A65,Haver_M!$B$1:$B$1000,0),MATCH(data!BB$1,Haver_M!$B$1:$ZN$1,0))),INDEX(Haver_M!$B$1:$ZN$1000,MATCH(data!$A65,Haver_M!$B$1:$B$1000,0),MATCH(data!BB$1,Haver_M!$B$1:$ZN$1,0)),"")</f>
        <v/>
      </c>
    </row>
    <row r="66" spans="1:54" x14ac:dyDescent="0.25">
      <c r="A66" s="2">
        <v>38503</v>
      </c>
      <c r="B66" t="str">
        <f>IF(ISNUMBER(INDEX(Haver_Q!$B$1:$BD$1000,MATCH(data!$A66,Haver_Q!$B$1:$B$1000,0),MATCH(data!B$1,Haver_Q!$B$1:$BD$1,0))),100*INDEX(Haver_Q!$B$1:$BD$1000,MATCH(data!$A66,Haver_Q!$B$1:$B$1000,0),MATCH(data!B$1,Haver_Q!$B$1:$BD$1,0)),"na")</f>
        <v>na</v>
      </c>
      <c r="C66" t="str">
        <f>IF(ISNUMBER(INDEX(Haver_Q!$B$1:$BD$1000,MATCH(data!$A66,Haver_Q!$B$1:$B$1000,0),MATCH(data!C$1,Haver_Q!$B$1:$BD$1,0))),100*INDEX(Haver_Q!$B$1:$BD$1000,MATCH(data!$A66,Haver_Q!$B$1:$B$1000,0),MATCH(data!C$1,Haver_Q!$B$1:$BD$1,0)),"na")</f>
        <v>na</v>
      </c>
      <c r="D66" t="str">
        <f>IF(ISNUMBER(INDEX(Haver_Q!$B$1:$BD$1000,MATCH(data!$A66,Haver_Q!$B$1:$B$1000,0),MATCH(data!D$1,Haver_Q!$B$1:$BD$1,0))),100*INDEX(Haver_Q!$B$1:$BD$1000,MATCH(data!$A66,Haver_Q!$B$1:$B$1000,0),MATCH(data!D$1,Haver_Q!$B$1:$BD$1,0)),"na")</f>
        <v>na</v>
      </c>
      <c r="E66" t="str">
        <f>IF(ISNUMBER(INDEX(Haver_Q!$B$1:$BD$1000,MATCH(data!$A66,Haver_Q!$B$1:$B$1000,0),MATCH(data!E$1,Haver_Q!$B$1:$BD$1,0))),100*INDEX(Haver_Q!$B$1:$BD$1000,MATCH(data!$A66,Haver_Q!$B$1:$B$1000,0),MATCH(data!E$1,Haver_Q!$B$1:$BD$1,0)),"na")</f>
        <v>na</v>
      </c>
      <c r="F66" t="str">
        <f>IF(ISNUMBER(INDEX(Haver_Q!$B$1:$BD$1000,MATCH(data!$A66,Haver_Q!$B$1:$B$1000,0),MATCH(data!F$1,Haver_Q!$B$1:$BD$1,0))),100*INDEX(Haver_Q!$B$1:$BD$1000,MATCH(data!$A66,Haver_Q!$B$1:$B$1000,0),MATCH(data!F$1,Haver_Q!$B$1:$BD$1,0)),"na")</f>
        <v>na</v>
      </c>
      <c r="G66" t="str">
        <f>IF(ISNUMBER(INDEX(Haver_Q!$B$1:$BD$1000,MATCH(data!$A66,Haver_Q!$B$1:$B$1000,0),MATCH(data!G$1,Haver_Q!$B$1:$BD$1,0))),100*INDEX(Haver_Q!$B$1:$BD$1000,MATCH(data!$A66,Haver_Q!$B$1:$B$1000,0),MATCH(data!G$1,Haver_Q!$B$1:$BD$1,0)),"na")</f>
        <v>na</v>
      </c>
      <c r="H66" t="str">
        <f>IF(ISNUMBER(INDEX(Haver_Q!$B$1:$BD$1000,MATCH(data!$A66,Haver_Q!$B$1:$B$1000,0),MATCH(data!H$1,Haver_Q!$B$1:$BD$1,0))),100*INDEX(Haver_Q!$B$1:$BD$1000,MATCH(data!$A66,Haver_Q!$B$1:$B$1000,0),MATCH(data!H$1,Haver_Q!$B$1:$BD$1,0)),"na")</f>
        <v>na</v>
      </c>
      <c r="I66" s="3">
        <f>IF(ISNUMBER(Bloomberg_m!C82),Bloomberg_m!C82,"na")</f>
        <v>3667</v>
      </c>
      <c r="J66" s="3" t="str">
        <f>IF(ISNUMBER(Bloomberg_m!D82),Bloomberg_m!D82,"na")</f>
        <v>na</v>
      </c>
      <c r="K66" s="3" t="str">
        <f>IF(ISNUMBER(Bloomberg_m!E82),Bloomberg_m!E82,"na")</f>
        <v>na</v>
      </c>
      <c r="L66" s="3">
        <f>IF(ISNUMBER(Bloomberg_m!L82),Bloomberg_m!L82,"na")</f>
        <v>49.81</v>
      </c>
      <c r="M66" t="str">
        <f>IF(ISNUMBER(INDEX(Haver_M!$B$1:$ZN$1000,MATCH(data!$A66,Haver_M!$B$1:$B$1000,0),MATCH(data!M$1,Haver_M!$B$1:$ZN$1,0))),INDEX(Haver_M!$B$1:$ZN$1000,MATCH(data!$A66,Haver_M!$B$1:$B$1000,0),MATCH(data!M$1,Haver_M!$B$1:$ZN$1,0)),"na")</f>
        <v>na</v>
      </c>
      <c r="N66" t="str">
        <f>IF(ISNUMBER(INDEX(Haver_M!$B$1:$ZN$1000,MATCH(data!$A66,Haver_M!$B$1:$B$1000,0),MATCH(data!N$1,Haver_M!$B$1:$ZN$1,0))),INDEX(Haver_M!$B$1:$ZN$1000,MATCH(data!$A66,Haver_M!$B$1:$B$1000,0),MATCH(data!N$1,Haver_M!$B$1:$ZN$1,0)),"na")</f>
        <v>na</v>
      </c>
      <c r="O66">
        <f>IF(ISNUMBER(INDEX(Haver_M!$B$1:$ZN$1000,MATCH(data!$A66,Haver_M!$B$1:$B$1000,0),MATCH(data!O$1,Haver_M!$B$1:$ZN$1,0))),INDEX(Haver_M!$B$1:$ZN$1000,MATCH(data!$A66,Haver_M!$B$1:$B$1000,0),MATCH(data!O$1,Haver_M!$B$1:$ZN$1,0)),"na")</f>
        <v>110.22448</v>
      </c>
      <c r="P66">
        <f>IF(ISNUMBER(INDEX(Haver_M!$B$1:$ZN$1000,MATCH(data!$A66,Haver_M!$B$1:$B$1000,0),MATCH(data!P$1,Haver_M!$B$1:$ZN$1,0))),INDEX(Haver_M!$B$1:$ZN$1000,MATCH(data!$A66,Haver_M!$B$1:$B$1000,0),MATCH(data!P$1,Haver_M!$B$1:$ZN$1,0)),"na")</f>
        <v>59.007800000000003</v>
      </c>
      <c r="Q66">
        <f>IF(ISNUMBER(INDEX(Haver_M!$B$1:$ZN$1000,MATCH(data!$A66,Haver_M!$B$1:$B$1000,0),MATCH(data!Q$1,Haver_M!$B$1:$ZN$1,0))),INDEX(Haver_M!$B$1:$ZN$1000,MATCH(data!$A66,Haver_M!$B$1:$B$1000,0),MATCH(data!Q$1,Haver_M!$B$1:$ZN$1,0)),"na")</f>
        <v>62.595599999999997</v>
      </c>
      <c r="R66">
        <f>IF(ISNUMBER(INDEX(Haver_M!$B$1:$ZN$1000,MATCH(data!$A66,Haver_M!$B$1:$B$1000,0),MATCH(data!R$1,Haver_M!$B$1:$ZN$1,0))),INDEX(Haver_M!$B$1:$ZN$1000,MATCH(data!$A66,Haver_M!$B$1:$B$1000,0),MATCH(data!R$1,Haver_M!$B$1:$ZN$1,0)),"na")</f>
        <v>95.087800000000001</v>
      </c>
      <c r="S66">
        <f>IF(ISNUMBER(INDEX(Haver_M!$B$1:$ZN$1000,MATCH(data!$A66,Haver_M!$B$1:$B$1000,0),MATCH(data!S$1,Haver_M!$B$1:$ZN$1,0))),INDEX(Haver_M!$B$1:$ZN$1000,MATCH(data!$A66,Haver_M!$B$1:$B$1000,0),MATCH(data!S$1,Haver_M!$B$1:$ZN$1,0)),"na")</f>
        <v>116.07680000000001</v>
      </c>
      <c r="T66">
        <f>IF(ISNUMBER(INDEX(Haver_M!$B$1:$ZN$1000,MATCH(data!$A66,Haver_M!$B$1:$B$1000,0),MATCH(data!T$1,Haver_M!$B$1:$ZN$1,0))),INDEX(Haver_M!$B$1:$ZN$1000,MATCH(data!$A66,Haver_M!$B$1:$B$1000,0),MATCH(data!T$1,Haver_M!$B$1:$ZN$1,0)),"na")</f>
        <v>72.287899999999993</v>
      </c>
      <c r="U66">
        <f>IF(ISNUMBER(INDEX(Haver_M!$B$1:$ZN$1000,MATCH(data!$A66,Haver_M!$B$1:$B$1000,0),MATCH(data!U$1,Haver_M!$B$1:$ZN$1,0))),INDEX(Haver_M!$B$1:$ZN$1000,MATCH(data!$A66,Haver_M!$B$1:$B$1000,0),MATCH(data!U$1,Haver_M!$B$1:$ZN$1,0)),"na")</f>
        <v>85.830500000000001</v>
      </c>
      <c r="V66">
        <f>IF(ISNUMBER(INDEX(Haver_M!$B$1:$ZN$1000,MATCH(data!$A66,Haver_M!$B$1:$B$1000,0),MATCH(data!V$1,Haver_M!$B$1:$ZN$1,0))),INDEX(Haver_M!$B$1:$ZN$1000,MATCH(data!$A66,Haver_M!$B$1:$B$1000,0),MATCH(data!V$1,Haver_M!$B$1:$ZN$1,0)),"na")</f>
        <v>91.475200000000001</v>
      </c>
      <c r="W66">
        <f>IF(ISNUMBER(INDEX(Haver_M!$B$1:$ZN$1000,MATCH(data!$A66,Haver_M!$B$1:$B$1000,0),MATCH(data!W$1,Haver_M!$B$1:$ZN$1,0))),INDEX(Haver_M!$B$1:$ZN$1000,MATCH(data!$A66,Haver_M!$B$1:$B$1000,0),MATCH(data!W$1,Haver_M!$B$1:$ZN$1,0)),"na")</f>
        <v>3.74</v>
      </c>
      <c r="X66" t="str">
        <f>IF(ISNUMBER(INDEX(Haver_M!$B$1:$ZN$1000,MATCH(data!$A66,Haver_M!$B$1:$B$1000,0),MATCH(data!X$1,Haver_M!$B$1:$ZN$1,0))),INDEX(Haver_M!$B$1:$ZN$1000,MATCH(data!$A66,Haver_M!$B$1:$B$1000,0),MATCH(data!X$1,Haver_M!$B$1:$ZN$1,0)),"na")</f>
        <v>na</v>
      </c>
      <c r="Y66">
        <f>IF(ISNUMBER(INDEX(Haver_M!$B$1:$ZN$1000,MATCH(data!$A66,Haver_M!$B$1:$B$1000,0),MATCH(data!Y$1,Haver_M!$B$1:$ZN$1,0))),INDEX(Haver_M!$B$1:$ZN$1000,MATCH(data!$A66,Haver_M!$B$1:$B$1000,0),MATCH(data!Y$1,Haver_M!$B$1:$ZN$1,0)),"na")</f>
        <v>99.74</v>
      </c>
      <c r="Z66">
        <f>IF(ISNUMBER(INDEX(Haver_M!$B$1:$ZN$1000,MATCH(data!$A66,Haver_M!$B$1:$B$1000,0),MATCH(data!Z$1,Haver_M!$B$1:$ZN$1,0))),INDEX(Haver_M!$B$1:$ZN$1000,MATCH(data!$A66,Haver_M!$B$1:$B$1000,0),MATCH(data!Z$1,Haver_M!$B$1:$ZN$1,0)),"na")</f>
        <v>92.321200000000005</v>
      </c>
      <c r="AA66" t="str">
        <f>IF(ISNUMBER(INDEX(Haver_M!$B$1:$ZN$1000,MATCH(data!$A66,Haver_M!$B$1:$B$1000,0),MATCH(data!AA$1,Haver_M!$B$1:$ZN$1,0))),INDEX(Haver_M!$B$1:$ZN$1000,MATCH(data!$A66,Haver_M!$B$1:$B$1000,0),MATCH(data!AA$1,Haver_M!$B$1:$ZN$1,0)),"na")</f>
        <v>na</v>
      </c>
      <c r="AB66">
        <f>IF(ISNUMBER(INDEX(Haver_M!$B$1:$ZN$1000,MATCH(data!$A66,Haver_M!$B$1:$B$1000,0),MATCH(data!AB$1,Haver_M!$B$1:$ZN$1,0))),INDEX(Haver_M!$B$1:$ZN$1000,MATCH(data!$A66,Haver_M!$B$1:$B$1000,0),MATCH(data!AB$1,Haver_M!$B$1:$ZN$1,0)),"na")</f>
        <v>17202.5</v>
      </c>
      <c r="AC66">
        <f>IF(ISNUMBER(INDEX(Haver_M!$B$1:$ZN$1000,MATCH(data!$A66,Haver_M!$B$1:$B$1000,0),MATCH(data!AC$1,Haver_M!$B$1:$ZN$1,0))),INDEX(Haver_M!$B$1:$ZN$1000,MATCH(data!$A66,Haver_M!$B$1:$B$1000,0),MATCH(data!AC$1,Haver_M!$B$1:$ZN$1,0)),"na")</f>
        <v>17720.599999999999</v>
      </c>
      <c r="AD66">
        <f>IF(ISNUMBER(INDEX(Haver_M!$B$1:$ZN$1000,MATCH(data!$A66,Haver_M!$B$1:$B$1000,0),MATCH(data!AD$1,Haver_M!$B$1:$ZN$1,0))),INDEX(Haver_M!$B$1:$ZN$1000,MATCH(data!$A66,Haver_M!$B$1:$B$1000,0),MATCH(data!AD$1,Haver_M!$B$1:$ZN$1,0)),"na")</f>
        <v>99.58</v>
      </c>
      <c r="AE66">
        <f>IF(ISNUMBER(INDEX(Haver_M!$B$1:$ZN$1000,MATCH(data!$A66,Haver_M!$B$1:$B$1000,0),MATCH(data!AE$1,Haver_M!$B$1:$ZN$1,0))),INDEX(Haver_M!$B$1:$ZN$1000,MATCH(data!$A66,Haver_M!$B$1:$B$1000,0),MATCH(data!AE$1,Haver_M!$B$1:$ZN$1,0)),"na")</f>
        <v>40.1</v>
      </c>
      <c r="AF66">
        <f>IF(ISNUMBER(INDEX(Haver_M!$B$1:$ZN$1000,MATCH(data!$A66,Haver_M!$B$1:$B$1000,0),MATCH(data!AF$1,Haver_M!$B$1:$ZN$1,0))),INDEX(Haver_M!$B$1:$ZN$1000,MATCH(data!$A66,Haver_M!$B$1:$B$1000,0),MATCH(data!AF$1,Haver_M!$B$1:$ZN$1,0)),"na")</f>
        <v>99.9</v>
      </c>
      <c r="AG66" t="str">
        <f>IF(ISNUMBER(INDEX(Haver_M!$B$1:$ZN$1000,MATCH(data!$A66,Haver_M!$B$1:$B$1000,0),MATCH(data!AG$1,Haver_M!$B$1:$ZN$1,0))),INDEX(Haver_M!$B$1:$ZN$1000,MATCH(data!$A66,Haver_M!$B$1:$B$1000,0),MATCH(data!AG$1,Haver_M!$B$1:$ZN$1,0)),"na")</f>
        <v>na</v>
      </c>
      <c r="AH66" t="str">
        <f>IF(ISNUMBER(INDEX(Haver_M!$B$1:$ZN$1000,MATCH(data!$A66,Haver_M!$B$1:$B$1000,0),MATCH(data!AH$1,Haver_M!$B$1:$ZN$1,0))),INDEX(Haver_M!$B$1:$ZN$1000,MATCH(data!$A66,Haver_M!$B$1:$B$1000,0),MATCH(data!AH$1,Haver_M!$B$1:$ZN$1,0)),"na")</f>
        <v>na</v>
      </c>
      <c r="AI66" t="str">
        <f>IF(ISNUMBER(INDEX(Haver_M!$B$1:$ZN$1000,MATCH(data!$A66,Haver_M!$B$1:$B$1000,0),MATCH(data!AI$1,Haver_M!$B$1:$ZN$1,0))),INDEX(Haver_M!$B$1:$ZN$1000,MATCH(data!$A66,Haver_M!$B$1:$B$1000,0),MATCH(data!AI$1,Haver_M!$B$1:$ZN$1,0)),"na")</f>
        <v>na</v>
      </c>
      <c r="AJ66" t="str">
        <f>IF(ISNUMBER(INDEX(Haver_M!$B$1:$ZN$1000,MATCH(data!$A66,Haver_M!$B$1:$B$1000,0),MATCH(data!AJ$1,Haver_M!$B$1:$ZN$1,0))),INDEX(Haver_M!$B$1:$ZN$1000,MATCH(data!$A66,Haver_M!$B$1:$B$1000,0),MATCH(data!AJ$1,Haver_M!$B$1:$ZN$1,0)),"na")</f>
        <v>na</v>
      </c>
      <c r="AK66" t="str">
        <f>IF(ISNUMBER(INDEX(Haver_M!$B$1:$ZN$1000,MATCH(data!$A66,Haver_M!$B$1:$B$1000,0),MATCH(data!AK$1,Haver_M!$B$1:$ZN$1,0))),INDEX(Haver_M!$B$1:$ZN$1000,MATCH(data!$A66,Haver_M!$B$1:$B$1000,0),MATCH(data!AK$1,Haver_M!$B$1:$ZN$1,0)),"na")</f>
        <v>na</v>
      </c>
      <c r="AL66" t="str">
        <f>IF(ISNUMBER(INDEX(Haver_M!$B$1:$ZN$1000,MATCH(data!$A66,Haver_M!$B$1:$B$1000,0),MATCH(data!AL$1,Haver_M!$B$1:$ZN$1,0))),INDEX(Haver_M!$B$1:$ZN$1000,MATCH(data!$A66,Haver_M!$B$1:$B$1000,0),MATCH(data!AL$1,Haver_M!$B$1:$ZN$1,0)),"na")</f>
        <v>na</v>
      </c>
      <c r="AM66" t="str">
        <f>IF(ISNUMBER(INDEX(Haver_M!$B$1:$ZN$1000,MATCH(data!$A66,Haver_M!$B$1:$B$1000,0),MATCH(data!AM$1,Haver_M!$B$1:$ZN$1,0))),INDEX(Haver_M!$B$1:$ZN$1000,MATCH(data!$A66,Haver_M!$B$1:$B$1000,0),MATCH(data!AM$1,Haver_M!$B$1:$ZN$1,0)),"na")</f>
        <v>na</v>
      </c>
      <c r="AN66" t="str">
        <f>IF(ISNUMBER(INDEX(Haver_M!$B$1:$ZN$1000,MATCH(data!$A66,Haver_M!$B$1:$B$1000,0),MATCH(data!AN$1,Haver_M!$B$1:$ZN$1,0))),INDEX(Haver_M!$B$1:$ZN$1000,MATCH(data!$A66,Haver_M!$B$1:$B$1000,0),MATCH(data!AN$1,Haver_M!$B$1:$ZN$1,0)),"na")</f>
        <v>na</v>
      </c>
      <c r="AO66" t="str">
        <f>IF(ISNUMBER(INDEX(Haver_M!$B$1:$ZN$1000,MATCH(data!$A66,Haver_M!$B$1:$B$1000,0),MATCH(data!AO$1,Haver_M!$B$1:$ZN$1,0))),INDEX(Haver_M!$B$1:$ZN$1000,MATCH(data!$A66,Haver_M!$B$1:$B$1000,0),MATCH(data!AO$1,Haver_M!$B$1:$ZN$1,0)),"na")</f>
        <v>na</v>
      </c>
      <c r="AP66" t="str">
        <f>IF(ISNUMBER(INDEX(Haver_M!$B$1:$ZN$1000,MATCH(data!$A66,Haver_M!$B$1:$B$1000,0),MATCH(data!AP$1,Haver_M!$B$1:$ZN$1,0))),INDEX(Haver_M!$B$1:$ZN$1000,MATCH(data!$A66,Haver_M!$B$1:$B$1000,0),MATCH(data!AP$1,Haver_M!$B$1:$ZN$1,0)),"na")</f>
        <v>na</v>
      </c>
      <c r="AQ66" t="str">
        <f>IF(ISNUMBER(INDEX(Haver_M!$B$1:$ZN$1000,MATCH(data!$A66,Haver_M!$B$1:$B$1000,0),MATCH(data!AQ$1,Haver_M!$B$1:$ZN$1,0))),INDEX(Haver_M!$B$1:$ZN$1000,MATCH(data!$A66,Haver_M!$B$1:$B$1000,0),MATCH(data!AQ$1,Haver_M!$B$1:$ZN$1,0)),"na")</f>
        <v>na</v>
      </c>
      <c r="AR66" t="str">
        <f>IF(ISNUMBER(INDEX(Haver_M!$B$1:$ZN$1000,MATCH(data!$A66,Haver_M!$B$1:$B$1000,0),MATCH(data!AR$1,Haver_M!$B$1:$ZN$1,0))),INDEX(Haver_M!$B$1:$ZN$1000,MATCH(data!$A66,Haver_M!$B$1:$B$1000,0),MATCH(data!AR$1,Haver_M!$B$1:$ZN$1,0)),"na")</f>
        <v>na</v>
      </c>
      <c r="AS66">
        <f>IF(ISNUMBER(INDEX(Haver_M!$B$1:$ZN$1000,MATCH(data!$A66,Haver_M!$B$1:$B$1000,0),MATCH(data!AS$1,Haver_M!$B$1:$ZN$1,0))),INDEX(Haver_M!$B$1:$ZN$1000,MATCH(data!$A66,Haver_M!$B$1:$B$1000,0),MATCH(data!AS$1,Haver_M!$B$1:$ZN$1,0)),"na")</f>
        <v>12717.73</v>
      </c>
      <c r="AT66">
        <f>IF(ISNUMBER(INDEX(Haver_M!$B$1:$ZN$1000,MATCH(data!$A66,Haver_M!$B$1:$B$1000,0),MATCH(data!AT$1,Haver_M!$B$1:$ZN$1,0))),INDEX(Haver_M!$B$1:$ZN$1000,MATCH(data!$A66,Haver_M!$B$1:$B$1000,0),MATCH(data!AT$1,Haver_M!$B$1:$ZN$1,0)),"na")</f>
        <v>89.055999999999997</v>
      </c>
      <c r="AU66">
        <f>IF(ISNUMBER(INDEX(Haver_M!$B$1:$ZN$1000,MATCH(data!$A66,Haver_M!$B$1:$B$1000,0),MATCH(data!AU$1,Haver_M!$B$1:$ZN$1,0))),INDEX(Haver_M!$B$1:$ZN$1000,MATCH(data!$A66,Haver_M!$B$1:$B$1000,0),MATCH(data!AU$1,Haver_M!$B$1:$ZN$1,0)),"na")</f>
        <v>85.905433000000002</v>
      </c>
      <c r="AV66">
        <f>IF(ISNUMBER(INDEX(Haver_M!$B$1:$ZN$1000,MATCH(data!$A66,Haver_M!$B$1:$B$1000,0),MATCH(data!AV$1,Haver_M!$B$1:$ZN$1,0))),INDEX(Haver_M!$B$1:$ZN$1000,MATCH(data!$A66,Haver_M!$B$1:$B$1000,0),MATCH(data!AV$1,Haver_M!$B$1:$ZN$1,0)),"na")</f>
        <v>79.3</v>
      </c>
      <c r="AW66">
        <f>IF(ISNUMBER(INDEX(Haver_M!$B$1:$ZN$1000,MATCH(data!$A66,Haver_M!$B$1:$B$1000,0),MATCH(data!AW$1,Haver_M!$B$1:$ZN$1,0))),INDEX(Haver_M!$B$1:$ZN$1000,MATCH(data!$A66,Haver_M!$B$1:$B$1000,0),MATCH(data!AW$1,Haver_M!$B$1:$ZN$1,0)),"na")</f>
        <v>1007360.6700923259</v>
      </c>
      <c r="AX66">
        <f>IF(ISNUMBER(INDEX(Haver_M!$B$1:$ZN$1000,MATCH(data!$A66,Haver_M!$B$1:$B$1000,0),MATCH(data!AX$1,Haver_M!$B$1:$ZN$1,0))),INDEX(Haver_M!$B$1:$ZN$1000,MATCH(data!$A66,Haver_M!$B$1:$B$1000,0),MATCH(data!AX$1,Haver_M!$B$1:$ZN$1,0)),"na")</f>
        <v>3441</v>
      </c>
      <c r="AY66">
        <f>IF(ISNUMBER(INDEX(Haver_M!$B$1:$ZN$1000,MATCH(data!$A66,Haver_M!$B$1:$B$1000,0),MATCH(data!AY$1,Haver_M!$B$1:$ZN$1,0))),INDEX(Haver_M!$B$1:$ZN$1000,MATCH(data!$A66,Haver_M!$B$1:$B$1000,0),MATCH(data!AY$1,Haver_M!$B$1:$ZN$1,0)),"na")</f>
        <v>1841</v>
      </c>
      <c r="AZ66">
        <f>IF(ISNUMBER(INDEX(Haver_M!$B$1:$ZN$1000,MATCH(data!$A66,Haver_M!$B$1:$B$1000,0),MATCH(data!AZ$1,Haver_M!$B$1:$ZN$1,0))),INDEX(Haver_M!$B$1:$ZN$1000,MATCH(data!$A66,Haver_M!$B$1:$B$1000,0),MATCH(data!AZ$1,Haver_M!$B$1:$ZN$1,0)),"na")</f>
        <v>50.3</v>
      </c>
      <c r="BA66">
        <f>IF(ISNUMBER(INDEX(Haver_M!$B$1:$ZN$1000,MATCH(data!$A66,Haver_M!$B$1:$B$1000,0),MATCH(data!BA$1,Haver_M!$B$1:$ZN$1,0))),INDEX(Haver_M!$B$1:$ZN$1000,MATCH(data!$A66,Haver_M!$B$1:$B$1000,0),MATCH(data!BA$1,Haver_M!$B$1:$ZN$1,0)),"na")</f>
        <v>84.259365495483067</v>
      </c>
      <c r="BB66" t="str">
        <f>IF(ISNUMBER(INDEX(Haver_M!$B$1:$ZN$1000,MATCH(data!$A66,Haver_M!$B$1:$B$1000,0),MATCH(data!BB$1,Haver_M!$B$1:$ZN$1,0))),INDEX(Haver_M!$B$1:$ZN$1000,MATCH(data!$A66,Haver_M!$B$1:$B$1000,0),MATCH(data!BB$1,Haver_M!$B$1:$ZN$1,0)),"")</f>
        <v/>
      </c>
    </row>
    <row r="67" spans="1:54" x14ac:dyDescent="0.25">
      <c r="A67" s="2">
        <v>38533</v>
      </c>
      <c r="B67">
        <f>IF(ISNUMBER(INDEX(Haver_Q!$B$1:$BD$1000,MATCH(data!$A67,Haver_Q!$B$1:$B$1000,0),MATCH(data!B$1,Haver_Q!$B$1:$BD$1,0))),100*INDEX(Haver_Q!$B$1:$BD$1000,MATCH(data!$A67,Haver_Q!$B$1:$B$1000,0),MATCH(data!B$1,Haver_Q!$B$1:$BD$1,0)),"na")</f>
        <v>1.2123228274402598</v>
      </c>
      <c r="C67">
        <f>IF(ISNUMBER(INDEX(Haver_Q!$B$1:$BD$1000,MATCH(data!$A67,Haver_Q!$B$1:$B$1000,0),MATCH(data!C$1,Haver_Q!$B$1:$BD$1,0))),100*INDEX(Haver_Q!$B$1:$BD$1000,MATCH(data!$A67,Haver_Q!$B$1:$B$1000,0),MATCH(data!C$1,Haver_Q!$B$1:$BD$1,0)),"na")</f>
        <v>1.5892534668675351</v>
      </c>
      <c r="D67">
        <f>IF(ISNUMBER(INDEX(Haver_Q!$B$1:$BD$1000,MATCH(data!$A67,Haver_Q!$B$1:$B$1000,0),MATCH(data!D$1,Haver_Q!$B$1:$BD$1,0))),100*INDEX(Haver_Q!$B$1:$BD$1000,MATCH(data!$A67,Haver_Q!$B$1:$B$1000,0),MATCH(data!D$1,Haver_Q!$B$1:$BD$1,0)),"na")</f>
        <v>0.1971537139953794</v>
      </c>
      <c r="E67">
        <f>IF(ISNUMBER(INDEX(Haver_Q!$B$1:$BD$1000,MATCH(data!$A67,Haver_Q!$B$1:$B$1000,0),MATCH(data!E$1,Haver_Q!$B$1:$BD$1,0))),100*INDEX(Haver_Q!$B$1:$BD$1000,MATCH(data!$A67,Haver_Q!$B$1:$B$1000,0),MATCH(data!E$1,Haver_Q!$B$1:$BD$1,0)),"na")</f>
        <v>2.7031809454158839E-2</v>
      </c>
      <c r="F67">
        <f>IF(ISNUMBER(INDEX(Haver_Q!$B$1:$BD$1000,MATCH(data!$A67,Haver_Q!$B$1:$B$1000,0),MATCH(data!F$1,Haver_Q!$B$1:$BD$1,0))),100*INDEX(Haver_Q!$B$1:$BD$1000,MATCH(data!$A67,Haver_Q!$B$1:$B$1000,0),MATCH(data!F$1,Haver_Q!$B$1:$BD$1,0)),"na")</f>
        <v>10.626892011689847</v>
      </c>
      <c r="G67">
        <f>IF(ISNUMBER(INDEX(Haver_Q!$B$1:$BD$1000,MATCH(data!$A67,Haver_Q!$B$1:$B$1000,0),MATCH(data!G$1,Haver_Q!$B$1:$BD$1,0))),100*INDEX(Haver_Q!$B$1:$BD$1000,MATCH(data!$A67,Haver_Q!$B$1:$B$1000,0),MATCH(data!G$1,Haver_Q!$B$1:$BD$1,0)),"na")</f>
        <v>-1.4660544666383113</v>
      </c>
      <c r="H67">
        <f>IF(ISNUMBER(INDEX(Haver_Q!$B$1:$BD$1000,MATCH(data!$A67,Haver_Q!$B$1:$B$1000,0),MATCH(data!H$1,Haver_Q!$B$1:$BD$1,0))),100*INDEX(Haver_Q!$B$1:$BD$1000,MATCH(data!$A67,Haver_Q!$B$1:$B$1000,0),MATCH(data!H$1,Haver_Q!$B$1:$BD$1,0)),"na")</f>
        <v>464.37110046771124</v>
      </c>
      <c r="I67" s="3">
        <f>IF(ISNUMBER(Bloomberg_m!C83),Bloomberg_m!C83,"na")</f>
        <v>2746</v>
      </c>
      <c r="J67" s="3" t="str">
        <f>IF(ISNUMBER(Bloomberg_m!D83),Bloomberg_m!D83,"na")</f>
        <v>na</v>
      </c>
      <c r="K67" s="3" t="str">
        <f>IF(ISNUMBER(Bloomberg_m!E83),Bloomberg_m!E83,"na")</f>
        <v>na</v>
      </c>
      <c r="L67" s="3">
        <f>IF(ISNUMBER(Bloomberg_m!L83),Bloomberg_m!L83,"na")</f>
        <v>56.39</v>
      </c>
      <c r="M67" t="str">
        <f>IF(ISNUMBER(INDEX(Haver_M!$B$1:$ZN$1000,MATCH(data!$A67,Haver_M!$B$1:$B$1000,0),MATCH(data!M$1,Haver_M!$B$1:$ZN$1,0))),INDEX(Haver_M!$B$1:$ZN$1000,MATCH(data!$A67,Haver_M!$B$1:$B$1000,0),MATCH(data!M$1,Haver_M!$B$1:$ZN$1,0)),"na")</f>
        <v>na</v>
      </c>
      <c r="N67" t="str">
        <f>IF(ISNUMBER(INDEX(Haver_M!$B$1:$ZN$1000,MATCH(data!$A67,Haver_M!$B$1:$B$1000,0),MATCH(data!N$1,Haver_M!$B$1:$ZN$1,0))),INDEX(Haver_M!$B$1:$ZN$1000,MATCH(data!$A67,Haver_M!$B$1:$B$1000,0),MATCH(data!N$1,Haver_M!$B$1:$ZN$1,0)),"na")</f>
        <v>na</v>
      </c>
      <c r="O67">
        <f>IF(ISNUMBER(INDEX(Haver_M!$B$1:$ZN$1000,MATCH(data!$A67,Haver_M!$B$1:$B$1000,0),MATCH(data!O$1,Haver_M!$B$1:$ZN$1,0))),INDEX(Haver_M!$B$1:$ZN$1000,MATCH(data!$A67,Haver_M!$B$1:$B$1000,0),MATCH(data!O$1,Haver_M!$B$1:$ZN$1,0)),"na")</f>
        <v>112.41038</v>
      </c>
      <c r="P67">
        <f>IF(ISNUMBER(INDEX(Haver_M!$B$1:$ZN$1000,MATCH(data!$A67,Haver_M!$B$1:$B$1000,0),MATCH(data!P$1,Haver_M!$B$1:$ZN$1,0))),INDEX(Haver_M!$B$1:$ZN$1000,MATCH(data!$A67,Haver_M!$B$1:$B$1000,0),MATCH(data!P$1,Haver_M!$B$1:$ZN$1,0)),"na")</f>
        <v>59.082599999999999</v>
      </c>
      <c r="Q67">
        <f>IF(ISNUMBER(INDEX(Haver_M!$B$1:$ZN$1000,MATCH(data!$A67,Haver_M!$B$1:$B$1000,0),MATCH(data!Q$1,Haver_M!$B$1:$ZN$1,0))),INDEX(Haver_M!$B$1:$ZN$1000,MATCH(data!$A67,Haver_M!$B$1:$B$1000,0),MATCH(data!Q$1,Haver_M!$B$1:$ZN$1,0)),"na")</f>
        <v>62.7883</v>
      </c>
      <c r="R67">
        <f>IF(ISNUMBER(INDEX(Haver_M!$B$1:$ZN$1000,MATCH(data!$A67,Haver_M!$B$1:$B$1000,0),MATCH(data!R$1,Haver_M!$B$1:$ZN$1,0))),INDEX(Haver_M!$B$1:$ZN$1000,MATCH(data!$A67,Haver_M!$B$1:$B$1000,0),MATCH(data!R$1,Haver_M!$B$1:$ZN$1,0)),"na")</f>
        <v>93.463399999999993</v>
      </c>
      <c r="S67">
        <f>IF(ISNUMBER(INDEX(Haver_M!$B$1:$ZN$1000,MATCH(data!$A67,Haver_M!$B$1:$B$1000,0),MATCH(data!S$1,Haver_M!$B$1:$ZN$1,0))),INDEX(Haver_M!$B$1:$ZN$1000,MATCH(data!$A67,Haver_M!$B$1:$B$1000,0),MATCH(data!S$1,Haver_M!$B$1:$ZN$1,0)),"na")</f>
        <v>115.7101</v>
      </c>
      <c r="T67">
        <f>IF(ISNUMBER(INDEX(Haver_M!$B$1:$ZN$1000,MATCH(data!$A67,Haver_M!$B$1:$B$1000,0),MATCH(data!T$1,Haver_M!$B$1:$ZN$1,0))),INDEX(Haver_M!$B$1:$ZN$1000,MATCH(data!$A67,Haver_M!$B$1:$B$1000,0),MATCH(data!T$1,Haver_M!$B$1:$ZN$1,0)),"na")</f>
        <v>73.354699999999994</v>
      </c>
      <c r="U67">
        <f>IF(ISNUMBER(INDEX(Haver_M!$B$1:$ZN$1000,MATCH(data!$A67,Haver_M!$B$1:$B$1000,0),MATCH(data!U$1,Haver_M!$B$1:$ZN$1,0))),INDEX(Haver_M!$B$1:$ZN$1000,MATCH(data!$A67,Haver_M!$B$1:$B$1000,0),MATCH(data!U$1,Haver_M!$B$1:$ZN$1,0)),"na")</f>
        <v>85.685000000000002</v>
      </c>
      <c r="V67">
        <f>IF(ISNUMBER(INDEX(Haver_M!$B$1:$ZN$1000,MATCH(data!$A67,Haver_M!$B$1:$B$1000,0),MATCH(data!V$1,Haver_M!$B$1:$ZN$1,0))),INDEX(Haver_M!$B$1:$ZN$1000,MATCH(data!$A67,Haver_M!$B$1:$B$1000,0),MATCH(data!V$1,Haver_M!$B$1:$ZN$1,0)),"na")</f>
        <v>88.973699999999994</v>
      </c>
      <c r="W67">
        <f>IF(ISNUMBER(INDEX(Haver_M!$B$1:$ZN$1000,MATCH(data!$A67,Haver_M!$B$1:$B$1000,0),MATCH(data!W$1,Haver_M!$B$1:$ZN$1,0))),INDEX(Haver_M!$B$1:$ZN$1000,MATCH(data!$A67,Haver_M!$B$1:$B$1000,0),MATCH(data!W$1,Haver_M!$B$1:$ZN$1,0)),"na")</f>
        <v>3.93</v>
      </c>
      <c r="X67" t="str">
        <f>IF(ISNUMBER(INDEX(Haver_M!$B$1:$ZN$1000,MATCH(data!$A67,Haver_M!$B$1:$B$1000,0),MATCH(data!X$1,Haver_M!$B$1:$ZN$1,0))),INDEX(Haver_M!$B$1:$ZN$1000,MATCH(data!$A67,Haver_M!$B$1:$B$1000,0),MATCH(data!X$1,Haver_M!$B$1:$ZN$1,0)),"na")</f>
        <v>na</v>
      </c>
      <c r="Y67">
        <f>IF(ISNUMBER(INDEX(Haver_M!$B$1:$ZN$1000,MATCH(data!$A67,Haver_M!$B$1:$B$1000,0),MATCH(data!Y$1,Haver_M!$B$1:$ZN$1,0))),INDEX(Haver_M!$B$1:$ZN$1000,MATCH(data!$A67,Haver_M!$B$1:$B$1000,0),MATCH(data!Y$1,Haver_M!$B$1:$ZN$1,0)),"na")</f>
        <v>99.78</v>
      </c>
      <c r="Z67">
        <f>IF(ISNUMBER(INDEX(Haver_M!$B$1:$ZN$1000,MATCH(data!$A67,Haver_M!$B$1:$B$1000,0),MATCH(data!Z$1,Haver_M!$B$1:$ZN$1,0))),INDEX(Haver_M!$B$1:$ZN$1000,MATCH(data!$A67,Haver_M!$B$1:$B$1000,0),MATCH(data!Z$1,Haver_M!$B$1:$ZN$1,0)),"na")</f>
        <v>90.351799999999997</v>
      </c>
      <c r="AA67" t="str">
        <f>IF(ISNUMBER(INDEX(Haver_M!$B$1:$ZN$1000,MATCH(data!$A67,Haver_M!$B$1:$B$1000,0),MATCH(data!AA$1,Haver_M!$B$1:$ZN$1,0))),INDEX(Haver_M!$B$1:$ZN$1000,MATCH(data!$A67,Haver_M!$B$1:$B$1000,0),MATCH(data!AA$1,Haver_M!$B$1:$ZN$1,0)),"na")</f>
        <v>na</v>
      </c>
      <c r="AB67">
        <f>IF(ISNUMBER(INDEX(Haver_M!$B$1:$ZN$1000,MATCH(data!$A67,Haver_M!$B$1:$B$1000,0),MATCH(data!AB$1,Haver_M!$B$1:$ZN$1,0))),INDEX(Haver_M!$B$1:$ZN$1000,MATCH(data!$A67,Haver_M!$B$1:$B$1000,0),MATCH(data!AB$1,Haver_M!$B$1:$ZN$1,0)),"na")</f>
        <v>17895.099999999999</v>
      </c>
      <c r="AC67">
        <f>IF(ISNUMBER(INDEX(Haver_M!$B$1:$ZN$1000,MATCH(data!$A67,Haver_M!$B$1:$B$1000,0),MATCH(data!AC$1,Haver_M!$B$1:$ZN$1,0))),INDEX(Haver_M!$B$1:$ZN$1000,MATCH(data!$A67,Haver_M!$B$1:$B$1000,0),MATCH(data!AC$1,Haver_M!$B$1:$ZN$1,0)),"na")</f>
        <v>18204</v>
      </c>
      <c r="AD67">
        <f>IF(ISNUMBER(INDEX(Haver_M!$B$1:$ZN$1000,MATCH(data!$A67,Haver_M!$B$1:$B$1000,0),MATCH(data!AD$1,Haver_M!$B$1:$ZN$1,0))),INDEX(Haver_M!$B$1:$ZN$1000,MATCH(data!$A67,Haver_M!$B$1:$B$1000,0),MATCH(data!AD$1,Haver_M!$B$1:$ZN$1,0)),"na")</f>
        <v>99.6</v>
      </c>
      <c r="AE67">
        <f>IF(ISNUMBER(INDEX(Haver_M!$B$1:$ZN$1000,MATCH(data!$A67,Haver_M!$B$1:$B$1000,0),MATCH(data!AE$1,Haver_M!$B$1:$ZN$1,0))),INDEX(Haver_M!$B$1:$ZN$1000,MATCH(data!$A67,Haver_M!$B$1:$B$1000,0),MATCH(data!AE$1,Haver_M!$B$1:$ZN$1,0)),"na")</f>
        <v>40.9</v>
      </c>
      <c r="AF67">
        <f>IF(ISNUMBER(INDEX(Haver_M!$B$1:$ZN$1000,MATCH(data!$A67,Haver_M!$B$1:$B$1000,0),MATCH(data!AF$1,Haver_M!$B$1:$ZN$1,0))),INDEX(Haver_M!$B$1:$ZN$1000,MATCH(data!$A67,Haver_M!$B$1:$B$1000,0),MATCH(data!AF$1,Haver_M!$B$1:$ZN$1,0)),"na")</f>
        <v>99.9</v>
      </c>
      <c r="AG67" t="str">
        <f>IF(ISNUMBER(INDEX(Haver_M!$B$1:$ZN$1000,MATCH(data!$A67,Haver_M!$B$1:$B$1000,0),MATCH(data!AG$1,Haver_M!$B$1:$ZN$1,0))),INDEX(Haver_M!$B$1:$ZN$1000,MATCH(data!$A67,Haver_M!$B$1:$B$1000,0),MATCH(data!AG$1,Haver_M!$B$1:$ZN$1,0)),"na")</f>
        <v>na</v>
      </c>
      <c r="AH67" t="str">
        <f>IF(ISNUMBER(INDEX(Haver_M!$B$1:$ZN$1000,MATCH(data!$A67,Haver_M!$B$1:$B$1000,0),MATCH(data!AH$1,Haver_M!$B$1:$ZN$1,0))),INDEX(Haver_M!$B$1:$ZN$1000,MATCH(data!$A67,Haver_M!$B$1:$B$1000,0),MATCH(data!AH$1,Haver_M!$B$1:$ZN$1,0)),"na")</f>
        <v>na</v>
      </c>
      <c r="AI67" t="str">
        <f>IF(ISNUMBER(INDEX(Haver_M!$B$1:$ZN$1000,MATCH(data!$A67,Haver_M!$B$1:$B$1000,0),MATCH(data!AI$1,Haver_M!$B$1:$ZN$1,0))),INDEX(Haver_M!$B$1:$ZN$1000,MATCH(data!$A67,Haver_M!$B$1:$B$1000,0),MATCH(data!AI$1,Haver_M!$B$1:$ZN$1,0)),"na")</f>
        <v>na</v>
      </c>
      <c r="AJ67" t="str">
        <f>IF(ISNUMBER(INDEX(Haver_M!$B$1:$ZN$1000,MATCH(data!$A67,Haver_M!$B$1:$B$1000,0),MATCH(data!AJ$1,Haver_M!$B$1:$ZN$1,0))),INDEX(Haver_M!$B$1:$ZN$1000,MATCH(data!$A67,Haver_M!$B$1:$B$1000,0),MATCH(data!AJ$1,Haver_M!$B$1:$ZN$1,0)),"na")</f>
        <v>na</v>
      </c>
      <c r="AK67" t="str">
        <f>IF(ISNUMBER(INDEX(Haver_M!$B$1:$ZN$1000,MATCH(data!$A67,Haver_M!$B$1:$B$1000,0),MATCH(data!AK$1,Haver_M!$B$1:$ZN$1,0))),INDEX(Haver_M!$B$1:$ZN$1000,MATCH(data!$A67,Haver_M!$B$1:$B$1000,0),MATCH(data!AK$1,Haver_M!$B$1:$ZN$1,0)),"na")</f>
        <v>na</v>
      </c>
      <c r="AL67" t="str">
        <f>IF(ISNUMBER(INDEX(Haver_M!$B$1:$ZN$1000,MATCH(data!$A67,Haver_M!$B$1:$B$1000,0),MATCH(data!AL$1,Haver_M!$B$1:$ZN$1,0))),INDEX(Haver_M!$B$1:$ZN$1000,MATCH(data!$A67,Haver_M!$B$1:$B$1000,0),MATCH(data!AL$1,Haver_M!$B$1:$ZN$1,0)),"na")</f>
        <v>na</v>
      </c>
      <c r="AM67" t="str">
        <f>IF(ISNUMBER(INDEX(Haver_M!$B$1:$ZN$1000,MATCH(data!$A67,Haver_M!$B$1:$B$1000,0),MATCH(data!AM$1,Haver_M!$B$1:$ZN$1,0))),INDEX(Haver_M!$B$1:$ZN$1000,MATCH(data!$A67,Haver_M!$B$1:$B$1000,0),MATCH(data!AM$1,Haver_M!$B$1:$ZN$1,0)),"na")</f>
        <v>na</v>
      </c>
      <c r="AN67" t="str">
        <f>IF(ISNUMBER(INDEX(Haver_M!$B$1:$ZN$1000,MATCH(data!$A67,Haver_M!$B$1:$B$1000,0),MATCH(data!AN$1,Haver_M!$B$1:$ZN$1,0))),INDEX(Haver_M!$B$1:$ZN$1000,MATCH(data!$A67,Haver_M!$B$1:$B$1000,0),MATCH(data!AN$1,Haver_M!$B$1:$ZN$1,0)),"na")</f>
        <v>na</v>
      </c>
      <c r="AO67" t="str">
        <f>IF(ISNUMBER(INDEX(Haver_M!$B$1:$ZN$1000,MATCH(data!$A67,Haver_M!$B$1:$B$1000,0),MATCH(data!AO$1,Haver_M!$B$1:$ZN$1,0))),INDEX(Haver_M!$B$1:$ZN$1000,MATCH(data!$A67,Haver_M!$B$1:$B$1000,0),MATCH(data!AO$1,Haver_M!$B$1:$ZN$1,0)),"na")</f>
        <v>na</v>
      </c>
      <c r="AP67" t="str">
        <f>IF(ISNUMBER(INDEX(Haver_M!$B$1:$ZN$1000,MATCH(data!$A67,Haver_M!$B$1:$B$1000,0),MATCH(data!AP$1,Haver_M!$B$1:$ZN$1,0))),INDEX(Haver_M!$B$1:$ZN$1000,MATCH(data!$A67,Haver_M!$B$1:$B$1000,0),MATCH(data!AP$1,Haver_M!$B$1:$ZN$1,0)),"na")</f>
        <v>na</v>
      </c>
      <c r="AQ67" t="str">
        <f>IF(ISNUMBER(INDEX(Haver_M!$B$1:$ZN$1000,MATCH(data!$A67,Haver_M!$B$1:$B$1000,0),MATCH(data!AQ$1,Haver_M!$B$1:$ZN$1,0))),INDEX(Haver_M!$B$1:$ZN$1000,MATCH(data!$A67,Haver_M!$B$1:$B$1000,0),MATCH(data!AQ$1,Haver_M!$B$1:$ZN$1,0)),"na")</f>
        <v>na</v>
      </c>
      <c r="AR67" t="str">
        <f>IF(ISNUMBER(INDEX(Haver_M!$B$1:$ZN$1000,MATCH(data!$A67,Haver_M!$B$1:$B$1000,0),MATCH(data!AR$1,Haver_M!$B$1:$ZN$1,0))),INDEX(Haver_M!$B$1:$ZN$1000,MATCH(data!$A67,Haver_M!$B$1:$B$1000,0),MATCH(data!AR$1,Haver_M!$B$1:$ZN$1,0)),"na")</f>
        <v>na</v>
      </c>
      <c r="AS67">
        <f>IF(ISNUMBER(INDEX(Haver_M!$B$1:$ZN$1000,MATCH(data!$A67,Haver_M!$B$1:$B$1000,0),MATCH(data!AS$1,Haver_M!$B$1:$ZN$1,0))),INDEX(Haver_M!$B$1:$ZN$1000,MATCH(data!$A67,Haver_M!$B$1:$B$1000,0),MATCH(data!AS$1,Haver_M!$B$1:$ZN$1,0)),"na")</f>
        <v>13375.52</v>
      </c>
      <c r="AT67">
        <f>IF(ISNUMBER(INDEX(Haver_M!$B$1:$ZN$1000,MATCH(data!$A67,Haver_M!$B$1:$B$1000,0),MATCH(data!AT$1,Haver_M!$B$1:$ZN$1,0))),INDEX(Haver_M!$B$1:$ZN$1000,MATCH(data!$A67,Haver_M!$B$1:$B$1000,0),MATCH(data!AT$1,Haver_M!$B$1:$ZN$1,0)),"na")</f>
        <v>88.263000000000005</v>
      </c>
      <c r="AU67">
        <f>IF(ISNUMBER(INDEX(Haver_M!$B$1:$ZN$1000,MATCH(data!$A67,Haver_M!$B$1:$B$1000,0),MATCH(data!AU$1,Haver_M!$B$1:$ZN$1,0))),INDEX(Haver_M!$B$1:$ZN$1000,MATCH(data!$A67,Haver_M!$B$1:$B$1000,0),MATCH(data!AU$1,Haver_M!$B$1:$ZN$1,0)),"na")</f>
        <v>84.543423000000004</v>
      </c>
      <c r="AV67">
        <f>IF(ISNUMBER(INDEX(Haver_M!$B$1:$ZN$1000,MATCH(data!$A67,Haver_M!$B$1:$B$1000,0),MATCH(data!AV$1,Haver_M!$B$1:$ZN$1,0))),INDEX(Haver_M!$B$1:$ZN$1000,MATCH(data!$A67,Haver_M!$B$1:$B$1000,0),MATCH(data!AV$1,Haver_M!$B$1:$ZN$1,0)),"na")</f>
        <v>79.5</v>
      </c>
      <c r="AW67">
        <f>IF(ISNUMBER(INDEX(Haver_M!$B$1:$ZN$1000,MATCH(data!$A67,Haver_M!$B$1:$B$1000,0),MATCH(data!AW$1,Haver_M!$B$1:$ZN$1,0))),INDEX(Haver_M!$B$1:$ZN$1000,MATCH(data!$A67,Haver_M!$B$1:$B$1000,0),MATCH(data!AW$1,Haver_M!$B$1:$ZN$1,0)),"na")</f>
        <v>1026026.9304719215</v>
      </c>
      <c r="AX67">
        <f>IF(ISNUMBER(INDEX(Haver_M!$B$1:$ZN$1000,MATCH(data!$A67,Haver_M!$B$1:$B$1000,0),MATCH(data!AX$1,Haver_M!$B$1:$ZN$1,0))),INDEX(Haver_M!$B$1:$ZN$1000,MATCH(data!$A67,Haver_M!$B$1:$B$1000,0),MATCH(data!AX$1,Haver_M!$B$1:$ZN$1,0)),"na")</f>
        <v>3380</v>
      </c>
      <c r="AY67">
        <f>IF(ISNUMBER(INDEX(Haver_M!$B$1:$ZN$1000,MATCH(data!$A67,Haver_M!$B$1:$B$1000,0),MATCH(data!AY$1,Haver_M!$B$1:$ZN$1,0))),INDEX(Haver_M!$B$1:$ZN$1000,MATCH(data!$A67,Haver_M!$B$1:$B$1000,0),MATCH(data!AY$1,Haver_M!$B$1:$ZN$1,0)),"na")</f>
        <v>1796</v>
      </c>
      <c r="AZ67">
        <f>IF(ISNUMBER(INDEX(Haver_M!$B$1:$ZN$1000,MATCH(data!$A67,Haver_M!$B$1:$B$1000,0),MATCH(data!AZ$1,Haver_M!$B$1:$ZN$1,0))),INDEX(Haver_M!$B$1:$ZN$1000,MATCH(data!$A67,Haver_M!$B$1:$B$1000,0),MATCH(data!AZ$1,Haver_M!$B$1:$ZN$1,0)),"na")</f>
        <v>50.5</v>
      </c>
      <c r="BA67">
        <f>IF(ISNUMBER(INDEX(Haver_M!$B$1:$ZN$1000,MATCH(data!$A67,Haver_M!$B$1:$B$1000,0),MATCH(data!BA$1,Haver_M!$B$1:$ZN$1,0))),INDEX(Haver_M!$B$1:$ZN$1000,MATCH(data!$A67,Haver_M!$B$1:$B$1000,0),MATCH(data!BA$1,Haver_M!$B$1:$ZN$1,0)),"na")</f>
        <v>68.76120404427931</v>
      </c>
      <c r="BB67" t="str">
        <f>IF(ISNUMBER(INDEX(Haver_M!$B$1:$ZN$1000,MATCH(data!$A67,Haver_M!$B$1:$B$1000,0),MATCH(data!BB$1,Haver_M!$B$1:$ZN$1,0))),INDEX(Haver_M!$B$1:$ZN$1000,MATCH(data!$A67,Haver_M!$B$1:$B$1000,0),MATCH(data!BB$1,Haver_M!$B$1:$ZN$1,0)),"")</f>
        <v/>
      </c>
    </row>
    <row r="68" spans="1:54" x14ac:dyDescent="0.25">
      <c r="A68" s="2">
        <v>38564</v>
      </c>
      <c r="B68" t="str">
        <f>IF(ISNUMBER(INDEX(Haver_Q!$B$1:$BD$1000,MATCH(data!$A68,Haver_Q!$B$1:$B$1000,0),MATCH(data!B$1,Haver_Q!$B$1:$BD$1,0))),100*INDEX(Haver_Q!$B$1:$BD$1000,MATCH(data!$A68,Haver_Q!$B$1:$B$1000,0),MATCH(data!B$1,Haver_Q!$B$1:$BD$1,0)),"na")</f>
        <v>na</v>
      </c>
      <c r="C68" t="str">
        <f>IF(ISNUMBER(INDEX(Haver_Q!$B$1:$BD$1000,MATCH(data!$A68,Haver_Q!$B$1:$B$1000,0),MATCH(data!C$1,Haver_Q!$B$1:$BD$1,0))),100*INDEX(Haver_Q!$B$1:$BD$1000,MATCH(data!$A68,Haver_Q!$B$1:$B$1000,0),MATCH(data!C$1,Haver_Q!$B$1:$BD$1,0)),"na")</f>
        <v>na</v>
      </c>
      <c r="D68" t="str">
        <f>IF(ISNUMBER(INDEX(Haver_Q!$B$1:$BD$1000,MATCH(data!$A68,Haver_Q!$B$1:$B$1000,0),MATCH(data!D$1,Haver_Q!$B$1:$BD$1,0))),100*INDEX(Haver_Q!$B$1:$BD$1000,MATCH(data!$A68,Haver_Q!$B$1:$B$1000,0),MATCH(data!D$1,Haver_Q!$B$1:$BD$1,0)),"na")</f>
        <v>na</v>
      </c>
      <c r="E68" t="str">
        <f>IF(ISNUMBER(INDEX(Haver_Q!$B$1:$BD$1000,MATCH(data!$A68,Haver_Q!$B$1:$B$1000,0),MATCH(data!E$1,Haver_Q!$B$1:$BD$1,0))),100*INDEX(Haver_Q!$B$1:$BD$1000,MATCH(data!$A68,Haver_Q!$B$1:$B$1000,0),MATCH(data!E$1,Haver_Q!$B$1:$BD$1,0)),"na")</f>
        <v>na</v>
      </c>
      <c r="F68" t="str">
        <f>IF(ISNUMBER(INDEX(Haver_Q!$B$1:$BD$1000,MATCH(data!$A68,Haver_Q!$B$1:$B$1000,0),MATCH(data!F$1,Haver_Q!$B$1:$BD$1,0))),100*INDEX(Haver_Q!$B$1:$BD$1000,MATCH(data!$A68,Haver_Q!$B$1:$B$1000,0),MATCH(data!F$1,Haver_Q!$B$1:$BD$1,0)),"na")</f>
        <v>na</v>
      </c>
      <c r="G68" t="str">
        <f>IF(ISNUMBER(INDEX(Haver_Q!$B$1:$BD$1000,MATCH(data!$A68,Haver_Q!$B$1:$B$1000,0),MATCH(data!G$1,Haver_Q!$B$1:$BD$1,0))),100*INDEX(Haver_Q!$B$1:$BD$1000,MATCH(data!$A68,Haver_Q!$B$1:$B$1000,0),MATCH(data!G$1,Haver_Q!$B$1:$BD$1,0)),"na")</f>
        <v>na</v>
      </c>
      <c r="H68" t="str">
        <f>IF(ISNUMBER(INDEX(Haver_Q!$B$1:$BD$1000,MATCH(data!$A68,Haver_Q!$B$1:$B$1000,0),MATCH(data!H$1,Haver_Q!$B$1:$BD$1,0))),100*INDEX(Haver_Q!$B$1:$BD$1000,MATCH(data!$A68,Haver_Q!$B$1:$B$1000,0),MATCH(data!H$1,Haver_Q!$B$1:$BD$1,0)),"na")</f>
        <v>na</v>
      </c>
      <c r="I68" s="3">
        <f>IF(ISNUMBER(Bloomberg_m!C84),Bloomberg_m!C84,"na")</f>
        <v>2220</v>
      </c>
      <c r="J68" s="3" t="str">
        <f>IF(ISNUMBER(Bloomberg_m!D84),Bloomberg_m!D84,"na")</f>
        <v>na</v>
      </c>
      <c r="K68" s="3" t="str">
        <f>IF(ISNUMBER(Bloomberg_m!E84),Bloomberg_m!E84,"na")</f>
        <v>na</v>
      </c>
      <c r="L68" s="3">
        <f>IF(ISNUMBER(Bloomberg_m!L84),Bloomberg_m!L84,"na")</f>
        <v>58.67</v>
      </c>
      <c r="M68" t="str">
        <f>IF(ISNUMBER(INDEX(Haver_M!$B$1:$ZN$1000,MATCH(data!$A68,Haver_M!$B$1:$B$1000,0),MATCH(data!M$1,Haver_M!$B$1:$ZN$1,0))),INDEX(Haver_M!$B$1:$ZN$1000,MATCH(data!$A68,Haver_M!$B$1:$B$1000,0),MATCH(data!M$1,Haver_M!$B$1:$ZN$1,0)),"na")</f>
        <v>na</v>
      </c>
      <c r="N68" t="str">
        <f>IF(ISNUMBER(INDEX(Haver_M!$B$1:$ZN$1000,MATCH(data!$A68,Haver_M!$B$1:$B$1000,0),MATCH(data!N$1,Haver_M!$B$1:$ZN$1,0))),INDEX(Haver_M!$B$1:$ZN$1000,MATCH(data!$A68,Haver_M!$B$1:$B$1000,0),MATCH(data!N$1,Haver_M!$B$1:$ZN$1,0)),"na")</f>
        <v>na</v>
      </c>
      <c r="O68">
        <f>IF(ISNUMBER(INDEX(Haver_M!$B$1:$ZN$1000,MATCH(data!$A68,Haver_M!$B$1:$B$1000,0),MATCH(data!O$1,Haver_M!$B$1:$ZN$1,0))),INDEX(Haver_M!$B$1:$ZN$1000,MATCH(data!$A68,Haver_M!$B$1:$B$1000,0),MATCH(data!O$1,Haver_M!$B$1:$ZN$1,0)),"na")</f>
        <v>114.25118999999999</v>
      </c>
      <c r="P68">
        <f>IF(ISNUMBER(INDEX(Haver_M!$B$1:$ZN$1000,MATCH(data!$A68,Haver_M!$B$1:$B$1000,0),MATCH(data!P$1,Haver_M!$B$1:$ZN$1,0))),INDEX(Haver_M!$B$1:$ZN$1000,MATCH(data!$A68,Haver_M!$B$1:$B$1000,0),MATCH(data!P$1,Haver_M!$B$1:$ZN$1,0)),"na")</f>
        <v>59.351199999999999</v>
      </c>
      <c r="Q68">
        <f>IF(ISNUMBER(INDEX(Haver_M!$B$1:$ZN$1000,MATCH(data!$A68,Haver_M!$B$1:$B$1000,0),MATCH(data!Q$1,Haver_M!$B$1:$ZN$1,0))),INDEX(Haver_M!$B$1:$ZN$1000,MATCH(data!$A68,Haver_M!$B$1:$B$1000,0),MATCH(data!Q$1,Haver_M!$B$1:$ZN$1,0)),"na")</f>
        <v>62.979199999999999</v>
      </c>
      <c r="R68">
        <f>IF(ISNUMBER(INDEX(Haver_M!$B$1:$ZN$1000,MATCH(data!$A68,Haver_M!$B$1:$B$1000,0),MATCH(data!R$1,Haver_M!$B$1:$ZN$1,0))),INDEX(Haver_M!$B$1:$ZN$1000,MATCH(data!$A68,Haver_M!$B$1:$B$1000,0),MATCH(data!R$1,Haver_M!$B$1:$ZN$1,0)),"na")</f>
        <v>91.630600000000001</v>
      </c>
      <c r="S68">
        <f>IF(ISNUMBER(INDEX(Haver_M!$B$1:$ZN$1000,MATCH(data!$A68,Haver_M!$B$1:$B$1000,0),MATCH(data!S$1,Haver_M!$B$1:$ZN$1,0))),INDEX(Haver_M!$B$1:$ZN$1000,MATCH(data!$A68,Haver_M!$B$1:$B$1000,0),MATCH(data!S$1,Haver_M!$B$1:$ZN$1,0)),"na")</f>
        <v>105.7775</v>
      </c>
      <c r="T68">
        <f>IF(ISNUMBER(INDEX(Haver_M!$B$1:$ZN$1000,MATCH(data!$A68,Haver_M!$B$1:$B$1000,0),MATCH(data!T$1,Haver_M!$B$1:$ZN$1,0))),INDEX(Haver_M!$B$1:$ZN$1000,MATCH(data!$A68,Haver_M!$B$1:$B$1000,0),MATCH(data!T$1,Haver_M!$B$1:$ZN$1,0)),"na")</f>
        <v>73.567499999999995</v>
      </c>
      <c r="U68">
        <f>IF(ISNUMBER(INDEX(Haver_M!$B$1:$ZN$1000,MATCH(data!$A68,Haver_M!$B$1:$B$1000,0),MATCH(data!U$1,Haver_M!$B$1:$ZN$1,0))),INDEX(Haver_M!$B$1:$ZN$1000,MATCH(data!$A68,Haver_M!$B$1:$B$1000,0),MATCH(data!U$1,Haver_M!$B$1:$ZN$1,0)),"na")</f>
        <v>84.738799999999998</v>
      </c>
      <c r="V68">
        <f>IF(ISNUMBER(INDEX(Haver_M!$B$1:$ZN$1000,MATCH(data!$A68,Haver_M!$B$1:$B$1000,0),MATCH(data!V$1,Haver_M!$B$1:$ZN$1,0))),INDEX(Haver_M!$B$1:$ZN$1000,MATCH(data!$A68,Haver_M!$B$1:$B$1000,0),MATCH(data!V$1,Haver_M!$B$1:$ZN$1,0)),"na")</f>
        <v>90.162499999999994</v>
      </c>
      <c r="W68">
        <f>IF(ISNUMBER(INDEX(Haver_M!$B$1:$ZN$1000,MATCH(data!$A68,Haver_M!$B$1:$B$1000,0),MATCH(data!W$1,Haver_M!$B$1:$ZN$1,0))),INDEX(Haver_M!$B$1:$ZN$1000,MATCH(data!$A68,Haver_M!$B$1:$B$1000,0),MATCH(data!W$1,Haver_M!$B$1:$ZN$1,0)),"na")</f>
        <v>3.81</v>
      </c>
      <c r="X68" t="str">
        <f>IF(ISNUMBER(INDEX(Haver_M!$B$1:$ZN$1000,MATCH(data!$A68,Haver_M!$B$1:$B$1000,0),MATCH(data!X$1,Haver_M!$B$1:$ZN$1,0))),INDEX(Haver_M!$B$1:$ZN$1000,MATCH(data!$A68,Haver_M!$B$1:$B$1000,0),MATCH(data!X$1,Haver_M!$B$1:$ZN$1,0)),"na")</f>
        <v>na</v>
      </c>
      <c r="Y68">
        <f>IF(ISNUMBER(INDEX(Haver_M!$B$1:$ZN$1000,MATCH(data!$A68,Haver_M!$B$1:$B$1000,0),MATCH(data!Y$1,Haver_M!$B$1:$ZN$1,0))),INDEX(Haver_M!$B$1:$ZN$1000,MATCH(data!$A68,Haver_M!$B$1:$B$1000,0),MATCH(data!Y$1,Haver_M!$B$1:$ZN$1,0)),"na")</f>
        <v>99.86</v>
      </c>
      <c r="Z68">
        <f>IF(ISNUMBER(INDEX(Haver_M!$B$1:$ZN$1000,MATCH(data!$A68,Haver_M!$B$1:$B$1000,0),MATCH(data!Z$1,Haver_M!$B$1:$ZN$1,0))),INDEX(Haver_M!$B$1:$ZN$1000,MATCH(data!$A68,Haver_M!$B$1:$B$1000,0),MATCH(data!Z$1,Haver_M!$B$1:$ZN$1,0)),"na")</f>
        <v>90.762</v>
      </c>
      <c r="AA68" t="str">
        <f>IF(ISNUMBER(INDEX(Haver_M!$B$1:$ZN$1000,MATCH(data!$A68,Haver_M!$B$1:$B$1000,0),MATCH(data!AA$1,Haver_M!$B$1:$ZN$1,0))),INDEX(Haver_M!$B$1:$ZN$1000,MATCH(data!$A68,Haver_M!$B$1:$B$1000,0),MATCH(data!AA$1,Haver_M!$B$1:$ZN$1,0)),"na")</f>
        <v>na</v>
      </c>
      <c r="AB68">
        <f>IF(ISNUMBER(INDEX(Haver_M!$B$1:$ZN$1000,MATCH(data!$A68,Haver_M!$B$1:$B$1000,0),MATCH(data!AB$1,Haver_M!$B$1:$ZN$1,0))),INDEX(Haver_M!$B$1:$ZN$1000,MATCH(data!$A68,Haver_M!$B$1:$B$1000,0),MATCH(data!AB$1,Haver_M!$B$1:$ZN$1,0)),"na")</f>
        <v>17155.2</v>
      </c>
      <c r="AC68">
        <f>IF(ISNUMBER(INDEX(Haver_M!$B$1:$ZN$1000,MATCH(data!$A68,Haver_M!$B$1:$B$1000,0),MATCH(data!AC$1,Haver_M!$B$1:$ZN$1,0))),INDEX(Haver_M!$B$1:$ZN$1000,MATCH(data!$A68,Haver_M!$B$1:$B$1000,0),MATCH(data!AC$1,Haver_M!$B$1:$ZN$1,0)),"na")</f>
        <v>18276.099999999999</v>
      </c>
      <c r="AD68">
        <f>IF(ISNUMBER(INDEX(Haver_M!$B$1:$ZN$1000,MATCH(data!$A68,Haver_M!$B$1:$B$1000,0),MATCH(data!AD$1,Haver_M!$B$1:$ZN$1,0))),INDEX(Haver_M!$B$1:$ZN$1000,MATCH(data!$A68,Haver_M!$B$1:$B$1000,0),MATCH(data!AD$1,Haver_M!$B$1:$ZN$1,0)),"na")</f>
        <v>99.67</v>
      </c>
      <c r="AE68">
        <f>IF(ISNUMBER(INDEX(Haver_M!$B$1:$ZN$1000,MATCH(data!$A68,Haver_M!$B$1:$B$1000,0),MATCH(data!AE$1,Haver_M!$B$1:$ZN$1,0))),INDEX(Haver_M!$B$1:$ZN$1000,MATCH(data!$A68,Haver_M!$B$1:$B$1000,0),MATCH(data!AE$1,Haver_M!$B$1:$ZN$1,0)),"na")</f>
        <v>41</v>
      </c>
      <c r="AF68">
        <f>IF(ISNUMBER(INDEX(Haver_M!$B$1:$ZN$1000,MATCH(data!$A68,Haver_M!$B$1:$B$1000,0),MATCH(data!AF$1,Haver_M!$B$1:$ZN$1,0))),INDEX(Haver_M!$B$1:$ZN$1000,MATCH(data!$A68,Haver_M!$B$1:$B$1000,0),MATCH(data!AF$1,Haver_M!$B$1:$ZN$1,0)),"na")</f>
        <v>99.91</v>
      </c>
      <c r="AG68" t="str">
        <f>IF(ISNUMBER(INDEX(Haver_M!$B$1:$ZN$1000,MATCH(data!$A68,Haver_M!$B$1:$B$1000,0),MATCH(data!AG$1,Haver_M!$B$1:$ZN$1,0))),INDEX(Haver_M!$B$1:$ZN$1000,MATCH(data!$A68,Haver_M!$B$1:$B$1000,0),MATCH(data!AG$1,Haver_M!$B$1:$ZN$1,0)),"na")</f>
        <v>na</v>
      </c>
      <c r="AH68" t="str">
        <f>IF(ISNUMBER(INDEX(Haver_M!$B$1:$ZN$1000,MATCH(data!$A68,Haver_M!$B$1:$B$1000,0),MATCH(data!AH$1,Haver_M!$B$1:$ZN$1,0))),INDEX(Haver_M!$B$1:$ZN$1000,MATCH(data!$A68,Haver_M!$B$1:$B$1000,0),MATCH(data!AH$1,Haver_M!$B$1:$ZN$1,0)),"na")</f>
        <v>na</v>
      </c>
      <c r="AI68" t="str">
        <f>IF(ISNUMBER(INDEX(Haver_M!$B$1:$ZN$1000,MATCH(data!$A68,Haver_M!$B$1:$B$1000,0),MATCH(data!AI$1,Haver_M!$B$1:$ZN$1,0))),INDEX(Haver_M!$B$1:$ZN$1000,MATCH(data!$A68,Haver_M!$B$1:$B$1000,0),MATCH(data!AI$1,Haver_M!$B$1:$ZN$1,0)),"na")</f>
        <v>na</v>
      </c>
      <c r="AJ68" t="str">
        <f>IF(ISNUMBER(INDEX(Haver_M!$B$1:$ZN$1000,MATCH(data!$A68,Haver_M!$B$1:$B$1000,0),MATCH(data!AJ$1,Haver_M!$B$1:$ZN$1,0))),INDEX(Haver_M!$B$1:$ZN$1000,MATCH(data!$A68,Haver_M!$B$1:$B$1000,0),MATCH(data!AJ$1,Haver_M!$B$1:$ZN$1,0)),"na")</f>
        <v>na</v>
      </c>
      <c r="AK68" t="str">
        <f>IF(ISNUMBER(INDEX(Haver_M!$B$1:$ZN$1000,MATCH(data!$A68,Haver_M!$B$1:$B$1000,0),MATCH(data!AK$1,Haver_M!$B$1:$ZN$1,0))),INDEX(Haver_M!$B$1:$ZN$1000,MATCH(data!$A68,Haver_M!$B$1:$B$1000,0),MATCH(data!AK$1,Haver_M!$B$1:$ZN$1,0)),"na")</f>
        <v>na</v>
      </c>
      <c r="AL68" t="str">
        <f>IF(ISNUMBER(INDEX(Haver_M!$B$1:$ZN$1000,MATCH(data!$A68,Haver_M!$B$1:$B$1000,0),MATCH(data!AL$1,Haver_M!$B$1:$ZN$1,0))),INDEX(Haver_M!$B$1:$ZN$1000,MATCH(data!$A68,Haver_M!$B$1:$B$1000,0),MATCH(data!AL$1,Haver_M!$B$1:$ZN$1,0)),"na")</f>
        <v>na</v>
      </c>
      <c r="AM68" t="str">
        <f>IF(ISNUMBER(INDEX(Haver_M!$B$1:$ZN$1000,MATCH(data!$A68,Haver_M!$B$1:$B$1000,0),MATCH(data!AM$1,Haver_M!$B$1:$ZN$1,0))),INDEX(Haver_M!$B$1:$ZN$1000,MATCH(data!$A68,Haver_M!$B$1:$B$1000,0),MATCH(data!AM$1,Haver_M!$B$1:$ZN$1,0)),"na")</f>
        <v>na</v>
      </c>
      <c r="AN68" t="str">
        <f>IF(ISNUMBER(INDEX(Haver_M!$B$1:$ZN$1000,MATCH(data!$A68,Haver_M!$B$1:$B$1000,0),MATCH(data!AN$1,Haver_M!$B$1:$ZN$1,0))),INDEX(Haver_M!$B$1:$ZN$1000,MATCH(data!$A68,Haver_M!$B$1:$B$1000,0),MATCH(data!AN$1,Haver_M!$B$1:$ZN$1,0)),"na")</f>
        <v>na</v>
      </c>
      <c r="AO68" t="str">
        <f>IF(ISNUMBER(INDEX(Haver_M!$B$1:$ZN$1000,MATCH(data!$A68,Haver_M!$B$1:$B$1000,0),MATCH(data!AO$1,Haver_M!$B$1:$ZN$1,0))),INDEX(Haver_M!$B$1:$ZN$1000,MATCH(data!$A68,Haver_M!$B$1:$B$1000,0),MATCH(data!AO$1,Haver_M!$B$1:$ZN$1,0)),"na")</f>
        <v>na</v>
      </c>
      <c r="AP68" t="str">
        <f>IF(ISNUMBER(INDEX(Haver_M!$B$1:$ZN$1000,MATCH(data!$A68,Haver_M!$B$1:$B$1000,0),MATCH(data!AP$1,Haver_M!$B$1:$ZN$1,0))),INDEX(Haver_M!$B$1:$ZN$1000,MATCH(data!$A68,Haver_M!$B$1:$B$1000,0),MATCH(data!AP$1,Haver_M!$B$1:$ZN$1,0)),"na")</f>
        <v>na</v>
      </c>
      <c r="AQ68" t="str">
        <f>IF(ISNUMBER(INDEX(Haver_M!$B$1:$ZN$1000,MATCH(data!$A68,Haver_M!$B$1:$B$1000,0),MATCH(data!AQ$1,Haver_M!$B$1:$ZN$1,0))),INDEX(Haver_M!$B$1:$ZN$1000,MATCH(data!$A68,Haver_M!$B$1:$B$1000,0),MATCH(data!AQ$1,Haver_M!$B$1:$ZN$1,0)),"na")</f>
        <v>na</v>
      </c>
      <c r="AR68" t="str">
        <f>IF(ISNUMBER(INDEX(Haver_M!$B$1:$ZN$1000,MATCH(data!$A68,Haver_M!$B$1:$B$1000,0),MATCH(data!AR$1,Haver_M!$B$1:$ZN$1,0))),INDEX(Haver_M!$B$1:$ZN$1000,MATCH(data!$A68,Haver_M!$B$1:$B$1000,0),MATCH(data!AR$1,Haver_M!$B$1:$ZN$1,0)),"na")</f>
        <v>na</v>
      </c>
      <c r="AS68">
        <f>IF(ISNUMBER(INDEX(Haver_M!$B$1:$ZN$1000,MATCH(data!$A68,Haver_M!$B$1:$B$1000,0),MATCH(data!AS$1,Haver_M!$B$1:$ZN$1,0))),INDEX(Haver_M!$B$1:$ZN$1000,MATCH(data!$A68,Haver_M!$B$1:$B$1000,0),MATCH(data!AS$1,Haver_M!$B$1:$ZN$1,0)),"na")</f>
        <v>14003.4</v>
      </c>
      <c r="AT68">
        <f>IF(ISNUMBER(INDEX(Haver_M!$B$1:$ZN$1000,MATCH(data!$A68,Haver_M!$B$1:$B$1000,0),MATCH(data!AT$1,Haver_M!$B$1:$ZN$1,0))),INDEX(Haver_M!$B$1:$ZN$1000,MATCH(data!$A68,Haver_M!$B$1:$B$1000,0),MATCH(data!AT$1,Haver_M!$B$1:$ZN$1,0)),"na")</f>
        <v>89.013999999999996</v>
      </c>
      <c r="AU68">
        <f>IF(ISNUMBER(INDEX(Haver_M!$B$1:$ZN$1000,MATCH(data!$A68,Haver_M!$B$1:$B$1000,0),MATCH(data!AU$1,Haver_M!$B$1:$ZN$1,0))),INDEX(Haver_M!$B$1:$ZN$1000,MATCH(data!$A68,Haver_M!$B$1:$B$1000,0),MATCH(data!AU$1,Haver_M!$B$1:$ZN$1,0)),"na")</f>
        <v>84.821742999999998</v>
      </c>
      <c r="AV68">
        <f>IF(ISNUMBER(INDEX(Haver_M!$B$1:$ZN$1000,MATCH(data!$A68,Haver_M!$B$1:$B$1000,0),MATCH(data!AV$1,Haver_M!$B$1:$ZN$1,0))),INDEX(Haver_M!$B$1:$ZN$1000,MATCH(data!$A68,Haver_M!$B$1:$B$1000,0),MATCH(data!AV$1,Haver_M!$B$1:$ZN$1,0)),"na")</f>
        <v>78.400000000000006</v>
      </c>
      <c r="AW68">
        <f>IF(ISNUMBER(INDEX(Haver_M!$B$1:$ZN$1000,MATCH(data!$A68,Haver_M!$B$1:$B$1000,0),MATCH(data!AW$1,Haver_M!$B$1:$ZN$1,0))),INDEX(Haver_M!$B$1:$ZN$1000,MATCH(data!$A68,Haver_M!$B$1:$B$1000,0),MATCH(data!AW$1,Haver_M!$B$1:$ZN$1,0)),"na")</f>
        <v>994691.76172919536</v>
      </c>
      <c r="AX68">
        <f>IF(ISNUMBER(INDEX(Haver_M!$B$1:$ZN$1000,MATCH(data!$A68,Haver_M!$B$1:$B$1000,0),MATCH(data!AX$1,Haver_M!$B$1:$ZN$1,0))),INDEX(Haver_M!$B$1:$ZN$1000,MATCH(data!$A68,Haver_M!$B$1:$B$1000,0),MATCH(data!AX$1,Haver_M!$B$1:$ZN$1,0)),"na")</f>
        <v>3099</v>
      </c>
      <c r="AY68">
        <f>IF(ISNUMBER(INDEX(Haver_M!$B$1:$ZN$1000,MATCH(data!$A68,Haver_M!$B$1:$B$1000,0),MATCH(data!AY$1,Haver_M!$B$1:$ZN$1,0))),INDEX(Haver_M!$B$1:$ZN$1000,MATCH(data!$A68,Haver_M!$B$1:$B$1000,0),MATCH(data!AY$1,Haver_M!$B$1:$ZN$1,0)),"na")</f>
        <v>1714</v>
      </c>
      <c r="AZ68">
        <f>IF(ISNUMBER(INDEX(Haver_M!$B$1:$ZN$1000,MATCH(data!$A68,Haver_M!$B$1:$B$1000,0),MATCH(data!AZ$1,Haver_M!$B$1:$ZN$1,0))),INDEX(Haver_M!$B$1:$ZN$1000,MATCH(data!$A68,Haver_M!$B$1:$B$1000,0),MATCH(data!AZ$1,Haver_M!$B$1:$ZN$1,0)),"na")</f>
        <v>51</v>
      </c>
      <c r="BA68">
        <f>IF(ISNUMBER(INDEX(Haver_M!$B$1:$ZN$1000,MATCH(data!$A68,Haver_M!$B$1:$B$1000,0),MATCH(data!BA$1,Haver_M!$B$1:$ZN$1,0))),INDEX(Haver_M!$B$1:$ZN$1000,MATCH(data!$A68,Haver_M!$B$1:$B$1000,0),MATCH(data!BA$1,Haver_M!$B$1:$ZN$1,0)),"na")</f>
        <v>81.944410508906458</v>
      </c>
      <c r="BB68" t="str">
        <f>IF(ISNUMBER(INDEX(Haver_M!$B$1:$ZN$1000,MATCH(data!$A68,Haver_M!$B$1:$B$1000,0),MATCH(data!BB$1,Haver_M!$B$1:$ZN$1,0))),INDEX(Haver_M!$B$1:$ZN$1000,MATCH(data!$A68,Haver_M!$B$1:$B$1000,0),MATCH(data!BB$1,Haver_M!$B$1:$ZN$1,0)),"")</f>
        <v/>
      </c>
    </row>
    <row r="69" spans="1:54" x14ac:dyDescent="0.25">
      <c r="A69" s="2">
        <v>38595</v>
      </c>
      <c r="B69" t="str">
        <f>IF(ISNUMBER(INDEX(Haver_Q!$B$1:$BD$1000,MATCH(data!$A69,Haver_Q!$B$1:$B$1000,0),MATCH(data!B$1,Haver_Q!$B$1:$BD$1,0))),100*INDEX(Haver_Q!$B$1:$BD$1000,MATCH(data!$A69,Haver_Q!$B$1:$B$1000,0),MATCH(data!B$1,Haver_Q!$B$1:$BD$1,0)),"na")</f>
        <v>na</v>
      </c>
      <c r="C69" t="str">
        <f>IF(ISNUMBER(INDEX(Haver_Q!$B$1:$BD$1000,MATCH(data!$A69,Haver_Q!$B$1:$B$1000,0),MATCH(data!C$1,Haver_Q!$B$1:$BD$1,0))),100*INDEX(Haver_Q!$B$1:$BD$1000,MATCH(data!$A69,Haver_Q!$B$1:$B$1000,0),MATCH(data!C$1,Haver_Q!$B$1:$BD$1,0)),"na")</f>
        <v>na</v>
      </c>
      <c r="D69" t="str">
        <f>IF(ISNUMBER(INDEX(Haver_Q!$B$1:$BD$1000,MATCH(data!$A69,Haver_Q!$B$1:$B$1000,0),MATCH(data!D$1,Haver_Q!$B$1:$BD$1,0))),100*INDEX(Haver_Q!$B$1:$BD$1000,MATCH(data!$A69,Haver_Q!$B$1:$B$1000,0),MATCH(data!D$1,Haver_Q!$B$1:$BD$1,0)),"na")</f>
        <v>na</v>
      </c>
      <c r="E69" t="str">
        <f>IF(ISNUMBER(INDEX(Haver_Q!$B$1:$BD$1000,MATCH(data!$A69,Haver_Q!$B$1:$B$1000,0),MATCH(data!E$1,Haver_Q!$B$1:$BD$1,0))),100*INDEX(Haver_Q!$B$1:$BD$1000,MATCH(data!$A69,Haver_Q!$B$1:$B$1000,0),MATCH(data!E$1,Haver_Q!$B$1:$BD$1,0)),"na")</f>
        <v>na</v>
      </c>
      <c r="F69" t="str">
        <f>IF(ISNUMBER(INDEX(Haver_Q!$B$1:$BD$1000,MATCH(data!$A69,Haver_Q!$B$1:$B$1000,0),MATCH(data!F$1,Haver_Q!$B$1:$BD$1,0))),100*INDEX(Haver_Q!$B$1:$BD$1000,MATCH(data!$A69,Haver_Q!$B$1:$B$1000,0),MATCH(data!F$1,Haver_Q!$B$1:$BD$1,0)),"na")</f>
        <v>na</v>
      </c>
      <c r="G69" t="str">
        <f>IF(ISNUMBER(INDEX(Haver_Q!$B$1:$BD$1000,MATCH(data!$A69,Haver_Q!$B$1:$B$1000,0),MATCH(data!G$1,Haver_Q!$B$1:$BD$1,0))),100*INDEX(Haver_Q!$B$1:$BD$1000,MATCH(data!$A69,Haver_Q!$B$1:$B$1000,0),MATCH(data!G$1,Haver_Q!$B$1:$BD$1,0)),"na")</f>
        <v>na</v>
      </c>
      <c r="H69" t="str">
        <f>IF(ISNUMBER(INDEX(Haver_Q!$B$1:$BD$1000,MATCH(data!$A69,Haver_Q!$B$1:$B$1000,0),MATCH(data!H$1,Haver_Q!$B$1:$BD$1,0))),100*INDEX(Haver_Q!$B$1:$BD$1000,MATCH(data!$A69,Haver_Q!$B$1:$B$1000,0),MATCH(data!H$1,Haver_Q!$B$1:$BD$1,0)),"na")</f>
        <v>na</v>
      </c>
      <c r="I69" s="3">
        <f>IF(ISNUMBER(Bloomberg_m!C85),Bloomberg_m!C85,"na")</f>
        <v>2207</v>
      </c>
      <c r="J69" s="3" t="str">
        <f>IF(ISNUMBER(Bloomberg_m!D85),Bloomberg_m!D85,"na")</f>
        <v>na</v>
      </c>
      <c r="K69" s="3" t="str">
        <f>IF(ISNUMBER(Bloomberg_m!E85),Bloomberg_m!E85,"na")</f>
        <v>na</v>
      </c>
      <c r="L69" s="3">
        <f>IF(ISNUMBER(Bloomberg_m!L85),Bloomberg_m!L85,"na")</f>
        <v>64.959999999999994</v>
      </c>
      <c r="M69" t="str">
        <f>IF(ISNUMBER(INDEX(Haver_M!$B$1:$ZN$1000,MATCH(data!$A69,Haver_M!$B$1:$B$1000,0),MATCH(data!M$1,Haver_M!$B$1:$ZN$1,0))),INDEX(Haver_M!$B$1:$ZN$1000,MATCH(data!$A69,Haver_M!$B$1:$B$1000,0),MATCH(data!M$1,Haver_M!$B$1:$ZN$1,0)),"na")</f>
        <v>na</v>
      </c>
      <c r="N69" t="str">
        <f>IF(ISNUMBER(INDEX(Haver_M!$B$1:$ZN$1000,MATCH(data!$A69,Haver_M!$B$1:$B$1000,0),MATCH(data!N$1,Haver_M!$B$1:$ZN$1,0))),INDEX(Haver_M!$B$1:$ZN$1000,MATCH(data!$A69,Haver_M!$B$1:$B$1000,0),MATCH(data!N$1,Haver_M!$B$1:$ZN$1,0)),"na")</f>
        <v>na</v>
      </c>
      <c r="O69">
        <f>IF(ISNUMBER(INDEX(Haver_M!$B$1:$ZN$1000,MATCH(data!$A69,Haver_M!$B$1:$B$1000,0),MATCH(data!O$1,Haver_M!$B$1:$ZN$1,0))),INDEX(Haver_M!$B$1:$ZN$1000,MATCH(data!$A69,Haver_M!$B$1:$B$1000,0),MATCH(data!O$1,Haver_M!$B$1:$ZN$1,0)),"na")</f>
        <v>113.01056</v>
      </c>
      <c r="P69">
        <f>IF(ISNUMBER(INDEX(Haver_M!$B$1:$ZN$1000,MATCH(data!$A69,Haver_M!$B$1:$B$1000,0),MATCH(data!P$1,Haver_M!$B$1:$ZN$1,0))),INDEX(Haver_M!$B$1:$ZN$1000,MATCH(data!$A69,Haver_M!$B$1:$B$1000,0),MATCH(data!P$1,Haver_M!$B$1:$ZN$1,0)),"na")</f>
        <v>59.4011</v>
      </c>
      <c r="Q69">
        <f>IF(ISNUMBER(INDEX(Haver_M!$B$1:$ZN$1000,MATCH(data!$A69,Haver_M!$B$1:$B$1000,0),MATCH(data!Q$1,Haver_M!$B$1:$ZN$1,0))),INDEX(Haver_M!$B$1:$ZN$1000,MATCH(data!$A69,Haver_M!$B$1:$B$1000,0),MATCH(data!Q$1,Haver_M!$B$1:$ZN$1,0)),"na")</f>
        <v>63.118400000000001</v>
      </c>
      <c r="R69">
        <f>IF(ISNUMBER(INDEX(Haver_M!$B$1:$ZN$1000,MATCH(data!$A69,Haver_M!$B$1:$B$1000,0),MATCH(data!R$1,Haver_M!$B$1:$ZN$1,0))),INDEX(Haver_M!$B$1:$ZN$1000,MATCH(data!$A69,Haver_M!$B$1:$B$1000,0),MATCH(data!R$1,Haver_M!$B$1:$ZN$1,0)),"na")</f>
        <v>94.326599999999999</v>
      </c>
      <c r="S69">
        <f>IF(ISNUMBER(INDEX(Haver_M!$B$1:$ZN$1000,MATCH(data!$A69,Haver_M!$B$1:$B$1000,0),MATCH(data!S$1,Haver_M!$B$1:$ZN$1,0))),INDEX(Haver_M!$B$1:$ZN$1000,MATCH(data!$A69,Haver_M!$B$1:$B$1000,0),MATCH(data!S$1,Haver_M!$B$1:$ZN$1,0)),"na")</f>
        <v>115.5784</v>
      </c>
      <c r="T69">
        <f>IF(ISNUMBER(INDEX(Haver_M!$B$1:$ZN$1000,MATCH(data!$A69,Haver_M!$B$1:$B$1000,0),MATCH(data!T$1,Haver_M!$B$1:$ZN$1,0))),INDEX(Haver_M!$B$1:$ZN$1000,MATCH(data!$A69,Haver_M!$B$1:$B$1000,0),MATCH(data!T$1,Haver_M!$B$1:$ZN$1,0)),"na")</f>
        <v>72.787499999999994</v>
      </c>
      <c r="U69">
        <f>IF(ISNUMBER(INDEX(Haver_M!$B$1:$ZN$1000,MATCH(data!$A69,Haver_M!$B$1:$B$1000,0),MATCH(data!U$1,Haver_M!$B$1:$ZN$1,0))),INDEX(Haver_M!$B$1:$ZN$1000,MATCH(data!$A69,Haver_M!$B$1:$B$1000,0),MATCH(data!U$1,Haver_M!$B$1:$ZN$1,0)),"na")</f>
        <v>84.496300000000005</v>
      </c>
      <c r="V69">
        <f>IF(ISNUMBER(INDEX(Haver_M!$B$1:$ZN$1000,MATCH(data!$A69,Haver_M!$B$1:$B$1000,0),MATCH(data!V$1,Haver_M!$B$1:$ZN$1,0))),INDEX(Haver_M!$B$1:$ZN$1000,MATCH(data!$A69,Haver_M!$B$1:$B$1000,0),MATCH(data!V$1,Haver_M!$B$1:$ZN$1,0)),"na")</f>
        <v>91.097700000000003</v>
      </c>
      <c r="W69">
        <f>IF(ISNUMBER(INDEX(Haver_M!$B$1:$ZN$1000,MATCH(data!$A69,Haver_M!$B$1:$B$1000,0),MATCH(data!W$1,Haver_M!$B$1:$ZN$1,0))),INDEX(Haver_M!$B$1:$ZN$1000,MATCH(data!$A69,Haver_M!$B$1:$B$1000,0),MATCH(data!W$1,Haver_M!$B$1:$ZN$1,0)),"na")</f>
        <v>3.36</v>
      </c>
      <c r="X69" t="str">
        <f>IF(ISNUMBER(INDEX(Haver_M!$B$1:$ZN$1000,MATCH(data!$A69,Haver_M!$B$1:$B$1000,0),MATCH(data!X$1,Haver_M!$B$1:$ZN$1,0))),INDEX(Haver_M!$B$1:$ZN$1000,MATCH(data!$A69,Haver_M!$B$1:$B$1000,0),MATCH(data!X$1,Haver_M!$B$1:$ZN$1,0)),"na")</f>
        <v>na</v>
      </c>
      <c r="Y69">
        <f>IF(ISNUMBER(INDEX(Haver_M!$B$1:$ZN$1000,MATCH(data!$A69,Haver_M!$B$1:$B$1000,0),MATCH(data!Y$1,Haver_M!$B$1:$ZN$1,0))),INDEX(Haver_M!$B$1:$ZN$1000,MATCH(data!$A69,Haver_M!$B$1:$B$1000,0),MATCH(data!Y$1,Haver_M!$B$1:$ZN$1,0)),"na")</f>
        <v>99.98</v>
      </c>
      <c r="Z69">
        <f>IF(ISNUMBER(INDEX(Haver_M!$B$1:$ZN$1000,MATCH(data!$A69,Haver_M!$B$1:$B$1000,0),MATCH(data!Z$1,Haver_M!$B$1:$ZN$1,0))),INDEX(Haver_M!$B$1:$ZN$1000,MATCH(data!$A69,Haver_M!$B$1:$B$1000,0),MATCH(data!Z$1,Haver_M!$B$1:$ZN$1,0)),"na")</f>
        <v>92.239199999999997</v>
      </c>
      <c r="AA69" t="str">
        <f>IF(ISNUMBER(INDEX(Haver_M!$B$1:$ZN$1000,MATCH(data!$A69,Haver_M!$B$1:$B$1000,0),MATCH(data!AA$1,Haver_M!$B$1:$ZN$1,0))),INDEX(Haver_M!$B$1:$ZN$1000,MATCH(data!$A69,Haver_M!$B$1:$B$1000,0),MATCH(data!AA$1,Haver_M!$B$1:$ZN$1,0)),"na")</f>
        <v>na</v>
      </c>
      <c r="AB69">
        <f>IF(ISNUMBER(INDEX(Haver_M!$B$1:$ZN$1000,MATCH(data!$A69,Haver_M!$B$1:$B$1000,0),MATCH(data!AB$1,Haver_M!$B$1:$ZN$1,0))),INDEX(Haver_M!$B$1:$ZN$1000,MATCH(data!$A69,Haver_M!$B$1:$B$1000,0),MATCH(data!AB$1,Haver_M!$B$1:$ZN$1,0)),"na")</f>
        <v>17865.8</v>
      </c>
      <c r="AC69">
        <f>IF(ISNUMBER(INDEX(Haver_M!$B$1:$ZN$1000,MATCH(data!$A69,Haver_M!$B$1:$B$1000,0),MATCH(data!AC$1,Haver_M!$B$1:$ZN$1,0))),INDEX(Haver_M!$B$1:$ZN$1000,MATCH(data!$A69,Haver_M!$B$1:$B$1000,0),MATCH(data!AC$1,Haver_M!$B$1:$ZN$1,0)),"na")</f>
        <v>18403.099999999999</v>
      </c>
      <c r="AD69">
        <f>IF(ISNUMBER(INDEX(Haver_M!$B$1:$ZN$1000,MATCH(data!$A69,Haver_M!$B$1:$B$1000,0),MATCH(data!AD$1,Haver_M!$B$1:$ZN$1,0))),INDEX(Haver_M!$B$1:$ZN$1000,MATCH(data!$A69,Haver_M!$B$1:$B$1000,0),MATCH(data!AD$1,Haver_M!$B$1:$ZN$1,0)),"na")</f>
        <v>99.8</v>
      </c>
      <c r="AE69">
        <f>IF(ISNUMBER(INDEX(Haver_M!$B$1:$ZN$1000,MATCH(data!$A69,Haver_M!$B$1:$B$1000,0),MATCH(data!AE$1,Haver_M!$B$1:$ZN$1,0))),INDEX(Haver_M!$B$1:$ZN$1000,MATCH(data!$A69,Haver_M!$B$1:$B$1000,0),MATCH(data!AE$1,Haver_M!$B$1:$ZN$1,0)),"na")</f>
        <v>40.1</v>
      </c>
      <c r="AF69">
        <f>IF(ISNUMBER(INDEX(Haver_M!$B$1:$ZN$1000,MATCH(data!$A69,Haver_M!$B$1:$B$1000,0),MATCH(data!AF$1,Haver_M!$B$1:$ZN$1,0))),INDEX(Haver_M!$B$1:$ZN$1000,MATCH(data!$A69,Haver_M!$B$1:$B$1000,0),MATCH(data!AF$1,Haver_M!$B$1:$ZN$1,0)),"na")</f>
        <v>99.96</v>
      </c>
      <c r="AG69" t="str">
        <f>IF(ISNUMBER(INDEX(Haver_M!$B$1:$ZN$1000,MATCH(data!$A69,Haver_M!$B$1:$B$1000,0),MATCH(data!AG$1,Haver_M!$B$1:$ZN$1,0))),INDEX(Haver_M!$B$1:$ZN$1000,MATCH(data!$A69,Haver_M!$B$1:$B$1000,0),MATCH(data!AG$1,Haver_M!$B$1:$ZN$1,0)),"na")</f>
        <v>na</v>
      </c>
      <c r="AH69" t="str">
        <f>IF(ISNUMBER(INDEX(Haver_M!$B$1:$ZN$1000,MATCH(data!$A69,Haver_M!$B$1:$B$1000,0),MATCH(data!AH$1,Haver_M!$B$1:$ZN$1,0))),INDEX(Haver_M!$B$1:$ZN$1000,MATCH(data!$A69,Haver_M!$B$1:$B$1000,0),MATCH(data!AH$1,Haver_M!$B$1:$ZN$1,0)),"na")</f>
        <v>na</v>
      </c>
      <c r="AI69" t="str">
        <f>IF(ISNUMBER(INDEX(Haver_M!$B$1:$ZN$1000,MATCH(data!$A69,Haver_M!$B$1:$B$1000,0),MATCH(data!AI$1,Haver_M!$B$1:$ZN$1,0))),INDEX(Haver_M!$B$1:$ZN$1000,MATCH(data!$A69,Haver_M!$B$1:$B$1000,0),MATCH(data!AI$1,Haver_M!$B$1:$ZN$1,0)),"na")</f>
        <v>na</v>
      </c>
      <c r="AJ69" t="str">
        <f>IF(ISNUMBER(INDEX(Haver_M!$B$1:$ZN$1000,MATCH(data!$A69,Haver_M!$B$1:$B$1000,0),MATCH(data!AJ$1,Haver_M!$B$1:$ZN$1,0))),INDEX(Haver_M!$B$1:$ZN$1000,MATCH(data!$A69,Haver_M!$B$1:$B$1000,0),MATCH(data!AJ$1,Haver_M!$B$1:$ZN$1,0)),"na")</f>
        <v>na</v>
      </c>
      <c r="AK69" t="str">
        <f>IF(ISNUMBER(INDEX(Haver_M!$B$1:$ZN$1000,MATCH(data!$A69,Haver_M!$B$1:$B$1000,0),MATCH(data!AK$1,Haver_M!$B$1:$ZN$1,0))),INDEX(Haver_M!$B$1:$ZN$1000,MATCH(data!$A69,Haver_M!$B$1:$B$1000,0),MATCH(data!AK$1,Haver_M!$B$1:$ZN$1,0)),"na")</f>
        <v>na</v>
      </c>
      <c r="AL69" t="str">
        <f>IF(ISNUMBER(INDEX(Haver_M!$B$1:$ZN$1000,MATCH(data!$A69,Haver_M!$B$1:$B$1000,0),MATCH(data!AL$1,Haver_M!$B$1:$ZN$1,0))),INDEX(Haver_M!$B$1:$ZN$1000,MATCH(data!$A69,Haver_M!$B$1:$B$1000,0),MATCH(data!AL$1,Haver_M!$B$1:$ZN$1,0)),"na")</f>
        <v>na</v>
      </c>
      <c r="AM69" t="str">
        <f>IF(ISNUMBER(INDEX(Haver_M!$B$1:$ZN$1000,MATCH(data!$A69,Haver_M!$B$1:$B$1000,0),MATCH(data!AM$1,Haver_M!$B$1:$ZN$1,0))),INDEX(Haver_M!$B$1:$ZN$1000,MATCH(data!$A69,Haver_M!$B$1:$B$1000,0),MATCH(data!AM$1,Haver_M!$B$1:$ZN$1,0)),"na")</f>
        <v>na</v>
      </c>
      <c r="AN69" t="str">
        <f>IF(ISNUMBER(INDEX(Haver_M!$B$1:$ZN$1000,MATCH(data!$A69,Haver_M!$B$1:$B$1000,0),MATCH(data!AN$1,Haver_M!$B$1:$ZN$1,0))),INDEX(Haver_M!$B$1:$ZN$1000,MATCH(data!$A69,Haver_M!$B$1:$B$1000,0),MATCH(data!AN$1,Haver_M!$B$1:$ZN$1,0)),"na")</f>
        <v>na</v>
      </c>
      <c r="AO69" t="str">
        <f>IF(ISNUMBER(INDEX(Haver_M!$B$1:$ZN$1000,MATCH(data!$A69,Haver_M!$B$1:$B$1000,0),MATCH(data!AO$1,Haver_M!$B$1:$ZN$1,0))),INDEX(Haver_M!$B$1:$ZN$1000,MATCH(data!$A69,Haver_M!$B$1:$B$1000,0),MATCH(data!AO$1,Haver_M!$B$1:$ZN$1,0)),"na")</f>
        <v>na</v>
      </c>
      <c r="AP69" t="str">
        <f>IF(ISNUMBER(INDEX(Haver_M!$B$1:$ZN$1000,MATCH(data!$A69,Haver_M!$B$1:$B$1000,0),MATCH(data!AP$1,Haver_M!$B$1:$ZN$1,0))),INDEX(Haver_M!$B$1:$ZN$1000,MATCH(data!$A69,Haver_M!$B$1:$B$1000,0),MATCH(data!AP$1,Haver_M!$B$1:$ZN$1,0)),"na")</f>
        <v>na</v>
      </c>
      <c r="AQ69" t="str">
        <f>IF(ISNUMBER(INDEX(Haver_M!$B$1:$ZN$1000,MATCH(data!$A69,Haver_M!$B$1:$B$1000,0),MATCH(data!AQ$1,Haver_M!$B$1:$ZN$1,0))),INDEX(Haver_M!$B$1:$ZN$1000,MATCH(data!$A69,Haver_M!$B$1:$B$1000,0),MATCH(data!AQ$1,Haver_M!$B$1:$ZN$1,0)),"na")</f>
        <v>na</v>
      </c>
      <c r="AR69" t="str">
        <f>IF(ISNUMBER(INDEX(Haver_M!$B$1:$ZN$1000,MATCH(data!$A69,Haver_M!$B$1:$B$1000,0),MATCH(data!AR$1,Haver_M!$B$1:$ZN$1,0))),INDEX(Haver_M!$B$1:$ZN$1000,MATCH(data!$A69,Haver_M!$B$1:$B$1000,0),MATCH(data!AR$1,Haver_M!$B$1:$ZN$1,0)),"na")</f>
        <v>na</v>
      </c>
      <c r="AS69">
        <f>IF(ISNUMBER(INDEX(Haver_M!$B$1:$ZN$1000,MATCH(data!$A69,Haver_M!$B$1:$B$1000,0),MATCH(data!AS$1,Haver_M!$B$1:$ZN$1,0))),INDEX(Haver_M!$B$1:$ZN$1000,MATCH(data!$A69,Haver_M!$B$1:$B$1000,0),MATCH(data!AS$1,Haver_M!$B$1:$ZN$1,0)),"na")</f>
        <v>14580.26</v>
      </c>
      <c r="AT69">
        <f>IF(ISNUMBER(INDEX(Haver_M!$B$1:$ZN$1000,MATCH(data!$A69,Haver_M!$B$1:$B$1000,0),MATCH(data!AT$1,Haver_M!$B$1:$ZN$1,0))),INDEX(Haver_M!$B$1:$ZN$1000,MATCH(data!$A69,Haver_M!$B$1:$B$1000,0),MATCH(data!AT$1,Haver_M!$B$1:$ZN$1,0)),"na")</f>
        <v>89.563999999999993</v>
      </c>
      <c r="AU69">
        <f>IF(ISNUMBER(INDEX(Haver_M!$B$1:$ZN$1000,MATCH(data!$A69,Haver_M!$B$1:$B$1000,0),MATCH(data!AU$1,Haver_M!$B$1:$ZN$1,0))),INDEX(Haver_M!$B$1:$ZN$1000,MATCH(data!$A69,Haver_M!$B$1:$B$1000,0),MATCH(data!AU$1,Haver_M!$B$1:$ZN$1,0)),"na")</f>
        <v>85.998676000000003</v>
      </c>
      <c r="AV69">
        <f>IF(ISNUMBER(INDEX(Haver_M!$B$1:$ZN$1000,MATCH(data!$A69,Haver_M!$B$1:$B$1000,0),MATCH(data!AV$1,Haver_M!$B$1:$ZN$1,0))),INDEX(Haver_M!$B$1:$ZN$1000,MATCH(data!$A69,Haver_M!$B$1:$B$1000,0),MATCH(data!AV$1,Haver_M!$B$1:$ZN$1,0)),"na")</f>
        <v>79.599999999999994</v>
      </c>
      <c r="AW69">
        <f>IF(ISNUMBER(INDEX(Haver_M!$B$1:$ZN$1000,MATCH(data!$A69,Haver_M!$B$1:$B$1000,0),MATCH(data!AW$1,Haver_M!$B$1:$ZN$1,0))),INDEX(Haver_M!$B$1:$ZN$1000,MATCH(data!$A69,Haver_M!$B$1:$B$1000,0),MATCH(data!AW$1,Haver_M!$B$1:$ZN$1,0)),"na")</f>
        <v>979484.47643408645</v>
      </c>
      <c r="AX69">
        <f>IF(ISNUMBER(INDEX(Haver_M!$B$1:$ZN$1000,MATCH(data!$A69,Haver_M!$B$1:$B$1000,0),MATCH(data!AX$1,Haver_M!$B$1:$ZN$1,0))),INDEX(Haver_M!$B$1:$ZN$1000,MATCH(data!$A69,Haver_M!$B$1:$B$1000,0),MATCH(data!AX$1,Haver_M!$B$1:$ZN$1,0)),"na")</f>
        <v>3414</v>
      </c>
      <c r="AY69">
        <f>IF(ISNUMBER(INDEX(Haver_M!$B$1:$ZN$1000,MATCH(data!$A69,Haver_M!$B$1:$B$1000,0),MATCH(data!AY$1,Haver_M!$B$1:$ZN$1,0))),INDEX(Haver_M!$B$1:$ZN$1000,MATCH(data!$A69,Haver_M!$B$1:$B$1000,0),MATCH(data!AY$1,Haver_M!$B$1:$ZN$1,0)),"na")</f>
        <v>1766</v>
      </c>
      <c r="AZ69">
        <f>IF(ISNUMBER(INDEX(Haver_M!$B$1:$ZN$1000,MATCH(data!$A69,Haver_M!$B$1:$B$1000,0),MATCH(data!AZ$1,Haver_M!$B$1:$ZN$1,0))),INDEX(Haver_M!$B$1:$ZN$1000,MATCH(data!$A69,Haver_M!$B$1:$B$1000,0),MATCH(data!AZ$1,Haver_M!$B$1:$ZN$1,0)),"na")</f>
        <v>51.2</v>
      </c>
      <c r="BA69">
        <f>IF(ISNUMBER(INDEX(Haver_M!$B$1:$ZN$1000,MATCH(data!$A69,Haver_M!$B$1:$B$1000,0),MATCH(data!BA$1,Haver_M!$B$1:$ZN$1,0))),INDEX(Haver_M!$B$1:$ZN$1000,MATCH(data!$A69,Haver_M!$B$1:$B$1000,0),MATCH(data!BA$1,Haver_M!$B$1:$ZN$1,0)),"na")</f>
        <v>70.376107325762732</v>
      </c>
      <c r="BB69" t="str">
        <f>IF(ISNUMBER(INDEX(Haver_M!$B$1:$ZN$1000,MATCH(data!$A69,Haver_M!$B$1:$B$1000,0),MATCH(data!BB$1,Haver_M!$B$1:$ZN$1,0))),INDEX(Haver_M!$B$1:$ZN$1000,MATCH(data!$A69,Haver_M!$B$1:$B$1000,0),MATCH(data!BB$1,Haver_M!$B$1:$ZN$1,0)),"")</f>
        <v/>
      </c>
    </row>
    <row r="70" spans="1:54" x14ac:dyDescent="0.25">
      <c r="A70" s="2">
        <v>38625</v>
      </c>
      <c r="B70">
        <f>IF(ISNUMBER(INDEX(Haver_Q!$B$1:$BD$1000,MATCH(data!$A70,Haver_Q!$B$1:$B$1000,0),MATCH(data!B$1,Haver_Q!$B$1:$BD$1,0))),100*INDEX(Haver_Q!$B$1:$BD$1000,MATCH(data!$A70,Haver_Q!$B$1:$B$1000,0),MATCH(data!B$1,Haver_Q!$B$1:$BD$1,0)),"na")</f>
        <v>3.7851632180737171</v>
      </c>
      <c r="C70">
        <f>IF(ISNUMBER(INDEX(Haver_Q!$B$1:$BD$1000,MATCH(data!$A70,Haver_Q!$B$1:$B$1000,0),MATCH(data!C$1,Haver_Q!$B$1:$BD$1,0))),100*INDEX(Haver_Q!$B$1:$BD$1000,MATCH(data!$A70,Haver_Q!$B$1:$B$1000,0),MATCH(data!C$1,Haver_Q!$B$1:$BD$1,0)),"na")</f>
        <v>6.5850697884958231</v>
      </c>
      <c r="D70">
        <f>IF(ISNUMBER(INDEX(Haver_Q!$B$1:$BD$1000,MATCH(data!$A70,Haver_Q!$B$1:$B$1000,0),MATCH(data!D$1,Haver_Q!$B$1:$BD$1,0))),100*INDEX(Haver_Q!$B$1:$BD$1000,MATCH(data!$A70,Haver_Q!$B$1:$B$1000,0),MATCH(data!D$1,Haver_Q!$B$1:$BD$1,0)),"na")</f>
        <v>5.0463312111314496</v>
      </c>
      <c r="E70">
        <f>IF(ISNUMBER(INDEX(Haver_Q!$B$1:$BD$1000,MATCH(data!$A70,Haver_Q!$B$1:$B$1000,0),MATCH(data!E$1,Haver_Q!$B$1:$BD$1,0))),100*INDEX(Haver_Q!$B$1:$BD$1000,MATCH(data!$A70,Haver_Q!$B$1:$B$1000,0),MATCH(data!E$1,Haver_Q!$B$1:$BD$1,0)),"na")</f>
        <v>6.8706983775365549</v>
      </c>
      <c r="F70">
        <f>IF(ISNUMBER(INDEX(Haver_Q!$B$1:$BD$1000,MATCH(data!$A70,Haver_Q!$B$1:$B$1000,0),MATCH(data!F$1,Haver_Q!$B$1:$BD$1,0))),100*INDEX(Haver_Q!$B$1:$BD$1000,MATCH(data!$A70,Haver_Q!$B$1:$B$1000,0),MATCH(data!F$1,Haver_Q!$B$1:$BD$1,0)),"na")</f>
        <v>-2.2209815525764842</v>
      </c>
      <c r="G70">
        <f>IF(ISNUMBER(INDEX(Haver_Q!$B$1:$BD$1000,MATCH(data!$A70,Haver_Q!$B$1:$B$1000,0),MATCH(data!G$1,Haver_Q!$B$1:$BD$1,0))),100*INDEX(Haver_Q!$B$1:$BD$1000,MATCH(data!$A70,Haver_Q!$B$1:$B$1000,0),MATCH(data!G$1,Haver_Q!$B$1:$BD$1,0)),"na")</f>
        <v>11.497350221462209</v>
      </c>
      <c r="H70">
        <f>IF(ISNUMBER(INDEX(Haver_Q!$B$1:$BD$1000,MATCH(data!$A70,Haver_Q!$B$1:$B$1000,0),MATCH(data!H$1,Haver_Q!$B$1:$BD$1,0))),100*INDEX(Haver_Q!$B$1:$BD$1000,MATCH(data!$A70,Haver_Q!$B$1:$B$1000,0),MATCH(data!H$1,Haver_Q!$B$1:$BD$1,0)),"na")</f>
        <v>494.17302780752027</v>
      </c>
      <c r="I70" s="3">
        <f>IF(ISNUMBER(Bloomberg_m!C86),Bloomberg_m!C86,"na")</f>
        <v>2804</v>
      </c>
      <c r="J70" s="3" t="str">
        <f>IF(ISNUMBER(Bloomberg_m!D86),Bloomberg_m!D86,"na")</f>
        <v>na</v>
      </c>
      <c r="K70" s="3" t="str">
        <f>IF(ISNUMBER(Bloomberg_m!E86),Bloomberg_m!E86,"na")</f>
        <v>na</v>
      </c>
      <c r="L70" s="3">
        <f>IF(ISNUMBER(Bloomberg_m!L86),Bloomberg_m!L86,"na")</f>
        <v>65.540000000000006</v>
      </c>
      <c r="M70" t="str">
        <f>IF(ISNUMBER(INDEX(Haver_M!$B$1:$ZN$1000,MATCH(data!$A70,Haver_M!$B$1:$B$1000,0),MATCH(data!M$1,Haver_M!$B$1:$ZN$1,0))),INDEX(Haver_M!$B$1:$ZN$1000,MATCH(data!$A70,Haver_M!$B$1:$B$1000,0),MATCH(data!M$1,Haver_M!$B$1:$ZN$1,0)),"na")</f>
        <v>na</v>
      </c>
      <c r="N70" t="str">
        <f>IF(ISNUMBER(INDEX(Haver_M!$B$1:$ZN$1000,MATCH(data!$A70,Haver_M!$B$1:$B$1000,0),MATCH(data!N$1,Haver_M!$B$1:$ZN$1,0))),INDEX(Haver_M!$B$1:$ZN$1000,MATCH(data!$A70,Haver_M!$B$1:$B$1000,0),MATCH(data!N$1,Haver_M!$B$1:$ZN$1,0)),"na")</f>
        <v>na</v>
      </c>
      <c r="O70">
        <f>IF(ISNUMBER(INDEX(Haver_M!$B$1:$ZN$1000,MATCH(data!$A70,Haver_M!$B$1:$B$1000,0),MATCH(data!O$1,Haver_M!$B$1:$ZN$1,0))),INDEX(Haver_M!$B$1:$ZN$1000,MATCH(data!$A70,Haver_M!$B$1:$B$1000,0),MATCH(data!O$1,Haver_M!$B$1:$ZN$1,0)),"na")</f>
        <v>111.34645</v>
      </c>
      <c r="P70">
        <f>IF(ISNUMBER(INDEX(Haver_M!$B$1:$ZN$1000,MATCH(data!$A70,Haver_M!$B$1:$B$1000,0),MATCH(data!P$1,Haver_M!$B$1:$ZN$1,0))),INDEX(Haver_M!$B$1:$ZN$1000,MATCH(data!$A70,Haver_M!$B$1:$B$1000,0),MATCH(data!P$1,Haver_M!$B$1:$ZN$1,0)),"na")</f>
        <v>59.466900000000003</v>
      </c>
      <c r="Q70">
        <f>IF(ISNUMBER(INDEX(Haver_M!$B$1:$ZN$1000,MATCH(data!$A70,Haver_M!$B$1:$B$1000,0),MATCH(data!Q$1,Haver_M!$B$1:$ZN$1,0))),INDEX(Haver_M!$B$1:$ZN$1000,MATCH(data!$A70,Haver_M!$B$1:$B$1000,0),MATCH(data!Q$1,Haver_M!$B$1:$ZN$1,0)),"na")</f>
        <v>63.274500000000003</v>
      </c>
      <c r="R70">
        <f>IF(ISNUMBER(INDEX(Haver_M!$B$1:$ZN$1000,MATCH(data!$A70,Haver_M!$B$1:$B$1000,0),MATCH(data!R$1,Haver_M!$B$1:$ZN$1,0))),INDEX(Haver_M!$B$1:$ZN$1000,MATCH(data!$A70,Haver_M!$B$1:$B$1000,0),MATCH(data!R$1,Haver_M!$B$1:$ZN$1,0)),"na")</f>
        <v>94.387699999999995</v>
      </c>
      <c r="S70">
        <f>IF(ISNUMBER(INDEX(Haver_M!$B$1:$ZN$1000,MATCH(data!$A70,Haver_M!$B$1:$B$1000,0),MATCH(data!S$1,Haver_M!$B$1:$ZN$1,0))),INDEX(Haver_M!$B$1:$ZN$1000,MATCH(data!$A70,Haver_M!$B$1:$B$1000,0),MATCH(data!S$1,Haver_M!$B$1:$ZN$1,0)),"na")</f>
        <v>113.5651</v>
      </c>
      <c r="T70">
        <f>IF(ISNUMBER(INDEX(Haver_M!$B$1:$ZN$1000,MATCH(data!$A70,Haver_M!$B$1:$B$1000,0),MATCH(data!T$1,Haver_M!$B$1:$ZN$1,0))),INDEX(Haver_M!$B$1:$ZN$1000,MATCH(data!$A70,Haver_M!$B$1:$B$1000,0),MATCH(data!T$1,Haver_M!$B$1:$ZN$1,0)),"na")</f>
        <v>73.198899999999995</v>
      </c>
      <c r="U70">
        <f>IF(ISNUMBER(INDEX(Haver_M!$B$1:$ZN$1000,MATCH(data!$A70,Haver_M!$B$1:$B$1000,0),MATCH(data!U$1,Haver_M!$B$1:$ZN$1,0))),INDEX(Haver_M!$B$1:$ZN$1000,MATCH(data!$A70,Haver_M!$B$1:$B$1000,0),MATCH(data!U$1,Haver_M!$B$1:$ZN$1,0)),"na")</f>
        <v>85.676000000000002</v>
      </c>
      <c r="V70">
        <f>IF(ISNUMBER(INDEX(Haver_M!$B$1:$ZN$1000,MATCH(data!$A70,Haver_M!$B$1:$B$1000,0),MATCH(data!V$1,Haver_M!$B$1:$ZN$1,0))),INDEX(Haver_M!$B$1:$ZN$1000,MATCH(data!$A70,Haver_M!$B$1:$B$1000,0),MATCH(data!V$1,Haver_M!$B$1:$ZN$1,0)),"na")</f>
        <v>92.105500000000006</v>
      </c>
      <c r="W70">
        <f>IF(ISNUMBER(INDEX(Haver_M!$B$1:$ZN$1000,MATCH(data!$A70,Haver_M!$B$1:$B$1000,0),MATCH(data!W$1,Haver_M!$B$1:$ZN$1,0))),INDEX(Haver_M!$B$1:$ZN$1000,MATCH(data!$A70,Haver_M!$B$1:$B$1000,0),MATCH(data!W$1,Haver_M!$B$1:$ZN$1,0)),"na")</f>
        <v>3.41</v>
      </c>
      <c r="X70" t="str">
        <f>IF(ISNUMBER(INDEX(Haver_M!$B$1:$ZN$1000,MATCH(data!$A70,Haver_M!$B$1:$B$1000,0),MATCH(data!X$1,Haver_M!$B$1:$ZN$1,0))),INDEX(Haver_M!$B$1:$ZN$1000,MATCH(data!$A70,Haver_M!$B$1:$B$1000,0),MATCH(data!X$1,Haver_M!$B$1:$ZN$1,0)),"na")</f>
        <v>na</v>
      </c>
      <c r="Y70">
        <f>IF(ISNUMBER(INDEX(Haver_M!$B$1:$ZN$1000,MATCH(data!$A70,Haver_M!$B$1:$B$1000,0),MATCH(data!Y$1,Haver_M!$B$1:$ZN$1,0))),INDEX(Haver_M!$B$1:$ZN$1000,MATCH(data!$A70,Haver_M!$B$1:$B$1000,0),MATCH(data!Y$1,Haver_M!$B$1:$ZN$1,0)),"na")</f>
        <v>100.13</v>
      </c>
      <c r="Z70">
        <f>IF(ISNUMBER(INDEX(Haver_M!$B$1:$ZN$1000,MATCH(data!$A70,Haver_M!$B$1:$B$1000,0),MATCH(data!Z$1,Haver_M!$B$1:$ZN$1,0))),INDEX(Haver_M!$B$1:$ZN$1000,MATCH(data!$A70,Haver_M!$B$1:$B$1000,0),MATCH(data!Z$1,Haver_M!$B$1:$ZN$1,0)),"na")</f>
        <v>94.454899999999995</v>
      </c>
      <c r="AA70" t="str">
        <f>IF(ISNUMBER(INDEX(Haver_M!$B$1:$ZN$1000,MATCH(data!$A70,Haver_M!$B$1:$B$1000,0),MATCH(data!AA$1,Haver_M!$B$1:$ZN$1,0))),INDEX(Haver_M!$B$1:$ZN$1000,MATCH(data!$A70,Haver_M!$B$1:$B$1000,0),MATCH(data!AA$1,Haver_M!$B$1:$ZN$1,0)),"na")</f>
        <v>na</v>
      </c>
      <c r="AB70">
        <f>IF(ISNUMBER(INDEX(Haver_M!$B$1:$ZN$1000,MATCH(data!$A70,Haver_M!$B$1:$B$1000,0),MATCH(data!AB$1,Haver_M!$B$1:$ZN$1,0))),INDEX(Haver_M!$B$1:$ZN$1000,MATCH(data!$A70,Haver_M!$B$1:$B$1000,0),MATCH(data!AB$1,Haver_M!$B$1:$ZN$1,0)),"na")</f>
        <v>18314.400000000001</v>
      </c>
      <c r="AC70">
        <f>IF(ISNUMBER(INDEX(Haver_M!$B$1:$ZN$1000,MATCH(data!$A70,Haver_M!$B$1:$B$1000,0),MATCH(data!AC$1,Haver_M!$B$1:$ZN$1,0))),INDEX(Haver_M!$B$1:$ZN$1000,MATCH(data!$A70,Haver_M!$B$1:$B$1000,0),MATCH(data!AC$1,Haver_M!$B$1:$ZN$1,0)),"na")</f>
        <v>18421.400000000001</v>
      </c>
      <c r="AD70">
        <f>IF(ISNUMBER(INDEX(Haver_M!$B$1:$ZN$1000,MATCH(data!$A70,Haver_M!$B$1:$B$1000,0),MATCH(data!AD$1,Haver_M!$B$1:$ZN$1,0))),INDEX(Haver_M!$B$1:$ZN$1000,MATCH(data!$A70,Haver_M!$B$1:$B$1000,0),MATCH(data!AD$1,Haver_M!$B$1:$ZN$1,0)),"na")</f>
        <v>99.96</v>
      </c>
      <c r="AE70">
        <f>IF(ISNUMBER(INDEX(Haver_M!$B$1:$ZN$1000,MATCH(data!$A70,Haver_M!$B$1:$B$1000,0),MATCH(data!AE$1,Haver_M!$B$1:$ZN$1,0))),INDEX(Haver_M!$B$1:$ZN$1000,MATCH(data!$A70,Haver_M!$B$1:$B$1000,0),MATCH(data!AE$1,Haver_M!$B$1:$ZN$1,0)),"na")</f>
        <v>41.6</v>
      </c>
      <c r="AF70">
        <f>IF(ISNUMBER(INDEX(Haver_M!$B$1:$ZN$1000,MATCH(data!$A70,Haver_M!$B$1:$B$1000,0),MATCH(data!AF$1,Haver_M!$B$1:$ZN$1,0))),INDEX(Haver_M!$B$1:$ZN$1000,MATCH(data!$A70,Haver_M!$B$1:$B$1000,0),MATCH(data!AF$1,Haver_M!$B$1:$ZN$1,0)),"na")</f>
        <v>100.03</v>
      </c>
      <c r="AG70" t="str">
        <f>IF(ISNUMBER(INDEX(Haver_M!$B$1:$ZN$1000,MATCH(data!$A70,Haver_M!$B$1:$B$1000,0),MATCH(data!AG$1,Haver_M!$B$1:$ZN$1,0))),INDEX(Haver_M!$B$1:$ZN$1000,MATCH(data!$A70,Haver_M!$B$1:$B$1000,0),MATCH(data!AG$1,Haver_M!$B$1:$ZN$1,0)),"na")</f>
        <v>na</v>
      </c>
      <c r="AH70" t="str">
        <f>IF(ISNUMBER(INDEX(Haver_M!$B$1:$ZN$1000,MATCH(data!$A70,Haver_M!$B$1:$B$1000,0),MATCH(data!AH$1,Haver_M!$B$1:$ZN$1,0))),INDEX(Haver_M!$B$1:$ZN$1000,MATCH(data!$A70,Haver_M!$B$1:$B$1000,0),MATCH(data!AH$1,Haver_M!$B$1:$ZN$1,0)),"na")</f>
        <v>na</v>
      </c>
      <c r="AI70" t="str">
        <f>IF(ISNUMBER(INDEX(Haver_M!$B$1:$ZN$1000,MATCH(data!$A70,Haver_M!$B$1:$B$1000,0),MATCH(data!AI$1,Haver_M!$B$1:$ZN$1,0))),INDEX(Haver_M!$B$1:$ZN$1000,MATCH(data!$A70,Haver_M!$B$1:$B$1000,0),MATCH(data!AI$1,Haver_M!$B$1:$ZN$1,0)),"na")</f>
        <v>na</v>
      </c>
      <c r="AJ70" t="str">
        <f>IF(ISNUMBER(INDEX(Haver_M!$B$1:$ZN$1000,MATCH(data!$A70,Haver_M!$B$1:$B$1000,0),MATCH(data!AJ$1,Haver_M!$B$1:$ZN$1,0))),INDEX(Haver_M!$B$1:$ZN$1000,MATCH(data!$A70,Haver_M!$B$1:$B$1000,0),MATCH(data!AJ$1,Haver_M!$B$1:$ZN$1,0)),"na")</f>
        <v>na</v>
      </c>
      <c r="AK70" t="str">
        <f>IF(ISNUMBER(INDEX(Haver_M!$B$1:$ZN$1000,MATCH(data!$A70,Haver_M!$B$1:$B$1000,0),MATCH(data!AK$1,Haver_M!$B$1:$ZN$1,0))),INDEX(Haver_M!$B$1:$ZN$1000,MATCH(data!$A70,Haver_M!$B$1:$B$1000,0),MATCH(data!AK$1,Haver_M!$B$1:$ZN$1,0)),"na")</f>
        <v>na</v>
      </c>
      <c r="AL70" t="str">
        <f>IF(ISNUMBER(INDEX(Haver_M!$B$1:$ZN$1000,MATCH(data!$A70,Haver_M!$B$1:$B$1000,0),MATCH(data!AL$1,Haver_M!$B$1:$ZN$1,0))),INDEX(Haver_M!$B$1:$ZN$1000,MATCH(data!$A70,Haver_M!$B$1:$B$1000,0),MATCH(data!AL$1,Haver_M!$B$1:$ZN$1,0)),"na")</f>
        <v>na</v>
      </c>
      <c r="AM70" t="str">
        <f>IF(ISNUMBER(INDEX(Haver_M!$B$1:$ZN$1000,MATCH(data!$A70,Haver_M!$B$1:$B$1000,0),MATCH(data!AM$1,Haver_M!$B$1:$ZN$1,0))),INDEX(Haver_M!$B$1:$ZN$1000,MATCH(data!$A70,Haver_M!$B$1:$B$1000,0),MATCH(data!AM$1,Haver_M!$B$1:$ZN$1,0)),"na")</f>
        <v>na</v>
      </c>
      <c r="AN70" t="str">
        <f>IF(ISNUMBER(INDEX(Haver_M!$B$1:$ZN$1000,MATCH(data!$A70,Haver_M!$B$1:$B$1000,0),MATCH(data!AN$1,Haver_M!$B$1:$ZN$1,0))),INDEX(Haver_M!$B$1:$ZN$1000,MATCH(data!$A70,Haver_M!$B$1:$B$1000,0),MATCH(data!AN$1,Haver_M!$B$1:$ZN$1,0)),"na")</f>
        <v>na</v>
      </c>
      <c r="AO70" t="str">
        <f>IF(ISNUMBER(INDEX(Haver_M!$B$1:$ZN$1000,MATCH(data!$A70,Haver_M!$B$1:$B$1000,0),MATCH(data!AO$1,Haver_M!$B$1:$ZN$1,0))),INDEX(Haver_M!$B$1:$ZN$1000,MATCH(data!$A70,Haver_M!$B$1:$B$1000,0),MATCH(data!AO$1,Haver_M!$B$1:$ZN$1,0)),"na")</f>
        <v>na</v>
      </c>
      <c r="AP70" t="str">
        <f>IF(ISNUMBER(INDEX(Haver_M!$B$1:$ZN$1000,MATCH(data!$A70,Haver_M!$B$1:$B$1000,0),MATCH(data!AP$1,Haver_M!$B$1:$ZN$1,0))),INDEX(Haver_M!$B$1:$ZN$1000,MATCH(data!$A70,Haver_M!$B$1:$B$1000,0),MATCH(data!AP$1,Haver_M!$B$1:$ZN$1,0)),"na")</f>
        <v>na</v>
      </c>
      <c r="AQ70" t="str">
        <f>IF(ISNUMBER(INDEX(Haver_M!$B$1:$ZN$1000,MATCH(data!$A70,Haver_M!$B$1:$B$1000,0),MATCH(data!AQ$1,Haver_M!$B$1:$ZN$1,0))),INDEX(Haver_M!$B$1:$ZN$1000,MATCH(data!$A70,Haver_M!$B$1:$B$1000,0),MATCH(data!AQ$1,Haver_M!$B$1:$ZN$1,0)),"na")</f>
        <v>na</v>
      </c>
      <c r="AR70" t="str">
        <f>IF(ISNUMBER(INDEX(Haver_M!$B$1:$ZN$1000,MATCH(data!$A70,Haver_M!$B$1:$B$1000,0),MATCH(data!AR$1,Haver_M!$B$1:$ZN$1,0))),INDEX(Haver_M!$B$1:$ZN$1000,MATCH(data!$A70,Haver_M!$B$1:$B$1000,0),MATCH(data!AR$1,Haver_M!$B$1:$ZN$1,0)),"na")</f>
        <v>na</v>
      </c>
      <c r="AS70">
        <f>IF(ISNUMBER(INDEX(Haver_M!$B$1:$ZN$1000,MATCH(data!$A70,Haver_M!$B$1:$B$1000,0),MATCH(data!AS$1,Haver_M!$B$1:$ZN$1,0))),INDEX(Haver_M!$B$1:$ZN$1000,MATCH(data!$A70,Haver_M!$B$1:$B$1000,0),MATCH(data!AS$1,Haver_M!$B$1:$ZN$1,0)),"na")</f>
        <v>15393.03</v>
      </c>
      <c r="AT70">
        <f>IF(ISNUMBER(INDEX(Haver_M!$B$1:$ZN$1000,MATCH(data!$A70,Haver_M!$B$1:$B$1000,0),MATCH(data!AT$1,Haver_M!$B$1:$ZN$1,0))),INDEX(Haver_M!$B$1:$ZN$1000,MATCH(data!$A70,Haver_M!$B$1:$B$1000,0),MATCH(data!AT$1,Haver_M!$B$1:$ZN$1,0)),"na")</f>
        <v>90.149000000000001</v>
      </c>
      <c r="AU70">
        <f>IF(ISNUMBER(INDEX(Haver_M!$B$1:$ZN$1000,MATCH(data!$A70,Haver_M!$B$1:$B$1000,0),MATCH(data!AU$1,Haver_M!$B$1:$ZN$1,0))),INDEX(Haver_M!$B$1:$ZN$1000,MATCH(data!$A70,Haver_M!$B$1:$B$1000,0),MATCH(data!AU$1,Haver_M!$B$1:$ZN$1,0)),"na")</f>
        <v>86.128849000000002</v>
      </c>
      <c r="AV70">
        <f>IF(ISNUMBER(INDEX(Haver_M!$B$1:$ZN$1000,MATCH(data!$A70,Haver_M!$B$1:$B$1000,0),MATCH(data!AV$1,Haver_M!$B$1:$ZN$1,0))),INDEX(Haver_M!$B$1:$ZN$1000,MATCH(data!$A70,Haver_M!$B$1:$B$1000,0),MATCH(data!AV$1,Haver_M!$B$1:$ZN$1,0)),"na")</f>
        <v>80.3</v>
      </c>
      <c r="AW70">
        <f>IF(ISNUMBER(INDEX(Haver_M!$B$1:$ZN$1000,MATCH(data!$A70,Haver_M!$B$1:$B$1000,0),MATCH(data!AW$1,Haver_M!$B$1:$ZN$1,0))),INDEX(Haver_M!$B$1:$ZN$1000,MATCH(data!$A70,Haver_M!$B$1:$B$1000,0),MATCH(data!AW$1,Haver_M!$B$1:$ZN$1,0)),"na")</f>
        <v>1095126.5184226714</v>
      </c>
      <c r="AX70">
        <f>IF(ISNUMBER(INDEX(Haver_M!$B$1:$ZN$1000,MATCH(data!$A70,Haver_M!$B$1:$B$1000,0),MATCH(data!AX$1,Haver_M!$B$1:$ZN$1,0))),INDEX(Haver_M!$B$1:$ZN$1000,MATCH(data!$A70,Haver_M!$B$1:$B$1000,0),MATCH(data!AX$1,Haver_M!$B$1:$ZN$1,0)),"na")</f>
        <v>3338</v>
      </c>
      <c r="AY70">
        <f>IF(ISNUMBER(INDEX(Haver_M!$B$1:$ZN$1000,MATCH(data!$A70,Haver_M!$B$1:$B$1000,0),MATCH(data!AY$1,Haver_M!$B$1:$ZN$1,0))),INDEX(Haver_M!$B$1:$ZN$1000,MATCH(data!$A70,Haver_M!$B$1:$B$1000,0),MATCH(data!AY$1,Haver_M!$B$1:$ZN$1,0)),"na")</f>
        <v>1677</v>
      </c>
      <c r="AZ70">
        <f>IF(ISNUMBER(INDEX(Haver_M!$B$1:$ZN$1000,MATCH(data!$A70,Haver_M!$B$1:$B$1000,0),MATCH(data!AZ$1,Haver_M!$B$1:$ZN$1,0))),INDEX(Haver_M!$B$1:$ZN$1000,MATCH(data!$A70,Haver_M!$B$1:$B$1000,0),MATCH(data!AZ$1,Haver_M!$B$1:$ZN$1,0)),"na")</f>
        <v>52.2</v>
      </c>
      <c r="BA70">
        <f>IF(ISNUMBER(INDEX(Haver_M!$B$1:$ZN$1000,MATCH(data!$A70,Haver_M!$B$1:$B$1000,0),MATCH(data!BA$1,Haver_M!$B$1:$ZN$1,0))),INDEX(Haver_M!$B$1:$ZN$1000,MATCH(data!$A70,Haver_M!$B$1:$B$1000,0),MATCH(data!BA$1,Haver_M!$B$1:$ZN$1,0)),"na")</f>
        <v>74.337340204616922</v>
      </c>
      <c r="BB70" t="str">
        <f>IF(ISNUMBER(INDEX(Haver_M!$B$1:$ZN$1000,MATCH(data!$A70,Haver_M!$B$1:$B$1000,0),MATCH(data!BB$1,Haver_M!$B$1:$ZN$1,0))),INDEX(Haver_M!$B$1:$ZN$1000,MATCH(data!$A70,Haver_M!$B$1:$B$1000,0),MATCH(data!BB$1,Haver_M!$B$1:$ZN$1,0)),"")</f>
        <v/>
      </c>
    </row>
    <row r="71" spans="1:54" x14ac:dyDescent="0.25">
      <c r="A71" s="2">
        <v>38656</v>
      </c>
      <c r="B71" t="str">
        <f>IF(ISNUMBER(INDEX(Haver_Q!$B$1:$BD$1000,MATCH(data!$A71,Haver_Q!$B$1:$B$1000,0),MATCH(data!B$1,Haver_Q!$B$1:$BD$1,0))),100*INDEX(Haver_Q!$B$1:$BD$1000,MATCH(data!$A71,Haver_Q!$B$1:$B$1000,0),MATCH(data!B$1,Haver_Q!$B$1:$BD$1,0)),"na")</f>
        <v>na</v>
      </c>
      <c r="C71" t="str">
        <f>IF(ISNUMBER(INDEX(Haver_Q!$B$1:$BD$1000,MATCH(data!$A71,Haver_Q!$B$1:$B$1000,0),MATCH(data!C$1,Haver_Q!$B$1:$BD$1,0))),100*INDEX(Haver_Q!$B$1:$BD$1000,MATCH(data!$A71,Haver_Q!$B$1:$B$1000,0),MATCH(data!C$1,Haver_Q!$B$1:$BD$1,0)),"na")</f>
        <v>na</v>
      </c>
      <c r="D71" t="str">
        <f>IF(ISNUMBER(INDEX(Haver_Q!$B$1:$BD$1000,MATCH(data!$A71,Haver_Q!$B$1:$B$1000,0),MATCH(data!D$1,Haver_Q!$B$1:$BD$1,0))),100*INDEX(Haver_Q!$B$1:$BD$1000,MATCH(data!$A71,Haver_Q!$B$1:$B$1000,0),MATCH(data!D$1,Haver_Q!$B$1:$BD$1,0)),"na")</f>
        <v>na</v>
      </c>
      <c r="E71" t="str">
        <f>IF(ISNUMBER(INDEX(Haver_Q!$B$1:$BD$1000,MATCH(data!$A71,Haver_Q!$B$1:$B$1000,0),MATCH(data!E$1,Haver_Q!$B$1:$BD$1,0))),100*INDEX(Haver_Q!$B$1:$BD$1000,MATCH(data!$A71,Haver_Q!$B$1:$B$1000,0),MATCH(data!E$1,Haver_Q!$B$1:$BD$1,0)),"na")</f>
        <v>na</v>
      </c>
      <c r="F71" t="str">
        <f>IF(ISNUMBER(INDEX(Haver_Q!$B$1:$BD$1000,MATCH(data!$A71,Haver_Q!$B$1:$B$1000,0),MATCH(data!F$1,Haver_Q!$B$1:$BD$1,0))),100*INDEX(Haver_Q!$B$1:$BD$1000,MATCH(data!$A71,Haver_Q!$B$1:$B$1000,0),MATCH(data!F$1,Haver_Q!$B$1:$BD$1,0)),"na")</f>
        <v>na</v>
      </c>
      <c r="G71" t="str">
        <f>IF(ISNUMBER(INDEX(Haver_Q!$B$1:$BD$1000,MATCH(data!$A71,Haver_Q!$B$1:$B$1000,0),MATCH(data!G$1,Haver_Q!$B$1:$BD$1,0))),100*INDEX(Haver_Q!$B$1:$BD$1000,MATCH(data!$A71,Haver_Q!$B$1:$B$1000,0),MATCH(data!G$1,Haver_Q!$B$1:$BD$1,0)),"na")</f>
        <v>na</v>
      </c>
      <c r="H71" t="str">
        <f>IF(ISNUMBER(INDEX(Haver_Q!$B$1:$BD$1000,MATCH(data!$A71,Haver_Q!$B$1:$B$1000,0),MATCH(data!H$1,Haver_Q!$B$1:$BD$1,0))),100*INDEX(Haver_Q!$B$1:$BD$1000,MATCH(data!$A71,Haver_Q!$B$1:$B$1000,0),MATCH(data!H$1,Haver_Q!$B$1:$BD$1,0)),"na")</f>
        <v>na</v>
      </c>
      <c r="I71" s="3">
        <f>IF(ISNUMBER(Bloomberg_m!C87),Bloomberg_m!C87,"na")</f>
        <v>3161</v>
      </c>
      <c r="J71" s="3" t="str">
        <f>IF(ISNUMBER(Bloomberg_m!D87),Bloomberg_m!D87,"na")</f>
        <v>na</v>
      </c>
      <c r="K71" s="3" t="str">
        <f>IF(ISNUMBER(Bloomberg_m!E87),Bloomberg_m!E87,"na")</f>
        <v>na</v>
      </c>
      <c r="L71" s="3">
        <f>IF(ISNUMBER(Bloomberg_m!L87),Bloomberg_m!L87,"na")</f>
        <v>62.36</v>
      </c>
      <c r="M71" t="str">
        <f>IF(ISNUMBER(INDEX(Haver_M!$B$1:$ZN$1000,MATCH(data!$A71,Haver_M!$B$1:$B$1000,0),MATCH(data!M$1,Haver_M!$B$1:$ZN$1,0))),INDEX(Haver_M!$B$1:$ZN$1000,MATCH(data!$A71,Haver_M!$B$1:$B$1000,0),MATCH(data!M$1,Haver_M!$B$1:$ZN$1,0)),"na")</f>
        <v>na</v>
      </c>
      <c r="N71" t="str">
        <f>IF(ISNUMBER(INDEX(Haver_M!$B$1:$ZN$1000,MATCH(data!$A71,Haver_M!$B$1:$B$1000,0),MATCH(data!N$1,Haver_M!$B$1:$ZN$1,0))),INDEX(Haver_M!$B$1:$ZN$1000,MATCH(data!$A71,Haver_M!$B$1:$B$1000,0),MATCH(data!N$1,Haver_M!$B$1:$ZN$1,0)),"na")</f>
        <v>na</v>
      </c>
      <c r="O71">
        <f>IF(ISNUMBER(INDEX(Haver_M!$B$1:$ZN$1000,MATCH(data!$A71,Haver_M!$B$1:$B$1000,0),MATCH(data!O$1,Haver_M!$B$1:$ZN$1,0))),INDEX(Haver_M!$B$1:$ZN$1000,MATCH(data!$A71,Haver_M!$B$1:$B$1000,0),MATCH(data!O$1,Haver_M!$B$1:$ZN$1,0)),"na")</f>
        <v>111.44351</v>
      </c>
      <c r="P71">
        <f>IF(ISNUMBER(INDEX(Haver_M!$B$1:$ZN$1000,MATCH(data!$A71,Haver_M!$B$1:$B$1000,0),MATCH(data!P$1,Haver_M!$B$1:$ZN$1,0))),INDEX(Haver_M!$B$1:$ZN$1000,MATCH(data!$A71,Haver_M!$B$1:$B$1000,0),MATCH(data!P$1,Haver_M!$B$1:$ZN$1,0)),"na")</f>
        <v>59.553699999999999</v>
      </c>
      <c r="Q71">
        <f>IF(ISNUMBER(INDEX(Haver_M!$B$1:$ZN$1000,MATCH(data!$A71,Haver_M!$B$1:$B$1000,0),MATCH(data!Q$1,Haver_M!$B$1:$ZN$1,0))),INDEX(Haver_M!$B$1:$ZN$1000,MATCH(data!$A71,Haver_M!$B$1:$B$1000,0),MATCH(data!Q$1,Haver_M!$B$1:$ZN$1,0)),"na")</f>
        <v>63.4559</v>
      </c>
      <c r="R71">
        <f>IF(ISNUMBER(INDEX(Haver_M!$B$1:$ZN$1000,MATCH(data!$A71,Haver_M!$B$1:$B$1000,0),MATCH(data!R$1,Haver_M!$B$1:$ZN$1,0))),INDEX(Haver_M!$B$1:$ZN$1000,MATCH(data!$A71,Haver_M!$B$1:$B$1000,0),MATCH(data!R$1,Haver_M!$B$1:$ZN$1,0)),"na")</f>
        <v>94.302400000000006</v>
      </c>
      <c r="S71">
        <f>IF(ISNUMBER(INDEX(Haver_M!$B$1:$ZN$1000,MATCH(data!$A71,Haver_M!$B$1:$B$1000,0),MATCH(data!S$1,Haver_M!$B$1:$ZN$1,0))),INDEX(Haver_M!$B$1:$ZN$1000,MATCH(data!$A71,Haver_M!$B$1:$B$1000,0),MATCH(data!S$1,Haver_M!$B$1:$ZN$1,0)),"na")</f>
        <v>111.77719999999999</v>
      </c>
      <c r="T71">
        <f>IF(ISNUMBER(INDEX(Haver_M!$B$1:$ZN$1000,MATCH(data!$A71,Haver_M!$B$1:$B$1000,0),MATCH(data!T$1,Haver_M!$B$1:$ZN$1,0))),INDEX(Haver_M!$B$1:$ZN$1000,MATCH(data!$A71,Haver_M!$B$1:$B$1000,0),MATCH(data!T$1,Haver_M!$B$1:$ZN$1,0)),"na")</f>
        <v>73.7226</v>
      </c>
      <c r="U71">
        <f>IF(ISNUMBER(INDEX(Haver_M!$B$1:$ZN$1000,MATCH(data!$A71,Haver_M!$B$1:$B$1000,0),MATCH(data!U$1,Haver_M!$B$1:$ZN$1,0))),INDEX(Haver_M!$B$1:$ZN$1000,MATCH(data!$A71,Haver_M!$B$1:$B$1000,0),MATCH(data!U$1,Haver_M!$B$1:$ZN$1,0)),"na")</f>
        <v>86.1</v>
      </c>
      <c r="V71">
        <f>IF(ISNUMBER(INDEX(Haver_M!$B$1:$ZN$1000,MATCH(data!$A71,Haver_M!$B$1:$B$1000,0),MATCH(data!V$1,Haver_M!$B$1:$ZN$1,0))),INDEX(Haver_M!$B$1:$ZN$1000,MATCH(data!$A71,Haver_M!$B$1:$B$1000,0),MATCH(data!V$1,Haver_M!$B$1:$ZN$1,0)),"na")</f>
        <v>93.223600000000005</v>
      </c>
      <c r="W71">
        <f>IF(ISNUMBER(INDEX(Haver_M!$B$1:$ZN$1000,MATCH(data!$A71,Haver_M!$B$1:$B$1000,0),MATCH(data!W$1,Haver_M!$B$1:$ZN$1,0))),INDEX(Haver_M!$B$1:$ZN$1000,MATCH(data!$A71,Haver_M!$B$1:$B$1000,0),MATCH(data!W$1,Haver_M!$B$1:$ZN$1,0)),"na")</f>
        <v>3.4</v>
      </c>
      <c r="X71" t="str">
        <f>IF(ISNUMBER(INDEX(Haver_M!$B$1:$ZN$1000,MATCH(data!$A71,Haver_M!$B$1:$B$1000,0),MATCH(data!X$1,Haver_M!$B$1:$ZN$1,0))),INDEX(Haver_M!$B$1:$ZN$1000,MATCH(data!$A71,Haver_M!$B$1:$B$1000,0),MATCH(data!X$1,Haver_M!$B$1:$ZN$1,0)),"na")</f>
        <v>na</v>
      </c>
      <c r="Y71">
        <f>IF(ISNUMBER(INDEX(Haver_M!$B$1:$ZN$1000,MATCH(data!$A71,Haver_M!$B$1:$B$1000,0),MATCH(data!Y$1,Haver_M!$B$1:$ZN$1,0))),INDEX(Haver_M!$B$1:$ZN$1000,MATCH(data!$A71,Haver_M!$B$1:$B$1000,0),MATCH(data!Y$1,Haver_M!$B$1:$ZN$1,0)),"na")</f>
        <v>100.29</v>
      </c>
      <c r="Z71">
        <f>IF(ISNUMBER(INDEX(Haver_M!$B$1:$ZN$1000,MATCH(data!$A71,Haver_M!$B$1:$B$1000,0),MATCH(data!Z$1,Haver_M!$B$1:$ZN$1,0))),INDEX(Haver_M!$B$1:$ZN$1000,MATCH(data!$A71,Haver_M!$B$1:$B$1000,0),MATCH(data!Z$1,Haver_M!$B$1:$ZN$1,0)),"na")</f>
        <v>93.470200000000006</v>
      </c>
      <c r="AA71" t="str">
        <f>IF(ISNUMBER(INDEX(Haver_M!$B$1:$ZN$1000,MATCH(data!$A71,Haver_M!$B$1:$B$1000,0),MATCH(data!AA$1,Haver_M!$B$1:$ZN$1,0))),INDEX(Haver_M!$B$1:$ZN$1000,MATCH(data!$A71,Haver_M!$B$1:$B$1000,0),MATCH(data!AA$1,Haver_M!$B$1:$ZN$1,0)),"na")</f>
        <v>na</v>
      </c>
      <c r="AB71">
        <f>IF(ISNUMBER(INDEX(Haver_M!$B$1:$ZN$1000,MATCH(data!$A71,Haver_M!$B$1:$B$1000,0),MATCH(data!AB$1,Haver_M!$B$1:$ZN$1,0))),INDEX(Haver_M!$B$1:$ZN$1000,MATCH(data!$A71,Haver_M!$B$1:$B$1000,0),MATCH(data!AB$1,Haver_M!$B$1:$ZN$1,0)),"na")</f>
        <v>18807.3</v>
      </c>
      <c r="AC71">
        <f>IF(ISNUMBER(INDEX(Haver_M!$B$1:$ZN$1000,MATCH(data!$A71,Haver_M!$B$1:$B$1000,0),MATCH(data!AC$1,Haver_M!$B$1:$ZN$1,0))),INDEX(Haver_M!$B$1:$ZN$1000,MATCH(data!$A71,Haver_M!$B$1:$B$1000,0),MATCH(data!AC$1,Haver_M!$B$1:$ZN$1,0)),"na")</f>
        <v>19303</v>
      </c>
      <c r="AD71">
        <f>IF(ISNUMBER(INDEX(Haver_M!$B$1:$ZN$1000,MATCH(data!$A71,Haver_M!$B$1:$B$1000,0),MATCH(data!AD$1,Haver_M!$B$1:$ZN$1,0))),INDEX(Haver_M!$B$1:$ZN$1000,MATCH(data!$A71,Haver_M!$B$1:$B$1000,0),MATCH(data!AD$1,Haver_M!$B$1:$ZN$1,0)),"na")</f>
        <v>100.13</v>
      </c>
      <c r="AE71">
        <f>IF(ISNUMBER(INDEX(Haver_M!$B$1:$ZN$1000,MATCH(data!$A71,Haver_M!$B$1:$B$1000,0),MATCH(data!AE$1,Haver_M!$B$1:$ZN$1,0))),INDEX(Haver_M!$B$1:$ZN$1000,MATCH(data!$A71,Haver_M!$B$1:$B$1000,0),MATCH(data!AE$1,Haver_M!$B$1:$ZN$1,0)),"na")</f>
        <v>42.8</v>
      </c>
      <c r="AF71">
        <f>IF(ISNUMBER(INDEX(Haver_M!$B$1:$ZN$1000,MATCH(data!$A71,Haver_M!$B$1:$B$1000,0),MATCH(data!AF$1,Haver_M!$B$1:$ZN$1,0))),INDEX(Haver_M!$B$1:$ZN$1000,MATCH(data!$A71,Haver_M!$B$1:$B$1000,0),MATCH(data!AF$1,Haver_M!$B$1:$ZN$1,0)),"na")</f>
        <v>100.14</v>
      </c>
      <c r="AG71" t="str">
        <f>IF(ISNUMBER(INDEX(Haver_M!$B$1:$ZN$1000,MATCH(data!$A71,Haver_M!$B$1:$B$1000,0),MATCH(data!AG$1,Haver_M!$B$1:$ZN$1,0))),INDEX(Haver_M!$B$1:$ZN$1000,MATCH(data!$A71,Haver_M!$B$1:$B$1000,0),MATCH(data!AG$1,Haver_M!$B$1:$ZN$1,0)),"na")</f>
        <v>na</v>
      </c>
      <c r="AH71" t="str">
        <f>IF(ISNUMBER(INDEX(Haver_M!$B$1:$ZN$1000,MATCH(data!$A71,Haver_M!$B$1:$B$1000,0),MATCH(data!AH$1,Haver_M!$B$1:$ZN$1,0))),INDEX(Haver_M!$B$1:$ZN$1000,MATCH(data!$A71,Haver_M!$B$1:$B$1000,0),MATCH(data!AH$1,Haver_M!$B$1:$ZN$1,0)),"na")</f>
        <v>na</v>
      </c>
      <c r="AI71" t="str">
        <f>IF(ISNUMBER(INDEX(Haver_M!$B$1:$ZN$1000,MATCH(data!$A71,Haver_M!$B$1:$B$1000,0),MATCH(data!AI$1,Haver_M!$B$1:$ZN$1,0))),INDEX(Haver_M!$B$1:$ZN$1000,MATCH(data!$A71,Haver_M!$B$1:$B$1000,0),MATCH(data!AI$1,Haver_M!$B$1:$ZN$1,0)),"na")</f>
        <v>na</v>
      </c>
      <c r="AJ71" t="str">
        <f>IF(ISNUMBER(INDEX(Haver_M!$B$1:$ZN$1000,MATCH(data!$A71,Haver_M!$B$1:$B$1000,0),MATCH(data!AJ$1,Haver_M!$B$1:$ZN$1,0))),INDEX(Haver_M!$B$1:$ZN$1000,MATCH(data!$A71,Haver_M!$B$1:$B$1000,0),MATCH(data!AJ$1,Haver_M!$B$1:$ZN$1,0)),"na")</f>
        <v>na</v>
      </c>
      <c r="AK71" t="str">
        <f>IF(ISNUMBER(INDEX(Haver_M!$B$1:$ZN$1000,MATCH(data!$A71,Haver_M!$B$1:$B$1000,0),MATCH(data!AK$1,Haver_M!$B$1:$ZN$1,0))),INDEX(Haver_M!$B$1:$ZN$1000,MATCH(data!$A71,Haver_M!$B$1:$B$1000,0),MATCH(data!AK$1,Haver_M!$B$1:$ZN$1,0)),"na")</f>
        <v>na</v>
      </c>
      <c r="AL71" t="str">
        <f>IF(ISNUMBER(INDEX(Haver_M!$B$1:$ZN$1000,MATCH(data!$A71,Haver_M!$B$1:$B$1000,0),MATCH(data!AL$1,Haver_M!$B$1:$ZN$1,0))),INDEX(Haver_M!$B$1:$ZN$1000,MATCH(data!$A71,Haver_M!$B$1:$B$1000,0),MATCH(data!AL$1,Haver_M!$B$1:$ZN$1,0)),"na")</f>
        <v>na</v>
      </c>
      <c r="AM71" t="str">
        <f>IF(ISNUMBER(INDEX(Haver_M!$B$1:$ZN$1000,MATCH(data!$A71,Haver_M!$B$1:$B$1000,0),MATCH(data!AM$1,Haver_M!$B$1:$ZN$1,0))),INDEX(Haver_M!$B$1:$ZN$1000,MATCH(data!$A71,Haver_M!$B$1:$B$1000,0),MATCH(data!AM$1,Haver_M!$B$1:$ZN$1,0)),"na")</f>
        <v>na</v>
      </c>
      <c r="AN71" t="str">
        <f>IF(ISNUMBER(INDEX(Haver_M!$B$1:$ZN$1000,MATCH(data!$A71,Haver_M!$B$1:$B$1000,0),MATCH(data!AN$1,Haver_M!$B$1:$ZN$1,0))),INDEX(Haver_M!$B$1:$ZN$1000,MATCH(data!$A71,Haver_M!$B$1:$B$1000,0),MATCH(data!AN$1,Haver_M!$B$1:$ZN$1,0)),"na")</f>
        <v>na</v>
      </c>
      <c r="AO71" t="str">
        <f>IF(ISNUMBER(INDEX(Haver_M!$B$1:$ZN$1000,MATCH(data!$A71,Haver_M!$B$1:$B$1000,0),MATCH(data!AO$1,Haver_M!$B$1:$ZN$1,0))),INDEX(Haver_M!$B$1:$ZN$1000,MATCH(data!$A71,Haver_M!$B$1:$B$1000,0),MATCH(data!AO$1,Haver_M!$B$1:$ZN$1,0)),"na")</f>
        <v>na</v>
      </c>
      <c r="AP71" t="str">
        <f>IF(ISNUMBER(INDEX(Haver_M!$B$1:$ZN$1000,MATCH(data!$A71,Haver_M!$B$1:$B$1000,0),MATCH(data!AP$1,Haver_M!$B$1:$ZN$1,0))),INDEX(Haver_M!$B$1:$ZN$1000,MATCH(data!$A71,Haver_M!$B$1:$B$1000,0),MATCH(data!AP$1,Haver_M!$B$1:$ZN$1,0)),"na")</f>
        <v>na</v>
      </c>
      <c r="AQ71" t="str">
        <f>IF(ISNUMBER(INDEX(Haver_M!$B$1:$ZN$1000,MATCH(data!$A71,Haver_M!$B$1:$B$1000,0),MATCH(data!AQ$1,Haver_M!$B$1:$ZN$1,0))),INDEX(Haver_M!$B$1:$ZN$1000,MATCH(data!$A71,Haver_M!$B$1:$B$1000,0),MATCH(data!AQ$1,Haver_M!$B$1:$ZN$1,0)),"na")</f>
        <v>na</v>
      </c>
      <c r="AR71" t="str">
        <f>IF(ISNUMBER(INDEX(Haver_M!$B$1:$ZN$1000,MATCH(data!$A71,Haver_M!$B$1:$B$1000,0),MATCH(data!AR$1,Haver_M!$B$1:$ZN$1,0))),INDEX(Haver_M!$B$1:$ZN$1000,MATCH(data!$A71,Haver_M!$B$1:$B$1000,0),MATCH(data!AR$1,Haver_M!$B$1:$ZN$1,0)),"na")</f>
        <v>na</v>
      </c>
      <c r="AS71">
        <f>IF(ISNUMBER(INDEX(Haver_M!$B$1:$ZN$1000,MATCH(data!$A71,Haver_M!$B$1:$B$1000,0),MATCH(data!AS$1,Haver_M!$B$1:$ZN$1,0))),INDEX(Haver_M!$B$1:$ZN$1000,MATCH(data!$A71,Haver_M!$B$1:$B$1000,0),MATCH(data!AS$1,Haver_M!$B$1:$ZN$1,0)),"na")</f>
        <v>15362.09</v>
      </c>
      <c r="AT71">
        <f>IF(ISNUMBER(INDEX(Haver_M!$B$1:$ZN$1000,MATCH(data!$A71,Haver_M!$B$1:$B$1000,0),MATCH(data!AT$1,Haver_M!$B$1:$ZN$1,0))),INDEX(Haver_M!$B$1:$ZN$1000,MATCH(data!$A71,Haver_M!$B$1:$B$1000,0),MATCH(data!AT$1,Haver_M!$B$1:$ZN$1,0)),"na")</f>
        <v>89.572000000000003</v>
      </c>
      <c r="AU71">
        <f>IF(ISNUMBER(INDEX(Haver_M!$B$1:$ZN$1000,MATCH(data!$A71,Haver_M!$B$1:$B$1000,0),MATCH(data!AU$1,Haver_M!$B$1:$ZN$1,0))),INDEX(Haver_M!$B$1:$ZN$1000,MATCH(data!$A71,Haver_M!$B$1:$B$1000,0),MATCH(data!AU$1,Haver_M!$B$1:$ZN$1,0)),"na")</f>
        <v>86.277167000000006</v>
      </c>
      <c r="AV71">
        <f>IF(ISNUMBER(INDEX(Haver_M!$B$1:$ZN$1000,MATCH(data!$A71,Haver_M!$B$1:$B$1000,0),MATCH(data!AV$1,Haver_M!$B$1:$ZN$1,0))),INDEX(Haver_M!$B$1:$ZN$1000,MATCH(data!$A71,Haver_M!$B$1:$B$1000,0),MATCH(data!AV$1,Haver_M!$B$1:$ZN$1,0)),"na")</f>
        <v>80.3</v>
      </c>
      <c r="AW71">
        <f>IF(ISNUMBER(INDEX(Haver_M!$B$1:$ZN$1000,MATCH(data!$A71,Haver_M!$B$1:$B$1000,0),MATCH(data!AW$1,Haver_M!$B$1:$ZN$1,0))),INDEX(Haver_M!$B$1:$ZN$1000,MATCH(data!$A71,Haver_M!$B$1:$B$1000,0),MATCH(data!AW$1,Haver_M!$B$1:$ZN$1,0)),"na")</f>
        <v>960746.36354922445</v>
      </c>
      <c r="AX71">
        <f>IF(ISNUMBER(INDEX(Haver_M!$B$1:$ZN$1000,MATCH(data!$A71,Haver_M!$B$1:$B$1000,0),MATCH(data!AX$1,Haver_M!$B$1:$ZN$1,0))),INDEX(Haver_M!$B$1:$ZN$1000,MATCH(data!$A71,Haver_M!$B$1:$B$1000,0),MATCH(data!AX$1,Haver_M!$B$1:$ZN$1,0)),"na")</f>
        <v>3275</v>
      </c>
      <c r="AY71">
        <f>IF(ISNUMBER(INDEX(Haver_M!$B$1:$ZN$1000,MATCH(data!$A71,Haver_M!$B$1:$B$1000,0),MATCH(data!AY$1,Haver_M!$B$1:$ZN$1,0))),INDEX(Haver_M!$B$1:$ZN$1000,MATCH(data!$A71,Haver_M!$B$1:$B$1000,0),MATCH(data!AY$1,Haver_M!$B$1:$ZN$1,0)),"na")</f>
        <v>1908</v>
      </c>
      <c r="AZ71">
        <f>IF(ISNUMBER(INDEX(Haver_M!$B$1:$ZN$1000,MATCH(data!$A71,Haver_M!$B$1:$B$1000,0),MATCH(data!AZ$1,Haver_M!$B$1:$ZN$1,0))),INDEX(Haver_M!$B$1:$ZN$1000,MATCH(data!$A71,Haver_M!$B$1:$B$1000,0),MATCH(data!AZ$1,Haver_M!$B$1:$ZN$1,0)),"na")</f>
        <v>51.9</v>
      </c>
      <c r="BA71">
        <f>IF(ISNUMBER(INDEX(Haver_M!$B$1:$ZN$1000,MATCH(data!$A71,Haver_M!$B$1:$B$1000,0),MATCH(data!BA$1,Haver_M!$B$1:$ZN$1,0))),INDEX(Haver_M!$B$1:$ZN$1000,MATCH(data!$A71,Haver_M!$B$1:$B$1000,0),MATCH(data!BA$1,Haver_M!$B$1:$ZN$1,0)),"na")</f>
        <v>88.145927505350969</v>
      </c>
      <c r="BB71" t="str">
        <f>IF(ISNUMBER(INDEX(Haver_M!$B$1:$ZN$1000,MATCH(data!$A71,Haver_M!$B$1:$B$1000,0),MATCH(data!BB$1,Haver_M!$B$1:$ZN$1,0))),INDEX(Haver_M!$B$1:$ZN$1000,MATCH(data!$A71,Haver_M!$B$1:$B$1000,0),MATCH(data!BB$1,Haver_M!$B$1:$ZN$1,0)),"")</f>
        <v/>
      </c>
    </row>
    <row r="72" spans="1:54" x14ac:dyDescent="0.25">
      <c r="A72" s="2">
        <v>38686</v>
      </c>
      <c r="B72" t="str">
        <f>IF(ISNUMBER(INDEX(Haver_Q!$B$1:$BD$1000,MATCH(data!$A72,Haver_Q!$B$1:$B$1000,0),MATCH(data!B$1,Haver_Q!$B$1:$BD$1,0))),100*INDEX(Haver_Q!$B$1:$BD$1000,MATCH(data!$A72,Haver_Q!$B$1:$B$1000,0),MATCH(data!B$1,Haver_Q!$B$1:$BD$1,0)),"na")</f>
        <v>na</v>
      </c>
      <c r="C72" t="str">
        <f>IF(ISNUMBER(INDEX(Haver_Q!$B$1:$BD$1000,MATCH(data!$A72,Haver_Q!$B$1:$B$1000,0),MATCH(data!C$1,Haver_Q!$B$1:$BD$1,0))),100*INDEX(Haver_Q!$B$1:$BD$1000,MATCH(data!$A72,Haver_Q!$B$1:$B$1000,0),MATCH(data!C$1,Haver_Q!$B$1:$BD$1,0)),"na")</f>
        <v>na</v>
      </c>
      <c r="D72" t="str">
        <f>IF(ISNUMBER(INDEX(Haver_Q!$B$1:$BD$1000,MATCH(data!$A72,Haver_Q!$B$1:$B$1000,0),MATCH(data!D$1,Haver_Q!$B$1:$BD$1,0))),100*INDEX(Haver_Q!$B$1:$BD$1000,MATCH(data!$A72,Haver_Q!$B$1:$B$1000,0),MATCH(data!D$1,Haver_Q!$B$1:$BD$1,0)),"na")</f>
        <v>na</v>
      </c>
      <c r="E72" t="str">
        <f>IF(ISNUMBER(INDEX(Haver_Q!$B$1:$BD$1000,MATCH(data!$A72,Haver_Q!$B$1:$B$1000,0),MATCH(data!E$1,Haver_Q!$B$1:$BD$1,0))),100*INDEX(Haver_Q!$B$1:$BD$1000,MATCH(data!$A72,Haver_Q!$B$1:$B$1000,0),MATCH(data!E$1,Haver_Q!$B$1:$BD$1,0)),"na")</f>
        <v>na</v>
      </c>
      <c r="F72" t="str">
        <f>IF(ISNUMBER(INDEX(Haver_Q!$B$1:$BD$1000,MATCH(data!$A72,Haver_Q!$B$1:$B$1000,0),MATCH(data!F$1,Haver_Q!$B$1:$BD$1,0))),100*INDEX(Haver_Q!$B$1:$BD$1000,MATCH(data!$A72,Haver_Q!$B$1:$B$1000,0),MATCH(data!F$1,Haver_Q!$B$1:$BD$1,0)),"na")</f>
        <v>na</v>
      </c>
      <c r="G72" t="str">
        <f>IF(ISNUMBER(INDEX(Haver_Q!$B$1:$BD$1000,MATCH(data!$A72,Haver_Q!$B$1:$B$1000,0),MATCH(data!G$1,Haver_Q!$B$1:$BD$1,0))),100*INDEX(Haver_Q!$B$1:$BD$1000,MATCH(data!$A72,Haver_Q!$B$1:$B$1000,0),MATCH(data!G$1,Haver_Q!$B$1:$BD$1,0)),"na")</f>
        <v>na</v>
      </c>
      <c r="H72" t="str">
        <f>IF(ISNUMBER(INDEX(Haver_Q!$B$1:$BD$1000,MATCH(data!$A72,Haver_Q!$B$1:$B$1000,0),MATCH(data!H$1,Haver_Q!$B$1:$BD$1,0))),100*INDEX(Haver_Q!$B$1:$BD$1000,MATCH(data!$A72,Haver_Q!$B$1:$B$1000,0),MATCH(data!H$1,Haver_Q!$B$1:$BD$1,0)),"na")</f>
        <v>na</v>
      </c>
      <c r="I72" s="3">
        <f>IF(ISNUMBER(Bloomberg_m!C88),Bloomberg_m!C88,"na")</f>
        <v>2916</v>
      </c>
      <c r="J72" s="3" t="str">
        <f>IF(ISNUMBER(Bloomberg_m!D88),Bloomberg_m!D88,"na")</f>
        <v>na</v>
      </c>
      <c r="K72" s="3" t="str">
        <f>IF(ISNUMBER(Bloomberg_m!E88),Bloomberg_m!E88,"na")</f>
        <v>na</v>
      </c>
      <c r="L72" s="3">
        <f>IF(ISNUMBER(Bloomberg_m!L88),Bloomberg_m!L88,"na")</f>
        <v>58.28</v>
      </c>
      <c r="M72" t="str">
        <f>IF(ISNUMBER(INDEX(Haver_M!$B$1:$ZN$1000,MATCH(data!$A72,Haver_M!$B$1:$B$1000,0),MATCH(data!M$1,Haver_M!$B$1:$ZN$1,0))),INDEX(Haver_M!$B$1:$ZN$1000,MATCH(data!$A72,Haver_M!$B$1:$B$1000,0),MATCH(data!M$1,Haver_M!$B$1:$ZN$1,0)),"na")</f>
        <v>na</v>
      </c>
      <c r="N72" t="str">
        <f>IF(ISNUMBER(INDEX(Haver_M!$B$1:$ZN$1000,MATCH(data!$A72,Haver_M!$B$1:$B$1000,0),MATCH(data!N$1,Haver_M!$B$1:$ZN$1,0))),INDEX(Haver_M!$B$1:$ZN$1000,MATCH(data!$A72,Haver_M!$B$1:$B$1000,0),MATCH(data!N$1,Haver_M!$B$1:$ZN$1,0)),"na")</f>
        <v>na</v>
      </c>
      <c r="O72">
        <f>IF(ISNUMBER(INDEX(Haver_M!$B$1:$ZN$1000,MATCH(data!$A72,Haver_M!$B$1:$B$1000,0),MATCH(data!O$1,Haver_M!$B$1:$ZN$1,0))),INDEX(Haver_M!$B$1:$ZN$1000,MATCH(data!$A72,Haver_M!$B$1:$B$1000,0),MATCH(data!O$1,Haver_M!$B$1:$ZN$1,0)),"na")</f>
        <v>114.82468</v>
      </c>
      <c r="P72">
        <f>IF(ISNUMBER(INDEX(Haver_M!$B$1:$ZN$1000,MATCH(data!$A72,Haver_M!$B$1:$B$1000,0),MATCH(data!P$1,Haver_M!$B$1:$ZN$1,0))),INDEX(Haver_M!$B$1:$ZN$1000,MATCH(data!$A72,Haver_M!$B$1:$B$1000,0),MATCH(data!P$1,Haver_M!$B$1:$ZN$1,0)),"na")</f>
        <v>59.724699999999999</v>
      </c>
      <c r="Q72">
        <f>IF(ISNUMBER(INDEX(Haver_M!$B$1:$ZN$1000,MATCH(data!$A72,Haver_M!$B$1:$B$1000,0),MATCH(data!Q$1,Haver_M!$B$1:$ZN$1,0))),INDEX(Haver_M!$B$1:$ZN$1000,MATCH(data!$A72,Haver_M!$B$1:$B$1000,0),MATCH(data!Q$1,Haver_M!$B$1:$ZN$1,0)),"na")</f>
        <v>63.630099999999999</v>
      </c>
      <c r="R72">
        <f>IF(ISNUMBER(INDEX(Haver_M!$B$1:$ZN$1000,MATCH(data!$A72,Haver_M!$B$1:$B$1000,0),MATCH(data!R$1,Haver_M!$B$1:$ZN$1,0))),INDEX(Haver_M!$B$1:$ZN$1000,MATCH(data!$A72,Haver_M!$B$1:$B$1000,0),MATCH(data!R$1,Haver_M!$B$1:$ZN$1,0)),"na")</f>
        <v>96.225300000000004</v>
      </c>
      <c r="S72">
        <f>IF(ISNUMBER(INDEX(Haver_M!$B$1:$ZN$1000,MATCH(data!$A72,Haver_M!$B$1:$B$1000,0),MATCH(data!S$1,Haver_M!$B$1:$ZN$1,0))),INDEX(Haver_M!$B$1:$ZN$1000,MATCH(data!$A72,Haver_M!$B$1:$B$1000,0),MATCH(data!S$1,Haver_M!$B$1:$ZN$1,0)),"na")</f>
        <v>115.09950000000001</v>
      </c>
      <c r="T72">
        <f>IF(ISNUMBER(INDEX(Haver_M!$B$1:$ZN$1000,MATCH(data!$A72,Haver_M!$B$1:$B$1000,0),MATCH(data!T$1,Haver_M!$B$1:$ZN$1,0))),INDEX(Haver_M!$B$1:$ZN$1000,MATCH(data!$A72,Haver_M!$B$1:$B$1000,0),MATCH(data!T$1,Haver_M!$B$1:$ZN$1,0)),"na")</f>
        <v>74.450800000000001</v>
      </c>
      <c r="U72">
        <f>IF(ISNUMBER(INDEX(Haver_M!$B$1:$ZN$1000,MATCH(data!$A72,Haver_M!$B$1:$B$1000,0),MATCH(data!U$1,Haver_M!$B$1:$ZN$1,0))),INDEX(Haver_M!$B$1:$ZN$1000,MATCH(data!$A72,Haver_M!$B$1:$B$1000,0),MATCH(data!U$1,Haver_M!$B$1:$ZN$1,0)),"na")</f>
        <v>87.513599999999997</v>
      </c>
      <c r="V72">
        <f>IF(ISNUMBER(INDEX(Haver_M!$B$1:$ZN$1000,MATCH(data!$A72,Haver_M!$B$1:$B$1000,0),MATCH(data!V$1,Haver_M!$B$1:$ZN$1,0))),INDEX(Haver_M!$B$1:$ZN$1000,MATCH(data!$A72,Haver_M!$B$1:$B$1000,0),MATCH(data!V$1,Haver_M!$B$1:$ZN$1,0)),"na")</f>
        <v>94.006900000000002</v>
      </c>
      <c r="W72">
        <f>IF(ISNUMBER(INDEX(Haver_M!$B$1:$ZN$1000,MATCH(data!$A72,Haver_M!$B$1:$B$1000,0),MATCH(data!W$1,Haver_M!$B$1:$ZN$1,0))),INDEX(Haver_M!$B$1:$ZN$1000,MATCH(data!$A72,Haver_M!$B$1:$B$1000,0),MATCH(data!W$1,Haver_M!$B$1:$ZN$1,0)),"na")</f>
        <v>3.22</v>
      </c>
      <c r="X72" t="str">
        <f>IF(ISNUMBER(INDEX(Haver_M!$B$1:$ZN$1000,MATCH(data!$A72,Haver_M!$B$1:$B$1000,0),MATCH(data!X$1,Haver_M!$B$1:$ZN$1,0))),INDEX(Haver_M!$B$1:$ZN$1000,MATCH(data!$A72,Haver_M!$B$1:$B$1000,0),MATCH(data!X$1,Haver_M!$B$1:$ZN$1,0)),"na")</f>
        <v>na</v>
      </c>
      <c r="Y72">
        <f>IF(ISNUMBER(INDEX(Haver_M!$B$1:$ZN$1000,MATCH(data!$A72,Haver_M!$B$1:$B$1000,0),MATCH(data!Y$1,Haver_M!$B$1:$ZN$1,0))),INDEX(Haver_M!$B$1:$ZN$1000,MATCH(data!$A72,Haver_M!$B$1:$B$1000,0),MATCH(data!Y$1,Haver_M!$B$1:$ZN$1,0)),"na")</f>
        <v>100.47</v>
      </c>
      <c r="Z72">
        <f>IF(ISNUMBER(INDEX(Haver_M!$B$1:$ZN$1000,MATCH(data!$A72,Haver_M!$B$1:$B$1000,0),MATCH(data!Z$1,Haver_M!$B$1:$ZN$1,0))),INDEX(Haver_M!$B$1:$ZN$1000,MATCH(data!$A72,Haver_M!$B$1:$B$1000,0),MATCH(data!Z$1,Haver_M!$B$1:$ZN$1,0)),"na")</f>
        <v>93.059799999999996</v>
      </c>
      <c r="AA72" t="str">
        <f>IF(ISNUMBER(INDEX(Haver_M!$B$1:$ZN$1000,MATCH(data!$A72,Haver_M!$B$1:$B$1000,0),MATCH(data!AA$1,Haver_M!$B$1:$ZN$1,0))),INDEX(Haver_M!$B$1:$ZN$1000,MATCH(data!$A72,Haver_M!$B$1:$B$1000,0),MATCH(data!AA$1,Haver_M!$B$1:$ZN$1,0)),"na")</f>
        <v>na</v>
      </c>
      <c r="AB72">
        <f>IF(ISNUMBER(INDEX(Haver_M!$B$1:$ZN$1000,MATCH(data!$A72,Haver_M!$B$1:$B$1000,0),MATCH(data!AB$1,Haver_M!$B$1:$ZN$1,0))),INDEX(Haver_M!$B$1:$ZN$1000,MATCH(data!$A72,Haver_M!$B$1:$B$1000,0),MATCH(data!AB$1,Haver_M!$B$1:$ZN$1,0)),"na")</f>
        <v>19499.7</v>
      </c>
      <c r="AC72">
        <f>IF(ISNUMBER(INDEX(Haver_M!$B$1:$ZN$1000,MATCH(data!$A72,Haver_M!$B$1:$B$1000,0),MATCH(data!AC$1,Haver_M!$B$1:$ZN$1,0))),INDEX(Haver_M!$B$1:$ZN$1000,MATCH(data!$A72,Haver_M!$B$1:$B$1000,0),MATCH(data!AC$1,Haver_M!$B$1:$ZN$1,0)),"na")</f>
        <v>20004.2</v>
      </c>
      <c r="AD72">
        <f>IF(ISNUMBER(INDEX(Haver_M!$B$1:$ZN$1000,MATCH(data!$A72,Haver_M!$B$1:$B$1000,0),MATCH(data!AD$1,Haver_M!$B$1:$ZN$1,0))),INDEX(Haver_M!$B$1:$ZN$1000,MATCH(data!$A72,Haver_M!$B$1:$B$1000,0),MATCH(data!AD$1,Haver_M!$B$1:$ZN$1,0)),"na")</f>
        <v>100.3</v>
      </c>
      <c r="AE72">
        <f>IF(ISNUMBER(INDEX(Haver_M!$B$1:$ZN$1000,MATCH(data!$A72,Haver_M!$B$1:$B$1000,0),MATCH(data!AE$1,Haver_M!$B$1:$ZN$1,0))),INDEX(Haver_M!$B$1:$ZN$1000,MATCH(data!$A72,Haver_M!$B$1:$B$1000,0),MATCH(data!AE$1,Haver_M!$B$1:$ZN$1,0)),"na")</f>
        <v>43.3</v>
      </c>
      <c r="AF72">
        <f>IF(ISNUMBER(INDEX(Haver_M!$B$1:$ZN$1000,MATCH(data!$A72,Haver_M!$B$1:$B$1000,0),MATCH(data!AF$1,Haver_M!$B$1:$ZN$1,0))),INDEX(Haver_M!$B$1:$ZN$1000,MATCH(data!$A72,Haver_M!$B$1:$B$1000,0),MATCH(data!AF$1,Haver_M!$B$1:$ZN$1,0)),"na")</f>
        <v>100.25</v>
      </c>
      <c r="AG72" t="str">
        <f>IF(ISNUMBER(INDEX(Haver_M!$B$1:$ZN$1000,MATCH(data!$A72,Haver_M!$B$1:$B$1000,0),MATCH(data!AG$1,Haver_M!$B$1:$ZN$1,0))),INDEX(Haver_M!$B$1:$ZN$1000,MATCH(data!$A72,Haver_M!$B$1:$B$1000,0),MATCH(data!AG$1,Haver_M!$B$1:$ZN$1,0)),"na")</f>
        <v>na</v>
      </c>
      <c r="AH72" t="str">
        <f>IF(ISNUMBER(INDEX(Haver_M!$B$1:$ZN$1000,MATCH(data!$A72,Haver_M!$B$1:$B$1000,0),MATCH(data!AH$1,Haver_M!$B$1:$ZN$1,0))),INDEX(Haver_M!$B$1:$ZN$1000,MATCH(data!$A72,Haver_M!$B$1:$B$1000,0),MATCH(data!AH$1,Haver_M!$B$1:$ZN$1,0)),"na")</f>
        <v>na</v>
      </c>
      <c r="AI72" t="str">
        <f>IF(ISNUMBER(INDEX(Haver_M!$B$1:$ZN$1000,MATCH(data!$A72,Haver_M!$B$1:$B$1000,0),MATCH(data!AI$1,Haver_M!$B$1:$ZN$1,0))),INDEX(Haver_M!$B$1:$ZN$1000,MATCH(data!$A72,Haver_M!$B$1:$B$1000,0),MATCH(data!AI$1,Haver_M!$B$1:$ZN$1,0)),"na")</f>
        <v>na</v>
      </c>
      <c r="AJ72" t="str">
        <f>IF(ISNUMBER(INDEX(Haver_M!$B$1:$ZN$1000,MATCH(data!$A72,Haver_M!$B$1:$B$1000,0),MATCH(data!AJ$1,Haver_M!$B$1:$ZN$1,0))),INDEX(Haver_M!$B$1:$ZN$1000,MATCH(data!$A72,Haver_M!$B$1:$B$1000,0),MATCH(data!AJ$1,Haver_M!$B$1:$ZN$1,0)),"na")</f>
        <v>na</v>
      </c>
      <c r="AK72" t="str">
        <f>IF(ISNUMBER(INDEX(Haver_M!$B$1:$ZN$1000,MATCH(data!$A72,Haver_M!$B$1:$B$1000,0),MATCH(data!AK$1,Haver_M!$B$1:$ZN$1,0))),INDEX(Haver_M!$B$1:$ZN$1000,MATCH(data!$A72,Haver_M!$B$1:$B$1000,0),MATCH(data!AK$1,Haver_M!$B$1:$ZN$1,0)),"na")</f>
        <v>na</v>
      </c>
      <c r="AL72" t="str">
        <f>IF(ISNUMBER(INDEX(Haver_M!$B$1:$ZN$1000,MATCH(data!$A72,Haver_M!$B$1:$B$1000,0),MATCH(data!AL$1,Haver_M!$B$1:$ZN$1,0))),INDEX(Haver_M!$B$1:$ZN$1000,MATCH(data!$A72,Haver_M!$B$1:$B$1000,0),MATCH(data!AL$1,Haver_M!$B$1:$ZN$1,0)),"na")</f>
        <v>na</v>
      </c>
      <c r="AM72" t="str">
        <f>IF(ISNUMBER(INDEX(Haver_M!$B$1:$ZN$1000,MATCH(data!$A72,Haver_M!$B$1:$B$1000,0),MATCH(data!AM$1,Haver_M!$B$1:$ZN$1,0))),INDEX(Haver_M!$B$1:$ZN$1000,MATCH(data!$A72,Haver_M!$B$1:$B$1000,0),MATCH(data!AM$1,Haver_M!$B$1:$ZN$1,0)),"na")</f>
        <v>na</v>
      </c>
      <c r="AN72" t="str">
        <f>IF(ISNUMBER(INDEX(Haver_M!$B$1:$ZN$1000,MATCH(data!$A72,Haver_M!$B$1:$B$1000,0),MATCH(data!AN$1,Haver_M!$B$1:$ZN$1,0))),INDEX(Haver_M!$B$1:$ZN$1000,MATCH(data!$A72,Haver_M!$B$1:$B$1000,0),MATCH(data!AN$1,Haver_M!$B$1:$ZN$1,0)),"na")</f>
        <v>na</v>
      </c>
      <c r="AO72" t="str">
        <f>IF(ISNUMBER(INDEX(Haver_M!$B$1:$ZN$1000,MATCH(data!$A72,Haver_M!$B$1:$B$1000,0),MATCH(data!AO$1,Haver_M!$B$1:$ZN$1,0))),INDEX(Haver_M!$B$1:$ZN$1000,MATCH(data!$A72,Haver_M!$B$1:$B$1000,0),MATCH(data!AO$1,Haver_M!$B$1:$ZN$1,0)),"na")</f>
        <v>na</v>
      </c>
      <c r="AP72" t="str">
        <f>IF(ISNUMBER(INDEX(Haver_M!$B$1:$ZN$1000,MATCH(data!$A72,Haver_M!$B$1:$B$1000,0),MATCH(data!AP$1,Haver_M!$B$1:$ZN$1,0))),INDEX(Haver_M!$B$1:$ZN$1000,MATCH(data!$A72,Haver_M!$B$1:$B$1000,0),MATCH(data!AP$1,Haver_M!$B$1:$ZN$1,0)),"na")</f>
        <v>na</v>
      </c>
      <c r="AQ72" t="str">
        <f>IF(ISNUMBER(INDEX(Haver_M!$B$1:$ZN$1000,MATCH(data!$A72,Haver_M!$B$1:$B$1000,0),MATCH(data!AQ$1,Haver_M!$B$1:$ZN$1,0))),INDEX(Haver_M!$B$1:$ZN$1000,MATCH(data!$A72,Haver_M!$B$1:$B$1000,0),MATCH(data!AQ$1,Haver_M!$B$1:$ZN$1,0)),"na")</f>
        <v>na</v>
      </c>
      <c r="AR72" t="str">
        <f>IF(ISNUMBER(INDEX(Haver_M!$B$1:$ZN$1000,MATCH(data!$A72,Haver_M!$B$1:$B$1000,0),MATCH(data!AR$1,Haver_M!$B$1:$ZN$1,0))),INDEX(Haver_M!$B$1:$ZN$1000,MATCH(data!$A72,Haver_M!$B$1:$B$1000,0),MATCH(data!AR$1,Haver_M!$B$1:$ZN$1,0)),"na")</f>
        <v>na</v>
      </c>
      <c r="AS72">
        <f>IF(ISNUMBER(INDEX(Haver_M!$B$1:$ZN$1000,MATCH(data!$A72,Haver_M!$B$1:$B$1000,0),MATCH(data!AS$1,Haver_M!$B$1:$ZN$1,0))),INDEX(Haver_M!$B$1:$ZN$1000,MATCH(data!$A72,Haver_M!$B$1:$B$1000,0),MATCH(data!AS$1,Haver_M!$B$1:$ZN$1,0)),"na")</f>
        <v>16354.64</v>
      </c>
      <c r="AT72">
        <f>IF(ISNUMBER(INDEX(Haver_M!$B$1:$ZN$1000,MATCH(data!$A72,Haver_M!$B$1:$B$1000,0),MATCH(data!AT$1,Haver_M!$B$1:$ZN$1,0))),INDEX(Haver_M!$B$1:$ZN$1000,MATCH(data!$A72,Haver_M!$B$1:$B$1000,0),MATCH(data!AT$1,Haver_M!$B$1:$ZN$1,0)),"na")</f>
        <v>89.998999999999995</v>
      </c>
      <c r="AU72">
        <f>IF(ISNUMBER(INDEX(Haver_M!$B$1:$ZN$1000,MATCH(data!$A72,Haver_M!$B$1:$B$1000,0),MATCH(data!AU$1,Haver_M!$B$1:$ZN$1,0))),INDEX(Haver_M!$B$1:$ZN$1000,MATCH(data!$A72,Haver_M!$B$1:$B$1000,0),MATCH(data!AU$1,Haver_M!$B$1:$ZN$1,0)),"na")</f>
        <v>87.132930000000002</v>
      </c>
      <c r="AV72">
        <f>IF(ISNUMBER(INDEX(Haver_M!$B$1:$ZN$1000,MATCH(data!$A72,Haver_M!$B$1:$B$1000,0),MATCH(data!AV$1,Haver_M!$B$1:$ZN$1,0))),INDEX(Haver_M!$B$1:$ZN$1000,MATCH(data!$A72,Haver_M!$B$1:$B$1000,0),MATCH(data!AV$1,Haver_M!$B$1:$ZN$1,0)),"na")</f>
        <v>82.7</v>
      </c>
      <c r="AW72">
        <f>IF(ISNUMBER(INDEX(Haver_M!$B$1:$ZN$1000,MATCH(data!$A72,Haver_M!$B$1:$B$1000,0),MATCH(data!AW$1,Haver_M!$B$1:$ZN$1,0))),INDEX(Haver_M!$B$1:$ZN$1000,MATCH(data!$A72,Haver_M!$B$1:$B$1000,0),MATCH(data!AW$1,Haver_M!$B$1:$ZN$1,0)),"na")</f>
        <v>845917.83238108119</v>
      </c>
      <c r="AX72">
        <f>IF(ISNUMBER(INDEX(Haver_M!$B$1:$ZN$1000,MATCH(data!$A72,Haver_M!$B$1:$B$1000,0),MATCH(data!AX$1,Haver_M!$B$1:$ZN$1,0))),INDEX(Haver_M!$B$1:$ZN$1000,MATCH(data!$A72,Haver_M!$B$1:$B$1000,0),MATCH(data!AX$1,Haver_M!$B$1:$ZN$1,0)),"na")</f>
        <v>3350</v>
      </c>
      <c r="AY72">
        <f>IF(ISNUMBER(INDEX(Haver_M!$B$1:$ZN$1000,MATCH(data!$A72,Haver_M!$B$1:$B$1000,0),MATCH(data!AY$1,Haver_M!$B$1:$ZN$1,0))),INDEX(Haver_M!$B$1:$ZN$1000,MATCH(data!$A72,Haver_M!$B$1:$B$1000,0),MATCH(data!AY$1,Haver_M!$B$1:$ZN$1,0)),"na")</f>
        <v>1909</v>
      </c>
      <c r="AZ72">
        <f>IF(ISNUMBER(INDEX(Haver_M!$B$1:$ZN$1000,MATCH(data!$A72,Haver_M!$B$1:$B$1000,0),MATCH(data!AZ$1,Haver_M!$B$1:$ZN$1,0))),INDEX(Haver_M!$B$1:$ZN$1000,MATCH(data!$A72,Haver_M!$B$1:$B$1000,0),MATCH(data!AZ$1,Haver_M!$B$1:$ZN$1,0)),"na")</f>
        <v>52.6</v>
      </c>
      <c r="BA72">
        <f>IF(ISNUMBER(INDEX(Haver_M!$B$1:$ZN$1000,MATCH(data!$A72,Haver_M!$B$1:$B$1000,0),MATCH(data!BA$1,Haver_M!$B$1:$ZN$1,0))),INDEX(Haver_M!$B$1:$ZN$1000,MATCH(data!$A72,Haver_M!$B$1:$B$1000,0),MATCH(data!BA$1,Haver_M!$B$1:$ZN$1,0)),"na")</f>
        <v>45.535161651752162</v>
      </c>
      <c r="BB72" t="str">
        <f>IF(ISNUMBER(INDEX(Haver_M!$B$1:$ZN$1000,MATCH(data!$A72,Haver_M!$B$1:$B$1000,0),MATCH(data!BB$1,Haver_M!$B$1:$ZN$1,0))),INDEX(Haver_M!$B$1:$ZN$1000,MATCH(data!$A72,Haver_M!$B$1:$B$1000,0),MATCH(data!BB$1,Haver_M!$B$1:$ZN$1,0)),"")</f>
        <v/>
      </c>
    </row>
    <row r="73" spans="1:54" x14ac:dyDescent="0.25">
      <c r="A73" s="2">
        <v>38717</v>
      </c>
      <c r="B73">
        <f>IF(ISNUMBER(INDEX(Haver_Q!$B$1:$BD$1000,MATCH(data!$A73,Haver_Q!$B$1:$B$1000,0),MATCH(data!B$1,Haver_Q!$B$1:$BD$1,0))),100*INDEX(Haver_Q!$B$1:$BD$1000,MATCH(data!$A73,Haver_Q!$B$1:$B$1000,0),MATCH(data!B$1,Haver_Q!$B$1:$BD$1,0)),"na")</f>
        <v>6.4637624503624869</v>
      </c>
      <c r="C73">
        <f>IF(ISNUMBER(INDEX(Haver_Q!$B$1:$BD$1000,MATCH(data!$A73,Haver_Q!$B$1:$B$1000,0),MATCH(data!C$1,Haver_Q!$B$1:$BD$1,0))),100*INDEX(Haver_Q!$B$1:$BD$1000,MATCH(data!$A73,Haver_Q!$B$1:$B$1000,0),MATCH(data!C$1,Haver_Q!$B$1:$BD$1,0)),"na")</f>
        <v>5.779856917611359</v>
      </c>
      <c r="D73">
        <f>IF(ISNUMBER(INDEX(Haver_Q!$B$1:$BD$1000,MATCH(data!$A73,Haver_Q!$B$1:$B$1000,0),MATCH(data!D$1,Haver_Q!$B$1:$BD$1,0))),100*INDEX(Haver_Q!$B$1:$BD$1000,MATCH(data!$A73,Haver_Q!$B$1:$B$1000,0),MATCH(data!D$1,Haver_Q!$B$1:$BD$1,0)),"na")</f>
        <v>0.76328794406672618</v>
      </c>
      <c r="E73">
        <f>IF(ISNUMBER(INDEX(Haver_Q!$B$1:$BD$1000,MATCH(data!$A73,Haver_Q!$B$1:$B$1000,0),MATCH(data!E$1,Haver_Q!$B$1:$BD$1,0))),100*INDEX(Haver_Q!$B$1:$BD$1000,MATCH(data!$A73,Haver_Q!$B$1:$B$1000,0),MATCH(data!E$1,Haver_Q!$B$1:$BD$1,0)),"na")</f>
        <v>14.617188250341107</v>
      </c>
      <c r="F73">
        <f>IF(ISNUMBER(INDEX(Haver_Q!$B$1:$BD$1000,MATCH(data!$A73,Haver_Q!$B$1:$B$1000,0),MATCH(data!F$1,Haver_Q!$B$1:$BD$1,0))),100*INDEX(Haver_Q!$B$1:$BD$1000,MATCH(data!$A73,Haver_Q!$B$1:$B$1000,0),MATCH(data!F$1,Haver_Q!$B$1:$BD$1,0)),"na")</f>
        <v>28.850155227848351</v>
      </c>
      <c r="G73">
        <f>IF(ISNUMBER(INDEX(Haver_Q!$B$1:$BD$1000,MATCH(data!$A73,Haver_Q!$B$1:$B$1000,0),MATCH(data!G$1,Haver_Q!$B$1:$BD$1,0))),100*INDEX(Haver_Q!$B$1:$BD$1000,MATCH(data!$A73,Haver_Q!$B$1:$B$1000,0),MATCH(data!G$1,Haver_Q!$B$1:$BD$1,0)),"na")</f>
        <v>24.628716992594391</v>
      </c>
      <c r="H73">
        <f>IF(ISNUMBER(INDEX(Haver_Q!$B$1:$BD$1000,MATCH(data!$A73,Haver_Q!$B$1:$B$1000,0),MATCH(data!H$1,Haver_Q!$B$1:$BD$1,0))),100*INDEX(Haver_Q!$B$1:$BD$1000,MATCH(data!$A73,Haver_Q!$B$1:$B$1000,0),MATCH(data!H$1,Haver_Q!$B$1:$BD$1,0)),"na")</f>
        <v>549.78259436570249</v>
      </c>
      <c r="I73" s="3">
        <f>IF(ISNUMBER(Bloomberg_m!C89),Bloomberg_m!C89,"na")</f>
        <v>2600</v>
      </c>
      <c r="J73" s="3" t="str">
        <f>IF(ISNUMBER(Bloomberg_m!D89),Bloomberg_m!D89,"na")</f>
        <v>na</v>
      </c>
      <c r="K73" s="3" t="str">
        <f>IF(ISNUMBER(Bloomberg_m!E89),Bloomberg_m!E89,"na")</f>
        <v>na</v>
      </c>
      <c r="L73" s="3">
        <f>IF(ISNUMBER(Bloomberg_m!L89),Bloomberg_m!L89,"na")</f>
        <v>59.41</v>
      </c>
      <c r="M73" t="str">
        <f>IF(ISNUMBER(INDEX(Haver_M!$B$1:$ZN$1000,MATCH(data!$A73,Haver_M!$B$1:$B$1000,0),MATCH(data!M$1,Haver_M!$B$1:$ZN$1,0))),INDEX(Haver_M!$B$1:$ZN$1000,MATCH(data!$A73,Haver_M!$B$1:$B$1000,0),MATCH(data!M$1,Haver_M!$B$1:$ZN$1,0)),"na")</f>
        <v>na</v>
      </c>
      <c r="N73" t="str">
        <f>IF(ISNUMBER(INDEX(Haver_M!$B$1:$ZN$1000,MATCH(data!$A73,Haver_M!$B$1:$B$1000,0),MATCH(data!N$1,Haver_M!$B$1:$ZN$1,0))),INDEX(Haver_M!$B$1:$ZN$1000,MATCH(data!$A73,Haver_M!$B$1:$B$1000,0),MATCH(data!N$1,Haver_M!$B$1:$ZN$1,0)),"na")</f>
        <v>na</v>
      </c>
      <c r="O73">
        <f>IF(ISNUMBER(INDEX(Haver_M!$B$1:$ZN$1000,MATCH(data!$A73,Haver_M!$B$1:$B$1000,0),MATCH(data!O$1,Haver_M!$B$1:$ZN$1,0))),INDEX(Haver_M!$B$1:$ZN$1000,MATCH(data!$A73,Haver_M!$B$1:$B$1000,0),MATCH(data!O$1,Haver_M!$B$1:$ZN$1,0)),"na")</f>
        <v>115.66074</v>
      </c>
      <c r="P73">
        <f>IF(ISNUMBER(INDEX(Haver_M!$B$1:$ZN$1000,MATCH(data!$A73,Haver_M!$B$1:$B$1000,0),MATCH(data!P$1,Haver_M!$B$1:$ZN$1,0))),INDEX(Haver_M!$B$1:$ZN$1000,MATCH(data!$A73,Haver_M!$B$1:$B$1000,0),MATCH(data!P$1,Haver_M!$B$1:$ZN$1,0)),"na")</f>
        <v>60.002800000000001</v>
      </c>
      <c r="Q73">
        <f>IF(ISNUMBER(INDEX(Haver_M!$B$1:$ZN$1000,MATCH(data!$A73,Haver_M!$B$1:$B$1000,0),MATCH(data!Q$1,Haver_M!$B$1:$ZN$1,0))),INDEX(Haver_M!$B$1:$ZN$1000,MATCH(data!$A73,Haver_M!$B$1:$B$1000,0),MATCH(data!Q$1,Haver_M!$B$1:$ZN$1,0)),"na")</f>
        <v>63.804400000000001</v>
      </c>
      <c r="R73">
        <f>IF(ISNUMBER(INDEX(Haver_M!$B$1:$ZN$1000,MATCH(data!$A73,Haver_M!$B$1:$B$1000,0),MATCH(data!R$1,Haver_M!$B$1:$ZN$1,0))),INDEX(Haver_M!$B$1:$ZN$1000,MATCH(data!$A73,Haver_M!$B$1:$B$1000,0),MATCH(data!R$1,Haver_M!$B$1:$ZN$1,0)),"na")</f>
        <v>97.857200000000006</v>
      </c>
      <c r="S73">
        <f>IF(ISNUMBER(INDEX(Haver_M!$B$1:$ZN$1000,MATCH(data!$A73,Haver_M!$B$1:$B$1000,0),MATCH(data!S$1,Haver_M!$B$1:$ZN$1,0))),INDEX(Haver_M!$B$1:$ZN$1000,MATCH(data!$A73,Haver_M!$B$1:$B$1000,0),MATCH(data!S$1,Haver_M!$B$1:$ZN$1,0)),"na")</f>
        <v>115.4182</v>
      </c>
      <c r="T73">
        <f>IF(ISNUMBER(INDEX(Haver_M!$B$1:$ZN$1000,MATCH(data!$A73,Haver_M!$B$1:$B$1000,0),MATCH(data!T$1,Haver_M!$B$1:$ZN$1,0))),INDEX(Haver_M!$B$1:$ZN$1000,MATCH(data!$A73,Haver_M!$B$1:$B$1000,0),MATCH(data!T$1,Haver_M!$B$1:$ZN$1,0)),"na")</f>
        <v>73.346000000000004</v>
      </c>
      <c r="U73">
        <f>IF(ISNUMBER(INDEX(Haver_M!$B$1:$ZN$1000,MATCH(data!$A73,Haver_M!$B$1:$B$1000,0),MATCH(data!U$1,Haver_M!$B$1:$ZN$1,0))),INDEX(Haver_M!$B$1:$ZN$1000,MATCH(data!$A73,Haver_M!$B$1:$B$1000,0),MATCH(data!U$1,Haver_M!$B$1:$ZN$1,0)),"na")</f>
        <v>89.556399999999996</v>
      </c>
      <c r="V73">
        <f>IF(ISNUMBER(INDEX(Haver_M!$B$1:$ZN$1000,MATCH(data!$A73,Haver_M!$B$1:$B$1000,0),MATCH(data!V$1,Haver_M!$B$1:$ZN$1,0))),INDEX(Haver_M!$B$1:$ZN$1000,MATCH(data!$A73,Haver_M!$B$1:$B$1000,0),MATCH(data!V$1,Haver_M!$B$1:$ZN$1,0)),"na")</f>
        <v>94.629199999999997</v>
      </c>
      <c r="W73">
        <f>IF(ISNUMBER(INDEX(Haver_M!$B$1:$ZN$1000,MATCH(data!$A73,Haver_M!$B$1:$B$1000,0),MATCH(data!W$1,Haver_M!$B$1:$ZN$1,0))),INDEX(Haver_M!$B$1:$ZN$1000,MATCH(data!$A73,Haver_M!$B$1:$B$1000,0),MATCH(data!W$1,Haver_M!$B$1:$ZN$1,0)),"na")</f>
        <v>3.21</v>
      </c>
      <c r="X73" t="str">
        <f>IF(ISNUMBER(INDEX(Haver_M!$B$1:$ZN$1000,MATCH(data!$A73,Haver_M!$B$1:$B$1000,0),MATCH(data!X$1,Haver_M!$B$1:$ZN$1,0))),INDEX(Haver_M!$B$1:$ZN$1000,MATCH(data!$A73,Haver_M!$B$1:$B$1000,0),MATCH(data!X$1,Haver_M!$B$1:$ZN$1,0)),"na")</f>
        <v>na</v>
      </c>
      <c r="Y73">
        <f>IF(ISNUMBER(INDEX(Haver_M!$B$1:$ZN$1000,MATCH(data!$A73,Haver_M!$B$1:$B$1000,0),MATCH(data!Y$1,Haver_M!$B$1:$ZN$1,0))),INDEX(Haver_M!$B$1:$ZN$1000,MATCH(data!$A73,Haver_M!$B$1:$B$1000,0),MATCH(data!Y$1,Haver_M!$B$1:$ZN$1,0)),"na")</f>
        <v>100.63</v>
      </c>
      <c r="Z73">
        <f>IF(ISNUMBER(INDEX(Haver_M!$B$1:$ZN$1000,MATCH(data!$A73,Haver_M!$B$1:$B$1000,0),MATCH(data!Z$1,Haver_M!$B$1:$ZN$1,0))),INDEX(Haver_M!$B$1:$ZN$1000,MATCH(data!$A73,Haver_M!$B$1:$B$1000,0),MATCH(data!Z$1,Haver_M!$B$1:$ZN$1,0)),"na")</f>
        <v>93.305999999999997</v>
      </c>
      <c r="AA73" t="str">
        <f>IF(ISNUMBER(INDEX(Haver_M!$B$1:$ZN$1000,MATCH(data!$A73,Haver_M!$B$1:$B$1000,0),MATCH(data!AA$1,Haver_M!$B$1:$ZN$1,0))),INDEX(Haver_M!$B$1:$ZN$1000,MATCH(data!$A73,Haver_M!$B$1:$B$1000,0),MATCH(data!AA$1,Haver_M!$B$1:$ZN$1,0)),"na")</f>
        <v>na</v>
      </c>
      <c r="AB73">
        <f>IF(ISNUMBER(INDEX(Haver_M!$B$1:$ZN$1000,MATCH(data!$A73,Haver_M!$B$1:$B$1000,0),MATCH(data!AB$1,Haver_M!$B$1:$ZN$1,0))),INDEX(Haver_M!$B$1:$ZN$1000,MATCH(data!$A73,Haver_M!$B$1:$B$1000,0),MATCH(data!AB$1,Haver_M!$B$1:$ZN$1,0)),"na")</f>
        <v>20238.400000000001</v>
      </c>
      <c r="AC73">
        <f>IF(ISNUMBER(INDEX(Haver_M!$B$1:$ZN$1000,MATCH(data!$A73,Haver_M!$B$1:$B$1000,0),MATCH(data!AC$1,Haver_M!$B$1:$ZN$1,0))),INDEX(Haver_M!$B$1:$ZN$1000,MATCH(data!$A73,Haver_M!$B$1:$B$1000,0),MATCH(data!AC$1,Haver_M!$B$1:$ZN$1,0)),"na")</f>
        <v>20721.900000000001</v>
      </c>
      <c r="AD73">
        <f>IF(ISNUMBER(INDEX(Haver_M!$B$1:$ZN$1000,MATCH(data!$A73,Haver_M!$B$1:$B$1000,0),MATCH(data!AD$1,Haver_M!$B$1:$ZN$1,0))),INDEX(Haver_M!$B$1:$ZN$1000,MATCH(data!$A73,Haver_M!$B$1:$B$1000,0),MATCH(data!AD$1,Haver_M!$B$1:$ZN$1,0)),"na")</f>
        <v>100.45</v>
      </c>
      <c r="AE73">
        <f>IF(ISNUMBER(INDEX(Haver_M!$B$1:$ZN$1000,MATCH(data!$A73,Haver_M!$B$1:$B$1000,0),MATCH(data!AE$1,Haver_M!$B$1:$ZN$1,0))),INDEX(Haver_M!$B$1:$ZN$1000,MATCH(data!$A73,Haver_M!$B$1:$B$1000,0),MATCH(data!AE$1,Haver_M!$B$1:$ZN$1,0)),"na")</f>
        <v>43.6</v>
      </c>
      <c r="AF73">
        <f>IF(ISNUMBER(INDEX(Haver_M!$B$1:$ZN$1000,MATCH(data!$A73,Haver_M!$B$1:$B$1000,0),MATCH(data!AF$1,Haver_M!$B$1:$ZN$1,0))),INDEX(Haver_M!$B$1:$ZN$1000,MATCH(data!$A73,Haver_M!$B$1:$B$1000,0),MATCH(data!AF$1,Haver_M!$B$1:$ZN$1,0)),"na")</f>
        <v>100.36</v>
      </c>
      <c r="AG73" t="str">
        <f>IF(ISNUMBER(INDEX(Haver_M!$B$1:$ZN$1000,MATCH(data!$A73,Haver_M!$B$1:$B$1000,0),MATCH(data!AG$1,Haver_M!$B$1:$ZN$1,0))),INDEX(Haver_M!$B$1:$ZN$1000,MATCH(data!$A73,Haver_M!$B$1:$B$1000,0),MATCH(data!AG$1,Haver_M!$B$1:$ZN$1,0)),"na")</f>
        <v>na</v>
      </c>
      <c r="AH73" t="str">
        <f>IF(ISNUMBER(INDEX(Haver_M!$B$1:$ZN$1000,MATCH(data!$A73,Haver_M!$B$1:$B$1000,0),MATCH(data!AH$1,Haver_M!$B$1:$ZN$1,0))),INDEX(Haver_M!$B$1:$ZN$1000,MATCH(data!$A73,Haver_M!$B$1:$B$1000,0),MATCH(data!AH$1,Haver_M!$B$1:$ZN$1,0)),"na")</f>
        <v>na</v>
      </c>
      <c r="AI73" t="str">
        <f>IF(ISNUMBER(INDEX(Haver_M!$B$1:$ZN$1000,MATCH(data!$A73,Haver_M!$B$1:$B$1000,0),MATCH(data!AI$1,Haver_M!$B$1:$ZN$1,0))),INDEX(Haver_M!$B$1:$ZN$1000,MATCH(data!$A73,Haver_M!$B$1:$B$1000,0),MATCH(data!AI$1,Haver_M!$B$1:$ZN$1,0)),"na")</f>
        <v>na</v>
      </c>
      <c r="AJ73" t="str">
        <f>IF(ISNUMBER(INDEX(Haver_M!$B$1:$ZN$1000,MATCH(data!$A73,Haver_M!$B$1:$B$1000,0),MATCH(data!AJ$1,Haver_M!$B$1:$ZN$1,0))),INDEX(Haver_M!$B$1:$ZN$1000,MATCH(data!$A73,Haver_M!$B$1:$B$1000,0),MATCH(data!AJ$1,Haver_M!$B$1:$ZN$1,0)),"na")</f>
        <v>na</v>
      </c>
      <c r="AK73" t="str">
        <f>IF(ISNUMBER(INDEX(Haver_M!$B$1:$ZN$1000,MATCH(data!$A73,Haver_M!$B$1:$B$1000,0),MATCH(data!AK$1,Haver_M!$B$1:$ZN$1,0))),INDEX(Haver_M!$B$1:$ZN$1000,MATCH(data!$A73,Haver_M!$B$1:$B$1000,0),MATCH(data!AK$1,Haver_M!$B$1:$ZN$1,0)),"na")</f>
        <v>na</v>
      </c>
      <c r="AL73" t="str">
        <f>IF(ISNUMBER(INDEX(Haver_M!$B$1:$ZN$1000,MATCH(data!$A73,Haver_M!$B$1:$B$1000,0),MATCH(data!AL$1,Haver_M!$B$1:$ZN$1,0))),INDEX(Haver_M!$B$1:$ZN$1000,MATCH(data!$A73,Haver_M!$B$1:$B$1000,0),MATCH(data!AL$1,Haver_M!$B$1:$ZN$1,0)),"na")</f>
        <v>na</v>
      </c>
      <c r="AM73" t="str">
        <f>IF(ISNUMBER(INDEX(Haver_M!$B$1:$ZN$1000,MATCH(data!$A73,Haver_M!$B$1:$B$1000,0),MATCH(data!AM$1,Haver_M!$B$1:$ZN$1,0))),INDEX(Haver_M!$B$1:$ZN$1000,MATCH(data!$A73,Haver_M!$B$1:$B$1000,0),MATCH(data!AM$1,Haver_M!$B$1:$ZN$1,0)),"na")</f>
        <v>na</v>
      </c>
      <c r="AN73" t="str">
        <f>IF(ISNUMBER(INDEX(Haver_M!$B$1:$ZN$1000,MATCH(data!$A73,Haver_M!$B$1:$B$1000,0),MATCH(data!AN$1,Haver_M!$B$1:$ZN$1,0))),INDEX(Haver_M!$B$1:$ZN$1000,MATCH(data!$A73,Haver_M!$B$1:$B$1000,0),MATCH(data!AN$1,Haver_M!$B$1:$ZN$1,0)),"na")</f>
        <v>na</v>
      </c>
      <c r="AO73" t="str">
        <f>IF(ISNUMBER(INDEX(Haver_M!$B$1:$ZN$1000,MATCH(data!$A73,Haver_M!$B$1:$B$1000,0),MATCH(data!AO$1,Haver_M!$B$1:$ZN$1,0))),INDEX(Haver_M!$B$1:$ZN$1000,MATCH(data!$A73,Haver_M!$B$1:$B$1000,0),MATCH(data!AO$1,Haver_M!$B$1:$ZN$1,0)),"na")</f>
        <v>na</v>
      </c>
      <c r="AP73" t="str">
        <f>IF(ISNUMBER(INDEX(Haver_M!$B$1:$ZN$1000,MATCH(data!$A73,Haver_M!$B$1:$B$1000,0),MATCH(data!AP$1,Haver_M!$B$1:$ZN$1,0))),INDEX(Haver_M!$B$1:$ZN$1000,MATCH(data!$A73,Haver_M!$B$1:$B$1000,0),MATCH(data!AP$1,Haver_M!$B$1:$ZN$1,0)),"na")</f>
        <v>na</v>
      </c>
      <c r="AQ73" t="str">
        <f>IF(ISNUMBER(INDEX(Haver_M!$B$1:$ZN$1000,MATCH(data!$A73,Haver_M!$B$1:$B$1000,0),MATCH(data!AQ$1,Haver_M!$B$1:$ZN$1,0))),INDEX(Haver_M!$B$1:$ZN$1000,MATCH(data!$A73,Haver_M!$B$1:$B$1000,0),MATCH(data!AQ$1,Haver_M!$B$1:$ZN$1,0)),"na")</f>
        <v>na</v>
      </c>
      <c r="AR73" t="str">
        <f>IF(ISNUMBER(INDEX(Haver_M!$B$1:$ZN$1000,MATCH(data!$A73,Haver_M!$B$1:$B$1000,0),MATCH(data!AR$1,Haver_M!$B$1:$ZN$1,0))),INDEX(Haver_M!$B$1:$ZN$1000,MATCH(data!$A73,Haver_M!$B$1:$B$1000,0),MATCH(data!AR$1,Haver_M!$B$1:$ZN$1,0)),"na")</f>
        <v>na</v>
      </c>
      <c r="AS73">
        <f>IF(ISNUMBER(INDEX(Haver_M!$B$1:$ZN$1000,MATCH(data!$A73,Haver_M!$B$1:$B$1000,0),MATCH(data!AS$1,Haver_M!$B$1:$ZN$1,0))),INDEX(Haver_M!$B$1:$ZN$1000,MATCH(data!$A73,Haver_M!$B$1:$B$1000,0),MATCH(data!AS$1,Haver_M!$B$1:$ZN$1,0)),"na")</f>
        <v>17626.650000000001</v>
      </c>
      <c r="AT73">
        <f>IF(ISNUMBER(INDEX(Haver_M!$B$1:$ZN$1000,MATCH(data!$A73,Haver_M!$B$1:$B$1000,0),MATCH(data!AT$1,Haver_M!$B$1:$ZN$1,0))),INDEX(Haver_M!$B$1:$ZN$1000,MATCH(data!$A73,Haver_M!$B$1:$B$1000,0),MATCH(data!AT$1,Haver_M!$B$1:$ZN$1,0)),"na")</f>
        <v>90.263999999999996</v>
      </c>
      <c r="AU73">
        <f>IF(ISNUMBER(INDEX(Haver_M!$B$1:$ZN$1000,MATCH(data!$A73,Haver_M!$B$1:$B$1000,0),MATCH(data!AU$1,Haver_M!$B$1:$ZN$1,0))),INDEX(Haver_M!$B$1:$ZN$1000,MATCH(data!$A73,Haver_M!$B$1:$B$1000,0),MATCH(data!AU$1,Haver_M!$B$1:$ZN$1,0)),"na")</f>
        <v>87.617952000000002</v>
      </c>
      <c r="AV73">
        <f>IF(ISNUMBER(INDEX(Haver_M!$B$1:$ZN$1000,MATCH(data!$A73,Haver_M!$B$1:$B$1000,0),MATCH(data!AV$1,Haver_M!$B$1:$ZN$1,0))),INDEX(Haver_M!$B$1:$ZN$1000,MATCH(data!$A73,Haver_M!$B$1:$B$1000,0),MATCH(data!AV$1,Haver_M!$B$1:$ZN$1,0)),"na")</f>
        <v>85.1</v>
      </c>
      <c r="AW73">
        <f>IF(ISNUMBER(INDEX(Haver_M!$B$1:$ZN$1000,MATCH(data!$A73,Haver_M!$B$1:$B$1000,0),MATCH(data!AW$1,Haver_M!$B$1:$ZN$1,0))),INDEX(Haver_M!$B$1:$ZN$1000,MATCH(data!$A73,Haver_M!$B$1:$B$1000,0),MATCH(data!AW$1,Haver_M!$B$1:$ZN$1,0)),"na")</f>
        <v>916957.53547866712</v>
      </c>
      <c r="AX73">
        <f>IF(ISNUMBER(INDEX(Haver_M!$B$1:$ZN$1000,MATCH(data!$A73,Haver_M!$B$1:$B$1000,0),MATCH(data!AX$1,Haver_M!$B$1:$ZN$1,0))),INDEX(Haver_M!$B$1:$ZN$1000,MATCH(data!$A73,Haver_M!$B$1:$B$1000,0),MATCH(data!AX$1,Haver_M!$B$1:$ZN$1,0)),"na")</f>
        <v>3369</v>
      </c>
      <c r="AY73">
        <f>IF(ISNUMBER(INDEX(Haver_M!$B$1:$ZN$1000,MATCH(data!$A73,Haver_M!$B$1:$B$1000,0),MATCH(data!AY$1,Haver_M!$B$1:$ZN$1,0))),INDEX(Haver_M!$B$1:$ZN$1000,MATCH(data!$A73,Haver_M!$B$1:$B$1000,0),MATCH(data!AY$1,Haver_M!$B$1:$ZN$1,0)),"na")</f>
        <v>1848</v>
      </c>
      <c r="AZ73">
        <f>IF(ISNUMBER(INDEX(Haver_M!$B$1:$ZN$1000,MATCH(data!$A73,Haver_M!$B$1:$B$1000,0),MATCH(data!AZ$1,Haver_M!$B$1:$ZN$1,0))),INDEX(Haver_M!$B$1:$ZN$1000,MATCH(data!$A73,Haver_M!$B$1:$B$1000,0),MATCH(data!AZ$1,Haver_M!$B$1:$ZN$1,0)),"na")</f>
        <v>52.7</v>
      </c>
      <c r="BA73">
        <f>IF(ISNUMBER(INDEX(Haver_M!$B$1:$ZN$1000,MATCH(data!$A73,Haver_M!$B$1:$B$1000,0),MATCH(data!BA$1,Haver_M!$B$1:$ZN$1,0))),INDEX(Haver_M!$B$1:$ZN$1000,MATCH(data!$A73,Haver_M!$B$1:$B$1000,0),MATCH(data!BA$1,Haver_M!$B$1:$ZN$1,0)),"na")</f>
        <v>59.744307790111435</v>
      </c>
      <c r="BB73" t="str">
        <f>IF(ISNUMBER(INDEX(Haver_M!$B$1:$ZN$1000,MATCH(data!$A73,Haver_M!$B$1:$B$1000,0),MATCH(data!BB$1,Haver_M!$B$1:$ZN$1,0))),INDEX(Haver_M!$B$1:$ZN$1000,MATCH(data!$A73,Haver_M!$B$1:$B$1000,0),MATCH(data!BB$1,Haver_M!$B$1:$ZN$1,0)),"")</f>
        <v/>
      </c>
    </row>
    <row r="74" spans="1:54" x14ac:dyDescent="0.25">
      <c r="A74" s="2">
        <v>38748</v>
      </c>
      <c r="B74" t="str">
        <f>IF(ISNUMBER(INDEX(Haver_Q!$B$1:$BD$1000,MATCH(data!$A74,Haver_Q!$B$1:$B$1000,0),MATCH(data!B$1,Haver_Q!$B$1:$BD$1,0))),100*INDEX(Haver_Q!$B$1:$BD$1000,MATCH(data!$A74,Haver_Q!$B$1:$B$1000,0),MATCH(data!B$1,Haver_Q!$B$1:$BD$1,0)),"na")</f>
        <v>na</v>
      </c>
      <c r="C74" t="str">
        <f>IF(ISNUMBER(INDEX(Haver_Q!$B$1:$BD$1000,MATCH(data!$A74,Haver_Q!$B$1:$B$1000,0),MATCH(data!C$1,Haver_Q!$B$1:$BD$1,0))),100*INDEX(Haver_Q!$B$1:$BD$1000,MATCH(data!$A74,Haver_Q!$B$1:$B$1000,0),MATCH(data!C$1,Haver_Q!$B$1:$BD$1,0)),"na")</f>
        <v>na</v>
      </c>
      <c r="D74" t="str">
        <f>IF(ISNUMBER(INDEX(Haver_Q!$B$1:$BD$1000,MATCH(data!$A74,Haver_Q!$B$1:$B$1000,0),MATCH(data!D$1,Haver_Q!$B$1:$BD$1,0))),100*INDEX(Haver_Q!$B$1:$BD$1000,MATCH(data!$A74,Haver_Q!$B$1:$B$1000,0),MATCH(data!D$1,Haver_Q!$B$1:$BD$1,0)),"na")</f>
        <v>na</v>
      </c>
      <c r="E74" t="str">
        <f>IF(ISNUMBER(INDEX(Haver_Q!$B$1:$BD$1000,MATCH(data!$A74,Haver_Q!$B$1:$B$1000,0),MATCH(data!E$1,Haver_Q!$B$1:$BD$1,0))),100*INDEX(Haver_Q!$B$1:$BD$1000,MATCH(data!$A74,Haver_Q!$B$1:$B$1000,0),MATCH(data!E$1,Haver_Q!$B$1:$BD$1,0)),"na")</f>
        <v>na</v>
      </c>
      <c r="F74" t="str">
        <f>IF(ISNUMBER(INDEX(Haver_Q!$B$1:$BD$1000,MATCH(data!$A74,Haver_Q!$B$1:$B$1000,0),MATCH(data!F$1,Haver_Q!$B$1:$BD$1,0))),100*INDEX(Haver_Q!$B$1:$BD$1000,MATCH(data!$A74,Haver_Q!$B$1:$B$1000,0),MATCH(data!F$1,Haver_Q!$B$1:$BD$1,0)),"na")</f>
        <v>na</v>
      </c>
      <c r="G74" t="str">
        <f>IF(ISNUMBER(INDEX(Haver_Q!$B$1:$BD$1000,MATCH(data!$A74,Haver_Q!$B$1:$B$1000,0),MATCH(data!G$1,Haver_Q!$B$1:$BD$1,0))),100*INDEX(Haver_Q!$B$1:$BD$1000,MATCH(data!$A74,Haver_Q!$B$1:$B$1000,0),MATCH(data!G$1,Haver_Q!$B$1:$BD$1,0)),"na")</f>
        <v>na</v>
      </c>
      <c r="H74" t="str">
        <f>IF(ISNUMBER(INDEX(Haver_Q!$B$1:$BD$1000,MATCH(data!$A74,Haver_Q!$B$1:$B$1000,0),MATCH(data!H$1,Haver_Q!$B$1:$BD$1,0))),100*INDEX(Haver_Q!$B$1:$BD$1000,MATCH(data!$A74,Haver_Q!$B$1:$B$1000,0),MATCH(data!H$1,Haver_Q!$B$1:$BD$1,0)),"na")</f>
        <v>na</v>
      </c>
      <c r="I74" s="3">
        <f>IF(ISNUMBER(Bloomberg_m!C90),Bloomberg_m!C90,"na")</f>
        <v>2262</v>
      </c>
      <c r="J74" s="3" t="str">
        <f>IF(ISNUMBER(Bloomberg_m!D90),Bloomberg_m!D90,"na")</f>
        <v>na</v>
      </c>
      <c r="K74" s="3" t="str">
        <f>IF(ISNUMBER(Bloomberg_m!E90),Bloomberg_m!E90,"na")</f>
        <v>na</v>
      </c>
      <c r="L74" s="3">
        <f>IF(ISNUMBER(Bloomberg_m!L90),Bloomberg_m!L90,"na")</f>
        <v>65.48</v>
      </c>
      <c r="M74" t="str">
        <f>IF(ISNUMBER(INDEX(Haver_M!$B$1:$ZN$1000,MATCH(data!$A74,Haver_M!$B$1:$B$1000,0),MATCH(data!M$1,Haver_M!$B$1:$ZN$1,0))),INDEX(Haver_M!$B$1:$ZN$1000,MATCH(data!$A74,Haver_M!$B$1:$B$1000,0),MATCH(data!M$1,Haver_M!$B$1:$ZN$1,0)),"na")</f>
        <v>na</v>
      </c>
      <c r="N74" t="str">
        <f>IF(ISNUMBER(INDEX(Haver_M!$B$1:$ZN$1000,MATCH(data!$A74,Haver_M!$B$1:$B$1000,0),MATCH(data!N$1,Haver_M!$B$1:$ZN$1,0))),INDEX(Haver_M!$B$1:$ZN$1000,MATCH(data!$A74,Haver_M!$B$1:$B$1000,0),MATCH(data!N$1,Haver_M!$B$1:$ZN$1,0)),"na")</f>
        <v>na</v>
      </c>
      <c r="O74">
        <f>IF(ISNUMBER(INDEX(Haver_M!$B$1:$ZN$1000,MATCH(data!$A74,Haver_M!$B$1:$B$1000,0),MATCH(data!O$1,Haver_M!$B$1:$ZN$1,0))),INDEX(Haver_M!$B$1:$ZN$1000,MATCH(data!$A74,Haver_M!$B$1:$B$1000,0),MATCH(data!O$1,Haver_M!$B$1:$ZN$1,0)),"na")</f>
        <v>115.82867</v>
      </c>
      <c r="P74">
        <f>IF(ISNUMBER(INDEX(Haver_M!$B$1:$ZN$1000,MATCH(data!$A74,Haver_M!$B$1:$B$1000,0),MATCH(data!P$1,Haver_M!$B$1:$ZN$1,0))),INDEX(Haver_M!$B$1:$ZN$1000,MATCH(data!$A74,Haver_M!$B$1:$B$1000,0),MATCH(data!P$1,Haver_M!$B$1:$ZN$1,0)),"na")</f>
        <v>60.314599999999999</v>
      </c>
      <c r="Q74">
        <f>IF(ISNUMBER(INDEX(Haver_M!$B$1:$ZN$1000,MATCH(data!$A74,Haver_M!$B$1:$B$1000,0),MATCH(data!Q$1,Haver_M!$B$1:$ZN$1,0))),INDEX(Haver_M!$B$1:$ZN$1000,MATCH(data!$A74,Haver_M!$B$1:$B$1000,0),MATCH(data!Q$1,Haver_M!$B$1:$ZN$1,0)),"na")</f>
        <v>63.892699999999998</v>
      </c>
      <c r="R74">
        <f>IF(ISNUMBER(INDEX(Haver_M!$B$1:$ZN$1000,MATCH(data!$A74,Haver_M!$B$1:$B$1000,0),MATCH(data!R$1,Haver_M!$B$1:$ZN$1,0))),INDEX(Haver_M!$B$1:$ZN$1000,MATCH(data!$A74,Haver_M!$B$1:$B$1000,0),MATCH(data!R$1,Haver_M!$B$1:$ZN$1,0)),"na")</f>
        <v>97.371300000000005</v>
      </c>
      <c r="S74">
        <f>IF(ISNUMBER(INDEX(Haver_M!$B$1:$ZN$1000,MATCH(data!$A74,Haver_M!$B$1:$B$1000,0),MATCH(data!S$1,Haver_M!$B$1:$ZN$1,0))),INDEX(Haver_M!$B$1:$ZN$1000,MATCH(data!$A74,Haver_M!$B$1:$B$1000,0),MATCH(data!S$1,Haver_M!$B$1:$ZN$1,0)),"na")</f>
        <v>115.23820000000001</v>
      </c>
      <c r="T74">
        <f>IF(ISNUMBER(INDEX(Haver_M!$B$1:$ZN$1000,MATCH(data!$A74,Haver_M!$B$1:$B$1000,0),MATCH(data!T$1,Haver_M!$B$1:$ZN$1,0))),INDEX(Haver_M!$B$1:$ZN$1000,MATCH(data!$A74,Haver_M!$B$1:$B$1000,0),MATCH(data!T$1,Haver_M!$B$1:$ZN$1,0)),"na")</f>
        <v>76.343500000000006</v>
      </c>
      <c r="U74">
        <f>IF(ISNUMBER(INDEX(Haver_M!$B$1:$ZN$1000,MATCH(data!$A74,Haver_M!$B$1:$B$1000,0),MATCH(data!U$1,Haver_M!$B$1:$ZN$1,0))),INDEX(Haver_M!$B$1:$ZN$1000,MATCH(data!$A74,Haver_M!$B$1:$B$1000,0),MATCH(data!U$1,Haver_M!$B$1:$ZN$1,0)),"na")</f>
        <v>90.343000000000004</v>
      </c>
      <c r="V74">
        <f>IF(ISNUMBER(INDEX(Haver_M!$B$1:$ZN$1000,MATCH(data!$A74,Haver_M!$B$1:$B$1000,0),MATCH(data!V$1,Haver_M!$B$1:$ZN$1,0))),INDEX(Haver_M!$B$1:$ZN$1000,MATCH(data!$A74,Haver_M!$B$1:$B$1000,0),MATCH(data!V$1,Haver_M!$B$1:$ZN$1,0)),"na")</f>
        <v>95.562299999999993</v>
      </c>
      <c r="W74">
        <f>IF(ISNUMBER(INDEX(Haver_M!$B$1:$ZN$1000,MATCH(data!$A74,Haver_M!$B$1:$B$1000,0),MATCH(data!W$1,Haver_M!$B$1:$ZN$1,0))),INDEX(Haver_M!$B$1:$ZN$1000,MATCH(data!$A74,Haver_M!$B$1:$B$1000,0),MATCH(data!W$1,Haver_M!$B$1:$ZN$1,0)),"na")</f>
        <v>3.3</v>
      </c>
      <c r="X74" t="str">
        <f>IF(ISNUMBER(INDEX(Haver_M!$B$1:$ZN$1000,MATCH(data!$A74,Haver_M!$B$1:$B$1000,0),MATCH(data!X$1,Haver_M!$B$1:$ZN$1,0))),INDEX(Haver_M!$B$1:$ZN$1000,MATCH(data!$A74,Haver_M!$B$1:$B$1000,0),MATCH(data!X$1,Haver_M!$B$1:$ZN$1,0)),"na")</f>
        <v>na</v>
      </c>
      <c r="Y74">
        <f>IF(ISNUMBER(INDEX(Haver_M!$B$1:$ZN$1000,MATCH(data!$A74,Haver_M!$B$1:$B$1000,0),MATCH(data!Y$1,Haver_M!$B$1:$ZN$1,0))),INDEX(Haver_M!$B$1:$ZN$1000,MATCH(data!$A74,Haver_M!$B$1:$B$1000,0),MATCH(data!Y$1,Haver_M!$B$1:$ZN$1,0)),"na")</f>
        <v>100.77</v>
      </c>
      <c r="Z74">
        <f>IF(ISNUMBER(INDEX(Haver_M!$B$1:$ZN$1000,MATCH(data!$A74,Haver_M!$B$1:$B$1000,0),MATCH(data!Z$1,Haver_M!$B$1:$ZN$1,0))),INDEX(Haver_M!$B$1:$ZN$1000,MATCH(data!$A74,Haver_M!$B$1:$B$1000,0),MATCH(data!Z$1,Haver_M!$B$1:$ZN$1,0)),"na")</f>
        <v>94.290800000000004</v>
      </c>
      <c r="AA74" t="str">
        <f>IF(ISNUMBER(INDEX(Haver_M!$B$1:$ZN$1000,MATCH(data!$A74,Haver_M!$B$1:$B$1000,0),MATCH(data!AA$1,Haver_M!$B$1:$ZN$1,0))),INDEX(Haver_M!$B$1:$ZN$1000,MATCH(data!$A74,Haver_M!$B$1:$B$1000,0),MATCH(data!AA$1,Haver_M!$B$1:$ZN$1,0)),"na")</f>
        <v>na</v>
      </c>
      <c r="AB74">
        <f>IF(ISNUMBER(INDEX(Haver_M!$B$1:$ZN$1000,MATCH(data!$A74,Haver_M!$B$1:$B$1000,0),MATCH(data!AB$1,Haver_M!$B$1:$ZN$1,0))),INDEX(Haver_M!$B$1:$ZN$1000,MATCH(data!$A74,Haver_M!$B$1:$B$1000,0),MATCH(data!AB$1,Haver_M!$B$1:$ZN$1,0)),"na")</f>
        <v>21196.400000000001</v>
      </c>
      <c r="AC74">
        <f>IF(ISNUMBER(INDEX(Haver_M!$B$1:$ZN$1000,MATCH(data!$A74,Haver_M!$B$1:$B$1000,0),MATCH(data!AC$1,Haver_M!$B$1:$ZN$1,0))),INDEX(Haver_M!$B$1:$ZN$1000,MATCH(data!$A74,Haver_M!$B$1:$B$1000,0),MATCH(data!AC$1,Haver_M!$B$1:$ZN$1,0)),"na")</f>
        <v>20167.3</v>
      </c>
      <c r="AD74">
        <f>IF(ISNUMBER(INDEX(Haver_M!$B$1:$ZN$1000,MATCH(data!$A74,Haver_M!$B$1:$B$1000,0),MATCH(data!AD$1,Haver_M!$B$1:$ZN$1,0))),INDEX(Haver_M!$B$1:$ZN$1000,MATCH(data!$A74,Haver_M!$B$1:$B$1000,0),MATCH(data!AD$1,Haver_M!$B$1:$ZN$1,0)),"na")</f>
        <v>100.56</v>
      </c>
      <c r="AE74">
        <f>IF(ISNUMBER(INDEX(Haver_M!$B$1:$ZN$1000,MATCH(data!$A74,Haver_M!$B$1:$B$1000,0),MATCH(data!AE$1,Haver_M!$B$1:$ZN$1,0))),INDEX(Haver_M!$B$1:$ZN$1000,MATCH(data!$A74,Haver_M!$B$1:$B$1000,0),MATCH(data!AE$1,Haver_M!$B$1:$ZN$1,0)),"na")</f>
        <v>43.9</v>
      </c>
      <c r="AF74">
        <f>IF(ISNUMBER(INDEX(Haver_M!$B$1:$ZN$1000,MATCH(data!$A74,Haver_M!$B$1:$B$1000,0),MATCH(data!AF$1,Haver_M!$B$1:$ZN$1,0))),INDEX(Haver_M!$B$1:$ZN$1000,MATCH(data!$A74,Haver_M!$B$1:$B$1000,0),MATCH(data!AF$1,Haver_M!$B$1:$ZN$1,0)),"na")</f>
        <v>100.46</v>
      </c>
      <c r="AG74" t="str">
        <f>IF(ISNUMBER(INDEX(Haver_M!$B$1:$ZN$1000,MATCH(data!$A74,Haver_M!$B$1:$B$1000,0),MATCH(data!AG$1,Haver_M!$B$1:$ZN$1,0))),INDEX(Haver_M!$B$1:$ZN$1000,MATCH(data!$A74,Haver_M!$B$1:$B$1000,0),MATCH(data!AG$1,Haver_M!$B$1:$ZN$1,0)),"na")</f>
        <v>na</v>
      </c>
      <c r="AH74" t="str">
        <f>IF(ISNUMBER(INDEX(Haver_M!$B$1:$ZN$1000,MATCH(data!$A74,Haver_M!$B$1:$B$1000,0),MATCH(data!AH$1,Haver_M!$B$1:$ZN$1,0))),INDEX(Haver_M!$B$1:$ZN$1000,MATCH(data!$A74,Haver_M!$B$1:$B$1000,0),MATCH(data!AH$1,Haver_M!$B$1:$ZN$1,0)),"na")</f>
        <v>na</v>
      </c>
      <c r="AI74" t="str">
        <f>IF(ISNUMBER(INDEX(Haver_M!$B$1:$ZN$1000,MATCH(data!$A74,Haver_M!$B$1:$B$1000,0),MATCH(data!AI$1,Haver_M!$B$1:$ZN$1,0))),INDEX(Haver_M!$B$1:$ZN$1000,MATCH(data!$A74,Haver_M!$B$1:$B$1000,0),MATCH(data!AI$1,Haver_M!$B$1:$ZN$1,0)),"na")</f>
        <v>na</v>
      </c>
      <c r="AJ74" t="str">
        <f>IF(ISNUMBER(INDEX(Haver_M!$B$1:$ZN$1000,MATCH(data!$A74,Haver_M!$B$1:$B$1000,0),MATCH(data!AJ$1,Haver_M!$B$1:$ZN$1,0))),INDEX(Haver_M!$B$1:$ZN$1000,MATCH(data!$A74,Haver_M!$B$1:$B$1000,0),MATCH(data!AJ$1,Haver_M!$B$1:$ZN$1,0)),"na")</f>
        <v>na</v>
      </c>
      <c r="AK74" t="str">
        <f>IF(ISNUMBER(INDEX(Haver_M!$B$1:$ZN$1000,MATCH(data!$A74,Haver_M!$B$1:$B$1000,0),MATCH(data!AK$1,Haver_M!$B$1:$ZN$1,0))),INDEX(Haver_M!$B$1:$ZN$1000,MATCH(data!$A74,Haver_M!$B$1:$B$1000,0),MATCH(data!AK$1,Haver_M!$B$1:$ZN$1,0)),"na")</f>
        <v>na</v>
      </c>
      <c r="AL74" t="str">
        <f>IF(ISNUMBER(INDEX(Haver_M!$B$1:$ZN$1000,MATCH(data!$A74,Haver_M!$B$1:$B$1000,0),MATCH(data!AL$1,Haver_M!$B$1:$ZN$1,0))),INDEX(Haver_M!$B$1:$ZN$1000,MATCH(data!$A74,Haver_M!$B$1:$B$1000,0),MATCH(data!AL$1,Haver_M!$B$1:$ZN$1,0)),"na")</f>
        <v>na</v>
      </c>
      <c r="AM74" t="str">
        <f>IF(ISNUMBER(INDEX(Haver_M!$B$1:$ZN$1000,MATCH(data!$A74,Haver_M!$B$1:$B$1000,0),MATCH(data!AM$1,Haver_M!$B$1:$ZN$1,0))),INDEX(Haver_M!$B$1:$ZN$1000,MATCH(data!$A74,Haver_M!$B$1:$B$1000,0),MATCH(data!AM$1,Haver_M!$B$1:$ZN$1,0)),"na")</f>
        <v>na</v>
      </c>
      <c r="AN74" t="str">
        <f>IF(ISNUMBER(INDEX(Haver_M!$B$1:$ZN$1000,MATCH(data!$A74,Haver_M!$B$1:$B$1000,0),MATCH(data!AN$1,Haver_M!$B$1:$ZN$1,0))),INDEX(Haver_M!$B$1:$ZN$1000,MATCH(data!$A74,Haver_M!$B$1:$B$1000,0),MATCH(data!AN$1,Haver_M!$B$1:$ZN$1,0)),"na")</f>
        <v>na</v>
      </c>
      <c r="AO74" t="str">
        <f>IF(ISNUMBER(INDEX(Haver_M!$B$1:$ZN$1000,MATCH(data!$A74,Haver_M!$B$1:$B$1000,0),MATCH(data!AO$1,Haver_M!$B$1:$ZN$1,0))),INDEX(Haver_M!$B$1:$ZN$1000,MATCH(data!$A74,Haver_M!$B$1:$B$1000,0),MATCH(data!AO$1,Haver_M!$B$1:$ZN$1,0)),"na")</f>
        <v>na</v>
      </c>
      <c r="AP74" t="str">
        <f>IF(ISNUMBER(INDEX(Haver_M!$B$1:$ZN$1000,MATCH(data!$A74,Haver_M!$B$1:$B$1000,0),MATCH(data!AP$1,Haver_M!$B$1:$ZN$1,0))),INDEX(Haver_M!$B$1:$ZN$1000,MATCH(data!$A74,Haver_M!$B$1:$B$1000,0),MATCH(data!AP$1,Haver_M!$B$1:$ZN$1,0)),"na")</f>
        <v>na</v>
      </c>
      <c r="AQ74" t="str">
        <f>IF(ISNUMBER(INDEX(Haver_M!$B$1:$ZN$1000,MATCH(data!$A74,Haver_M!$B$1:$B$1000,0),MATCH(data!AQ$1,Haver_M!$B$1:$ZN$1,0))),INDEX(Haver_M!$B$1:$ZN$1000,MATCH(data!$A74,Haver_M!$B$1:$B$1000,0),MATCH(data!AQ$1,Haver_M!$B$1:$ZN$1,0)),"na")</f>
        <v>na</v>
      </c>
      <c r="AR74" t="str">
        <f>IF(ISNUMBER(INDEX(Haver_M!$B$1:$ZN$1000,MATCH(data!$A74,Haver_M!$B$1:$B$1000,0),MATCH(data!AR$1,Haver_M!$B$1:$ZN$1,0))),INDEX(Haver_M!$B$1:$ZN$1000,MATCH(data!$A74,Haver_M!$B$1:$B$1000,0),MATCH(data!AR$1,Haver_M!$B$1:$ZN$1,0)),"na")</f>
        <v>na</v>
      </c>
      <c r="AS74">
        <f>IF(ISNUMBER(INDEX(Haver_M!$B$1:$ZN$1000,MATCH(data!$A74,Haver_M!$B$1:$B$1000,0),MATCH(data!AS$1,Haver_M!$B$1:$ZN$1,0))),INDEX(Haver_M!$B$1:$ZN$1000,MATCH(data!$A74,Haver_M!$B$1:$B$1000,0),MATCH(data!AS$1,Haver_M!$B$1:$ZN$1,0)),"na")</f>
        <v>18728.48</v>
      </c>
      <c r="AT74">
        <f>IF(ISNUMBER(INDEX(Haver_M!$B$1:$ZN$1000,MATCH(data!$A74,Haver_M!$B$1:$B$1000,0),MATCH(data!AT$1,Haver_M!$B$1:$ZN$1,0))),INDEX(Haver_M!$B$1:$ZN$1000,MATCH(data!$A74,Haver_M!$B$1:$B$1000,0),MATCH(data!AT$1,Haver_M!$B$1:$ZN$1,0)),"na")</f>
        <v>91.44</v>
      </c>
      <c r="AU74">
        <f>IF(ISNUMBER(INDEX(Haver_M!$B$1:$ZN$1000,MATCH(data!$A74,Haver_M!$B$1:$B$1000,0),MATCH(data!AU$1,Haver_M!$B$1:$ZN$1,0))),INDEX(Haver_M!$B$1:$ZN$1000,MATCH(data!$A74,Haver_M!$B$1:$B$1000,0),MATCH(data!AU$1,Haver_M!$B$1:$ZN$1,0)),"na")</f>
        <v>88.997845999999996</v>
      </c>
      <c r="AV74">
        <f>IF(ISNUMBER(INDEX(Haver_M!$B$1:$ZN$1000,MATCH(data!$A74,Haver_M!$B$1:$B$1000,0),MATCH(data!AV$1,Haver_M!$B$1:$ZN$1,0))),INDEX(Haver_M!$B$1:$ZN$1000,MATCH(data!$A74,Haver_M!$B$1:$B$1000,0),MATCH(data!AV$1,Haver_M!$B$1:$ZN$1,0)),"na")</f>
        <v>85.6</v>
      </c>
      <c r="AW74">
        <f>IF(ISNUMBER(INDEX(Haver_M!$B$1:$ZN$1000,MATCH(data!$A74,Haver_M!$B$1:$B$1000,0),MATCH(data!AW$1,Haver_M!$B$1:$ZN$1,0))),INDEX(Haver_M!$B$1:$ZN$1000,MATCH(data!$A74,Haver_M!$B$1:$B$1000,0),MATCH(data!AW$1,Haver_M!$B$1:$ZN$1,0)),"na")</f>
        <v>940145.71767913422</v>
      </c>
      <c r="AX74">
        <f>IF(ISNUMBER(INDEX(Haver_M!$B$1:$ZN$1000,MATCH(data!$A74,Haver_M!$B$1:$B$1000,0),MATCH(data!AX$1,Haver_M!$B$1:$ZN$1,0))),INDEX(Haver_M!$B$1:$ZN$1000,MATCH(data!$A74,Haver_M!$B$1:$B$1000,0),MATCH(data!AX$1,Haver_M!$B$1:$ZN$1,0)),"na")</f>
        <v>3365</v>
      </c>
      <c r="AY74">
        <f>IF(ISNUMBER(INDEX(Haver_M!$B$1:$ZN$1000,MATCH(data!$A74,Haver_M!$B$1:$B$1000,0),MATCH(data!AY$1,Haver_M!$B$1:$ZN$1,0))),INDEX(Haver_M!$B$1:$ZN$1000,MATCH(data!$A74,Haver_M!$B$1:$B$1000,0),MATCH(data!AY$1,Haver_M!$B$1:$ZN$1,0)),"na")</f>
        <v>2052</v>
      </c>
      <c r="AZ74">
        <f>IF(ISNUMBER(INDEX(Haver_M!$B$1:$ZN$1000,MATCH(data!$A74,Haver_M!$B$1:$B$1000,0),MATCH(data!AZ$1,Haver_M!$B$1:$ZN$1,0))),INDEX(Haver_M!$B$1:$ZN$1000,MATCH(data!$A74,Haver_M!$B$1:$B$1000,0),MATCH(data!AZ$1,Haver_M!$B$1:$ZN$1,0)),"na")</f>
        <v>53.8</v>
      </c>
      <c r="BA74">
        <f>IF(ISNUMBER(INDEX(Haver_M!$B$1:$ZN$1000,MATCH(data!$A74,Haver_M!$B$1:$B$1000,0),MATCH(data!BA$1,Haver_M!$B$1:$ZN$1,0))),INDEX(Haver_M!$B$1:$ZN$1000,MATCH(data!$A74,Haver_M!$B$1:$B$1000,0),MATCH(data!BA$1,Haver_M!$B$1:$ZN$1,0)),"na")</f>
        <v>57.844609593097537</v>
      </c>
      <c r="BB74" t="str">
        <f>IF(ISNUMBER(INDEX(Haver_M!$B$1:$ZN$1000,MATCH(data!$A74,Haver_M!$B$1:$B$1000,0),MATCH(data!BB$1,Haver_M!$B$1:$ZN$1,0))),INDEX(Haver_M!$B$1:$ZN$1000,MATCH(data!$A74,Haver_M!$B$1:$B$1000,0),MATCH(data!BB$1,Haver_M!$B$1:$ZN$1,0)),"")</f>
        <v/>
      </c>
    </row>
    <row r="75" spans="1:54" x14ac:dyDescent="0.25">
      <c r="A75" s="2">
        <v>38776</v>
      </c>
      <c r="B75" t="str">
        <f>IF(ISNUMBER(INDEX(Haver_Q!$B$1:$BD$1000,MATCH(data!$A75,Haver_Q!$B$1:$B$1000,0),MATCH(data!B$1,Haver_Q!$B$1:$BD$1,0))),100*INDEX(Haver_Q!$B$1:$BD$1000,MATCH(data!$A75,Haver_Q!$B$1:$B$1000,0),MATCH(data!B$1,Haver_Q!$B$1:$BD$1,0)),"na")</f>
        <v>na</v>
      </c>
      <c r="C75" t="str">
        <f>IF(ISNUMBER(INDEX(Haver_Q!$B$1:$BD$1000,MATCH(data!$A75,Haver_Q!$B$1:$B$1000,0),MATCH(data!C$1,Haver_Q!$B$1:$BD$1,0))),100*INDEX(Haver_Q!$B$1:$BD$1000,MATCH(data!$A75,Haver_Q!$B$1:$B$1000,0),MATCH(data!C$1,Haver_Q!$B$1:$BD$1,0)),"na")</f>
        <v>na</v>
      </c>
      <c r="D75" t="str">
        <f>IF(ISNUMBER(INDEX(Haver_Q!$B$1:$BD$1000,MATCH(data!$A75,Haver_Q!$B$1:$B$1000,0),MATCH(data!D$1,Haver_Q!$B$1:$BD$1,0))),100*INDEX(Haver_Q!$B$1:$BD$1000,MATCH(data!$A75,Haver_Q!$B$1:$B$1000,0),MATCH(data!D$1,Haver_Q!$B$1:$BD$1,0)),"na")</f>
        <v>na</v>
      </c>
      <c r="E75" t="str">
        <f>IF(ISNUMBER(INDEX(Haver_Q!$B$1:$BD$1000,MATCH(data!$A75,Haver_Q!$B$1:$B$1000,0),MATCH(data!E$1,Haver_Q!$B$1:$BD$1,0))),100*INDEX(Haver_Q!$B$1:$BD$1000,MATCH(data!$A75,Haver_Q!$B$1:$B$1000,0),MATCH(data!E$1,Haver_Q!$B$1:$BD$1,0)),"na")</f>
        <v>na</v>
      </c>
      <c r="F75" t="str">
        <f>IF(ISNUMBER(INDEX(Haver_Q!$B$1:$BD$1000,MATCH(data!$A75,Haver_Q!$B$1:$B$1000,0),MATCH(data!F$1,Haver_Q!$B$1:$BD$1,0))),100*INDEX(Haver_Q!$B$1:$BD$1000,MATCH(data!$A75,Haver_Q!$B$1:$B$1000,0),MATCH(data!F$1,Haver_Q!$B$1:$BD$1,0)),"na")</f>
        <v>na</v>
      </c>
      <c r="G75" t="str">
        <f>IF(ISNUMBER(INDEX(Haver_Q!$B$1:$BD$1000,MATCH(data!$A75,Haver_Q!$B$1:$B$1000,0),MATCH(data!G$1,Haver_Q!$B$1:$BD$1,0))),100*INDEX(Haver_Q!$B$1:$BD$1000,MATCH(data!$A75,Haver_Q!$B$1:$B$1000,0),MATCH(data!G$1,Haver_Q!$B$1:$BD$1,0)),"na")</f>
        <v>na</v>
      </c>
      <c r="H75" t="str">
        <f>IF(ISNUMBER(INDEX(Haver_Q!$B$1:$BD$1000,MATCH(data!$A75,Haver_Q!$B$1:$B$1000,0),MATCH(data!H$1,Haver_Q!$B$1:$BD$1,0))),100*INDEX(Haver_Q!$B$1:$BD$1000,MATCH(data!$A75,Haver_Q!$B$1:$B$1000,0),MATCH(data!H$1,Haver_Q!$B$1:$BD$1,0)),"na")</f>
        <v>na</v>
      </c>
      <c r="I75" s="3">
        <f>IF(ISNUMBER(Bloomberg_m!C91),Bloomberg_m!C91,"na")</f>
        <v>2444</v>
      </c>
      <c r="J75" s="3" t="str">
        <f>IF(ISNUMBER(Bloomberg_m!D91),Bloomberg_m!D91,"na")</f>
        <v>na</v>
      </c>
      <c r="K75" s="3" t="str">
        <f>IF(ISNUMBER(Bloomberg_m!E91),Bloomberg_m!E91,"na")</f>
        <v>na</v>
      </c>
      <c r="L75" s="3">
        <f>IF(ISNUMBER(Bloomberg_m!L91),Bloomberg_m!L91,"na")</f>
        <v>61.62</v>
      </c>
      <c r="M75" t="str">
        <f>IF(ISNUMBER(INDEX(Haver_M!$B$1:$ZN$1000,MATCH(data!$A75,Haver_M!$B$1:$B$1000,0),MATCH(data!M$1,Haver_M!$B$1:$ZN$1,0))),INDEX(Haver_M!$B$1:$ZN$1000,MATCH(data!$A75,Haver_M!$B$1:$B$1000,0),MATCH(data!M$1,Haver_M!$B$1:$ZN$1,0)),"na")</f>
        <v>na</v>
      </c>
      <c r="N75" t="str">
        <f>IF(ISNUMBER(INDEX(Haver_M!$B$1:$ZN$1000,MATCH(data!$A75,Haver_M!$B$1:$B$1000,0),MATCH(data!N$1,Haver_M!$B$1:$ZN$1,0))),INDEX(Haver_M!$B$1:$ZN$1000,MATCH(data!$A75,Haver_M!$B$1:$B$1000,0),MATCH(data!N$1,Haver_M!$B$1:$ZN$1,0)),"na")</f>
        <v>na</v>
      </c>
      <c r="O75">
        <f>IF(ISNUMBER(INDEX(Haver_M!$B$1:$ZN$1000,MATCH(data!$A75,Haver_M!$B$1:$B$1000,0),MATCH(data!O$1,Haver_M!$B$1:$ZN$1,0))),INDEX(Haver_M!$B$1:$ZN$1000,MATCH(data!$A75,Haver_M!$B$1:$B$1000,0),MATCH(data!O$1,Haver_M!$B$1:$ZN$1,0)),"na")</f>
        <v>116.66338</v>
      </c>
      <c r="P75">
        <f>IF(ISNUMBER(INDEX(Haver_M!$B$1:$ZN$1000,MATCH(data!$A75,Haver_M!$B$1:$B$1000,0),MATCH(data!P$1,Haver_M!$B$1:$ZN$1,0))),INDEX(Haver_M!$B$1:$ZN$1000,MATCH(data!$A75,Haver_M!$B$1:$B$1000,0),MATCH(data!P$1,Haver_M!$B$1:$ZN$1,0)),"na")</f>
        <v>60.404800000000002</v>
      </c>
      <c r="Q75">
        <f>IF(ISNUMBER(INDEX(Haver_M!$B$1:$ZN$1000,MATCH(data!$A75,Haver_M!$B$1:$B$1000,0),MATCH(data!Q$1,Haver_M!$B$1:$ZN$1,0))),INDEX(Haver_M!$B$1:$ZN$1000,MATCH(data!$A75,Haver_M!$B$1:$B$1000,0),MATCH(data!Q$1,Haver_M!$B$1:$ZN$1,0)),"na")</f>
        <v>64.033600000000007</v>
      </c>
      <c r="R75">
        <f>IF(ISNUMBER(INDEX(Haver_M!$B$1:$ZN$1000,MATCH(data!$A75,Haver_M!$B$1:$B$1000,0),MATCH(data!R$1,Haver_M!$B$1:$ZN$1,0))),INDEX(Haver_M!$B$1:$ZN$1000,MATCH(data!$A75,Haver_M!$B$1:$B$1000,0),MATCH(data!R$1,Haver_M!$B$1:$ZN$1,0)),"na")</f>
        <v>96.883099999999999</v>
      </c>
      <c r="S75">
        <f>IF(ISNUMBER(INDEX(Haver_M!$B$1:$ZN$1000,MATCH(data!$A75,Haver_M!$B$1:$B$1000,0),MATCH(data!S$1,Haver_M!$B$1:$ZN$1,0))),INDEX(Haver_M!$B$1:$ZN$1000,MATCH(data!$A75,Haver_M!$B$1:$B$1000,0),MATCH(data!S$1,Haver_M!$B$1:$ZN$1,0)),"na")</f>
        <v>113.6635</v>
      </c>
      <c r="T75">
        <f>IF(ISNUMBER(INDEX(Haver_M!$B$1:$ZN$1000,MATCH(data!$A75,Haver_M!$B$1:$B$1000,0),MATCH(data!T$1,Haver_M!$B$1:$ZN$1,0))),INDEX(Haver_M!$B$1:$ZN$1000,MATCH(data!$A75,Haver_M!$B$1:$B$1000,0),MATCH(data!T$1,Haver_M!$B$1:$ZN$1,0)),"na")</f>
        <v>77.594300000000004</v>
      </c>
      <c r="U75">
        <f>IF(ISNUMBER(INDEX(Haver_M!$B$1:$ZN$1000,MATCH(data!$A75,Haver_M!$B$1:$B$1000,0),MATCH(data!U$1,Haver_M!$B$1:$ZN$1,0))),INDEX(Haver_M!$B$1:$ZN$1000,MATCH(data!$A75,Haver_M!$B$1:$B$1000,0),MATCH(data!U$1,Haver_M!$B$1:$ZN$1,0)),"na")</f>
        <v>89.310100000000006</v>
      </c>
      <c r="V75">
        <f>IF(ISNUMBER(INDEX(Haver_M!$B$1:$ZN$1000,MATCH(data!$A75,Haver_M!$B$1:$B$1000,0),MATCH(data!V$1,Haver_M!$B$1:$ZN$1,0))),INDEX(Haver_M!$B$1:$ZN$1000,MATCH(data!$A75,Haver_M!$B$1:$B$1000,0),MATCH(data!V$1,Haver_M!$B$1:$ZN$1,0)),"na")</f>
        <v>94.892499999999998</v>
      </c>
      <c r="W75">
        <f>IF(ISNUMBER(INDEX(Haver_M!$B$1:$ZN$1000,MATCH(data!$A75,Haver_M!$B$1:$B$1000,0),MATCH(data!W$1,Haver_M!$B$1:$ZN$1,0))),INDEX(Haver_M!$B$1:$ZN$1000,MATCH(data!$A75,Haver_M!$B$1:$B$1000,0),MATCH(data!W$1,Haver_M!$B$1:$ZN$1,0)),"na")</f>
        <v>3.51</v>
      </c>
      <c r="X75" t="str">
        <f>IF(ISNUMBER(INDEX(Haver_M!$B$1:$ZN$1000,MATCH(data!$A75,Haver_M!$B$1:$B$1000,0),MATCH(data!X$1,Haver_M!$B$1:$ZN$1,0))),INDEX(Haver_M!$B$1:$ZN$1000,MATCH(data!$A75,Haver_M!$B$1:$B$1000,0),MATCH(data!X$1,Haver_M!$B$1:$ZN$1,0)),"na")</f>
        <v>na</v>
      </c>
      <c r="Y75">
        <f>IF(ISNUMBER(INDEX(Haver_M!$B$1:$ZN$1000,MATCH(data!$A75,Haver_M!$B$1:$B$1000,0),MATCH(data!Y$1,Haver_M!$B$1:$ZN$1,0))),INDEX(Haver_M!$B$1:$ZN$1000,MATCH(data!$A75,Haver_M!$B$1:$B$1000,0),MATCH(data!Y$1,Haver_M!$B$1:$ZN$1,0)),"na")</f>
        <v>100.89</v>
      </c>
      <c r="Z75">
        <f>IF(ISNUMBER(INDEX(Haver_M!$B$1:$ZN$1000,MATCH(data!$A75,Haver_M!$B$1:$B$1000,0),MATCH(data!Z$1,Haver_M!$B$1:$ZN$1,0))),INDEX(Haver_M!$B$1:$ZN$1000,MATCH(data!$A75,Haver_M!$B$1:$B$1000,0),MATCH(data!Z$1,Haver_M!$B$1:$ZN$1,0)),"na")</f>
        <v>94.619</v>
      </c>
      <c r="AA75" t="str">
        <f>IF(ISNUMBER(INDEX(Haver_M!$B$1:$ZN$1000,MATCH(data!$A75,Haver_M!$B$1:$B$1000,0),MATCH(data!AA$1,Haver_M!$B$1:$ZN$1,0))),INDEX(Haver_M!$B$1:$ZN$1000,MATCH(data!$A75,Haver_M!$B$1:$B$1000,0),MATCH(data!AA$1,Haver_M!$B$1:$ZN$1,0)),"na")</f>
        <v>na</v>
      </c>
      <c r="AB75">
        <f>IF(ISNUMBER(INDEX(Haver_M!$B$1:$ZN$1000,MATCH(data!$A75,Haver_M!$B$1:$B$1000,0),MATCH(data!AB$1,Haver_M!$B$1:$ZN$1,0))),INDEX(Haver_M!$B$1:$ZN$1000,MATCH(data!$A75,Haver_M!$B$1:$B$1000,0),MATCH(data!AB$1,Haver_M!$B$1:$ZN$1,0)),"na")</f>
        <v>20349.3</v>
      </c>
      <c r="AC75">
        <f>IF(ISNUMBER(INDEX(Haver_M!$B$1:$ZN$1000,MATCH(data!$A75,Haver_M!$B$1:$B$1000,0),MATCH(data!AC$1,Haver_M!$B$1:$ZN$1,0))),INDEX(Haver_M!$B$1:$ZN$1000,MATCH(data!$A75,Haver_M!$B$1:$B$1000,0),MATCH(data!AC$1,Haver_M!$B$1:$ZN$1,0)),"na")</f>
        <v>20499.900000000001</v>
      </c>
      <c r="AD75">
        <f>IF(ISNUMBER(INDEX(Haver_M!$B$1:$ZN$1000,MATCH(data!$A75,Haver_M!$B$1:$B$1000,0),MATCH(data!AD$1,Haver_M!$B$1:$ZN$1,0))),INDEX(Haver_M!$B$1:$ZN$1000,MATCH(data!$A75,Haver_M!$B$1:$B$1000,0),MATCH(data!AD$1,Haver_M!$B$1:$ZN$1,0)),"na")</f>
        <v>100.64</v>
      </c>
      <c r="AE75">
        <f>IF(ISNUMBER(INDEX(Haver_M!$B$1:$ZN$1000,MATCH(data!$A75,Haver_M!$B$1:$B$1000,0),MATCH(data!AE$1,Haver_M!$B$1:$ZN$1,0))),INDEX(Haver_M!$B$1:$ZN$1000,MATCH(data!$A75,Haver_M!$B$1:$B$1000,0),MATCH(data!AE$1,Haver_M!$B$1:$ZN$1,0)),"na")</f>
        <v>44.4</v>
      </c>
      <c r="AF75">
        <f>IF(ISNUMBER(INDEX(Haver_M!$B$1:$ZN$1000,MATCH(data!$A75,Haver_M!$B$1:$B$1000,0),MATCH(data!AF$1,Haver_M!$B$1:$ZN$1,0))),INDEX(Haver_M!$B$1:$ZN$1000,MATCH(data!$A75,Haver_M!$B$1:$B$1000,0),MATCH(data!AF$1,Haver_M!$B$1:$ZN$1,0)),"na")</f>
        <v>100.54</v>
      </c>
      <c r="AG75" t="str">
        <f>IF(ISNUMBER(INDEX(Haver_M!$B$1:$ZN$1000,MATCH(data!$A75,Haver_M!$B$1:$B$1000,0),MATCH(data!AG$1,Haver_M!$B$1:$ZN$1,0))),INDEX(Haver_M!$B$1:$ZN$1000,MATCH(data!$A75,Haver_M!$B$1:$B$1000,0),MATCH(data!AG$1,Haver_M!$B$1:$ZN$1,0)),"na")</f>
        <v>na</v>
      </c>
      <c r="AH75" t="str">
        <f>IF(ISNUMBER(INDEX(Haver_M!$B$1:$ZN$1000,MATCH(data!$A75,Haver_M!$B$1:$B$1000,0),MATCH(data!AH$1,Haver_M!$B$1:$ZN$1,0))),INDEX(Haver_M!$B$1:$ZN$1000,MATCH(data!$A75,Haver_M!$B$1:$B$1000,0),MATCH(data!AH$1,Haver_M!$B$1:$ZN$1,0)),"na")</f>
        <v>na</v>
      </c>
      <c r="AI75" t="str">
        <f>IF(ISNUMBER(INDEX(Haver_M!$B$1:$ZN$1000,MATCH(data!$A75,Haver_M!$B$1:$B$1000,0),MATCH(data!AI$1,Haver_M!$B$1:$ZN$1,0))),INDEX(Haver_M!$B$1:$ZN$1000,MATCH(data!$A75,Haver_M!$B$1:$B$1000,0),MATCH(data!AI$1,Haver_M!$B$1:$ZN$1,0)),"na")</f>
        <v>na</v>
      </c>
      <c r="AJ75" t="str">
        <f>IF(ISNUMBER(INDEX(Haver_M!$B$1:$ZN$1000,MATCH(data!$A75,Haver_M!$B$1:$B$1000,0),MATCH(data!AJ$1,Haver_M!$B$1:$ZN$1,0))),INDEX(Haver_M!$B$1:$ZN$1000,MATCH(data!$A75,Haver_M!$B$1:$B$1000,0),MATCH(data!AJ$1,Haver_M!$B$1:$ZN$1,0)),"na")</f>
        <v>na</v>
      </c>
      <c r="AK75" t="str">
        <f>IF(ISNUMBER(INDEX(Haver_M!$B$1:$ZN$1000,MATCH(data!$A75,Haver_M!$B$1:$B$1000,0),MATCH(data!AK$1,Haver_M!$B$1:$ZN$1,0))),INDEX(Haver_M!$B$1:$ZN$1000,MATCH(data!$A75,Haver_M!$B$1:$B$1000,0),MATCH(data!AK$1,Haver_M!$B$1:$ZN$1,0)),"na")</f>
        <v>na</v>
      </c>
      <c r="AL75" t="str">
        <f>IF(ISNUMBER(INDEX(Haver_M!$B$1:$ZN$1000,MATCH(data!$A75,Haver_M!$B$1:$B$1000,0),MATCH(data!AL$1,Haver_M!$B$1:$ZN$1,0))),INDEX(Haver_M!$B$1:$ZN$1000,MATCH(data!$A75,Haver_M!$B$1:$B$1000,0),MATCH(data!AL$1,Haver_M!$B$1:$ZN$1,0)),"na")</f>
        <v>na</v>
      </c>
      <c r="AM75" t="str">
        <f>IF(ISNUMBER(INDEX(Haver_M!$B$1:$ZN$1000,MATCH(data!$A75,Haver_M!$B$1:$B$1000,0),MATCH(data!AM$1,Haver_M!$B$1:$ZN$1,0))),INDEX(Haver_M!$B$1:$ZN$1000,MATCH(data!$A75,Haver_M!$B$1:$B$1000,0),MATCH(data!AM$1,Haver_M!$B$1:$ZN$1,0)),"na")</f>
        <v>na</v>
      </c>
      <c r="AN75" t="str">
        <f>IF(ISNUMBER(INDEX(Haver_M!$B$1:$ZN$1000,MATCH(data!$A75,Haver_M!$B$1:$B$1000,0),MATCH(data!AN$1,Haver_M!$B$1:$ZN$1,0))),INDEX(Haver_M!$B$1:$ZN$1000,MATCH(data!$A75,Haver_M!$B$1:$B$1000,0),MATCH(data!AN$1,Haver_M!$B$1:$ZN$1,0)),"na")</f>
        <v>na</v>
      </c>
      <c r="AO75" t="str">
        <f>IF(ISNUMBER(INDEX(Haver_M!$B$1:$ZN$1000,MATCH(data!$A75,Haver_M!$B$1:$B$1000,0),MATCH(data!AO$1,Haver_M!$B$1:$ZN$1,0))),INDEX(Haver_M!$B$1:$ZN$1000,MATCH(data!$A75,Haver_M!$B$1:$B$1000,0),MATCH(data!AO$1,Haver_M!$B$1:$ZN$1,0)),"na")</f>
        <v>na</v>
      </c>
      <c r="AP75" t="str">
        <f>IF(ISNUMBER(INDEX(Haver_M!$B$1:$ZN$1000,MATCH(data!$A75,Haver_M!$B$1:$B$1000,0),MATCH(data!AP$1,Haver_M!$B$1:$ZN$1,0))),INDEX(Haver_M!$B$1:$ZN$1000,MATCH(data!$A75,Haver_M!$B$1:$B$1000,0),MATCH(data!AP$1,Haver_M!$B$1:$ZN$1,0)),"na")</f>
        <v>na</v>
      </c>
      <c r="AQ75" t="str">
        <f>IF(ISNUMBER(INDEX(Haver_M!$B$1:$ZN$1000,MATCH(data!$A75,Haver_M!$B$1:$B$1000,0),MATCH(data!AQ$1,Haver_M!$B$1:$ZN$1,0))),INDEX(Haver_M!$B$1:$ZN$1000,MATCH(data!$A75,Haver_M!$B$1:$B$1000,0),MATCH(data!AQ$1,Haver_M!$B$1:$ZN$1,0)),"na")</f>
        <v>na</v>
      </c>
      <c r="AR75" t="str">
        <f>IF(ISNUMBER(INDEX(Haver_M!$B$1:$ZN$1000,MATCH(data!$A75,Haver_M!$B$1:$B$1000,0),MATCH(data!AR$1,Haver_M!$B$1:$ZN$1,0))),INDEX(Haver_M!$B$1:$ZN$1000,MATCH(data!$A75,Haver_M!$B$1:$B$1000,0),MATCH(data!AR$1,Haver_M!$B$1:$ZN$1,0)),"na")</f>
        <v>na</v>
      </c>
      <c r="AS75">
        <f>IF(ISNUMBER(INDEX(Haver_M!$B$1:$ZN$1000,MATCH(data!$A75,Haver_M!$B$1:$B$1000,0),MATCH(data!AS$1,Haver_M!$B$1:$ZN$1,0))),INDEX(Haver_M!$B$1:$ZN$1000,MATCH(data!$A75,Haver_M!$B$1:$B$1000,0),MATCH(data!AS$1,Haver_M!$B$1:$ZN$1,0)),"na")</f>
        <v>18633.84</v>
      </c>
      <c r="AT75">
        <f>IF(ISNUMBER(INDEX(Haver_M!$B$1:$ZN$1000,MATCH(data!$A75,Haver_M!$B$1:$B$1000,0),MATCH(data!AT$1,Haver_M!$B$1:$ZN$1,0))),INDEX(Haver_M!$B$1:$ZN$1000,MATCH(data!$A75,Haver_M!$B$1:$B$1000,0),MATCH(data!AT$1,Haver_M!$B$1:$ZN$1,0)),"na")</f>
        <v>91.763999999999996</v>
      </c>
      <c r="AU75">
        <f>IF(ISNUMBER(INDEX(Haver_M!$B$1:$ZN$1000,MATCH(data!$A75,Haver_M!$B$1:$B$1000,0),MATCH(data!AU$1,Haver_M!$B$1:$ZN$1,0))),INDEX(Haver_M!$B$1:$ZN$1000,MATCH(data!$A75,Haver_M!$B$1:$B$1000,0),MATCH(data!AU$1,Haver_M!$B$1:$ZN$1,0)),"na")</f>
        <v>88.309560000000005</v>
      </c>
      <c r="AV75">
        <f>IF(ISNUMBER(INDEX(Haver_M!$B$1:$ZN$1000,MATCH(data!$A75,Haver_M!$B$1:$B$1000,0),MATCH(data!AV$1,Haver_M!$B$1:$ZN$1,0))),INDEX(Haver_M!$B$1:$ZN$1000,MATCH(data!$A75,Haver_M!$B$1:$B$1000,0),MATCH(data!AV$1,Haver_M!$B$1:$ZN$1,0)),"na")</f>
        <v>84.5</v>
      </c>
      <c r="AW75">
        <f>IF(ISNUMBER(INDEX(Haver_M!$B$1:$ZN$1000,MATCH(data!$A75,Haver_M!$B$1:$B$1000,0),MATCH(data!AW$1,Haver_M!$B$1:$ZN$1,0))),INDEX(Haver_M!$B$1:$ZN$1000,MATCH(data!$A75,Haver_M!$B$1:$B$1000,0),MATCH(data!AW$1,Haver_M!$B$1:$ZN$1,0)),"na")</f>
        <v>929656.35448042129</v>
      </c>
      <c r="AX75">
        <f>IF(ISNUMBER(INDEX(Haver_M!$B$1:$ZN$1000,MATCH(data!$A75,Haver_M!$B$1:$B$1000,0),MATCH(data!AX$1,Haver_M!$B$1:$ZN$1,0))),INDEX(Haver_M!$B$1:$ZN$1000,MATCH(data!$A75,Haver_M!$B$1:$B$1000,0),MATCH(data!AX$1,Haver_M!$B$1:$ZN$1,0)),"na")</f>
        <v>3318</v>
      </c>
      <c r="AY75">
        <f>IF(ISNUMBER(INDEX(Haver_M!$B$1:$ZN$1000,MATCH(data!$A75,Haver_M!$B$1:$B$1000,0),MATCH(data!AY$1,Haver_M!$B$1:$ZN$1,0))),INDEX(Haver_M!$B$1:$ZN$1000,MATCH(data!$A75,Haver_M!$B$1:$B$1000,0),MATCH(data!AY$1,Haver_M!$B$1:$ZN$1,0)),"na")</f>
        <v>1968</v>
      </c>
      <c r="AZ75">
        <f>IF(ISNUMBER(INDEX(Haver_M!$B$1:$ZN$1000,MATCH(data!$A75,Haver_M!$B$1:$B$1000,0),MATCH(data!AZ$1,Haver_M!$B$1:$ZN$1,0))),INDEX(Haver_M!$B$1:$ZN$1000,MATCH(data!$A75,Haver_M!$B$1:$B$1000,0),MATCH(data!AZ$1,Haver_M!$B$1:$ZN$1,0)),"na")</f>
        <v>51.9</v>
      </c>
      <c r="BA75">
        <f>IF(ISNUMBER(INDEX(Haver_M!$B$1:$ZN$1000,MATCH(data!$A75,Haver_M!$B$1:$B$1000,0),MATCH(data!BA$1,Haver_M!$B$1:$ZN$1,0))),INDEX(Haver_M!$B$1:$ZN$1000,MATCH(data!$A75,Haver_M!$B$1:$B$1000,0),MATCH(data!BA$1,Haver_M!$B$1:$ZN$1,0)),"na")</f>
        <v>38.884218032984826</v>
      </c>
      <c r="BB75" t="str">
        <f>IF(ISNUMBER(INDEX(Haver_M!$B$1:$ZN$1000,MATCH(data!$A75,Haver_M!$B$1:$B$1000,0),MATCH(data!BB$1,Haver_M!$B$1:$ZN$1,0))),INDEX(Haver_M!$B$1:$ZN$1000,MATCH(data!$A75,Haver_M!$B$1:$B$1000,0),MATCH(data!BB$1,Haver_M!$B$1:$ZN$1,0)),"")</f>
        <v/>
      </c>
    </row>
    <row r="76" spans="1:54" x14ac:dyDescent="0.25">
      <c r="A76" s="2">
        <v>38807</v>
      </c>
      <c r="B76">
        <f>IF(ISNUMBER(INDEX(Haver_Q!$B$1:$BD$1000,MATCH(data!$A76,Haver_Q!$B$1:$B$1000,0),MATCH(data!B$1,Haver_Q!$B$1:$BD$1,0))),100*INDEX(Haver_Q!$B$1:$BD$1000,MATCH(data!$A76,Haver_Q!$B$1:$B$1000,0),MATCH(data!B$1,Haver_Q!$B$1:$BD$1,0)),"na")</f>
        <v>7.1634860903104114</v>
      </c>
      <c r="C76">
        <f>IF(ISNUMBER(INDEX(Haver_Q!$B$1:$BD$1000,MATCH(data!$A76,Haver_Q!$B$1:$B$1000,0),MATCH(data!C$1,Haver_Q!$B$1:$BD$1,0))),100*INDEX(Haver_Q!$B$1:$BD$1000,MATCH(data!$A76,Haver_Q!$B$1:$B$1000,0),MATCH(data!C$1,Haver_Q!$B$1:$BD$1,0)),"na")</f>
        <v>5.5952335693856936</v>
      </c>
      <c r="D76">
        <f>IF(ISNUMBER(INDEX(Haver_Q!$B$1:$BD$1000,MATCH(data!$A76,Haver_Q!$B$1:$B$1000,0),MATCH(data!D$1,Haver_Q!$B$1:$BD$1,0))),100*INDEX(Haver_Q!$B$1:$BD$1000,MATCH(data!$A76,Haver_Q!$B$1:$B$1000,0),MATCH(data!D$1,Haver_Q!$B$1:$BD$1,0)),"na")</f>
        <v>9.3726707437375989</v>
      </c>
      <c r="E76">
        <f>IF(ISNUMBER(INDEX(Haver_Q!$B$1:$BD$1000,MATCH(data!$A76,Haver_Q!$B$1:$B$1000,0),MATCH(data!E$1,Haver_Q!$B$1:$BD$1,0))),100*INDEX(Haver_Q!$B$1:$BD$1000,MATCH(data!$A76,Haver_Q!$B$1:$B$1000,0),MATCH(data!E$1,Haver_Q!$B$1:$BD$1,0)),"na")</f>
        <v>9.9716429046063038</v>
      </c>
      <c r="F76">
        <f>IF(ISNUMBER(INDEX(Haver_Q!$B$1:$BD$1000,MATCH(data!$A76,Haver_Q!$B$1:$B$1000,0),MATCH(data!F$1,Haver_Q!$B$1:$BD$1,0))),100*INDEX(Haver_Q!$B$1:$BD$1000,MATCH(data!$A76,Haver_Q!$B$1:$B$1000,0),MATCH(data!F$1,Haver_Q!$B$1:$BD$1,0)),"na")</f>
        <v>17.05269600875987</v>
      </c>
      <c r="G76">
        <f>IF(ISNUMBER(INDEX(Haver_Q!$B$1:$BD$1000,MATCH(data!$A76,Haver_Q!$B$1:$B$1000,0),MATCH(data!G$1,Haver_Q!$B$1:$BD$1,0))),100*INDEX(Haver_Q!$B$1:$BD$1000,MATCH(data!$A76,Haver_Q!$B$1:$B$1000,0),MATCH(data!G$1,Haver_Q!$B$1:$BD$1,0)),"na")</f>
        <v>9.0366737305643383</v>
      </c>
      <c r="H76">
        <f>IF(ISNUMBER(INDEX(Haver_Q!$B$1:$BD$1000,MATCH(data!$A76,Haver_Q!$B$1:$B$1000,0),MATCH(data!H$1,Haver_Q!$B$1:$BD$1,0))),100*INDEX(Haver_Q!$B$1:$BD$1000,MATCH(data!$A76,Haver_Q!$B$1:$B$1000,0),MATCH(data!H$1,Haver_Q!$B$1:$BD$1,0)),"na")</f>
        <v>633.77963114608815</v>
      </c>
      <c r="I76" s="3">
        <f>IF(ISNUMBER(Bloomberg_m!C92),Bloomberg_m!C92,"na")</f>
        <v>2599</v>
      </c>
      <c r="J76" s="3" t="str">
        <f>IF(ISNUMBER(Bloomberg_m!D92),Bloomberg_m!D92,"na")</f>
        <v>na</v>
      </c>
      <c r="K76" s="3" t="str">
        <f>IF(ISNUMBER(Bloomberg_m!E92),Bloomberg_m!E92,"na")</f>
        <v>na</v>
      </c>
      <c r="L76" s="3">
        <f>IF(ISNUMBER(Bloomberg_m!L92),Bloomberg_m!L92,"na")</f>
        <v>62.89</v>
      </c>
      <c r="M76" t="str">
        <f>IF(ISNUMBER(INDEX(Haver_M!$B$1:$ZN$1000,MATCH(data!$A76,Haver_M!$B$1:$B$1000,0),MATCH(data!M$1,Haver_M!$B$1:$ZN$1,0))),INDEX(Haver_M!$B$1:$ZN$1000,MATCH(data!$A76,Haver_M!$B$1:$B$1000,0),MATCH(data!M$1,Haver_M!$B$1:$ZN$1,0)),"na")</f>
        <v>na</v>
      </c>
      <c r="N76" t="str">
        <f>IF(ISNUMBER(INDEX(Haver_M!$B$1:$ZN$1000,MATCH(data!$A76,Haver_M!$B$1:$B$1000,0),MATCH(data!N$1,Haver_M!$B$1:$ZN$1,0))),INDEX(Haver_M!$B$1:$ZN$1000,MATCH(data!$A76,Haver_M!$B$1:$B$1000,0),MATCH(data!N$1,Haver_M!$B$1:$ZN$1,0)),"na")</f>
        <v>na</v>
      </c>
      <c r="O76">
        <f>IF(ISNUMBER(INDEX(Haver_M!$B$1:$ZN$1000,MATCH(data!$A76,Haver_M!$B$1:$B$1000,0),MATCH(data!O$1,Haver_M!$B$1:$ZN$1,0))),INDEX(Haver_M!$B$1:$ZN$1000,MATCH(data!$A76,Haver_M!$B$1:$B$1000,0),MATCH(data!O$1,Haver_M!$B$1:$ZN$1,0)),"na")</f>
        <v>113.65047</v>
      </c>
      <c r="P76">
        <f>IF(ISNUMBER(INDEX(Haver_M!$B$1:$ZN$1000,MATCH(data!$A76,Haver_M!$B$1:$B$1000,0),MATCH(data!P$1,Haver_M!$B$1:$ZN$1,0))),INDEX(Haver_M!$B$1:$ZN$1000,MATCH(data!$A76,Haver_M!$B$1:$B$1000,0),MATCH(data!P$1,Haver_M!$B$1:$ZN$1,0)),"na")</f>
        <v>60.493400000000001</v>
      </c>
      <c r="Q76">
        <f>IF(ISNUMBER(INDEX(Haver_M!$B$1:$ZN$1000,MATCH(data!$A76,Haver_M!$B$1:$B$1000,0),MATCH(data!Q$1,Haver_M!$B$1:$ZN$1,0))),INDEX(Haver_M!$B$1:$ZN$1000,MATCH(data!$A76,Haver_M!$B$1:$B$1000,0),MATCH(data!Q$1,Haver_M!$B$1:$ZN$1,0)),"na")</f>
        <v>64.282700000000006</v>
      </c>
      <c r="R76">
        <f>IF(ISNUMBER(INDEX(Haver_M!$B$1:$ZN$1000,MATCH(data!$A76,Haver_M!$B$1:$B$1000,0),MATCH(data!R$1,Haver_M!$B$1:$ZN$1,0))),INDEX(Haver_M!$B$1:$ZN$1000,MATCH(data!$A76,Haver_M!$B$1:$B$1000,0),MATCH(data!R$1,Haver_M!$B$1:$ZN$1,0)),"na")</f>
        <v>97.477400000000003</v>
      </c>
      <c r="S76">
        <f>IF(ISNUMBER(INDEX(Haver_M!$B$1:$ZN$1000,MATCH(data!$A76,Haver_M!$B$1:$B$1000,0),MATCH(data!S$1,Haver_M!$B$1:$ZN$1,0))),INDEX(Haver_M!$B$1:$ZN$1000,MATCH(data!$A76,Haver_M!$B$1:$B$1000,0),MATCH(data!S$1,Haver_M!$B$1:$ZN$1,0)),"na")</f>
        <v>114.1144</v>
      </c>
      <c r="T76">
        <f>IF(ISNUMBER(INDEX(Haver_M!$B$1:$ZN$1000,MATCH(data!$A76,Haver_M!$B$1:$B$1000,0),MATCH(data!T$1,Haver_M!$B$1:$ZN$1,0))),INDEX(Haver_M!$B$1:$ZN$1000,MATCH(data!$A76,Haver_M!$B$1:$B$1000,0),MATCH(data!T$1,Haver_M!$B$1:$ZN$1,0)),"na")</f>
        <v>78.394499999999994</v>
      </c>
      <c r="U76">
        <f>IF(ISNUMBER(INDEX(Haver_M!$B$1:$ZN$1000,MATCH(data!$A76,Haver_M!$B$1:$B$1000,0),MATCH(data!U$1,Haver_M!$B$1:$ZN$1,0))),INDEX(Haver_M!$B$1:$ZN$1000,MATCH(data!$A76,Haver_M!$B$1:$B$1000,0),MATCH(data!U$1,Haver_M!$B$1:$ZN$1,0)),"na")</f>
        <v>91.214399999999998</v>
      </c>
      <c r="V76">
        <f>IF(ISNUMBER(INDEX(Haver_M!$B$1:$ZN$1000,MATCH(data!$A76,Haver_M!$B$1:$B$1000,0),MATCH(data!V$1,Haver_M!$B$1:$ZN$1,0))),INDEX(Haver_M!$B$1:$ZN$1000,MATCH(data!$A76,Haver_M!$B$1:$B$1000,0),MATCH(data!V$1,Haver_M!$B$1:$ZN$1,0)),"na")</f>
        <v>94.872</v>
      </c>
      <c r="W76">
        <f>IF(ISNUMBER(INDEX(Haver_M!$B$1:$ZN$1000,MATCH(data!$A76,Haver_M!$B$1:$B$1000,0),MATCH(data!W$1,Haver_M!$B$1:$ZN$1,0))),INDEX(Haver_M!$B$1:$ZN$1000,MATCH(data!$A76,Haver_M!$B$1:$B$1000,0),MATCH(data!W$1,Haver_M!$B$1:$ZN$1,0)),"na")</f>
        <v>3.55</v>
      </c>
      <c r="X76" t="str">
        <f>IF(ISNUMBER(INDEX(Haver_M!$B$1:$ZN$1000,MATCH(data!$A76,Haver_M!$B$1:$B$1000,0),MATCH(data!X$1,Haver_M!$B$1:$ZN$1,0))),INDEX(Haver_M!$B$1:$ZN$1000,MATCH(data!$A76,Haver_M!$B$1:$B$1000,0),MATCH(data!X$1,Haver_M!$B$1:$ZN$1,0)),"na")</f>
        <v>na</v>
      </c>
      <c r="Y76">
        <f>IF(ISNUMBER(INDEX(Haver_M!$B$1:$ZN$1000,MATCH(data!$A76,Haver_M!$B$1:$B$1000,0),MATCH(data!Y$1,Haver_M!$B$1:$ZN$1,0))),INDEX(Haver_M!$B$1:$ZN$1000,MATCH(data!$A76,Haver_M!$B$1:$B$1000,0),MATCH(data!Y$1,Haver_M!$B$1:$ZN$1,0)),"na")</f>
        <v>100.98</v>
      </c>
      <c r="Z76">
        <f>IF(ISNUMBER(INDEX(Haver_M!$B$1:$ZN$1000,MATCH(data!$A76,Haver_M!$B$1:$B$1000,0),MATCH(data!Z$1,Haver_M!$B$1:$ZN$1,0))),INDEX(Haver_M!$B$1:$ZN$1000,MATCH(data!$A76,Haver_M!$B$1:$B$1000,0),MATCH(data!Z$1,Haver_M!$B$1:$ZN$1,0)),"na")</f>
        <v>92.813599999999994</v>
      </c>
      <c r="AA76" t="str">
        <f>IF(ISNUMBER(INDEX(Haver_M!$B$1:$ZN$1000,MATCH(data!$A76,Haver_M!$B$1:$B$1000,0),MATCH(data!AA$1,Haver_M!$B$1:$ZN$1,0))),INDEX(Haver_M!$B$1:$ZN$1000,MATCH(data!$A76,Haver_M!$B$1:$B$1000,0),MATCH(data!AA$1,Haver_M!$B$1:$ZN$1,0)),"na")</f>
        <v>na</v>
      </c>
      <c r="AB76">
        <f>IF(ISNUMBER(INDEX(Haver_M!$B$1:$ZN$1000,MATCH(data!$A76,Haver_M!$B$1:$B$1000,0),MATCH(data!AB$1,Haver_M!$B$1:$ZN$1,0))),INDEX(Haver_M!$B$1:$ZN$1000,MATCH(data!$A76,Haver_M!$B$1:$B$1000,0),MATCH(data!AB$1,Haver_M!$B$1:$ZN$1,0)),"na")</f>
        <v>20243.900000000001</v>
      </c>
      <c r="AC76">
        <f>IF(ISNUMBER(INDEX(Haver_M!$B$1:$ZN$1000,MATCH(data!$A76,Haver_M!$B$1:$B$1000,0),MATCH(data!AC$1,Haver_M!$B$1:$ZN$1,0))),INDEX(Haver_M!$B$1:$ZN$1000,MATCH(data!$A76,Haver_M!$B$1:$B$1000,0),MATCH(data!AC$1,Haver_M!$B$1:$ZN$1,0)),"na")</f>
        <v>20791.099999999999</v>
      </c>
      <c r="AD76">
        <f>IF(ISNUMBER(INDEX(Haver_M!$B$1:$ZN$1000,MATCH(data!$A76,Haver_M!$B$1:$B$1000,0),MATCH(data!AD$1,Haver_M!$B$1:$ZN$1,0))),INDEX(Haver_M!$B$1:$ZN$1000,MATCH(data!$A76,Haver_M!$B$1:$B$1000,0),MATCH(data!AD$1,Haver_M!$B$1:$ZN$1,0)),"na")</f>
        <v>100.71</v>
      </c>
      <c r="AE76">
        <f>IF(ISNUMBER(INDEX(Haver_M!$B$1:$ZN$1000,MATCH(data!$A76,Haver_M!$B$1:$B$1000,0),MATCH(data!AE$1,Haver_M!$B$1:$ZN$1,0))),INDEX(Haver_M!$B$1:$ZN$1000,MATCH(data!$A76,Haver_M!$B$1:$B$1000,0),MATCH(data!AE$1,Haver_M!$B$1:$ZN$1,0)),"na")</f>
        <v>44.9</v>
      </c>
      <c r="AF76">
        <f>IF(ISNUMBER(INDEX(Haver_M!$B$1:$ZN$1000,MATCH(data!$A76,Haver_M!$B$1:$B$1000,0),MATCH(data!AF$1,Haver_M!$B$1:$ZN$1,0))),INDEX(Haver_M!$B$1:$ZN$1000,MATCH(data!$A76,Haver_M!$B$1:$B$1000,0),MATCH(data!AF$1,Haver_M!$B$1:$ZN$1,0)),"na")</f>
        <v>100.62</v>
      </c>
      <c r="AG76" t="str">
        <f>IF(ISNUMBER(INDEX(Haver_M!$B$1:$ZN$1000,MATCH(data!$A76,Haver_M!$B$1:$B$1000,0),MATCH(data!AG$1,Haver_M!$B$1:$ZN$1,0))),INDEX(Haver_M!$B$1:$ZN$1000,MATCH(data!$A76,Haver_M!$B$1:$B$1000,0),MATCH(data!AG$1,Haver_M!$B$1:$ZN$1,0)),"na")</f>
        <v>na</v>
      </c>
      <c r="AH76" t="str">
        <f>IF(ISNUMBER(INDEX(Haver_M!$B$1:$ZN$1000,MATCH(data!$A76,Haver_M!$B$1:$B$1000,0),MATCH(data!AH$1,Haver_M!$B$1:$ZN$1,0))),INDEX(Haver_M!$B$1:$ZN$1000,MATCH(data!$A76,Haver_M!$B$1:$B$1000,0),MATCH(data!AH$1,Haver_M!$B$1:$ZN$1,0)),"na")</f>
        <v>na</v>
      </c>
      <c r="AI76" t="str">
        <f>IF(ISNUMBER(INDEX(Haver_M!$B$1:$ZN$1000,MATCH(data!$A76,Haver_M!$B$1:$B$1000,0),MATCH(data!AI$1,Haver_M!$B$1:$ZN$1,0))),INDEX(Haver_M!$B$1:$ZN$1000,MATCH(data!$A76,Haver_M!$B$1:$B$1000,0),MATCH(data!AI$1,Haver_M!$B$1:$ZN$1,0)),"na")</f>
        <v>na</v>
      </c>
      <c r="AJ76" t="str">
        <f>IF(ISNUMBER(INDEX(Haver_M!$B$1:$ZN$1000,MATCH(data!$A76,Haver_M!$B$1:$B$1000,0),MATCH(data!AJ$1,Haver_M!$B$1:$ZN$1,0))),INDEX(Haver_M!$B$1:$ZN$1000,MATCH(data!$A76,Haver_M!$B$1:$B$1000,0),MATCH(data!AJ$1,Haver_M!$B$1:$ZN$1,0)),"na")</f>
        <v>na</v>
      </c>
      <c r="AK76" t="str">
        <f>IF(ISNUMBER(INDEX(Haver_M!$B$1:$ZN$1000,MATCH(data!$A76,Haver_M!$B$1:$B$1000,0),MATCH(data!AK$1,Haver_M!$B$1:$ZN$1,0))),INDEX(Haver_M!$B$1:$ZN$1000,MATCH(data!$A76,Haver_M!$B$1:$B$1000,0),MATCH(data!AK$1,Haver_M!$B$1:$ZN$1,0)),"na")</f>
        <v>na</v>
      </c>
      <c r="AL76" t="str">
        <f>IF(ISNUMBER(INDEX(Haver_M!$B$1:$ZN$1000,MATCH(data!$A76,Haver_M!$B$1:$B$1000,0),MATCH(data!AL$1,Haver_M!$B$1:$ZN$1,0))),INDEX(Haver_M!$B$1:$ZN$1000,MATCH(data!$A76,Haver_M!$B$1:$B$1000,0),MATCH(data!AL$1,Haver_M!$B$1:$ZN$1,0)),"na")</f>
        <v>na</v>
      </c>
      <c r="AM76" t="str">
        <f>IF(ISNUMBER(INDEX(Haver_M!$B$1:$ZN$1000,MATCH(data!$A76,Haver_M!$B$1:$B$1000,0),MATCH(data!AM$1,Haver_M!$B$1:$ZN$1,0))),INDEX(Haver_M!$B$1:$ZN$1000,MATCH(data!$A76,Haver_M!$B$1:$B$1000,0),MATCH(data!AM$1,Haver_M!$B$1:$ZN$1,0)),"na")</f>
        <v>na</v>
      </c>
      <c r="AN76" t="str">
        <f>IF(ISNUMBER(INDEX(Haver_M!$B$1:$ZN$1000,MATCH(data!$A76,Haver_M!$B$1:$B$1000,0),MATCH(data!AN$1,Haver_M!$B$1:$ZN$1,0))),INDEX(Haver_M!$B$1:$ZN$1000,MATCH(data!$A76,Haver_M!$B$1:$B$1000,0),MATCH(data!AN$1,Haver_M!$B$1:$ZN$1,0)),"na")</f>
        <v>na</v>
      </c>
      <c r="AO76" t="str">
        <f>IF(ISNUMBER(INDEX(Haver_M!$B$1:$ZN$1000,MATCH(data!$A76,Haver_M!$B$1:$B$1000,0),MATCH(data!AO$1,Haver_M!$B$1:$ZN$1,0))),INDEX(Haver_M!$B$1:$ZN$1000,MATCH(data!$A76,Haver_M!$B$1:$B$1000,0),MATCH(data!AO$1,Haver_M!$B$1:$ZN$1,0)),"na")</f>
        <v>na</v>
      </c>
      <c r="AP76" t="str">
        <f>IF(ISNUMBER(INDEX(Haver_M!$B$1:$ZN$1000,MATCH(data!$A76,Haver_M!$B$1:$B$1000,0),MATCH(data!AP$1,Haver_M!$B$1:$ZN$1,0))),INDEX(Haver_M!$B$1:$ZN$1000,MATCH(data!$A76,Haver_M!$B$1:$B$1000,0),MATCH(data!AP$1,Haver_M!$B$1:$ZN$1,0)),"na")</f>
        <v>na</v>
      </c>
      <c r="AQ76" t="str">
        <f>IF(ISNUMBER(INDEX(Haver_M!$B$1:$ZN$1000,MATCH(data!$A76,Haver_M!$B$1:$B$1000,0),MATCH(data!AQ$1,Haver_M!$B$1:$ZN$1,0))),INDEX(Haver_M!$B$1:$ZN$1000,MATCH(data!$A76,Haver_M!$B$1:$B$1000,0),MATCH(data!AQ$1,Haver_M!$B$1:$ZN$1,0)),"na")</f>
        <v>na</v>
      </c>
      <c r="AR76" t="str">
        <f>IF(ISNUMBER(INDEX(Haver_M!$B$1:$ZN$1000,MATCH(data!$A76,Haver_M!$B$1:$B$1000,0),MATCH(data!AR$1,Haver_M!$B$1:$ZN$1,0))),INDEX(Haver_M!$B$1:$ZN$1000,MATCH(data!$A76,Haver_M!$B$1:$B$1000,0),MATCH(data!AR$1,Haver_M!$B$1:$ZN$1,0)),"na")</f>
        <v>na</v>
      </c>
      <c r="AS76">
        <f>IF(ISNUMBER(INDEX(Haver_M!$B$1:$ZN$1000,MATCH(data!$A76,Haver_M!$B$1:$B$1000,0),MATCH(data!AS$1,Haver_M!$B$1:$ZN$1,0))),INDEX(Haver_M!$B$1:$ZN$1000,MATCH(data!$A76,Haver_M!$B$1:$B$1000,0),MATCH(data!AS$1,Haver_M!$B$1:$ZN$1,0)),"na")</f>
        <v>19033.16</v>
      </c>
      <c r="AT76">
        <f>IF(ISNUMBER(INDEX(Haver_M!$B$1:$ZN$1000,MATCH(data!$A76,Haver_M!$B$1:$B$1000,0),MATCH(data!AT$1,Haver_M!$B$1:$ZN$1,0))),INDEX(Haver_M!$B$1:$ZN$1000,MATCH(data!$A76,Haver_M!$B$1:$B$1000,0),MATCH(data!AT$1,Haver_M!$B$1:$ZN$1,0)),"na")</f>
        <v>91.168999999999997</v>
      </c>
      <c r="AU76">
        <f>IF(ISNUMBER(INDEX(Haver_M!$B$1:$ZN$1000,MATCH(data!$A76,Haver_M!$B$1:$B$1000,0),MATCH(data!AU$1,Haver_M!$B$1:$ZN$1,0))),INDEX(Haver_M!$B$1:$ZN$1000,MATCH(data!$A76,Haver_M!$B$1:$B$1000,0),MATCH(data!AU$1,Haver_M!$B$1:$ZN$1,0)),"na")</f>
        <v>88.159581000000003</v>
      </c>
      <c r="AV76">
        <f>IF(ISNUMBER(INDEX(Haver_M!$B$1:$ZN$1000,MATCH(data!$A76,Haver_M!$B$1:$B$1000,0),MATCH(data!AV$1,Haver_M!$B$1:$ZN$1,0))),INDEX(Haver_M!$B$1:$ZN$1000,MATCH(data!$A76,Haver_M!$B$1:$B$1000,0),MATCH(data!AV$1,Haver_M!$B$1:$ZN$1,0)),"na")</f>
        <v>86.6</v>
      </c>
      <c r="AW76">
        <f>IF(ISNUMBER(INDEX(Haver_M!$B$1:$ZN$1000,MATCH(data!$A76,Haver_M!$B$1:$B$1000,0),MATCH(data!AW$1,Haver_M!$B$1:$ZN$1,0))),INDEX(Haver_M!$B$1:$ZN$1000,MATCH(data!$A76,Haver_M!$B$1:$B$1000,0),MATCH(data!AW$1,Haver_M!$B$1:$ZN$1,0)),"na")</f>
        <v>970122.22794774675</v>
      </c>
      <c r="AX76">
        <f>IF(ISNUMBER(INDEX(Haver_M!$B$1:$ZN$1000,MATCH(data!$A76,Haver_M!$B$1:$B$1000,0),MATCH(data!AX$1,Haver_M!$B$1:$ZN$1,0))),INDEX(Haver_M!$B$1:$ZN$1000,MATCH(data!$A76,Haver_M!$B$1:$B$1000,0),MATCH(data!AX$1,Haver_M!$B$1:$ZN$1,0)),"na")</f>
        <v>3365</v>
      </c>
      <c r="AY76">
        <f>IF(ISNUMBER(INDEX(Haver_M!$B$1:$ZN$1000,MATCH(data!$A76,Haver_M!$B$1:$B$1000,0),MATCH(data!AY$1,Haver_M!$B$1:$ZN$1,0))),INDEX(Haver_M!$B$1:$ZN$1000,MATCH(data!$A76,Haver_M!$B$1:$B$1000,0),MATCH(data!AY$1,Haver_M!$B$1:$ZN$1,0)),"na")</f>
        <v>1986</v>
      </c>
      <c r="AZ76">
        <f>IF(ISNUMBER(INDEX(Haver_M!$B$1:$ZN$1000,MATCH(data!$A76,Haver_M!$B$1:$B$1000,0),MATCH(data!AZ$1,Haver_M!$B$1:$ZN$1,0))),INDEX(Haver_M!$B$1:$ZN$1000,MATCH(data!$A76,Haver_M!$B$1:$B$1000,0),MATCH(data!AZ$1,Haver_M!$B$1:$ZN$1,0)),"na")</f>
        <v>53.7</v>
      </c>
      <c r="BA76">
        <f>IF(ISNUMBER(INDEX(Haver_M!$B$1:$ZN$1000,MATCH(data!$A76,Haver_M!$B$1:$B$1000,0),MATCH(data!BA$1,Haver_M!$B$1:$ZN$1,0))),INDEX(Haver_M!$B$1:$ZN$1000,MATCH(data!$A76,Haver_M!$B$1:$B$1000,0),MATCH(data!BA$1,Haver_M!$B$1:$ZN$1,0)),"na")</f>
        <v>87.303406258049606</v>
      </c>
      <c r="BB76" t="str">
        <f>IF(ISNUMBER(INDEX(Haver_M!$B$1:$ZN$1000,MATCH(data!$A76,Haver_M!$B$1:$B$1000,0),MATCH(data!BB$1,Haver_M!$B$1:$ZN$1,0))),INDEX(Haver_M!$B$1:$ZN$1000,MATCH(data!$A76,Haver_M!$B$1:$B$1000,0),MATCH(data!BB$1,Haver_M!$B$1:$ZN$1,0)),"")</f>
        <v/>
      </c>
    </row>
    <row r="77" spans="1:54" x14ac:dyDescent="0.25">
      <c r="A77" s="2">
        <v>38837</v>
      </c>
      <c r="B77" t="str">
        <f>IF(ISNUMBER(INDEX(Haver_Q!$B$1:$BD$1000,MATCH(data!$A77,Haver_Q!$B$1:$B$1000,0),MATCH(data!B$1,Haver_Q!$B$1:$BD$1,0))),100*INDEX(Haver_Q!$B$1:$BD$1000,MATCH(data!$A77,Haver_Q!$B$1:$B$1000,0),MATCH(data!B$1,Haver_Q!$B$1:$BD$1,0)),"na")</f>
        <v>na</v>
      </c>
      <c r="C77" t="str">
        <f>IF(ISNUMBER(INDEX(Haver_Q!$B$1:$BD$1000,MATCH(data!$A77,Haver_Q!$B$1:$B$1000,0),MATCH(data!C$1,Haver_Q!$B$1:$BD$1,0))),100*INDEX(Haver_Q!$B$1:$BD$1000,MATCH(data!$A77,Haver_Q!$B$1:$B$1000,0),MATCH(data!C$1,Haver_Q!$B$1:$BD$1,0)),"na")</f>
        <v>na</v>
      </c>
      <c r="D77" t="str">
        <f>IF(ISNUMBER(INDEX(Haver_Q!$B$1:$BD$1000,MATCH(data!$A77,Haver_Q!$B$1:$B$1000,0),MATCH(data!D$1,Haver_Q!$B$1:$BD$1,0))),100*INDEX(Haver_Q!$B$1:$BD$1000,MATCH(data!$A77,Haver_Q!$B$1:$B$1000,0),MATCH(data!D$1,Haver_Q!$B$1:$BD$1,0)),"na")</f>
        <v>na</v>
      </c>
      <c r="E77" t="str">
        <f>IF(ISNUMBER(INDEX(Haver_Q!$B$1:$BD$1000,MATCH(data!$A77,Haver_Q!$B$1:$B$1000,0),MATCH(data!E$1,Haver_Q!$B$1:$BD$1,0))),100*INDEX(Haver_Q!$B$1:$BD$1000,MATCH(data!$A77,Haver_Q!$B$1:$B$1000,0),MATCH(data!E$1,Haver_Q!$B$1:$BD$1,0)),"na")</f>
        <v>na</v>
      </c>
      <c r="F77" t="str">
        <f>IF(ISNUMBER(INDEX(Haver_Q!$B$1:$BD$1000,MATCH(data!$A77,Haver_Q!$B$1:$B$1000,0),MATCH(data!F$1,Haver_Q!$B$1:$BD$1,0))),100*INDEX(Haver_Q!$B$1:$BD$1000,MATCH(data!$A77,Haver_Q!$B$1:$B$1000,0),MATCH(data!F$1,Haver_Q!$B$1:$BD$1,0)),"na")</f>
        <v>na</v>
      </c>
      <c r="G77" t="str">
        <f>IF(ISNUMBER(INDEX(Haver_Q!$B$1:$BD$1000,MATCH(data!$A77,Haver_Q!$B$1:$B$1000,0),MATCH(data!G$1,Haver_Q!$B$1:$BD$1,0))),100*INDEX(Haver_Q!$B$1:$BD$1000,MATCH(data!$A77,Haver_Q!$B$1:$B$1000,0),MATCH(data!G$1,Haver_Q!$B$1:$BD$1,0)),"na")</f>
        <v>na</v>
      </c>
      <c r="H77" t="str">
        <f>IF(ISNUMBER(INDEX(Haver_Q!$B$1:$BD$1000,MATCH(data!$A77,Haver_Q!$B$1:$B$1000,0),MATCH(data!H$1,Haver_Q!$B$1:$BD$1,0))),100*INDEX(Haver_Q!$B$1:$BD$1000,MATCH(data!$A77,Haver_Q!$B$1:$B$1000,0),MATCH(data!H$1,Haver_Q!$B$1:$BD$1,0)),"na")</f>
        <v>na</v>
      </c>
      <c r="I77" s="3">
        <f>IF(ISNUMBER(Bloomberg_m!C93),Bloomberg_m!C93,"na")</f>
        <v>2465</v>
      </c>
      <c r="J77" s="3" t="str">
        <f>IF(ISNUMBER(Bloomberg_m!D93),Bloomberg_m!D93,"na")</f>
        <v>na</v>
      </c>
      <c r="K77" s="3" t="str">
        <f>IF(ISNUMBER(Bloomberg_m!E93),Bloomberg_m!E93,"na")</f>
        <v>na</v>
      </c>
      <c r="L77" s="3">
        <f>IF(ISNUMBER(Bloomberg_m!L93),Bloomberg_m!L93,"na")</f>
        <v>69.540000000000006</v>
      </c>
      <c r="M77" t="str">
        <f>IF(ISNUMBER(INDEX(Haver_M!$B$1:$ZN$1000,MATCH(data!$A77,Haver_M!$B$1:$B$1000,0),MATCH(data!M$1,Haver_M!$B$1:$ZN$1,0))),INDEX(Haver_M!$B$1:$ZN$1000,MATCH(data!$A77,Haver_M!$B$1:$B$1000,0),MATCH(data!M$1,Haver_M!$B$1:$ZN$1,0)),"na")</f>
        <v>na</v>
      </c>
      <c r="N77" t="str">
        <f>IF(ISNUMBER(INDEX(Haver_M!$B$1:$ZN$1000,MATCH(data!$A77,Haver_M!$B$1:$B$1000,0),MATCH(data!N$1,Haver_M!$B$1:$ZN$1,0))),INDEX(Haver_M!$B$1:$ZN$1000,MATCH(data!$A77,Haver_M!$B$1:$B$1000,0),MATCH(data!N$1,Haver_M!$B$1:$ZN$1,0)),"na")</f>
        <v>na</v>
      </c>
      <c r="O77">
        <f>IF(ISNUMBER(INDEX(Haver_M!$B$1:$ZN$1000,MATCH(data!$A77,Haver_M!$B$1:$B$1000,0),MATCH(data!O$1,Haver_M!$B$1:$ZN$1,0))),INDEX(Haver_M!$B$1:$ZN$1000,MATCH(data!$A77,Haver_M!$B$1:$B$1000,0),MATCH(data!O$1,Haver_M!$B$1:$ZN$1,0)),"na")</f>
        <v>109.68322000000001</v>
      </c>
      <c r="P77">
        <f>IF(ISNUMBER(INDEX(Haver_M!$B$1:$ZN$1000,MATCH(data!$A77,Haver_M!$B$1:$B$1000,0),MATCH(data!P$1,Haver_M!$B$1:$ZN$1,0))),INDEX(Haver_M!$B$1:$ZN$1000,MATCH(data!$A77,Haver_M!$B$1:$B$1000,0),MATCH(data!P$1,Haver_M!$B$1:$ZN$1,0)),"na")</f>
        <v>60.6404</v>
      </c>
      <c r="Q77">
        <f>IF(ISNUMBER(INDEX(Haver_M!$B$1:$ZN$1000,MATCH(data!$A77,Haver_M!$B$1:$B$1000,0),MATCH(data!Q$1,Haver_M!$B$1:$ZN$1,0))),INDEX(Haver_M!$B$1:$ZN$1000,MATCH(data!$A77,Haver_M!$B$1:$B$1000,0),MATCH(data!Q$1,Haver_M!$B$1:$ZN$1,0)),"na")</f>
        <v>64.467299999999994</v>
      </c>
      <c r="R77">
        <f>IF(ISNUMBER(INDEX(Haver_M!$B$1:$ZN$1000,MATCH(data!$A77,Haver_M!$B$1:$B$1000,0),MATCH(data!R$1,Haver_M!$B$1:$ZN$1,0))),INDEX(Haver_M!$B$1:$ZN$1000,MATCH(data!$A77,Haver_M!$B$1:$B$1000,0),MATCH(data!R$1,Haver_M!$B$1:$ZN$1,0)),"na")</f>
        <v>97.759600000000006</v>
      </c>
      <c r="S77">
        <f>IF(ISNUMBER(INDEX(Haver_M!$B$1:$ZN$1000,MATCH(data!$A77,Haver_M!$B$1:$B$1000,0),MATCH(data!S$1,Haver_M!$B$1:$ZN$1,0))),INDEX(Haver_M!$B$1:$ZN$1000,MATCH(data!$A77,Haver_M!$B$1:$B$1000,0),MATCH(data!S$1,Haver_M!$B$1:$ZN$1,0)),"na")</f>
        <v>113.8942</v>
      </c>
      <c r="T77">
        <f>IF(ISNUMBER(INDEX(Haver_M!$B$1:$ZN$1000,MATCH(data!$A77,Haver_M!$B$1:$B$1000,0),MATCH(data!T$1,Haver_M!$B$1:$ZN$1,0))),INDEX(Haver_M!$B$1:$ZN$1000,MATCH(data!$A77,Haver_M!$B$1:$B$1000,0),MATCH(data!T$1,Haver_M!$B$1:$ZN$1,0)),"na")</f>
        <v>79.377099999999999</v>
      </c>
      <c r="U77">
        <f>IF(ISNUMBER(INDEX(Haver_M!$B$1:$ZN$1000,MATCH(data!$A77,Haver_M!$B$1:$B$1000,0),MATCH(data!U$1,Haver_M!$B$1:$ZN$1,0))),INDEX(Haver_M!$B$1:$ZN$1000,MATCH(data!$A77,Haver_M!$B$1:$B$1000,0),MATCH(data!U$1,Haver_M!$B$1:$ZN$1,0)),"na")</f>
        <v>92.053799999999995</v>
      </c>
      <c r="V77">
        <f>IF(ISNUMBER(INDEX(Haver_M!$B$1:$ZN$1000,MATCH(data!$A77,Haver_M!$B$1:$B$1000,0),MATCH(data!V$1,Haver_M!$B$1:$ZN$1,0))),INDEX(Haver_M!$B$1:$ZN$1000,MATCH(data!$A77,Haver_M!$B$1:$B$1000,0),MATCH(data!V$1,Haver_M!$B$1:$ZN$1,0)),"na")</f>
        <v>95.262</v>
      </c>
      <c r="W77">
        <f>IF(ISNUMBER(INDEX(Haver_M!$B$1:$ZN$1000,MATCH(data!$A77,Haver_M!$B$1:$B$1000,0),MATCH(data!W$1,Haver_M!$B$1:$ZN$1,0))),INDEX(Haver_M!$B$1:$ZN$1000,MATCH(data!$A77,Haver_M!$B$1:$B$1000,0),MATCH(data!W$1,Haver_M!$B$1:$ZN$1,0)),"na")</f>
        <v>3.4</v>
      </c>
      <c r="X77" t="str">
        <f>IF(ISNUMBER(INDEX(Haver_M!$B$1:$ZN$1000,MATCH(data!$A77,Haver_M!$B$1:$B$1000,0),MATCH(data!X$1,Haver_M!$B$1:$ZN$1,0))),INDEX(Haver_M!$B$1:$ZN$1000,MATCH(data!$A77,Haver_M!$B$1:$B$1000,0),MATCH(data!X$1,Haver_M!$B$1:$ZN$1,0)),"na")</f>
        <v>na</v>
      </c>
      <c r="Y77">
        <f>IF(ISNUMBER(INDEX(Haver_M!$B$1:$ZN$1000,MATCH(data!$A77,Haver_M!$B$1:$B$1000,0),MATCH(data!Y$1,Haver_M!$B$1:$ZN$1,0))),INDEX(Haver_M!$B$1:$ZN$1000,MATCH(data!$A77,Haver_M!$B$1:$B$1000,0),MATCH(data!Y$1,Haver_M!$B$1:$ZN$1,0)),"na")</f>
        <v>101.04</v>
      </c>
      <c r="Z77">
        <f>IF(ISNUMBER(INDEX(Haver_M!$B$1:$ZN$1000,MATCH(data!$A77,Haver_M!$B$1:$B$1000,0),MATCH(data!Z$1,Haver_M!$B$1:$ZN$1,0))),INDEX(Haver_M!$B$1:$ZN$1000,MATCH(data!$A77,Haver_M!$B$1:$B$1000,0),MATCH(data!Z$1,Haver_M!$B$1:$ZN$1,0)),"na")</f>
        <v>94.701099999999997</v>
      </c>
      <c r="AA77" t="str">
        <f>IF(ISNUMBER(INDEX(Haver_M!$B$1:$ZN$1000,MATCH(data!$A77,Haver_M!$B$1:$B$1000,0),MATCH(data!AA$1,Haver_M!$B$1:$ZN$1,0))),INDEX(Haver_M!$B$1:$ZN$1000,MATCH(data!$A77,Haver_M!$B$1:$B$1000,0),MATCH(data!AA$1,Haver_M!$B$1:$ZN$1,0)),"na")</f>
        <v>na</v>
      </c>
      <c r="AB77">
        <f>IF(ISNUMBER(INDEX(Haver_M!$B$1:$ZN$1000,MATCH(data!$A77,Haver_M!$B$1:$B$1000,0),MATCH(data!AB$1,Haver_M!$B$1:$ZN$1,0))),INDEX(Haver_M!$B$1:$ZN$1000,MATCH(data!$A77,Haver_M!$B$1:$B$1000,0),MATCH(data!AB$1,Haver_M!$B$1:$ZN$1,0)),"na")</f>
        <v>20783.900000000001</v>
      </c>
      <c r="AC77">
        <f>IF(ISNUMBER(INDEX(Haver_M!$B$1:$ZN$1000,MATCH(data!$A77,Haver_M!$B$1:$B$1000,0),MATCH(data!AC$1,Haver_M!$B$1:$ZN$1,0))),INDEX(Haver_M!$B$1:$ZN$1000,MATCH(data!$A77,Haver_M!$B$1:$B$1000,0),MATCH(data!AC$1,Haver_M!$B$1:$ZN$1,0)),"na")</f>
        <v>21081</v>
      </c>
      <c r="AD77">
        <f>IF(ISNUMBER(INDEX(Haver_M!$B$1:$ZN$1000,MATCH(data!$A77,Haver_M!$B$1:$B$1000,0),MATCH(data!AD$1,Haver_M!$B$1:$ZN$1,0))),INDEX(Haver_M!$B$1:$ZN$1000,MATCH(data!$A77,Haver_M!$B$1:$B$1000,0),MATCH(data!AD$1,Haver_M!$B$1:$ZN$1,0)),"na")</f>
        <v>100.77</v>
      </c>
      <c r="AE77">
        <f>IF(ISNUMBER(INDEX(Haver_M!$B$1:$ZN$1000,MATCH(data!$A77,Haver_M!$B$1:$B$1000,0),MATCH(data!AE$1,Haver_M!$B$1:$ZN$1,0))),INDEX(Haver_M!$B$1:$ZN$1000,MATCH(data!$A77,Haver_M!$B$1:$B$1000,0),MATCH(data!AE$1,Haver_M!$B$1:$ZN$1,0)),"na")</f>
        <v>44.7</v>
      </c>
      <c r="AF77">
        <f>IF(ISNUMBER(INDEX(Haver_M!$B$1:$ZN$1000,MATCH(data!$A77,Haver_M!$B$1:$B$1000,0),MATCH(data!AF$1,Haver_M!$B$1:$ZN$1,0))),INDEX(Haver_M!$B$1:$ZN$1000,MATCH(data!$A77,Haver_M!$B$1:$B$1000,0),MATCH(data!AF$1,Haver_M!$B$1:$ZN$1,0)),"na")</f>
        <v>100.7</v>
      </c>
      <c r="AG77" t="str">
        <f>IF(ISNUMBER(INDEX(Haver_M!$B$1:$ZN$1000,MATCH(data!$A77,Haver_M!$B$1:$B$1000,0),MATCH(data!AG$1,Haver_M!$B$1:$ZN$1,0))),INDEX(Haver_M!$B$1:$ZN$1000,MATCH(data!$A77,Haver_M!$B$1:$B$1000,0),MATCH(data!AG$1,Haver_M!$B$1:$ZN$1,0)),"na")</f>
        <v>na</v>
      </c>
      <c r="AH77" t="str">
        <f>IF(ISNUMBER(INDEX(Haver_M!$B$1:$ZN$1000,MATCH(data!$A77,Haver_M!$B$1:$B$1000,0),MATCH(data!AH$1,Haver_M!$B$1:$ZN$1,0))),INDEX(Haver_M!$B$1:$ZN$1000,MATCH(data!$A77,Haver_M!$B$1:$B$1000,0),MATCH(data!AH$1,Haver_M!$B$1:$ZN$1,0)),"na")</f>
        <v>na</v>
      </c>
      <c r="AI77" t="str">
        <f>IF(ISNUMBER(INDEX(Haver_M!$B$1:$ZN$1000,MATCH(data!$A77,Haver_M!$B$1:$B$1000,0),MATCH(data!AI$1,Haver_M!$B$1:$ZN$1,0))),INDEX(Haver_M!$B$1:$ZN$1000,MATCH(data!$A77,Haver_M!$B$1:$B$1000,0),MATCH(data!AI$1,Haver_M!$B$1:$ZN$1,0)),"na")</f>
        <v>na</v>
      </c>
      <c r="AJ77" t="str">
        <f>IF(ISNUMBER(INDEX(Haver_M!$B$1:$ZN$1000,MATCH(data!$A77,Haver_M!$B$1:$B$1000,0),MATCH(data!AJ$1,Haver_M!$B$1:$ZN$1,0))),INDEX(Haver_M!$B$1:$ZN$1000,MATCH(data!$A77,Haver_M!$B$1:$B$1000,0),MATCH(data!AJ$1,Haver_M!$B$1:$ZN$1,0)),"na")</f>
        <v>na</v>
      </c>
      <c r="AK77" t="str">
        <f>IF(ISNUMBER(INDEX(Haver_M!$B$1:$ZN$1000,MATCH(data!$A77,Haver_M!$B$1:$B$1000,0),MATCH(data!AK$1,Haver_M!$B$1:$ZN$1,0))),INDEX(Haver_M!$B$1:$ZN$1000,MATCH(data!$A77,Haver_M!$B$1:$B$1000,0),MATCH(data!AK$1,Haver_M!$B$1:$ZN$1,0)),"na")</f>
        <v>na</v>
      </c>
      <c r="AL77" t="str">
        <f>IF(ISNUMBER(INDEX(Haver_M!$B$1:$ZN$1000,MATCH(data!$A77,Haver_M!$B$1:$B$1000,0),MATCH(data!AL$1,Haver_M!$B$1:$ZN$1,0))),INDEX(Haver_M!$B$1:$ZN$1000,MATCH(data!$A77,Haver_M!$B$1:$B$1000,0),MATCH(data!AL$1,Haver_M!$B$1:$ZN$1,0)),"na")</f>
        <v>na</v>
      </c>
      <c r="AM77" t="str">
        <f>IF(ISNUMBER(INDEX(Haver_M!$B$1:$ZN$1000,MATCH(data!$A77,Haver_M!$B$1:$B$1000,0),MATCH(data!AM$1,Haver_M!$B$1:$ZN$1,0))),INDEX(Haver_M!$B$1:$ZN$1000,MATCH(data!$A77,Haver_M!$B$1:$B$1000,0),MATCH(data!AM$1,Haver_M!$B$1:$ZN$1,0)),"na")</f>
        <v>na</v>
      </c>
      <c r="AN77" t="str">
        <f>IF(ISNUMBER(INDEX(Haver_M!$B$1:$ZN$1000,MATCH(data!$A77,Haver_M!$B$1:$B$1000,0),MATCH(data!AN$1,Haver_M!$B$1:$ZN$1,0))),INDEX(Haver_M!$B$1:$ZN$1000,MATCH(data!$A77,Haver_M!$B$1:$B$1000,0),MATCH(data!AN$1,Haver_M!$B$1:$ZN$1,0)),"na")</f>
        <v>na</v>
      </c>
      <c r="AO77" t="str">
        <f>IF(ISNUMBER(INDEX(Haver_M!$B$1:$ZN$1000,MATCH(data!$A77,Haver_M!$B$1:$B$1000,0),MATCH(data!AO$1,Haver_M!$B$1:$ZN$1,0))),INDEX(Haver_M!$B$1:$ZN$1000,MATCH(data!$A77,Haver_M!$B$1:$B$1000,0),MATCH(data!AO$1,Haver_M!$B$1:$ZN$1,0)),"na")</f>
        <v>na</v>
      </c>
      <c r="AP77" t="str">
        <f>IF(ISNUMBER(INDEX(Haver_M!$B$1:$ZN$1000,MATCH(data!$A77,Haver_M!$B$1:$B$1000,0),MATCH(data!AP$1,Haver_M!$B$1:$ZN$1,0))),INDEX(Haver_M!$B$1:$ZN$1000,MATCH(data!$A77,Haver_M!$B$1:$B$1000,0),MATCH(data!AP$1,Haver_M!$B$1:$ZN$1,0)),"na")</f>
        <v>na</v>
      </c>
      <c r="AQ77" t="str">
        <f>IF(ISNUMBER(INDEX(Haver_M!$B$1:$ZN$1000,MATCH(data!$A77,Haver_M!$B$1:$B$1000,0),MATCH(data!AQ$1,Haver_M!$B$1:$ZN$1,0))),INDEX(Haver_M!$B$1:$ZN$1000,MATCH(data!$A77,Haver_M!$B$1:$B$1000,0),MATCH(data!AQ$1,Haver_M!$B$1:$ZN$1,0)),"na")</f>
        <v>na</v>
      </c>
      <c r="AR77" t="str">
        <f>IF(ISNUMBER(INDEX(Haver_M!$B$1:$ZN$1000,MATCH(data!$A77,Haver_M!$B$1:$B$1000,0),MATCH(data!AR$1,Haver_M!$B$1:$ZN$1,0))),INDEX(Haver_M!$B$1:$ZN$1000,MATCH(data!$A77,Haver_M!$B$1:$B$1000,0),MATCH(data!AR$1,Haver_M!$B$1:$ZN$1,0)),"na")</f>
        <v>na</v>
      </c>
      <c r="AS77">
        <f>IF(ISNUMBER(INDEX(Haver_M!$B$1:$ZN$1000,MATCH(data!$A77,Haver_M!$B$1:$B$1000,0),MATCH(data!AS$1,Haver_M!$B$1:$ZN$1,0))),INDEX(Haver_M!$B$1:$ZN$1000,MATCH(data!$A77,Haver_M!$B$1:$B$1000,0),MATCH(data!AS$1,Haver_M!$B$1:$ZN$1,0)),"na")</f>
        <v>19928.32</v>
      </c>
      <c r="AT77">
        <f>IF(ISNUMBER(INDEX(Haver_M!$B$1:$ZN$1000,MATCH(data!$A77,Haver_M!$B$1:$B$1000,0),MATCH(data!AT$1,Haver_M!$B$1:$ZN$1,0))),INDEX(Haver_M!$B$1:$ZN$1000,MATCH(data!$A77,Haver_M!$B$1:$B$1000,0),MATCH(data!AT$1,Haver_M!$B$1:$ZN$1,0)),"na")</f>
        <v>92.51</v>
      </c>
      <c r="AU77">
        <f>IF(ISNUMBER(INDEX(Haver_M!$B$1:$ZN$1000,MATCH(data!$A77,Haver_M!$B$1:$B$1000,0),MATCH(data!AU$1,Haver_M!$B$1:$ZN$1,0))),INDEX(Haver_M!$B$1:$ZN$1000,MATCH(data!$A77,Haver_M!$B$1:$B$1000,0),MATCH(data!AU$1,Haver_M!$B$1:$ZN$1,0)),"na")</f>
        <v>88.866195000000005</v>
      </c>
      <c r="AV77">
        <f>IF(ISNUMBER(INDEX(Haver_M!$B$1:$ZN$1000,MATCH(data!$A77,Haver_M!$B$1:$B$1000,0),MATCH(data!AV$1,Haver_M!$B$1:$ZN$1,0))),INDEX(Haver_M!$B$1:$ZN$1000,MATCH(data!$A77,Haver_M!$B$1:$B$1000,0),MATCH(data!AV$1,Haver_M!$B$1:$ZN$1,0)),"na")</f>
        <v>87.2</v>
      </c>
      <c r="AW77">
        <f>IF(ISNUMBER(INDEX(Haver_M!$B$1:$ZN$1000,MATCH(data!$A77,Haver_M!$B$1:$B$1000,0),MATCH(data!AW$1,Haver_M!$B$1:$ZN$1,0))),INDEX(Haver_M!$B$1:$ZN$1000,MATCH(data!$A77,Haver_M!$B$1:$B$1000,0),MATCH(data!AW$1,Haver_M!$B$1:$ZN$1,0)),"na")</f>
        <v>1038969.0037591236</v>
      </c>
      <c r="AX77">
        <f>IF(ISNUMBER(INDEX(Haver_M!$B$1:$ZN$1000,MATCH(data!$A77,Haver_M!$B$1:$B$1000,0),MATCH(data!AX$1,Haver_M!$B$1:$ZN$1,0))),INDEX(Haver_M!$B$1:$ZN$1000,MATCH(data!$A77,Haver_M!$B$1:$B$1000,0),MATCH(data!AX$1,Haver_M!$B$1:$ZN$1,0)),"na")</f>
        <v>3333</v>
      </c>
      <c r="AY77">
        <f>IF(ISNUMBER(INDEX(Haver_M!$B$1:$ZN$1000,MATCH(data!$A77,Haver_M!$B$1:$B$1000,0),MATCH(data!AY$1,Haver_M!$B$1:$ZN$1,0))),INDEX(Haver_M!$B$1:$ZN$1000,MATCH(data!$A77,Haver_M!$B$1:$B$1000,0),MATCH(data!AY$1,Haver_M!$B$1:$ZN$1,0)),"na")</f>
        <v>1833</v>
      </c>
      <c r="AZ77">
        <f>IF(ISNUMBER(INDEX(Haver_M!$B$1:$ZN$1000,MATCH(data!$A77,Haver_M!$B$1:$B$1000,0),MATCH(data!AZ$1,Haver_M!$B$1:$ZN$1,0))),INDEX(Haver_M!$B$1:$ZN$1000,MATCH(data!$A77,Haver_M!$B$1:$B$1000,0),MATCH(data!AZ$1,Haver_M!$B$1:$ZN$1,0)),"na")</f>
        <v>54.3</v>
      </c>
      <c r="BA77">
        <f>IF(ISNUMBER(INDEX(Haver_M!$B$1:$ZN$1000,MATCH(data!$A77,Haver_M!$B$1:$B$1000,0),MATCH(data!BA$1,Haver_M!$B$1:$ZN$1,0))),INDEX(Haver_M!$B$1:$ZN$1000,MATCH(data!$A77,Haver_M!$B$1:$B$1000,0),MATCH(data!BA$1,Haver_M!$B$1:$ZN$1,0)),"na")</f>
        <v>69.277971377336982</v>
      </c>
      <c r="BB77" t="str">
        <f>IF(ISNUMBER(INDEX(Haver_M!$B$1:$ZN$1000,MATCH(data!$A77,Haver_M!$B$1:$B$1000,0),MATCH(data!BB$1,Haver_M!$B$1:$ZN$1,0))),INDEX(Haver_M!$B$1:$ZN$1000,MATCH(data!$A77,Haver_M!$B$1:$B$1000,0),MATCH(data!BB$1,Haver_M!$B$1:$ZN$1,0)),"")</f>
        <v/>
      </c>
    </row>
    <row r="78" spans="1:54" x14ac:dyDescent="0.25">
      <c r="A78" s="2">
        <v>38868</v>
      </c>
      <c r="B78" t="str">
        <f>IF(ISNUMBER(INDEX(Haver_Q!$B$1:$BD$1000,MATCH(data!$A78,Haver_Q!$B$1:$B$1000,0),MATCH(data!B$1,Haver_Q!$B$1:$BD$1,0))),100*INDEX(Haver_Q!$B$1:$BD$1000,MATCH(data!$A78,Haver_Q!$B$1:$B$1000,0),MATCH(data!B$1,Haver_Q!$B$1:$BD$1,0)),"na")</f>
        <v>na</v>
      </c>
      <c r="C78" t="str">
        <f>IF(ISNUMBER(INDEX(Haver_Q!$B$1:$BD$1000,MATCH(data!$A78,Haver_Q!$B$1:$B$1000,0),MATCH(data!C$1,Haver_Q!$B$1:$BD$1,0))),100*INDEX(Haver_Q!$B$1:$BD$1000,MATCH(data!$A78,Haver_Q!$B$1:$B$1000,0),MATCH(data!C$1,Haver_Q!$B$1:$BD$1,0)),"na")</f>
        <v>na</v>
      </c>
      <c r="D78" t="str">
        <f>IF(ISNUMBER(INDEX(Haver_Q!$B$1:$BD$1000,MATCH(data!$A78,Haver_Q!$B$1:$B$1000,0),MATCH(data!D$1,Haver_Q!$B$1:$BD$1,0))),100*INDEX(Haver_Q!$B$1:$BD$1000,MATCH(data!$A78,Haver_Q!$B$1:$B$1000,0),MATCH(data!D$1,Haver_Q!$B$1:$BD$1,0)),"na")</f>
        <v>na</v>
      </c>
      <c r="E78" t="str">
        <f>IF(ISNUMBER(INDEX(Haver_Q!$B$1:$BD$1000,MATCH(data!$A78,Haver_Q!$B$1:$B$1000,0),MATCH(data!E$1,Haver_Q!$B$1:$BD$1,0))),100*INDEX(Haver_Q!$B$1:$BD$1000,MATCH(data!$A78,Haver_Q!$B$1:$B$1000,0),MATCH(data!E$1,Haver_Q!$B$1:$BD$1,0)),"na")</f>
        <v>na</v>
      </c>
      <c r="F78" t="str">
        <f>IF(ISNUMBER(INDEX(Haver_Q!$B$1:$BD$1000,MATCH(data!$A78,Haver_Q!$B$1:$B$1000,0),MATCH(data!F$1,Haver_Q!$B$1:$BD$1,0))),100*INDEX(Haver_Q!$B$1:$BD$1000,MATCH(data!$A78,Haver_Q!$B$1:$B$1000,0),MATCH(data!F$1,Haver_Q!$B$1:$BD$1,0)),"na")</f>
        <v>na</v>
      </c>
      <c r="G78" t="str">
        <f>IF(ISNUMBER(INDEX(Haver_Q!$B$1:$BD$1000,MATCH(data!$A78,Haver_Q!$B$1:$B$1000,0),MATCH(data!G$1,Haver_Q!$B$1:$BD$1,0))),100*INDEX(Haver_Q!$B$1:$BD$1000,MATCH(data!$A78,Haver_Q!$B$1:$B$1000,0),MATCH(data!G$1,Haver_Q!$B$1:$BD$1,0)),"na")</f>
        <v>na</v>
      </c>
      <c r="H78" t="str">
        <f>IF(ISNUMBER(INDEX(Haver_Q!$B$1:$BD$1000,MATCH(data!$A78,Haver_Q!$B$1:$B$1000,0),MATCH(data!H$1,Haver_Q!$B$1:$BD$1,0))),100*INDEX(Haver_Q!$B$1:$BD$1000,MATCH(data!$A78,Haver_Q!$B$1:$B$1000,0),MATCH(data!H$1,Haver_Q!$B$1:$BD$1,0)),"na")</f>
        <v>na</v>
      </c>
      <c r="I78" s="3">
        <f>IF(ISNUMBER(Bloomberg_m!C94),Bloomberg_m!C94,"na")</f>
        <v>2442</v>
      </c>
      <c r="J78" s="3" t="str">
        <f>IF(ISNUMBER(Bloomberg_m!D94),Bloomberg_m!D94,"na")</f>
        <v>na</v>
      </c>
      <c r="K78" s="3" t="str">
        <f>IF(ISNUMBER(Bloomberg_m!E94),Bloomberg_m!E94,"na")</f>
        <v>na</v>
      </c>
      <c r="L78" s="3">
        <f>IF(ISNUMBER(Bloomberg_m!L94),Bloomberg_m!L94,"na")</f>
        <v>70.930000000000007</v>
      </c>
      <c r="M78" t="str">
        <f>IF(ISNUMBER(INDEX(Haver_M!$B$1:$ZN$1000,MATCH(data!$A78,Haver_M!$B$1:$B$1000,0),MATCH(data!M$1,Haver_M!$B$1:$ZN$1,0))),INDEX(Haver_M!$B$1:$ZN$1000,MATCH(data!$A78,Haver_M!$B$1:$B$1000,0),MATCH(data!M$1,Haver_M!$B$1:$ZN$1,0)),"na")</f>
        <v>na</v>
      </c>
      <c r="N78" t="str">
        <f>IF(ISNUMBER(INDEX(Haver_M!$B$1:$ZN$1000,MATCH(data!$A78,Haver_M!$B$1:$B$1000,0),MATCH(data!N$1,Haver_M!$B$1:$ZN$1,0))),INDEX(Haver_M!$B$1:$ZN$1000,MATCH(data!$A78,Haver_M!$B$1:$B$1000,0),MATCH(data!N$1,Haver_M!$B$1:$ZN$1,0)),"na")</f>
        <v>na</v>
      </c>
      <c r="O78">
        <f>IF(ISNUMBER(INDEX(Haver_M!$B$1:$ZN$1000,MATCH(data!$A78,Haver_M!$B$1:$B$1000,0),MATCH(data!O$1,Haver_M!$B$1:$ZN$1,0))),INDEX(Haver_M!$B$1:$ZN$1000,MATCH(data!$A78,Haver_M!$B$1:$B$1000,0),MATCH(data!O$1,Haver_M!$B$1:$ZN$1,0)),"na")</f>
        <v>107.48316</v>
      </c>
      <c r="P78">
        <f>IF(ISNUMBER(INDEX(Haver_M!$B$1:$ZN$1000,MATCH(data!$A78,Haver_M!$B$1:$B$1000,0),MATCH(data!P$1,Haver_M!$B$1:$ZN$1,0))),INDEX(Haver_M!$B$1:$ZN$1000,MATCH(data!$A78,Haver_M!$B$1:$B$1000,0),MATCH(data!P$1,Haver_M!$B$1:$ZN$1,0)),"na")</f>
        <v>60.798900000000003</v>
      </c>
      <c r="Q78">
        <f>IF(ISNUMBER(INDEX(Haver_M!$B$1:$ZN$1000,MATCH(data!$A78,Haver_M!$B$1:$B$1000,0),MATCH(data!Q$1,Haver_M!$B$1:$ZN$1,0))),INDEX(Haver_M!$B$1:$ZN$1000,MATCH(data!$A78,Haver_M!$B$1:$B$1000,0),MATCH(data!Q$1,Haver_M!$B$1:$ZN$1,0)),"na")</f>
        <v>64.643699999999995</v>
      </c>
      <c r="R78">
        <f>IF(ISNUMBER(INDEX(Haver_M!$B$1:$ZN$1000,MATCH(data!$A78,Haver_M!$B$1:$B$1000,0),MATCH(data!R$1,Haver_M!$B$1:$ZN$1,0))),INDEX(Haver_M!$B$1:$ZN$1000,MATCH(data!$A78,Haver_M!$B$1:$B$1000,0),MATCH(data!R$1,Haver_M!$B$1:$ZN$1,0)),"na")</f>
        <v>98.686899999999994</v>
      </c>
      <c r="S78">
        <f>IF(ISNUMBER(INDEX(Haver_M!$B$1:$ZN$1000,MATCH(data!$A78,Haver_M!$B$1:$B$1000,0),MATCH(data!S$1,Haver_M!$B$1:$ZN$1,0))),INDEX(Haver_M!$B$1:$ZN$1000,MATCH(data!$A78,Haver_M!$B$1:$B$1000,0),MATCH(data!S$1,Haver_M!$B$1:$ZN$1,0)),"na")</f>
        <v>112.8434</v>
      </c>
      <c r="T78">
        <f>IF(ISNUMBER(INDEX(Haver_M!$B$1:$ZN$1000,MATCH(data!$A78,Haver_M!$B$1:$B$1000,0),MATCH(data!T$1,Haver_M!$B$1:$ZN$1,0))),INDEX(Haver_M!$B$1:$ZN$1000,MATCH(data!$A78,Haver_M!$B$1:$B$1000,0),MATCH(data!T$1,Haver_M!$B$1:$ZN$1,0)),"na")</f>
        <v>80.535200000000003</v>
      </c>
      <c r="U78">
        <f>IF(ISNUMBER(INDEX(Haver_M!$B$1:$ZN$1000,MATCH(data!$A78,Haver_M!$B$1:$B$1000,0),MATCH(data!U$1,Haver_M!$B$1:$ZN$1,0))),INDEX(Haver_M!$B$1:$ZN$1000,MATCH(data!$A78,Haver_M!$B$1:$B$1000,0),MATCH(data!U$1,Haver_M!$B$1:$ZN$1,0)),"na")</f>
        <v>92.811999999999998</v>
      </c>
      <c r="V78">
        <f>IF(ISNUMBER(INDEX(Haver_M!$B$1:$ZN$1000,MATCH(data!$A78,Haver_M!$B$1:$B$1000,0),MATCH(data!V$1,Haver_M!$B$1:$ZN$1,0))),INDEX(Haver_M!$B$1:$ZN$1000,MATCH(data!$A78,Haver_M!$B$1:$B$1000,0),MATCH(data!V$1,Haver_M!$B$1:$ZN$1,0)),"na")</f>
        <v>96.479699999999994</v>
      </c>
      <c r="W78">
        <f>IF(ISNUMBER(INDEX(Haver_M!$B$1:$ZN$1000,MATCH(data!$A78,Haver_M!$B$1:$B$1000,0),MATCH(data!W$1,Haver_M!$B$1:$ZN$1,0))),INDEX(Haver_M!$B$1:$ZN$1000,MATCH(data!$A78,Haver_M!$B$1:$B$1000,0),MATCH(data!W$1,Haver_M!$B$1:$ZN$1,0)),"na")</f>
        <v>3.34</v>
      </c>
      <c r="X78" t="str">
        <f>IF(ISNUMBER(INDEX(Haver_M!$B$1:$ZN$1000,MATCH(data!$A78,Haver_M!$B$1:$B$1000,0),MATCH(data!X$1,Haver_M!$B$1:$ZN$1,0))),INDEX(Haver_M!$B$1:$ZN$1000,MATCH(data!$A78,Haver_M!$B$1:$B$1000,0),MATCH(data!X$1,Haver_M!$B$1:$ZN$1,0)),"na")</f>
        <v>na</v>
      </c>
      <c r="Y78">
        <f>IF(ISNUMBER(INDEX(Haver_M!$B$1:$ZN$1000,MATCH(data!$A78,Haver_M!$B$1:$B$1000,0),MATCH(data!Y$1,Haver_M!$B$1:$ZN$1,0))),INDEX(Haver_M!$B$1:$ZN$1000,MATCH(data!$A78,Haver_M!$B$1:$B$1000,0),MATCH(data!Y$1,Haver_M!$B$1:$ZN$1,0)),"na")</f>
        <v>101.09</v>
      </c>
      <c r="Z78">
        <f>IF(ISNUMBER(INDEX(Haver_M!$B$1:$ZN$1000,MATCH(data!$A78,Haver_M!$B$1:$B$1000,0),MATCH(data!Z$1,Haver_M!$B$1:$ZN$1,0))),INDEX(Haver_M!$B$1:$ZN$1000,MATCH(data!$A78,Haver_M!$B$1:$B$1000,0),MATCH(data!Z$1,Haver_M!$B$1:$ZN$1,0)),"na")</f>
        <v>94.372799999999998</v>
      </c>
      <c r="AA78" t="str">
        <f>IF(ISNUMBER(INDEX(Haver_M!$B$1:$ZN$1000,MATCH(data!$A78,Haver_M!$B$1:$B$1000,0),MATCH(data!AA$1,Haver_M!$B$1:$ZN$1,0))),INDEX(Haver_M!$B$1:$ZN$1000,MATCH(data!$A78,Haver_M!$B$1:$B$1000,0),MATCH(data!AA$1,Haver_M!$B$1:$ZN$1,0)),"na")</f>
        <v>na</v>
      </c>
      <c r="AB78">
        <f>IF(ISNUMBER(INDEX(Haver_M!$B$1:$ZN$1000,MATCH(data!$A78,Haver_M!$B$1:$B$1000,0),MATCH(data!AB$1,Haver_M!$B$1:$ZN$1,0))),INDEX(Haver_M!$B$1:$ZN$1000,MATCH(data!$A78,Haver_M!$B$1:$B$1000,0),MATCH(data!AB$1,Haver_M!$B$1:$ZN$1,0)),"na")</f>
        <v>20867.8</v>
      </c>
      <c r="AC78">
        <f>IF(ISNUMBER(INDEX(Haver_M!$B$1:$ZN$1000,MATCH(data!$A78,Haver_M!$B$1:$B$1000,0),MATCH(data!AC$1,Haver_M!$B$1:$ZN$1,0))),INDEX(Haver_M!$B$1:$ZN$1000,MATCH(data!$A78,Haver_M!$B$1:$B$1000,0),MATCH(data!AC$1,Haver_M!$B$1:$ZN$1,0)),"na")</f>
        <v>21606</v>
      </c>
      <c r="AD78">
        <f>IF(ISNUMBER(INDEX(Haver_M!$B$1:$ZN$1000,MATCH(data!$A78,Haver_M!$B$1:$B$1000,0),MATCH(data!AD$1,Haver_M!$B$1:$ZN$1,0))),INDEX(Haver_M!$B$1:$ZN$1000,MATCH(data!$A78,Haver_M!$B$1:$B$1000,0),MATCH(data!AD$1,Haver_M!$B$1:$ZN$1,0)),"na")</f>
        <v>100.81</v>
      </c>
      <c r="AE78">
        <f>IF(ISNUMBER(INDEX(Haver_M!$B$1:$ZN$1000,MATCH(data!$A78,Haver_M!$B$1:$B$1000,0),MATCH(data!AE$1,Haver_M!$B$1:$ZN$1,0))),INDEX(Haver_M!$B$1:$ZN$1000,MATCH(data!$A78,Haver_M!$B$1:$B$1000,0),MATCH(data!AE$1,Haver_M!$B$1:$ZN$1,0)),"na")</f>
        <v>44.3</v>
      </c>
      <c r="AF78">
        <f>IF(ISNUMBER(INDEX(Haver_M!$B$1:$ZN$1000,MATCH(data!$A78,Haver_M!$B$1:$B$1000,0),MATCH(data!AF$1,Haver_M!$B$1:$ZN$1,0))),INDEX(Haver_M!$B$1:$ZN$1000,MATCH(data!$A78,Haver_M!$B$1:$B$1000,0),MATCH(data!AF$1,Haver_M!$B$1:$ZN$1,0)),"na")</f>
        <v>100.78</v>
      </c>
      <c r="AG78" t="str">
        <f>IF(ISNUMBER(INDEX(Haver_M!$B$1:$ZN$1000,MATCH(data!$A78,Haver_M!$B$1:$B$1000,0),MATCH(data!AG$1,Haver_M!$B$1:$ZN$1,0))),INDEX(Haver_M!$B$1:$ZN$1000,MATCH(data!$A78,Haver_M!$B$1:$B$1000,0),MATCH(data!AG$1,Haver_M!$B$1:$ZN$1,0)),"na")</f>
        <v>na</v>
      </c>
      <c r="AH78" t="str">
        <f>IF(ISNUMBER(INDEX(Haver_M!$B$1:$ZN$1000,MATCH(data!$A78,Haver_M!$B$1:$B$1000,0),MATCH(data!AH$1,Haver_M!$B$1:$ZN$1,0))),INDEX(Haver_M!$B$1:$ZN$1000,MATCH(data!$A78,Haver_M!$B$1:$B$1000,0),MATCH(data!AH$1,Haver_M!$B$1:$ZN$1,0)),"na")</f>
        <v>na</v>
      </c>
      <c r="AI78" t="str">
        <f>IF(ISNUMBER(INDEX(Haver_M!$B$1:$ZN$1000,MATCH(data!$A78,Haver_M!$B$1:$B$1000,0),MATCH(data!AI$1,Haver_M!$B$1:$ZN$1,0))),INDEX(Haver_M!$B$1:$ZN$1000,MATCH(data!$A78,Haver_M!$B$1:$B$1000,0),MATCH(data!AI$1,Haver_M!$B$1:$ZN$1,0)),"na")</f>
        <v>na</v>
      </c>
      <c r="AJ78" t="str">
        <f>IF(ISNUMBER(INDEX(Haver_M!$B$1:$ZN$1000,MATCH(data!$A78,Haver_M!$B$1:$B$1000,0),MATCH(data!AJ$1,Haver_M!$B$1:$ZN$1,0))),INDEX(Haver_M!$B$1:$ZN$1000,MATCH(data!$A78,Haver_M!$B$1:$B$1000,0),MATCH(data!AJ$1,Haver_M!$B$1:$ZN$1,0)),"na")</f>
        <v>na</v>
      </c>
      <c r="AK78" t="str">
        <f>IF(ISNUMBER(INDEX(Haver_M!$B$1:$ZN$1000,MATCH(data!$A78,Haver_M!$B$1:$B$1000,0),MATCH(data!AK$1,Haver_M!$B$1:$ZN$1,0))),INDEX(Haver_M!$B$1:$ZN$1000,MATCH(data!$A78,Haver_M!$B$1:$B$1000,0),MATCH(data!AK$1,Haver_M!$B$1:$ZN$1,0)),"na")</f>
        <v>na</v>
      </c>
      <c r="AL78" t="str">
        <f>IF(ISNUMBER(INDEX(Haver_M!$B$1:$ZN$1000,MATCH(data!$A78,Haver_M!$B$1:$B$1000,0),MATCH(data!AL$1,Haver_M!$B$1:$ZN$1,0))),INDEX(Haver_M!$B$1:$ZN$1000,MATCH(data!$A78,Haver_M!$B$1:$B$1000,0),MATCH(data!AL$1,Haver_M!$B$1:$ZN$1,0)),"na")</f>
        <v>na</v>
      </c>
      <c r="AM78" t="str">
        <f>IF(ISNUMBER(INDEX(Haver_M!$B$1:$ZN$1000,MATCH(data!$A78,Haver_M!$B$1:$B$1000,0),MATCH(data!AM$1,Haver_M!$B$1:$ZN$1,0))),INDEX(Haver_M!$B$1:$ZN$1000,MATCH(data!$A78,Haver_M!$B$1:$B$1000,0),MATCH(data!AM$1,Haver_M!$B$1:$ZN$1,0)),"na")</f>
        <v>na</v>
      </c>
      <c r="AN78" t="str">
        <f>IF(ISNUMBER(INDEX(Haver_M!$B$1:$ZN$1000,MATCH(data!$A78,Haver_M!$B$1:$B$1000,0),MATCH(data!AN$1,Haver_M!$B$1:$ZN$1,0))),INDEX(Haver_M!$B$1:$ZN$1000,MATCH(data!$A78,Haver_M!$B$1:$B$1000,0),MATCH(data!AN$1,Haver_M!$B$1:$ZN$1,0)),"na")</f>
        <v>na</v>
      </c>
      <c r="AO78" t="str">
        <f>IF(ISNUMBER(INDEX(Haver_M!$B$1:$ZN$1000,MATCH(data!$A78,Haver_M!$B$1:$B$1000,0),MATCH(data!AO$1,Haver_M!$B$1:$ZN$1,0))),INDEX(Haver_M!$B$1:$ZN$1000,MATCH(data!$A78,Haver_M!$B$1:$B$1000,0),MATCH(data!AO$1,Haver_M!$B$1:$ZN$1,0)),"na")</f>
        <v>na</v>
      </c>
      <c r="AP78" t="str">
        <f>IF(ISNUMBER(INDEX(Haver_M!$B$1:$ZN$1000,MATCH(data!$A78,Haver_M!$B$1:$B$1000,0),MATCH(data!AP$1,Haver_M!$B$1:$ZN$1,0))),INDEX(Haver_M!$B$1:$ZN$1000,MATCH(data!$A78,Haver_M!$B$1:$B$1000,0),MATCH(data!AP$1,Haver_M!$B$1:$ZN$1,0)),"na")</f>
        <v>na</v>
      </c>
      <c r="AQ78" t="str">
        <f>IF(ISNUMBER(INDEX(Haver_M!$B$1:$ZN$1000,MATCH(data!$A78,Haver_M!$B$1:$B$1000,0),MATCH(data!AQ$1,Haver_M!$B$1:$ZN$1,0))),INDEX(Haver_M!$B$1:$ZN$1000,MATCH(data!$A78,Haver_M!$B$1:$B$1000,0),MATCH(data!AQ$1,Haver_M!$B$1:$ZN$1,0)),"na")</f>
        <v>na</v>
      </c>
      <c r="AR78" t="str">
        <f>IF(ISNUMBER(INDEX(Haver_M!$B$1:$ZN$1000,MATCH(data!$A78,Haver_M!$B$1:$B$1000,0),MATCH(data!AR$1,Haver_M!$B$1:$ZN$1,0))),INDEX(Haver_M!$B$1:$ZN$1000,MATCH(data!$A78,Haver_M!$B$1:$B$1000,0),MATCH(data!AR$1,Haver_M!$B$1:$ZN$1,0)),"na")</f>
        <v>na</v>
      </c>
      <c r="AS78">
        <f>IF(ISNUMBER(INDEX(Haver_M!$B$1:$ZN$1000,MATCH(data!$A78,Haver_M!$B$1:$B$1000,0),MATCH(data!AS$1,Haver_M!$B$1:$ZN$1,0))),INDEX(Haver_M!$B$1:$ZN$1000,MATCH(data!$A78,Haver_M!$B$1:$B$1000,0),MATCH(data!AS$1,Haver_M!$B$1:$ZN$1,0)),"na")</f>
        <v>20367.16</v>
      </c>
      <c r="AT78">
        <f>IF(ISNUMBER(INDEX(Haver_M!$B$1:$ZN$1000,MATCH(data!$A78,Haver_M!$B$1:$B$1000,0),MATCH(data!AT$1,Haver_M!$B$1:$ZN$1,0))),INDEX(Haver_M!$B$1:$ZN$1000,MATCH(data!$A78,Haver_M!$B$1:$B$1000,0),MATCH(data!AT$1,Haver_M!$B$1:$ZN$1,0)),"na")</f>
        <v>92.870999999999995</v>
      </c>
      <c r="AU78">
        <f>IF(ISNUMBER(INDEX(Haver_M!$B$1:$ZN$1000,MATCH(data!$A78,Haver_M!$B$1:$B$1000,0),MATCH(data!AU$1,Haver_M!$B$1:$ZN$1,0))),INDEX(Haver_M!$B$1:$ZN$1000,MATCH(data!$A78,Haver_M!$B$1:$B$1000,0),MATCH(data!AU$1,Haver_M!$B$1:$ZN$1,0)),"na")</f>
        <v>90.276836000000003</v>
      </c>
      <c r="AV78">
        <f>IF(ISNUMBER(INDEX(Haver_M!$B$1:$ZN$1000,MATCH(data!$A78,Haver_M!$B$1:$B$1000,0),MATCH(data!AV$1,Haver_M!$B$1:$ZN$1,0))),INDEX(Haver_M!$B$1:$ZN$1000,MATCH(data!$A78,Haver_M!$B$1:$B$1000,0),MATCH(data!AV$1,Haver_M!$B$1:$ZN$1,0)),"na")</f>
        <v>87</v>
      </c>
      <c r="AW78">
        <f>IF(ISNUMBER(INDEX(Haver_M!$B$1:$ZN$1000,MATCH(data!$A78,Haver_M!$B$1:$B$1000,0),MATCH(data!AW$1,Haver_M!$B$1:$ZN$1,0))),INDEX(Haver_M!$B$1:$ZN$1000,MATCH(data!$A78,Haver_M!$B$1:$B$1000,0),MATCH(data!AW$1,Haver_M!$B$1:$ZN$1,0)),"na")</f>
        <v>1022609.648185189</v>
      </c>
      <c r="AX78">
        <f>IF(ISNUMBER(INDEX(Haver_M!$B$1:$ZN$1000,MATCH(data!$A78,Haver_M!$B$1:$B$1000,0),MATCH(data!AX$1,Haver_M!$B$1:$ZN$1,0))),INDEX(Haver_M!$B$1:$ZN$1000,MATCH(data!$A78,Haver_M!$B$1:$B$1000,0),MATCH(data!AX$1,Haver_M!$B$1:$ZN$1,0)),"na")</f>
        <v>3329</v>
      </c>
      <c r="AY78">
        <f>IF(ISNUMBER(INDEX(Haver_M!$B$1:$ZN$1000,MATCH(data!$A78,Haver_M!$B$1:$B$1000,0),MATCH(data!AY$1,Haver_M!$B$1:$ZN$1,0))),INDEX(Haver_M!$B$1:$ZN$1000,MATCH(data!$A78,Haver_M!$B$1:$B$1000,0),MATCH(data!AY$1,Haver_M!$B$1:$ZN$1,0)),"na")</f>
        <v>1831</v>
      </c>
      <c r="AZ78">
        <f>IF(ISNUMBER(INDEX(Haver_M!$B$1:$ZN$1000,MATCH(data!$A78,Haver_M!$B$1:$B$1000,0),MATCH(data!AZ$1,Haver_M!$B$1:$ZN$1,0))),INDEX(Haver_M!$B$1:$ZN$1000,MATCH(data!$A78,Haver_M!$B$1:$B$1000,0),MATCH(data!AZ$1,Haver_M!$B$1:$ZN$1,0)),"na")</f>
        <v>55.8</v>
      </c>
      <c r="BA78">
        <f>IF(ISNUMBER(INDEX(Haver_M!$B$1:$ZN$1000,MATCH(data!$A78,Haver_M!$B$1:$B$1000,0),MATCH(data!BA$1,Haver_M!$B$1:$ZN$1,0))),INDEX(Haver_M!$B$1:$ZN$1000,MATCH(data!$A78,Haver_M!$B$1:$B$1000,0),MATCH(data!BA$1,Haver_M!$B$1:$ZN$1,0)),"na")</f>
        <v>74.287394171698836</v>
      </c>
      <c r="BB78" t="str">
        <f>IF(ISNUMBER(INDEX(Haver_M!$B$1:$ZN$1000,MATCH(data!$A78,Haver_M!$B$1:$B$1000,0),MATCH(data!BB$1,Haver_M!$B$1:$ZN$1,0))),INDEX(Haver_M!$B$1:$ZN$1000,MATCH(data!$A78,Haver_M!$B$1:$B$1000,0),MATCH(data!BB$1,Haver_M!$B$1:$ZN$1,0)),"")</f>
        <v/>
      </c>
    </row>
    <row r="79" spans="1:54" x14ac:dyDescent="0.25">
      <c r="A79" s="2">
        <v>38898</v>
      </c>
      <c r="B79">
        <f>IF(ISNUMBER(INDEX(Haver_Q!$B$1:$BD$1000,MATCH(data!$A79,Haver_Q!$B$1:$B$1000,0),MATCH(data!B$1,Haver_Q!$B$1:$BD$1,0))),100*INDEX(Haver_Q!$B$1:$BD$1000,MATCH(data!$A79,Haver_Q!$B$1:$B$1000,0),MATCH(data!B$1,Haver_Q!$B$1:$BD$1,0)),"na")</f>
        <v>4.0812739798495645</v>
      </c>
      <c r="C79">
        <f>IF(ISNUMBER(INDEX(Haver_Q!$B$1:$BD$1000,MATCH(data!$A79,Haver_Q!$B$1:$B$1000,0),MATCH(data!C$1,Haver_Q!$B$1:$BD$1,0))),100*INDEX(Haver_Q!$B$1:$BD$1000,MATCH(data!$A79,Haver_Q!$B$1:$B$1000,0),MATCH(data!C$1,Haver_Q!$B$1:$BD$1,0)),"na")</f>
        <v>-9.8693037413277729E-2</v>
      </c>
      <c r="D79">
        <f>IF(ISNUMBER(INDEX(Haver_Q!$B$1:$BD$1000,MATCH(data!$A79,Haver_Q!$B$1:$B$1000,0),MATCH(data!D$1,Haver_Q!$B$1:$BD$1,0))),100*INDEX(Haver_Q!$B$1:$BD$1000,MATCH(data!$A79,Haver_Q!$B$1:$B$1000,0),MATCH(data!D$1,Haver_Q!$B$1:$BD$1,0)),"na")</f>
        <v>4.6357255619799975</v>
      </c>
      <c r="E79">
        <f>IF(ISNUMBER(INDEX(Haver_Q!$B$1:$BD$1000,MATCH(data!$A79,Haver_Q!$B$1:$B$1000,0),MATCH(data!E$1,Haver_Q!$B$1:$BD$1,0))),100*INDEX(Haver_Q!$B$1:$BD$1000,MATCH(data!$A79,Haver_Q!$B$1:$B$1000,0),MATCH(data!E$1,Haver_Q!$B$1:$BD$1,0)),"na")</f>
        <v>12.190550176151739</v>
      </c>
      <c r="F79">
        <f>IF(ISNUMBER(INDEX(Haver_Q!$B$1:$BD$1000,MATCH(data!$A79,Haver_Q!$B$1:$B$1000,0),MATCH(data!F$1,Haver_Q!$B$1:$BD$1,0))),100*INDEX(Haver_Q!$B$1:$BD$1000,MATCH(data!$A79,Haver_Q!$B$1:$B$1000,0),MATCH(data!F$1,Haver_Q!$B$1:$BD$1,0)),"na")</f>
        <v>-1.0796034771748397</v>
      </c>
      <c r="G79">
        <f>IF(ISNUMBER(INDEX(Haver_Q!$B$1:$BD$1000,MATCH(data!$A79,Haver_Q!$B$1:$B$1000,0),MATCH(data!G$1,Haver_Q!$B$1:$BD$1,0))),100*INDEX(Haver_Q!$B$1:$BD$1000,MATCH(data!$A79,Haver_Q!$B$1:$B$1000,0),MATCH(data!G$1,Haver_Q!$B$1:$BD$1,0)),"na")</f>
        <v>5.5252149323458122</v>
      </c>
      <c r="H79">
        <f>IF(ISNUMBER(INDEX(Haver_Q!$B$1:$BD$1000,MATCH(data!$A79,Haver_Q!$B$1:$B$1000,0),MATCH(data!H$1,Haver_Q!$B$1:$BD$1,0))),100*INDEX(Haver_Q!$B$1:$BD$1000,MATCH(data!$A79,Haver_Q!$B$1:$B$1000,0),MATCH(data!H$1,Haver_Q!$B$1:$BD$1,0)),"na")</f>
        <v>410.36013427441401</v>
      </c>
      <c r="I79" s="3">
        <f>IF(ISNUMBER(Bloomberg_m!C95),Bloomberg_m!C95,"na")</f>
        <v>2718</v>
      </c>
      <c r="J79" s="3" t="str">
        <f>IF(ISNUMBER(Bloomberg_m!D95),Bloomberg_m!D95,"na")</f>
        <v>na</v>
      </c>
      <c r="K79" s="3" t="str">
        <f>IF(ISNUMBER(Bloomberg_m!E95),Bloomberg_m!E95,"na")</f>
        <v>na</v>
      </c>
      <c r="L79" s="3">
        <f>IF(ISNUMBER(Bloomberg_m!L95),Bloomberg_m!L95,"na")</f>
        <v>70.930000000000007</v>
      </c>
      <c r="M79" t="str">
        <f>IF(ISNUMBER(INDEX(Haver_M!$B$1:$ZN$1000,MATCH(data!$A79,Haver_M!$B$1:$B$1000,0),MATCH(data!M$1,Haver_M!$B$1:$ZN$1,0))),INDEX(Haver_M!$B$1:$ZN$1000,MATCH(data!$A79,Haver_M!$B$1:$B$1000,0),MATCH(data!M$1,Haver_M!$B$1:$ZN$1,0)),"na")</f>
        <v>na</v>
      </c>
      <c r="N79" t="str">
        <f>IF(ISNUMBER(INDEX(Haver_M!$B$1:$ZN$1000,MATCH(data!$A79,Haver_M!$B$1:$B$1000,0),MATCH(data!N$1,Haver_M!$B$1:$ZN$1,0))),INDEX(Haver_M!$B$1:$ZN$1000,MATCH(data!$A79,Haver_M!$B$1:$B$1000,0),MATCH(data!N$1,Haver_M!$B$1:$ZN$1,0)),"na")</f>
        <v>na</v>
      </c>
      <c r="O79">
        <f>IF(ISNUMBER(INDEX(Haver_M!$B$1:$ZN$1000,MATCH(data!$A79,Haver_M!$B$1:$B$1000,0),MATCH(data!O$1,Haver_M!$B$1:$ZN$1,0))),INDEX(Haver_M!$B$1:$ZN$1000,MATCH(data!$A79,Haver_M!$B$1:$B$1000,0),MATCH(data!O$1,Haver_M!$B$1:$ZN$1,0)),"na")</f>
        <v>105.17870000000001</v>
      </c>
      <c r="P79">
        <f>IF(ISNUMBER(INDEX(Haver_M!$B$1:$ZN$1000,MATCH(data!$A79,Haver_M!$B$1:$B$1000,0),MATCH(data!P$1,Haver_M!$B$1:$ZN$1,0))),INDEX(Haver_M!$B$1:$ZN$1000,MATCH(data!$A79,Haver_M!$B$1:$B$1000,0),MATCH(data!P$1,Haver_M!$B$1:$ZN$1,0)),"na")</f>
        <v>60.988599999999998</v>
      </c>
      <c r="Q79">
        <f>IF(ISNUMBER(INDEX(Haver_M!$B$1:$ZN$1000,MATCH(data!$A79,Haver_M!$B$1:$B$1000,0),MATCH(data!Q$1,Haver_M!$B$1:$ZN$1,0))),INDEX(Haver_M!$B$1:$ZN$1000,MATCH(data!$A79,Haver_M!$B$1:$B$1000,0),MATCH(data!Q$1,Haver_M!$B$1:$ZN$1,0)),"na")</f>
        <v>64.865700000000004</v>
      </c>
      <c r="R79">
        <f>IF(ISNUMBER(INDEX(Haver_M!$B$1:$ZN$1000,MATCH(data!$A79,Haver_M!$B$1:$B$1000,0),MATCH(data!R$1,Haver_M!$B$1:$ZN$1,0))),INDEX(Haver_M!$B$1:$ZN$1000,MATCH(data!$A79,Haver_M!$B$1:$B$1000,0),MATCH(data!R$1,Haver_M!$B$1:$ZN$1,0)),"na")</f>
        <v>98.405199999999994</v>
      </c>
      <c r="S79">
        <f>IF(ISNUMBER(INDEX(Haver_M!$B$1:$ZN$1000,MATCH(data!$A79,Haver_M!$B$1:$B$1000,0),MATCH(data!S$1,Haver_M!$B$1:$ZN$1,0))),INDEX(Haver_M!$B$1:$ZN$1000,MATCH(data!$A79,Haver_M!$B$1:$B$1000,0),MATCH(data!S$1,Haver_M!$B$1:$ZN$1,0)),"na")</f>
        <v>111.08280000000001</v>
      </c>
      <c r="T79">
        <f>IF(ISNUMBER(INDEX(Haver_M!$B$1:$ZN$1000,MATCH(data!$A79,Haver_M!$B$1:$B$1000,0),MATCH(data!T$1,Haver_M!$B$1:$ZN$1,0))),INDEX(Haver_M!$B$1:$ZN$1000,MATCH(data!$A79,Haver_M!$B$1:$B$1000,0),MATCH(data!T$1,Haver_M!$B$1:$ZN$1,0)),"na")</f>
        <v>81.548100000000005</v>
      </c>
      <c r="U79">
        <f>IF(ISNUMBER(INDEX(Haver_M!$B$1:$ZN$1000,MATCH(data!$A79,Haver_M!$B$1:$B$1000,0),MATCH(data!U$1,Haver_M!$B$1:$ZN$1,0))),INDEX(Haver_M!$B$1:$ZN$1000,MATCH(data!$A79,Haver_M!$B$1:$B$1000,0),MATCH(data!U$1,Haver_M!$B$1:$ZN$1,0)),"na")</f>
        <v>93.301500000000004</v>
      </c>
      <c r="V79">
        <f>IF(ISNUMBER(INDEX(Haver_M!$B$1:$ZN$1000,MATCH(data!$A79,Haver_M!$B$1:$B$1000,0),MATCH(data!V$1,Haver_M!$B$1:$ZN$1,0))),INDEX(Haver_M!$B$1:$ZN$1000,MATCH(data!$A79,Haver_M!$B$1:$B$1000,0),MATCH(data!V$1,Haver_M!$B$1:$ZN$1,0)),"na")</f>
        <v>96.290099999999995</v>
      </c>
      <c r="W79">
        <f>IF(ISNUMBER(INDEX(Haver_M!$B$1:$ZN$1000,MATCH(data!$A79,Haver_M!$B$1:$B$1000,0),MATCH(data!W$1,Haver_M!$B$1:$ZN$1,0))),INDEX(Haver_M!$B$1:$ZN$1000,MATCH(data!$A79,Haver_M!$B$1:$B$1000,0),MATCH(data!W$1,Haver_M!$B$1:$ZN$1,0)),"na")</f>
        <v>3.61</v>
      </c>
      <c r="X79" t="str">
        <f>IF(ISNUMBER(INDEX(Haver_M!$B$1:$ZN$1000,MATCH(data!$A79,Haver_M!$B$1:$B$1000,0),MATCH(data!X$1,Haver_M!$B$1:$ZN$1,0))),INDEX(Haver_M!$B$1:$ZN$1000,MATCH(data!$A79,Haver_M!$B$1:$B$1000,0),MATCH(data!X$1,Haver_M!$B$1:$ZN$1,0)),"na")</f>
        <v>na</v>
      </c>
      <c r="Y79">
        <f>IF(ISNUMBER(INDEX(Haver_M!$B$1:$ZN$1000,MATCH(data!$A79,Haver_M!$B$1:$B$1000,0),MATCH(data!Y$1,Haver_M!$B$1:$ZN$1,0))),INDEX(Haver_M!$B$1:$ZN$1000,MATCH(data!$A79,Haver_M!$B$1:$B$1000,0),MATCH(data!Y$1,Haver_M!$B$1:$ZN$1,0)),"na")</f>
        <v>101.13</v>
      </c>
      <c r="Z79">
        <f>IF(ISNUMBER(INDEX(Haver_M!$B$1:$ZN$1000,MATCH(data!$A79,Haver_M!$B$1:$B$1000,0),MATCH(data!Z$1,Haver_M!$B$1:$ZN$1,0))),INDEX(Haver_M!$B$1:$ZN$1000,MATCH(data!$A79,Haver_M!$B$1:$B$1000,0),MATCH(data!Z$1,Haver_M!$B$1:$ZN$1,0)),"na")</f>
        <v>93.798400000000001</v>
      </c>
      <c r="AA79" t="str">
        <f>IF(ISNUMBER(INDEX(Haver_M!$B$1:$ZN$1000,MATCH(data!$A79,Haver_M!$B$1:$B$1000,0),MATCH(data!AA$1,Haver_M!$B$1:$ZN$1,0))),INDEX(Haver_M!$B$1:$ZN$1000,MATCH(data!$A79,Haver_M!$B$1:$B$1000,0),MATCH(data!AA$1,Haver_M!$B$1:$ZN$1,0)),"na")</f>
        <v>na</v>
      </c>
      <c r="AB79">
        <f>IF(ISNUMBER(INDEX(Haver_M!$B$1:$ZN$1000,MATCH(data!$A79,Haver_M!$B$1:$B$1000,0),MATCH(data!AB$1,Haver_M!$B$1:$ZN$1,0))),INDEX(Haver_M!$B$1:$ZN$1000,MATCH(data!$A79,Haver_M!$B$1:$B$1000,0),MATCH(data!AB$1,Haver_M!$B$1:$ZN$1,0)),"na")</f>
        <v>20786.400000000001</v>
      </c>
      <c r="AC79">
        <f>IF(ISNUMBER(INDEX(Haver_M!$B$1:$ZN$1000,MATCH(data!$A79,Haver_M!$B$1:$B$1000,0),MATCH(data!AC$1,Haver_M!$B$1:$ZN$1,0))),INDEX(Haver_M!$B$1:$ZN$1000,MATCH(data!$A79,Haver_M!$B$1:$B$1000,0),MATCH(data!AC$1,Haver_M!$B$1:$ZN$1,0)),"na")</f>
        <v>21366.9</v>
      </c>
      <c r="AD79">
        <f>IF(ISNUMBER(INDEX(Haver_M!$B$1:$ZN$1000,MATCH(data!$A79,Haver_M!$B$1:$B$1000,0),MATCH(data!AD$1,Haver_M!$B$1:$ZN$1,0))),INDEX(Haver_M!$B$1:$ZN$1000,MATCH(data!$A79,Haver_M!$B$1:$B$1000,0),MATCH(data!AD$1,Haver_M!$B$1:$ZN$1,0)),"na")</f>
        <v>100.81</v>
      </c>
      <c r="AE79">
        <f>IF(ISNUMBER(INDEX(Haver_M!$B$1:$ZN$1000,MATCH(data!$A79,Haver_M!$B$1:$B$1000,0),MATCH(data!AE$1,Haver_M!$B$1:$ZN$1,0))),INDEX(Haver_M!$B$1:$ZN$1000,MATCH(data!$A79,Haver_M!$B$1:$B$1000,0),MATCH(data!AE$1,Haver_M!$B$1:$ZN$1,0)),"na")</f>
        <v>44.2</v>
      </c>
      <c r="AF79">
        <f>IF(ISNUMBER(INDEX(Haver_M!$B$1:$ZN$1000,MATCH(data!$A79,Haver_M!$B$1:$B$1000,0),MATCH(data!AF$1,Haver_M!$B$1:$ZN$1,0))),INDEX(Haver_M!$B$1:$ZN$1000,MATCH(data!$A79,Haver_M!$B$1:$B$1000,0),MATCH(data!AF$1,Haver_M!$B$1:$ZN$1,0)),"na")</f>
        <v>100.87</v>
      </c>
      <c r="AG79" t="str">
        <f>IF(ISNUMBER(INDEX(Haver_M!$B$1:$ZN$1000,MATCH(data!$A79,Haver_M!$B$1:$B$1000,0),MATCH(data!AG$1,Haver_M!$B$1:$ZN$1,0))),INDEX(Haver_M!$B$1:$ZN$1000,MATCH(data!$A79,Haver_M!$B$1:$B$1000,0),MATCH(data!AG$1,Haver_M!$B$1:$ZN$1,0)),"na")</f>
        <v>na</v>
      </c>
      <c r="AH79" t="str">
        <f>IF(ISNUMBER(INDEX(Haver_M!$B$1:$ZN$1000,MATCH(data!$A79,Haver_M!$B$1:$B$1000,0),MATCH(data!AH$1,Haver_M!$B$1:$ZN$1,0))),INDEX(Haver_M!$B$1:$ZN$1000,MATCH(data!$A79,Haver_M!$B$1:$B$1000,0),MATCH(data!AH$1,Haver_M!$B$1:$ZN$1,0)),"na")</f>
        <v>na</v>
      </c>
      <c r="AI79" t="str">
        <f>IF(ISNUMBER(INDEX(Haver_M!$B$1:$ZN$1000,MATCH(data!$A79,Haver_M!$B$1:$B$1000,0),MATCH(data!AI$1,Haver_M!$B$1:$ZN$1,0))),INDEX(Haver_M!$B$1:$ZN$1000,MATCH(data!$A79,Haver_M!$B$1:$B$1000,0),MATCH(data!AI$1,Haver_M!$B$1:$ZN$1,0)),"na")</f>
        <v>na</v>
      </c>
      <c r="AJ79" t="str">
        <f>IF(ISNUMBER(INDEX(Haver_M!$B$1:$ZN$1000,MATCH(data!$A79,Haver_M!$B$1:$B$1000,0),MATCH(data!AJ$1,Haver_M!$B$1:$ZN$1,0))),INDEX(Haver_M!$B$1:$ZN$1000,MATCH(data!$A79,Haver_M!$B$1:$B$1000,0),MATCH(data!AJ$1,Haver_M!$B$1:$ZN$1,0)),"na")</f>
        <v>na</v>
      </c>
      <c r="AK79" t="str">
        <f>IF(ISNUMBER(INDEX(Haver_M!$B$1:$ZN$1000,MATCH(data!$A79,Haver_M!$B$1:$B$1000,0),MATCH(data!AK$1,Haver_M!$B$1:$ZN$1,0))),INDEX(Haver_M!$B$1:$ZN$1000,MATCH(data!$A79,Haver_M!$B$1:$B$1000,0),MATCH(data!AK$1,Haver_M!$B$1:$ZN$1,0)),"na")</f>
        <v>na</v>
      </c>
      <c r="AL79" t="str">
        <f>IF(ISNUMBER(INDEX(Haver_M!$B$1:$ZN$1000,MATCH(data!$A79,Haver_M!$B$1:$B$1000,0),MATCH(data!AL$1,Haver_M!$B$1:$ZN$1,0))),INDEX(Haver_M!$B$1:$ZN$1000,MATCH(data!$A79,Haver_M!$B$1:$B$1000,0),MATCH(data!AL$1,Haver_M!$B$1:$ZN$1,0)),"na")</f>
        <v>na</v>
      </c>
      <c r="AM79" t="str">
        <f>IF(ISNUMBER(INDEX(Haver_M!$B$1:$ZN$1000,MATCH(data!$A79,Haver_M!$B$1:$B$1000,0),MATCH(data!AM$1,Haver_M!$B$1:$ZN$1,0))),INDEX(Haver_M!$B$1:$ZN$1000,MATCH(data!$A79,Haver_M!$B$1:$B$1000,0),MATCH(data!AM$1,Haver_M!$B$1:$ZN$1,0)),"na")</f>
        <v>na</v>
      </c>
      <c r="AN79" t="str">
        <f>IF(ISNUMBER(INDEX(Haver_M!$B$1:$ZN$1000,MATCH(data!$A79,Haver_M!$B$1:$B$1000,0),MATCH(data!AN$1,Haver_M!$B$1:$ZN$1,0))),INDEX(Haver_M!$B$1:$ZN$1000,MATCH(data!$A79,Haver_M!$B$1:$B$1000,0),MATCH(data!AN$1,Haver_M!$B$1:$ZN$1,0)),"na")</f>
        <v>na</v>
      </c>
      <c r="AO79" t="str">
        <f>IF(ISNUMBER(INDEX(Haver_M!$B$1:$ZN$1000,MATCH(data!$A79,Haver_M!$B$1:$B$1000,0),MATCH(data!AO$1,Haver_M!$B$1:$ZN$1,0))),INDEX(Haver_M!$B$1:$ZN$1000,MATCH(data!$A79,Haver_M!$B$1:$B$1000,0),MATCH(data!AO$1,Haver_M!$B$1:$ZN$1,0)),"na")</f>
        <v>na</v>
      </c>
      <c r="AP79" t="str">
        <f>IF(ISNUMBER(INDEX(Haver_M!$B$1:$ZN$1000,MATCH(data!$A79,Haver_M!$B$1:$B$1000,0),MATCH(data!AP$1,Haver_M!$B$1:$ZN$1,0))),INDEX(Haver_M!$B$1:$ZN$1000,MATCH(data!$A79,Haver_M!$B$1:$B$1000,0),MATCH(data!AP$1,Haver_M!$B$1:$ZN$1,0)),"na")</f>
        <v>na</v>
      </c>
      <c r="AQ79" t="str">
        <f>IF(ISNUMBER(INDEX(Haver_M!$B$1:$ZN$1000,MATCH(data!$A79,Haver_M!$B$1:$B$1000,0),MATCH(data!AQ$1,Haver_M!$B$1:$ZN$1,0))),INDEX(Haver_M!$B$1:$ZN$1000,MATCH(data!$A79,Haver_M!$B$1:$B$1000,0),MATCH(data!AQ$1,Haver_M!$B$1:$ZN$1,0)),"na")</f>
        <v>na</v>
      </c>
      <c r="AR79" t="str">
        <f>IF(ISNUMBER(INDEX(Haver_M!$B$1:$ZN$1000,MATCH(data!$A79,Haver_M!$B$1:$B$1000,0),MATCH(data!AR$1,Haver_M!$B$1:$ZN$1,0))),INDEX(Haver_M!$B$1:$ZN$1000,MATCH(data!$A79,Haver_M!$B$1:$B$1000,0),MATCH(data!AR$1,Haver_M!$B$1:$ZN$1,0)),"na")</f>
        <v>na</v>
      </c>
      <c r="AS79">
        <f>IF(ISNUMBER(INDEX(Haver_M!$B$1:$ZN$1000,MATCH(data!$A79,Haver_M!$B$1:$B$1000,0),MATCH(data!AS$1,Haver_M!$B$1:$ZN$1,0))),INDEX(Haver_M!$B$1:$ZN$1000,MATCH(data!$A79,Haver_M!$B$1:$B$1000,0),MATCH(data!AS$1,Haver_M!$B$1:$ZN$1,0)),"na")</f>
        <v>18184.669999999998</v>
      </c>
      <c r="AT79">
        <f>IF(ISNUMBER(INDEX(Haver_M!$B$1:$ZN$1000,MATCH(data!$A79,Haver_M!$B$1:$B$1000,0),MATCH(data!AT$1,Haver_M!$B$1:$ZN$1,0))),INDEX(Haver_M!$B$1:$ZN$1000,MATCH(data!$A79,Haver_M!$B$1:$B$1000,0),MATCH(data!AT$1,Haver_M!$B$1:$ZN$1,0)),"na")</f>
        <v>92.846999999999994</v>
      </c>
      <c r="AU79">
        <f>IF(ISNUMBER(INDEX(Haver_M!$B$1:$ZN$1000,MATCH(data!$A79,Haver_M!$B$1:$B$1000,0),MATCH(data!AU$1,Haver_M!$B$1:$ZN$1,0))),INDEX(Haver_M!$B$1:$ZN$1000,MATCH(data!$A79,Haver_M!$B$1:$B$1000,0),MATCH(data!AU$1,Haver_M!$B$1:$ZN$1,0)),"na")</f>
        <v>89.331528000000006</v>
      </c>
      <c r="AV79">
        <f>IF(ISNUMBER(INDEX(Haver_M!$B$1:$ZN$1000,MATCH(data!$A79,Haver_M!$B$1:$B$1000,0),MATCH(data!AV$1,Haver_M!$B$1:$ZN$1,0))),INDEX(Haver_M!$B$1:$ZN$1000,MATCH(data!$A79,Haver_M!$B$1:$B$1000,0),MATCH(data!AV$1,Haver_M!$B$1:$ZN$1,0)),"na")</f>
        <v>87.3</v>
      </c>
      <c r="AW79">
        <f>IF(ISNUMBER(INDEX(Haver_M!$B$1:$ZN$1000,MATCH(data!$A79,Haver_M!$B$1:$B$1000,0),MATCH(data!AW$1,Haver_M!$B$1:$ZN$1,0))),INDEX(Haver_M!$B$1:$ZN$1000,MATCH(data!$A79,Haver_M!$B$1:$B$1000,0),MATCH(data!AW$1,Haver_M!$B$1:$ZN$1,0)),"na")</f>
        <v>984892.46609867585</v>
      </c>
      <c r="AX79">
        <f>IF(ISNUMBER(INDEX(Haver_M!$B$1:$ZN$1000,MATCH(data!$A79,Haver_M!$B$1:$B$1000,0),MATCH(data!AX$1,Haver_M!$B$1:$ZN$1,0))),INDEX(Haver_M!$B$1:$ZN$1000,MATCH(data!$A79,Haver_M!$B$1:$B$1000,0),MATCH(data!AX$1,Haver_M!$B$1:$ZN$1,0)),"na")</f>
        <v>3240</v>
      </c>
      <c r="AY79">
        <f>IF(ISNUMBER(INDEX(Haver_M!$B$1:$ZN$1000,MATCH(data!$A79,Haver_M!$B$1:$B$1000,0),MATCH(data!AY$1,Haver_M!$B$1:$ZN$1,0))),INDEX(Haver_M!$B$1:$ZN$1000,MATCH(data!$A79,Haver_M!$B$1:$B$1000,0),MATCH(data!AY$1,Haver_M!$B$1:$ZN$1,0)),"na")</f>
        <v>1776</v>
      </c>
      <c r="AZ79">
        <f>IF(ISNUMBER(INDEX(Haver_M!$B$1:$ZN$1000,MATCH(data!$A79,Haver_M!$B$1:$B$1000,0),MATCH(data!AZ$1,Haver_M!$B$1:$ZN$1,0))),INDEX(Haver_M!$B$1:$ZN$1000,MATCH(data!$A79,Haver_M!$B$1:$B$1000,0),MATCH(data!AZ$1,Haver_M!$B$1:$ZN$1,0)),"na")</f>
        <v>53.1</v>
      </c>
      <c r="BA79">
        <f>IF(ISNUMBER(INDEX(Haver_M!$B$1:$ZN$1000,MATCH(data!$A79,Haver_M!$B$1:$B$1000,0),MATCH(data!BA$1,Haver_M!$B$1:$ZN$1,0))),INDEX(Haver_M!$B$1:$ZN$1000,MATCH(data!$A79,Haver_M!$B$1:$B$1000,0),MATCH(data!BA$1,Haver_M!$B$1:$ZN$1,0)),"na")</f>
        <v>123.57041849729281</v>
      </c>
      <c r="BB79" t="str">
        <f>IF(ISNUMBER(INDEX(Haver_M!$B$1:$ZN$1000,MATCH(data!$A79,Haver_M!$B$1:$B$1000,0),MATCH(data!BB$1,Haver_M!$B$1:$ZN$1,0))),INDEX(Haver_M!$B$1:$ZN$1000,MATCH(data!$A79,Haver_M!$B$1:$B$1000,0),MATCH(data!BB$1,Haver_M!$B$1:$ZN$1,0)),"")</f>
        <v/>
      </c>
    </row>
    <row r="80" spans="1:54" x14ac:dyDescent="0.25">
      <c r="A80" s="2">
        <v>38929</v>
      </c>
      <c r="B80" t="str">
        <f>IF(ISNUMBER(INDEX(Haver_Q!$B$1:$BD$1000,MATCH(data!$A80,Haver_Q!$B$1:$B$1000,0),MATCH(data!B$1,Haver_Q!$B$1:$BD$1,0))),100*INDEX(Haver_Q!$B$1:$BD$1000,MATCH(data!$A80,Haver_Q!$B$1:$B$1000,0),MATCH(data!B$1,Haver_Q!$B$1:$BD$1,0)),"na")</f>
        <v>na</v>
      </c>
      <c r="C80" t="str">
        <f>IF(ISNUMBER(INDEX(Haver_Q!$B$1:$BD$1000,MATCH(data!$A80,Haver_Q!$B$1:$B$1000,0),MATCH(data!C$1,Haver_Q!$B$1:$BD$1,0))),100*INDEX(Haver_Q!$B$1:$BD$1000,MATCH(data!$A80,Haver_Q!$B$1:$B$1000,0),MATCH(data!C$1,Haver_Q!$B$1:$BD$1,0)),"na")</f>
        <v>na</v>
      </c>
      <c r="D80" t="str">
        <f>IF(ISNUMBER(INDEX(Haver_Q!$B$1:$BD$1000,MATCH(data!$A80,Haver_Q!$B$1:$B$1000,0),MATCH(data!D$1,Haver_Q!$B$1:$BD$1,0))),100*INDEX(Haver_Q!$B$1:$BD$1000,MATCH(data!$A80,Haver_Q!$B$1:$B$1000,0),MATCH(data!D$1,Haver_Q!$B$1:$BD$1,0)),"na")</f>
        <v>na</v>
      </c>
      <c r="E80" t="str">
        <f>IF(ISNUMBER(INDEX(Haver_Q!$B$1:$BD$1000,MATCH(data!$A80,Haver_Q!$B$1:$B$1000,0),MATCH(data!E$1,Haver_Q!$B$1:$BD$1,0))),100*INDEX(Haver_Q!$B$1:$BD$1000,MATCH(data!$A80,Haver_Q!$B$1:$B$1000,0),MATCH(data!E$1,Haver_Q!$B$1:$BD$1,0)),"na")</f>
        <v>na</v>
      </c>
      <c r="F80" t="str">
        <f>IF(ISNUMBER(INDEX(Haver_Q!$B$1:$BD$1000,MATCH(data!$A80,Haver_Q!$B$1:$B$1000,0),MATCH(data!F$1,Haver_Q!$B$1:$BD$1,0))),100*INDEX(Haver_Q!$B$1:$BD$1000,MATCH(data!$A80,Haver_Q!$B$1:$B$1000,0),MATCH(data!F$1,Haver_Q!$B$1:$BD$1,0)),"na")</f>
        <v>na</v>
      </c>
      <c r="G80" t="str">
        <f>IF(ISNUMBER(INDEX(Haver_Q!$B$1:$BD$1000,MATCH(data!$A80,Haver_Q!$B$1:$B$1000,0),MATCH(data!G$1,Haver_Q!$B$1:$BD$1,0))),100*INDEX(Haver_Q!$B$1:$BD$1000,MATCH(data!$A80,Haver_Q!$B$1:$B$1000,0),MATCH(data!G$1,Haver_Q!$B$1:$BD$1,0)),"na")</f>
        <v>na</v>
      </c>
      <c r="H80" t="str">
        <f>IF(ISNUMBER(INDEX(Haver_Q!$B$1:$BD$1000,MATCH(data!$A80,Haver_Q!$B$1:$B$1000,0),MATCH(data!H$1,Haver_Q!$B$1:$BD$1,0))),100*INDEX(Haver_Q!$B$1:$BD$1000,MATCH(data!$A80,Haver_Q!$B$1:$B$1000,0),MATCH(data!H$1,Haver_Q!$B$1:$BD$1,0)),"na")</f>
        <v>na</v>
      </c>
      <c r="I80" s="3">
        <f>IF(ISNUMBER(Bloomberg_m!C96),Bloomberg_m!C96,"na")</f>
        <v>3050</v>
      </c>
      <c r="J80" s="3" t="str">
        <f>IF(ISNUMBER(Bloomberg_m!D96),Bloomberg_m!D96,"na")</f>
        <v>na</v>
      </c>
      <c r="K80" s="3" t="str">
        <f>IF(ISNUMBER(Bloomberg_m!E96),Bloomberg_m!E96,"na")</f>
        <v>na</v>
      </c>
      <c r="L80" s="3">
        <f>IF(ISNUMBER(Bloomberg_m!L96),Bloomberg_m!L96,"na")</f>
        <v>74.400000000000006</v>
      </c>
      <c r="M80" t="str">
        <f>IF(ISNUMBER(INDEX(Haver_M!$B$1:$ZN$1000,MATCH(data!$A80,Haver_M!$B$1:$B$1000,0),MATCH(data!M$1,Haver_M!$B$1:$ZN$1,0))),INDEX(Haver_M!$B$1:$ZN$1000,MATCH(data!$A80,Haver_M!$B$1:$B$1000,0),MATCH(data!M$1,Haver_M!$B$1:$ZN$1,0)),"na")</f>
        <v>na</v>
      </c>
      <c r="N80" t="str">
        <f>IF(ISNUMBER(INDEX(Haver_M!$B$1:$ZN$1000,MATCH(data!$A80,Haver_M!$B$1:$B$1000,0),MATCH(data!N$1,Haver_M!$B$1:$ZN$1,0))),INDEX(Haver_M!$B$1:$ZN$1000,MATCH(data!$A80,Haver_M!$B$1:$B$1000,0),MATCH(data!N$1,Haver_M!$B$1:$ZN$1,0)),"na")</f>
        <v>na</v>
      </c>
      <c r="O80">
        <f>IF(ISNUMBER(INDEX(Haver_M!$B$1:$ZN$1000,MATCH(data!$A80,Haver_M!$B$1:$B$1000,0),MATCH(data!O$1,Haver_M!$B$1:$ZN$1,0))),INDEX(Haver_M!$B$1:$ZN$1000,MATCH(data!$A80,Haver_M!$B$1:$B$1000,0),MATCH(data!O$1,Haver_M!$B$1:$ZN$1,0)),"na")</f>
        <v>109.07706</v>
      </c>
      <c r="P80">
        <f>IF(ISNUMBER(INDEX(Haver_M!$B$1:$ZN$1000,MATCH(data!$A80,Haver_M!$B$1:$B$1000,0),MATCH(data!P$1,Haver_M!$B$1:$ZN$1,0))),INDEX(Haver_M!$B$1:$ZN$1000,MATCH(data!$A80,Haver_M!$B$1:$B$1000,0),MATCH(data!P$1,Haver_M!$B$1:$ZN$1,0)),"na")</f>
        <v>61.171300000000002</v>
      </c>
      <c r="Q80">
        <f>IF(ISNUMBER(INDEX(Haver_M!$B$1:$ZN$1000,MATCH(data!$A80,Haver_M!$B$1:$B$1000,0),MATCH(data!Q$1,Haver_M!$B$1:$ZN$1,0))),INDEX(Haver_M!$B$1:$ZN$1000,MATCH(data!$A80,Haver_M!$B$1:$B$1000,0),MATCH(data!Q$1,Haver_M!$B$1:$ZN$1,0)),"na")</f>
        <v>65.080200000000005</v>
      </c>
      <c r="R80">
        <f>IF(ISNUMBER(INDEX(Haver_M!$B$1:$ZN$1000,MATCH(data!$A80,Haver_M!$B$1:$B$1000,0),MATCH(data!R$1,Haver_M!$B$1:$ZN$1,0))),INDEX(Haver_M!$B$1:$ZN$1000,MATCH(data!$A80,Haver_M!$B$1:$B$1000,0),MATCH(data!R$1,Haver_M!$B$1:$ZN$1,0)),"na")</f>
        <v>98.465900000000005</v>
      </c>
      <c r="S80">
        <f>IF(ISNUMBER(INDEX(Haver_M!$B$1:$ZN$1000,MATCH(data!$A80,Haver_M!$B$1:$B$1000,0),MATCH(data!S$1,Haver_M!$B$1:$ZN$1,0))),INDEX(Haver_M!$B$1:$ZN$1000,MATCH(data!$A80,Haver_M!$B$1:$B$1000,0),MATCH(data!S$1,Haver_M!$B$1:$ZN$1,0)),"na")</f>
        <v>110.2359</v>
      </c>
      <c r="T80">
        <f>IF(ISNUMBER(INDEX(Haver_M!$B$1:$ZN$1000,MATCH(data!$A80,Haver_M!$B$1:$B$1000,0),MATCH(data!T$1,Haver_M!$B$1:$ZN$1,0))),INDEX(Haver_M!$B$1:$ZN$1000,MATCH(data!$A80,Haver_M!$B$1:$B$1000,0),MATCH(data!T$1,Haver_M!$B$1:$ZN$1,0)),"na")</f>
        <v>82.096400000000003</v>
      </c>
      <c r="U80">
        <f>IF(ISNUMBER(INDEX(Haver_M!$B$1:$ZN$1000,MATCH(data!$A80,Haver_M!$B$1:$B$1000,0),MATCH(data!U$1,Haver_M!$B$1:$ZN$1,0))),INDEX(Haver_M!$B$1:$ZN$1000,MATCH(data!$A80,Haver_M!$B$1:$B$1000,0),MATCH(data!U$1,Haver_M!$B$1:$ZN$1,0)),"na")</f>
        <v>94.8155</v>
      </c>
      <c r="V80">
        <f>IF(ISNUMBER(INDEX(Haver_M!$B$1:$ZN$1000,MATCH(data!$A80,Haver_M!$B$1:$B$1000,0),MATCH(data!V$1,Haver_M!$B$1:$ZN$1,0))),INDEX(Haver_M!$B$1:$ZN$1000,MATCH(data!$A80,Haver_M!$B$1:$B$1000,0),MATCH(data!V$1,Haver_M!$B$1:$ZN$1,0)),"na")</f>
        <v>96.801599999999993</v>
      </c>
      <c r="W80">
        <f>IF(ISNUMBER(INDEX(Haver_M!$B$1:$ZN$1000,MATCH(data!$A80,Haver_M!$B$1:$B$1000,0),MATCH(data!W$1,Haver_M!$B$1:$ZN$1,0))),INDEX(Haver_M!$B$1:$ZN$1000,MATCH(data!$A80,Haver_M!$B$1:$B$1000,0),MATCH(data!W$1,Haver_M!$B$1:$ZN$1,0)),"na")</f>
        <v>3.64</v>
      </c>
      <c r="X80" t="str">
        <f>IF(ISNUMBER(INDEX(Haver_M!$B$1:$ZN$1000,MATCH(data!$A80,Haver_M!$B$1:$B$1000,0),MATCH(data!X$1,Haver_M!$B$1:$ZN$1,0))),INDEX(Haver_M!$B$1:$ZN$1000,MATCH(data!$A80,Haver_M!$B$1:$B$1000,0),MATCH(data!X$1,Haver_M!$B$1:$ZN$1,0)),"na")</f>
        <v>na</v>
      </c>
      <c r="Y80">
        <f>IF(ISNUMBER(INDEX(Haver_M!$B$1:$ZN$1000,MATCH(data!$A80,Haver_M!$B$1:$B$1000,0),MATCH(data!Y$1,Haver_M!$B$1:$ZN$1,0))),INDEX(Haver_M!$B$1:$ZN$1000,MATCH(data!$A80,Haver_M!$B$1:$B$1000,0),MATCH(data!Y$1,Haver_M!$B$1:$ZN$1,0)),"na")</f>
        <v>101.19</v>
      </c>
      <c r="Z80">
        <f>IF(ISNUMBER(INDEX(Haver_M!$B$1:$ZN$1000,MATCH(data!$A80,Haver_M!$B$1:$B$1000,0),MATCH(data!Z$1,Haver_M!$B$1:$ZN$1,0))),INDEX(Haver_M!$B$1:$ZN$1000,MATCH(data!$A80,Haver_M!$B$1:$B$1000,0),MATCH(data!Z$1,Haver_M!$B$1:$ZN$1,0)),"na")</f>
        <v>93.552199999999999</v>
      </c>
      <c r="AA80" t="str">
        <f>IF(ISNUMBER(INDEX(Haver_M!$B$1:$ZN$1000,MATCH(data!$A80,Haver_M!$B$1:$B$1000,0),MATCH(data!AA$1,Haver_M!$B$1:$ZN$1,0))),INDEX(Haver_M!$B$1:$ZN$1000,MATCH(data!$A80,Haver_M!$B$1:$B$1000,0),MATCH(data!AA$1,Haver_M!$B$1:$ZN$1,0)),"na")</f>
        <v>na</v>
      </c>
      <c r="AB80">
        <f>IF(ISNUMBER(INDEX(Haver_M!$B$1:$ZN$1000,MATCH(data!$A80,Haver_M!$B$1:$B$1000,0),MATCH(data!AB$1,Haver_M!$B$1:$ZN$1,0))),INDEX(Haver_M!$B$1:$ZN$1000,MATCH(data!$A80,Haver_M!$B$1:$B$1000,0),MATCH(data!AB$1,Haver_M!$B$1:$ZN$1,0)),"na")</f>
        <v>20704.5</v>
      </c>
      <c r="AC80">
        <f>IF(ISNUMBER(INDEX(Haver_M!$B$1:$ZN$1000,MATCH(data!$A80,Haver_M!$B$1:$B$1000,0),MATCH(data!AC$1,Haver_M!$B$1:$ZN$1,0))),INDEX(Haver_M!$B$1:$ZN$1000,MATCH(data!$A80,Haver_M!$B$1:$B$1000,0),MATCH(data!AC$1,Haver_M!$B$1:$ZN$1,0)),"na")</f>
        <v>21396.5</v>
      </c>
      <c r="AD80">
        <f>IF(ISNUMBER(INDEX(Haver_M!$B$1:$ZN$1000,MATCH(data!$A80,Haver_M!$B$1:$B$1000,0),MATCH(data!AD$1,Haver_M!$B$1:$ZN$1,0))),INDEX(Haver_M!$B$1:$ZN$1000,MATCH(data!$A80,Haver_M!$B$1:$B$1000,0),MATCH(data!AD$1,Haver_M!$B$1:$ZN$1,0)),"na")</f>
        <v>100.81</v>
      </c>
      <c r="AE80">
        <f>IF(ISNUMBER(INDEX(Haver_M!$B$1:$ZN$1000,MATCH(data!$A80,Haver_M!$B$1:$B$1000,0),MATCH(data!AE$1,Haver_M!$B$1:$ZN$1,0))),INDEX(Haver_M!$B$1:$ZN$1000,MATCH(data!$A80,Haver_M!$B$1:$B$1000,0),MATCH(data!AE$1,Haver_M!$B$1:$ZN$1,0)),"na")</f>
        <v>44.8</v>
      </c>
      <c r="AF80">
        <f>IF(ISNUMBER(INDEX(Haver_M!$B$1:$ZN$1000,MATCH(data!$A80,Haver_M!$B$1:$B$1000,0),MATCH(data!AF$1,Haver_M!$B$1:$ZN$1,0))),INDEX(Haver_M!$B$1:$ZN$1000,MATCH(data!$A80,Haver_M!$B$1:$B$1000,0),MATCH(data!AF$1,Haver_M!$B$1:$ZN$1,0)),"na")</f>
        <v>100.98</v>
      </c>
      <c r="AG80" t="str">
        <f>IF(ISNUMBER(INDEX(Haver_M!$B$1:$ZN$1000,MATCH(data!$A80,Haver_M!$B$1:$B$1000,0),MATCH(data!AG$1,Haver_M!$B$1:$ZN$1,0))),INDEX(Haver_M!$B$1:$ZN$1000,MATCH(data!$A80,Haver_M!$B$1:$B$1000,0),MATCH(data!AG$1,Haver_M!$B$1:$ZN$1,0)),"na")</f>
        <v>na</v>
      </c>
      <c r="AH80" t="str">
        <f>IF(ISNUMBER(INDEX(Haver_M!$B$1:$ZN$1000,MATCH(data!$A80,Haver_M!$B$1:$B$1000,0),MATCH(data!AH$1,Haver_M!$B$1:$ZN$1,0))),INDEX(Haver_M!$B$1:$ZN$1000,MATCH(data!$A80,Haver_M!$B$1:$B$1000,0),MATCH(data!AH$1,Haver_M!$B$1:$ZN$1,0)),"na")</f>
        <v>na</v>
      </c>
      <c r="AI80" t="str">
        <f>IF(ISNUMBER(INDEX(Haver_M!$B$1:$ZN$1000,MATCH(data!$A80,Haver_M!$B$1:$B$1000,0),MATCH(data!AI$1,Haver_M!$B$1:$ZN$1,0))),INDEX(Haver_M!$B$1:$ZN$1000,MATCH(data!$A80,Haver_M!$B$1:$B$1000,0),MATCH(data!AI$1,Haver_M!$B$1:$ZN$1,0)),"na")</f>
        <v>na</v>
      </c>
      <c r="AJ80" t="str">
        <f>IF(ISNUMBER(INDEX(Haver_M!$B$1:$ZN$1000,MATCH(data!$A80,Haver_M!$B$1:$B$1000,0),MATCH(data!AJ$1,Haver_M!$B$1:$ZN$1,0))),INDEX(Haver_M!$B$1:$ZN$1000,MATCH(data!$A80,Haver_M!$B$1:$B$1000,0),MATCH(data!AJ$1,Haver_M!$B$1:$ZN$1,0)),"na")</f>
        <v>na</v>
      </c>
      <c r="AK80" t="str">
        <f>IF(ISNUMBER(INDEX(Haver_M!$B$1:$ZN$1000,MATCH(data!$A80,Haver_M!$B$1:$B$1000,0),MATCH(data!AK$1,Haver_M!$B$1:$ZN$1,0))),INDEX(Haver_M!$B$1:$ZN$1000,MATCH(data!$A80,Haver_M!$B$1:$B$1000,0),MATCH(data!AK$1,Haver_M!$B$1:$ZN$1,0)),"na")</f>
        <v>na</v>
      </c>
      <c r="AL80" t="str">
        <f>IF(ISNUMBER(INDEX(Haver_M!$B$1:$ZN$1000,MATCH(data!$A80,Haver_M!$B$1:$B$1000,0),MATCH(data!AL$1,Haver_M!$B$1:$ZN$1,0))),INDEX(Haver_M!$B$1:$ZN$1000,MATCH(data!$A80,Haver_M!$B$1:$B$1000,0),MATCH(data!AL$1,Haver_M!$B$1:$ZN$1,0)),"na")</f>
        <v>na</v>
      </c>
      <c r="AM80" t="str">
        <f>IF(ISNUMBER(INDEX(Haver_M!$B$1:$ZN$1000,MATCH(data!$A80,Haver_M!$B$1:$B$1000,0),MATCH(data!AM$1,Haver_M!$B$1:$ZN$1,0))),INDEX(Haver_M!$B$1:$ZN$1000,MATCH(data!$A80,Haver_M!$B$1:$B$1000,0),MATCH(data!AM$1,Haver_M!$B$1:$ZN$1,0)),"na")</f>
        <v>na</v>
      </c>
      <c r="AN80" t="str">
        <f>IF(ISNUMBER(INDEX(Haver_M!$B$1:$ZN$1000,MATCH(data!$A80,Haver_M!$B$1:$B$1000,0),MATCH(data!AN$1,Haver_M!$B$1:$ZN$1,0))),INDEX(Haver_M!$B$1:$ZN$1000,MATCH(data!$A80,Haver_M!$B$1:$B$1000,0),MATCH(data!AN$1,Haver_M!$B$1:$ZN$1,0)),"na")</f>
        <v>na</v>
      </c>
      <c r="AO80" t="str">
        <f>IF(ISNUMBER(INDEX(Haver_M!$B$1:$ZN$1000,MATCH(data!$A80,Haver_M!$B$1:$B$1000,0),MATCH(data!AO$1,Haver_M!$B$1:$ZN$1,0))),INDEX(Haver_M!$B$1:$ZN$1000,MATCH(data!$A80,Haver_M!$B$1:$B$1000,0),MATCH(data!AO$1,Haver_M!$B$1:$ZN$1,0)),"na")</f>
        <v>na</v>
      </c>
      <c r="AP80" t="str">
        <f>IF(ISNUMBER(INDEX(Haver_M!$B$1:$ZN$1000,MATCH(data!$A80,Haver_M!$B$1:$B$1000,0),MATCH(data!AP$1,Haver_M!$B$1:$ZN$1,0))),INDEX(Haver_M!$B$1:$ZN$1000,MATCH(data!$A80,Haver_M!$B$1:$B$1000,0),MATCH(data!AP$1,Haver_M!$B$1:$ZN$1,0)),"na")</f>
        <v>na</v>
      </c>
      <c r="AQ80" t="str">
        <f>IF(ISNUMBER(INDEX(Haver_M!$B$1:$ZN$1000,MATCH(data!$A80,Haver_M!$B$1:$B$1000,0),MATCH(data!AQ$1,Haver_M!$B$1:$ZN$1,0))),INDEX(Haver_M!$B$1:$ZN$1000,MATCH(data!$A80,Haver_M!$B$1:$B$1000,0),MATCH(data!AQ$1,Haver_M!$B$1:$ZN$1,0)),"na")</f>
        <v>na</v>
      </c>
      <c r="AR80" t="str">
        <f>IF(ISNUMBER(INDEX(Haver_M!$B$1:$ZN$1000,MATCH(data!$A80,Haver_M!$B$1:$B$1000,0),MATCH(data!AR$1,Haver_M!$B$1:$ZN$1,0))),INDEX(Haver_M!$B$1:$ZN$1000,MATCH(data!$A80,Haver_M!$B$1:$B$1000,0),MATCH(data!AR$1,Haver_M!$B$1:$ZN$1,0)),"na")</f>
        <v>na</v>
      </c>
      <c r="AS80">
        <f>IF(ISNUMBER(INDEX(Haver_M!$B$1:$ZN$1000,MATCH(data!$A80,Haver_M!$B$1:$B$1000,0),MATCH(data!AS$1,Haver_M!$B$1:$ZN$1,0))),INDEX(Haver_M!$B$1:$ZN$1000,MATCH(data!$A80,Haver_M!$B$1:$B$1000,0),MATCH(data!AS$1,Haver_M!$B$1:$ZN$1,0)),"na")</f>
        <v>19627.63</v>
      </c>
      <c r="AT80">
        <f>IF(ISNUMBER(INDEX(Haver_M!$B$1:$ZN$1000,MATCH(data!$A80,Haver_M!$B$1:$B$1000,0),MATCH(data!AT$1,Haver_M!$B$1:$ZN$1,0))),INDEX(Haver_M!$B$1:$ZN$1000,MATCH(data!$A80,Haver_M!$B$1:$B$1000,0),MATCH(data!AT$1,Haver_M!$B$1:$ZN$1,0)),"na")</f>
        <v>92.679000000000002</v>
      </c>
      <c r="AU80">
        <f>IF(ISNUMBER(INDEX(Haver_M!$B$1:$ZN$1000,MATCH(data!$A80,Haver_M!$B$1:$B$1000,0),MATCH(data!AU$1,Haver_M!$B$1:$ZN$1,0))),INDEX(Haver_M!$B$1:$ZN$1000,MATCH(data!$A80,Haver_M!$B$1:$B$1000,0),MATCH(data!AU$1,Haver_M!$B$1:$ZN$1,0)),"na")</f>
        <v>89.510334999999998</v>
      </c>
      <c r="AV80">
        <f>IF(ISNUMBER(INDEX(Haver_M!$B$1:$ZN$1000,MATCH(data!$A80,Haver_M!$B$1:$B$1000,0),MATCH(data!AV$1,Haver_M!$B$1:$ZN$1,0))),INDEX(Haver_M!$B$1:$ZN$1000,MATCH(data!$A80,Haver_M!$B$1:$B$1000,0),MATCH(data!AV$1,Haver_M!$B$1:$ZN$1,0)),"na")</f>
        <v>87.3</v>
      </c>
      <c r="AW80">
        <f>IF(ISNUMBER(INDEX(Haver_M!$B$1:$ZN$1000,MATCH(data!$A80,Haver_M!$B$1:$B$1000,0),MATCH(data!AW$1,Haver_M!$B$1:$ZN$1,0))),INDEX(Haver_M!$B$1:$ZN$1000,MATCH(data!$A80,Haver_M!$B$1:$B$1000,0),MATCH(data!AW$1,Haver_M!$B$1:$ZN$1,0)),"na")</f>
        <v>1045783.9746482993</v>
      </c>
      <c r="AX80">
        <f>IF(ISNUMBER(INDEX(Haver_M!$B$1:$ZN$1000,MATCH(data!$A80,Haver_M!$B$1:$B$1000,0),MATCH(data!AX$1,Haver_M!$B$1:$ZN$1,0))),INDEX(Haver_M!$B$1:$ZN$1000,MATCH(data!$A80,Haver_M!$B$1:$B$1000,0),MATCH(data!AX$1,Haver_M!$B$1:$ZN$1,0)),"na")</f>
        <v>3252</v>
      </c>
      <c r="AY80">
        <f>IF(ISNUMBER(INDEX(Haver_M!$B$1:$ZN$1000,MATCH(data!$A80,Haver_M!$B$1:$B$1000,0),MATCH(data!AY$1,Haver_M!$B$1:$ZN$1,0))),INDEX(Haver_M!$B$1:$ZN$1000,MATCH(data!$A80,Haver_M!$B$1:$B$1000,0),MATCH(data!AY$1,Haver_M!$B$1:$ZN$1,0)),"na")</f>
        <v>1635</v>
      </c>
      <c r="AZ80">
        <f>IF(ISNUMBER(INDEX(Haver_M!$B$1:$ZN$1000,MATCH(data!$A80,Haver_M!$B$1:$B$1000,0),MATCH(data!AZ$1,Haver_M!$B$1:$ZN$1,0))),INDEX(Haver_M!$B$1:$ZN$1000,MATCH(data!$A80,Haver_M!$B$1:$B$1000,0),MATCH(data!AZ$1,Haver_M!$B$1:$ZN$1,0)),"na")</f>
        <v>53.4</v>
      </c>
      <c r="BA80">
        <f>IF(ISNUMBER(INDEX(Haver_M!$B$1:$ZN$1000,MATCH(data!$A80,Haver_M!$B$1:$B$1000,0),MATCH(data!BA$1,Haver_M!$B$1:$ZN$1,0))),INDEX(Haver_M!$B$1:$ZN$1000,MATCH(data!$A80,Haver_M!$B$1:$B$1000,0),MATCH(data!BA$1,Haver_M!$B$1:$ZN$1,0)),"na")</f>
        <v>85.292567954158926</v>
      </c>
      <c r="BB80" t="str">
        <f>IF(ISNUMBER(INDEX(Haver_M!$B$1:$ZN$1000,MATCH(data!$A80,Haver_M!$B$1:$B$1000,0),MATCH(data!BB$1,Haver_M!$B$1:$ZN$1,0))),INDEX(Haver_M!$B$1:$ZN$1000,MATCH(data!$A80,Haver_M!$B$1:$B$1000,0),MATCH(data!BB$1,Haver_M!$B$1:$ZN$1,0)),"")</f>
        <v/>
      </c>
    </row>
    <row r="81" spans="1:54" x14ac:dyDescent="0.25">
      <c r="A81" s="2">
        <v>38960</v>
      </c>
      <c r="B81" t="str">
        <f>IF(ISNUMBER(INDEX(Haver_Q!$B$1:$BD$1000,MATCH(data!$A81,Haver_Q!$B$1:$B$1000,0),MATCH(data!B$1,Haver_Q!$B$1:$BD$1,0))),100*INDEX(Haver_Q!$B$1:$BD$1000,MATCH(data!$A81,Haver_Q!$B$1:$B$1000,0),MATCH(data!B$1,Haver_Q!$B$1:$BD$1,0)),"na")</f>
        <v>na</v>
      </c>
      <c r="C81" t="str">
        <f>IF(ISNUMBER(INDEX(Haver_Q!$B$1:$BD$1000,MATCH(data!$A81,Haver_Q!$B$1:$B$1000,0),MATCH(data!C$1,Haver_Q!$B$1:$BD$1,0))),100*INDEX(Haver_Q!$B$1:$BD$1000,MATCH(data!$A81,Haver_Q!$B$1:$B$1000,0),MATCH(data!C$1,Haver_Q!$B$1:$BD$1,0)),"na")</f>
        <v>na</v>
      </c>
      <c r="D81" t="str">
        <f>IF(ISNUMBER(INDEX(Haver_Q!$B$1:$BD$1000,MATCH(data!$A81,Haver_Q!$B$1:$B$1000,0),MATCH(data!D$1,Haver_Q!$B$1:$BD$1,0))),100*INDEX(Haver_Q!$B$1:$BD$1000,MATCH(data!$A81,Haver_Q!$B$1:$B$1000,0),MATCH(data!D$1,Haver_Q!$B$1:$BD$1,0)),"na")</f>
        <v>na</v>
      </c>
      <c r="E81" t="str">
        <f>IF(ISNUMBER(INDEX(Haver_Q!$B$1:$BD$1000,MATCH(data!$A81,Haver_Q!$B$1:$B$1000,0),MATCH(data!E$1,Haver_Q!$B$1:$BD$1,0))),100*INDEX(Haver_Q!$B$1:$BD$1000,MATCH(data!$A81,Haver_Q!$B$1:$B$1000,0),MATCH(data!E$1,Haver_Q!$B$1:$BD$1,0)),"na")</f>
        <v>na</v>
      </c>
      <c r="F81" t="str">
        <f>IF(ISNUMBER(INDEX(Haver_Q!$B$1:$BD$1000,MATCH(data!$A81,Haver_Q!$B$1:$B$1000,0),MATCH(data!F$1,Haver_Q!$B$1:$BD$1,0))),100*INDEX(Haver_Q!$B$1:$BD$1000,MATCH(data!$A81,Haver_Q!$B$1:$B$1000,0),MATCH(data!F$1,Haver_Q!$B$1:$BD$1,0)),"na")</f>
        <v>na</v>
      </c>
      <c r="G81" t="str">
        <f>IF(ISNUMBER(INDEX(Haver_Q!$B$1:$BD$1000,MATCH(data!$A81,Haver_Q!$B$1:$B$1000,0),MATCH(data!G$1,Haver_Q!$B$1:$BD$1,0))),100*INDEX(Haver_Q!$B$1:$BD$1000,MATCH(data!$A81,Haver_Q!$B$1:$B$1000,0),MATCH(data!G$1,Haver_Q!$B$1:$BD$1,0)),"na")</f>
        <v>na</v>
      </c>
      <c r="H81" t="str">
        <f>IF(ISNUMBER(INDEX(Haver_Q!$B$1:$BD$1000,MATCH(data!$A81,Haver_Q!$B$1:$B$1000,0),MATCH(data!H$1,Haver_Q!$B$1:$BD$1,0))),100*INDEX(Haver_Q!$B$1:$BD$1000,MATCH(data!$A81,Haver_Q!$B$1:$B$1000,0),MATCH(data!H$1,Haver_Q!$B$1:$BD$1,0)),"na")</f>
        <v>na</v>
      </c>
      <c r="I81" s="3">
        <f>IF(ISNUMBER(Bloomberg_m!C97),Bloomberg_m!C97,"na")</f>
        <v>3687</v>
      </c>
      <c r="J81" s="3" t="str">
        <f>IF(ISNUMBER(Bloomberg_m!D97),Bloomberg_m!D97,"na")</f>
        <v>na</v>
      </c>
      <c r="K81" s="3" t="str">
        <f>IF(ISNUMBER(Bloomberg_m!E97),Bloomberg_m!E97,"na")</f>
        <v>na</v>
      </c>
      <c r="L81" s="3">
        <f>IF(ISNUMBER(Bloomberg_m!L97),Bloomberg_m!L97,"na")</f>
        <v>73.040000000000006</v>
      </c>
      <c r="M81" t="str">
        <f>IF(ISNUMBER(INDEX(Haver_M!$B$1:$ZN$1000,MATCH(data!$A81,Haver_M!$B$1:$B$1000,0),MATCH(data!M$1,Haver_M!$B$1:$ZN$1,0))),INDEX(Haver_M!$B$1:$ZN$1000,MATCH(data!$A81,Haver_M!$B$1:$B$1000,0),MATCH(data!M$1,Haver_M!$B$1:$ZN$1,0)),"na")</f>
        <v>na</v>
      </c>
      <c r="N81" t="str">
        <f>IF(ISNUMBER(INDEX(Haver_M!$B$1:$ZN$1000,MATCH(data!$A81,Haver_M!$B$1:$B$1000,0),MATCH(data!N$1,Haver_M!$B$1:$ZN$1,0))),INDEX(Haver_M!$B$1:$ZN$1000,MATCH(data!$A81,Haver_M!$B$1:$B$1000,0),MATCH(data!N$1,Haver_M!$B$1:$ZN$1,0)),"na")</f>
        <v>na</v>
      </c>
      <c r="O81">
        <f>IF(ISNUMBER(INDEX(Haver_M!$B$1:$ZN$1000,MATCH(data!$A81,Haver_M!$B$1:$B$1000,0),MATCH(data!O$1,Haver_M!$B$1:$ZN$1,0))),INDEX(Haver_M!$B$1:$ZN$1000,MATCH(data!$A81,Haver_M!$B$1:$B$1000,0),MATCH(data!O$1,Haver_M!$B$1:$ZN$1,0)),"na")</f>
        <v>110.06059999999999</v>
      </c>
      <c r="P81">
        <f>IF(ISNUMBER(INDEX(Haver_M!$B$1:$ZN$1000,MATCH(data!$A81,Haver_M!$B$1:$B$1000,0),MATCH(data!P$1,Haver_M!$B$1:$ZN$1,0))),INDEX(Haver_M!$B$1:$ZN$1000,MATCH(data!$A81,Haver_M!$B$1:$B$1000,0),MATCH(data!P$1,Haver_M!$B$1:$ZN$1,0)),"na")</f>
        <v>61.463200000000001</v>
      </c>
      <c r="Q81">
        <f>IF(ISNUMBER(INDEX(Haver_M!$B$1:$ZN$1000,MATCH(data!$A81,Haver_M!$B$1:$B$1000,0),MATCH(data!Q$1,Haver_M!$B$1:$ZN$1,0))),INDEX(Haver_M!$B$1:$ZN$1000,MATCH(data!$A81,Haver_M!$B$1:$B$1000,0),MATCH(data!Q$1,Haver_M!$B$1:$ZN$1,0)),"na")</f>
        <v>65.256299999999996</v>
      </c>
      <c r="R81">
        <f>IF(ISNUMBER(INDEX(Haver_M!$B$1:$ZN$1000,MATCH(data!$A81,Haver_M!$B$1:$B$1000,0),MATCH(data!R$1,Haver_M!$B$1:$ZN$1,0))),INDEX(Haver_M!$B$1:$ZN$1000,MATCH(data!$A81,Haver_M!$B$1:$B$1000,0),MATCH(data!R$1,Haver_M!$B$1:$ZN$1,0)),"na")</f>
        <v>98.731800000000007</v>
      </c>
      <c r="S81">
        <f>IF(ISNUMBER(INDEX(Haver_M!$B$1:$ZN$1000,MATCH(data!$A81,Haver_M!$B$1:$B$1000,0),MATCH(data!S$1,Haver_M!$B$1:$ZN$1,0))),INDEX(Haver_M!$B$1:$ZN$1000,MATCH(data!$A81,Haver_M!$B$1:$B$1000,0),MATCH(data!S$1,Haver_M!$B$1:$ZN$1,0)),"na")</f>
        <v>111.2079</v>
      </c>
      <c r="T81">
        <f>IF(ISNUMBER(INDEX(Haver_M!$B$1:$ZN$1000,MATCH(data!$A81,Haver_M!$B$1:$B$1000,0),MATCH(data!T$1,Haver_M!$B$1:$ZN$1,0))),INDEX(Haver_M!$B$1:$ZN$1000,MATCH(data!$A81,Haver_M!$B$1:$B$1000,0),MATCH(data!T$1,Haver_M!$B$1:$ZN$1,0)),"na")</f>
        <v>82.830500000000001</v>
      </c>
      <c r="U81">
        <f>IF(ISNUMBER(INDEX(Haver_M!$B$1:$ZN$1000,MATCH(data!$A81,Haver_M!$B$1:$B$1000,0),MATCH(data!U$1,Haver_M!$B$1:$ZN$1,0))),INDEX(Haver_M!$B$1:$ZN$1000,MATCH(data!$A81,Haver_M!$B$1:$B$1000,0),MATCH(data!U$1,Haver_M!$B$1:$ZN$1,0)),"na")</f>
        <v>95.887500000000003</v>
      </c>
      <c r="V81">
        <f>IF(ISNUMBER(INDEX(Haver_M!$B$1:$ZN$1000,MATCH(data!$A81,Haver_M!$B$1:$B$1000,0),MATCH(data!V$1,Haver_M!$B$1:$ZN$1,0))),INDEX(Haver_M!$B$1:$ZN$1000,MATCH(data!$A81,Haver_M!$B$1:$B$1000,0),MATCH(data!V$1,Haver_M!$B$1:$ZN$1,0)),"na")</f>
        <v>95.751499999999993</v>
      </c>
      <c r="W81">
        <f>IF(ISNUMBER(INDEX(Haver_M!$B$1:$ZN$1000,MATCH(data!$A81,Haver_M!$B$1:$B$1000,0),MATCH(data!W$1,Haver_M!$B$1:$ZN$1,0))),INDEX(Haver_M!$B$1:$ZN$1000,MATCH(data!$A81,Haver_M!$B$1:$B$1000,0),MATCH(data!W$1,Haver_M!$B$1:$ZN$1,0)),"na")</f>
        <v>3.71</v>
      </c>
      <c r="X81" t="str">
        <f>IF(ISNUMBER(INDEX(Haver_M!$B$1:$ZN$1000,MATCH(data!$A81,Haver_M!$B$1:$B$1000,0),MATCH(data!X$1,Haver_M!$B$1:$ZN$1,0))),INDEX(Haver_M!$B$1:$ZN$1000,MATCH(data!$A81,Haver_M!$B$1:$B$1000,0),MATCH(data!X$1,Haver_M!$B$1:$ZN$1,0)),"na")</f>
        <v>na</v>
      </c>
      <c r="Y81">
        <f>IF(ISNUMBER(INDEX(Haver_M!$B$1:$ZN$1000,MATCH(data!$A81,Haver_M!$B$1:$B$1000,0),MATCH(data!Y$1,Haver_M!$B$1:$ZN$1,0))),INDEX(Haver_M!$B$1:$ZN$1000,MATCH(data!$A81,Haver_M!$B$1:$B$1000,0),MATCH(data!Y$1,Haver_M!$B$1:$ZN$1,0)),"na")</f>
        <v>101.28</v>
      </c>
      <c r="Z81">
        <f>IF(ISNUMBER(INDEX(Haver_M!$B$1:$ZN$1000,MATCH(data!$A81,Haver_M!$B$1:$B$1000,0),MATCH(data!Z$1,Haver_M!$B$1:$ZN$1,0))),INDEX(Haver_M!$B$1:$ZN$1000,MATCH(data!$A81,Haver_M!$B$1:$B$1000,0),MATCH(data!Z$1,Haver_M!$B$1:$ZN$1,0)),"na")</f>
        <v>94.619</v>
      </c>
      <c r="AA81" t="str">
        <f>IF(ISNUMBER(INDEX(Haver_M!$B$1:$ZN$1000,MATCH(data!$A81,Haver_M!$B$1:$B$1000,0),MATCH(data!AA$1,Haver_M!$B$1:$ZN$1,0))),INDEX(Haver_M!$B$1:$ZN$1000,MATCH(data!$A81,Haver_M!$B$1:$B$1000,0),MATCH(data!AA$1,Haver_M!$B$1:$ZN$1,0)),"na")</f>
        <v>na</v>
      </c>
      <c r="AB81">
        <f>IF(ISNUMBER(INDEX(Haver_M!$B$1:$ZN$1000,MATCH(data!$A81,Haver_M!$B$1:$B$1000,0),MATCH(data!AB$1,Haver_M!$B$1:$ZN$1,0))),INDEX(Haver_M!$B$1:$ZN$1000,MATCH(data!$A81,Haver_M!$B$1:$B$1000,0),MATCH(data!AB$1,Haver_M!$B$1:$ZN$1,0)),"na")</f>
        <v>21123.200000000001</v>
      </c>
      <c r="AC81">
        <f>IF(ISNUMBER(INDEX(Haver_M!$B$1:$ZN$1000,MATCH(data!$A81,Haver_M!$B$1:$B$1000,0),MATCH(data!AC$1,Haver_M!$B$1:$ZN$1,0))),INDEX(Haver_M!$B$1:$ZN$1000,MATCH(data!$A81,Haver_M!$B$1:$B$1000,0),MATCH(data!AC$1,Haver_M!$B$1:$ZN$1,0)),"na")</f>
        <v>21638.3</v>
      </c>
      <c r="AD81">
        <f>IF(ISNUMBER(INDEX(Haver_M!$B$1:$ZN$1000,MATCH(data!$A81,Haver_M!$B$1:$B$1000,0),MATCH(data!AD$1,Haver_M!$B$1:$ZN$1,0))),INDEX(Haver_M!$B$1:$ZN$1000,MATCH(data!$A81,Haver_M!$B$1:$B$1000,0),MATCH(data!AD$1,Haver_M!$B$1:$ZN$1,0)),"na")</f>
        <v>100.8</v>
      </c>
      <c r="AE81">
        <f>IF(ISNUMBER(INDEX(Haver_M!$B$1:$ZN$1000,MATCH(data!$A81,Haver_M!$B$1:$B$1000,0),MATCH(data!AE$1,Haver_M!$B$1:$ZN$1,0))),INDEX(Haver_M!$B$1:$ZN$1000,MATCH(data!$A81,Haver_M!$B$1:$B$1000,0),MATCH(data!AE$1,Haver_M!$B$1:$ZN$1,0)),"na")</f>
        <v>44.7</v>
      </c>
      <c r="AF81">
        <f>IF(ISNUMBER(INDEX(Haver_M!$B$1:$ZN$1000,MATCH(data!$A81,Haver_M!$B$1:$B$1000,0),MATCH(data!AF$1,Haver_M!$B$1:$ZN$1,0))),INDEX(Haver_M!$B$1:$ZN$1000,MATCH(data!$A81,Haver_M!$B$1:$B$1000,0),MATCH(data!AF$1,Haver_M!$B$1:$ZN$1,0)),"na")</f>
        <v>101.08</v>
      </c>
      <c r="AG81" t="str">
        <f>IF(ISNUMBER(INDEX(Haver_M!$B$1:$ZN$1000,MATCH(data!$A81,Haver_M!$B$1:$B$1000,0),MATCH(data!AG$1,Haver_M!$B$1:$ZN$1,0))),INDEX(Haver_M!$B$1:$ZN$1000,MATCH(data!$A81,Haver_M!$B$1:$B$1000,0),MATCH(data!AG$1,Haver_M!$B$1:$ZN$1,0)),"na")</f>
        <v>na</v>
      </c>
      <c r="AH81" t="str">
        <f>IF(ISNUMBER(INDEX(Haver_M!$B$1:$ZN$1000,MATCH(data!$A81,Haver_M!$B$1:$B$1000,0),MATCH(data!AH$1,Haver_M!$B$1:$ZN$1,0))),INDEX(Haver_M!$B$1:$ZN$1000,MATCH(data!$A81,Haver_M!$B$1:$B$1000,0),MATCH(data!AH$1,Haver_M!$B$1:$ZN$1,0)),"na")</f>
        <v>na</v>
      </c>
      <c r="AI81" t="str">
        <f>IF(ISNUMBER(INDEX(Haver_M!$B$1:$ZN$1000,MATCH(data!$A81,Haver_M!$B$1:$B$1000,0),MATCH(data!AI$1,Haver_M!$B$1:$ZN$1,0))),INDEX(Haver_M!$B$1:$ZN$1000,MATCH(data!$A81,Haver_M!$B$1:$B$1000,0),MATCH(data!AI$1,Haver_M!$B$1:$ZN$1,0)),"na")</f>
        <v>na</v>
      </c>
      <c r="AJ81" t="str">
        <f>IF(ISNUMBER(INDEX(Haver_M!$B$1:$ZN$1000,MATCH(data!$A81,Haver_M!$B$1:$B$1000,0),MATCH(data!AJ$1,Haver_M!$B$1:$ZN$1,0))),INDEX(Haver_M!$B$1:$ZN$1000,MATCH(data!$A81,Haver_M!$B$1:$B$1000,0),MATCH(data!AJ$1,Haver_M!$B$1:$ZN$1,0)),"na")</f>
        <v>na</v>
      </c>
      <c r="AK81" t="str">
        <f>IF(ISNUMBER(INDEX(Haver_M!$B$1:$ZN$1000,MATCH(data!$A81,Haver_M!$B$1:$B$1000,0),MATCH(data!AK$1,Haver_M!$B$1:$ZN$1,0))),INDEX(Haver_M!$B$1:$ZN$1000,MATCH(data!$A81,Haver_M!$B$1:$B$1000,0),MATCH(data!AK$1,Haver_M!$B$1:$ZN$1,0)),"na")</f>
        <v>na</v>
      </c>
      <c r="AL81" t="str">
        <f>IF(ISNUMBER(INDEX(Haver_M!$B$1:$ZN$1000,MATCH(data!$A81,Haver_M!$B$1:$B$1000,0),MATCH(data!AL$1,Haver_M!$B$1:$ZN$1,0))),INDEX(Haver_M!$B$1:$ZN$1000,MATCH(data!$A81,Haver_M!$B$1:$B$1000,0),MATCH(data!AL$1,Haver_M!$B$1:$ZN$1,0)),"na")</f>
        <v>na</v>
      </c>
      <c r="AM81" t="str">
        <f>IF(ISNUMBER(INDEX(Haver_M!$B$1:$ZN$1000,MATCH(data!$A81,Haver_M!$B$1:$B$1000,0),MATCH(data!AM$1,Haver_M!$B$1:$ZN$1,0))),INDEX(Haver_M!$B$1:$ZN$1000,MATCH(data!$A81,Haver_M!$B$1:$B$1000,0),MATCH(data!AM$1,Haver_M!$B$1:$ZN$1,0)),"na")</f>
        <v>na</v>
      </c>
      <c r="AN81" t="str">
        <f>IF(ISNUMBER(INDEX(Haver_M!$B$1:$ZN$1000,MATCH(data!$A81,Haver_M!$B$1:$B$1000,0),MATCH(data!AN$1,Haver_M!$B$1:$ZN$1,0))),INDEX(Haver_M!$B$1:$ZN$1000,MATCH(data!$A81,Haver_M!$B$1:$B$1000,0),MATCH(data!AN$1,Haver_M!$B$1:$ZN$1,0)),"na")</f>
        <v>na</v>
      </c>
      <c r="AO81" t="str">
        <f>IF(ISNUMBER(INDEX(Haver_M!$B$1:$ZN$1000,MATCH(data!$A81,Haver_M!$B$1:$B$1000,0),MATCH(data!AO$1,Haver_M!$B$1:$ZN$1,0))),INDEX(Haver_M!$B$1:$ZN$1000,MATCH(data!$A81,Haver_M!$B$1:$B$1000,0),MATCH(data!AO$1,Haver_M!$B$1:$ZN$1,0)),"na")</f>
        <v>na</v>
      </c>
      <c r="AP81" t="str">
        <f>IF(ISNUMBER(INDEX(Haver_M!$B$1:$ZN$1000,MATCH(data!$A81,Haver_M!$B$1:$B$1000,0),MATCH(data!AP$1,Haver_M!$B$1:$ZN$1,0))),INDEX(Haver_M!$B$1:$ZN$1000,MATCH(data!$A81,Haver_M!$B$1:$B$1000,0),MATCH(data!AP$1,Haver_M!$B$1:$ZN$1,0)),"na")</f>
        <v>na</v>
      </c>
      <c r="AQ81" t="str">
        <f>IF(ISNUMBER(INDEX(Haver_M!$B$1:$ZN$1000,MATCH(data!$A81,Haver_M!$B$1:$B$1000,0),MATCH(data!AQ$1,Haver_M!$B$1:$ZN$1,0))),INDEX(Haver_M!$B$1:$ZN$1000,MATCH(data!$A81,Haver_M!$B$1:$B$1000,0),MATCH(data!AQ$1,Haver_M!$B$1:$ZN$1,0)),"na")</f>
        <v>na</v>
      </c>
      <c r="AR81" t="str">
        <f>IF(ISNUMBER(INDEX(Haver_M!$B$1:$ZN$1000,MATCH(data!$A81,Haver_M!$B$1:$B$1000,0),MATCH(data!AR$1,Haver_M!$B$1:$ZN$1,0))),INDEX(Haver_M!$B$1:$ZN$1000,MATCH(data!$A81,Haver_M!$B$1:$B$1000,0),MATCH(data!AR$1,Haver_M!$B$1:$ZN$1,0)),"na")</f>
        <v>na</v>
      </c>
      <c r="AS81">
        <f>IF(ISNUMBER(INDEX(Haver_M!$B$1:$ZN$1000,MATCH(data!$A81,Haver_M!$B$1:$B$1000,0),MATCH(data!AS$1,Haver_M!$B$1:$ZN$1,0))),INDEX(Haver_M!$B$1:$ZN$1000,MATCH(data!$A81,Haver_M!$B$1:$B$1000,0),MATCH(data!AS$1,Haver_M!$B$1:$ZN$1,0)),"na")</f>
        <v>20645.95</v>
      </c>
      <c r="AT81">
        <f>IF(ISNUMBER(INDEX(Haver_M!$B$1:$ZN$1000,MATCH(data!$A81,Haver_M!$B$1:$B$1000,0),MATCH(data!AT$1,Haver_M!$B$1:$ZN$1,0))),INDEX(Haver_M!$B$1:$ZN$1000,MATCH(data!$A81,Haver_M!$B$1:$B$1000,0),MATCH(data!AT$1,Haver_M!$B$1:$ZN$1,0)),"na")</f>
        <v>92.849000000000004</v>
      </c>
      <c r="AU81">
        <f>IF(ISNUMBER(INDEX(Haver_M!$B$1:$ZN$1000,MATCH(data!$A81,Haver_M!$B$1:$B$1000,0),MATCH(data!AU$1,Haver_M!$B$1:$ZN$1,0))),INDEX(Haver_M!$B$1:$ZN$1000,MATCH(data!$A81,Haver_M!$B$1:$B$1000,0),MATCH(data!AU$1,Haver_M!$B$1:$ZN$1,0)),"na")</f>
        <v>89.767942000000005</v>
      </c>
      <c r="AV81">
        <f>IF(ISNUMBER(INDEX(Haver_M!$B$1:$ZN$1000,MATCH(data!$A81,Haver_M!$B$1:$B$1000,0),MATCH(data!AV$1,Haver_M!$B$1:$ZN$1,0))),INDEX(Haver_M!$B$1:$ZN$1000,MATCH(data!$A81,Haver_M!$B$1:$B$1000,0),MATCH(data!AV$1,Haver_M!$B$1:$ZN$1,0)),"na")</f>
        <v>88.5</v>
      </c>
      <c r="AW81">
        <f>IF(ISNUMBER(INDEX(Haver_M!$B$1:$ZN$1000,MATCH(data!$A81,Haver_M!$B$1:$B$1000,0),MATCH(data!AW$1,Haver_M!$B$1:$ZN$1,0))),INDEX(Haver_M!$B$1:$ZN$1000,MATCH(data!$A81,Haver_M!$B$1:$B$1000,0),MATCH(data!AW$1,Haver_M!$B$1:$ZN$1,0)),"na")</f>
        <v>947512.70165619848</v>
      </c>
      <c r="AX81">
        <f>IF(ISNUMBER(INDEX(Haver_M!$B$1:$ZN$1000,MATCH(data!$A81,Haver_M!$B$1:$B$1000,0),MATCH(data!AX$1,Haver_M!$B$1:$ZN$1,0))),INDEX(Haver_M!$B$1:$ZN$1000,MATCH(data!$A81,Haver_M!$B$1:$B$1000,0),MATCH(data!AX$1,Haver_M!$B$1:$ZN$1,0)),"na")</f>
        <v>3262</v>
      </c>
      <c r="AY81">
        <f>IF(ISNUMBER(INDEX(Haver_M!$B$1:$ZN$1000,MATCH(data!$A81,Haver_M!$B$1:$B$1000,0),MATCH(data!AY$1,Haver_M!$B$1:$ZN$1,0))),INDEX(Haver_M!$B$1:$ZN$1000,MATCH(data!$A81,Haver_M!$B$1:$B$1000,0),MATCH(data!AY$1,Haver_M!$B$1:$ZN$1,0)),"na")</f>
        <v>1776</v>
      </c>
      <c r="AZ81">
        <f>IF(ISNUMBER(INDEX(Haver_M!$B$1:$ZN$1000,MATCH(data!$A81,Haver_M!$B$1:$B$1000,0),MATCH(data!AZ$1,Haver_M!$B$1:$ZN$1,0))),INDEX(Haver_M!$B$1:$ZN$1000,MATCH(data!$A81,Haver_M!$B$1:$B$1000,0),MATCH(data!AZ$1,Haver_M!$B$1:$ZN$1,0)),"na")</f>
        <v>53.1</v>
      </c>
      <c r="BA81">
        <f>IF(ISNUMBER(INDEX(Haver_M!$B$1:$ZN$1000,MATCH(data!$A81,Haver_M!$B$1:$B$1000,0),MATCH(data!BA$1,Haver_M!$B$1:$ZN$1,0))),INDEX(Haver_M!$B$1:$ZN$1000,MATCH(data!$A81,Haver_M!$B$1:$B$1000,0),MATCH(data!BA$1,Haver_M!$B$1:$ZN$1,0)),"na")</f>
        <v>68.624505357904198</v>
      </c>
      <c r="BB81" t="str">
        <f>IF(ISNUMBER(INDEX(Haver_M!$B$1:$ZN$1000,MATCH(data!$A81,Haver_M!$B$1:$B$1000,0),MATCH(data!BB$1,Haver_M!$B$1:$ZN$1,0))),INDEX(Haver_M!$B$1:$ZN$1000,MATCH(data!$A81,Haver_M!$B$1:$B$1000,0),MATCH(data!BB$1,Haver_M!$B$1:$ZN$1,0)),"")</f>
        <v/>
      </c>
    </row>
    <row r="82" spans="1:54" x14ac:dyDescent="0.25">
      <c r="A82" s="2">
        <v>38990</v>
      </c>
      <c r="B82">
        <f>IF(ISNUMBER(INDEX(Haver_Q!$B$1:$BD$1000,MATCH(data!$A82,Haver_Q!$B$1:$B$1000,0),MATCH(data!B$1,Haver_Q!$B$1:$BD$1,0))),100*INDEX(Haver_Q!$B$1:$BD$1000,MATCH(data!$A82,Haver_Q!$B$1:$B$1000,0),MATCH(data!B$1,Haver_Q!$B$1:$BD$1,0)),"na")</f>
        <v>1.2457417021657147</v>
      </c>
      <c r="C82">
        <f>IF(ISNUMBER(INDEX(Haver_Q!$B$1:$BD$1000,MATCH(data!$A82,Haver_Q!$B$1:$B$1000,0),MATCH(data!C$1,Haver_Q!$B$1:$BD$1,0))),100*INDEX(Haver_Q!$B$1:$BD$1000,MATCH(data!$A82,Haver_Q!$B$1:$B$1000,0),MATCH(data!C$1,Haver_Q!$B$1:$BD$1,0)),"na")</f>
        <v>-4.1658820595024899</v>
      </c>
      <c r="D82">
        <f>IF(ISNUMBER(INDEX(Haver_Q!$B$1:$BD$1000,MATCH(data!$A82,Haver_Q!$B$1:$B$1000,0),MATCH(data!D$1,Haver_Q!$B$1:$BD$1,0))),100*INDEX(Haver_Q!$B$1:$BD$1000,MATCH(data!$A82,Haver_Q!$B$1:$B$1000,0),MATCH(data!D$1,Haver_Q!$B$1:$BD$1,0)),"na")</f>
        <v>-3.6532132373856552E-2</v>
      </c>
      <c r="E82">
        <f>IF(ISNUMBER(INDEX(Haver_Q!$B$1:$BD$1000,MATCH(data!$A82,Haver_Q!$B$1:$B$1000,0),MATCH(data!E$1,Haver_Q!$B$1:$BD$1,0))),100*INDEX(Haver_Q!$B$1:$BD$1000,MATCH(data!$A82,Haver_Q!$B$1:$B$1000,0),MATCH(data!E$1,Haver_Q!$B$1:$BD$1,0)),"na")</f>
        <v>7.2886402291510555</v>
      </c>
      <c r="F82">
        <f>IF(ISNUMBER(INDEX(Haver_Q!$B$1:$BD$1000,MATCH(data!$A82,Haver_Q!$B$1:$B$1000,0),MATCH(data!F$1,Haver_Q!$B$1:$BD$1,0))),100*INDEX(Haver_Q!$B$1:$BD$1000,MATCH(data!$A82,Haver_Q!$B$1:$B$1000,0),MATCH(data!F$1,Haver_Q!$B$1:$BD$1,0)),"na")</f>
        <v>-9.4137346060222171</v>
      </c>
      <c r="G82">
        <f>IF(ISNUMBER(INDEX(Haver_Q!$B$1:$BD$1000,MATCH(data!$A82,Haver_Q!$B$1:$B$1000,0),MATCH(data!G$1,Haver_Q!$B$1:$BD$1,0))),100*INDEX(Haver_Q!$B$1:$BD$1000,MATCH(data!$A82,Haver_Q!$B$1:$B$1000,0),MATCH(data!G$1,Haver_Q!$B$1:$BD$1,0)),"na")</f>
        <v>3.2147552822233916</v>
      </c>
      <c r="H82">
        <f>IF(ISNUMBER(INDEX(Haver_Q!$B$1:$BD$1000,MATCH(data!$A82,Haver_Q!$B$1:$B$1000,0),MATCH(data!H$1,Haver_Q!$B$1:$BD$1,0))),100*INDEX(Haver_Q!$B$1:$BD$1000,MATCH(data!$A82,Haver_Q!$B$1:$B$1000,0),MATCH(data!H$1,Haver_Q!$B$1:$BD$1,0)),"na")</f>
        <v>426.90384444887474</v>
      </c>
      <c r="I82" s="3">
        <f>IF(ISNUMBER(Bloomberg_m!C98),Bloomberg_m!C98,"na")</f>
        <v>4039</v>
      </c>
      <c r="J82" s="3" t="str">
        <f>IF(ISNUMBER(Bloomberg_m!D98),Bloomberg_m!D98,"na")</f>
        <v>na</v>
      </c>
      <c r="K82" s="3" t="str">
        <f>IF(ISNUMBER(Bloomberg_m!E98),Bloomberg_m!E98,"na")</f>
        <v>na</v>
      </c>
      <c r="L82" s="3">
        <f>IF(ISNUMBER(Bloomberg_m!L98),Bloomberg_m!L98,"na")</f>
        <v>63.82</v>
      </c>
      <c r="M82" t="str">
        <f>IF(ISNUMBER(INDEX(Haver_M!$B$1:$ZN$1000,MATCH(data!$A82,Haver_M!$B$1:$B$1000,0),MATCH(data!M$1,Haver_M!$B$1:$ZN$1,0))),INDEX(Haver_M!$B$1:$ZN$1000,MATCH(data!$A82,Haver_M!$B$1:$B$1000,0),MATCH(data!M$1,Haver_M!$B$1:$ZN$1,0)),"na")</f>
        <v>na</v>
      </c>
      <c r="N82" t="str">
        <f>IF(ISNUMBER(INDEX(Haver_M!$B$1:$ZN$1000,MATCH(data!$A82,Haver_M!$B$1:$B$1000,0),MATCH(data!N$1,Haver_M!$B$1:$ZN$1,0))),INDEX(Haver_M!$B$1:$ZN$1000,MATCH(data!$A82,Haver_M!$B$1:$B$1000,0),MATCH(data!N$1,Haver_M!$B$1:$ZN$1,0)),"na")</f>
        <v>na</v>
      </c>
      <c r="O82">
        <f>IF(ISNUMBER(INDEX(Haver_M!$B$1:$ZN$1000,MATCH(data!$A82,Haver_M!$B$1:$B$1000,0),MATCH(data!O$1,Haver_M!$B$1:$ZN$1,0))),INDEX(Haver_M!$B$1:$ZN$1000,MATCH(data!$A82,Haver_M!$B$1:$B$1000,0),MATCH(data!O$1,Haver_M!$B$1:$ZN$1,0)),"na")</f>
        <v>110.28888999999999</v>
      </c>
      <c r="P82">
        <f>IF(ISNUMBER(INDEX(Haver_M!$B$1:$ZN$1000,MATCH(data!$A82,Haver_M!$B$1:$B$1000,0),MATCH(data!P$1,Haver_M!$B$1:$ZN$1,0))),INDEX(Haver_M!$B$1:$ZN$1000,MATCH(data!$A82,Haver_M!$B$1:$B$1000,0),MATCH(data!P$1,Haver_M!$B$1:$ZN$1,0)),"na")</f>
        <v>61.904499999999999</v>
      </c>
      <c r="Q82">
        <f>IF(ISNUMBER(INDEX(Haver_M!$B$1:$ZN$1000,MATCH(data!$A82,Haver_M!$B$1:$B$1000,0),MATCH(data!Q$1,Haver_M!$B$1:$ZN$1,0))),INDEX(Haver_M!$B$1:$ZN$1000,MATCH(data!$A82,Haver_M!$B$1:$B$1000,0),MATCH(data!Q$1,Haver_M!$B$1:$ZN$1,0)),"na")</f>
        <v>65.486800000000002</v>
      </c>
      <c r="R82">
        <f>IF(ISNUMBER(INDEX(Haver_M!$B$1:$ZN$1000,MATCH(data!$A82,Haver_M!$B$1:$B$1000,0),MATCH(data!R$1,Haver_M!$B$1:$ZN$1,0))),INDEX(Haver_M!$B$1:$ZN$1000,MATCH(data!$A82,Haver_M!$B$1:$B$1000,0),MATCH(data!R$1,Haver_M!$B$1:$ZN$1,0)),"na")</f>
        <v>98.7744</v>
      </c>
      <c r="S82">
        <f>IF(ISNUMBER(INDEX(Haver_M!$B$1:$ZN$1000,MATCH(data!$A82,Haver_M!$B$1:$B$1000,0),MATCH(data!S$1,Haver_M!$B$1:$ZN$1,0))),INDEX(Haver_M!$B$1:$ZN$1000,MATCH(data!$A82,Haver_M!$B$1:$B$1000,0),MATCH(data!S$1,Haver_M!$B$1:$ZN$1,0)),"na")</f>
        <v>111.9269</v>
      </c>
      <c r="T82">
        <f>IF(ISNUMBER(INDEX(Haver_M!$B$1:$ZN$1000,MATCH(data!$A82,Haver_M!$B$1:$B$1000,0),MATCH(data!T$1,Haver_M!$B$1:$ZN$1,0))),INDEX(Haver_M!$B$1:$ZN$1000,MATCH(data!$A82,Haver_M!$B$1:$B$1000,0),MATCH(data!T$1,Haver_M!$B$1:$ZN$1,0)),"na")</f>
        <v>83.154399999999995</v>
      </c>
      <c r="U82">
        <f>IF(ISNUMBER(INDEX(Haver_M!$B$1:$ZN$1000,MATCH(data!$A82,Haver_M!$B$1:$B$1000,0),MATCH(data!U$1,Haver_M!$B$1:$ZN$1,0))),INDEX(Haver_M!$B$1:$ZN$1000,MATCH(data!$A82,Haver_M!$B$1:$B$1000,0),MATCH(data!U$1,Haver_M!$B$1:$ZN$1,0)),"na")</f>
        <v>95.971800000000002</v>
      </c>
      <c r="V82">
        <f>IF(ISNUMBER(INDEX(Haver_M!$B$1:$ZN$1000,MATCH(data!$A82,Haver_M!$B$1:$B$1000,0),MATCH(data!V$1,Haver_M!$B$1:$ZN$1,0))),INDEX(Haver_M!$B$1:$ZN$1000,MATCH(data!$A82,Haver_M!$B$1:$B$1000,0),MATCH(data!V$1,Haver_M!$B$1:$ZN$1,0)),"na")</f>
        <v>95.861599999999996</v>
      </c>
      <c r="W82">
        <f>IF(ISNUMBER(INDEX(Haver_M!$B$1:$ZN$1000,MATCH(data!$A82,Haver_M!$B$1:$B$1000,0),MATCH(data!W$1,Haver_M!$B$1:$ZN$1,0))),INDEX(Haver_M!$B$1:$ZN$1000,MATCH(data!$A82,Haver_M!$B$1:$B$1000,0),MATCH(data!W$1,Haver_M!$B$1:$ZN$1,0)),"na")</f>
        <v>3.71</v>
      </c>
      <c r="X82" t="str">
        <f>IF(ISNUMBER(INDEX(Haver_M!$B$1:$ZN$1000,MATCH(data!$A82,Haver_M!$B$1:$B$1000,0),MATCH(data!X$1,Haver_M!$B$1:$ZN$1,0))),INDEX(Haver_M!$B$1:$ZN$1000,MATCH(data!$A82,Haver_M!$B$1:$B$1000,0),MATCH(data!X$1,Haver_M!$B$1:$ZN$1,0)),"na")</f>
        <v>na</v>
      </c>
      <c r="Y82">
        <f>IF(ISNUMBER(INDEX(Haver_M!$B$1:$ZN$1000,MATCH(data!$A82,Haver_M!$B$1:$B$1000,0),MATCH(data!Y$1,Haver_M!$B$1:$ZN$1,0))),INDEX(Haver_M!$B$1:$ZN$1000,MATCH(data!$A82,Haver_M!$B$1:$B$1000,0),MATCH(data!Y$1,Haver_M!$B$1:$ZN$1,0)),"na")</f>
        <v>101.39</v>
      </c>
      <c r="Z82">
        <f>IF(ISNUMBER(INDEX(Haver_M!$B$1:$ZN$1000,MATCH(data!$A82,Haver_M!$B$1:$B$1000,0),MATCH(data!Z$1,Haver_M!$B$1:$ZN$1,0))),INDEX(Haver_M!$B$1:$ZN$1000,MATCH(data!$A82,Haver_M!$B$1:$B$1000,0),MATCH(data!Z$1,Haver_M!$B$1:$ZN$1,0)),"na")</f>
        <v>95.275499999999994</v>
      </c>
      <c r="AA82" t="str">
        <f>IF(ISNUMBER(INDEX(Haver_M!$B$1:$ZN$1000,MATCH(data!$A82,Haver_M!$B$1:$B$1000,0),MATCH(data!AA$1,Haver_M!$B$1:$ZN$1,0))),INDEX(Haver_M!$B$1:$ZN$1000,MATCH(data!$A82,Haver_M!$B$1:$B$1000,0),MATCH(data!AA$1,Haver_M!$B$1:$ZN$1,0)),"na")</f>
        <v>na</v>
      </c>
      <c r="AB82">
        <f>IF(ISNUMBER(INDEX(Haver_M!$B$1:$ZN$1000,MATCH(data!$A82,Haver_M!$B$1:$B$1000,0),MATCH(data!AB$1,Haver_M!$B$1:$ZN$1,0))),INDEX(Haver_M!$B$1:$ZN$1000,MATCH(data!$A82,Haver_M!$B$1:$B$1000,0),MATCH(data!AB$1,Haver_M!$B$1:$ZN$1,0)),"na")</f>
        <v>20781.8</v>
      </c>
      <c r="AC82">
        <f>IF(ISNUMBER(INDEX(Haver_M!$B$1:$ZN$1000,MATCH(data!$A82,Haver_M!$B$1:$B$1000,0),MATCH(data!AC$1,Haver_M!$B$1:$ZN$1,0))),INDEX(Haver_M!$B$1:$ZN$1000,MATCH(data!$A82,Haver_M!$B$1:$B$1000,0),MATCH(data!AC$1,Haver_M!$B$1:$ZN$1,0)),"na")</f>
        <v>22092.400000000001</v>
      </c>
      <c r="AD82">
        <f>IF(ISNUMBER(INDEX(Haver_M!$B$1:$ZN$1000,MATCH(data!$A82,Haver_M!$B$1:$B$1000,0),MATCH(data!AD$1,Haver_M!$B$1:$ZN$1,0))),INDEX(Haver_M!$B$1:$ZN$1000,MATCH(data!$A82,Haver_M!$B$1:$B$1000,0),MATCH(data!AD$1,Haver_M!$B$1:$ZN$1,0)),"na")</f>
        <v>100.78</v>
      </c>
      <c r="AE82">
        <f>IF(ISNUMBER(INDEX(Haver_M!$B$1:$ZN$1000,MATCH(data!$A82,Haver_M!$B$1:$B$1000,0),MATCH(data!AE$1,Haver_M!$B$1:$ZN$1,0))),INDEX(Haver_M!$B$1:$ZN$1000,MATCH(data!$A82,Haver_M!$B$1:$B$1000,0),MATCH(data!AE$1,Haver_M!$B$1:$ZN$1,0)),"na")</f>
        <v>44.8</v>
      </c>
      <c r="AF82">
        <f>IF(ISNUMBER(INDEX(Haver_M!$B$1:$ZN$1000,MATCH(data!$A82,Haver_M!$B$1:$B$1000,0),MATCH(data!AF$1,Haver_M!$B$1:$ZN$1,0))),INDEX(Haver_M!$B$1:$ZN$1000,MATCH(data!$A82,Haver_M!$B$1:$B$1000,0),MATCH(data!AF$1,Haver_M!$B$1:$ZN$1,0)),"na")</f>
        <v>101.18</v>
      </c>
      <c r="AG82" t="str">
        <f>IF(ISNUMBER(INDEX(Haver_M!$B$1:$ZN$1000,MATCH(data!$A82,Haver_M!$B$1:$B$1000,0),MATCH(data!AG$1,Haver_M!$B$1:$ZN$1,0))),INDEX(Haver_M!$B$1:$ZN$1000,MATCH(data!$A82,Haver_M!$B$1:$B$1000,0),MATCH(data!AG$1,Haver_M!$B$1:$ZN$1,0)),"na")</f>
        <v>na</v>
      </c>
      <c r="AH82" t="str">
        <f>IF(ISNUMBER(INDEX(Haver_M!$B$1:$ZN$1000,MATCH(data!$A82,Haver_M!$B$1:$B$1000,0),MATCH(data!AH$1,Haver_M!$B$1:$ZN$1,0))),INDEX(Haver_M!$B$1:$ZN$1000,MATCH(data!$A82,Haver_M!$B$1:$B$1000,0),MATCH(data!AH$1,Haver_M!$B$1:$ZN$1,0)),"na")</f>
        <v>na</v>
      </c>
      <c r="AI82" t="str">
        <f>IF(ISNUMBER(INDEX(Haver_M!$B$1:$ZN$1000,MATCH(data!$A82,Haver_M!$B$1:$B$1000,0),MATCH(data!AI$1,Haver_M!$B$1:$ZN$1,0))),INDEX(Haver_M!$B$1:$ZN$1000,MATCH(data!$A82,Haver_M!$B$1:$B$1000,0),MATCH(data!AI$1,Haver_M!$B$1:$ZN$1,0)),"na")</f>
        <v>na</v>
      </c>
      <c r="AJ82" t="str">
        <f>IF(ISNUMBER(INDEX(Haver_M!$B$1:$ZN$1000,MATCH(data!$A82,Haver_M!$B$1:$B$1000,0),MATCH(data!AJ$1,Haver_M!$B$1:$ZN$1,0))),INDEX(Haver_M!$B$1:$ZN$1000,MATCH(data!$A82,Haver_M!$B$1:$B$1000,0),MATCH(data!AJ$1,Haver_M!$B$1:$ZN$1,0)),"na")</f>
        <v>na</v>
      </c>
      <c r="AK82" t="str">
        <f>IF(ISNUMBER(INDEX(Haver_M!$B$1:$ZN$1000,MATCH(data!$A82,Haver_M!$B$1:$B$1000,0),MATCH(data!AK$1,Haver_M!$B$1:$ZN$1,0))),INDEX(Haver_M!$B$1:$ZN$1000,MATCH(data!$A82,Haver_M!$B$1:$B$1000,0),MATCH(data!AK$1,Haver_M!$B$1:$ZN$1,0)),"na")</f>
        <v>na</v>
      </c>
      <c r="AL82" t="str">
        <f>IF(ISNUMBER(INDEX(Haver_M!$B$1:$ZN$1000,MATCH(data!$A82,Haver_M!$B$1:$B$1000,0),MATCH(data!AL$1,Haver_M!$B$1:$ZN$1,0))),INDEX(Haver_M!$B$1:$ZN$1000,MATCH(data!$A82,Haver_M!$B$1:$B$1000,0),MATCH(data!AL$1,Haver_M!$B$1:$ZN$1,0)),"na")</f>
        <v>na</v>
      </c>
      <c r="AM82" t="str">
        <f>IF(ISNUMBER(INDEX(Haver_M!$B$1:$ZN$1000,MATCH(data!$A82,Haver_M!$B$1:$B$1000,0),MATCH(data!AM$1,Haver_M!$B$1:$ZN$1,0))),INDEX(Haver_M!$B$1:$ZN$1000,MATCH(data!$A82,Haver_M!$B$1:$B$1000,0),MATCH(data!AM$1,Haver_M!$B$1:$ZN$1,0)),"na")</f>
        <v>na</v>
      </c>
      <c r="AN82" t="str">
        <f>IF(ISNUMBER(INDEX(Haver_M!$B$1:$ZN$1000,MATCH(data!$A82,Haver_M!$B$1:$B$1000,0),MATCH(data!AN$1,Haver_M!$B$1:$ZN$1,0))),INDEX(Haver_M!$B$1:$ZN$1000,MATCH(data!$A82,Haver_M!$B$1:$B$1000,0),MATCH(data!AN$1,Haver_M!$B$1:$ZN$1,0)),"na")</f>
        <v>na</v>
      </c>
      <c r="AO82" t="str">
        <f>IF(ISNUMBER(INDEX(Haver_M!$B$1:$ZN$1000,MATCH(data!$A82,Haver_M!$B$1:$B$1000,0),MATCH(data!AO$1,Haver_M!$B$1:$ZN$1,0))),INDEX(Haver_M!$B$1:$ZN$1000,MATCH(data!$A82,Haver_M!$B$1:$B$1000,0),MATCH(data!AO$1,Haver_M!$B$1:$ZN$1,0)),"na")</f>
        <v>na</v>
      </c>
      <c r="AP82" t="str">
        <f>IF(ISNUMBER(INDEX(Haver_M!$B$1:$ZN$1000,MATCH(data!$A82,Haver_M!$B$1:$B$1000,0),MATCH(data!AP$1,Haver_M!$B$1:$ZN$1,0))),INDEX(Haver_M!$B$1:$ZN$1000,MATCH(data!$A82,Haver_M!$B$1:$B$1000,0),MATCH(data!AP$1,Haver_M!$B$1:$ZN$1,0)),"na")</f>
        <v>na</v>
      </c>
      <c r="AQ82" t="str">
        <f>IF(ISNUMBER(INDEX(Haver_M!$B$1:$ZN$1000,MATCH(data!$A82,Haver_M!$B$1:$B$1000,0),MATCH(data!AQ$1,Haver_M!$B$1:$ZN$1,0))),INDEX(Haver_M!$B$1:$ZN$1000,MATCH(data!$A82,Haver_M!$B$1:$B$1000,0),MATCH(data!AQ$1,Haver_M!$B$1:$ZN$1,0)),"na")</f>
        <v>na</v>
      </c>
      <c r="AR82" t="str">
        <f>IF(ISNUMBER(INDEX(Haver_M!$B$1:$ZN$1000,MATCH(data!$A82,Haver_M!$B$1:$B$1000,0),MATCH(data!AR$1,Haver_M!$B$1:$ZN$1,0))),INDEX(Haver_M!$B$1:$ZN$1000,MATCH(data!$A82,Haver_M!$B$1:$B$1000,0),MATCH(data!AR$1,Haver_M!$B$1:$ZN$1,0)),"na")</f>
        <v>na</v>
      </c>
      <c r="AS82">
        <f>IF(ISNUMBER(INDEX(Haver_M!$B$1:$ZN$1000,MATCH(data!$A82,Haver_M!$B$1:$B$1000,0),MATCH(data!AS$1,Haver_M!$B$1:$ZN$1,0))),INDEX(Haver_M!$B$1:$ZN$1000,MATCH(data!$A82,Haver_M!$B$1:$B$1000,0),MATCH(data!AS$1,Haver_M!$B$1:$ZN$1,0)),"na")</f>
        <v>21400.44</v>
      </c>
      <c r="AT82">
        <f>IF(ISNUMBER(INDEX(Haver_M!$B$1:$ZN$1000,MATCH(data!$A82,Haver_M!$B$1:$B$1000,0),MATCH(data!AT$1,Haver_M!$B$1:$ZN$1,0))),INDEX(Haver_M!$B$1:$ZN$1000,MATCH(data!$A82,Haver_M!$B$1:$B$1000,0),MATCH(data!AT$1,Haver_M!$B$1:$ZN$1,0)),"na")</f>
        <v>93.433000000000007</v>
      </c>
      <c r="AU82">
        <f>IF(ISNUMBER(INDEX(Haver_M!$B$1:$ZN$1000,MATCH(data!$A82,Haver_M!$B$1:$B$1000,0),MATCH(data!AU$1,Haver_M!$B$1:$ZN$1,0))),INDEX(Haver_M!$B$1:$ZN$1000,MATCH(data!$A82,Haver_M!$B$1:$B$1000,0),MATCH(data!AU$1,Haver_M!$B$1:$ZN$1,0)),"na")</f>
        <v>89.727625000000003</v>
      </c>
      <c r="AV82">
        <f>IF(ISNUMBER(INDEX(Haver_M!$B$1:$ZN$1000,MATCH(data!$A82,Haver_M!$B$1:$B$1000,0),MATCH(data!AV$1,Haver_M!$B$1:$ZN$1,0))),INDEX(Haver_M!$B$1:$ZN$1000,MATCH(data!$A82,Haver_M!$B$1:$B$1000,0),MATCH(data!AV$1,Haver_M!$B$1:$ZN$1,0)),"na")</f>
        <v>89.5</v>
      </c>
      <c r="AW82">
        <f>IF(ISNUMBER(INDEX(Haver_M!$B$1:$ZN$1000,MATCH(data!$A82,Haver_M!$B$1:$B$1000,0),MATCH(data!AW$1,Haver_M!$B$1:$ZN$1,0))),INDEX(Haver_M!$B$1:$ZN$1000,MATCH(data!$A82,Haver_M!$B$1:$B$1000,0),MATCH(data!AW$1,Haver_M!$B$1:$ZN$1,0)),"na")</f>
        <v>1033558.9900753234</v>
      </c>
      <c r="AX82">
        <f>IF(ISNUMBER(INDEX(Haver_M!$B$1:$ZN$1000,MATCH(data!$A82,Haver_M!$B$1:$B$1000,0),MATCH(data!AX$1,Haver_M!$B$1:$ZN$1,0))),INDEX(Haver_M!$B$1:$ZN$1000,MATCH(data!$A82,Haver_M!$B$1:$B$1000,0),MATCH(data!AX$1,Haver_M!$B$1:$ZN$1,0)),"na")</f>
        <v>3229</v>
      </c>
      <c r="AY82">
        <f>IF(ISNUMBER(INDEX(Haver_M!$B$1:$ZN$1000,MATCH(data!$A82,Haver_M!$B$1:$B$1000,0),MATCH(data!AY$1,Haver_M!$B$1:$ZN$1,0))),INDEX(Haver_M!$B$1:$ZN$1000,MATCH(data!$A82,Haver_M!$B$1:$B$1000,0),MATCH(data!AY$1,Haver_M!$B$1:$ZN$1,0)),"na")</f>
        <v>1678</v>
      </c>
      <c r="AZ82">
        <f>IF(ISNUMBER(INDEX(Haver_M!$B$1:$ZN$1000,MATCH(data!$A82,Haver_M!$B$1:$B$1000,0),MATCH(data!AZ$1,Haver_M!$B$1:$ZN$1,0))),INDEX(Haver_M!$B$1:$ZN$1000,MATCH(data!$A82,Haver_M!$B$1:$B$1000,0),MATCH(data!AZ$1,Haver_M!$B$1:$ZN$1,0)),"na")</f>
        <v>53.5</v>
      </c>
      <c r="BA82">
        <f>IF(ISNUMBER(INDEX(Haver_M!$B$1:$ZN$1000,MATCH(data!$A82,Haver_M!$B$1:$B$1000,0),MATCH(data!BA$1,Haver_M!$B$1:$ZN$1,0))),INDEX(Haver_M!$B$1:$ZN$1000,MATCH(data!$A82,Haver_M!$B$1:$B$1000,0),MATCH(data!BA$1,Haver_M!$B$1:$ZN$1,0)),"na")</f>
        <v>39.092614344759021</v>
      </c>
      <c r="BB82" t="str">
        <f>IF(ISNUMBER(INDEX(Haver_M!$B$1:$ZN$1000,MATCH(data!$A82,Haver_M!$B$1:$B$1000,0),MATCH(data!BB$1,Haver_M!$B$1:$ZN$1,0))),INDEX(Haver_M!$B$1:$ZN$1000,MATCH(data!$A82,Haver_M!$B$1:$B$1000,0),MATCH(data!BB$1,Haver_M!$B$1:$ZN$1,0)),"")</f>
        <v/>
      </c>
    </row>
    <row r="83" spans="1:54" x14ac:dyDescent="0.25">
      <c r="A83" s="2">
        <v>39021</v>
      </c>
      <c r="B83" t="str">
        <f>IF(ISNUMBER(INDEX(Haver_Q!$B$1:$BD$1000,MATCH(data!$A83,Haver_Q!$B$1:$B$1000,0),MATCH(data!B$1,Haver_Q!$B$1:$BD$1,0))),100*INDEX(Haver_Q!$B$1:$BD$1000,MATCH(data!$A83,Haver_Q!$B$1:$B$1000,0),MATCH(data!B$1,Haver_Q!$B$1:$BD$1,0)),"na")</f>
        <v>na</v>
      </c>
      <c r="C83" t="str">
        <f>IF(ISNUMBER(INDEX(Haver_Q!$B$1:$BD$1000,MATCH(data!$A83,Haver_Q!$B$1:$B$1000,0),MATCH(data!C$1,Haver_Q!$B$1:$BD$1,0))),100*INDEX(Haver_Q!$B$1:$BD$1000,MATCH(data!$A83,Haver_Q!$B$1:$B$1000,0),MATCH(data!C$1,Haver_Q!$B$1:$BD$1,0)),"na")</f>
        <v>na</v>
      </c>
      <c r="D83" t="str">
        <f>IF(ISNUMBER(INDEX(Haver_Q!$B$1:$BD$1000,MATCH(data!$A83,Haver_Q!$B$1:$B$1000,0),MATCH(data!D$1,Haver_Q!$B$1:$BD$1,0))),100*INDEX(Haver_Q!$B$1:$BD$1000,MATCH(data!$A83,Haver_Q!$B$1:$B$1000,0),MATCH(data!D$1,Haver_Q!$B$1:$BD$1,0)),"na")</f>
        <v>na</v>
      </c>
      <c r="E83" t="str">
        <f>IF(ISNUMBER(INDEX(Haver_Q!$B$1:$BD$1000,MATCH(data!$A83,Haver_Q!$B$1:$B$1000,0),MATCH(data!E$1,Haver_Q!$B$1:$BD$1,0))),100*INDEX(Haver_Q!$B$1:$BD$1000,MATCH(data!$A83,Haver_Q!$B$1:$B$1000,0),MATCH(data!E$1,Haver_Q!$B$1:$BD$1,0)),"na")</f>
        <v>na</v>
      </c>
      <c r="F83" t="str">
        <f>IF(ISNUMBER(INDEX(Haver_Q!$B$1:$BD$1000,MATCH(data!$A83,Haver_Q!$B$1:$B$1000,0),MATCH(data!F$1,Haver_Q!$B$1:$BD$1,0))),100*INDEX(Haver_Q!$B$1:$BD$1000,MATCH(data!$A83,Haver_Q!$B$1:$B$1000,0),MATCH(data!F$1,Haver_Q!$B$1:$BD$1,0)),"na")</f>
        <v>na</v>
      </c>
      <c r="G83" t="str">
        <f>IF(ISNUMBER(INDEX(Haver_Q!$B$1:$BD$1000,MATCH(data!$A83,Haver_Q!$B$1:$B$1000,0),MATCH(data!G$1,Haver_Q!$B$1:$BD$1,0))),100*INDEX(Haver_Q!$B$1:$BD$1000,MATCH(data!$A83,Haver_Q!$B$1:$B$1000,0),MATCH(data!G$1,Haver_Q!$B$1:$BD$1,0)),"na")</f>
        <v>na</v>
      </c>
      <c r="H83" t="str">
        <f>IF(ISNUMBER(INDEX(Haver_Q!$B$1:$BD$1000,MATCH(data!$A83,Haver_Q!$B$1:$B$1000,0),MATCH(data!H$1,Haver_Q!$B$1:$BD$1,0))),100*INDEX(Haver_Q!$B$1:$BD$1000,MATCH(data!$A83,Haver_Q!$B$1:$B$1000,0),MATCH(data!H$1,Haver_Q!$B$1:$BD$1,0)),"na")</f>
        <v>na</v>
      </c>
      <c r="I83" s="3">
        <f>IF(ISNUMBER(Bloomberg_m!C99),Bloomberg_m!C99,"na")</f>
        <v>4028</v>
      </c>
      <c r="J83" s="3" t="str">
        <f>IF(ISNUMBER(Bloomberg_m!D99),Bloomberg_m!D99,"na")</f>
        <v>na</v>
      </c>
      <c r="K83" s="3" t="str">
        <f>IF(ISNUMBER(Bloomberg_m!E99),Bloomberg_m!E99,"na")</f>
        <v>na</v>
      </c>
      <c r="L83" s="3">
        <f>IF(ISNUMBER(Bloomberg_m!L99),Bloomberg_m!L99,"na")</f>
        <v>58.85</v>
      </c>
      <c r="M83" t="str">
        <f>IF(ISNUMBER(INDEX(Haver_M!$B$1:$ZN$1000,MATCH(data!$A83,Haver_M!$B$1:$B$1000,0),MATCH(data!M$1,Haver_M!$B$1:$ZN$1,0))),INDEX(Haver_M!$B$1:$ZN$1000,MATCH(data!$A83,Haver_M!$B$1:$B$1000,0),MATCH(data!M$1,Haver_M!$B$1:$ZN$1,0)),"na")</f>
        <v>na</v>
      </c>
      <c r="N83" t="str">
        <f>IF(ISNUMBER(INDEX(Haver_M!$B$1:$ZN$1000,MATCH(data!$A83,Haver_M!$B$1:$B$1000,0),MATCH(data!N$1,Haver_M!$B$1:$ZN$1,0))),INDEX(Haver_M!$B$1:$ZN$1000,MATCH(data!$A83,Haver_M!$B$1:$B$1000,0),MATCH(data!N$1,Haver_M!$B$1:$ZN$1,0)),"na")</f>
        <v>na</v>
      </c>
      <c r="O83">
        <f>IF(ISNUMBER(INDEX(Haver_M!$B$1:$ZN$1000,MATCH(data!$A83,Haver_M!$B$1:$B$1000,0),MATCH(data!O$1,Haver_M!$B$1:$ZN$1,0))),INDEX(Haver_M!$B$1:$ZN$1000,MATCH(data!$A83,Haver_M!$B$1:$B$1000,0),MATCH(data!O$1,Haver_M!$B$1:$ZN$1,0)),"na")</f>
        <v>112.24732</v>
      </c>
      <c r="P83">
        <f>IF(ISNUMBER(INDEX(Haver_M!$B$1:$ZN$1000,MATCH(data!$A83,Haver_M!$B$1:$B$1000,0),MATCH(data!P$1,Haver_M!$B$1:$ZN$1,0))),INDEX(Haver_M!$B$1:$ZN$1000,MATCH(data!$A83,Haver_M!$B$1:$B$1000,0),MATCH(data!P$1,Haver_M!$B$1:$ZN$1,0)),"na")</f>
        <v>62.117100000000001</v>
      </c>
      <c r="Q83">
        <f>IF(ISNUMBER(INDEX(Haver_M!$B$1:$ZN$1000,MATCH(data!$A83,Haver_M!$B$1:$B$1000,0),MATCH(data!Q$1,Haver_M!$B$1:$ZN$1,0))),INDEX(Haver_M!$B$1:$ZN$1000,MATCH(data!$A83,Haver_M!$B$1:$B$1000,0),MATCH(data!Q$1,Haver_M!$B$1:$ZN$1,0)),"na")</f>
        <v>65.666300000000007</v>
      </c>
      <c r="R83">
        <f>IF(ISNUMBER(INDEX(Haver_M!$B$1:$ZN$1000,MATCH(data!$A83,Haver_M!$B$1:$B$1000,0),MATCH(data!R$1,Haver_M!$B$1:$ZN$1,0))),INDEX(Haver_M!$B$1:$ZN$1000,MATCH(data!$A83,Haver_M!$B$1:$B$1000,0),MATCH(data!R$1,Haver_M!$B$1:$ZN$1,0)),"na")</f>
        <v>98.439599999999999</v>
      </c>
      <c r="S83">
        <f>IF(ISNUMBER(INDEX(Haver_M!$B$1:$ZN$1000,MATCH(data!$A83,Haver_M!$B$1:$B$1000,0),MATCH(data!S$1,Haver_M!$B$1:$ZN$1,0))),INDEX(Haver_M!$B$1:$ZN$1000,MATCH(data!$A83,Haver_M!$B$1:$B$1000,0),MATCH(data!S$1,Haver_M!$B$1:$ZN$1,0)),"na")</f>
        <v>111.1897</v>
      </c>
      <c r="T83">
        <f>IF(ISNUMBER(INDEX(Haver_M!$B$1:$ZN$1000,MATCH(data!$A83,Haver_M!$B$1:$B$1000,0),MATCH(data!T$1,Haver_M!$B$1:$ZN$1,0))),INDEX(Haver_M!$B$1:$ZN$1000,MATCH(data!$A83,Haver_M!$B$1:$B$1000,0),MATCH(data!T$1,Haver_M!$B$1:$ZN$1,0)),"na")</f>
        <v>83.457099999999997</v>
      </c>
      <c r="U83">
        <f>IF(ISNUMBER(INDEX(Haver_M!$B$1:$ZN$1000,MATCH(data!$A83,Haver_M!$B$1:$B$1000,0),MATCH(data!U$1,Haver_M!$B$1:$ZN$1,0))),INDEX(Haver_M!$B$1:$ZN$1000,MATCH(data!$A83,Haver_M!$B$1:$B$1000,0),MATCH(data!U$1,Haver_M!$B$1:$ZN$1,0)),"na")</f>
        <v>95.282300000000006</v>
      </c>
      <c r="V83">
        <f>IF(ISNUMBER(INDEX(Haver_M!$B$1:$ZN$1000,MATCH(data!$A83,Haver_M!$B$1:$B$1000,0),MATCH(data!V$1,Haver_M!$B$1:$ZN$1,0))),INDEX(Haver_M!$B$1:$ZN$1000,MATCH(data!$A83,Haver_M!$B$1:$B$1000,0),MATCH(data!V$1,Haver_M!$B$1:$ZN$1,0)),"na")</f>
        <v>95.871700000000004</v>
      </c>
      <c r="W83">
        <f>IF(ISNUMBER(INDEX(Haver_M!$B$1:$ZN$1000,MATCH(data!$A83,Haver_M!$B$1:$B$1000,0),MATCH(data!W$1,Haver_M!$B$1:$ZN$1,0))),INDEX(Haver_M!$B$1:$ZN$1000,MATCH(data!$A83,Haver_M!$B$1:$B$1000,0),MATCH(data!W$1,Haver_M!$B$1:$ZN$1,0)),"na")</f>
        <v>3.69</v>
      </c>
      <c r="X83" t="str">
        <f>IF(ISNUMBER(INDEX(Haver_M!$B$1:$ZN$1000,MATCH(data!$A83,Haver_M!$B$1:$B$1000,0),MATCH(data!X$1,Haver_M!$B$1:$ZN$1,0))),INDEX(Haver_M!$B$1:$ZN$1000,MATCH(data!$A83,Haver_M!$B$1:$B$1000,0),MATCH(data!X$1,Haver_M!$B$1:$ZN$1,0)),"na")</f>
        <v>na</v>
      </c>
      <c r="Y83">
        <f>IF(ISNUMBER(INDEX(Haver_M!$B$1:$ZN$1000,MATCH(data!$A83,Haver_M!$B$1:$B$1000,0),MATCH(data!Y$1,Haver_M!$B$1:$ZN$1,0))),INDEX(Haver_M!$B$1:$ZN$1000,MATCH(data!$A83,Haver_M!$B$1:$B$1000,0),MATCH(data!Y$1,Haver_M!$B$1:$ZN$1,0)),"na")</f>
        <v>101.51</v>
      </c>
      <c r="Z83">
        <f>IF(ISNUMBER(INDEX(Haver_M!$B$1:$ZN$1000,MATCH(data!$A83,Haver_M!$B$1:$B$1000,0),MATCH(data!Z$1,Haver_M!$B$1:$ZN$1,0))),INDEX(Haver_M!$B$1:$ZN$1000,MATCH(data!$A83,Haver_M!$B$1:$B$1000,0),MATCH(data!Z$1,Haver_M!$B$1:$ZN$1,0)),"na")</f>
        <v>95.111400000000003</v>
      </c>
      <c r="AA83" t="str">
        <f>IF(ISNUMBER(INDEX(Haver_M!$B$1:$ZN$1000,MATCH(data!$A83,Haver_M!$B$1:$B$1000,0),MATCH(data!AA$1,Haver_M!$B$1:$ZN$1,0))),INDEX(Haver_M!$B$1:$ZN$1000,MATCH(data!$A83,Haver_M!$B$1:$B$1000,0),MATCH(data!AA$1,Haver_M!$B$1:$ZN$1,0)),"na")</f>
        <v>na</v>
      </c>
      <c r="AB83">
        <f>IF(ISNUMBER(INDEX(Haver_M!$B$1:$ZN$1000,MATCH(data!$A83,Haver_M!$B$1:$B$1000,0),MATCH(data!AB$1,Haver_M!$B$1:$ZN$1,0))),INDEX(Haver_M!$B$1:$ZN$1000,MATCH(data!$A83,Haver_M!$B$1:$B$1000,0),MATCH(data!AB$1,Haver_M!$B$1:$ZN$1,0)),"na")</f>
        <v>21104.3</v>
      </c>
      <c r="AC83">
        <f>IF(ISNUMBER(INDEX(Haver_M!$B$1:$ZN$1000,MATCH(data!$A83,Haver_M!$B$1:$B$1000,0),MATCH(data!AC$1,Haver_M!$B$1:$ZN$1,0))),INDEX(Haver_M!$B$1:$ZN$1000,MATCH(data!$A83,Haver_M!$B$1:$B$1000,0),MATCH(data!AC$1,Haver_M!$B$1:$ZN$1,0)),"na")</f>
        <v>21944.1</v>
      </c>
      <c r="AD83">
        <f>IF(ISNUMBER(INDEX(Haver_M!$B$1:$ZN$1000,MATCH(data!$A83,Haver_M!$B$1:$B$1000,0),MATCH(data!AD$1,Haver_M!$B$1:$ZN$1,0))),INDEX(Haver_M!$B$1:$ZN$1000,MATCH(data!$A83,Haver_M!$B$1:$B$1000,0),MATCH(data!AD$1,Haver_M!$B$1:$ZN$1,0)),"na")</f>
        <v>100.77</v>
      </c>
      <c r="AE83">
        <f>IF(ISNUMBER(INDEX(Haver_M!$B$1:$ZN$1000,MATCH(data!$A83,Haver_M!$B$1:$B$1000,0),MATCH(data!AE$1,Haver_M!$B$1:$ZN$1,0))),INDEX(Haver_M!$B$1:$ZN$1000,MATCH(data!$A83,Haver_M!$B$1:$B$1000,0),MATCH(data!AE$1,Haver_M!$B$1:$ZN$1,0)),"na")</f>
        <v>45.3</v>
      </c>
      <c r="AF83">
        <f>IF(ISNUMBER(INDEX(Haver_M!$B$1:$ZN$1000,MATCH(data!$A83,Haver_M!$B$1:$B$1000,0),MATCH(data!AF$1,Haver_M!$B$1:$ZN$1,0))),INDEX(Haver_M!$B$1:$ZN$1000,MATCH(data!$A83,Haver_M!$B$1:$B$1000,0),MATCH(data!AF$1,Haver_M!$B$1:$ZN$1,0)),"na")</f>
        <v>101.29</v>
      </c>
      <c r="AG83" t="str">
        <f>IF(ISNUMBER(INDEX(Haver_M!$B$1:$ZN$1000,MATCH(data!$A83,Haver_M!$B$1:$B$1000,0),MATCH(data!AG$1,Haver_M!$B$1:$ZN$1,0))),INDEX(Haver_M!$B$1:$ZN$1000,MATCH(data!$A83,Haver_M!$B$1:$B$1000,0),MATCH(data!AG$1,Haver_M!$B$1:$ZN$1,0)),"na")</f>
        <v>na</v>
      </c>
      <c r="AH83" t="str">
        <f>IF(ISNUMBER(INDEX(Haver_M!$B$1:$ZN$1000,MATCH(data!$A83,Haver_M!$B$1:$B$1000,0),MATCH(data!AH$1,Haver_M!$B$1:$ZN$1,0))),INDEX(Haver_M!$B$1:$ZN$1000,MATCH(data!$A83,Haver_M!$B$1:$B$1000,0),MATCH(data!AH$1,Haver_M!$B$1:$ZN$1,0)),"na")</f>
        <v>na</v>
      </c>
      <c r="AI83" t="str">
        <f>IF(ISNUMBER(INDEX(Haver_M!$B$1:$ZN$1000,MATCH(data!$A83,Haver_M!$B$1:$B$1000,0),MATCH(data!AI$1,Haver_M!$B$1:$ZN$1,0))),INDEX(Haver_M!$B$1:$ZN$1000,MATCH(data!$A83,Haver_M!$B$1:$B$1000,0),MATCH(data!AI$1,Haver_M!$B$1:$ZN$1,0)),"na")</f>
        <v>na</v>
      </c>
      <c r="AJ83" t="str">
        <f>IF(ISNUMBER(INDEX(Haver_M!$B$1:$ZN$1000,MATCH(data!$A83,Haver_M!$B$1:$B$1000,0),MATCH(data!AJ$1,Haver_M!$B$1:$ZN$1,0))),INDEX(Haver_M!$B$1:$ZN$1000,MATCH(data!$A83,Haver_M!$B$1:$B$1000,0),MATCH(data!AJ$1,Haver_M!$B$1:$ZN$1,0)),"na")</f>
        <v>na</v>
      </c>
      <c r="AK83" t="str">
        <f>IF(ISNUMBER(INDEX(Haver_M!$B$1:$ZN$1000,MATCH(data!$A83,Haver_M!$B$1:$B$1000,0),MATCH(data!AK$1,Haver_M!$B$1:$ZN$1,0))),INDEX(Haver_M!$B$1:$ZN$1000,MATCH(data!$A83,Haver_M!$B$1:$B$1000,0),MATCH(data!AK$1,Haver_M!$B$1:$ZN$1,0)),"na")</f>
        <v>na</v>
      </c>
      <c r="AL83" t="str">
        <f>IF(ISNUMBER(INDEX(Haver_M!$B$1:$ZN$1000,MATCH(data!$A83,Haver_M!$B$1:$B$1000,0),MATCH(data!AL$1,Haver_M!$B$1:$ZN$1,0))),INDEX(Haver_M!$B$1:$ZN$1000,MATCH(data!$A83,Haver_M!$B$1:$B$1000,0),MATCH(data!AL$1,Haver_M!$B$1:$ZN$1,0)),"na")</f>
        <v>na</v>
      </c>
      <c r="AM83" t="str">
        <f>IF(ISNUMBER(INDEX(Haver_M!$B$1:$ZN$1000,MATCH(data!$A83,Haver_M!$B$1:$B$1000,0),MATCH(data!AM$1,Haver_M!$B$1:$ZN$1,0))),INDEX(Haver_M!$B$1:$ZN$1000,MATCH(data!$A83,Haver_M!$B$1:$B$1000,0),MATCH(data!AM$1,Haver_M!$B$1:$ZN$1,0)),"na")</f>
        <v>na</v>
      </c>
      <c r="AN83" t="str">
        <f>IF(ISNUMBER(INDEX(Haver_M!$B$1:$ZN$1000,MATCH(data!$A83,Haver_M!$B$1:$B$1000,0),MATCH(data!AN$1,Haver_M!$B$1:$ZN$1,0))),INDEX(Haver_M!$B$1:$ZN$1000,MATCH(data!$A83,Haver_M!$B$1:$B$1000,0),MATCH(data!AN$1,Haver_M!$B$1:$ZN$1,0)),"na")</f>
        <v>na</v>
      </c>
      <c r="AO83" t="str">
        <f>IF(ISNUMBER(INDEX(Haver_M!$B$1:$ZN$1000,MATCH(data!$A83,Haver_M!$B$1:$B$1000,0),MATCH(data!AO$1,Haver_M!$B$1:$ZN$1,0))),INDEX(Haver_M!$B$1:$ZN$1000,MATCH(data!$A83,Haver_M!$B$1:$B$1000,0),MATCH(data!AO$1,Haver_M!$B$1:$ZN$1,0)),"na")</f>
        <v>na</v>
      </c>
      <c r="AP83" t="str">
        <f>IF(ISNUMBER(INDEX(Haver_M!$B$1:$ZN$1000,MATCH(data!$A83,Haver_M!$B$1:$B$1000,0),MATCH(data!AP$1,Haver_M!$B$1:$ZN$1,0))),INDEX(Haver_M!$B$1:$ZN$1000,MATCH(data!$A83,Haver_M!$B$1:$B$1000,0),MATCH(data!AP$1,Haver_M!$B$1:$ZN$1,0)),"na")</f>
        <v>na</v>
      </c>
      <c r="AQ83" t="str">
        <f>IF(ISNUMBER(INDEX(Haver_M!$B$1:$ZN$1000,MATCH(data!$A83,Haver_M!$B$1:$B$1000,0),MATCH(data!AQ$1,Haver_M!$B$1:$ZN$1,0))),INDEX(Haver_M!$B$1:$ZN$1000,MATCH(data!$A83,Haver_M!$B$1:$B$1000,0),MATCH(data!AQ$1,Haver_M!$B$1:$ZN$1,0)),"na")</f>
        <v>na</v>
      </c>
      <c r="AR83" t="str">
        <f>IF(ISNUMBER(INDEX(Haver_M!$B$1:$ZN$1000,MATCH(data!$A83,Haver_M!$B$1:$B$1000,0),MATCH(data!AR$1,Haver_M!$B$1:$ZN$1,0))),INDEX(Haver_M!$B$1:$ZN$1000,MATCH(data!$A83,Haver_M!$B$1:$B$1000,0),MATCH(data!AR$1,Haver_M!$B$1:$ZN$1,0)),"na")</f>
        <v>na</v>
      </c>
      <c r="AS83">
        <f>IF(ISNUMBER(INDEX(Haver_M!$B$1:$ZN$1000,MATCH(data!$A83,Haver_M!$B$1:$B$1000,0),MATCH(data!AS$1,Haver_M!$B$1:$ZN$1,0))),INDEX(Haver_M!$B$1:$ZN$1000,MATCH(data!$A83,Haver_M!$B$1:$B$1000,0),MATCH(data!AS$1,Haver_M!$B$1:$ZN$1,0)),"na")</f>
        <v>22703.29</v>
      </c>
      <c r="AT83">
        <f>IF(ISNUMBER(INDEX(Haver_M!$B$1:$ZN$1000,MATCH(data!$A83,Haver_M!$B$1:$B$1000,0),MATCH(data!AT$1,Haver_M!$B$1:$ZN$1,0))),INDEX(Haver_M!$B$1:$ZN$1000,MATCH(data!$A83,Haver_M!$B$1:$B$1000,0),MATCH(data!AT$1,Haver_M!$B$1:$ZN$1,0)),"na")</f>
        <v>93.635000000000005</v>
      </c>
      <c r="AU83">
        <f>IF(ISNUMBER(INDEX(Haver_M!$B$1:$ZN$1000,MATCH(data!$A83,Haver_M!$B$1:$B$1000,0),MATCH(data!AU$1,Haver_M!$B$1:$ZN$1,0))),INDEX(Haver_M!$B$1:$ZN$1000,MATCH(data!$A83,Haver_M!$B$1:$B$1000,0),MATCH(data!AU$1,Haver_M!$B$1:$ZN$1,0)),"na")</f>
        <v>90.122551999999999</v>
      </c>
      <c r="AV83">
        <f>IF(ISNUMBER(INDEX(Haver_M!$B$1:$ZN$1000,MATCH(data!$A83,Haver_M!$B$1:$B$1000,0),MATCH(data!AV$1,Haver_M!$B$1:$ZN$1,0))),INDEX(Haver_M!$B$1:$ZN$1000,MATCH(data!$A83,Haver_M!$B$1:$B$1000,0),MATCH(data!AV$1,Haver_M!$B$1:$ZN$1,0)),"na")</f>
        <v>88.7</v>
      </c>
      <c r="AW83">
        <f>IF(ISNUMBER(INDEX(Haver_M!$B$1:$ZN$1000,MATCH(data!$A83,Haver_M!$B$1:$B$1000,0),MATCH(data!AW$1,Haver_M!$B$1:$ZN$1,0))),INDEX(Haver_M!$B$1:$ZN$1000,MATCH(data!$A83,Haver_M!$B$1:$B$1000,0),MATCH(data!AW$1,Haver_M!$B$1:$ZN$1,0)),"na")</f>
        <v>1063823.7620705264</v>
      </c>
      <c r="AX83">
        <f>IF(ISNUMBER(INDEX(Haver_M!$B$1:$ZN$1000,MATCH(data!$A83,Haver_M!$B$1:$B$1000,0),MATCH(data!AX$1,Haver_M!$B$1:$ZN$1,0))),INDEX(Haver_M!$B$1:$ZN$1000,MATCH(data!$A83,Haver_M!$B$1:$B$1000,0),MATCH(data!AX$1,Haver_M!$B$1:$ZN$1,0)),"na")</f>
        <v>3213</v>
      </c>
      <c r="AY83">
        <f>IF(ISNUMBER(INDEX(Haver_M!$B$1:$ZN$1000,MATCH(data!$A83,Haver_M!$B$1:$B$1000,0),MATCH(data!AY$1,Haver_M!$B$1:$ZN$1,0))),INDEX(Haver_M!$B$1:$ZN$1000,MATCH(data!$A83,Haver_M!$B$1:$B$1000,0),MATCH(data!AY$1,Haver_M!$B$1:$ZN$1,0)),"na")</f>
        <v>1679</v>
      </c>
      <c r="AZ83">
        <f>IF(ISNUMBER(INDEX(Haver_M!$B$1:$ZN$1000,MATCH(data!$A83,Haver_M!$B$1:$B$1000,0),MATCH(data!AZ$1,Haver_M!$B$1:$ZN$1,0))),INDEX(Haver_M!$B$1:$ZN$1000,MATCH(data!$A83,Haver_M!$B$1:$B$1000,0),MATCH(data!AZ$1,Haver_M!$B$1:$ZN$1,0)),"na")</f>
        <v>53.1</v>
      </c>
      <c r="BA83">
        <f>IF(ISNUMBER(INDEX(Haver_M!$B$1:$ZN$1000,MATCH(data!$A83,Haver_M!$B$1:$B$1000,0),MATCH(data!BA$1,Haver_M!$B$1:$ZN$1,0))),INDEX(Haver_M!$B$1:$ZN$1000,MATCH(data!$A83,Haver_M!$B$1:$B$1000,0),MATCH(data!BA$1,Haver_M!$B$1:$ZN$1,0)),"na")</f>
        <v>32.512254441259707</v>
      </c>
      <c r="BB83" t="str">
        <f>IF(ISNUMBER(INDEX(Haver_M!$B$1:$ZN$1000,MATCH(data!$A83,Haver_M!$B$1:$B$1000,0),MATCH(data!BB$1,Haver_M!$B$1:$ZN$1,0))),INDEX(Haver_M!$B$1:$ZN$1000,MATCH(data!$A83,Haver_M!$B$1:$B$1000,0),MATCH(data!BB$1,Haver_M!$B$1:$ZN$1,0)),"")</f>
        <v/>
      </c>
    </row>
    <row r="84" spans="1:54" x14ac:dyDescent="0.25">
      <c r="A84" s="2">
        <v>39051</v>
      </c>
      <c r="B84" t="str">
        <f>IF(ISNUMBER(INDEX(Haver_Q!$B$1:$BD$1000,MATCH(data!$A84,Haver_Q!$B$1:$B$1000,0),MATCH(data!B$1,Haver_Q!$B$1:$BD$1,0))),100*INDEX(Haver_Q!$B$1:$BD$1000,MATCH(data!$A84,Haver_Q!$B$1:$B$1000,0),MATCH(data!B$1,Haver_Q!$B$1:$BD$1,0)),"na")</f>
        <v>na</v>
      </c>
      <c r="C84" t="str">
        <f>IF(ISNUMBER(INDEX(Haver_Q!$B$1:$BD$1000,MATCH(data!$A84,Haver_Q!$B$1:$B$1000,0),MATCH(data!C$1,Haver_Q!$B$1:$BD$1,0))),100*INDEX(Haver_Q!$B$1:$BD$1000,MATCH(data!$A84,Haver_Q!$B$1:$B$1000,0),MATCH(data!C$1,Haver_Q!$B$1:$BD$1,0)),"na")</f>
        <v>na</v>
      </c>
      <c r="D84" t="str">
        <f>IF(ISNUMBER(INDEX(Haver_Q!$B$1:$BD$1000,MATCH(data!$A84,Haver_Q!$B$1:$B$1000,0),MATCH(data!D$1,Haver_Q!$B$1:$BD$1,0))),100*INDEX(Haver_Q!$B$1:$BD$1000,MATCH(data!$A84,Haver_Q!$B$1:$B$1000,0),MATCH(data!D$1,Haver_Q!$B$1:$BD$1,0)),"na")</f>
        <v>na</v>
      </c>
      <c r="E84" t="str">
        <f>IF(ISNUMBER(INDEX(Haver_Q!$B$1:$BD$1000,MATCH(data!$A84,Haver_Q!$B$1:$B$1000,0),MATCH(data!E$1,Haver_Q!$B$1:$BD$1,0))),100*INDEX(Haver_Q!$B$1:$BD$1000,MATCH(data!$A84,Haver_Q!$B$1:$B$1000,0),MATCH(data!E$1,Haver_Q!$B$1:$BD$1,0)),"na")</f>
        <v>na</v>
      </c>
      <c r="F84" t="str">
        <f>IF(ISNUMBER(INDEX(Haver_Q!$B$1:$BD$1000,MATCH(data!$A84,Haver_Q!$B$1:$B$1000,0),MATCH(data!F$1,Haver_Q!$B$1:$BD$1,0))),100*INDEX(Haver_Q!$B$1:$BD$1000,MATCH(data!$A84,Haver_Q!$B$1:$B$1000,0),MATCH(data!F$1,Haver_Q!$B$1:$BD$1,0)),"na")</f>
        <v>na</v>
      </c>
      <c r="G84" t="str">
        <f>IF(ISNUMBER(INDEX(Haver_Q!$B$1:$BD$1000,MATCH(data!$A84,Haver_Q!$B$1:$B$1000,0),MATCH(data!G$1,Haver_Q!$B$1:$BD$1,0))),100*INDEX(Haver_Q!$B$1:$BD$1000,MATCH(data!$A84,Haver_Q!$B$1:$B$1000,0),MATCH(data!G$1,Haver_Q!$B$1:$BD$1,0)),"na")</f>
        <v>na</v>
      </c>
      <c r="H84" t="str">
        <f>IF(ISNUMBER(INDEX(Haver_Q!$B$1:$BD$1000,MATCH(data!$A84,Haver_Q!$B$1:$B$1000,0),MATCH(data!H$1,Haver_Q!$B$1:$BD$1,0))),100*INDEX(Haver_Q!$B$1:$BD$1000,MATCH(data!$A84,Haver_Q!$B$1:$B$1000,0),MATCH(data!H$1,Haver_Q!$B$1:$BD$1,0)),"na")</f>
        <v>na</v>
      </c>
      <c r="I84" s="3">
        <f>IF(ISNUMBER(Bloomberg_m!C100),Bloomberg_m!C100,"na")</f>
        <v>4190</v>
      </c>
      <c r="J84" s="3" t="str">
        <f>IF(ISNUMBER(Bloomberg_m!D100),Bloomberg_m!D100,"na")</f>
        <v>na</v>
      </c>
      <c r="K84" s="3" t="str">
        <f>IF(ISNUMBER(Bloomberg_m!E100),Bloomberg_m!E100,"na")</f>
        <v>na</v>
      </c>
      <c r="L84" s="3">
        <f>IF(ISNUMBER(Bloomberg_m!L100),Bloomberg_m!L100,"na")</f>
        <v>59.13</v>
      </c>
      <c r="M84" t="str">
        <f>IF(ISNUMBER(INDEX(Haver_M!$B$1:$ZN$1000,MATCH(data!$A84,Haver_M!$B$1:$B$1000,0),MATCH(data!M$1,Haver_M!$B$1:$ZN$1,0))),INDEX(Haver_M!$B$1:$ZN$1000,MATCH(data!$A84,Haver_M!$B$1:$B$1000,0),MATCH(data!M$1,Haver_M!$B$1:$ZN$1,0)),"na")</f>
        <v>na</v>
      </c>
      <c r="N84" t="str">
        <f>IF(ISNUMBER(INDEX(Haver_M!$B$1:$ZN$1000,MATCH(data!$A84,Haver_M!$B$1:$B$1000,0),MATCH(data!N$1,Haver_M!$B$1:$ZN$1,0))),INDEX(Haver_M!$B$1:$ZN$1000,MATCH(data!$A84,Haver_M!$B$1:$B$1000,0),MATCH(data!N$1,Haver_M!$B$1:$ZN$1,0)),"na")</f>
        <v>na</v>
      </c>
      <c r="O84">
        <f>IF(ISNUMBER(INDEX(Haver_M!$B$1:$ZN$1000,MATCH(data!$A84,Haver_M!$B$1:$B$1000,0),MATCH(data!O$1,Haver_M!$B$1:$ZN$1,0))),INDEX(Haver_M!$B$1:$ZN$1000,MATCH(data!$A84,Haver_M!$B$1:$B$1000,0),MATCH(data!O$1,Haver_M!$B$1:$ZN$1,0)),"na")</f>
        <v>111.89854</v>
      </c>
      <c r="P84">
        <f>IF(ISNUMBER(INDEX(Haver_M!$B$1:$ZN$1000,MATCH(data!$A84,Haver_M!$B$1:$B$1000,0),MATCH(data!P$1,Haver_M!$B$1:$ZN$1,0))),INDEX(Haver_M!$B$1:$ZN$1000,MATCH(data!$A84,Haver_M!$B$1:$B$1000,0),MATCH(data!P$1,Haver_M!$B$1:$ZN$1,0)),"na")</f>
        <v>62.171999999999997</v>
      </c>
      <c r="Q84">
        <f>IF(ISNUMBER(INDEX(Haver_M!$B$1:$ZN$1000,MATCH(data!$A84,Haver_M!$B$1:$B$1000,0),MATCH(data!Q$1,Haver_M!$B$1:$ZN$1,0))),INDEX(Haver_M!$B$1:$ZN$1000,MATCH(data!$A84,Haver_M!$B$1:$B$1000,0),MATCH(data!Q$1,Haver_M!$B$1:$ZN$1,0)),"na")</f>
        <v>65.889099999999999</v>
      </c>
      <c r="R84">
        <f>IF(ISNUMBER(INDEX(Haver_M!$B$1:$ZN$1000,MATCH(data!$A84,Haver_M!$B$1:$B$1000,0),MATCH(data!R$1,Haver_M!$B$1:$ZN$1,0))),INDEX(Haver_M!$B$1:$ZN$1000,MATCH(data!$A84,Haver_M!$B$1:$B$1000,0),MATCH(data!R$1,Haver_M!$B$1:$ZN$1,0)),"na")</f>
        <v>98.595399999999998</v>
      </c>
      <c r="S84">
        <f>IF(ISNUMBER(INDEX(Haver_M!$B$1:$ZN$1000,MATCH(data!$A84,Haver_M!$B$1:$B$1000,0),MATCH(data!S$1,Haver_M!$B$1:$ZN$1,0))),INDEX(Haver_M!$B$1:$ZN$1000,MATCH(data!$A84,Haver_M!$B$1:$B$1000,0),MATCH(data!S$1,Haver_M!$B$1:$ZN$1,0)),"na")</f>
        <v>111.3557</v>
      </c>
      <c r="T84">
        <f>IF(ISNUMBER(INDEX(Haver_M!$B$1:$ZN$1000,MATCH(data!$A84,Haver_M!$B$1:$B$1000,0),MATCH(data!T$1,Haver_M!$B$1:$ZN$1,0))),INDEX(Haver_M!$B$1:$ZN$1000,MATCH(data!$A84,Haver_M!$B$1:$B$1000,0),MATCH(data!T$1,Haver_M!$B$1:$ZN$1,0)),"na")</f>
        <v>84.242699999999999</v>
      </c>
      <c r="U84">
        <f>IF(ISNUMBER(INDEX(Haver_M!$B$1:$ZN$1000,MATCH(data!$A84,Haver_M!$B$1:$B$1000,0),MATCH(data!U$1,Haver_M!$B$1:$ZN$1,0))),INDEX(Haver_M!$B$1:$ZN$1000,MATCH(data!$A84,Haver_M!$B$1:$B$1000,0),MATCH(data!U$1,Haver_M!$B$1:$ZN$1,0)),"na")</f>
        <v>95.081800000000001</v>
      </c>
      <c r="V84">
        <f>IF(ISNUMBER(INDEX(Haver_M!$B$1:$ZN$1000,MATCH(data!$A84,Haver_M!$B$1:$B$1000,0),MATCH(data!V$1,Haver_M!$B$1:$ZN$1,0))),INDEX(Haver_M!$B$1:$ZN$1000,MATCH(data!$A84,Haver_M!$B$1:$B$1000,0),MATCH(data!V$1,Haver_M!$B$1:$ZN$1,0)),"na")</f>
        <v>96.380399999999995</v>
      </c>
      <c r="W84">
        <f>IF(ISNUMBER(INDEX(Haver_M!$B$1:$ZN$1000,MATCH(data!$A84,Haver_M!$B$1:$B$1000,0),MATCH(data!W$1,Haver_M!$B$1:$ZN$1,0))),INDEX(Haver_M!$B$1:$ZN$1000,MATCH(data!$A84,Haver_M!$B$1:$B$1000,0),MATCH(data!W$1,Haver_M!$B$1:$ZN$1,0)),"na")</f>
        <v>3.8</v>
      </c>
      <c r="X84" t="str">
        <f>IF(ISNUMBER(INDEX(Haver_M!$B$1:$ZN$1000,MATCH(data!$A84,Haver_M!$B$1:$B$1000,0),MATCH(data!X$1,Haver_M!$B$1:$ZN$1,0))),INDEX(Haver_M!$B$1:$ZN$1000,MATCH(data!$A84,Haver_M!$B$1:$B$1000,0),MATCH(data!X$1,Haver_M!$B$1:$ZN$1,0)),"na")</f>
        <v>na</v>
      </c>
      <c r="Y84">
        <f>IF(ISNUMBER(INDEX(Haver_M!$B$1:$ZN$1000,MATCH(data!$A84,Haver_M!$B$1:$B$1000,0),MATCH(data!Y$1,Haver_M!$B$1:$ZN$1,0))),INDEX(Haver_M!$B$1:$ZN$1000,MATCH(data!$A84,Haver_M!$B$1:$B$1000,0),MATCH(data!Y$1,Haver_M!$B$1:$ZN$1,0)),"na")</f>
        <v>101.63</v>
      </c>
      <c r="Z84">
        <f>IF(ISNUMBER(INDEX(Haver_M!$B$1:$ZN$1000,MATCH(data!$A84,Haver_M!$B$1:$B$1000,0),MATCH(data!Z$1,Haver_M!$B$1:$ZN$1,0))),INDEX(Haver_M!$B$1:$ZN$1000,MATCH(data!$A84,Haver_M!$B$1:$B$1000,0),MATCH(data!Z$1,Haver_M!$B$1:$ZN$1,0)),"na")</f>
        <v>95.275499999999994</v>
      </c>
      <c r="AA84" t="str">
        <f>IF(ISNUMBER(INDEX(Haver_M!$B$1:$ZN$1000,MATCH(data!$A84,Haver_M!$B$1:$B$1000,0),MATCH(data!AA$1,Haver_M!$B$1:$ZN$1,0))),INDEX(Haver_M!$B$1:$ZN$1000,MATCH(data!$A84,Haver_M!$B$1:$B$1000,0),MATCH(data!AA$1,Haver_M!$B$1:$ZN$1,0)),"na")</f>
        <v>na</v>
      </c>
      <c r="AB84">
        <f>IF(ISNUMBER(INDEX(Haver_M!$B$1:$ZN$1000,MATCH(data!$A84,Haver_M!$B$1:$B$1000,0),MATCH(data!AB$1,Haver_M!$B$1:$ZN$1,0))),INDEX(Haver_M!$B$1:$ZN$1000,MATCH(data!$A84,Haver_M!$B$1:$B$1000,0),MATCH(data!AB$1,Haver_M!$B$1:$ZN$1,0)),"na")</f>
        <v>20906</v>
      </c>
      <c r="AC84">
        <f>IF(ISNUMBER(INDEX(Haver_M!$B$1:$ZN$1000,MATCH(data!$A84,Haver_M!$B$1:$B$1000,0),MATCH(data!AC$1,Haver_M!$B$1:$ZN$1,0))),INDEX(Haver_M!$B$1:$ZN$1000,MATCH(data!$A84,Haver_M!$B$1:$B$1000,0),MATCH(data!AC$1,Haver_M!$B$1:$ZN$1,0)),"na")</f>
        <v>21564.400000000001</v>
      </c>
      <c r="AD84">
        <f>IF(ISNUMBER(INDEX(Haver_M!$B$1:$ZN$1000,MATCH(data!$A84,Haver_M!$B$1:$B$1000,0),MATCH(data!AD$1,Haver_M!$B$1:$ZN$1,0))),INDEX(Haver_M!$B$1:$ZN$1000,MATCH(data!$A84,Haver_M!$B$1:$B$1000,0),MATCH(data!AD$1,Haver_M!$B$1:$ZN$1,0)),"na")</f>
        <v>100.76</v>
      </c>
      <c r="AE84">
        <f>IF(ISNUMBER(INDEX(Haver_M!$B$1:$ZN$1000,MATCH(data!$A84,Haver_M!$B$1:$B$1000,0),MATCH(data!AE$1,Haver_M!$B$1:$ZN$1,0))),INDEX(Haver_M!$B$1:$ZN$1000,MATCH(data!$A84,Haver_M!$B$1:$B$1000,0),MATCH(data!AE$1,Haver_M!$B$1:$ZN$1,0)),"na")</f>
        <v>44.3</v>
      </c>
      <c r="AF84">
        <f>IF(ISNUMBER(INDEX(Haver_M!$B$1:$ZN$1000,MATCH(data!$A84,Haver_M!$B$1:$B$1000,0),MATCH(data!AF$1,Haver_M!$B$1:$ZN$1,0))),INDEX(Haver_M!$B$1:$ZN$1000,MATCH(data!$A84,Haver_M!$B$1:$B$1000,0),MATCH(data!AF$1,Haver_M!$B$1:$ZN$1,0)),"na")</f>
        <v>101.41</v>
      </c>
      <c r="AG84" t="str">
        <f>IF(ISNUMBER(INDEX(Haver_M!$B$1:$ZN$1000,MATCH(data!$A84,Haver_M!$B$1:$B$1000,0),MATCH(data!AG$1,Haver_M!$B$1:$ZN$1,0))),INDEX(Haver_M!$B$1:$ZN$1000,MATCH(data!$A84,Haver_M!$B$1:$B$1000,0),MATCH(data!AG$1,Haver_M!$B$1:$ZN$1,0)),"na")</f>
        <v>na</v>
      </c>
      <c r="AH84" t="str">
        <f>IF(ISNUMBER(INDEX(Haver_M!$B$1:$ZN$1000,MATCH(data!$A84,Haver_M!$B$1:$B$1000,0),MATCH(data!AH$1,Haver_M!$B$1:$ZN$1,0))),INDEX(Haver_M!$B$1:$ZN$1000,MATCH(data!$A84,Haver_M!$B$1:$B$1000,0),MATCH(data!AH$1,Haver_M!$B$1:$ZN$1,0)),"na")</f>
        <v>na</v>
      </c>
      <c r="AI84" t="str">
        <f>IF(ISNUMBER(INDEX(Haver_M!$B$1:$ZN$1000,MATCH(data!$A84,Haver_M!$B$1:$B$1000,0),MATCH(data!AI$1,Haver_M!$B$1:$ZN$1,0))),INDEX(Haver_M!$B$1:$ZN$1000,MATCH(data!$A84,Haver_M!$B$1:$B$1000,0),MATCH(data!AI$1,Haver_M!$B$1:$ZN$1,0)),"na")</f>
        <v>na</v>
      </c>
      <c r="AJ84" t="str">
        <f>IF(ISNUMBER(INDEX(Haver_M!$B$1:$ZN$1000,MATCH(data!$A84,Haver_M!$B$1:$B$1000,0),MATCH(data!AJ$1,Haver_M!$B$1:$ZN$1,0))),INDEX(Haver_M!$B$1:$ZN$1000,MATCH(data!$A84,Haver_M!$B$1:$B$1000,0),MATCH(data!AJ$1,Haver_M!$B$1:$ZN$1,0)),"na")</f>
        <v>na</v>
      </c>
      <c r="AK84" t="str">
        <f>IF(ISNUMBER(INDEX(Haver_M!$B$1:$ZN$1000,MATCH(data!$A84,Haver_M!$B$1:$B$1000,0),MATCH(data!AK$1,Haver_M!$B$1:$ZN$1,0))),INDEX(Haver_M!$B$1:$ZN$1000,MATCH(data!$A84,Haver_M!$B$1:$B$1000,0),MATCH(data!AK$1,Haver_M!$B$1:$ZN$1,0)),"na")</f>
        <v>na</v>
      </c>
      <c r="AL84" t="str">
        <f>IF(ISNUMBER(INDEX(Haver_M!$B$1:$ZN$1000,MATCH(data!$A84,Haver_M!$B$1:$B$1000,0),MATCH(data!AL$1,Haver_M!$B$1:$ZN$1,0))),INDEX(Haver_M!$B$1:$ZN$1000,MATCH(data!$A84,Haver_M!$B$1:$B$1000,0),MATCH(data!AL$1,Haver_M!$B$1:$ZN$1,0)),"na")</f>
        <v>na</v>
      </c>
      <c r="AM84" t="str">
        <f>IF(ISNUMBER(INDEX(Haver_M!$B$1:$ZN$1000,MATCH(data!$A84,Haver_M!$B$1:$B$1000,0),MATCH(data!AM$1,Haver_M!$B$1:$ZN$1,0))),INDEX(Haver_M!$B$1:$ZN$1000,MATCH(data!$A84,Haver_M!$B$1:$B$1000,0),MATCH(data!AM$1,Haver_M!$B$1:$ZN$1,0)),"na")</f>
        <v>na</v>
      </c>
      <c r="AN84" t="str">
        <f>IF(ISNUMBER(INDEX(Haver_M!$B$1:$ZN$1000,MATCH(data!$A84,Haver_M!$B$1:$B$1000,0),MATCH(data!AN$1,Haver_M!$B$1:$ZN$1,0))),INDEX(Haver_M!$B$1:$ZN$1000,MATCH(data!$A84,Haver_M!$B$1:$B$1000,0),MATCH(data!AN$1,Haver_M!$B$1:$ZN$1,0)),"na")</f>
        <v>na</v>
      </c>
      <c r="AO84" t="str">
        <f>IF(ISNUMBER(INDEX(Haver_M!$B$1:$ZN$1000,MATCH(data!$A84,Haver_M!$B$1:$B$1000,0),MATCH(data!AO$1,Haver_M!$B$1:$ZN$1,0))),INDEX(Haver_M!$B$1:$ZN$1000,MATCH(data!$A84,Haver_M!$B$1:$B$1000,0),MATCH(data!AO$1,Haver_M!$B$1:$ZN$1,0)),"na")</f>
        <v>na</v>
      </c>
      <c r="AP84" t="str">
        <f>IF(ISNUMBER(INDEX(Haver_M!$B$1:$ZN$1000,MATCH(data!$A84,Haver_M!$B$1:$B$1000,0),MATCH(data!AP$1,Haver_M!$B$1:$ZN$1,0))),INDEX(Haver_M!$B$1:$ZN$1000,MATCH(data!$A84,Haver_M!$B$1:$B$1000,0),MATCH(data!AP$1,Haver_M!$B$1:$ZN$1,0)),"na")</f>
        <v>na</v>
      </c>
      <c r="AQ84" t="str">
        <f>IF(ISNUMBER(INDEX(Haver_M!$B$1:$ZN$1000,MATCH(data!$A84,Haver_M!$B$1:$B$1000,0),MATCH(data!AQ$1,Haver_M!$B$1:$ZN$1,0))),INDEX(Haver_M!$B$1:$ZN$1000,MATCH(data!$A84,Haver_M!$B$1:$B$1000,0),MATCH(data!AQ$1,Haver_M!$B$1:$ZN$1,0)),"na")</f>
        <v>na</v>
      </c>
      <c r="AR84" t="str">
        <f>IF(ISNUMBER(INDEX(Haver_M!$B$1:$ZN$1000,MATCH(data!$A84,Haver_M!$B$1:$B$1000,0),MATCH(data!AR$1,Haver_M!$B$1:$ZN$1,0))),INDEX(Haver_M!$B$1:$ZN$1000,MATCH(data!$A84,Haver_M!$B$1:$B$1000,0),MATCH(data!AR$1,Haver_M!$B$1:$ZN$1,0)),"na")</f>
        <v>na</v>
      </c>
      <c r="AS84">
        <f>IF(ISNUMBER(INDEX(Haver_M!$B$1:$ZN$1000,MATCH(data!$A84,Haver_M!$B$1:$B$1000,0),MATCH(data!AS$1,Haver_M!$B$1:$ZN$1,0))),INDEX(Haver_M!$B$1:$ZN$1000,MATCH(data!$A84,Haver_M!$B$1:$B$1000,0),MATCH(data!AS$1,Haver_M!$B$1:$ZN$1,0)),"na")</f>
        <v>24195.9</v>
      </c>
      <c r="AT84">
        <f>IF(ISNUMBER(INDEX(Haver_M!$B$1:$ZN$1000,MATCH(data!$A84,Haver_M!$B$1:$B$1000,0),MATCH(data!AT$1,Haver_M!$B$1:$ZN$1,0))),INDEX(Haver_M!$B$1:$ZN$1000,MATCH(data!$A84,Haver_M!$B$1:$B$1000,0),MATCH(data!AT$1,Haver_M!$B$1:$ZN$1,0)),"na")</f>
        <v>94.125</v>
      </c>
      <c r="AU84">
        <f>IF(ISNUMBER(INDEX(Haver_M!$B$1:$ZN$1000,MATCH(data!$A84,Haver_M!$B$1:$B$1000,0),MATCH(data!AU$1,Haver_M!$B$1:$ZN$1,0))),INDEX(Haver_M!$B$1:$ZN$1000,MATCH(data!$A84,Haver_M!$B$1:$B$1000,0),MATCH(data!AU$1,Haver_M!$B$1:$ZN$1,0)),"na")</f>
        <v>89.632226000000003</v>
      </c>
      <c r="AV84">
        <f>IF(ISNUMBER(INDEX(Haver_M!$B$1:$ZN$1000,MATCH(data!$A84,Haver_M!$B$1:$B$1000,0),MATCH(data!AV$1,Haver_M!$B$1:$ZN$1,0))),INDEX(Haver_M!$B$1:$ZN$1000,MATCH(data!$A84,Haver_M!$B$1:$B$1000,0),MATCH(data!AV$1,Haver_M!$B$1:$ZN$1,0)),"na")</f>
        <v>89</v>
      </c>
      <c r="AW84">
        <f>IF(ISNUMBER(INDEX(Haver_M!$B$1:$ZN$1000,MATCH(data!$A84,Haver_M!$B$1:$B$1000,0),MATCH(data!AW$1,Haver_M!$B$1:$ZN$1,0))),INDEX(Haver_M!$B$1:$ZN$1000,MATCH(data!$A84,Haver_M!$B$1:$B$1000,0),MATCH(data!AW$1,Haver_M!$B$1:$ZN$1,0)),"na")</f>
        <v>1082675.2225862965</v>
      </c>
      <c r="AX84">
        <f>IF(ISNUMBER(INDEX(Haver_M!$B$1:$ZN$1000,MATCH(data!$A84,Haver_M!$B$1:$B$1000,0),MATCH(data!AX$1,Haver_M!$B$1:$ZN$1,0))),INDEX(Haver_M!$B$1:$ZN$1000,MATCH(data!$A84,Haver_M!$B$1:$B$1000,0),MATCH(data!AX$1,Haver_M!$B$1:$ZN$1,0)),"na")</f>
        <v>3202</v>
      </c>
      <c r="AY84">
        <f>IF(ISNUMBER(INDEX(Haver_M!$B$1:$ZN$1000,MATCH(data!$A84,Haver_M!$B$1:$B$1000,0),MATCH(data!AY$1,Haver_M!$B$1:$ZN$1,0))),INDEX(Haver_M!$B$1:$ZN$1000,MATCH(data!$A84,Haver_M!$B$1:$B$1000,0),MATCH(data!AY$1,Haver_M!$B$1:$ZN$1,0)),"na")</f>
        <v>1788</v>
      </c>
      <c r="AZ84">
        <f>IF(ISNUMBER(INDEX(Haver_M!$B$1:$ZN$1000,MATCH(data!$A84,Haver_M!$B$1:$B$1000,0),MATCH(data!AZ$1,Haver_M!$B$1:$ZN$1,0))),INDEX(Haver_M!$B$1:$ZN$1000,MATCH(data!$A84,Haver_M!$B$1:$B$1000,0),MATCH(data!AZ$1,Haver_M!$B$1:$ZN$1,0)),"na")</f>
        <v>54</v>
      </c>
      <c r="BA84">
        <f>IF(ISNUMBER(INDEX(Haver_M!$B$1:$ZN$1000,MATCH(data!$A84,Haver_M!$B$1:$B$1000,0),MATCH(data!BA$1,Haver_M!$B$1:$ZN$1,0))),INDEX(Haver_M!$B$1:$ZN$1000,MATCH(data!$A84,Haver_M!$B$1:$B$1000,0),MATCH(data!BA$1,Haver_M!$B$1:$ZN$1,0)),"na")</f>
        <v>46.434941513123377</v>
      </c>
      <c r="BB84" t="str">
        <f>IF(ISNUMBER(INDEX(Haver_M!$B$1:$ZN$1000,MATCH(data!$A84,Haver_M!$B$1:$B$1000,0),MATCH(data!BB$1,Haver_M!$B$1:$ZN$1,0))),INDEX(Haver_M!$B$1:$ZN$1000,MATCH(data!$A84,Haver_M!$B$1:$B$1000,0),MATCH(data!BB$1,Haver_M!$B$1:$ZN$1,0)),"")</f>
        <v/>
      </c>
    </row>
    <row r="85" spans="1:54" x14ac:dyDescent="0.25">
      <c r="A85" s="2">
        <v>39082</v>
      </c>
      <c r="B85">
        <f>IF(ISNUMBER(INDEX(Haver_Q!$B$1:$BD$1000,MATCH(data!$A85,Haver_Q!$B$1:$B$1000,0),MATCH(data!B$1,Haver_Q!$B$1:$BD$1,0))),100*INDEX(Haver_Q!$B$1:$BD$1000,MATCH(data!$A85,Haver_Q!$B$1:$B$1000,0),MATCH(data!B$1,Haver_Q!$B$1:$BD$1,0)),"na")</f>
        <v>0.83178753863868415</v>
      </c>
      <c r="C85">
        <f>IF(ISNUMBER(INDEX(Haver_Q!$B$1:$BD$1000,MATCH(data!$A85,Haver_Q!$B$1:$B$1000,0),MATCH(data!C$1,Haver_Q!$B$1:$BD$1,0))),100*INDEX(Haver_Q!$B$1:$BD$1000,MATCH(data!$A85,Haver_Q!$B$1:$B$1000,0),MATCH(data!C$1,Haver_Q!$B$1:$BD$1,0)),"na")</f>
        <v>-1.5067056872688611</v>
      </c>
      <c r="D85">
        <f>IF(ISNUMBER(INDEX(Haver_Q!$B$1:$BD$1000,MATCH(data!$A85,Haver_Q!$B$1:$B$1000,0),MATCH(data!D$1,Haver_Q!$B$1:$BD$1,0))),100*INDEX(Haver_Q!$B$1:$BD$1000,MATCH(data!$A85,Haver_Q!$B$1:$B$1000,0),MATCH(data!D$1,Haver_Q!$B$1:$BD$1,0)),"na")</f>
        <v>1.9218339729493605</v>
      </c>
      <c r="E85">
        <f>IF(ISNUMBER(INDEX(Haver_Q!$B$1:$BD$1000,MATCH(data!$A85,Haver_Q!$B$1:$B$1000,0),MATCH(data!E$1,Haver_Q!$B$1:$BD$1,0))),100*INDEX(Haver_Q!$B$1:$BD$1000,MATCH(data!$A85,Haver_Q!$B$1:$B$1000,0),MATCH(data!E$1,Haver_Q!$B$1:$BD$1,0)),"na")</f>
        <v>1.8528117010124356</v>
      </c>
      <c r="F85">
        <f>IF(ISNUMBER(INDEX(Haver_Q!$B$1:$BD$1000,MATCH(data!$A85,Haver_Q!$B$1:$B$1000,0),MATCH(data!F$1,Haver_Q!$B$1:$BD$1,0))),100*INDEX(Haver_Q!$B$1:$BD$1000,MATCH(data!$A85,Haver_Q!$B$1:$B$1000,0),MATCH(data!F$1,Haver_Q!$B$1:$BD$1,0)),"na")</f>
        <v>0.70005497602334543</v>
      </c>
      <c r="G85">
        <f>IF(ISNUMBER(INDEX(Haver_Q!$B$1:$BD$1000,MATCH(data!$A85,Haver_Q!$B$1:$B$1000,0),MATCH(data!G$1,Haver_Q!$B$1:$BD$1,0))),100*INDEX(Haver_Q!$B$1:$BD$1000,MATCH(data!$A85,Haver_Q!$B$1:$B$1000,0),MATCH(data!G$1,Haver_Q!$B$1:$BD$1,0)),"na")</f>
        <v>-6.90821430384434</v>
      </c>
      <c r="H85">
        <f>IF(ISNUMBER(INDEX(Haver_Q!$B$1:$BD$1000,MATCH(data!$A85,Haver_Q!$B$1:$B$1000,0),MATCH(data!H$1,Haver_Q!$B$1:$BD$1,0))),100*INDEX(Haver_Q!$B$1:$BD$1000,MATCH(data!$A85,Haver_Q!$B$1:$B$1000,0),MATCH(data!H$1,Haver_Q!$B$1:$BD$1,0)),"na")</f>
        <v>636.59467043571021</v>
      </c>
      <c r="I85" s="3">
        <f>IF(ISNUMBER(Bloomberg_m!C101),Bloomberg_m!C101,"na")</f>
        <v>4336</v>
      </c>
      <c r="J85" s="3" t="str">
        <f>IF(ISNUMBER(Bloomberg_m!D101),Bloomberg_m!D101,"na")</f>
        <v>na</v>
      </c>
      <c r="K85" s="3" t="str">
        <f>IF(ISNUMBER(Bloomberg_m!E101),Bloomberg_m!E101,"na")</f>
        <v>na</v>
      </c>
      <c r="L85" s="3">
        <f>IF(ISNUMBER(Bloomberg_m!L101),Bloomberg_m!L101,"na")</f>
        <v>62</v>
      </c>
      <c r="M85" t="str">
        <f>IF(ISNUMBER(INDEX(Haver_M!$B$1:$ZN$1000,MATCH(data!$A85,Haver_M!$B$1:$B$1000,0),MATCH(data!M$1,Haver_M!$B$1:$ZN$1,0))),INDEX(Haver_M!$B$1:$ZN$1000,MATCH(data!$A85,Haver_M!$B$1:$B$1000,0),MATCH(data!M$1,Haver_M!$B$1:$ZN$1,0)),"na")</f>
        <v>na</v>
      </c>
      <c r="N85" t="str">
        <f>IF(ISNUMBER(INDEX(Haver_M!$B$1:$ZN$1000,MATCH(data!$A85,Haver_M!$B$1:$B$1000,0),MATCH(data!N$1,Haver_M!$B$1:$ZN$1,0))),INDEX(Haver_M!$B$1:$ZN$1000,MATCH(data!$A85,Haver_M!$B$1:$B$1000,0),MATCH(data!N$1,Haver_M!$B$1:$ZN$1,0)),"na")</f>
        <v>na</v>
      </c>
      <c r="O85">
        <f>IF(ISNUMBER(INDEX(Haver_M!$B$1:$ZN$1000,MATCH(data!$A85,Haver_M!$B$1:$B$1000,0),MATCH(data!O$1,Haver_M!$B$1:$ZN$1,0))),INDEX(Haver_M!$B$1:$ZN$1000,MATCH(data!$A85,Haver_M!$B$1:$B$1000,0),MATCH(data!O$1,Haver_M!$B$1:$ZN$1,0)),"na")</f>
        <v>112.04289</v>
      </c>
      <c r="P85">
        <f>IF(ISNUMBER(INDEX(Haver_M!$B$1:$ZN$1000,MATCH(data!$A85,Haver_M!$B$1:$B$1000,0),MATCH(data!P$1,Haver_M!$B$1:$ZN$1,0))),INDEX(Haver_M!$B$1:$ZN$1000,MATCH(data!$A85,Haver_M!$B$1:$B$1000,0),MATCH(data!P$1,Haver_M!$B$1:$ZN$1,0)),"na")</f>
        <v>62.421999999999997</v>
      </c>
      <c r="Q85">
        <f>IF(ISNUMBER(INDEX(Haver_M!$B$1:$ZN$1000,MATCH(data!$A85,Haver_M!$B$1:$B$1000,0),MATCH(data!Q$1,Haver_M!$B$1:$ZN$1,0))),INDEX(Haver_M!$B$1:$ZN$1000,MATCH(data!$A85,Haver_M!$B$1:$B$1000,0),MATCH(data!Q$1,Haver_M!$B$1:$ZN$1,0)),"na")</f>
        <v>66.121799999999993</v>
      </c>
      <c r="R85">
        <f>IF(ISNUMBER(INDEX(Haver_M!$B$1:$ZN$1000,MATCH(data!$A85,Haver_M!$B$1:$B$1000,0),MATCH(data!R$1,Haver_M!$B$1:$ZN$1,0))),INDEX(Haver_M!$B$1:$ZN$1000,MATCH(data!$A85,Haver_M!$B$1:$B$1000,0),MATCH(data!R$1,Haver_M!$B$1:$ZN$1,0)),"na")</f>
        <v>98.203999999999994</v>
      </c>
      <c r="S85">
        <f>IF(ISNUMBER(INDEX(Haver_M!$B$1:$ZN$1000,MATCH(data!$A85,Haver_M!$B$1:$B$1000,0),MATCH(data!S$1,Haver_M!$B$1:$ZN$1,0))),INDEX(Haver_M!$B$1:$ZN$1000,MATCH(data!$A85,Haver_M!$B$1:$B$1000,0),MATCH(data!S$1,Haver_M!$B$1:$ZN$1,0)),"na")</f>
        <v>105.1401</v>
      </c>
      <c r="T85">
        <f>IF(ISNUMBER(INDEX(Haver_M!$B$1:$ZN$1000,MATCH(data!$A85,Haver_M!$B$1:$B$1000,0),MATCH(data!T$1,Haver_M!$B$1:$ZN$1,0))),INDEX(Haver_M!$B$1:$ZN$1000,MATCH(data!$A85,Haver_M!$B$1:$B$1000,0),MATCH(data!T$1,Haver_M!$B$1:$ZN$1,0)),"na")</f>
        <v>84.612099999999998</v>
      </c>
      <c r="U85">
        <f>IF(ISNUMBER(INDEX(Haver_M!$B$1:$ZN$1000,MATCH(data!$A85,Haver_M!$B$1:$B$1000,0),MATCH(data!U$1,Haver_M!$B$1:$ZN$1,0))),INDEX(Haver_M!$B$1:$ZN$1000,MATCH(data!$A85,Haver_M!$B$1:$B$1000,0),MATCH(data!U$1,Haver_M!$B$1:$ZN$1,0)),"na")</f>
        <v>94.916799999999995</v>
      </c>
      <c r="V85">
        <f>IF(ISNUMBER(INDEX(Haver_M!$B$1:$ZN$1000,MATCH(data!$A85,Haver_M!$B$1:$B$1000,0),MATCH(data!V$1,Haver_M!$B$1:$ZN$1,0))),INDEX(Haver_M!$B$1:$ZN$1000,MATCH(data!$A85,Haver_M!$B$1:$B$1000,0),MATCH(data!V$1,Haver_M!$B$1:$ZN$1,0)),"na")</f>
        <v>96.081400000000002</v>
      </c>
      <c r="W85">
        <f>IF(ISNUMBER(INDEX(Haver_M!$B$1:$ZN$1000,MATCH(data!$A85,Haver_M!$B$1:$B$1000,0),MATCH(data!W$1,Haver_M!$B$1:$ZN$1,0))),INDEX(Haver_M!$B$1:$ZN$1000,MATCH(data!$A85,Haver_M!$B$1:$B$1000,0),MATCH(data!W$1,Haver_M!$B$1:$ZN$1,0)),"na")</f>
        <v>3.85</v>
      </c>
      <c r="X85" t="str">
        <f>IF(ISNUMBER(INDEX(Haver_M!$B$1:$ZN$1000,MATCH(data!$A85,Haver_M!$B$1:$B$1000,0),MATCH(data!X$1,Haver_M!$B$1:$ZN$1,0))),INDEX(Haver_M!$B$1:$ZN$1000,MATCH(data!$A85,Haver_M!$B$1:$B$1000,0),MATCH(data!X$1,Haver_M!$B$1:$ZN$1,0)),"na")</f>
        <v>na</v>
      </c>
      <c r="Y85">
        <f>IF(ISNUMBER(INDEX(Haver_M!$B$1:$ZN$1000,MATCH(data!$A85,Haver_M!$B$1:$B$1000,0),MATCH(data!Y$1,Haver_M!$B$1:$ZN$1,0))),INDEX(Haver_M!$B$1:$ZN$1000,MATCH(data!$A85,Haver_M!$B$1:$B$1000,0),MATCH(data!Y$1,Haver_M!$B$1:$ZN$1,0)),"na")</f>
        <v>101.74</v>
      </c>
      <c r="Z85">
        <f>IF(ISNUMBER(INDEX(Haver_M!$B$1:$ZN$1000,MATCH(data!$A85,Haver_M!$B$1:$B$1000,0),MATCH(data!Z$1,Haver_M!$B$1:$ZN$1,0))),INDEX(Haver_M!$B$1:$ZN$1000,MATCH(data!$A85,Haver_M!$B$1:$B$1000,0),MATCH(data!Z$1,Haver_M!$B$1:$ZN$1,0)),"na")</f>
        <v>95.85</v>
      </c>
      <c r="AA85" t="str">
        <f>IF(ISNUMBER(INDEX(Haver_M!$B$1:$ZN$1000,MATCH(data!$A85,Haver_M!$B$1:$B$1000,0),MATCH(data!AA$1,Haver_M!$B$1:$ZN$1,0))),INDEX(Haver_M!$B$1:$ZN$1000,MATCH(data!$A85,Haver_M!$B$1:$B$1000,0),MATCH(data!AA$1,Haver_M!$B$1:$ZN$1,0)),"na")</f>
        <v>na</v>
      </c>
      <c r="AB85">
        <f>IF(ISNUMBER(INDEX(Haver_M!$B$1:$ZN$1000,MATCH(data!$A85,Haver_M!$B$1:$B$1000,0),MATCH(data!AB$1,Haver_M!$B$1:$ZN$1,0))),INDEX(Haver_M!$B$1:$ZN$1000,MATCH(data!$A85,Haver_M!$B$1:$B$1000,0),MATCH(data!AB$1,Haver_M!$B$1:$ZN$1,0)),"na")</f>
        <v>21136.799999999999</v>
      </c>
      <c r="AC85">
        <f>IF(ISNUMBER(INDEX(Haver_M!$B$1:$ZN$1000,MATCH(data!$A85,Haver_M!$B$1:$B$1000,0),MATCH(data!AC$1,Haver_M!$B$1:$ZN$1,0))),INDEX(Haver_M!$B$1:$ZN$1000,MATCH(data!$A85,Haver_M!$B$1:$B$1000,0),MATCH(data!AC$1,Haver_M!$B$1:$ZN$1,0)),"na")</f>
        <v>22020.3</v>
      </c>
      <c r="AD85">
        <f>IF(ISNUMBER(INDEX(Haver_M!$B$1:$ZN$1000,MATCH(data!$A85,Haver_M!$B$1:$B$1000,0),MATCH(data!AD$1,Haver_M!$B$1:$ZN$1,0))),INDEX(Haver_M!$B$1:$ZN$1000,MATCH(data!$A85,Haver_M!$B$1:$B$1000,0),MATCH(data!AD$1,Haver_M!$B$1:$ZN$1,0)),"na")</f>
        <v>100.77</v>
      </c>
      <c r="AE85">
        <f>IF(ISNUMBER(INDEX(Haver_M!$B$1:$ZN$1000,MATCH(data!$A85,Haver_M!$B$1:$B$1000,0),MATCH(data!AE$1,Haver_M!$B$1:$ZN$1,0))),INDEX(Haver_M!$B$1:$ZN$1000,MATCH(data!$A85,Haver_M!$B$1:$B$1000,0),MATCH(data!AE$1,Haver_M!$B$1:$ZN$1,0)),"na")</f>
        <v>44.1</v>
      </c>
      <c r="AF85">
        <f>IF(ISNUMBER(INDEX(Haver_M!$B$1:$ZN$1000,MATCH(data!$A85,Haver_M!$B$1:$B$1000,0),MATCH(data!AF$1,Haver_M!$B$1:$ZN$1,0))),INDEX(Haver_M!$B$1:$ZN$1000,MATCH(data!$A85,Haver_M!$B$1:$B$1000,0),MATCH(data!AF$1,Haver_M!$B$1:$ZN$1,0)),"na")</f>
        <v>101.55</v>
      </c>
      <c r="AG85" t="str">
        <f>IF(ISNUMBER(INDEX(Haver_M!$B$1:$ZN$1000,MATCH(data!$A85,Haver_M!$B$1:$B$1000,0),MATCH(data!AG$1,Haver_M!$B$1:$ZN$1,0))),INDEX(Haver_M!$B$1:$ZN$1000,MATCH(data!$A85,Haver_M!$B$1:$B$1000,0),MATCH(data!AG$1,Haver_M!$B$1:$ZN$1,0)),"na")</f>
        <v>na</v>
      </c>
      <c r="AH85" t="str">
        <f>IF(ISNUMBER(INDEX(Haver_M!$B$1:$ZN$1000,MATCH(data!$A85,Haver_M!$B$1:$B$1000,0),MATCH(data!AH$1,Haver_M!$B$1:$ZN$1,0))),INDEX(Haver_M!$B$1:$ZN$1000,MATCH(data!$A85,Haver_M!$B$1:$B$1000,0),MATCH(data!AH$1,Haver_M!$B$1:$ZN$1,0)),"na")</f>
        <v>na</v>
      </c>
      <c r="AI85" t="str">
        <f>IF(ISNUMBER(INDEX(Haver_M!$B$1:$ZN$1000,MATCH(data!$A85,Haver_M!$B$1:$B$1000,0),MATCH(data!AI$1,Haver_M!$B$1:$ZN$1,0))),INDEX(Haver_M!$B$1:$ZN$1000,MATCH(data!$A85,Haver_M!$B$1:$B$1000,0),MATCH(data!AI$1,Haver_M!$B$1:$ZN$1,0)),"na")</f>
        <v>na</v>
      </c>
      <c r="AJ85" t="str">
        <f>IF(ISNUMBER(INDEX(Haver_M!$B$1:$ZN$1000,MATCH(data!$A85,Haver_M!$B$1:$B$1000,0),MATCH(data!AJ$1,Haver_M!$B$1:$ZN$1,0))),INDEX(Haver_M!$B$1:$ZN$1000,MATCH(data!$A85,Haver_M!$B$1:$B$1000,0),MATCH(data!AJ$1,Haver_M!$B$1:$ZN$1,0)),"na")</f>
        <v>na</v>
      </c>
      <c r="AK85" t="str">
        <f>IF(ISNUMBER(INDEX(Haver_M!$B$1:$ZN$1000,MATCH(data!$A85,Haver_M!$B$1:$B$1000,0),MATCH(data!AK$1,Haver_M!$B$1:$ZN$1,0))),INDEX(Haver_M!$B$1:$ZN$1000,MATCH(data!$A85,Haver_M!$B$1:$B$1000,0),MATCH(data!AK$1,Haver_M!$B$1:$ZN$1,0)),"na")</f>
        <v>na</v>
      </c>
      <c r="AL85" t="str">
        <f>IF(ISNUMBER(INDEX(Haver_M!$B$1:$ZN$1000,MATCH(data!$A85,Haver_M!$B$1:$B$1000,0),MATCH(data!AL$1,Haver_M!$B$1:$ZN$1,0))),INDEX(Haver_M!$B$1:$ZN$1000,MATCH(data!$A85,Haver_M!$B$1:$B$1000,0),MATCH(data!AL$1,Haver_M!$B$1:$ZN$1,0)),"na")</f>
        <v>na</v>
      </c>
      <c r="AM85" t="str">
        <f>IF(ISNUMBER(INDEX(Haver_M!$B$1:$ZN$1000,MATCH(data!$A85,Haver_M!$B$1:$B$1000,0),MATCH(data!AM$1,Haver_M!$B$1:$ZN$1,0))),INDEX(Haver_M!$B$1:$ZN$1000,MATCH(data!$A85,Haver_M!$B$1:$B$1000,0),MATCH(data!AM$1,Haver_M!$B$1:$ZN$1,0)),"na")</f>
        <v>na</v>
      </c>
      <c r="AN85" t="str">
        <f>IF(ISNUMBER(INDEX(Haver_M!$B$1:$ZN$1000,MATCH(data!$A85,Haver_M!$B$1:$B$1000,0),MATCH(data!AN$1,Haver_M!$B$1:$ZN$1,0))),INDEX(Haver_M!$B$1:$ZN$1000,MATCH(data!$A85,Haver_M!$B$1:$B$1000,0),MATCH(data!AN$1,Haver_M!$B$1:$ZN$1,0)),"na")</f>
        <v>na</v>
      </c>
      <c r="AO85" t="str">
        <f>IF(ISNUMBER(INDEX(Haver_M!$B$1:$ZN$1000,MATCH(data!$A85,Haver_M!$B$1:$B$1000,0),MATCH(data!AO$1,Haver_M!$B$1:$ZN$1,0))),INDEX(Haver_M!$B$1:$ZN$1000,MATCH(data!$A85,Haver_M!$B$1:$B$1000,0),MATCH(data!AO$1,Haver_M!$B$1:$ZN$1,0)),"na")</f>
        <v>na</v>
      </c>
      <c r="AP85" t="str">
        <f>IF(ISNUMBER(INDEX(Haver_M!$B$1:$ZN$1000,MATCH(data!$A85,Haver_M!$B$1:$B$1000,0),MATCH(data!AP$1,Haver_M!$B$1:$ZN$1,0))),INDEX(Haver_M!$B$1:$ZN$1000,MATCH(data!$A85,Haver_M!$B$1:$B$1000,0),MATCH(data!AP$1,Haver_M!$B$1:$ZN$1,0)),"na")</f>
        <v>na</v>
      </c>
      <c r="AQ85" t="str">
        <f>IF(ISNUMBER(INDEX(Haver_M!$B$1:$ZN$1000,MATCH(data!$A85,Haver_M!$B$1:$B$1000,0),MATCH(data!AQ$1,Haver_M!$B$1:$ZN$1,0))),INDEX(Haver_M!$B$1:$ZN$1000,MATCH(data!$A85,Haver_M!$B$1:$B$1000,0),MATCH(data!AQ$1,Haver_M!$B$1:$ZN$1,0)),"na")</f>
        <v>na</v>
      </c>
      <c r="AR85" t="str">
        <f>IF(ISNUMBER(INDEX(Haver_M!$B$1:$ZN$1000,MATCH(data!$A85,Haver_M!$B$1:$B$1000,0),MATCH(data!AR$1,Haver_M!$B$1:$ZN$1,0))),INDEX(Haver_M!$B$1:$ZN$1000,MATCH(data!$A85,Haver_M!$B$1:$B$1000,0),MATCH(data!AR$1,Haver_M!$B$1:$ZN$1,0)),"na")</f>
        <v>na</v>
      </c>
      <c r="AS85">
        <f>IF(ISNUMBER(INDEX(Haver_M!$B$1:$ZN$1000,MATCH(data!$A85,Haver_M!$B$1:$B$1000,0),MATCH(data!AS$1,Haver_M!$B$1:$ZN$1,0))),INDEX(Haver_M!$B$1:$ZN$1000,MATCH(data!$A85,Haver_M!$B$1:$B$1000,0),MATCH(data!AS$1,Haver_M!$B$1:$ZN$1,0)),"na")</f>
        <v>25747.31</v>
      </c>
      <c r="AT85">
        <f>IF(ISNUMBER(INDEX(Haver_M!$B$1:$ZN$1000,MATCH(data!$A85,Haver_M!$B$1:$B$1000,0),MATCH(data!AT$1,Haver_M!$B$1:$ZN$1,0))),INDEX(Haver_M!$B$1:$ZN$1000,MATCH(data!$A85,Haver_M!$B$1:$B$1000,0),MATCH(data!AT$1,Haver_M!$B$1:$ZN$1,0)),"na")</f>
        <v>93.932000000000002</v>
      </c>
      <c r="AU85">
        <f>IF(ISNUMBER(INDEX(Haver_M!$B$1:$ZN$1000,MATCH(data!$A85,Haver_M!$B$1:$B$1000,0),MATCH(data!AU$1,Haver_M!$B$1:$ZN$1,0))),INDEX(Haver_M!$B$1:$ZN$1000,MATCH(data!$A85,Haver_M!$B$1:$B$1000,0),MATCH(data!AU$1,Haver_M!$B$1:$ZN$1,0)),"na")</f>
        <v>90.109915999999998</v>
      </c>
      <c r="AV85">
        <f>IF(ISNUMBER(INDEX(Haver_M!$B$1:$ZN$1000,MATCH(data!$A85,Haver_M!$B$1:$B$1000,0),MATCH(data!AV$1,Haver_M!$B$1:$ZN$1,0))),INDEX(Haver_M!$B$1:$ZN$1000,MATCH(data!$A85,Haver_M!$B$1:$B$1000,0),MATCH(data!AV$1,Haver_M!$B$1:$ZN$1,0)),"na")</f>
        <v>90.3</v>
      </c>
      <c r="AW85">
        <f>IF(ISNUMBER(INDEX(Haver_M!$B$1:$ZN$1000,MATCH(data!$A85,Haver_M!$B$1:$B$1000,0),MATCH(data!AW$1,Haver_M!$B$1:$ZN$1,0))),INDEX(Haver_M!$B$1:$ZN$1000,MATCH(data!$A85,Haver_M!$B$1:$B$1000,0),MATCH(data!AW$1,Haver_M!$B$1:$ZN$1,0)),"na")</f>
        <v>1141664.299643883</v>
      </c>
      <c r="AX85">
        <f>IF(ISNUMBER(INDEX(Haver_M!$B$1:$ZN$1000,MATCH(data!$A85,Haver_M!$B$1:$B$1000,0),MATCH(data!AX$1,Haver_M!$B$1:$ZN$1,0))),INDEX(Haver_M!$B$1:$ZN$1000,MATCH(data!$A85,Haver_M!$B$1:$B$1000,0),MATCH(data!AX$1,Haver_M!$B$1:$ZN$1,0)),"na")</f>
        <v>2967</v>
      </c>
      <c r="AY85">
        <f>IF(ISNUMBER(INDEX(Haver_M!$B$1:$ZN$1000,MATCH(data!$A85,Haver_M!$B$1:$B$1000,0),MATCH(data!AY$1,Haver_M!$B$1:$ZN$1,0))),INDEX(Haver_M!$B$1:$ZN$1000,MATCH(data!$A85,Haver_M!$B$1:$B$1000,0),MATCH(data!AY$1,Haver_M!$B$1:$ZN$1,0)),"na")</f>
        <v>1525</v>
      </c>
      <c r="AZ85">
        <f>IF(ISNUMBER(INDEX(Haver_M!$B$1:$ZN$1000,MATCH(data!$A85,Haver_M!$B$1:$B$1000,0),MATCH(data!AZ$1,Haver_M!$B$1:$ZN$1,0))),INDEX(Haver_M!$B$1:$ZN$1000,MATCH(data!$A85,Haver_M!$B$1:$B$1000,0),MATCH(data!AZ$1,Haver_M!$B$1:$ZN$1,0)),"na")</f>
        <v>52.5</v>
      </c>
      <c r="BA85">
        <f>IF(ISNUMBER(INDEX(Haver_M!$B$1:$ZN$1000,MATCH(data!$A85,Haver_M!$B$1:$B$1000,0),MATCH(data!BA$1,Haver_M!$B$1:$ZN$1,0))),INDEX(Haver_M!$B$1:$ZN$1000,MATCH(data!$A85,Haver_M!$B$1:$B$1000,0),MATCH(data!BA$1,Haver_M!$B$1:$ZN$1,0)),"na")</f>
        <v>31.829011487041559</v>
      </c>
      <c r="BB85" t="str">
        <f>IF(ISNUMBER(INDEX(Haver_M!$B$1:$ZN$1000,MATCH(data!$A85,Haver_M!$B$1:$B$1000,0),MATCH(data!BB$1,Haver_M!$B$1:$ZN$1,0))),INDEX(Haver_M!$B$1:$ZN$1000,MATCH(data!$A85,Haver_M!$B$1:$B$1000,0),MATCH(data!BB$1,Haver_M!$B$1:$ZN$1,0)),"")</f>
        <v/>
      </c>
    </row>
    <row r="86" spans="1:54" x14ac:dyDescent="0.25">
      <c r="A86" s="2">
        <v>39113</v>
      </c>
      <c r="B86" t="str">
        <f>IF(ISNUMBER(INDEX(Haver_Q!$B$1:$BD$1000,MATCH(data!$A86,Haver_Q!$B$1:$B$1000,0),MATCH(data!B$1,Haver_Q!$B$1:$BD$1,0))),100*INDEX(Haver_Q!$B$1:$BD$1000,MATCH(data!$A86,Haver_Q!$B$1:$B$1000,0),MATCH(data!B$1,Haver_Q!$B$1:$BD$1,0)),"na")</f>
        <v>na</v>
      </c>
      <c r="C86" t="str">
        <f>IF(ISNUMBER(INDEX(Haver_Q!$B$1:$BD$1000,MATCH(data!$A86,Haver_Q!$B$1:$B$1000,0),MATCH(data!C$1,Haver_Q!$B$1:$BD$1,0))),100*INDEX(Haver_Q!$B$1:$BD$1000,MATCH(data!$A86,Haver_Q!$B$1:$B$1000,0),MATCH(data!C$1,Haver_Q!$B$1:$BD$1,0)),"na")</f>
        <v>na</v>
      </c>
      <c r="D86" t="str">
        <f>IF(ISNUMBER(INDEX(Haver_Q!$B$1:$BD$1000,MATCH(data!$A86,Haver_Q!$B$1:$B$1000,0),MATCH(data!D$1,Haver_Q!$B$1:$BD$1,0))),100*INDEX(Haver_Q!$B$1:$BD$1000,MATCH(data!$A86,Haver_Q!$B$1:$B$1000,0),MATCH(data!D$1,Haver_Q!$B$1:$BD$1,0)),"na")</f>
        <v>na</v>
      </c>
      <c r="E86" t="str">
        <f>IF(ISNUMBER(INDEX(Haver_Q!$B$1:$BD$1000,MATCH(data!$A86,Haver_Q!$B$1:$B$1000,0),MATCH(data!E$1,Haver_Q!$B$1:$BD$1,0))),100*INDEX(Haver_Q!$B$1:$BD$1000,MATCH(data!$A86,Haver_Q!$B$1:$B$1000,0),MATCH(data!E$1,Haver_Q!$B$1:$BD$1,0)),"na")</f>
        <v>na</v>
      </c>
      <c r="F86" t="str">
        <f>IF(ISNUMBER(INDEX(Haver_Q!$B$1:$BD$1000,MATCH(data!$A86,Haver_Q!$B$1:$B$1000,0),MATCH(data!F$1,Haver_Q!$B$1:$BD$1,0))),100*INDEX(Haver_Q!$B$1:$BD$1000,MATCH(data!$A86,Haver_Q!$B$1:$B$1000,0),MATCH(data!F$1,Haver_Q!$B$1:$BD$1,0)),"na")</f>
        <v>na</v>
      </c>
      <c r="G86" t="str">
        <f>IF(ISNUMBER(INDEX(Haver_Q!$B$1:$BD$1000,MATCH(data!$A86,Haver_Q!$B$1:$B$1000,0),MATCH(data!G$1,Haver_Q!$B$1:$BD$1,0))),100*INDEX(Haver_Q!$B$1:$BD$1000,MATCH(data!$A86,Haver_Q!$B$1:$B$1000,0),MATCH(data!G$1,Haver_Q!$B$1:$BD$1,0)),"na")</f>
        <v>na</v>
      </c>
      <c r="H86" t="str">
        <f>IF(ISNUMBER(INDEX(Haver_Q!$B$1:$BD$1000,MATCH(data!$A86,Haver_Q!$B$1:$B$1000,0),MATCH(data!H$1,Haver_Q!$B$1:$BD$1,0))),100*INDEX(Haver_Q!$B$1:$BD$1000,MATCH(data!$A86,Haver_Q!$B$1:$B$1000,0),MATCH(data!H$1,Haver_Q!$B$1:$BD$1,0)),"na")</f>
        <v>na</v>
      </c>
      <c r="I86" s="3">
        <f>IF(ISNUMBER(Bloomberg_m!C102),Bloomberg_m!C102,"na")</f>
        <v>4462</v>
      </c>
      <c r="J86" s="3" t="str">
        <f>IF(ISNUMBER(Bloomberg_m!D102),Bloomberg_m!D102,"na")</f>
        <v>na</v>
      </c>
      <c r="K86" s="3" t="str">
        <f>IF(ISNUMBER(Bloomberg_m!E102),Bloomberg_m!E102,"na")</f>
        <v>na</v>
      </c>
      <c r="L86" s="3">
        <f>IF(ISNUMBER(Bloomberg_m!L102),Bloomberg_m!L102,"na")</f>
        <v>54.24</v>
      </c>
      <c r="M86" t="str">
        <f>IF(ISNUMBER(INDEX(Haver_M!$B$1:$ZN$1000,MATCH(data!$A86,Haver_M!$B$1:$B$1000,0),MATCH(data!M$1,Haver_M!$B$1:$ZN$1,0))),INDEX(Haver_M!$B$1:$ZN$1000,MATCH(data!$A86,Haver_M!$B$1:$B$1000,0),MATCH(data!M$1,Haver_M!$B$1:$ZN$1,0)),"na")</f>
        <v>na</v>
      </c>
      <c r="N86" t="str">
        <f>IF(ISNUMBER(INDEX(Haver_M!$B$1:$ZN$1000,MATCH(data!$A86,Haver_M!$B$1:$B$1000,0),MATCH(data!N$1,Haver_M!$B$1:$ZN$1,0))),INDEX(Haver_M!$B$1:$ZN$1000,MATCH(data!$A86,Haver_M!$B$1:$B$1000,0),MATCH(data!N$1,Haver_M!$B$1:$ZN$1,0)),"na")</f>
        <v>na</v>
      </c>
      <c r="O86">
        <f>IF(ISNUMBER(INDEX(Haver_M!$B$1:$ZN$1000,MATCH(data!$A86,Haver_M!$B$1:$B$1000,0),MATCH(data!O$1,Haver_M!$B$1:$ZN$1,0))),INDEX(Haver_M!$B$1:$ZN$1000,MATCH(data!$A86,Haver_M!$B$1:$B$1000,0),MATCH(data!O$1,Haver_M!$B$1:$ZN$1,0)),"na")</f>
        <v>111.90525</v>
      </c>
      <c r="P86">
        <f>IF(ISNUMBER(INDEX(Haver_M!$B$1:$ZN$1000,MATCH(data!$A86,Haver_M!$B$1:$B$1000,0),MATCH(data!P$1,Haver_M!$B$1:$ZN$1,0))),INDEX(Haver_M!$B$1:$ZN$1000,MATCH(data!$A86,Haver_M!$B$1:$B$1000,0),MATCH(data!P$1,Haver_M!$B$1:$ZN$1,0)),"na")</f>
        <v>62.6967</v>
      </c>
      <c r="Q86">
        <f>IF(ISNUMBER(INDEX(Haver_M!$B$1:$ZN$1000,MATCH(data!$A86,Haver_M!$B$1:$B$1000,0),MATCH(data!Q$1,Haver_M!$B$1:$ZN$1,0))),INDEX(Haver_M!$B$1:$ZN$1000,MATCH(data!$A86,Haver_M!$B$1:$B$1000,0),MATCH(data!Q$1,Haver_M!$B$1:$ZN$1,0)),"na")</f>
        <v>66.378299999999996</v>
      </c>
      <c r="R86">
        <f>IF(ISNUMBER(INDEX(Haver_M!$B$1:$ZN$1000,MATCH(data!$A86,Haver_M!$B$1:$B$1000,0),MATCH(data!R$1,Haver_M!$B$1:$ZN$1,0))),INDEX(Haver_M!$B$1:$ZN$1000,MATCH(data!$A86,Haver_M!$B$1:$B$1000,0),MATCH(data!R$1,Haver_M!$B$1:$ZN$1,0)),"na")</f>
        <v>97.775000000000006</v>
      </c>
      <c r="S86">
        <f>IF(ISNUMBER(INDEX(Haver_M!$B$1:$ZN$1000,MATCH(data!$A86,Haver_M!$B$1:$B$1000,0),MATCH(data!S$1,Haver_M!$B$1:$ZN$1,0))),INDEX(Haver_M!$B$1:$ZN$1000,MATCH(data!$A86,Haver_M!$B$1:$B$1000,0),MATCH(data!S$1,Haver_M!$B$1:$ZN$1,0)),"na")</f>
        <v>110.36239999999999</v>
      </c>
      <c r="T86">
        <f>IF(ISNUMBER(INDEX(Haver_M!$B$1:$ZN$1000,MATCH(data!$A86,Haver_M!$B$1:$B$1000,0),MATCH(data!T$1,Haver_M!$B$1:$ZN$1,0))),INDEX(Haver_M!$B$1:$ZN$1000,MATCH(data!$A86,Haver_M!$B$1:$B$1000,0),MATCH(data!T$1,Haver_M!$B$1:$ZN$1,0)),"na")</f>
        <v>84.468599999999995</v>
      </c>
      <c r="U86">
        <f>IF(ISNUMBER(INDEX(Haver_M!$B$1:$ZN$1000,MATCH(data!$A86,Haver_M!$B$1:$B$1000,0),MATCH(data!U$1,Haver_M!$B$1:$ZN$1,0))),INDEX(Haver_M!$B$1:$ZN$1000,MATCH(data!$A86,Haver_M!$B$1:$B$1000,0),MATCH(data!U$1,Haver_M!$B$1:$ZN$1,0)),"na")</f>
        <v>94.764600000000002</v>
      </c>
      <c r="V86">
        <f>IF(ISNUMBER(INDEX(Haver_M!$B$1:$ZN$1000,MATCH(data!$A86,Haver_M!$B$1:$B$1000,0),MATCH(data!V$1,Haver_M!$B$1:$ZN$1,0))),INDEX(Haver_M!$B$1:$ZN$1000,MATCH(data!$A86,Haver_M!$B$1:$B$1000,0),MATCH(data!V$1,Haver_M!$B$1:$ZN$1,0)),"na")</f>
        <v>95.705100000000002</v>
      </c>
      <c r="W86">
        <f>IF(ISNUMBER(INDEX(Haver_M!$B$1:$ZN$1000,MATCH(data!$A86,Haver_M!$B$1:$B$1000,0),MATCH(data!W$1,Haver_M!$B$1:$ZN$1,0))),INDEX(Haver_M!$B$1:$ZN$1000,MATCH(data!$A86,Haver_M!$B$1:$B$1000,0),MATCH(data!W$1,Haver_M!$B$1:$ZN$1,0)),"na")</f>
        <v>3.72</v>
      </c>
      <c r="X86">
        <f>IF(ISNUMBER(INDEX(Haver_M!$B$1:$ZN$1000,MATCH(data!$A86,Haver_M!$B$1:$B$1000,0),MATCH(data!X$1,Haver_M!$B$1:$ZN$1,0))),INDEX(Haver_M!$B$1:$ZN$1000,MATCH(data!$A86,Haver_M!$B$1:$B$1000,0),MATCH(data!X$1,Haver_M!$B$1:$ZN$1,0)),"na")</f>
        <v>99.5</v>
      </c>
      <c r="Y86">
        <f>IF(ISNUMBER(INDEX(Haver_M!$B$1:$ZN$1000,MATCH(data!$A86,Haver_M!$B$1:$B$1000,0),MATCH(data!Y$1,Haver_M!$B$1:$ZN$1,0))),INDEX(Haver_M!$B$1:$ZN$1000,MATCH(data!$A86,Haver_M!$B$1:$B$1000,0),MATCH(data!Y$1,Haver_M!$B$1:$ZN$1,0)),"na")</f>
        <v>101.84</v>
      </c>
      <c r="Z86">
        <f>IF(ISNUMBER(INDEX(Haver_M!$B$1:$ZN$1000,MATCH(data!$A86,Haver_M!$B$1:$B$1000,0),MATCH(data!Z$1,Haver_M!$B$1:$ZN$1,0))),INDEX(Haver_M!$B$1:$ZN$1000,MATCH(data!$A86,Haver_M!$B$1:$B$1000,0),MATCH(data!Z$1,Haver_M!$B$1:$ZN$1,0)),"na")</f>
        <v>95.767899999999997</v>
      </c>
      <c r="AA86" t="str">
        <f>IF(ISNUMBER(INDEX(Haver_M!$B$1:$ZN$1000,MATCH(data!$A86,Haver_M!$B$1:$B$1000,0),MATCH(data!AA$1,Haver_M!$B$1:$ZN$1,0))),INDEX(Haver_M!$B$1:$ZN$1000,MATCH(data!$A86,Haver_M!$B$1:$B$1000,0),MATCH(data!AA$1,Haver_M!$B$1:$ZN$1,0)),"na")</f>
        <v>na</v>
      </c>
      <c r="AB86">
        <f>IF(ISNUMBER(INDEX(Haver_M!$B$1:$ZN$1000,MATCH(data!$A86,Haver_M!$B$1:$B$1000,0),MATCH(data!AB$1,Haver_M!$B$1:$ZN$1,0))),INDEX(Haver_M!$B$1:$ZN$1000,MATCH(data!$A86,Haver_M!$B$1:$B$1000,0),MATCH(data!AB$1,Haver_M!$B$1:$ZN$1,0)),"na")</f>
        <v>20533.099999999999</v>
      </c>
      <c r="AC86">
        <f>IF(ISNUMBER(INDEX(Haver_M!$B$1:$ZN$1000,MATCH(data!$A86,Haver_M!$B$1:$B$1000,0),MATCH(data!AC$1,Haver_M!$B$1:$ZN$1,0))),INDEX(Haver_M!$B$1:$ZN$1000,MATCH(data!$A86,Haver_M!$B$1:$B$1000,0),MATCH(data!AC$1,Haver_M!$B$1:$ZN$1,0)),"na")</f>
        <v>21922.799999999999</v>
      </c>
      <c r="AD86">
        <f>IF(ISNUMBER(INDEX(Haver_M!$B$1:$ZN$1000,MATCH(data!$A86,Haver_M!$B$1:$B$1000,0),MATCH(data!AD$1,Haver_M!$B$1:$ZN$1,0))),INDEX(Haver_M!$B$1:$ZN$1000,MATCH(data!$A86,Haver_M!$B$1:$B$1000,0),MATCH(data!AD$1,Haver_M!$B$1:$ZN$1,0)),"na")</f>
        <v>100.8</v>
      </c>
      <c r="AE86">
        <f>IF(ISNUMBER(INDEX(Haver_M!$B$1:$ZN$1000,MATCH(data!$A86,Haver_M!$B$1:$B$1000,0),MATCH(data!AE$1,Haver_M!$B$1:$ZN$1,0))),INDEX(Haver_M!$B$1:$ZN$1000,MATCH(data!$A86,Haver_M!$B$1:$B$1000,0),MATCH(data!AE$1,Haver_M!$B$1:$ZN$1,0)),"na")</f>
        <v>42.6</v>
      </c>
      <c r="AF86">
        <f>IF(ISNUMBER(INDEX(Haver_M!$B$1:$ZN$1000,MATCH(data!$A86,Haver_M!$B$1:$B$1000,0),MATCH(data!AF$1,Haver_M!$B$1:$ZN$1,0))),INDEX(Haver_M!$B$1:$ZN$1000,MATCH(data!$A86,Haver_M!$B$1:$B$1000,0),MATCH(data!AF$1,Haver_M!$B$1:$ZN$1,0)),"na")</f>
        <v>101.69</v>
      </c>
      <c r="AG86" t="str">
        <f>IF(ISNUMBER(INDEX(Haver_M!$B$1:$ZN$1000,MATCH(data!$A86,Haver_M!$B$1:$B$1000,0),MATCH(data!AG$1,Haver_M!$B$1:$ZN$1,0))),INDEX(Haver_M!$B$1:$ZN$1000,MATCH(data!$A86,Haver_M!$B$1:$B$1000,0),MATCH(data!AG$1,Haver_M!$B$1:$ZN$1,0)),"na")</f>
        <v>na</v>
      </c>
      <c r="AH86" t="str">
        <f>IF(ISNUMBER(INDEX(Haver_M!$B$1:$ZN$1000,MATCH(data!$A86,Haver_M!$B$1:$B$1000,0),MATCH(data!AH$1,Haver_M!$B$1:$ZN$1,0))),INDEX(Haver_M!$B$1:$ZN$1000,MATCH(data!$A86,Haver_M!$B$1:$B$1000,0),MATCH(data!AH$1,Haver_M!$B$1:$ZN$1,0)),"na")</f>
        <v>na</v>
      </c>
      <c r="AI86" t="str">
        <f>IF(ISNUMBER(INDEX(Haver_M!$B$1:$ZN$1000,MATCH(data!$A86,Haver_M!$B$1:$B$1000,0),MATCH(data!AI$1,Haver_M!$B$1:$ZN$1,0))),INDEX(Haver_M!$B$1:$ZN$1000,MATCH(data!$A86,Haver_M!$B$1:$B$1000,0),MATCH(data!AI$1,Haver_M!$B$1:$ZN$1,0)),"na")</f>
        <v>na</v>
      </c>
      <c r="AJ86" t="str">
        <f>IF(ISNUMBER(INDEX(Haver_M!$B$1:$ZN$1000,MATCH(data!$A86,Haver_M!$B$1:$B$1000,0),MATCH(data!AJ$1,Haver_M!$B$1:$ZN$1,0))),INDEX(Haver_M!$B$1:$ZN$1000,MATCH(data!$A86,Haver_M!$B$1:$B$1000,0),MATCH(data!AJ$1,Haver_M!$B$1:$ZN$1,0)),"na")</f>
        <v>na</v>
      </c>
      <c r="AK86" t="str">
        <f>IF(ISNUMBER(INDEX(Haver_M!$B$1:$ZN$1000,MATCH(data!$A86,Haver_M!$B$1:$B$1000,0),MATCH(data!AK$1,Haver_M!$B$1:$ZN$1,0))),INDEX(Haver_M!$B$1:$ZN$1000,MATCH(data!$A86,Haver_M!$B$1:$B$1000,0),MATCH(data!AK$1,Haver_M!$B$1:$ZN$1,0)),"na")</f>
        <v>na</v>
      </c>
      <c r="AL86" t="str">
        <f>IF(ISNUMBER(INDEX(Haver_M!$B$1:$ZN$1000,MATCH(data!$A86,Haver_M!$B$1:$B$1000,0),MATCH(data!AL$1,Haver_M!$B$1:$ZN$1,0))),INDEX(Haver_M!$B$1:$ZN$1000,MATCH(data!$A86,Haver_M!$B$1:$B$1000,0),MATCH(data!AL$1,Haver_M!$B$1:$ZN$1,0)),"na")</f>
        <v>na</v>
      </c>
      <c r="AM86" t="str">
        <f>IF(ISNUMBER(INDEX(Haver_M!$B$1:$ZN$1000,MATCH(data!$A86,Haver_M!$B$1:$B$1000,0),MATCH(data!AM$1,Haver_M!$B$1:$ZN$1,0))),INDEX(Haver_M!$B$1:$ZN$1000,MATCH(data!$A86,Haver_M!$B$1:$B$1000,0),MATCH(data!AM$1,Haver_M!$B$1:$ZN$1,0)),"na")</f>
        <v>na</v>
      </c>
      <c r="AN86" t="str">
        <f>IF(ISNUMBER(INDEX(Haver_M!$B$1:$ZN$1000,MATCH(data!$A86,Haver_M!$B$1:$B$1000,0),MATCH(data!AN$1,Haver_M!$B$1:$ZN$1,0))),INDEX(Haver_M!$B$1:$ZN$1000,MATCH(data!$A86,Haver_M!$B$1:$B$1000,0),MATCH(data!AN$1,Haver_M!$B$1:$ZN$1,0)),"na")</f>
        <v>na</v>
      </c>
      <c r="AO86" t="str">
        <f>IF(ISNUMBER(INDEX(Haver_M!$B$1:$ZN$1000,MATCH(data!$A86,Haver_M!$B$1:$B$1000,0),MATCH(data!AO$1,Haver_M!$B$1:$ZN$1,0))),INDEX(Haver_M!$B$1:$ZN$1000,MATCH(data!$A86,Haver_M!$B$1:$B$1000,0),MATCH(data!AO$1,Haver_M!$B$1:$ZN$1,0)),"na")</f>
        <v>na</v>
      </c>
      <c r="AP86" t="str">
        <f>IF(ISNUMBER(INDEX(Haver_M!$B$1:$ZN$1000,MATCH(data!$A86,Haver_M!$B$1:$B$1000,0),MATCH(data!AP$1,Haver_M!$B$1:$ZN$1,0))),INDEX(Haver_M!$B$1:$ZN$1000,MATCH(data!$A86,Haver_M!$B$1:$B$1000,0),MATCH(data!AP$1,Haver_M!$B$1:$ZN$1,0)),"na")</f>
        <v>na</v>
      </c>
      <c r="AQ86" t="str">
        <f>IF(ISNUMBER(INDEX(Haver_M!$B$1:$ZN$1000,MATCH(data!$A86,Haver_M!$B$1:$B$1000,0),MATCH(data!AQ$1,Haver_M!$B$1:$ZN$1,0))),INDEX(Haver_M!$B$1:$ZN$1000,MATCH(data!$A86,Haver_M!$B$1:$B$1000,0),MATCH(data!AQ$1,Haver_M!$B$1:$ZN$1,0)),"na")</f>
        <v>na</v>
      </c>
      <c r="AR86" t="str">
        <f>IF(ISNUMBER(INDEX(Haver_M!$B$1:$ZN$1000,MATCH(data!$A86,Haver_M!$B$1:$B$1000,0),MATCH(data!AR$1,Haver_M!$B$1:$ZN$1,0))),INDEX(Haver_M!$B$1:$ZN$1000,MATCH(data!$A86,Haver_M!$B$1:$B$1000,0),MATCH(data!AR$1,Haver_M!$B$1:$ZN$1,0)),"na")</f>
        <v>na</v>
      </c>
      <c r="AS86">
        <f>IF(ISNUMBER(INDEX(Haver_M!$B$1:$ZN$1000,MATCH(data!$A86,Haver_M!$B$1:$B$1000,0),MATCH(data!AS$1,Haver_M!$B$1:$ZN$1,0))),INDEX(Haver_M!$B$1:$ZN$1000,MATCH(data!$A86,Haver_M!$B$1:$B$1000,0),MATCH(data!AS$1,Haver_M!$B$1:$ZN$1,0)),"na")</f>
        <v>26564.1</v>
      </c>
      <c r="AT86">
        <f>IF(ISNUMBER(INDEX(Haver_M!$B$1:$ZN$1000,MATCH(data!$A86,Haver_M!$B$1:$B$1000,0),MATCH(data!AT$1,Haver_M!$B$1:$ZN$1,0))),INDEX(Haver_M!$B$1:$ZN$1000,MATCH(data!$A86,Haver_M!$B$1:$B$1000,0),MATCH(data!AT$1,Haver_M!$B$1:$ZN$1,0)),"na")</f>
        <v>93.649000000000001</v>
      </c>
      <c r="AU86">
        <f>IF(ISNUMBER(INDEX(Haver_M!$B$1:$ZN$1000,MATCH(data!$A86,Haver_M!$B$1:$B$1000,0),MATCH(data!AU$1,Haver_M!$B$1:$ZN$1,0))),INDEX(Haver_M!$B$1:$ZN$1000,MATCH(data!$A86,Haver_M!$B$1:$B$1000,0),MATCH(data!AU$1,Haver_M!$B$1:$ZN$1,0)),"na")</f>
        <v>90.049368000000001</v>
      </c>
      <c r="AV86">
        <f>IF(ISNUMBER(INDEX(Haver_M!$B$1:$ZN$1000,MATCH(data!$A86,Haver_M!$B$1:$B$1000,0),MATCH(data!AV$1,Haver_M!$B$1:$ZN$1,0))),INDEX(Haver_M!$B$1:$ZN$1000,MATCH(data!$A86,Haver_M!$B$1:$B$1000,0),MATCH(data!AV$1,Haver_M!$B$1:$ZN$1,0)),"na")</f>
        <v>87.2</v>
      </c>
      <c r="AW86">
        <f>IF(ISNUMBER(INDEX(Haver_M!$B$1:$ZN$1000,MATCH(data!$A86,Haver_M!$B$1:$B$1000,0),MATCH(data!AW$1,Haver_M!$B$1:$ZN$1,0))),INDEX(Haver_M!$B$1:$ZN$1000,MATCH(data!$A86,Haver_M!$B$1:$B$1000,0),MATCH(data!AW$1,Haver_M!$B$1:$ZN$1,0)),"na")</f>
        <v>1085422.6143887383</v>
      </c>
      <c r="AX86">
        <f>IF(ISNUMBER(INDEX(Haver_M!$B$1:$ZN$1000,MATCH(data!$A86,Haver_M!$B$1:$B$1000,0),MATCH(data!AX$1,Haver_M!$B$1:$ZN$1,0))),INDEX(Haver_M!$B$1:$ZN$1000,MATCH(data!$A86,Haver_M!$B$1:$B$1000,0),MATCH(data!AX$1,Haver_M!$B$1:$ZN$1,0)),"na")</f>
        <v>3140</v>
      </c>
      <c r="AY86">
        <f>IF(ISNUMBER(INDEX(Haver_M!$B$1:$ZN$1000,MATCH(data!$A86,Haver_M!$B$1:$B$1000,0),MATCH(data!AY$1,Haver_M!$B$1:$ZN$1,0))),INDEX(Haver_M!$B$1:$ZN$1000,MATCH(data!$A86,Haver_M!$B$1:$B$1000,0),MATCH(data!AY$1,Haver_M!$B$1:$ZN$1,0)),"na")</f>
        <v>1582</v>
      </c>
      <c r="AZ86">
        <f>IF(ISNUMBER(INDEX(Haver_M!$B$1:$ZN$1000,MATCH(data!$A86,Haver_M!$B$1:$B$1000,0),MATCH(data!AZ$1,Haver_M!$B$1:$ZN$1,0))),INDEX(Haver_M!$B$1:$ZN$1000,MATCH(data!$A86,Haver_M!$B$1:$B$1000,0),MATCH(data!AZ$1,Haver_M!$B$1:$ZN$1,0)),"na")</f>
        <v>50.3</v>
      </c>
      <c r="BA86">
        <f>IF(ISNUMBER(INDEX(Haver_M!$B$1:$ZN$1000,MATCH(data!$A86,Haver_M!$B$1:$B$1000,0),MATCH(data!BA$1,Haver_M!$B$1:$ZN$1,0))),INDEX(Haver_M!$B$1:$ZN$1000,MATCH(data!$A86,Haver_M!$B$1:$B$1000,0),MATCH(data!BA$1,Haver_M!$B$1:$ZN$1,0)),"na")</f>
        <v>29.182121537319858</v>
      </c>
      <c r="BB86" t="str">
        <f>IF(ISNUMBER(INDEX(Haver_M!$B$1:$ZN$1000,MATCH(data!$A86,Haver_M!$B$1:$B$1000,0),MATCH(data!BB$1,Haver_M!$B$1:$ZN$1,0))),INDEX(Haver_M!$B$1:$ZN$1000,MATCH(data!$A86,Haver_M!$B$1:$B$1000,0),MATCH(data!BB$1,Haver_M!$B$1:$ZN$1,0)),"")</f>
        <v/>
      </c>
    </row>
    <row r="87" spans="1:54" x14ac:dyDescent="0.25">
      <c r="A87" s="2">
        <v>39141</v>
      </c>
      <c r="B87" t="str">
        <f>IF(ISNUMBER(INDEX(Haver_Q!$B$1:$BD$1000,MATCH(data!$A87,Haver_Q!$B$1:$B$1000,0),MATCH(data!B$1,Haver_Q!$B$1:$BD$1,0))),100*INDEX(Haver_Q!$B$1:$BD$1000,MATCH(data!$A87,Haver_Q!$B$1:$B$1000,0),MATCH(data!B$1,Haver_Q!$B$1:$BD$1,0)),"na")</f>
        <v>na</v>
      </c>
      <c r="C87" t="str">
        <f>IF(ISNUMBER(INDEX(Haver_Q!$B$1:$BD$1000,MATCH(data!$A87,Haver_Q!$B$1:$B$1000,0),MATCH(data!C$1,Haver_Q!$B$1:$BD$1,0))),100*INDEX(Haver_Q!$B$1:$BD$1000,MATCH(data!$A87,Haver_Q!$B$1:$B$1000,0),MATCH(data!C$1,Haver_Q!$B$1:$BD$1,0)),"na")</f>
        <v>na</v>
      </c>
      <c r="D87" t="str">
        <f>IF(ISNUMBER(INDEX(Haver_Q!$B$1:$BD$1000,MATCH(data!$A87,Haver_Q!$B$1:$B$1000,0),MATCH(data!D$1,Haver_Q!$B$1:$BD$1,0))),100*INDEX(Haver_Q!$B$1:$BD$1000,MATCH(data!$A87,Haver_Q!$B$1:$B$1000,0),MATCH(data!D$1,Haver_Q!$B$1:$BD$1,0)),"na")</f>
        <v>na</v>
      </c>
      <c r="E87" t="str">
        <f>IF(ISNUMBER(INDEX(Haver_Q!$B$1:$BD$1000,MATCH(data!$A87,Haver_Q!$B$1:$B$1000,0),MATCH(data!E$1,Haver_Q!$B$1:$BD$1,0))),100*INDEX(Haver_Q!$B$1:$BD$1000,MATCH(data!$A87,Haver_Q!$B$1:$B$1000,0),MATCH(data!E$1,Haver_Q!$B$1:$BD$1,0)),"na")</f>
        <v>na</v>
      </c>
      <c r="F87" t="str">
        <f>IF(ISNUMBER(INDEX(Haver_Q!$B$1:$BD$1000,MATCH(data!$A87,Haver_Q!$B$1:$B$1000,0),MATCH(data!F$1,Haver_Q!$B$1:$BD$1,0))),100*INDEX(Haver_Q!$B$1:$BD$1000,MATCH(data!$A87,Haver_Q!$B$1:$B$1000,0),MATCH(data!F$1,Haver_Q!$B$1:$BD$1,0)),"na")</f>
        <v>na</v>
      </c>
      <c r="G87" t="str">
        <f>IF(ISNUMBER(INDEX(Haver_Q!$B$1:$BD$1000,MATCH(data!$A87,Haver_Q!$B$1:$B$1000,0),MATCH(data!G$1,Haver_Q!$B$1:$BD$1,0))),100*INDEX(Haver_Q!$B$1:$BD$1000,MATCH(data!$A87,Haver_Q!$B$1:$B$1000,0),MATCH(data!G$1,Haver_Q!$B$1:$BD$1,0)),"na")</f>
        <v>na</v>
      </c>
      <c r="H87" t="str">
        <f>IF(ISNUMBER(INDEX(Haver_Q!$B$1:$BD$1000,MATCH(data!$A87,Haver_Q!$B$1:$B$1000,0),MATCH(data!H$1,Haver_Q!$B$1:$BD$1,0))),100*INDEX(Haver_Q!$B$1:$BD$1000,MATCH(data!$A87,Haver_Q!$B$1:$B$1000,0),MATCH(data!H$1,Haver_Q!$B$1:$BD$1,0)),"na")</f>
        <v>na</v>
      </c>
      <c r="I87" s="3">
        <f>IF(ISNUMBER(Bloomberg_m!C103),Bloomberg_m!C103,"na")</f>
        <v>4398</v>
      </c>
      <c r="J87" s="3" t="str">
        <f>IF(ISNUMBER(Bloomberg_m!D103),Bloomberg_m!D103,"na")</f>
        <v>na</v>
      </c>
      <c r="K87" s="3" t="str">
        <f>IF(ISNUMBER(Bloomberg_m!E103),Bloomberg_m!E103,"na")</f>
        <v>na</v>
      </c>
      <c r="L87" s="3">
        <f>IF(ISNUMBER(Bloomberg_m!L103),Bloomberg_m!L103,"na")</f>
        <v>59.25</v>
      </c>
      <c r="M87" t="str">
        <f>IF(ISNUMBER(INDEX(Haver_M!$B$1:$ZN$1000,MATCH(data!$A87,Haver_M!$B$1:$B$1000,0),MATCH(data!M$1,Haver_M!$B$1:$ZN$1,0))),INDEX(Haver_M!$B$1:$ZN$1000,MATCH(data!$A87,Haver_M!$B$1:$B$1000,0),MATCH(data!M$1,Haver_M!$B$1:$ZN$1,0)),"na")</f>
        <v>na</v>
      </c>
      <c r="N87" t="str">
        <f>IF(ISNUMBER(INDEX(Haver_M!$B$1:$ZN$1000,MATCH(data!$A87,Haver_M!$B$1:$B$1000,0),MATCH(data!N$1,Haver_M!$B$1:$ZN$1,0))),INDEX(Haver_M!$B$1:$ZN$1000,MATCH(data!$A87,Haver_M!$B$1:$B$1000,0),MATCH(data!N$1,Haver_M!$B$1:$ZN$1,0)),"na")</f>
        <v>na</v>
      </c>
      <c r="O87">
        <f>IF(ISNUMBER(INDEX(Haver_M!$B$1:$ZN$1000,MATCH(data!$A87,Haver_M!$B$1:$B$1000,0),MATCH(data!O$1,Haver_M!$B$1:$ZN$1,0))),INDEX(Haver_M!$B$1:$ZN$1000,MATCH(data!$A87,Haver_M!$B$1:$B$1000,0),MATCH(data!O$1,Haver_M!$B$1:$ZN$1,0)),"na")</f>
        <v>111.16606</v>
      </c>
      <c r="P87">
        <f>IF(ISNUMBER(INDEX(Haver_M!$B$1:$ZN$1000,MATCH(data!$A87,Haver_M!$B$1:$B$1000,0),MATCH(data!P$1,Haver_M!$B$1:$ZN$1,0))),INDEX(Haver_M!$B$1:$ZN$1000,MATCH(data!$A87,Haver_M!$B$1:$B$1000,0),MATCH(data!P$1,Haver_M!$B$1:$ZN$1,0)),"na")</f>
        <v>62.867100000000001</v>
      </c>
      <c r="Q87">
        <f>IF(ISNUMBER(INDEX(Haver_M!$B$1:$ZN$1000,MATCH(data!$A87,Haver_M!$B$1:$B$1000,0),MATCH(data!Q$1,Haver_M!$B$1:$ZN$1,0))),INDEX(Haver_M!$B$1:$ZN$1000,MATCH(data!$A87,Haver_M!$B$1:$B$1000,0),MATCH(data!Q$1,Haver_M!$B$1:$ZN$1,0)),"na")</f>
        <v>66.568600000000004</v>
      </c>
      <c r="R87">
        <f>IF(ISNUMBER(INDEX(Haver_M!$B$1:$ZN$1000,MATCH(data!$A87,Haver_M!$B$1:$B$1000,0),MATCH(data!R$1,Haver_M!$B$1:$ZN$1,0))),INDEX(Haver_M!$B$1:$ZN$1000,MATCH(data!$A87,Haver_M!$B$1:$B$1000,0),MATCH(data!R$1,Haver_M!$B$1:$ZN$1,0)),"na")</f>
        <v>98.638999999999996</v>
      </c>
      <c r="S87">
        <f>IF(ISNUMBER(INDEX(Haver_M!$B$1:$ZN$1000,MATCH(data!$A87,Haver_M!$B$1:$B$1000,0),MATCH(data!S$1,Haver_M!$B$1:$ZN$1,0))),INDEX(Haver_M!$B$1:$ZN$1000,MATCH(data!$A87,Haver_M!$B$1:$B$1000,0),MATCH(data!S$1,Haver_M!$B$1:$ZN$1,0)),"na")</f>
        <v>111.1932</v>
      </c>
      <c r="T87">
        <f>IF(ISNUMBER(INDEX(Haver_M!$B$1:$ZN$1000,MATCH(data!$A87,Haver_M!$B$1:$B$1000,0),MATCH(data!T$1,Haver_M!$B$1:$ZN$1,0))),INDEX(Haver_M!$B$1:$ZN$1000,MATCH(data!$A87,Haver_M!$B$1:$B$1000,0),MATCH(data!T$1,Haver_M!$B$1:$ZN$1,0)),"na")</f>
        <v>83.328999999999994</v>
      </c>
      <c r="U87">
        <f>IF(ISNUMBER(INDEX(Haver_M!$B$1:$ZN$1000,MATCH(data!$A87,Haver_M!$B$1:$B$1000,0),MATCH(data!U$1,Haver_M!$B$1:$ZN$1,0))),INDEX(Haver_M!$B$1:$ZN$1000,MATCH(data!$A87,Haver_M!$B$1:$B$1000,0),MATCH(data!U$1,Haver_M!$B$1:$ZN$1,0)),"na")</f>
        <v>95.967600000000004</v>
      </c>
      <c r="V87">
        <f>IF(ISNUMBER(INDEX(Haver_M!$B$1:$ZN$1000,MATCH(data!$A87,Haver_M!$B$1:$B$1000,0),MATCH(data!V$1,Haver_M!$B$1:$ZN$1,0))),INDEX(Haver_M!$B$1:$ZN$1000,MATCH(data!$A87,Haver_M!$B$1:$B$1000,0),MATCH(data!V$1,Haver_M!$B$1:$ZN$1,0)),"na")</f>
        <v>95.891800000000003</v>
      </c>
      <c r="W87">
        <f>IF(ISNUMBER(INDEX(Haver_M!$B$1:$ZN$1000,MATCH(data!$A87,Haver_M!$B$1:$B$1000,0),MATCH(data!W$1,Haver_M!$B$1:$ZN$1,0))),INDEX(Haver_M!$B$1:$ZN$1000,MATCH(data!$A87,Haver_M!$B$1:$B$1000,0),MATCH(data!W$1,Haver_M!$B$1:$ZN$1,0)),"na")</f>
        <v>3.8</v>
      </c>
      <c r="X87">
        <f>IF(ISNUMBER(INDEX(Haver_M!$B$1:$ZN$1000,MATCH(data!$A87,Haver_M!$B$1:$B$1000,0),MATCH(data!X$1,Haver_M!$B$1:$ZN$1,0))),INDEX(Haver_M!$B$1:$ZN$1000,MATCH(data!$A87,Haver_M!$B$1:$B$1000,0),MATCH(data!X$1,Haver_M!$B$1:$ZN$1,0)),"na")</f>
        <v>99.75</v>
      </c>
      <c r="Y87">
        <f>IF(ISNUMBER(INDEX(Haver_M!$B$1:$ZN$1000,MATCH(data!$A87,Haver_M!$B$1:$B$1000,0),MATCH(data!Y$1,Haver_M!$B$1:$ZN$1,0))),INDEX(Haver_M!$B$1:$ZN$1000,MATCH(data!$A87,Haver_M!$B$1:$B$1000,0),MATCH(data!Y$1,Haver_M!$B$1:$ZN$1,0)),"na")</f>
        <v>101.94</v>
      </c>
      <c r="Z87">
        <f>IF(ISNUMBER(INDEX(Haver_M!$B$1:$ZN$1000,MATCH(data!$A87,Haver_M!$B$1:$B$1000,0),MATCH(data!Z$1,Haver_M!$B$1:$ZN$1,0))),INDEX(Haver_M!$B$1:$ZN$1000,MATCH(data!$A87,Haver_M!$B$1:$B$1000,0),MATCH(data!Z$1,Haver_M!$B$1:$ZN$1,0)),"na")</f>
        <v>96.424400000000006</v>
      </c>
      <c r="AA87" t="str">
        <f>IF(ISNUMBER(INDEX(Haver_M!$B$1:$ZN$1000,MATCH(data!$A87,Haver_M!$B$1:$B$1000,0),MATCH(data!AA$1,Haver_M!$B$1:$ZN$1,0))),INDEX(Haver_M!$B$1:$ZN$1000,MATCH(data!$A87,Haver_M!$B$1:$B$1000,0),MATCH(data!AA$1,Haver_M!$B$1:$ZN$1,0)),"na")</f>
        <v>na</v>
      </c>
      <c r="AB87">
        <f>IF(ISNUMBER(INDEX(Haver_M!$B$1:$ZN$1000,MATCH(data!$A87,Haver_M!$B$1:$B$1000,0),MATCH(data!AB$1,Haver_M!$B$1:$ZN$1,0))),INDEX(Haver_M!$B$1:$ZN$1000,MATCH(data!$A87,Haver_M!$B$1:$B$1000,0),MATCH(data!AB$1,Haver_M!$B$1:$ZN$1,0)),"na")</f>
        <v>21367.5</v>
      </c>
      <c r="AC87">
        <f>IF(ISNUMBER(INDEX(Haver_M!$B$1:$ZN$1000,MATCH(data!$A87,Haver_M!$B$1:$B$1000,0),MATCH(data!AC$1,Haver_M!$B$1:$ZN$1,0))),INDEX(Haver_M!$B$1:$ZN$1000,MATCH(data!$A87,Haver_M!$B$1:$B$1000,0),MATCH(data!AC$1,Haver_M!$B$1:$ZN$1,0)),"na")</f>
        <v>22267.9</v>
      </c>
      <c r="AD87">
        <f>IF(ISNUMBER(INDEX(Haver_M!$B$1:$ZN$1000,MATCH(data!$A87,Haver_M!$B$1:$B$1000,0),MATCH(data!AD$1,Haver_M!$B$1:$ZN$1,0))),INDEX(Haver_M!$B$1:$ZN$1000,MATCH(data!$A87,Haver_M!$B$1:$B$1000,0),MATCH(data!AD$1,Haver_M!$B$1:$ZN$1,0)),"na")</f>
        <v>100.86</v>
      </c>
      <c r="AE87">
        <f>IF(ISNUMBER(INDEX(Haver_M!$B$1:$ZN$1000,MATCH(data!$A87,Haver_M!$B$1:$B$1000,0),MATCH(data!AE$1,Haver_M!$B$1:$ZN$1,0))),INDEX(Haver_M!$B$1:$ZN$1000,MATCH(data!$A87,Haver_M!$B$1:$B$1000,0),MATCH(data!AE$1,Haver_M!$B$1:$ZN$1,0)),"na")</f>
        <v>42.8</v>
      </c>
      <c r="AF87">
        <f>IF(ISNUMBER(INDEX(Haver_M!$B$1:$ZN$1000,MATCH(data!$A87,Haver_M!$B$1:$B$1000,0),MATCH(data!AF$1,Haver_M!$B$1:$ZN$1,0))),INDEX(Haver_M!$B$1:$ZN$1000,MATCH(data!$A87,Haver_M!$B$1:$B$1000,0),MATCH(data!AF$1,Haver_M!$B$1:$ZN$1,0)),"na")</f>
        <v>101.78</v>
      </c>
      <c r="AG87" t="str">
        <f>IF(ISNUMBER(INDEX(Haver_M!$B$1:$ZN$1000,MATCH(data!$A87,Haver_M!$B$1:$B$1000,0),MATCH(data!AG$1,Haver_M!$B$1:$ZN$1,0))),INDEX(Haver_M!$B$1:$ZN$1000,MATCH(data!$A87,Haver_M!$B$1:$B$1000,0),MATCH(data!AG$1,Haver_M!$B$1:$ZN$1,0)),"na")</f>
        <v>na</v>
      </c>
      <c r="AH87" t="str">
        <f>IF(ISNUMBER(INDEX(Haver_M!$B$1:$ZN$1000,MATCH(data!$A87,Haver_M!$B$1:$B$1000,0),MATCH(data!AH$1,Haver_M!$B$1:$ZN$1,0))),INDEX(Haver_M!$B$1:$ZN$1000,MATCH(data!$A87,Haver_M!$B$1:$B$1000,0),MATCH(data!AH$1,Haver_M!$B$1:$ZN$1,0)),"na")</f>
        <v>na</v>
      </c>
      <c r="AI87" t="str">
        <f>IF(ISNUMBER(INDEX(Haver_M!$B$1:$ZN$1000,MATCH(data!$A87,Haver_M!$B$1:$B$1000,0),MATCH(data!AI$1,Haver_M!$B$1:$ZN$1,0))),INDEX(Haver_M!$B$1:$ZN$1000,MATCH(data!$A87,Haver_M!$B$1:$B$1000,0),MATCH(data!AI$1,Haver_M!$B$1:$ZN$1,0)),"na")</f>
        <v>na</v>
      </c>
      <c r="AJ87" t="str">
        <f>IF(ISNUMBER(INDEX(Haver_M!$B$1:$ZN$1000,MATCH(data!$A87,Haver_M!$B$1:$B$1000,0),MATCH(data!AJ$1,Haver_M!$B$1:$ZN$1,0))),INDEX(Haver_M!$B$1:$ZN$1000,MATCH(data!$A87,Haver_M!$B$1:$B$1000,0),MATCH(data!AJ$1,Haver_M!$B$1:$ZN$1,0)),"na")</f>
        <v>na</v>
      </c>
      <c r="AK87" t="str">
        <f>IF(ISNUMBER(INDEX(Haver_M!$B$1:$ZN$1000,MATCH(data!$A87,Haver_M!$B$1:$B$1000,0),MATCH(data!AK$1,Haver_M!$B$1:$ZN$1,0))),INDEX(Haver_M!$B$1:$ZN$1000,MATCH(data!$A87,Haver_M!$B$1:$B$1000,0),MATCH(data!AK$1,Haver_M!$B$1:$ZN$1,0)),"na")</f>
        <v>na</v>
      </c>
      <c r="AL87" t="str">
        <f>IF(ISNUMBER(INDEX(Haver_M!$B$1:$ZN$1000,MATCH(data!$A87,Haver_M!$B$1:$B$1000,0),MATCH(data!AL$1,Haver_M!$B$1:$ZN$1,0))),INDEX(Haver_M!$B$1:$ZN$1000,MATCH(data!$A87,Haver_M!$B$1:$B$1000,0),MATCH(data!AL$1,Haver_M!$B$1:$ZN$1,0)),"na")</f>
        <v>na</v>
      </c>
      <c r="AM87" t="str">
        <f>IF(ISNUMBER(INDEX(Haver_M!$B$1:$ZN$1000,MATCH(data!$A87,Haver_M!$B$1:$B$1000,0),MATCH(data!AM$1,Haver_M!$B$1:$ZN$1,0))),INDEX(Haver_M!$B$1:$ZN$1000,MATCH(data!$A87,Haver_M!$B$1:$B$1000,0),MATCH(data!AM$1,Haver_M!$B$1:$ZN$1,0)),"na")</f>
        <v>na</v>
      </c>
      <c r="AN87" t="str">
        <f>IF(ISNUMBER(INDEX(Haver_M!$B$1:$ZN$1000,MATCH(data!$A87,Haver_M!$B$1:$B$1000,0),MATCH(data!AN$1,Haver_M!$B$1:$ZN$1,0))),INDEX(Haver_M!$B$1:$ZN$1000,MATCH(data!$A87,Haver_M!$B$1:$B$1000,0),MATCH(data!AN$1,Haver_M!$B$1:$ZN$1,0)),"na")</f>
        <v>na</v>
      </c>
      <c r="AO87" t="str">
        <f>IF(ISNUMBER(INDEX(Haver_M!$B$1:$ZN$1000,MATCH(data!$A87,Haver_M!$B$1:$B$1000,0),MATCH(data!AO$1,Haver_M!$B$1:$ZN$1,0))),INDEX(Haver_M!$B$1:$ZN$1000,MATCH(data!$A87,Haver_M!$B$1:$B$1000,0),MATCH(data!AO$1,Haver_M!$B$1:$ZN$1,0)),"na")</f>
        <v>na</v>
      </c>
      <c r="AP87" t="str">
        <f>IF(ISNUMBER(INDEX(Haver_M!$B$1:$ZN$1000,MATCH(data!$A87,Haver_M!$B$1:$B$1000,0),MATCH(data!AP$1,Haver_M!$B$1:$ZN$1,0))),INDEX(Haver_M!$B$1:$ZN$1000,MATCH(data!$A87,Haver_M!$B$1:$B$1000,0),MATCH(data!AP$1,Haver_M!$B$1:$ZN$1,0)),"na")</f>
        <v>na</v>
      </c>
      <c r="AQ87" t="str">
        <f>IF(ISNUMBER(INDEX(Haver_M!$B$1:$ZN$1000,MATCH(data!$A87,Haver_M!$B$1:$B$1000,0),MATCH(data!AQ$1,Haver_M!$B$1:$ZN$1,0))),INDEX(Haver_M!$B$1:$ZN$1000,MATCH(data!$A87,Haver_M!$B$1:$B$1000,0),MATCH(data!AQ$1,Haver_M!$B$1:$ZN$1,0)),"na")</f>
        <v>na</v>
      </c>
      <c r="AR87" t="str">
        <f>IF(ISNUMBER(INDEX(Haver_M!$B$1:$ZN$1000,MATCH(data!$A87,Haver_M!$B$1:$B$1000,0),MATCH(data!AR$1,Haver_M!$B$1:$ZN$1,0))),INDEX(Haver_M!$B$1:$ZN$1000,MATCH(data!$A87,Haver_M!$B$1:$B$1000,0),MATCH(data!AR$1,Haver_M!$B$1:$ZN$1,0)),"na")</f>
        <v>na</v>
      </c>
      <c r="AS87">
        <f>IF(ISNUMBER(INDEX(Haver_M!$B$1:$ZN$1000,MATCH(data!$A87,Haver_M!$B$1:$B$1000,0),MATCH(data!AS$1,Haver_M!$B$1:$ZN$1,0))),INDEX(Haver_M!$B$1:$ZN$1000,MATCH(data!$A87,Haver_M!$B$1:$B$1000,0),MATCH(data!AS$1,Haver_M!$B$1:$ZN$1,0)),"na")</f>
        <v>28106.18</v>
      </c>
      <c r="AT87">
        <f>IF(ISNUMBER(INDEX(Haver_M!$B$1:$ZN$1000,MATCH(data!$A87,Haver_M!$B$1:$B$1000,0),MATCH(data!AT$1,Haver_M!$B$1:$ZN$1,0))),INDEX(Haver_M!$B$1:$ZN$1000,MATCH(data!$A87,Haver_M!$B$1:$B$1000,0),MATCH(data!AT$1,Haver_M!$B$1:$ZN$1,0)),"na")</f>
        <v>94.185000000000002</v>
      </c>
      <c r="AU87">
        <f>IF(ISNUMBER(INDEX(Haver_M!$B$1:$ZN$1000,MATCH(data!$A87,Haver_M!$B$1:$B$1000,0),MATCH(data!AU$1,Haver_M!$B$1:$ZN$1,0))),INDEX(Haver_M!$B$1:$ZN$1000,MATCH(data!$A87,Haver_M!$B$1:$B$1000,0),MATCH(data!AU$1,Haver_M!$B$1:$ZN$1,0)),"na")</f>
        <v>90.297156000000001</v>
      </c>
      <c r="AV87">
        <f>IF(ISNUMBER(INDEX(Haver_M!$B$1:$ZN$1000,MATCH(data!$A87,Haver_M!$B$1:$B$1000,0),MATCH(data!AV$1,Haver_M!$B$1:$ZN$1,0))),INDEX(Haver_M!$B$1:$ZN$1000,MATCH(data!$A87,Haver_M!$B$1:$B$1000,0),MATCH(data!AV$1,Haver_M!$B$1:$ZN$1,0)),"na")</f>
        <v>90.4</v>
      </c>
      <c r="AW87">
        <f>IF(ISNUMBER(INDEX(Haver_M!$B$1:$ZN$1000,MATCH(data!$A87,Haver_M!$B$1:$B$1000,0),MATCH(data!AW$1,Haver_M!$B$1:$ZN$1,0))),INDEX(Haver_M!$B$1:$ZN$1000,MATCH(data!$A87,Haver_M!$B$1:$B$1000,0),MATCH(data!AW$1,Haver_M!$B$1:$ZN$1,0)),"na")</f>
        <v>1050974.3538040565</v>
      </c>
      <c r="AX87">
        <f>IF(ISNUMBER(INDEX(Haver_M!$B$1:$ZN$1000,MATCH(data!$A87,Haver_M!$B$1:$B$1000,0),MATCH(data!AX$1,Haver_M!$B$1:$ZN$1,0))),INDEX(Haver_M!$B$1:$ZN$1000,MATCH(data!$A87,Haver_M!$B$1:$B$1000,0),MATCH(data!AX$1,Haver_M!$B$1:$ZN$1,0)),"na")</f>
        <v>3151</v>
      </c>
      <c r="AY87">
        <f>IF(ISNUMBER(INDEX(Haver_M!$B$1:$ZN$1000,MATCH(data!$A87,Haver_M!$B$1:$B$1000,0),MATCH(data!AY$1,Haver_M!$B$1:$ZN$1,0))),INDEX(Haver_M!$B$1:$ZN$1000,MATCH(data!$A87,Haver_M!$B$1:$B$1000,0),MATCH(data!AY$1,Haver_M!$B$1:$ZN$1,0)),"na")</f>
        <v>1773</v>
      </c>
      <c r="AZ87">
        <f>IF(ISNUMBER(INDEX(Haver_M!$B$1:$ZN$1000,MATCH(data!$A87,Haver_M!$B$1:$B$1000,0),MATCH(data!AZ$1,Haver_M!$B$1:$ZN$1,0))),INDEX(Haver_M!$B$1:$ZN$1000,MATCH(data!$A87,Haver_M!$B$1:$B$1000,0),MATCH(data!AZ$1,Haver_M!$B$1:$ZN$1,0)),"na")</f>
        <v>51.3</v>
      </c>
      <c r="BA87">
        <f>IF(ISNUMBER(INDEX(Haver_M!$B$1:$ZN$1000,MATCH(data!$A87,Haver_M!$B$1:$B$1000,0),MATCH(data!BA$1,Haver_M!$B$1:$ZN$1,0))),INDEX(Haver_M!$B$1:$ZN$1000,MATCH(data!$A87,Haver_M!$B$1:$B$1000,0),MATCH(data!BA$1,Haver_M!$B$1:$ZN$1,0)),"na")</f>
        <v>51.594071192720548</v>
      </c>
      <c r="BB87" t="str">
        <f>IF(ISNUMBER(INDEX(Haver_M!$B$1:$ZN$1000,MATCH(data!$A87,Haver_M!$B$1:$B$1000,0),MATCH(data!BB$1,Haver_M!$B$1:$ZN$1,0))),INDEX(Haver_M!$B$1:$ZN$1000,MATCH(data!$A87,Haver_M!$B$1:$B$1000,0),MATCH(data!BB$1,Haver_M!$B$1:$ZN$1,0)),"")</f>
        <v/>
      </c>
    </row>
    <row r="88" spans="1:54" x14ac:dyDescent="0.25">
      <c r="A88" s="2">
        <v>39172</v>
      </c>
      <c r="B88">
        <f>IF(ISNUMBER(INDEX(Haver_Q!$B$1:$BD$1000,MATCH(data!$A88,Haver_Q!$B$1:$B$1000,0),MATCH(data!B$1,Haver_Q!$B$1:$BD$1,0))),100*INDEX(Haver_Q!$B$1:$BD$1000,MATCH(data!$A88,Haver_Q!$B$1:$B$1000,0),MATCH(data!B$1,Haver_Q!$B$1:$BD$1,0)),"na")</f>
        <v>2.8568838936230634</v>
      </c>
      <c r="C88">
        <f>IF(ISNUMBER(INDEX(Haver_Q!$B$1:$BD$1000,MATCH(data!$A88,Haver_Q!$B$1:$B$1000,0),MATCH(data!C$1,Haver_Q!$B$1:$BD$1,0))),100*INDEX(Haver_Q!$B$1:$BD$1000,MATCH(data!$A88,Haver_Q!$B$1:$B$1000,0),MATCH(data!C$1,Haver_Q!$B$1:$BD$1,0)),"na")</f>
        <v>3.9245594387227634</v>
      </c>
      <c r="D88">
        <f>IF(ISNUMBER(INDEX(Haver_Q!$B$1:$BD$1000,MATCH(data!$A88,Haver_Q!$B$1:$B$1000,0),MATCH(data!D$1,Haver_Q!$B$1:$BD$1,0))),100*INDEX(Haver_Q!$B$1:$BD$1000,MATCH(data!$A88,Haver_Q!$B$1:$B$1000,0),MATCH(data!D$1,Haver_Q!$B$1:$BD$1,0)),"na")</f>
        <v>5.6151791159407161</v>
      </c>
      <c r="E88">
        <f>IF(ISNUMBER(INDEX(Haver_Q!$B$1:$BD$1000,MATCH(data!$A88,Haver_Q!$B$1:$B$1000,0),MATCH(data!E$1,Haver_Q!$B$1:$BD$1,0))),100*INDEX(Haver_Q!$B$1:$BD$1000,MATCH(data!$A88,Haver_Q!$B$1:$B$1000,0),MATCH(data!E$1,Haver_Q!$B$1:$BD$1,0)),"na")</f>
        <v>-1.6155144372353214</v>
      </c>
      <c r="F88">
        <f>IF(ISNUMBER(INDEX(Haver_Q!$B$1:$BD$1000,MATCH(data!$A88,Haver_Q!$B$1:$B$1000,0),MATCH(data!F$1,Haver_Q!$B$1:$BD$1,0))),100*INDEX(Haver_Q!$B$1:$BD$1000,MATCH(data!$A88,Haver_Q!$B$1:$B$1000,0),MATCH(data!F$1,Haver_Q!$B$1:$BD$1,0)),"na")</f>
        <v>3.7964811994131598</v>
      </c>
      <c r="G88">
        <f>IF(ISNUMBER(INDEX(Haver_Q!$B$1:$BD$1000,MATCH(data!$A88,Haver_Q!$B$1:$B$1000,0),MATCH(data!G$1,Haver_Q!$B$1:$BD$1,0))),100*INDEX(Haver_Q!$B$1:$BD$1000,MATCH(data!$A88,Haver_Q!$B$1:$B$1000,0),MATCH(data!G$1,Haver_Q!$B$1:$BD$1,0)),"na")</f>
        <v>8.0121967641612724</v>
      </c>
      <c r="H88">
        <f>IF(ISNUMBER(INDEX(Haver_Q!$B$1:$BD$1000,MATCH(data!$A88,Haver_Q!$B$1:$B$1000,0),MATCH(data!H$1,Haver_Q!$B$1:$BD$1,0))),100*INDEX(Haver_Q!$B$1:$BD$1000,MATCH(data!$A88,Haver_Q!$B$1:$B$1000,0),MATCH(data!H$1,Haver_Q!$B$1:$BD$1,0)),"na")</f>
        <v>638.39834254509447</v>
      </c>
      <c r="I88" s="3">
        <f>IF(ISNUMBER(Bloomberg_m!C104),Bloomberg_m!C104,"na")</f>
        <v>5123</v>
      </c>
      <c r="J88" s="3" t="str">
        <f>IF(ISNUMBER(Bloomberg_m!D104),Bloomberg_m!D104,"na")</f>
        <v>na</v>
      </c>
      <c r="K88" s="3" t="str">
        <f>IF(ISNUMBER(Bloomberg_m!E104),Bloomberg_m!E104,"na")</f>
        <v>na</v>
      </c>
      <c r="L88" s="3">
        <f>IF(ISNUMBER(Bloomberg_m!L104),Bloomberg_m!L104,"na")</f>
        <v>60.6</v>
      </c>
      <c r="M88" t="str">
        <f>IF(ISNUMBER(INDEX(Haver_M!$B$1:$ZN$1000,MATCH(data!$A88,Haver_M!$B$1:$B$1000,0),MATCH(data!M$1,Haver_M!$B$1:$ZN$1,0))),INDEX(Haver_M!$B$1:$ZN$1000,MATCH(data!$A88,Haver_M!$B$1:$B$1000,0),MATCH(data!M$1,Haver_M!$B$1:$ZN$1,0)),"na")</f>
        <v>na</v>
      </c>
      <c r="N88" t="str">
        <f>IF(ISNUMBER(INDEX(Haver_M!$B$1:$ZN$1000,MATCH(data!$A88,Haver_M!$B$1:$B$1000,0),MATCH(data!N$1,Haver_M!$B$1:$ZN$1,0))),INDEX(Haver_M!$B$1:$ZN$1000,MATCH(data!$A88,Haver_M!$B$1:$B$1000,0),MATCH(data!N$1,Haver_M!$B$1:$ZN$1,0)),"na")</f>
        <v>na</v>
      </c>
      <c r="O88">
        <f>IF(ISNUMBER(INDEX(Haver_M!$B$1:$ZN$1000,MATCH(data!$A88,Haver_M!$B$1:$B$1000,0),MATCH(data!O$1,Haver_M!$B$1:$ZN$1,0))),INDEX(Haver_M!$B$1:$ZN$1000,MATCH(data!$A88,Haver_M!$B$1:$B$1000,0),MATCH(data!O$1,Haver_M!$B$1:$ZN$1,0)),"na")</f>
        <v>109.39735</v>
      </c>
      <c r="P88">
        <f>IF(ISNUMBER(INDEX(Haver_M!$B$1:$ZN$1000,MATCH(data!$A88,Haver_M!$B$1:$B$1000,0),MATCH(data!P$1,Haver_M!$B$1:$ZN$1,0))),INDEX(Haver_M!$B$1:$ZN$1000,MATCH(data!$A88,Haver_M!$B$1:$B$1000,0),MATCH(data!P$1,Haver_M!$B$1:$ZN$1,0)),"na")</f>
        <v>63.0197</v>
      </c>
      <c r="Q88">
        <f>IF(ISNUMBER(INDEX(Haver_M!$B$1:$ZN$1000,MATCH(data!$A88,Haver_M!$B$1:$B$1000,0),MATCH(data!Q$1,Haver_M!$B$1:$ZN$1,0))),INDEX(Haver_M!$B$1:$ZN$1000,MATCH(data!$A88,Haver_M!$B$1:$B$1000,0),MATCH(data!Q$1,Haver_M!$B$1:$ZN$1,0)),"na")</f>
        <v>66.724299999999999</v>
      </c>
      <c r="R88">
        <f>IF(ISNUMBER(INDEX(Haver_M!$B$1:$ZN$1000,MATCH(data!$A88,Haver_M!$B$1:$B$1000,0),MATCH(data!R$1,Haver_M!$B$1:$ZN$1,0))),INDEX(Haver_M!$B$1:$ZN$1000,MATCH(data!$A88,Haver_M!$B$1:$B$1000,0),MATCH(data!R$1,Haver_M!$B$1:$ZN$1,0)),"na")</f>
        <v>99.267899999999997</v>
      </c>
      <c r="S88">
        <f>IF(ISNUMBER(INDEX(Haver_M!$B$1:$ZN$1000,MATCH(data!$A88,Haver_M!$B$1:$B$1000,0),MATCH(data!S$1,Haver_M!$B$1:$ZN$1,0))),INDEX(Haver_M!$B$1:$ZN$1000,MATCH(data!$A88,Haver_M!$B$1:$B$1000,0),MATCH(data!S$1,Haver_M!$B$1:$ZN$1,0)),"na")</f>
        <v>111.43689999999999</v>
      </c>
      <c r="T88">
        <f>IF(ISNUMBER(INDEX(Haver_M!$B$1:$ZN$1000,MATCH(data!$A88,Haver_M!$B$1:$B$1000,0),MATCH(data!T$1,Haver_M!$B$1:$ZN$1,0))),INDEX(Haver_M!$B$1:$ZN$1000,MATCH(data!$A88,Haver_M!$B$1:$B$1000,0),MATCH(data!T$1,Haver_M!$B$1:$ZN$1,0)),"na")</f>
        <v>85.246899999999997</v>
      </c>
      <c r="U88">
        <f>IF(ISNUMBER(INDEX(Haver_M!$B$1:$ZN$1000,MATCH(data!$A88,Haver_M!$B$1:$B$1000,0),MATCH(data!U$1,Haver_M!$B$1:$ZN$1,0))),INDEX(Haver_M!$B$1:$ZN$1000,MATCH(data!$A88,Haver_M!$B$1:$B$1000,0),MATCH(data!U$1,Haver_M!$B$1:$ZN$1,0)),"na")</f>
        <v>96.335099999999997</v>
      </c>
      <c r="V88">
        <f>IF(ISNUMBER(INDEX(Haver_M!$B$1:$ZN$1000,MATCH(data!$A88,Haver_M!$B$1:$B$1000,0),MATCH(data!V$1,Haver_M!$B$1:$ZN$1,0))),INDEX(Haver_M!$B$1:$ZN$1000,MATCH(data!$A88,Haver_M!$B$1:$B$1000,0),MATCH(data!V$1,Haver_M!$B$1:$ZN$1,0)),"na")</f>
        <v>97.028700000000001</v>
      </c>
      <c r="W88">
        <f>IF(ISNUMBER(INDEX(Haver_M!$B$1:$ZN$1000,MATCH(data!$A88,Haver_M!$B$1:$B$1000,0),MATCH(data!W$1,Haver_M!$B$1:$ZN$1,0))),INDEX(Haver_M!$B$1:$ZN$1000,MATCH(data!$A88,Haver_M!$B$1:$B$1000,0),MATCH(data!W$1,Haver_M!$B$1:$ZN$1,0)),"na")</f>
        <v>4.22</v>
      </c>
      <c r="X88">
        <f>IF(ISNUMBER(INDEX(Haver_M!$B$1:$ZN$1000,MATCH(data!$A88,Haver_M!$B$1:$B$1000,0),MATCH(data!X$1,Haver_M!$B$1:$ZN$1,0))),INDEX(Haver_M!$B$1:$ZN$1000,MATCH(data!$A88,Haver_M!$B$1:$B$1000,0),MATCH(data!X$1,Haver_M!$B$1:$ZN$1,0)),"na")</f>
        <v>99.79</v>
      </c>
      <c r="Y88">
        <f>IF(ISNUMBER(INDEX(Haver_M!$B$1:$ZN$1000,MATCH(data!$A88,Haver_M!$B$1:$B$1000,0),MATCH(data!Y$1,Haver_M!$B$1:$ZN$1,0))),INDEX(Haver_M!$B$1:$ZN$1000,MATCH(data!$A88,Haver_M!$B$1:$B$1000,0),MATCH(data!Y$1,Haver_M!$B$1:$ZN$1,0)),"na")</f>
        <v>102.02</v>
      </c>
      <c r="Z88">
        <f>IF(ISNUMBER(INDEX(Haver_M!$B$1:$ZN$1000,MATCH(data!$A88,Haver_M!$B$1:$B$1000,0),MATCH(data!Z$1,Haver_M!$B$1:$ZN$1,0))),INDEX(Haver_M!$B$1:$ZN$1000,MATCH(data!$A88,Haver_M!$B$1:$B$1000,0),MATCH(data!Z$1,Haver_M!$B$1:$ZN$1,0)),"na")</f>
        <v>95.1935</v>
      </c>
      <c r="AA88" t="str">
        <f>IF(ISNUMBER(INDEX(Haver_M!$B$1:$ZN$1000,MATCH(data!$A88,Haver_M!$B$1:$B$1000,0),MATCH(data!AA$1,Haver_M!$B$1:$ZN$1,0))),INDEX(Haver_M!$B$1:$ZN$1000,MATCH(data!$A88,Haver_M!$B$1:$B$1000,0),MATCH(data!AA$1,Haver_M!$B$1:$ZN$1,0)),"na")</f>
        <v>na</v>
      </c>
      <c r="AB88">
        <f>IF(ISNUMBER(INDEX(Haver_M!$B$1:$ZN$1000,MATCH(data!$A88,Haver_M!$B$1:$B$1000,0),MATCH(data!AB$1,Haver_M!$B$1:$ZN$1,0))),INDEX(Haver_M!$B$1:$ZN$1000,MATCH(data!$A88,Haver_M!$B$1:$B$1000,0),MATCH(data!AB$1,Haver_M!$B$1:$ZN$1,0)),"na")</f>
        <v>21559.599999999999</v>
      </c>
      <c r="AC88">
        <f>IF(ISNUMBER(INDEX(Haver_M!$B$1:$ZN$1000,MATCH(data!$A88,Haver_M!$B$1:$B$1000,0),MATCH(data!AC$1,Haver_M!$B$1:$ZN$1,0))),INDEX(Haver_M!$B$1:$ZN$1000,MATCH(data!$A88,Haver_M!$B$1:$B$1000,0),MATCH(data!AC$1,Haver_M!$B$1:$ZN$1,0)),"na")</f>
        <v>22403.8</v>
      </c>
      <c r="AD88">
        <f>IF(ISNUMBER(INDEX(Haver_M!$B$1:$ZN$1000,MATCH(data!$A88,Haver_M!$B$1:$B$1000,0),MATCH(data!AD$1,Haver_M!$B$1:$ZN$1,0))),INDEX(Haver_M!$B$1:$ZN$1000,MATCH(data!$A88,Haver_M!$B$1:$B$1000,0),MATCH(data!AD$1,Haver_M!$B$1:$ZN$1,0)),"na")</f>
        <v>100.93</v>
      </c>
      <c r="AE88">
        <f>IF(ISNUMBER(INDEX(Haver_M!$B$1:$ZN$1000,MATCH(data!$A88,Haver_M!$B$1:$B$1000,0),MATCH(data!AE$1,Haver_M!$B$1:$ZN$1,0))),INDEX(Haver_M!$B$1:$ZN$1000,MATCH(data!$A88,Haver_M!$B$1:$B$1000,0),MATCH(data!AE$1,Haver_M!$B$1:$ZN$1,0)),"na")</f>
        <v>43</v>
      </c>
      <c r="AF88">
        <f>IF(ISNUMBER(INDEX(Haver_M!$B$1:$ZN$1000,MATCH(data!$A88,Haver_M!$B$1:$B$1000,0),MATCH(data!AF$1,Haver_M!$B$1:$ZN$1,0))),INDEX(Haver_M!$B$1:$ZN$1000,MATCH(data!$A88,Haver_M!$B$1:$B$1000,0),MATCH(data!AF$1,Haver_M!$B$1:$ZN$1,0)),"na")</f>
        <v>101.82</v>
      </c>
      <c r="AG88" t="str">
        <f>IF(ISNUMBER(INDEX(Haver_M!$B$1:$ZN$1000,MATCH(data!$A88,Haver_M!$B$1:$B$1000,0),MATCH(data!AG$1,Haver_M!$B$1:$ZN$1,0))),INDEX(Haver_M!$B$1:$ZN$1000,MATCH(data!$A88,Haver_M!$B$1:$B$1000,0),MATCH(data!AG$1,Haver_M!$B$1:$ZN$1,0)),"na")</f>
        <v>na</v>
      </c>
      <c r="AH88" t="str">
        <f>IF(ISNUMBER(INDEX(Haver_M!$B$1:$ZN$1000,MATCH(data!$A88,Haver_M!$B$1:$B$1000,0),MATCH(data!AH$1,Haver_M!$B$1:$ZN$1,0))),INDEX(Haver_M!$B$1:$ZN$1000,MATCH(data!$A88,Haver_M!$B$1:$B$1000,0),MATCH(data!AH$1,Haver_M!$B$1:$ZN$1,0)),"na")</f>
        <v>na</v>
      </c>
      <c r="AI88" t="str">
        <f>IF(ISNUMBER(INDEX(Haver_M!$B$1:$ZN$1000,MATCH(data!$A88,Haver_M!$B$1:$B$1000,0),MATCH(data!AI$1,Haver_M!$B$1:$ZN$1,0))),INDEX(Haver_M!$B$1:$ZN$1000,MATCH(data!$A88,Haver_M!$B$1:$B$1000,0),MATCH(data!AI$1,Haver_M!$B$1:$ZN$1,0)),"na")</f>
        <v>na</v>
      </c>
      <c r="AJ88" t="str">
        <f>IF(ISNUMBER(INDEX(Haver_M!$B$1:$ZN$1000,MATCH(data!$A88,Haver_M!$B$1:$B$1000,0),MATCH(data!AJ$1,Haver_M!$B$1:$ZN$1,0))),INDEX(Haver_M!$B$1:$ZN$1000,MATCH(data!$A88,Haver_M!$B$1:$B$1000,0),MATCH(data!AJ$1,Haver_M!$B$1:$ZN$1,0)),"na")</f>
        <v>na</v>
      </c>
      <c r="AK88" t="str">
        <f>IF(ISNUMBER(INDEX(Haver_M!$B$1:$ZN$1000,MATCH(data!$A88,Haver_M!$B$1:$B$1000,0),MATCH(data!AK$1,Haver_M!$B$1:$ZN$1,0))),INDEX(Haver_M!$B$1:$ZN$1000,MATCH(data!$A88,Haver_M!$B$1:$B$1000,0),MATCH(data!AK$1,Haver_M!$B$1:$ZN$1,0)),"na")</f>
        <v>na</v>
      </c>
      <c r="AL88" t="str">
        <f>IF(ISNUMBER(INDEX(Haver_M!$B$1:$ZN$1000,MATCH(data!$A88,Haver_M!$B$1:$B$1000,0),MATCH(data!AL$1,Haver_M!$B$1:$ZN$1,0))),INDEX(Haver_M!$B$1:$ZN$1000,MATCH(data!$A88,Haver_M!$B$1:$B$1000,0),MATCH(data!AL$1,Haver_M!$B$1:$ZN$1,0)),"na")</f>
        <v>na</v>
      </c>
      <c r="AM88" t="str">
        <f>IF(ISNUMBER(INDEX(Haver_M!$B$1:$ZN$1000,MATCH(data!$A88,Haver_M!$B$1:$B$1000,0),MATCH(data!AM$1,Haver_M!$B$1:$ZN$1,0))),INDEX(Haver_M!$B$1:$ZN$1000,MATCH(data!$A88,Haver_M!$B$1:$B$1000,0),MATCH(data!AM$1,Haver_M!$B$1:$ZN$1,0)),"na")</f>
        <v>na</v>
      </c>
      <c r="AN88" t="str">
        <f>IF(ISNUMBER(INDEX(Haver_M!$B$1:$ZN$1000,MATCH(data!$A88,Haver_M!$B$1:$B$1000,0),MATCH(data!AN$1,Haver_M!$B$1:$ZN$1,0))),INDEX(Haver_M!$B$1:$ZN$1000,MATCH(data!$A88,Haver_M!$B$1:$B$1000,0),MATCH(data!AN$1,Haver_M!$B$1:$ZN$1,0)),"na")</f>
        <v>na</v>
      </c>
      <c r="AO88" t="str">
        <f>IF(ISNUMBER(INDEX(Haver_M!$B$1:$ZN$1000,MATCH(data!$A88,Haver_M!$B$1:$B$1000,0),MATCH(data!AO$1,Haver_M!$B$1:$ZN$1,0))),INDEX(Haver_M!$B$1:$ZN$1000,MATCH(data!$A88,Haver_M!$B$1:$B$1000,0),MATCH(data!AO$1,Haver_M!$B$1:$ZN$1,0)),"na")</f>
        <v>na</v>
      </c>
      <c r="AP88" t="str">
        <f>IF(ISNUMBER(INDEX(Haver_M!$B$1:$ZN$1000,MATCH(data!$A88,Haver_M!$B$1:$B$1000,0),MATCH(data!AP$1,Haver_M!$B$1:$ZN$1,0))),INDEX(Haver_M!$B$1:$ZN$1000,MATCH(data!$A88,Haver_M!$B$1:$B$1000,0),MATCH(data!AP$1,Haver_M!$B$1:$ZN$1,0)),"na")</f>
        <v>na</v>
      </c>
      <c r="AQ88" t="str">
        <f>IF(ISNUMBER(INDEX(Haver_M!$B$1:$ZN$1000,MATCH(data!$A88,Haver_M!$B$1:$B$1000,0),MATCH(data!AQ$1,Haver_M!$B$1:$ZN$1,0))),INDEX(Haver_M!$B$1:$ZN$1000,MATCH(data!$A88,Haver_M!$B$1:$B$1000,0),MATCH(data!AQ$1,Haver_M!$B$1:$ZN$1,0)),"na")</f>
        <v>na</v>
      </c>
      <c r="AR88" t="str">
        <f>IF(ISNUMBER(INDEX(Haver_M!$B$1:$ZN$1000,MATCH(data!$A88,Haver_M!$B$1:$B$1000,0),MATCH(data!AR$1,Haver_M!$B$1:$ZN$1,0))),INDEX(Haver_M!$B$1:$ZN$1000,MATCH(data!$A88,Haver_M!$B$1:$B$1000,0),MATCH(data!AR$1,Haver_M!$B$1:$ZN$1,0)),"na")</f>
        <v>na</v>
      </c>
      <c r="AS88">
        <f>IF(ISNUMBER(INDEX(Haver_M!$B$1:$ZN$1000,MATCH(data!$A88,Haver_M!$B$1:$B$1000,0),MATCH(data!AS$1,Haver_M!$B$1:$ZN$1,0))),INDEX(Haver_M!$B$1:$ZN$1000,MATCH(data!$A88,Haver_M!$B$1:$B$1000,0),MATCH(data!AS$1,Haver_M!$B$1:$ZN$1,0)),"na")</f>
        <v>27310.639999999999</v>
      </c>
      <c r="AT88">
        <f>IF(ISNUMBER(INDEX(Haver_M!$B$1:$ZN$1000,MATCH(data!$A88,Haver_M!$B$1:$B$1000,0),MATCH(data!AT$1,Haver_M!$B$1:$ZN$1,0))),INDEX(Haver_M!$B$1:$ZN$1000,MATCH(data!$A88,Haver_M!$B$1:$B$1000,0),MATCH(data!AT$1,Haver_M!$B$1:$ZN$1,0)),"na")</f>
        <v>94.841999999999999</v>
      </c>
      <c r="AU88">
        <f>IF(ISNUMBER(INDEX(Haver_M!$B$1:$ZN$1000,MATCH(data!$A88,Haver_M!$B$1:$B$1000,0),MATCH(data!AU$1,Haver_M!$B$1:$ZN$1,0))),INDEX(Haver_M!$B$1:$ZN$1000,MATCH(data!$A88,Haver_M!$B$1:$B$1000,0),MATCH(data!AU$1,Haver_M!$B$1:$ZN$1,0)),"na")</f>
        <v>90.457498999999999</v>
      </c>
      <c r="AV88">
        <f>IF(ISNUMBER(INDEX(Haver_M!$B$1:$ZN$1000,MATCH(data!$A88,Haver_M!$B$1:$B$1000,0),MATCH(data!AV$1,Haver_M!$B$1:$ZN$1,0))),INDEX(Haver_M!$B$1:$ZN$1000,MATCH(data!$A88,Haver_M!$B$1:$B$1000,0),MATCH(data!AV$1,Haver_M!$B$1:$ZN$1,0)),"na")</f>
        <v>90.7</v>
      </c>
      <c r="AW88">
        <f>IF(ISNUMBER(INDEX(Haver_M!$B$1:$ZN$1000,MATCH(data!$A88,Haver_M!$B$1:$B$1000,0),MATCH(data!AW$1,Haver_M!$B$1:$ZN$1,0))),INDEX(Haver_M!$B$1:$ZN$1000,MATCH(data!$A88,Haver_M!$B$1:$B$1000,0),MATCH(data!AW$1,Haver_M!$B$1:$ZN$1,0)),"na")</f>
        <v>1052557.1017280514</v>
      </c>
      <c r="AX88">
        <f>IF(ISNUMBER(INDEX(Haver_M!$B$1:$ZN$1000,MATCH(data!$A88,Haver_M!$B$1:$B$1000,0),MATCH(data!AX$1,Haver_M!$B$1:$ZN$1,0))),INDEX(Haver_M!$B$1:$ZN$1000,MATCH(data!$A88,Haver_M!$B$1:$B$1000,0),MATCH(data!AX$1,Haver_M!$B$1:$ZN$1,0)),"na")</f>
        <v>3188</v>
      </c>
      <c r="AY88">
        <f>IF(ISNUMBER(INDEX(Haver_M!$B$1:$ZN$1000,MATCH(data!$A88,Haver_M!$B$1:$B$1000,0),MATCH(data!AY$1,Haver_M!$B$1:$ZN$1,0))),INDEX(Haver_M!$B$1:$ZN$1000,MATCH(data!$A88,Haver_M!$B$1:$B$1000,0),MATCH(data!AY$1,Haver_M!$B$1:$ZN$1,0)),"na")</f>
        <v>1782</v>
      </c>
      <c r="AZ88">
        <f>IF(ISNUMBER(INDEX(Haver_M!$B$1:$ZN$1000,MATCH(data!$A88,Haver_M!$B$1:$B$1000,0),MATCH(data!AZ$1,Haver_M!$B$1:$ZN$1,0))),INDEX(Haver_M!$B$1:$ZN$1000,MATCH(data!$A88,Haver_M!$B$1:$B$1000,0),MATCH(data!AZ$1,Haver_M!$B$1:$ZN$1,0)),"na")</f>
        <v>52.1</v>
      </c>
      <c r="BA88">
        <f>IF(ISNUMBER(INDEX(Haver_M!$B$1:$ZN$1000,MATCH(data!$A88,Haver_M!$B$1:$B$1000,0),MATCH(data!BA$1,Haver_M!$B$1:$ZN$1,0))),INDEX(Haver_M!$B$1:$ZN$1000,MATCH(data!$A88,Haver_M!$B$1:$B$1000,0),MATCH(data!BA$1,Haver_M!$B$1:$ZN$1,0)),"na")</f>
        <v>39.799185133414525</v>
      </c>
      <c r="BB88" t="str">
        <f>IF(ISNUMBER(INDEX(Haver_M!$B$1:$ZN$1000,MATCH(data!$A88,Haver_M!$B$1:$B$1000,0),MATCH(data!BB$1,Haver_M!$B$1:$ZN$1,0))),INDEX(Haver_M!$B$1:$ZN$1000,MATCH(data!$A88,Haver_M!$B$1:$B$1000,0),MATCH(data!BB$1,Haver_M!$B$1:$ZN$1,0)),"")</f>
        <v/>
      </c>
    </row>
    <row r="89" spans="1:54" x14ac:dyDescent="0.25">
      <c r="A89" s="2">
        <v>39202</v>
      </c>
      <c r="B89" t="str">
        <f>IF(ISNUMBER(INDEX(Haver_Q!$B$1:$BD$1000,MATCH(data!$A89,Haver_Q!$B$1:$B$1000,0),MATCH(data!B$1,Haver_Q!$B$1:$BD$1,0))),100*INDEX(Haver_Q!$B$1:$BD$1000,MATCH(data!$A89,Haver_Q!$B$1:$B$1000,0),MATCH(data!B$1,Haver_Q!$B$1:$BD$1,0)),"na")</f>
        <v>na</v>
      </c>
      <c r="C89" t="str">
        <f>IF(ISNUMBER(INDEX(Haver_Q!$B$1:$BD$1000,MATCH(data!$A89,Haver_Q!$B$1:$B$1000,0),MATCH(data!C$1,Haver_Q!$B$1:$BD$1,0))),100*INDEX(Haver_Q!$B$1:$BD$1000,MATCH(data!$A89,Haver_Q!$B$1:$B$1000,0),MATCH(data!C$1,Haver_Q!$B$1:$BD$1,0)),"na")</f>
        <v>na</v>
      </c>
      <c r="D89" t="str">
        <f>IF(ISNUMBER(INDEX(Haver_Q!$B$1:$BD$1000,MATCH(data!$A89,Haver_Q!$B$1:$B$1000,0),MATCH(data!D$1,Haver_Q!$B$1:$BD$1,0))),100*INDEX(Haver_Q!$B$1:$BD$1000,MATCH(data!$A89,Haver_Q!$B$1:$B$1000,0),MATCH(data!D$1,Haver_Q!$B$1:$BD$1,0)),"na")</f>
        <v>na</v>
      </c>
      <c r="E89" t="str">
        <f>IF(ISNUMBER(INDEX(Haver_Q!$B$1:$BD$1000,MATCH(data!$A89,Haver_Q!$B$1:$B$1000,0),MATCH(data!E$1,Haver_Q!$B$1:$BD$1,0))),100*INDEX(Haver_Q!$B$1:$BD$1000,MATCH(data!$A89,Haver_Q!$B$1:$B$1000,0),MATCH(data!E$1,Haver_Q!$B$1:$BD$1,0)),"na")</f>
        <v>na</v>
      </c>
      <c r="F89" t="str">
        <f>IF(ISNUMBER(INDEX(Haver_Q!$B$1:$BD$1000,MATCH(data!$A89,Haver_Q!$B$1:$B$1000,0),MATCH(data!F$1,Haver_Q!$B$1:$BD$1,0))),100*INDEX(Haver_Q!$B$1:$BD$1000,MATCH(data!$A89,Haver_Q!$B$1:$B$1000,0),MATCH(data!F$1,Haver_Q!$B$1:$BD$1,0)),"na")</f>
        <v>na</v>
      </c>
      <c r="G89" t="str">
        <f>IF(ISNUMBER(INDEX(Haver_Q!$B$1:$BD$1000,MATCH(data!$A89,Haver_Q!$B$1:$B$1000,0),MATCH(data!G$1,Haver_Q!$B$1:$BD$1,0))),100*INDEX(Haver_Q!$B$1:$BD$1000,MATCH(data!$A89,Haver_Q!$B$1:$B$1000,0),MATCH(data!G$1,Haver_Q!$B$1:$BD$1,0)),"na")</f>
        <v>na</v>
      </c>
      <c r="H89" t="str">
        <f>IF(ISNUMBER(INDEX(Haver_Q!$B$1:$BD$1000,MATCH(data!$A89,Haver_Q!$B$1:$B$1000,0),MATCH(data!H$1,Haver_Q!$B$1:$BD$1,0))),100*INDEX(Haver_Q!$B$1:$BD$1000,MATCH(data!$A89,Haver_Q!$B$1:$B$1000,0),MATCH(data!H$1,Haver_Q!$B$1:$BD$1,0)),"na")</f>
        <v>na</v>
      </c>
      <c r="I89" s="3">
        <f>IF(ISNUMBER(Bloomberg_m!C105),Bloomberg_m!C105,"na")</f>
        <v>5754</v>
      </c>
      <c r="J89" s="3" t="str">
        <f>IF(ISNUMBER(Bloomberg_m!D105),Bloomberg_m!D105,"na")</f>
        <v>na</v>
      </c>
      <c r="K89" s="3" t="str">
        <f>IF(ISNUMBER(Bloomberg_m!E105),Bloomberg_m!E105,"na")</f>
        <v>na</v>
      </c>
      <c r="L89" s="3">
        <f>IF(ISNUMBER(Bloomberg_m!L105),Bloomberg_m!L105,"na")</f>
        <v>63.94</v>
      </c>
      <c r="M89" t="str">
        <f>IF(ISNUMBER(INDEX(Haver_M!$B$1:$ZN$1000,MATCH(data!$A89,Haver_M!$B$1:$B$1000,0),MATCH(data!M$1,Haver_M!$B$1:$ZN$1,0))),INDEX(Haver_M!$B$1:$ZN$1000,MATCH(data!$A89,Haver_M!$B$1:$B$1000,0),MATCH(data!M$1,Haver_M!$B$1:$ZN$1,0)),"na")</f>
        <v>na</v>
      </c>
      <c r="N89" t="str">
        <f>IF(ISNUMBER(INDEX(Haver_M!$B$1:$ZN$1000,MATCH(data!$A89,Haver_M!$B$1:$B$1000,0),MATCH(data!N$1,Haver_M!$B$1:$ZN$1,0))),INDEX(Haver_M!$B$1:$ZN$1000,MATCH(data!$A89,Haver_M!$B$1:$B$1000,0),MATCH(data!N$1,Haver_M!$B$1:$ZN$1,0)),"na")</f>
        <v>na</v>
      </c>
      <c r="O89">
        <f>IF(ISNUMBER(INDEX(Haver_M!$B$1:$ZN$1000,MATCH(data!$A89,Haver_M!$B$1:$B$1000,0),MATCH(data!O$1,Haver_M!$B$1:$ZN$1,0))),INDEX(Haver_M!$B$1:$ZN$1000,MATCH(data!$A89,Haver_M!$B$1:$B$1000,0),MATCH(data!O$1,Haver_M!$B$1:$ZN$1,0)),"na")</f>
        <v>109.71768</v>
      </c>
      <c r="P89">
        <f>IF(ISNUMBER(INDEX(Haver_M!$B$1:$ZN$1000,MATCH(data!$A89,Haver_M!$B$1:$B$1000,0),MATCH(data!P$1,Haver_M!$B$1:$ZN$1,0))),INDEX(Haver_M!$B$1:$ZN$1000,MATCH(data!$A89,Haver_M!$B$1:$B$1000,0),MATCH(data!P$1,Haver_M!$B$1:$ZN$1,0)),"na")</f>
        <v>63.064599999999999</v>
      </c>
      <c r="Q89">
        <f>IF(ISNUMBER(INDEX(Haver_M!$B$1:$ZN$1000,MATCH(data!$A89,Haver_M!$B$1:$B$1000,0),MATCH(data!Q$1,Haver_M!$B$1:$ZN$1,0))),INDEX(Haver_M!$B$1:$ZN$1000,MATCH(data!$A89,Haver_M!$B$1:$B$1000,0),MATCH(data!Q$1,Haver_M!$B$1:$ZN$1,0)),"na")</f>
        <v>66.887299999999996</v>
      </c>
      <c r="R89">
        <f>IF(ISNUMBER(INDEX(Haver_M!$B$1:$ZN$1000,MATCH(data!$A89,Haver_M!$B$1:$B$1000,0),MATCH(data!R$1,Haver_M!$B$1:$ZN$1,0))),INDEX(Haver_M!$B$1:$ZN$1000,MATCH(data!$A89,Haver_M!$B$1:$B$1000,0),MATCH(data!R$1,Haver_M!$B$1:$ZN$1,0)),"na")</f>
        <v>99.018500000000003</v>
      </c>
      <c r="S89">
        <f>IF(ISNUMBER(INDEX(Haver_M!$B$1:$ZN$1000,MATCH(data!$A89,Haver_M!$B$1:$B$1000,0),MATCH(data!S$1,Haver_M!$B$1:$ZN$1,0))),INDEX(Haver_M!$B$1:$ZN$1000,MATCH(data!$A89,Haver_M!$B$1:$B$1000,0),MATCH(data!S$1,Haver_M!$B$1:$ZN$1,0)),"na")</f>
        <v>111.19329999999999</v>
      </c>
      <c r="T89">
        <f>IF(ISNUMBER(INDEX(Haver_M!$B$1:$ZN$1000,MATCH(data!$A89,Haver_M!$B$1:$B$1000,0),MATCH(data!T$1,Haver_M!$B$1:$ZN$1,0))),INDEX(Haver_M!$B$1:$ZN$1000,MATCH(data!$A89,Haver_M!$B$1:$B$1000,0),MATCH(data!T$1,Haver_M!$B$1:$ZN$1,0)),"na")</f>
        <v>84.600099999999998</v>
      </c>
      <c r="U89">
        <f>IF(ISNUMBER(INDEX(Haver_M!$B$1:$ZN$1000,MATCH(data!$A89,Haver_M!$B$1:$B$1000,0),MATCH(data!U$1,Haver_M!$B$1:$ZN$1,0))),INDEX(Haver_M!$B$1:$ZN$1000,MATCH(data!$A89,Haver_M!$B$1:$B$1000,0),MATCH(data!U$1,Haver_M!$B$1:$ZN$1,0)),"na")</f>
        <v>96.090100000000007</v>
      </c>
      <c r="V89">
        <f>IF(ISNUMBER(INDEX(Haver_M!$B$1:$ZN$1000,MATCH(data!$A89,Haver_M!$B$1:$B$1000,0),MATCH(data!V$1,Haver_M!$B$1:$ZN$1,0))),INDEX(Haver_M!$B$1:$ZN$1000,MATCH(data!$A89,Haver_M!$B$1:$B$1000,0),MATCH(data!V$1,Haver_M!$B$1:$ZN$1,0)),"na")</f>
        <v>96.577299999999994</v>
      </c>
      <c r="W89">
        <f>IF(ISNUMBER(INDEX(Haver_M!$B$1:$ZN$1000,MATCH(data!$A89,Haver_M!$B$1:$B$1000,0),MATCH(data!W$1,Haver_M!$B$1:$ZN$1,0))),INDEX(Haver_M!$B$1:$ZN$1000,MATCH(data!$A89,Haver_M!$B$1:$B$1000,0),MATCH(data!W$1,Haver_M!$B$1:$ZN$1,0)),"na")</f>
        <v>3.69</v>
      </c>
      <c r="X89">
        <f>IF(ISNUMBER(INDEX(Haver_M!$B$1:$ZN$1000,MATCH(data!$A89,Haver_M!$B$1:$B$1000,0),MATCH(data!X$1,Haver_M!$B$1:$ZN$1,0))),INDEX(Haver_M!$B$1:$ZN$1000,MATCH(data!$A89,Haver_M!$B$1:$B$1000,0),MATCH(data!X$1,Haver_M!$B$1:$ZN$1,0)),"na")</f>
        <v>100.57</v>
      </c>
      <c r="Y89">
        <f>IF(ISNUMBER(INDEX(Haver_M!$B$1:$ZN$1000,MATCH(data!$A89,Haver_M!$B$1:$B$1000,0),MATCH(data!Y$1,Haver_M!$B$1:$ZN$1,0))),INDEX(Haver_M!$B$1:$ZN$1000,MATCH(data!$A89,Haver_M!$B$1:$B$1000,0),MATCH(data!Y$1,Haver_M!$B$1:$ZN$1,0)),"na")</f>
        <v>102.09</v>
      </c>
      <c r="Z89">
        <f>IF(ISNUMBER(INDEX(Haver_M!$B$1:$ZN$1000,MATCH(data!$A89,Haver_M!$B$1:$B$1000,0),MATCH(data!Z$1,Haver_M!$B$1:$ZN$1,0))),INDEX(Haver_M!$B$1:$ZN$1000,MATCH(data!$A89,Haver_M!$B$1:$B$1000,0),MATCH(data!Z$1,Haver_M!$B$1:$ZN$1,0)),"na")</f>
        <v>95.6858</v>
      </c>
      <c r="AA89" t="str">
        <f>IF(ISNUMBER(INDEX(Haver_M!$B$1:$ZN$1000,MATCH(data!$A89,Haver_M!$B$1:$B$1000,0),MATCH(data!AA$1,Haver_M!$B$1:$ZN$1,0))),INDEX(Haver_M!$B$1:$ZN$1000,MATCH(data!$A89,Haver_M!$B$1:$B$1000,0),MATCH(data!AA$1,Haver_M!$B$1:$ZN$1,0)),"na")</f>
        <v>na</v>
      </c>
      <c r="AB89">
        <f>IF(ISNUMBER(INDEX(Haver_M!$B$1:$ZN$1000,MATCH(data!$A89,Haver_M!$B$1:$B$1000,0),MATCH(data!AB$1,Haver_M!$B$1:$ZN$1,0))),INDEX(Haver_M!$B$1:$ZN$1000,MATCH(data!$A89,Haver_M!$B$1:$B$1000,0),MATCH(data!AB$1,Haver_M!$B$1:$ZN$1,0)),"na")</f>
        <v>21536.400000000001</v>
      </c>
      <c r="AC89">
        <f>IF(ISNUMBER(INDEX(Haver_M!$B$1:$ZN$1000,MATCH(data!$A89,Haver_M!$B$1:$B$1000,0),MATCH(data!AC$1,Haver_M!$B$1:$ZN$1,0))),INDEX(Haver_M!$B$1:$ZN$1000,MATCH(data!$A89,Haver_M!$B$1:$B$1000,0),MATCH(data!AC$1,Haver_M!$B$1:$ZN$1,0)),"na")</f>
        <v>22809.5</v>
      </c>
      <c r="AD89">
        <f>IF(ISNUMBER(INDEX(Haver_M!$B$1:$ZN$1000,MATCH(data!$A89,Haver_M!$B$1:$B$1000,0),MATCH(data!AD$1,Haver_M!$B$1:$ZN$1,0))),INDEX(Haver_M!$B$1:$ZN$1000,MATCH(data!$A89,Haver_M!$B$1:$B$1000,0),MATCH(data!AD$1,Haver_M!$B$1:$ZN$1,0)),"na")</f>
        <v>101.03</v>
      </c>
      <c r="AE89">
        <f>IF(ISNUMBER(INDEX(Haver_M!$B$1:$ZN$1000,MATCH(data!$A89,Haver_M!$B$1:$B$1000,0),MATCH(data!AE$1,Haver_M!$B$1:$ZN$1,0))),INDEX(Haver_M!$B$1:$ZN$1000,MATCH(data!$A89,Haver_M!$B$1:$B$1000,0),MATCH(data!AE$1,Haver_M!$B$1:$ZN$1,0)),"na")</f>
        <v>43.3</v>
      </c>
      <c r="AF89">
        <f>IF(ISNUMBER(INDEX(Haver_M!$B$1:$ZN$1000,MATCH(data!$A89,Haver_M!$B$1:$B$1000,0),MATCH(data!AF$1,Haver_M!$B$1:$ZN$1,0))),INDEX(Haver_M!$B$1:$ZN$1000,MATCH(data!$A89,Haver_M!$B$1:$B$1000,0),MATCH(data!AF$1,Haver_M!$B$1:$ZN$1,0)),"na")</f>
        <v>101.81</v>
      </c>
      <c r="AG89" t="str">
        <f>IF(ISNUMBER(INDEX(Haver_M!$B$1:$ZN$1000,MATCH(data!$A89,Haver_M!$B$1:$B$1000,0),MATCH(data!AG$1,Haver_M!$B$1:$ZN$1,0))),INDEX(Haver_M!$B$1:$ZN$1000,MATCH(data!$A89,Haver_M!$B$1:$B$1000,0),MATCH(data!AG$1,Haver_M!$B$1:$ZN$1,0)),"na")</f>
        <v>na</v>
      </c>
      <c r="AH89" t="str">
        <f>IF(ISNUMBER(INDEX(Haver_M!$B$1:$ZN$1000,MATCH(data!$A89,Haver_M!$B$1:$B$1000,0),MATCH(data!AH$1,Haver_M!$B$1:$ZN$1,0))),INDEX(Haver_M!$B$1:$ZN$1000,MATCH(data!$A89,Haver_M!$B$1:$B$1000,0),MATCH(data!AH$1,Haver_M!$B$1:$ZN$1,0)),"na")</f>
        <v>na</v>
      </c>
      <c r="AI89" t="str">
        <f>IF(ISNUMBER(INDEX(Haver_M!$B$1:$ZN$1000,MATCH(data!$A89,Haver_M!$B$1:$B$1000,0),MATCH(data!AI$1,Haver_M!$B$1:$ZN$1,0))),INDEX(Haver_M!$B$1:$ZN$1000,MATCH(data!$A89,Haver_M!$B$1:$B$1000,0),MATCH(data!AI$1,Haver_M!$B$1:$ZN$1,0)),"na")</f>
        <v>na</v>
      </c>
      <c r="AJ89" t="str">
        <f>IF(ISNUMBER(INDEX(Haver_M!$B$1:$ZN$1000,MATCH(data!$A89,Haver_M!$B$1:$B$1000,0),MATCH(data!AJ$1,Haver_M!$B$1:$ZN$1,0))),INDEX(Haver_M!$B$1:$ZN$1000,MATCH(data!$A89,Haver_M!$B$1:$B$1000,0),MATCH(data!AJ$1,Haver_M!$B$1:$ZN$1,0)),"na")</f>
        <v>na</v>
      </c>
      <c r="AK89" t="str">
        <f>IF(ISNUMBER(INDEX(Haver_M!$B$1:$ZN$1000,MATCH(data!$A89,Haver_M!$B$1:$B$1000,0),MATCH(data!AK$1,Haver_M!$B$1:$ZN$1,0))),INDEX(Haver_M!$B$1:$ZN$1000,MATCH(data!$A89,Haver_M!$B$1:$B$1000,0),MATCH(data!AK$1,Haver_M!$B$1:$ZN$1,0)),"na")</f>
        <v>na</v>
      </c>
      <c r="AL89" t="str">
        <f>IF(ISNUMBER(INDEX(Haver_M!$B$1:$ZN$1000,MATCH(data!$A89,Haver_M!$B$1:$B$1000,0),MATCH(data!AL$1,Haver_M!$B$1:$ZN$1,0))),INDEX(Haver_M!$B$1:$ZN$1000,MATCH(data!$A89,Haver_M!$B$1:$B$1000,0),MATCH(data!AL$1,Haver_M!$B$1:$ZN$1,0)),"na")</f>
        <v>na</v>
      </c>
      <c r="AM89" t="str">
        <f>IF(ISNUMBER(INDEX(Haver_M!$B$1:$ZN$1000,MATCH(data!$A89,Haver_M!$B$1:$B$1000,0),MATCH(data!AM$1,Haver_M!$B$1:$ZN$1,0))),INDEX(Haver_M!$B$1:$ZN$1000,MATCH(data!$A89,Haver_M!$B$1:$B$1000,0),MATCH(data!AM$1,Haver_M!$B$1:$ZN$1,0)),"na")</f>
        <v>na</v>
      </c>
      <c r="AN89" t="str">
        <f>IF(ISNUMBER(INDEX(Haver_M!$B$1:$ZN$1000,MATCH(data!$A89,Haver_M!$B$1:$B$1000,0),MATCH(data!AN$1,Haver_M!$B$1:$ZN$1,0))),INDEX(Haver_M!$B$1:$ZN$1000,MATCH(data!$A89,Haver_M!$B$1:$B$1000,0),MATCH(data!AN$1,Haver_M!$B$1:$ZN$1,0)),"na")</f>
        <v>na</v>
      </c>
      <c r="AO89" t="str">
        <f>IF(ISNUMBER(INDEX(Haver_M!$B$1:$ZN$1000,MATCH(data!$A89,Haver_M!$B$1:$B$1000,0),MATCH(data!AO$1,Haver_M!$B$1:$ZN$1,0))),INDEX(Haver_M!$B$1:$ZN$1000,MATCH(data!$A89,Haver_M!$B$1:$B$1000,0),MATCH(data!AO$1,Haver_M!$B$1:$ZN$1,0)),"na")</f>
        <v>na</v>
      </c>
      <c r="AP89" t="str">
        <f>IF(ISNUMBER(INDEX(Haver_M!$B$1:$ZN$1000,MATCH(data!$A89,Haver_M!$B$1:$B$1000,0),MATCH(data!AP$1,Haver_M!$B$1:$ZN$1,0))),INDEX(Haver_M!$B$1:$ZN$1000,MATCH(data!$A89,Haver_M!$B$1:$B$1000,0),MATCH(data!AP$1,Haver_M!$B$1:$ZN$1,0)),"na")</f>
        <v>na</v>
      </c>
      <c r="AQ89" t="str">
        <f>IF(ISNUMBER(INDEX(Haver_M!$B$1:$ZN$1000,MATCH(data!$A89,Haver_M!$B$1:$B$1000,0),MATCH(data!AQ$1,Haver_M!$B$1:$ZN$1,0))),INDEX(Haver_M!$B$1:$ZN$1000,MATCH(data!$A89,Haver_M!$B$1:$B$1000,0),MATCH(data!AQ$1,Haver_M!$B$1:$ZN$1,0)),"na")</f>
        <v>na</v>
      </c>
      <c r="AR89" t="str">
        <f>IF(ISNUMBER(INDEX(Haver_M!$B$1:$ZN$1000,MATCH(data!$A89,Haver_M!$B$1:$B$1000,0),MATCH(data!AR$1,Haver_M!$B$1:$ZN$1,0))),INDEX(Haver_M!$B$1:$ZN$1000,MATCH(data!$A89,Haver_M!$B$1:$B$1000,0),MATCH(data!AR$1,Haver_M!$B$1:$ZN$1,0)),"na")</f>
        <v>na</v>
      </c>
      <c r="AS89">
        <f>IF(ISNUMBER(INDEX(Haver_M!$B$1:$ZN$1000,MATCH(data!$A89,Haver_M!$B$1:$B$1000,0),MATCH(data!AS$1,Haver_M!$B$1:$ZN$1,0))),INDEX(Haver_M!$B$1:$ZN$1000,MATCH(data!$A89,Haver_M!$B$1:$B$1000,0),MATCH(data!AS$1,Haver_M!$B$1:$ZN$1,0)),"na")</f>
        <v>29489.71</v>
      </c>
      <c r="AT89">
        <f>IF(ISNUMBER(INDEX(Haver_M!$B$1:$ZN$1000,MATCH(data!$A89,Haver_M!$B$1:$B$1000,0),MATCH(data!AT$1,Haver_M!$B$1:$ZN$1,0))),INDEX(Haver_M!$B$1:$ZN$1000,MATCH(data!$A89,Haver_M!$B$1:$B$1000,0),MATCH(data!AT$1,Haver_M!$B$1:$ZN$1,0)),"na")</f>
        <v>95.284999999999997</v>
      </c>
      <c r="AU89">
        <f>IF(ISNUMBER(INDEX(Haver_M!$B$1:$ZN$1000,MATCH(data!$A89,Haver_M!$B$1:$B$1000,0),MATCH(data!AU$1,Haver_M!$B$1:$ZN$1,0))),INDEX(Haver_M!$B$1:$ZN$1000,MATCH(data!$A89,Haver_M!$B$1:$B$1000,0),MATCH(data!AU$1,Haver_M!$B$1:$ZN$1,0)),"na")</f>
        <v>91.037756000000002</v>
      </c>
      <c r="AV89">
        <f>IF(ISNUMBER(INDEX(Haver_M!$B$1:$ZN$1000,MATCH(data!$A89,Haver_M!$B$1:$B$1000,0),MATCH(data!AV$1,Haver_M!$B$1:$ZN$1,0))),INDEX(Haver_M!$B$1:$ZN$1000,MATCH(data!$A89,Haver_M!$B$1:$B$1000,0),MATCH(data!AV$1,Haver_M!$B$1:$ZN$1,0)),"na")</f>
        <v>91.7</v>
      </c>
      <c r="AW89">
        <f>IF(ISNUMBER(INDEX(Haver_M!$B$1:$ZN$1000,MATCH(data!$A89,Haver_M!$B$1:$B$1000,0),MATCH(data!AW$1,Haver_M!$B$1:$ZN$1,0))),INDEX(Haver_M!$B$1:$ZN$1000,MATCH(data!$A89,Haver_M!$B$1:$B$1000,0),MATCH(data!AW$1,Haver_M!$B$1:$ZN$1,0)),"na")</f>
        <v>1061326.4102648103</v>
      </c>
      <c r="AX89">
        <f>IF(ISNUMBER(INDEX(Haver_M!$B$1:$ZN$1000,MATCH(data!$A89,Haver_M!$B$1:$B$1000,0),MATCH(data!AX$1,Haver_M!$B$1:$ZN$1,0))),INDEX(Haver_M!$B$1:$ZN$1000,MATCH(data!$A89,Haver_M!$B$1:$B$1000,0),MATCH(data!AX$1,Haver_M!$B$1:$ZN$1,0)),"na")</f>
        <v>3147</v>
      </c>
      <c r="AY89">
        <f>IF(ISNUMBER(INDEX(Haver_M!$B$1:$ZN$1000,MATCH(data!$A89,Haver_M!$B$1:$B$1000,0),MATCH(data!AY$1,Haver_M!$B$1:$ZN$1,0))),INDEX(Haver_M!$B$1:$ZN$1000,MATCH(data!$A89,Haver_M!$B$1:$B$1000,0),MATCH(data!AY$1,Haver_M!$B$1:$ZN$1,0)),"na")</f>
        <v>1679</v>
      </c>
      <c r="AZ89">
        <f>IF(ISNUMBER(INDEX(Haver_M!$B$1:$ZN$1000,MATCH(data!$A89,Haver_M!$B$1:$B$1000,0),MATCH(data!AZ$1,Haver_M!$B$1:$ZN$1,0))),INDEX(Haver_M!$B$1:$ZN$1000,MATCH(data!$A89,Haver_M!$B$1:$B$1000,0),MATCH(data!AZ$1,Haver_M!$B$1:$ZN$1,0)),"na")</f>
        <v>52.7</v>
      </c>
      <c r="BA89">
        <f>IF(ISNUMBER(INDEX(Haver_M!$B$1:$ZN$1000,MATCH(data!$A89,Haver_M!$B$1:$B$1000,0),MATCH(data!BA$1,Haver_M!$B$1:$ZN$1,0))),INDEX(Haver_M!$B$1:$ZN$1000,MATCH(data!$A89,Haver_M!$B$1:$B$1000,0),MATCH(data!BA$1,Haver_M!$B$1:$ZN$1,0)),"na")</f>
        <v>9.429413758834718</v>
      </c>
      <c r="BB89" t="str">
        <f>IF(ISNUMBER(INDEX(Haver_M!$B$1:$ZN$1000,MATCH(data!$A89,Haver_M!$B$1:$B$1000,0),MATCH(data!BB$1,Haver_M!$B$1:$ZN$1,0))),INDEX(Haver_M!$B$1:$ZN$1000,MATCH(data!$A89,Haver_M!$B$1:$B$1000,0),MATCH(data!BB$1,Haver_M!$B$1:$ZN$1,0)),"")</f>
        <v/>
      </c>
    </row>
    <row r="90" spans="1:54" x14ac:dyDescent="0.25">
      <c r="A90" s="2">
        <v>39233</v>
      </c>
      <c r="B90" t="str">
        <f>IF(ISNUMBER(INDEX(Haver_Q!$B$1:$BD$1000,MATCH(data!$A90,Haver_Q!$B$1:$B$1000,0),MATCH(data!B$1,Haver_Q!$B$1:$BD$1,0))),100*INDEX(Haver_Q!$B$1:$BD$1000,MATCH(data!$A90,Haver_Q!$B$1:$B$1000,0),MATCH(data!B$1,Haver_Q!$B$1:$BD$1,0)),"na")</f>
        <v>na</v>
      </c>
      <c r="C90" t="str">
        <f>IF(ISNUMBER(INDEX(Haver_Q!$B$1:$BD$1000,MATCH(data!$A90,Haver_Q!$B$1:$B$1000,0),MATCH(data!C$1,Haver_Q!$B$1:$BD$1,0))),100*INDEX(Haver_Q!$B$1:$BD$1000,MATCH(data!$A90,Haver_Q!$B$1:$B$1000,0),MATCH(data!C$1,Haver_Q!$B$1:$BD$1,0)),"na")</f>
        <v>na</v>
      </c>
      <c r="D90" t="str">
        <f>IF(ISNUMBER(INDEX(Haver_Q!$B$1:$BD$1000,MATCH(data!$A90,Haver_Q!$B$1:$B$1000,0),MATCH(data!D$1,Haver_Q!$B$1:$BD$1,0))),100*INDEX(Haver_Q!$B$1:$BD$1000,MATCH(data!$A90,Haver_Q!$B$1:$B$1000,0),MATCH(data!D$1,Haver_Q!$B$1:$BD$1,0)),"na")</f>
        <v>na</v>
      </c>
      <c r="E90" t="str">
        <f>IF(ISNUMBER(INDEX(Haver_Q!$B$1:$BD$1000,MATCH(data!$A90,Haver_Q!$B$1:$B$1000,0),MATCH(data!E$1,Haver_Q!$B$1:$BD$1,0))),100*INDEX(Haver_Q!$B$1:$BD$1000,MATCH(data!$A90,Haver_Q!$B$1:$B$1000,0),MATCH(data!E$1,Haver_Q!$B$1:$BD$1,0)),"na")</f>
        <v>na</v>
      </c>
      <c r="F90" t="str">
        <f>IF(ISNUMBER(INDEX(Haver_Q!$B$1:$BD$1000,MATCH(data!$A90,Haver_Q!$B$1:$B$1000,0),MATCH(data!F$1,Haver_Q!$B$1:$BD$1,0))),100*INDEX(Haver_Q!$B$1:$BD$1000,MATCH(data!$A90,Haver_Q!$B$1:$B$1000,0),MATCH(data!F$1,Haver_Q!$B$1:$BD$1,0)),"na")</f>
        <v>na</v>
      </c>
      <c r="G90" t="str">
        <f>IF(ISNUMBER(INDEX(Haver_Q!$B$1:$BD$1000,MATCH(data!$A90,Haver_Q!$B$1:$B$1000,0),MATCH(data!G$1,Haver_Q!$B$1:$BD$1,0))),100*INDEX(Haver_Q!$B$1:$BD$1000,MATCH(data!$A90,Haver_Q!$B$1:$B$1000,0),MATCH(data!G$1,Haver_Q!$B$1:$BD$1,0)),"na")</f>
        <v>na</v>
      </c>
      <c r="H90" t="str">
        <f>IF(ISNUMBER(INDEX(Haver_Q!$B$1:$BD$1000,MATCH(data!$A90,Haver_Q!$B$1:$B$1000,0),MATCH(data!H$1,Haver_Q!$B$1:$BD$1,0))),100*INDEX(Haver_Q!$B$1:$BD$1000,MATCH(data!$A90,Haver_Q!$B$1:$B$1000,0),MATCH(data!H$1,Haver_Q!$B$1:$BD$1,0)),"na")</f>
        <v>na</v>
      </c>
      <c r="I90" s="3">
        <f>IF(ISNUMBER(Bloomberg_m!C106),Bloomberg_m!C106,"na")</f>
        <v>6402</v>
      </c>
      <c r="J90" s="3" t="str">
        <f>IF(ISNUMBER(Bloomberg_m!D106),Bloomberg_m!D106,"na")</f>
        <v>na</v>
      </c>
      <c r="K90" s="3" t="str">
        <f>IF(ISNUMBER(Bloomberg_m!E106),Bloomberg_m!E106,"na")</f>
        <v>na</v>
      </c>
      <c r="L90" s="3">
        <f>IF(ISNUMBER(Bloomberg_m!L106),Bloomberg_m!L106,"na")</f>
        <v>63.45</v>
      </c>
      <c r="M90" t="str">
        <f>IF(ISNUMBER(INDEX(Haver_M!$B$1:$ZN$1000,MATCH(data!$A90,Haver_M!$B$1:$B$1000,0),MATCH(data!M$1,Haver_M!$B$1:$ZN$1,0))),INDEX(Haver_M!$B$1:$ZN$1000,MATCH(data!$A90,Haver_M!$B$1:$B$1000,0),MATCH(data!M$1,Haver_M!$B$1:$ZN$1,0)),"na")</f>
        <v>na</v>
      </c>
      <c r="N90" t="str">
        <f>IF(ISNUMBER(INDEX(Haver_M!$B$1:$ZN$1000,MATCH(data!$A90,Haver_M!$B$1:$B$1000,0),MATCH(data!N$1,Haver_M!$B$1:$ZN$1,0))),INDEX(Haver_M!$B$1:$ZN$1000,MATCH(data!$A90,Haver_M!$B$1:$B$1000,0),MATCH(data!N$1,Haver_M!$B$1:$ZN$1,0)),"na")</f>
        <v>na</v>
      </c>
      <c r="O90">
        <f>IF(ISNUMBER(INDEX(Haver_M!$B$1:$ZN$1000,MATCH(data!$A90,Haver_M!$B$1:$B$1000,0),MATCH(data!O$1,Haver_M!$B$1:$ZN$1,0))),INDEX(Haver_M!$B$1:$ZN$1000,MATCH(data!$A90,Haver_M!$B$1:$B$1000,0),MATCH(data!O$1,Haver_M!$B$1:$ZN$1,0)),"na")</f>
        <v>110.06048</v>
      </c>
      <c r="P90">
        <f>IF(ISNUMBER(INDEX(Haver_M!$B$1:$ZN$1000,MATCH(data!$A90,Haver_M!$B$1:$B$1000,0),MATCH(data!P$1,Haver_M!$B$1:$ZN$1,0))),INDEX(Haver_M!$B$1:$ZN$1000,MATCH(data!$A90,Haver_M!$B$1:$B$1000,0),MATCH(data!P$1,Haver_M!$B$1:$ZN$1,0)),"na")</f>
        <v>63.215499999999999</v>
      </c>
      <c r="Q90">
        <f>IF(ISNUMBER(INDEX(Haver_M!$B$1:$ZN$1000,MATCH(data!$A90,Haver_M!$B$1:$B$1000,0),MATCH(data!Q$1,Haver_M!$B$1:$ZN$1,0))),INDEX(Haver_M!$B$1:$ZN$1000,MATCH(data!$A90,Haver_M!$B$1:$B$1000,0),MATCH(data!Q$1,Haver_M!$B$1:$ZN$1,0)),"na")</f>
        <v>67.075900000000004</v>
      </c>
      <c r="R90">
        <f>IF(ISNUMBER(INDEX(Haver_M!$B$1:$ZN$1000,MATCH(data!$A90,Haver_M!$B$1:$B$1000,0),MATCH(data!R$1,Haver_M!$B$1:$ZN$1,0))),INDEX(Haver_M!$B$1:$ZN$1000,MATCH(data!$A90,Haver_M!$B$1:$B$1000,0),MATCH(data!R$1,Haver_M!$B$1:$ZN$1,0)),"na")</f>
        <v>99.038300000000007</v>
      </c>
      <c r="S90">
        <f>IF(ISNUMBER(INDEX(Haver_M!$B$1:$ZN$1000,MATCH(data!$A90,Haver_M!$B$1:$B$1000,0),MATCH(data!S$1,Haver_M!$B$1:$ZN$1,0))),INDEX(Haver_M!$B$1:$ZN$1000,MATCH(data!$A90,Haver_M!$B$1:$B$1000,0),MATCH(data!S$1,Haver_M!$B$1:$ZN$1,0)),"na")</f>
        <v>109.2119</v>
      </c>
      <c r="T90">
        <f>IF(ISNUMBER(INDEX(Haver_M!$B$1:$ZN$1000,MATCH(data!$A90,Haver_M!$B$1:$B$1000,0),MATCH(data!T$1,Haver_M!$B$1:$ZN$1,0))),INDEX(Haver_M!$B$1:$ZN$1000,MATCH(data!$A90,Haver_M!$B$1:$B$1000,0),MATCH(data!T$1,Haver_M!$B$1:$ZN$1,0)),"na")</f>
        <v>85.618799999999993</v>
      </c>
      <c r="U90">
        <f>IF(ISNUMBER(INDEX(Haver_M!$B$1:$ZN$1000,MATCH(data!$A90,Haver_M!$B$1:$B$1000,0),MATCH(data!U$1,Haver_M!$B$1:$ZN$1,0))),INDEX(Haver_M!$B$1:$ZN$1000,MATCH(data!$A90,Haver_M!$B$1:$B$1000,0),MATCH(data!U$1,Haver_M!$B$1:$ZN$1,0)),"na")</f>
        <v>94.814099999999996</v>
      </c>
      <c r="V90">
        <f>IF(ISNUMBER(INDEX(Haver_M!$B$1:$ZN$1000,MATCH(data!$A90,Haver_M!$B$1:$B$1000,0),MATCH(data!V$1,Haver_M!$B$1:$ZN$1,0))),INDEX(Haver_M!$B$1:$ZN$1000,MATCH(data!$A90,Haver_M!$B$1:$B$1000,0),MATCH(data!V$1,Haver_M!$B$1:$ZN$1,0)),"na")</f>
        <v>97.456699999999998</v>
      </c>
      <c r="W90">
        <f>IF(ISNUMBER(INDEX(Haver_M!$B$1:$ZN$1000,MATCH(data!$A90,Haver_M!$B$1:$B$1000,0),MATCH(data!W$1,Haver_M!$B$1:$ZN$1,0))),INDEX(Haver_M!$B$1:$ZN$1000,MATCH(data!$A90,Haver_M!$B$1:$B$1000,0),MATCH(data!W$1,Haver_M!$B$1:$ZN$1,0)),"na")</f>
        <v>3.67</v>
      </c>
      <c r="X90">
        <f>IF(ISNUMBER(INDEX(Haver_M!$B$1:$ZN$1000,MATCH(data!$A90,Haver_M!$B$1:$B$1000,0),MATCH(data!X$1,Haver_M!$B$1:$ZN$1,0))),INDEX(Haver_M!$B$1:$ZN$1000,MATCH(data!$A90,Haver_M!$B$1:$B$1000,0),MATCH(data!X$1,Haver_M!$B$1:$ZN$1,0)),"na")</f>
        <v>100.68</v>
      </c>
      <c r="Y90">
        <f>IF(ISNUMBER(INDEX(Haver_M!$B$1:$ZN$1000,MATCH(data!$A90,Haver_M!$B$1:$B$1000,0),MATCH(data!Y$1,Haver_M!$B$1:$ZN$1,0))),INDEX(Haver_M!$B$1:$ZN$1000,MATCH(data!$A90,Haver_M!$B$1:$B$1000,0),MATCH(data!Y$1,Haver_M!$B$1:$ZN$1,0)),"na")</f>
        <v>102.13</v>
      </c>
      <c r="Z90">
        <f>IF(ISNUMBER(INDEX(Haver_M!$B$1:$ZN$1000,MATCH(data!$A90,Haver_M!$B$1:$B$1000,0),MATCH(data!Z$1,Haver_M!$B$1:$ZN$1,0))),INDEX(Haver_M!$B$1:$ZN$1000,MATCH(data!$A90,Haver_M!$B$1:$B$1000,0),MATCH(data!Z$1,Haver_M!$B$1:$ZN$1,0)),"na")</f>
        <v>96.014099999999999</v>
      </c>
      <c r="AA90" t="str">
        <f>IF(ISNUMBER(INDEX(Haver_M!$B$1:$ZN$1000,MATCH(data!$A90,Haver_M!$B$1:$B$1000,0),MATCH(data!AA$1,Haver_M!$B$1:$ZN$1,0))),INDEX(Haver_M!$B$1:$ZN$1000,MATCH(data!$A90,Haver_M!$B$1:$B$1000,0),MATCH(data!AA$1,Haver_M!$B$1:$ZN$1,0)),"na")</f>
        <v>na</v>
      </c>
      <c r="AB90">
        <f>IF(ISNUMBER(INDEX(Haver_M!$B$1:$ZN$1000,MATCH(data!$A90,Haver_M!$B$1:$B$1000,0),MATCH(data!AB$1,Haver_M!$B$1:$ZN$1,0))),INDEX(Haver_M!$B$1:$ZN$1000,MATCH(data!$A90,Haver_M!$B$1:$B$1000,0),MATCH(data!AB$1,Haver_M!$B$1:$ZN$1,0)),"na")</f>
        <v>22182.799999999999</v>
      </c>
      <c r="AC90">
        <f>IF(ISNUMBER(INDEX(Haver_M!$B$1:$ZN$1000,MATCH(data!$A90,Haver_M!$B$1:$B$1000,0),MATCH(data!AC$1,Haver_M!$B$1:$ZN$1,0))),INDEX(Haver_M!$B$1:$ZN$1000,MATCH(data!$A90,Haver_M!$B$1:$B$1000,0),MATCH(data!AC$1,Haver_M!$B$1:$ZN$1,0)),"na")</f>
        <v>23509.4</v>
      </c>
      <c r="AD90">
        <f>IF(ISNUMBER(INDEX(Haver_M!$B$1:$ZN$1000,MATCH(data!$A90,Haver_M!$B$1:$B$1000,0),MATCH(data!AD$1,Haver_M!$B$1:$ZN$1,0))),INDEX(Haver_M!$B$1:$ZN$1000,MATCH(data!$A90,Haver_M!$B$1:$B$1000,0),MATCH(data!AD$1,Haver_M!$B$1:$ZN$1,0)),"na")</f>
        <v>101.13</v>
      </c>
      <c r="AE90">
        <f>IF(ISNUMBER(INDEX(Haver_M!$B$1:$ZN$1000,MATCH(data!$A90,Haver_M!$B$1:$B$1000,0),MATCH(data!AE$1,Haver_M!$B$1:$ZN$1,0))),INDEX(Haver_M!$B$1:$ZN$1000,MATCH(data!$A90,Haver_M!$B$1:$B$1000,0),MATCH(data!AE$1,Haver_M!$B$1:$ZN$1,0)),"na")</f>
        <v>43.6</v>
      </c>
      <c r="AF90">
        <f>IF(ISNUMBER(INDEX(Haver_M!$B$1:$ZN$1000,MATCH(data!$A90,Haver_M!$B$1:$B$1000,0),MATCH(data!AF$1,Haver_M!$B$1:$ZN$1,0))),INDEX(Haver_M!$B$1:$ZN$1000,MATCH(data!$A90,Haver_M!$B$1:$B$1000,0),MATCH(data!AF$1,Haver_M!$B$1:$ZN$1,0)),"na")</f>
        <v>101.77</v>
      </c>
      <c r="AG90" t="str">
        <f>IF(ISNUMBER(INDEX(Haver_M!$B$1:$ZN$1000,MATCH(data!$A90,Haver_M!$B$1:$B$1000,0),MATCH(data!AG$1,Haver_M!$B$1:$ZN$1,0))),INDEX(Haver_M!$B$1:$ZN$1000,MATCH(data!$A90,Haver_M!$B$1:$B$1000,0),MATCH(data!AG$1,Haver_M!$B$1:$ZN$1,0)),"na")</f>
        <v>na</v>
      </c>
      <c r="AH90" t="str">
        <f>IF(ISNUMBER(INDEX(Haver_M!$B$1:$ZN$1000,MATCH(data!$A90,Haver_M!$B$1:$B$1000,0),MATCH(data!AH$1,Haver_M!$B$1:$ZN$1,0))),INDEX(Haver_M!$B$1:$ZN$1000,MATCH(data!$A90,Haver_M!$B$1:$B$1000,0),MATCH(data!AH$1,Haver_M!$B$1:$ZN$1,0)),"na")</f>
        <v>na</v>
      </c>
      <c r="AI90" t="str">
        <f>IF(ISNUMBER(INDEX(Haver_M!$B$1:$ZN$1000,MATCH(data!$A90,Haver_M!$B$1:$B$1000,0),MATCH(data!AI$1,Haver_M!$B$1:$ZN$1,0))),INDEX(Haver_M!$B$1:$ZN$1000,MATCH(data!$A90,Haver_M!$B$1:$B$1000,0),MATCH(data!AI$1,Haver_M!$B$1:$ZN$1,0)),"na")</f>
        <v>na</v>
      </c>
      <c r="AJ90" t="str">
        <f>IF(ISNUMBER(INDEX(Haver_M!$B$1:$ZN$1000,MATCH(data!$A90,Haver_M!$B$1:$B$1000,0),MATCH(data!AJ$1,Haver_M!$B$1:$ZN$1,0))),INDEX(Haver_M!$B$1:$ZN$1000,MATCH(data!$A90,Haver_M!$B$1:$B$1000,0),MATCH(data!AJ$1,Haver_M!$B$1:$ZN$1,0)),"na")</f>
        <v>na</v>
      </c>
      <c r="AK90" t="str">
        <f>IF(ISNUMBER(INDEX(Haver_M!$B$1:$ZN$1000,MATCH(data!$A90,Haver_M!$B$1:$B$1000,0),MATCH(data!AK$1,Haver_M!$B$1:$ZN$1,0))),INDEX(Haver_M!$B$1:$ZN$1000,MATCH(data!$A90,Haver_M!$B$1:$B$1000,0),MATCH(data!AK$1,Haver_M!$B$1:$ZN$1,0)),"na")</f>
        <v>na</v>
      </c>
      <c r="AL90" t="str">
        <f>IF(ISNUMBER(INDEX(Haver_M!$B$1:$ZN$1000,MATCH(data!$A90,Haver_M!$B$1:$B$1000,0),MATCH(data!AL$1,Haver_M!$B$1:$ZN$1,0))),INDEX(Haver_M!$B$1:$ZN$1000,MATCH(data!$A90,Haver_M!$B$1:$B$1000,0),MATCH(data!AL$1,Haver_M!$B$1:$ZN$1,0)),"na")</f>
        <v>na</v>
      </c>
      <c r="AM90" t="str">
        <f>IF(ISNUMBER(INDEX(Haver_M!$B$1:$ZN$1000,MATCH(data!$A90,Haver_M!$B$1:$B$1000,0),MATCH(data!AM$1,Haver_M!$B$1:$ZN$1,0))),INDEX(Haver_M!$B$1:$ZN$1000,MATCH(data!$A90,Haver_M!$B$1:$B$1000,0),MATCH(data!AM$1,Haver_M!$B$1:$ZN$1,0)),"na")</f>
        <v>na</v>
      </c>
      <c r="AN90" t="str">
        <f>IF(ISNUMBER(INDEX(Haver_M!$B$1:$ZN$1000,MATCH(data!$A90,Haver_M!$B$1:$B$1000,0),MATCH(data!AN$1,Haver_M!$B$1:$ZN$1,0))),INDEX(Haver_M!$B$1:$ZN$1000,MATCH(data!$A90,Haver_M!$B$1:$B$1000,0),MATCH(data!AN$1,Haver_M!$B$1:$ZN$1,0)),"na")</f>
        <v>na</v>
      </c>
      <c r="AO90" t="str">
        <f>IF(ISNUMBER(INDEX(Haver_M!$B$1:$ZN$1000,MATCH(data!$A90,Haver_M!$B$1:$B$1000,0),MATCH(data!AO$1,Haver_M!$B$1:$ZN$1,0))),INDEX(Haver_M!$B$1:$ZN$1000,MATCH(data!$A90,Haver_M!$B$1:$B$1000,0),MATCH(data!AO$1,Haver_M!$B$1:$ZN$1,0)),"na")</f>
        <v>na</v>
      </c>
      <c r="AP90" t="str">
        <f>IF(ISNUMBER(INDEX(Haver_M!$B$1:$ZN$1000,MATCH(data!$A90,Haver_M!$B$1:$B$1000,0),MATCH(data!AP$1,Haver_M!$B$1:$ZN$1,0))),INDEX(Haver_M!$B$1:$ZN$1000,MATCH(data!$A90,Haver_M!$B$1:$B$1000,0),MATCH(data!AP$1,Haver_M!$B$1:$ZN$1,0)),"na")</f>
        <v>na</v>
      </c>
      <c r="AQ90" t="str">
        <f>IF(ISNUMBER(INDEX(Haver_M!$B$1:$ZN$1000,MATCH(data!$A90,Haver_M!$B$1:$B$1000,0),MATCH(data!AQ$1,Haver_M!$B$1:$ZN$1,0))),INDEX(Haver_M!$B$1:$ZN$1000,MATCH(data!$A90,Haver_M!$B$1:$B$1000,0),MATCH(data!AQ$1,Haver_M!$B$1:$ZN$1,0)),"na")</f>
        <v>na</v>
      </c>
      <c r="AR90" t="str">
        <f>IF(ISNUMBER(INDEX(Haver_M!$B$1:$ZN$1000,MATCH(data!$A90,Haver_M!$B$1:$B$1000,0),MATCH(data!AR$1,Haver_M!$B$1:$ZN$1,0))),INDEX(Haver_M!$B$1:$ZN$1000,MATCH(data!$A90,Haver_M!$B$1:$B$1000,0),MATCH(data!AR$1,Haver_M!$B$1:$ZN$1,0)),"na")</f>
        <v>na</v>
      </c>
      <c r="AS90">
        <f>IF(ISNUMBER(INDEX(Haver_M!$B$1:$ZN$1000,MATCH(data!$A90,Haver_M!$B$1:$B$1000,0),MATCH(data!AS$1,Haver_M!$B$1:$ZN$1,0))),INDEX(Haver_M!$B$1:$ZN$1000,MATCH(data!$A90,Haver_M!$B$1:$B$1000,0),MATCH(data!AS$1,Haver_M!$B$1:$ZN$1,0)),"na")</f>
        <v>30307.040000000001</v>
      </c>
      <c r="AT90">
        <f>IF(ISNUMBER(INDEX(Haver_M!$B$1:$ZN$1000,MATCH(data!$A90,Haver_M!$B$1:$B$1000,0),MATCH(data!AT$1,Haver_M!$B$1:$ZN$1,0))),INDEX(Haver_M!$B$1:$ZN$1000,MATCH(data!$A90,Haver_M!$B$1:$B$1000,0),MATCH(data!AT$1,Haver_M!$B$1:$ZN$1,0)),"na")</f>
        <v>95.072999999999993</v>
      </c>
      <c r="AU90">
        <f>IF(ISNUMBER(INDEX(Haver_M!$B$1:$ZN$1000,MATCH(data!$A90,Haver_M!$B$1:$B$1000,0),MATCH(data!AU$1,Haver_M!$B$1:$ZN$1,0))),INDEX(Haver_M!$B$1:$ZN$1000,MATCH(data!$A90,Haver_M!$B$1:$B$1000,0),MATCH(data!AU$1,Haver_M!$B$1:$ZN$1,0)),"na")</f>
        <v>91.524736000000004</v>
      </c>
      <c r="AV90">
        <f>IF(ISNUMBER(INDEX(Haver_M!$B$1:$ZN$1000,MATCH(data!$A90,Haver_M!$B$1:$B$1000,0),MATCH(data!AV$1,Haver_M!$B$1:$ZN$1,0))),INDEX(Haver_M!$B$1:$ZN$1000,MATCH(data!$A90,Haver_M!$B$1:$B$1000,0),MATCH(data!AV$1,Haver_M!$B$1:$ZN$1,0)),"na")</f>
        <v>90.4</v>
      </c>
      <c r="AW90">
        <f>IF(ISNUMBER(INDEX(Haver_M!$B$1:$ZN$1000,MATCH(data!$A90,Haver_M!$B$1:$B$1000,0),MATCH(data!AW$1,Haver_M!$B$1:$ZN$1,0))),INDEX(Haver_M!$B$1:$ZN$1000,MATCH(data!$A90,Haver_M!$B$1:$B$1000,0),MATCH(data!AW$1,Haver_M!$B$1:$ZN$1,0)),"na")</f>
        <v>1023351.5778596911</v>
      </c>
      <c r="AX90">
        <f>IF(ISNUMBER(INDEX(Haver_M!$B$1:$ZN$1000,MATCH(data!$A90,Haver_M!$B$1:$B$1000,0),MATCH(data!AX$1,Haver_M!$B$1:$ZN$1,0))),INDEX(Haver_M!$B$1:$ZN$1000,MATCH(data!$A90,Haver_M!$B$1:$B$1000,0),MATCH(data!AX$1,Haver_M!$B$1:$ZN$1,0)),"na")</f>
        <v>3111</v>
      </c>
      <c r="AY90">
        <f>IF(ISNUMBER(INDEX(Haver_M!$B$1:$ZN$1000,MATCH(data!$A90,Haver_M!$B$1:$B$1000,0),MATCH(data!AY$1,Haver_M!$B$1:$ZN$1,0))),INDEX(Haver_M!$B$1:$ZN$1000,MATCH(data!$A90,Haver_M!$B$1:$B$1000,0),MATCH(data!AY$1,Haver_M!$B$1:$ZN$1,0)),"na")</f>
        <v>1758</v>
      </c>
      <c r="AZ90">
        <f>IF(ISNUMBER(INDEX(Haver_M!$B$1:$ZN$1000,MATCH(data!$A90,Haver_M!$B$1:$B$1000,0),MATCH(data!AZ$1,Haver_M!$B$1:$ZN$1,0))),INDEX(Haver_M!$B$1:$ZN$1000,MATCH(data!$A90,Haver_M!$B$1:$B$1000,0),MATCH(data!AZ$1,Haver_M!$B$1:$ZN$1,0)),"na")</f>
        <v>52.2</v>
      </c>
      <c r="BA90">
        <f>IF(ISNUMBER(INDEX(Haver_M!$B$1:$ZN$1000,MATCH(data!$A90,Haver_M!$B$1:$B$1000,0),MATCH(data!BA$1,Haver_M!$B$1:$ZN$1,0))),INDEX(Haver_M!$B$1:$ZN$1000,MATCH(data!$A90,Haver_M!$B$1:$B$1000,0),MATCH(data!BA$1,Haver_M!$B$1:$ZN$1,0)),"na")</f>
        <v>87.953954256628663</v>
      </c>
      <c r="BB90" t="str">
        <f>IF(ISNUMBER(INDEX(Haver_M!$B$1:$ZN$1000,MATCH(data!$A90,Haver_M!$B$1:$B$1000,0),MATCH(data!BB$1,Haver_M!$B$1:$ZN$1,0))),INDEX(Haver_M!$B$1:$ZN$1000,MATCH(data!$A90,Haver_M!$B$1:$B$1000,0),MATCH(data!BB$1,Haver_M!$B$1:$ZN$1,0)),"")</f>
        <v/>
      </c>
    </row>
    <row r="91" spans="1:54" x14ac:dyDescent="0.25">
      <c r="A91" s="2">
        <v>39263</v>
      </c>
      <c r="B91">
        <f>IF(ISNUMBER(INDEX(Haver_Q!$B$1:$BD$1000,MATCH(data!$A91,Haver_Q!$B$1:$B$1000,0),MATCH(data!B$1,Haver_Q!$B$1:$BD$1,0))),100*INDEX(Haver_Q!$B$1:$BD$1000,MATCH(data!$A91,Haver_Q!$B$1:$B$1000,0),MATCH(data!B$1,Haver_Q!$B$1:$BD$1,0)),"na")</f>
        <v>3.1427173774626116</v>
      </c>
      <c r="C91">
        <f>IF(ISNUMBER(INDEX(Haver_Q!$B$1:$BD$1000,MATCH(data!$A91,Haver_Q!$B$1:$B$1000,0),MATCH(data!C$1,Haver_Q!$B$1:$BD$1,0))),100*INDEX(Haver_Q!$B$1:$BD$1000,MATCH(data!$A91,Haver_Q!$B$1:$B$1000,0),MATCH(data!C$1,Haver_Q!$B$1:$BD$1,0)),"na")</f>
        <v>5.6281526983630981</v>
      </c>
      <c r="D91">
        <f>IF(ISNUMBER(INDEX(Haver_Q!$B$1:$BD$1000,MATCH(data!$A91,Haver_Q!$B$1:$B$1000,0),MATCH(data!D$1,Haver_Q!$B$1:$BD$1,0))),100*INDEX(Haver_Q!$B$1:$BD$1000,MATCH(data!$A91,Haver_Q!$B$1:$B$1000,0),MATCH(data!D$1,Haver_Q!$B$1:$BD$1,0)),"na")</f>
        <v>4.0243756630867322</v>
      </c>
      <c r="E91">
        <f>IF(ISNUMBER(INDEX(Haver_Q!$B$1:$BD$1000,MATCH(data!$A91,Haver_Q!$B$1:$B$1000,0),MATCH(data!E$1,Haver_Q!$B$1:$BD$1,0))),100*INDEX(Haver_Q!$B$1:$BD$1000,MATCH(data!$A91,Haver_Q!$B$1:$B$1000,0),MATCH(data!E$1,Haver_Q!$B$1:$BD$1,0)),"na")</f>
        <v>8.5067084606885288</v>
      </c>
      <c r="F91">
        <f>IF(ISNUMBER(INDEX(Haver_Q!$B$1:$BD$1000,MATCH(data!$A91,Haver_Q!$B$1:$B$1000,0),MATCH(data!F$1,Haver_Q!$B$1:$BD$1,0))),100*INDEX(Haver_Q!$B$1:$BD$1000,MATCH(data!$A91,Haver_Q!$B$1:$B$1000,0),MATCH(data!F$1,Haver_Q!$B$1:$BD$1,0)),"na")</f>
        <v>10.668582261824856</v>
      </c>
      <c r="G91">
        <f>IF(ISNUMBER(INDEX(Haver_Q!$B$1:$BD$1000,MATCH(data!$A91,Haver_Q!$B$1:$B$1000,0),MATCH(data!G$1,Haver_Q!$B$1:$BD$1,0))),100*INDEX(Haver_Q!$B$1:$BD$1000,MATCH(data!$A91,Haver_Q!$B$1:$B$1000,0),MATCH(data!G$1,Haver_Q!$B$1:$BD$1,0)),"na")</f>
        <v>12.420515739011929</v>
      </c>
      <c r="H91">
        <f>IF(ISNUMBER(INDEX(Haver_Q!$B$1:$BD$1000,MATCH(data!$A91,Haver_Q!$B$1:$B$1000,0),MATCH(data!H$1,Haver_Q!$B$1:$BD$1,0))),100*INDEX(Haver_Q!$B$1:$BD$1000,MATCH(data!$A91,Haver_Q!$B$1:$B$1000,0),MATCH(data!H$1,Haver_Q!$B$1:$BD$1,0)),"na")</f>
        <v>493.10156149125078</v>
      </c>
      <c r="I91" s="3">
        <f>IF(ISNUMBER(Bloomberg_m!C107),Bloomberg_m!C107,"na")</f>
        <v>5772</v>
      </c>
      <c r="J91" s="3" t="str">
        <f>IF(ISNUMBER(Bloomberg_m!D107),Bloomberg_m!D107,"na")</f>
        <v>na</v>
      </c>
      <c r="K91" s="3" t="str">
        <f>IF(ISNUMBER(Bloomberg_m!E107),Bloomberg_m!E107,"na")</f>
        <v>na</v>
      </c>
      <c r="L91" s="3">
        <f>IF(ISNUMBER(Bloomberg_m!L107),Bloomberg_m!L107,"na")</f>
        <v>67.489999999999995</v>
      </c>
      <c r="M91" t="str">
        <f>IF(ISNUMBER(INDEX(Haver_M!$B$1:$ZN$1000,MATCH(data!$A91,Haver_M!$B$1:$B$1000,0),MATCH(data!M$1,Haver_M!$B$1:$ZN$1,0))),INDEX(Haver_M!$B$1:$ZN$1000,MATCH(data!$A91,Haver_M!$B$1:$B$1000,0),MATCH(data!M$1,Haver_M!$B$1:$ZN$1,0)),"na")</f>
        <v>na</v>
      </c>
      <c r="N91" t="str">
        <f>IF(ISNUMBER(INDEX(Haver_M!$B$1:$ZN$1000,MATCH(data!$A91,Haver_M!$B$1:$B$1000,0),MATCH(data!N$1,Haver_M!$B$1:$ZN$1,0))),INDEX(Haver_M!$B$1:$ZN$1000,MATCH(data!$A91,Haver_M!$B$1:$B$1000,0),MATCH(data!N$1,Haver_M!$B$1:$ZN$1,0)),"na")</f>
        <v>na</v>
      </c>
      <c r="O91">
        <f>IF(ISNUMBER(INDEX(Haver_M!$B$1:$ZN$1000,MATCH(data!$A91,Haver_M!$B$1:$B$1000,0),MATCH(data!O$1,Haver_M!$B$1:$ZN$1,0))),INDEX(Haver_M!$B$1:$ZN$1000,MATCH(data!$A91,Haver_M!$B$1:$B$1000,0),MATCH(data!O$1,Haver_M!$B$1:$ZN$1,0)),"na")</f>
        <v>109.76367</v>
      </c>
      <c r="P91">
        <f>IF(ISNUMBER(INDEX(Haver_M!$B$1:$ZN$1000,MATCH(data!$A91,Haver_M!$B$1:$B$1000,0),MATCH(data!P$1,Haver_M!$B$1:$ZN$1,0))),INDEX(Haver_M!$B$1:$ZN$1000,MATCH(data!$A91,Haver_M!$B$1:$B$1000,0),MATCH(data!P$1,Haver_M!$B$1:$ZN$1,0)),"na")</f>
        <v>63.427700000000002</v>
      </c>
      <c r="Q91">
        <f>IF(ISNUMBER(INDEX(Haver_M!$B$1:$ZN$1000,MATCH(data!$A91,Haver_M!$B$1:$B$1000,0),MATCH(data!Q$1,Haver_M!$B$1:$ZN$1,0))),INDEX(Haver_M!$B$1:$ZN$1000,MATCH(data!$A91,Haver_M!$B$1:$B$1000,0),MATCH(data!Q$1,Haver_M!$B$1:$ZN$1,0)),"na")</f>
        <v>67.290999999999997</v>
      </c>
      <c r="R91">
        <f>IF(ISNUMBER(INDEX(Haver_M!$B$1:$ZN$1000,MATCH(data!$A91,Haver_M!$B$1:$B$1000,0),MATCH(data!R$1,Haver_M!$B$1:$ZN$1,0))),INDEX(Haver_M!$B$1:$ZN$1000,MATCH(data!$A91,Haver_M!$B$1:$B$1000,0),MATCH(data!R$1,Haver_M!$B$1:$ZN$1,0)),"na")</f>
        <v>99.599000000000004</v>
      </c>
      <c r="S91">
        <f>IF(ISNUMBER(INDEX(Haver_M!$B$1:$ZN$1000,MATCH(data!$A91,Haver_M!$B$1:$B$1000,0),MATCH(data!S$1,Haver_M!$B$1:$ZN$1,0))),INDEX(Haver_M!$B$1:$ZN$1000,MATCH(data!$A91,Haver_M!$B$1:$B$1000,0),MATCH(data!S$1,Haver_M!$B$1:$ZN$1,0)),"na")</f>
        <v>112.1844</v>
      </c>
      <c r="T91">
        <f>IF(ISNUMBER(INDEX(Haver_M!$B$1:$ZN$1000,MATCH(data!$A91,Haver_M!$B$1:$B$1000,0),MATCH(data!T$1,Haver_M!$B$1:$ZN$1,0))),INDEX(Haver_M!$B$1:$ZN$1000,MATCH(data!$A91,Haver_M!$B$1:$B$1000,0),MATCH(data!T$1,Haver_M!$B$1:$ZN$1,0)),"na")</f>
        <v>85.386700000000005</v>
      </c>
      <c r="U91">
        <f>IF(ISNUMBER(INDEX(Haver_M!$B$1:$ZN$1000,MATCH(data!$A91,Haver_M!$B$1:$B$1000,0),MATCH(data!U$1,Haver_M!$B$1:$ZN$1,0))),INDEX(Haver_M!$B$1:$ZN$1000,MATCH(data!$A91,Haver_M!$B$1:$B$1000,0),MATCH(data!U$1,Haver_M!$B$1:$ZN$1,0)),"na")</f>
        <v>93.593299999999999</v>
      </c>
      <c r="V91">
        <f>IF(ISNUMBER(INDEX(Haver_M!$B$1:$ZN$1000,MATCH(data!$A91,Haver_M!$B$1:$B$1000,0),MATCH(data!V$1,Haver_M!$B$1:$ZN$1,0))),INDEX(Haver_M!$B$1:$ZN$1000,MATCH(data!$A91,Haver_M!$B$1:$B$1000,0),MATCH(data!V$1,Haver_M!$B$1:$ZN$1,0)),"na")</f>
        <v>97.507000000000005</v>
      </c>
      <c r="W91">
        <f>IF(ISNUMBER(INDEX(Haver_M!$B$1:$ZN$1000,MATCH(data!$A91,Haver_M!$B$1:$B$1000,0),MATCH(data!W$1,Haver_M!$B$1:$ZN$1,0))),INDEX(Haver_M!$B$1:$ZN$1000,MATCH(data!$A91,Haver_M!$B$1:$B$1000,0),MATCH(data!W$1,Haver_M!$B$1:$ZN$1,0)),"na")</f>
        <v>3.52</v>
      </c>
      <c r="X91">
        <f>IF(ISNUMBER(INDEX(Haver_M!$B$1:$ZN$1000,MATCH(data!$A91,Haver_M!$B$1:$B$1000,0),MATCH(data!X$1,Haver_M!$B$1:$ZN$1,0))),INDEX(Haver_M!$B$1:$ZN$1000,MATCH(data!$A91,Haver_M!$B$1:$B$1000,0),MATCH(data!X$1,Haver_M!$B$1:$ZN$1,0)),"na")</f>
        <v>100.72</v>
      </c>
      <c r="Y91">
        <f>IF(ISNUMBER(INDEX(Haver_M!$B$1:$ZN$1000,MATCH(data!$A91,Haver_M!$B$1:$B$1000,0),MATCH(data!Y$1,Haver_M!$B$1:$ZN$1,0))),INDEX(Haver_M!$B$1:$ZN$1000,MATCH(data!$A91,Haver_M!$B$1:$B$1000,0),MATCH(data!Y$1,Haver_M!$B$1:$ZN$1,0)),"na")</f>
        <v>102.16</v>
      </c>
      <c r="Z91">
        <f>IF(ISNUMBER(INDEX(Haver_M!$B$1:$ZN$1000,MATCH(data!$A91,Haver_M!$B$1:$B$1000,0),MATCH(data!Z$1,Haver_M!$B$1:$ZN$1,0))),INDEX(Haver_M!$B$1:$ZN$1000,MATCH(data!$A91,Haver_M!$B$1:$B$1000,0),MATCH(data!Z$1,Haver_M!$B$1:$ZN$1,0)),"na")</f>
        <v>96.998900000000006</v>
      </c>
      <c r="AA91" t="str">
        <f>IF(ISNUMBER(INDEX(Haver_M!$B$1:$ZN$1000,MATCH(data!$A91,Haver_M!$B$1:$B$1000,0),MATCH(data!AA$1,Haver_M!$B$1:$ZN$1,0))),INDEX(Haver_M!$B$1:$ZN$1000,MATCH(data!$A91,Haver_M!$B$1:$B$1000,0),MATCH(data!AA$1,Haver_M!$B$1:$ZN$1,0)),"na")</f>
        <v>na</v>
      </c>
      <c r="AB91">
        <f>IF(ISNUMBER(INDEX(Haver_M!$B$1:$ZN$1000,MATCH(data!$A91,Haver_M!$B$1:$B$1000,0),MATCH(data!AB$1,Haver_M!$B$1:$ZN$1,0))),INDEX(Haver_M!$B$1:$ZN$1000,MATCH(data!$A91,Haver_M!$B$1:$B$1000,0),MATCH(data!AB$1,Haver_M!$B$1:$ZN$1,0)),"na")</f>
        <v>22481.3</v>
      </c>
      <c r="AC91">
        <f>IF(ISNUMBER(INDEX(Haver_M!$B$1:$ZN$1000,MATCH(data!$A91,Haver_M!$B$1:$B$1000,0),MATCH(data!AC$1,Haver_M!$B$1:$ZN$1,0))),INDEX(Haver_M!$B$1:$ZN$1000,MATCH(data!$A91,Haver_M!$B$1:$B$1000,0),MATCH(data!AC$1,Haver_M!$B$1:$ZN$1,0)),"na")</f>
        <v>23999.5</v>
      </c>
      <c r="AD91">
        <f>IF(ISNUMBER(INDEX(Haver_M!$B$1:$ZN$1000,MATCH(data!$A91,Haver_M!$B$1:$B$1000,0),MATCH(data!AD$1,Haver_M!$B$1:$ZN$1,0))),INDEX(Haver_M!$B$1:$ZN$1000,MATCH(data!$A91,Haver_M!$B$1:$B$1000,0),MATCH(data!AD$1,Haver_M!$B$1:$ZN$1,0)),"na")</f>
        <v>101.22</v>
      </c>
      <c r="AE91">
        <f>IF(ISNUMBER(INDEX(Haver_M!$B$1:$ZN$1000,MATCH(data!$A91,Haver_M!$B$1:$B$1000,0),MATCH(data!AE$1,Haver_M!$B$1:$ZN$1,0))),INDEX(Haver_M!$B$1:$ZN$1000,MATCH(data!$A91,Haver_M!$B$1:$B$1000,0),MATCH(data!AE$1,Haver_M!$B$1:$ZN$1,0)),"na")</f>
        <v>43.1</v>
      </c>
      <c r="AF91">
        <f>IF(ISNUMBER(INDEX(Haver_M!$B$1:$ZN$1000,MATCH(data!$A91,Haver_M!$B$1:$B$1000,0),MATCH(data!AF$1,Haver_M!$B$1:$ZN$1,0))),INDEX(Haver_M!$B$1:$ZN$1000,MATCH(data!$A91,Haver_M!$B$1:$B$1000,0),MATCH(data!AF$1,Haver_M!$B$1:$ZN$1,0)),"na")</f>
        <v>101.72</v>
      </c>
      <c r="AG91" t="str">
        <f>IF(ISNUMBER(INDEX(Haver_M!$B$1:$ZN$1000,MATCH(data!$A91,Haver_M!$B$1:$B$1000,0),MATCH(data!AG$1,Haver_M!$B$1:$ZN$1,0))),INDEX(Haver_M!$B$1:$ZN$1000,MATCH(data!$A91,Haver_M!$B$1:$B$1000,0),MATCH(data!AG$1,Haver_M!$B$1:$ZN$1,0)),"na")</f>
        <v>na</v>
      </c>
      <c r="AH91" t="str">
        <f>IF(ISNUMBER(INDEX(Haver_M!$B$1:$ZN$1000,MATCH(data!$A91,Haver_M!$B$1:$B$1000,0),MATCH(data!AH$1,Haver_M!$B$1:$ZN$1,0))),INDEX(Haver_M!$B$1:$ZN$1000,MATCH(data!$A91,Haver_M!$B$1:$B$1000,0),MATCH(data!AH$1,Haver_M!$B$1:$ZN$1,0)),"na")</f>
        <v>na</v>
      </c>
      <c r="AI91" t="str">
        <f>IF(ISNUMBER(INDEX(Haver_M!$B$1:$ZN$1000,MATCH(data!$A91,Haver_M!$B$1:$B$1000,0),MATCH(data!AI$1,Haver_M!$B$1:$ZN$1,0))),INDEX(Haver_M!$B$1:$ZN$1000,MATCH(data!$A91,Haver_M!$B$1:$B$1000,0),MATCH(data!AI$1,Haver_M!$B$1:$ZN$1,0)),"na")</f>
        <v>na</v>
      </c>
      <c r="AJ91" t="str">
        <f>IF(ISNUMBER(INDEX(Haver_M!$B$1:$ZN$1000,MATCH(data!$A91,Haver_M!$B$1:$B$1000,0),MATCH(data!AJ$1,Haver_M!$B$1:$ZN$1,0))),INDEX(Haver_M!$B$1:$ZN$1000,MATCH(data!$A91,Haver_M!$B$1:$B$1000,0),MATCH(data!AJ$1,Haver_M!$B$1:$ZN$1,0)),"na")</f>
        <v>na</v>
      </c>
      <c r="AK91" t="str">
        <f>IF(ISNUMBER(INDEX(Haver_M!$B$1:$ZN$1000,MATCH(data!$A91,Haver_M!$B$1:$B$1000,0),MATCH(data!AK$1,Haver_M!$B$1:$ZN$1,0))),INDEX(Haver_M!$B$1:$ZN$1000,MATCH(data!$A91,Haver_M!$B$1:$B$1000,0),MATCH(data!AK$1,Haver_M!$B$1:$ZN$1,0)),"na")</f>
        <v>na</v>
      </c>
      <c r="AL91" t="str">
        <f>IF(ISNUMBER(INDEX(Haver_M!$B$1:$ZN$1000,MATCH(data!$A91,Haver_M!$B$1:$B$1000,0),MATCH(data!AL$1,Haver_M!$B$1:$ZN$1,0))),INDEX(Haver_M!$B$1:$ZN$1000,MATCH(data!$A91,Haver_M!$B$1:$B$1000,0),MATCH(data!AL$1,Haver_M!$B$1:$ZN$1,0)),"na")</f>
        <v>na</v>
      </c>
      <c r="AM91" t="str">
        <f>IF(ISNUMBER(INDEX(Haver_M!$B$1:$ZN$1000,MATCH(data!$A91,Haver_M!$B$1:$B$1000,0),MATCH(data!AM$1,Haver_M!$B$1:$ZN$1,0))),INDEX(Haver_M!$B$1:$ZN$1000,MATCH(data!$A91,Haver_M!$B$1:$B$1000,0),MATCH(data!AM$1,Haver_M!$B$1:$ZN$1,0)),"na")</f>
        <v>na</v>
      </c>
      <c r="AN91" t="str">
        <f>IF(ISNUMBER(INDEX(Haver_M!$B$1:$ZN$1000,MATCH(data!$A91,Haver_M!$B$1:$B$1000,0),MATCH(data!AN$1,Haver_M!$B$1:$ZN$1,0))),INDEX(Haver_M!$B$1:$ZN$1000,MATCH(data!$A91,Haver_M!$B$1:$B$1000,0),MATCH(data!AN$1,Haver_M!$B$1:$ZN$1,0)),"na")</f>
        <v>na</v>
      </c>
      <c r="AO91" t="str">
        <f>IF(ISNUMBER(INDEX(Haver_M!$B$1:$ZN$1000,MATCH(data!$A91,Haver_M!$B$1:$B$1000,0),MATCH(data!AO$1,Haver_M!$B$1:$ZN$1,0))),INDEX(Haver_M!$B$1:$ZN$1000,MATCH(data!$A91,Haver_M!$B$1:$B$1000,0),MATCH(data!AO$1,Haver_M!$B$1:$ZN$1,0)),"na")</f>
        <v>na</v>
      </c>
      <c r="AP91" t="str">
        <f>IF(ISNUMBER(INDEX(Haver_M!$B$1:$ZN$1000,MATCH(data!$A91,Haver_M!$B$1:$B$1000,0),MATCH(data!AP$1,Haver_M!$B$1:$ZN$1,0))),INDEX(Haver_M!$B$1:$ZN$1000,MATCH(data!$A91,Haver_M!$B$1:$B$1000,0),MATCH(data!AP$1,Haver_M!$B$1:$ZN$1,0)),"na")</f>
        <v>na</v>
      </c>
      <c r="AQ91" t="str">
        <f>IF(ISNUMBER(INDEX(Haver_M!$B$1:$ZN$1000,MATCH(data!$A91,Haver_M!$B$1:$B$1000,0),MATCH(data!AQ$1,Haver_M!$B$1:$ZN$1,0))),INDEX(Haver_M!$B$1:$ZN$1000,MATCH(data!$A91,Haver_M!$B$1:$B$1000,0),MATCH(data!AQ$1,Haver_M!$B$1:$ZN$1,0)),"na")</f>
        <v>na</v>
      </c>
      <c r="AR91" t="str">
        <f>IF(ISNUMBER(INDEX(Haver_M!$B$1:$ZN$1000,MATCH(data!$A91,Haver_M!$B$1:$B$1000,0),MATCH(data!AR$1,Haver_M!$B$1:$ZN$1,0))),INDEX(Haver_M!$B$1:$ZN$1000,MATCH(data!$A91,Haver_M!$B$1:$B$1000,0),MATCH(data!AR$1,Haver_M!$B$1:$ZN$1,0)),"na")</f>
        <v>na</v>
      </c>
      <c r="AS91">
        <f>IF(ISNUMBER(INDEX(Haver_M!$B$1:$ZN$1000,MATCH(data!$A91,Haver_M!$B$1:$B$1000,0),MATCH(data!AS$1,Haver_M!$B$1:$ZN$1,0))),INDEX(Haver_M!$B$1:$ZN$1000,MATCH(data!$A91,Haver_M!$B$1:$B$1000,0),MATCH(data!AS$1,Haver_M!$B$1:$ZN$1,0)),"na")</f>
        <v>31647.54</v>
      </c>
      <c r="AT91">
        <f>IF(ISNUMBER(INDEX(Haver_M!$B$1:$ZN$1000,MATCH(data!$A91,Haver_M!$B$1:$B$1000,0),MATCH(data!AT$1,Haver_M!$B$1:$ZN$1,0))),INDEX(Haver_M!$B$1:$ZN$1000,MATCH(data!$A91,Haver_M!$B$1:$B$1000,0),MATCH(data!AT$1,Haver_M!$B$1:$ZN$1,0)),"na")</f>
        <v>95.64</v>
      </c>
      <c r="AU91">
        <f>IF(ISNUMBER(INDEX(Haver_M!$B$1:$ZN$1000,MATCH(data!$A91,Haver_M!$B$1:$B$1000,0),MATCH(data!AU$1,Haver_M!$B$1:$ZN$1,0))),INDEX(Haver_M!$B$1:$ZN$1000,MATCH(data!$A91,Haver_M!$B$1:$B$1000,0),MATCH(data!AU$1,Haver_M!$B$1:$ZN$1,0)),"na")</f>
        <v>91.765106000000003</v>
      </c>
      <c r="AV91">
        <f>IF(ISNUMBER(INDEX(Haver_M!$B$1:$ZN$1000,MATCH(data!$A91,Haver_M!$B$1:$B$1000,0),MATCH(data!AV$1,Haver_M!$B$1:$ZN$1,0))),INDEX(Haver_M!$B$1:$ZN$1000,MATCH(data!$A91,Haver_M!$B$1:$B$1000,0),MATCH(data!AV$1,Haver_M!$B$1:$ZN$1,0)),"na")</f>
        <v>89.8</v>
      </c>
      <c r="AW91">
        <f>IF(ISNUMBER(INDEX(Haver_M!$B$1:$ZN$1000,MATCH(data!$A91,Haver_M!$B$1:$B$1000,0),MATCH(data!AW$1,Haver_M!$B$1:$ZN$1,0))),INDEX(Haver_M!$B$1:$ZN$1000,MATCH(data!$A91,Haver_M!$B$1:$B$1000,0),MATCH(data!AW$1,Haver_M!$B$1:$ZN$1,0)),"na")</f>
        <v>1088976.8380921804</v>
      </c>
      <c r="AX91">
        <f>IF(ISNUMBER(INDEX(Haver_M!$B$1:$ZN$1000,MATCH(data!$A91,Haver_M!$B$1:$B$1000,0),MATCH(data!AX$1,Haver_M!$B$1:$ZN$1,0))),INDEX(Haver_M!$B$1:$ZN$1000,MATCH(data!$A91,Haver_M!$B$1:$B$1000,0),MATCH(data!AX$1,Haver_M!$B$1:$ZN$1,0)),"na")</f>
        <v>3169</v>
      </c>
      <c r="AY91">
        <f>IF(ISNUMBER(INDEX(Haver_M!$B$1:$ZN$1000,MATCH(data!$A91,Haver_M!$B$1:$B$1000,0),MATCH(data!AY$1,Haver_M!$B$1:$ZN$1,0))),INDEX(Haver_M!$B$1:$ZN$1000,MATCH(data!$A91,Haver_M!$B$1:$B$1000,0),MATCH(data!AY$1,Haver_M!$B$1:$ZN$1,0)),"na")</f>
        <v>1737</v>
      </c>
      <c r="AZ91">
        <f>IF(ISNUMBER(INDEX(Haver_M!$B$1:$ZN$1000,MATCH(data!$A91,Haver_M!$B$1:$B$1000,0),MATCH(data!AZ$1,Haver_M!$B$1:$ZN$1,0))),INDEX(Haver_M!$B$1:$ZN$1000,MATCH(data!$A91,Haver_M!$B$1:$B$1000,0),MATCH(data!AZ$1,Haver_M!$B$1:$ZN$1,0)),"na")</f>
        <v>52.2</v>
      </c>
      <c r="BA91">
        <f>IF(ISNUMBER(INDEX(Haver_M!$B$1:$ZN$1000,MATCH(data!$A91,Haver_M!$B$1:$B$1000,0),MATCH(data!BA$1,Haver_M!$B$1:$ZN$1,0))),INDEX(Haver_M!$B$1:$ZN$1000,MATCH(data!$A91,Haver_M!$B$1:$B$1000,0),MATCH(data!BA$1,Haver_M!$B$1:$ZN$1,0)),"na")</f>
        <v>95.643579356856407</v>
      </c>
      <c r="BB91" t="str">
        <f>IF(ISNUMBER(INDEX(Haver_M!$B$1:$ZN$1000,MATCH(data!$A91,Haver_M!$B$1:$B$1000,0),MATCH(data!BB$1,Haver_M!$B$1:$ZN$1,0))),INDEX(Haver_M!$B$1:$ZN$1000,MATCH(data!$A91,Haver_M!$B$1:$B$1000,0),MATCH(data!BB$1,Haver_M!$B$1:$ZN$1,0)),"")</f>
        <v/>
      </c>
    </row>
    <row r="92" spans="1:54" x14ac:dyDescent="0.25">
      <c r="A92" s="2">
        <v>39294</v>
      </c>
      <c r="B92" t="str">
        <f>IF(ISNUMBER(INDEX(Haver_Q!$B$1:$BD$1000,MATCH(data!$A92,Haver_Q!$B$1:$B$1000,0),MATCH(data!B$1,Haver_Q!$B$1:$BD$1,0))),100*INDEX(Haver_Q!$B$1:$BD$1000,MATCH(data!$A92,Haver_Q!$B$1:$B$1000,0),MATCH(data!B$1,Haver_Q!$B$1:$BD$1,0)),"na")</f>
        <v>na</v>
      </c>
      <c r="C92" t="str">
        <f>IF(ISNUMBER(INDEX(Haver_Q!$B$1:$BD$1000,MATCH(data!$A92,Haver_Q!$B$1:$B$1000,0),MATCH(data!C$1,Haver_Q!$B$1:$BD$1,0))),100*INDEX(Haver_Q!$B$1:$BD$1000,MATCH(data!$A92,Haver_Q!$B$1:$B$1000,0),MATCH(data!C$1,Haver_Q!$B$1:$BD$1,0)),"na")</f>
        <v>na</v>
      </c>
      <c r="D92" t="str">
        <f>IF(ISNUMBER(INDEX(Haver_Q!$B$1:$BD$1000,MATCH(data!$A92,Haver_Q!$B$1:$B$1000,0),MATCH(data!D$1,Haver_Q!$B$1:$BD$1,0))),100*INDEX(Haver_Q!$B$1:$BD$1000,MATCH(data!$A92,Haver_Q!$B$1:$B$1000,0),MATCH(data!D$1,Haver_Q!$B$1:$BD$1,0)),"na")</f>
        <v>na</v>
      </c>
      <c r="E92" t="str">
        <f>IF(ISNUMBER(INDEX(Haver_Q!$B$1:$BD$1000,MATCH(data!$A92,Haver_Q!$B$1:$B$1000,0),MATCH(data!E$1,Haver_Q!$B$1:$BD$1,0))),100*INDEX(Haver_Q!$B$1:$BD$1000,MATCH(data!$A92,Haver_Q!$B$1:$B$1000,0),MATCH(data!E$1,Haver_Q!$B$1:$BD$1,0)),"na")</f>
        <v>na</v>
      </c>
      <c r="F92" t="str">
        <f>IF(ISNUMBER(INDEX(Haver_Q!$B$1:$BD$1000,MATCH(data!$A92,Haver_Q!$B$1:$B$1000,0),MATCH(data!F$1,Haver_Q!$B$1:$BD$1,0))),100*INDEX(Haver_Q!$B$1:$BD$1000,MATCH(data!$A92,Haver_Q!$B$1:$B$1000,0),MATCH(data!F$1,Haver_Q!$B$1:$BD$1,0)),"na")</f>
        <v>na</v>
      </c>
      <c r="G92" t="str">
        <f>IF(ISNUMBER(INDEX(Haver_Q!$B$1:$BD$1000,MATCH(data!$A92,Haver_Q!$B$1:$B$1000,0),MATCH(data!G$1,Haver_Q!$B$1:$BD$1,0))),100*INDEX(Haver_Q!$B$1:$BD$1000,MATCH(data!$A92,Haver_Q!$B$1:$B$1000,0),MATCH(data!G$1,Haver_Q!$B$1:$BD$1,0)),"na")</f>
        <v>na</v>
      </c>
      <c r="H92" t="str">
        <f>IF(ISNUMBER(INDEX(Haver_Q!$B$1:$BD$1000,MATCH(data!$A92,Haver_Q!$B$1:$B$1000,0),MATCH(data!H$1,Haver_Q!$B$1:$BD$1,0))),100*INDEX(Haver_Q!$B$1:$BD$1000,MATCH(data!$A92,Haver_Q!$B$1:$B$1000,0),MATCH(data!H$1,Haver_Q!$B$1:$BD$1,0)),"na")</f>
        <v>na</v>
      </c>
      <c r="I92" s="3">
        <f>IF(ISNUMBER(Bloomberg_m!C108),Bloomberg_m!C108,"na")</f>
        <v>6572</v>
      </c>
      <c r="J92" s="3" t="str">
        <f>IF(ISNUMBER(Bloomberg_m!D108),Bloomberg_m!D108,"na")</f>
        <v>na</v>
      </c>
      <c r="K92" s="3" t="str">
        <f>IF(ISNUMBER(Bloomberg_m!E108),Bloomberg_m!E108,"na")</f>
        <v>na</v>
      </c>
      <c r="L92" s="3">
        <f>IF(ISNUMBER(Bloomberg_m!L108),Bloomberg_m!L108,"na")</f>
        <v>74.14</v>
      </c>
      <c r="M92" t="str">
        <f>IF(ISNUMBER(INDEX(Haver_M!$B$1:$ZN$1000,MATCH(data!$A92,Haver_M!$B$1:$B$1000,0),MATCH(data!M$1,Haver_M!$B$1:$ZN$1,0))),INDEX(Haver_M!$B$1:$ZN$1000,MATCH(data!$A92,Haver_M!$B$1:$B$1000,0),MATCH(data!M$1,Haver_M!$B$1:$ZN$1,0)),"na")</f>
        <v>na</v>
      </c>
      <c r="N92" t="str">
        <f>IF(ISNUMBER(INDEX(Haver_M!$B$1:$ZN$1000,MATCH(data!$A92,Haver_M!$B$1:$B$1000,0),MATCH(data!N$1,Haver_M!$B$1:$ZN$1,0))),INDEX(Haver_M!$B$1:$ZN$1000,MATCH(data!$A92,Haver_M!$B$1:$B$1000,0),MATCH(data!N$1,Haver_M!$B$1:$ZN$1,0)),"na")</f>
        <v>na</v>
      </c>
      <c r="O92">
        <f>IF(ISNUMBER(INDEX(Haver_M!$B$1:$ZN$1000,MATCH(data!$A92,Haver_M!$B$1:$B$1000,0),MATCH(data!O$1,Haver_M!$B$1:$ZN$1,0))),INDEX(Haver_M!$B$1:$ZN$1000,MATCH(data!$A92,Haver_M!$B$1:$B$1000,0),MATCH(data!O$1,Haver_M!$B$1:$ZN$1,0)),"na")</f>
        <v>109.45583999999999</v>
      </c>
      <c r="P92">
        <f>IF(ISNUMBER(INDEX(Haver_M!$B$1:$ZN$1000,MATCH(data!$A92,Haver_M!$B$1:$B$1000,0),MATCH(data!P$1,Haver_M!$B$1:$ZN$1,0))),INDEX(Haver_M!$B$1:$ZN$1000,MATCH(data!$A92,Haver_M!$B$1:$B$1000,0),MATCH(data!P$1,Haver_M!$B$1:$ZN$1,0)),"na")</f>
        <v>63.7059</v>
      </c>
      <c r="Q92">
        <f>IF(ISNUMBER(INDEX(Haver_M!$B$1:$ZN$1000,MATCH(data!$A92,Haver_M!$B$1:$B$1000,0),MATCH(data!Q$1,Haver_M!$B$1:$ZN$1,0))),INDEX(Haver_M!$B$1:$ZN$1000,MATCH(data!$A92,Haver_M!$B$1:$B$1000,0),MATCH(data!Q$1,Haver_M!$B$1:$ZN$1,0)),"na")</f>
        <v>67.5334</v>
      </c>
      <c r="R92">
        <f>IF(ISNUMBER(INDEX(Haver_M!$B$1:$ZN$1000,MATCH(data!$A92,Haver_M!$B$1:$B$1000,0),MATCH(data!R$1,Haver_M!$B$1:$ZN$1,0))),INDEX(Haver_M!$B$1:$ZN$1000,MATCH(data!$A92,Haver_M!$B$1:$B$1000,0),MATCH(data!R$1,Haver_M!$B$1:$ZN$1,0)),"na")</f>
        <v>99.452799999999996</v>
      </c>
      <c r="S92">
        <f>IF(ISNUMBER(INDEX(Haver_M!$B$1:$ZN$1000,MATCH(data!$A92,Haver_M!$B$1:$B$1000,0),MATCH(data!S$1,Haver_M!$B$1:$ZN$1,0))),INDEX(Haver_M!$B$1:$ZN$1000,MATCH(data!$A92,Haver_M!$B$1:$B$1000,0),MATCH(data!S$1,Haver_M!$B$1:$ZN$1,0)),"na")</f>
        <v>111.9615</v>
      </c>
      <c r="T92">
        <f>IF(ISNUMBER(INDEX(Haver_M!$B$1:$ZN$1000,MATCH(data!$A92,Haver_M!$B$1:$B$1000,0),MATCH(data!T$1,Haver_M!$B$1:$ZN$1,0))),INDEX(Haver_M!$B$1:$ZN$1000,MATCH(data!$A92,Haver_M!$B$1:$B$1000,0),MATCH(data!T$1,Haver_M!$B$1:$ZN$1,0)),"na")</f>
        <v>85.992000000000004</v>
      </c>
      <c r="U92">
        <f>IF(ISNUMBER(INDEX(Haver_M!$B$1:$ZN$1000,MATCH(data!$A92,Haver_M!$B$1:$B$1000,0),MATCH(data!U$1,Haver_M!$B$1:$ZN$1,0))),INDEX(Haver_M!$B$1:$ZN$1000,MATCH(data!$A92,Haver_M!$B$1:$B$1000,0),MATCH(data!U$1,Haver_M!$B$1:$ZN$1,0)),"na")</f>
        <v>96.212500000000006</v>
      </c>
      <c r="V92">
        <f>IF(ISNUMBER(INDEX(Haver_M!$B$1:$ZN$1000,MATCH(data!$A92,Haver_M!$B$1:$B$1000,0),MATCH(data!V$1,Haver_M!$B$1:$ZN$1,0))),INDEX(Haver_M!$B$1:$ZN$1000,MATCH(data!$A92,Haver_M!$B$1:$B$1000,0),MATCH(data!V$1,Haver_M!$B$1:$ZN$1,0)),"na")</f>
        <v>97.047899999999998</v>
      </c>
      <c r="W92">
        <f>IF(ISNUMBER(INDEX(Haver_M!$B$1:$ZN$1000,MATCH(data!$A92,Haver_M!$B$1:$B$1000,0),MATCH(data!W$1,Haver_M!$B$1:$ZN$1,0))),INDEX(Haver_M!$B$1:$ZN$1000,MATCH(data!$A92,Haver_M!$B$1:$B$1000,0),MATCH(data!W$1,Haver_M!$B$1:$ZN$1,0)),"na")</f>
        <v>3.6</v>
      </c>
      <c r="X92">
        <f>IF(ISNUMBER(INDEX(Haver_M!$B$1:$ZN$1000,MATCH(data!$A92,Haver_M!$B$1:$B$1000,0),MATCH(data!X$1,Haver_M!$B$1:$ZN$1,0))),INDEX(Haver_M!$B$1:$ZN$1000,MATCH(data!$A92,Haver_M!$B$1:$B$1000,0),MATCH(data!X$1,Haver_M!$B$1:$ZN$1,0)),"na")</f>
        <v>100</v>
      </c>
      <c r="Y92">
        <f>IF(ISNUMBER(INDEX(Haver_M!$B$1:$ZN$1000,MATCH(data!$A92,Haver_M!$B$1:$B$1000,0),MATCH(data!Y$1,Haver_M!$B$1:$ZN$1,0))),INDEX(Haver_M!$B$1:$ZN$1000,MATCH(data!$A92,Haver_M!$B$1:$B$1000,0),MATCH(data!Y$1,Haver_M!$B$1:$ZN$1,0)),"na")</f>
        <v>102.19</v>
      </c>
      <c r="Z92">
        <f>IF(ISNUMBER(INDEX(Haver_M!$B$1:$ZN$1000,MATCH(data!$A92,Haver_M!$B$1:$B$1000,0),MATCH(data!Z$1,Haver_M!$B$1:$ZN$1,0))),INDEX(Haver_M!$B$1:$ZN$1000,MATCH(data!$A92,Haver_M!$B$1:$B$1000,0),MATCH(data!Z$1,Haver_M!$B$1:$ZN$1,0)),"na")</f>
        <v>97.409199999999998</v>
      </c>
      <c r="AA92" t="str">
        <f>IF(ISNUMBER(INDEX(Haver_M!$B$1:$ZN$1000,MATCH(data!$A92,Haver_M!$B$1:$B$1000,0),MATCH(data!AA$1,Haver_M!$B$1:$ZN$1,0))),INDEX(Haver_M!$B$1:$ZN$1000,MATCH(data!$A92,Haver_M!$B$1:$B$1000,0),MATCH(data!AA$1,Haver_M!$B$1:$ZN$1,0)),"na")</f>
        <v>na</v>
      </c>
      <c r="AB92">
        <f>IF(ISNUMBER(INDEX(Haver_M!$B$1:$ZN$1000,MATCH(data!$A92,Haver_M!$B$1:$B$1000,0),MATCH(data!AB$1,Haver_M!$B$1:$ZN$1,0))),INDEX(Haver_M!$B$1:$ZN$1000,MATCH(data!$A92,Haver_M!$B$1:$B$1000,0),MATCH(data!AB$1,Haver_M!$B$1:$ZN$1,0)),"na")</f>
        <v>22444.400000000001</v>
      </c>
      <c r="AC92">
        <f>IF(ISNUMBER(INDEX(Haver_M!$B$1:$ZN$1000,MATCH(data!$A92,Haver_M!$B$1:$B$1000,0),MATCH(data!AC$1,Haver_M!$B$1:$ZN$1,0))),INDEX(Haver_M!$B$1:$ZN$1000,MATCH(data!$A92,Haver_M!$B$1:$B$1000,0),MATCH(data!AC$1,Haver_M!$B$1:$ZN$1,0)),"na")</f>
        <v>23197.7</v>
      </c>
      <c r="AD92">
        <f>IF(ISNUMBER(INDEX(Haver_M!$B$1:$ZN$1000,MATCH(data!$A92,Haver_M!$B$1:$B$1000,0),MATCH(data!AD$1,Haver_M!$B$1:$ZN$1,0))),INDEX(Haver_M!$B$1:$ZN$1000,MATCH(data!$A92,Haver_M!$B$1:$B$1000,0),MATCH(data!AD$1,Haver_M!$B$1:$ZN$1,0)),"na")</f>
        <v>101.29</v>
      </c>
      <c r="AE92">
        <f>IF(ISNUMBER(INDEX(Haver_M!$B$1:$ZN$1000,MATCH(data!$A92,Haver_M!$B$1:$B$1000,0),MATCH(data!AE$1,Haver_M!$B$1:$ZN$1,0))),INDEX(Haver_M!$B$1:$ZN$1000,MATCH(data!$A92,Haver_M!$B$1:$B$1000,0),MATCH(data!AE$1,Haver_M!$B$1:$ZN$1,0)),"na")</f>
        <v>42.9</v>
      </c>
      <c r="AF92">
        <f>IF(ISNUMBER(INDEX(Haver_M!$B$1:$ZN$1000,MATCH(data!$A92,Haver_M!$B$1:$B$1000,0),MATCH(data!AF$1,Haver_M!$B$1:$ZN$1,0))),INDEX(Haver_M!$B$1:$ZN$1000,MATCH(data!$A92,Haver_M!$B$1:$B$1000,0),MATCH(data!AF$1,Haver_M!$B$1:$ZN$1,0)),"na")</f>
        <v>101.68</v>
      </c>
      <c r="AG92" t="str">
        <f>IF(ISNUMBER(INDEX(Haver_M!$B$1:$ZN$1000,MATCH(data!$A92,Haver_M!$B$1:$B$1000,0),MATCH(data!AG$1,Haver_M!$B$1:$ZN$1,0))),INDEX(Haver_M!$B$1:$ZN$1000,MATCH(data!$A92,Haver_M!$B$1:$B$1000,0),MATCH(data!AG$1,Haver_M!$B$1:$ZN$1,0)),"na")</f>
        <v>na</v>
      </c>
      <c r="AH92" t="str">
        <f>IF(ISNUMBER(INDEX(Haver_M!$B$1:$ZN$1000,MATCH(data!$A92,Haver_M!$B$1:$B$1000,0),MATCH(data!AH$1,Haver_M!$B$1:$ZN$1,0))),INDEX(Haver_M!$B$1:$ZN$1000,MATCH(data!$A92,Haver_M!$B$1:$B$1000,0),MATCH(data!AH$1,Haver_M!$B$1:$ZN$1,0)),"na")</f>
        <v>na</v>
      </c>
      <c r="AI92" t="str">
        <f>IF(ISNUMBER(INDEX(Haver_M!$B$1:$ZN$1000,MATCH(data!$A92,Haver_M!$B$1:$B$1000,0),MATCH(data!AI$1,Haver_M!$B$1:$ZN$1,0))),INDEX(Haver_M!$B$1:$ZN$1000,MATCH(data!$A92,Haver_M!$B$1:$B$1000,0),MATCH(data!AI$1,Haver_M!$B$1:$ZN$1,0)),"na")</f>
        <v>na</v>
      </c>
      <c r="AJ92" t="str">
        <f>IF(ISNUMBER(INDEX(Haver_M!$B$1:$ZN$1000,MATCH(data!$A92,Haver_M!$B$1:$B$1000,0),MATCH(data!AJ$1,Haver_M!$B$1:$ZN$1,0))),INDEX(Haver_M!$B$1:$ZN$1000,MATCH(data!$A92,Haver_M!$B$1:$B$1000,0),MATCH(data!AJ$1,Haver_M!$B$1:$ZN$1,0)),"na")</f>
        <v>na</v>
      </c>
      <c r="AK92" t="str">
        <f>IF(ISNUMBER(INDEX(Haver_M!$B$1:$ZN$1000,MATCH(data!$A92,Haver_M!$B$1:$B$1000,0),MATCH(data!AK$1,Haver_M!$B$1:$ZN$1,0))),INDEX(Haver_M!$B$1:$ZN$1000,MATCH(data!$A92,Haver_M!$B$1:$B$1000,0),MATCH(data!AK$1,Haver_M!$B$1:$ZN$1,0)),"na")</f>
        <v>na</v>
      </c>
      <c r="AL92" t="str">
        <f>IF(ISNUMBER(INDEX(Haver_M!$B$1:$ZN$1000,MATCH(data!$A92,Haver_M!$B$1:$B$1000,0),MATCH(data!AL$1,Haver_M!$B$1:$ZN$1,0))),INDEX(Haver_M!$B$1:$ZN$1000,MATCH(data!$A92,Haver_M!$B$1:$B$1000,0),MATCH(data!AL$1,Haver_M!$B$1:$ZN$1,0)),"na")</f>
        <v>na</v>
      </c>
      <c r="AM92" t="str">
        <f>IF(ISNUMBER(INDEX(Haver_M!$B$1:$ZN$1000,MATCH(data!$A92,Haver_M!$B$1:$B$1000,0),MATCH(data!AM$1,Haver_M!$B$1:$ZN$1,0))),INDEX(Haver_M!$B$1:$ZN$1000,MATCH(data!$A92,Haver_M!$B$1:$B$1000,0),MATCH(data!AM$1,Haver_M!$B$1:$ZN$1,0)),"na")</f>
        <v>na</v>
      </c>
      <c r="AN92" t="str">
        <f>IF(ISNUMBER(INDEX(Haver_M!$B$1:$ZN$1000,MATCH(data!$A92,Haver_M!$B$1:$B$1000,0),MATCH(data!AN$1,Haver_M!$B$1:$ZN$1,0))),INDEX(Haver_M!$B$1:$ZN$1000,MATCH(data!$A92,Haver_M!$B$1:$B$1000,0),MATCH(data!AN$1,Haver_M!$B$1:$ZN$1,0)),"na")</f>
        <v>na</v>
      </c>
      <c r="AO92" t="str">
        <f>IF(ISNUMBER(INDEX(Haver_M!$B$1:$ZN$1000,MATCH(data!$A92,Haver_M!$B$1:$B$1000,0),MATCH(data!AO$1,Haver_M!$B$1:$ZN$1,0))),INDEX(Haver_M!$B$1:$ZN$1000,MATCH(data!$A92,Haver_M!$B$1:$B$1000,0),MATCH(data!AO$1,Haver_M!$B$1:$ZN$1,0)),"na")</f>
        <v>na</v>
      </c>
      <c r="AP92" t="str">
        <f>IF(ISNUMBER(INDEX(Haver_M!$B$1:$ZN$1000,MATCH(data!$A92,Haver_M!$B$1:$B$1000,0),MATCH(data!AP$1,Haver_M!$B$1:$ZN$1,0))),INDEX(Haver_M!$B$1:$ZN$1000,MATCH(data!$A92,Haver_M!$B$1:$B$1000,0),MATCH(data!AP$1,Haver_M!$B$1:$ZN$1,0)),"na")</f>
        <v>na</v>
      </c>
      <c r="AQ92" t="str">
        <f>IF(ISNUMBER(INDEX(Haver_M!$B$1:$ZN$1000,MATCH(data!$A92,Haver_M!$B$1:$B$1000,0),MATCH(data!AQ$1,Haver_M!$B$1:$ZN$1,0))),INDEX(Haver_M!$B$1:$ZN$1000,MATCH(data!$A92,Haver_M!$B$1:$B$1000,0),MATCH(data!AQ$1,Haver_M!$B$1:$ZN$1,0)),"na")</f>
        <v>na</v>
      </c>
      <c r="AR92" t="str">
        <f>IF(ISNUMBER(INDEX(Haver_M!$B$1:$ZN$1000,MATCH(data!$A92,Haver_M!$B$1:$B$1000,0),MATCH(data!AR$1,Haver_M!$B$1:$ZN$1,0))),INDEX(Haver_M!$B$1:$ZN$1000,MATCH(data!$A92,Haver_M!$B$1:$B$1000,0),MATCH(data!AR$1,Haver_M!$B$1:$ZN$1,0)),"na")</f>
        <v>na</v>
      </c>
      <c r="AS92">
        <f>IF(ISNUMBER(INDEX(Haver_M!$B$1:$ZN$1000,MATCH(data!$A92,Haver_M!$B$1:$B$1000,0),MATCH(data!AS$1,Haver_M!$B$1:$ZN$1,0))),INDEX(Haver_M!$B$1:$ZN$1000,MATCH(data!$A92,Haver_M!$B$1:$B$1000,0),MATCH(data!AS$1,Haver_M!$B$1:$ZN$1,0)),"na")</f>
        <v>31702.560000000001</v>
      </c>
      <c r="AT92">
        <f>IF(ISNUMBER(INDEX(Haver_M!$B$1:$ZN$1000,MATCH(data!$A92,Haver_M!$B$1:$B$1000,0),MATCH(data!AT$1,Haver_M!$B$1:$ZN$1,0))),INDEX(Haver_M!$B$1:$ZN$1000,MATCH(data!$A92,Haver_M!$B$1:$B$1000,0),MATCH(data!AT$1,Haver_M!$B$1:$ZN$1,0)),"na")</f>
        <v>94.832999999999998</v>
      </c>
      <c r="AU92">
        <f>IF(ISNUMBER(INDEX(Haver_M!$B$1:$ZN$1000,MATCH(data!$A92,Haver_M!$B$1:$B$1000,0),MATCH(data!AU$1,Haver_M!$B$1:$ZN$1,0))),INDEX(Haver_M!$B$1:$ZN$1000,MATCH(data!$A92,Haver_M!$B$1:$B$1000,0),MATCH(data!AU$1,Haver_M!$B$1:$ZN$1,0)),"na")</f>
        <v>91.824121000000005</v>
      </c>
      <c r="AV92">
        <f>IF(ISNUMBER(INDEX(Haver_M!$B$1:$ZN$1000,MATCH(data!$A92,Haver_M!$B$1:$B$1000,0),MATCH(data!AV$1,Haver_M!$B$1:$ZN$1,0))),INDEX(Haver_M!$B$1:$ZN$1000,MATCH(data!$A92,Haver_M!$B$1:$B$1000,0),MATCH(data!AV$1,Haver_M!$B$1:$ZN$1,0)),"na")</f>
        <v>91.7</v>
      </c>
      <c r="AW92">
        <f>IF(ISNUMBER(INDEX(Haver_M!$B$1:$ZN$1000,MATCH(data!$A92,Haver_M!$B$1:$B$1000,0),MATCH(data!AW$1,Haver_M!$B$1:$ZN$1,0))),INDEX(Haver_M!$B$1:$ZN$1000,MATCH(data!$A92,Haver_M!$B$1:$B$1000,0),MATCH(data!AW$1,Haver_M!$B$1:$ZN$1,0)),"na")</f>
        <v>1079582.0753894437</v>
      </c>
      <c r="AX92">
        <f>IF(ISNUMBER(INDEX(Haver_M!$B$1:$ZN$1000,MATCH(data!$A92,Haver_M!$B$1:$B$1000,0),MATCH(data!AX$1,Haver_M!$B$1:$ZN$1,0))),INDEX(Haver_M!$B$1:$ZN$1000,MATCH(data!$A92,Haver_M!$B$1:$B$1000,0),MATCH(data!AX$1,Haver_M!$B$1:$ZN$1,0)),"na")</f>
        <v>3186</v>
      </c>
      <c r="AY92">
        <f>IF(ISNUMBER(INDEX(Haver_M!$B$1:$ZN$1000,MATCH(data!$A92,Haver_M!$B$1:$B$1000,0),MATCH(data!AY$1,Haver_M!$B$1:$ZN$1,0))),INDEX(Haver_M!$B$1:$ZN$1000,MATCH(data!$A92,Haver_M!$B$1:$B$1000,0),MATCH(data!AY$1,Haver_M!$B$1:$ZN$1,0)),"na")</f>
        <v>1758</v>
      </c>
      <c r="AZ92">
        <f>IF(ISNUMBER(INDEX(Haver_M!$B$1:$ZN$1000,MATCH(data!$A92,Haver_M!$B$1:$B$1000,0),MATCH(data!AZ$1,Haver_M!$B$1:$ZN$1,0))),INDEX(Haver_M!$B$1:$ZN$1000,MATCH(data!$A92,Haver_M!$B$1:$B$1000,0),MATCH(data!AZ$1,Haver_M!$B$1:$ZN$1,0)),"na")</f>
        <v>51.7</v>
      </c>
      <c r="BA92">
        <f>IF(ISNUMBER(INDEX(Haver_M!$B$1:$ZN$1000,MATCH(data!$A92,Haver_M!$B$1:$B$1000,0),MATCH(data!BA$1,Haver_M!$B$1:$ZN$1,0))),INDEX(Haver_M!$B$1:$ZN$1000,MATCH(data!$A92,Haver_M!$B$1:$B$1000,0),MATCH(data!BA$1,Haver_M!$B$1:$ZN$1,0)),"na")</f>
        <v>45.797729964975623</v>
      </c>
      <c r="BB92" t="str">
        <f>IF(ISNUMBER(INDEX(Haver_M!$B$1:$ZN$1000,MATCH(data!$A92,Haver_M!$B$1:$B$1000,0),MATCH(data!BB$1,Haver_M!$B$1:$ZN$1,0))),INDEX(Haver_M!$B$1:$ZN$1000,MATCH(data!$A92,Haver_M!$B$1:$B$1000,0),MATCH(data!BB$1,Haver_M!$B$1:$ZN$1,0)),"")</f>
        <v/>
      </c>
    </row>
    <row r="93" spans="1:54" x14ac:dyDescent="0.25">
      <c r="A93" s="2">
        <v>39325</v>
      </c>
      <c r="B93" t="str">
        <f>IF(ISNUMBER(INDEX(Haver_Q!$B$1:$BD$1000,MATCH(data!$A93,Haver_Q!$B$1:$B$1000,0),MATCH(data!B$1,Haver_Q!$B$1:$BD$1,0))),100*INDEX(Haver_Q!$B$1:$BD$1000,MATCH(data!$A93,Haver_Q!$B$1:$B$1000,0),MATCH(data!B$1,Haver_Q!$B$1:$BD$1,0)),"na")</f>
        <v>na</v>
      </c>
      <c r="C93" t="str">
        <f>IF(ISNUMBER(INDEX(Haver_Q!$B$1:$BD$1000,MATCH(data!$A93,Haver_Q!$B$1:$B$1000,0),MATCH(data!C$1,Haver_Q!$B$1:$BD$1,0))),100*INDEX(Haver_Q!$B$1:$BD$1000,MATCH(data!$A93,Haver_Q!$B$1:$B$1000,0),MATCH(data!C$1,Haver_Q!$B$1:$BD$1,0)),"na")</f>
        <v>na</v>
      </c>
      <c r="D93" t="str">
        <f>IF(ISNUMBER(INDEX(Haver_Q!$B$1:$BD$1000,MATCH(data!$A93,Haver_Q!$B$1:$B$1000,0),MATCH(data!D$1,Haver_Q!$B$1:$BD$1,0))),100*INDEX(Haver_Q!$B$1:$BD$1000,MATCH(data!$A93,Haver_Q!$B$1:$B$1000,0),MATCH(data!D$1,Haver_Q!$B$1:$BD$1,0)),"na")</f>
        <v>na</v>
      </c>
      <c r="E93" t="str">
        <f>IF(ISNUMBER(INDEX(Haver_Q!$B$1:$BD$1000,MATCH(data!$A93,Haver_Q!$B$1:$B$1000,0),MATCH(data!E$1,Haver_Q!$B$1:$BD$1,0))),100*INDEX(Haver_Q!$B$1:$BD$1000,MATCH(data!$A93,Haver_Q!$B$1:$B$1000,0),MATCH(data!E$1,Haver_Q!$B$1:$BD$1,0)),"na")</f>
        <v>na</v>
      </c>
      <c r="F93" t="str">
        <f>IF(ISNUMBER(INDEX(Haver_Q!$B$1:$BD$1000,MATCH(data!$A93,Haver_Q!$B$1:$B$1000,0),MATCH(data!F$1,Haver_Q!$B$1:$BD$1,0))),100*INDEX(Haver_Q!$B$1:$BD$1000,MATCH(data!$A93,Haver_Q!$B$1:$B$1000,0),MATCH(data!F$1,Haver_Q!$B$1:$BD$1,0)),"na")</f>
        <v>na</v>
      </c>
      <c r="G93" t="str">
        <f>IF(ISNUMBER(INDEX(Haver_Q!$B$1:$BD$1000,MATCH(data!$A93,Haver_Q!$B$1:$B$1000,0),MATCH(data!G$1,Haver_Q!$B$1:$BD$1,0))),100*INDEX(Haver_Q!$B$1:$BD$1000,MATCH(data!$A93,Haver_Q!$B$1:$B$1000,0),MATCH(data!G$1,Haver_Q!$B$1:$BD$1,0)),"na")</f>
        <v>na</v>
      </c>
      <c r="H93" t="str">
        <f>IF(ISNUMBER(INDEX(Haver_Q!$B$1:$BD$1000,MATCH(data!$A93,Haver_Q!$B$1:$B$1000,0),MATCH(data!H$1,Haver_Q!$B$1:$BD$1,0))),100*INDEX(Haver_Q!$B$1:$BD$1000,MATCH(data!$A93,Haver_Q!$B$1:$B$1000,0),MATCH(data!H$1,Haver_Q!$B$1:$BD$1,0)),"na")</f>
        <v>na</v>
      </c>
      <c r="I93" s="3">
        <f>IF(ISNUMBER(Bloomberg_m!C109),Bloomberg_m!C109,"na")</f>
        <v>7195</v>
      </c>
      <c r="J93" s="3" t="str">
        <f>IF(ISNUMBER(Bloomberg_m!D109),Bloomberg_m!D109,"na")</f>
        <v>na</v>
      </c>
      <c r="K93" s="3" t="str">
        <f>IF(ISNUMBER(Bloomberg_m!E109),Bloomberg_m!E109,"na")</f>
        <v>na</v>
      </c>
      <c r="L93" s="3">
        <f>IF(ISNUMBER(Bloomberg_m!L109),Bloomberg_m!L109,"na")</f>
        <v>72.38</v>
      </c>
      <c r="M93" t="str">
        <f>IF(ISNUMBER(INDEX(Haver_M!$B$1:$ZN$1000,MATCH(data!$A93,Haver_M!$B$1:$B$1000,0),MATCH(data!M$1,Haver_M!$B$1:$ZN$1,0))),INDEX(Haver_M!$B$1:$ZN$1000,MATCH(data!$A93,Haver_M!$B$1:$B$1000,0),MATCH(data!M$1,Haver_M!$B$1:$ZN$1,0)),"na")</f>
        <v>na</v>
      </c>
      <c r="N93" t="str">
        <f>IF(ISNUMBER(INDEX(Haver_M!$B$1:$ZN$1000,MATCH(data!$A93,Haver_M!$B$1:$B$1000,0),MATCH(data!N$1,Haver_M!$B$1:$ZN$1,0))),INDEX(Haver_M!$B$1:$ZN$1000,MATCH(data!$A93,Haver_M!$B$1:$B$1000,0),MATCH(data!N$1,Haver_M!$B$1:$ZN$1,0)),"na")</f>
        <v>na</v>
      </c>
      <c r="O93">
        <f>IF(ISNUMBER(INDEX(Haver_M!$B$1:$ZN$1000,MATCH(data!$A93,Haver_M!$B$1:$B$1000,0),MATCH(data!O$1,Haver_M!$B$1:$ZN$1,0))),INDEX(Haver_M!$B$1:$ZN$1000,MATCH(data!$A93,Haver_M!$B$1:$B$1000,0),MATCH(data!O$1,Haver_M!$B$1:$ZN$1,0)),"na")</f>
        <v>107.53554</v>
      </c>
      <c r="P93">
        <f>IF(ISNUMBER(INDEX(Haver_M!$B$1:$ZN$1000,MATCH(data!$A93,Haver_M!$B$1:$B$1000,0),MATCH(data!P$1,Haver_M!$B$1:$ZN$1,0))),INDEX(Haver_M!$B$1:$ZN$1000,MATCH(data!$A93,Haver_M!$B$1:$B$1000,0),MATCH(data!P$1,Haver_M!$B$1:$ZN$1,0)),"na")</f>
        <v>63.948</v>
      </c>
      <c r="Q93">
        <f>IF(ISNUMBER(INDEX(Haver_M!$B$1:$ZN$1000,MATCH(data!$A93,Haver_M!$B$1:$B$1000,0),MATCH(data!Q$1,Haver_M!$B$1:$ZN$1,0))),INDEX(Haver_M!$B$1:$ZN$1000,MATCH(data!$A93,Haver_M!$B$1:$B$1000,0),MATCH(data!Q$1,Haver_M!$B$1:$ZN$1,0)),"na")</f>
        <v>67.789500000000004</v>
      </c>
      <c r="R93">
        <f>IF(ISNUMBER(INDEX(Haver_M!$B$1:$ZN$1000,MATCH(data!$A93,Haver_M!$B$1:$B$1000,0),MATCH(data!R$1,Haver_M!$B$1:$ZN$1,0))),INDEX(Haver_M!$B$1:$ZN$1000,MATCH(data!$A93,Haver_M!$B$1:$B$1000,0),MATCH(data!R$1,Haver_M!$B$1:$ZN$1,0)),"na")</f>
        <v>98.0548</v>
      </c>
      <c r="S93">
        <f>IF(ISNUMBER(INDEX(Haver_M!$B$1:$ZN$1000,MATCH(data!$A93,Haver_M!$B$1:$B$1000,0),MATCH(data!S$1,Haver_M!$B$1:$ZN$1,0))),INDEX(Haver_M!$B$1:$ZN$1000,MATCH(data!$A93,Haver_M!$B$1:$B$1000,0),MATCH(data!S$1,Haver_M!$B$1:$ZN$1,0)),"na")</f>
        <v>101.2003</v>
      </c>
      <c r="T93">
        <f>IF(ISNUMBER(INDEX(Haver_M!$B$1:$ZN$1000,MATCH(data!$A93,Haver_M!$B$1:$B$1000,0),MATCH(data!T$1,Haver_M!$B$1:$ZN$1,0))),INDEX(Haver_M!$B$1:$ZN$1000,MATCH(data!$A93,Haver_M!$B$1:$B$1000,0),MATCH(data!T$1,Haver_M!$B$1:$ZN$1,0)),"na")</f>
        <v>86.491799999999998</v>
      </c>
      <c r="U93">
        <f>IF(ISNUMBER(INDEX(Haver_M!$B$1:$ZN$1000,MATCH(data!$A93,Haver_M!$B$1:$B$1000,0),MATCH(data!U$1,Haver_M!$B$1:$ZN$1,0))),INDEX(Haver_M!$B$1:$ZN$1000,MATCH(data!$A93,Haver_M!$B$1:$B$1000,0),MATCH(data!U$1,Haver_M!$B$1:$ZN$1,0)),"na")</f>
        <v>98.370800000000003</v>
      </c>
      <c r="V93">
        <f>IF(ISNUMBER(INDEX(Haver_M!$B$1:$ZN$1000,MATCH(data!$A93,Haver_M!$B$1:$B$1000,0),MATCH(data!V$1,Haver_M!$B$1:$ZN$1,0))),INDEX(Haver_M!$B$1:$ZN$1000,MATCH(data!$A93,Haver_M!$B$1:$B$1000,0),MATCH(data!V$1,Haver_M!$B$1:$ZN$1,0)),"na")</f>
        <v>97.271100000000004</v>
      </c>
      <c r="W93">
        <f>IF(ISNUMBER(INDEX(Haver_M!$B$1:$ZN$1000,MATCH(data!$A93,Haver_M!$B$1:$B$1000,0),MATCH(data!W$1,Haver_M!$B$1:$ZN$1,0))),INDEX(Haver_M!$B$1:$ZN$1000,MATCH(data!$A93,Haver_M!$B$1:$B$1000,0),MATCH(data!W$1,Haver_M!$B$1:$ZN$1,0)),"na")</f>
        <v>3.6</v>
      </c>
      <c r="X93">
        <f>IF(ISNUMBER(INDEX(Haver_M!$B$1:$ZN$1000,MATCH(data!$A93,Haver_M!$B$1:$B$1000,0),MATCH(data!X$1,Haver_M!$B$1:$ZN$1,0))),INDEX(Haver_M!$B$1:$ZN$1000,MATCH(data!$A93,Haver_M!$B$1:$B$1000,0),MATCH(data!X$1,Haver_M!$B$1:$ZN$1,0)),"na")</f>
        <v>100.15</v>
      </c>
      <c r="Y93">
        <f>IF(ISNUMBER(INDEX(Haver_M!$B$1:$ZN$1000,MATCH(data!$A93,Haver_M!$B$1:$B$1000,0),MATCH(data!Y$1,Haver_M!$B$1:$ZN$1,0))),INDEX(Haver_M!$B$1:$ZN$1000,MATCH(data!$A93,Haver_M!$B$1:$B$1000,0),MATCH(data!Y$1,Haver_M!$B$1:$ZN$1,0)),"na")</f>
        <v>102.2</v>
      </c>
      <c r="Z93">
        <f>IF(ISNUMBER(INDEX(Haver_M!$B$1:$ZN$1000,MATCH(data!$A93,Haver_M!$B$1:$B$1000,0),MATCH(data!Z$1,Haver_M!$B$1:$ZN$1,0))),INDEX(Haver_M!$B$1:$ZN$1000,MATCH(data!$A93,Haver_M!$B$1:$B$1000,0),MATCH(data!Z$1,Haver_M!$B$1:$ZN$1,0)),"na")</f>
        <v>97.901499999999999</v>
      </c>
      <c r="AA93" t="str">
        <f>IF(ISNUMBER(INDEX(Haver_M!$B$1:$ZN$1000,MATCH(data!$A93,Haver_M!$B$1:$B$1000,0),MATCH(data!AA$1,Haver_M!$B$1:$ZN$1,0))),INDEX(Haver_M!$B$1:$ZN$1000,MATCH(data!$A93,Haver_M!$B$1:$B$1000,0),MATCH(data!AA$1,Haver_M!$B$1:$ZN$1,0)),"na")</f>
        <v>na</v>
      </c>
      <c r="AB93">
        <f>IF(ISNUMBER(INDEX(Haver_M!$B$1:$ZN$1000,MATCH(data!$A93,Haver_M!$B$1:$B$1000,0),MATCH(data!AB$1,Haver_M!$B$1:$ZN$1,0))),INDEX(Haver_M!$B$1:$ZN$1000,MATCH(data!$A93,Haver_M!$B$1:$B$1000,0),MATCH(data!AB$1,Haver_M!$B$1:$ZN$1,0)),"na")</f>
        <v>23315.4</v>
      </c>
      <c r="AC93">
        <f>IF(ISNUMBER(INDEX(Haver_M!$B$1:$ZN$1000,MATCH(data!$A93,Haver_M!$B$1:$B$1000,0),MATCH(data!AC$1,Haver_M!$B$1:$ZN$1,0))),INDEX(Haver_M!$B$1:$ZN$1000,MATCH(data!$A93,Haver_M!$B$1:$B$1000,0),MATCH(data!AC$1,Haver_M!$B$1:$ZN$1,0)),"na")</f>
        <v>23907</v>
      </c>
      <c r="AD93">
        <f>IF(ISNUMBER(INDEX(Haver_M!$B$1:$ZN$1000,MATCH(data!$A93,Haver_M!$B$1:$B$1000,0),MATCH(data!AD$1,Haver_M!$B$1:$ZN$1,0))),INDEX(Haver_M!$B$1:$ZN$1000,MATCH(data!$A93,Haver_M!$B$1:$B$1000,0),MATCH(data!AD$1,Haver_M!$B$1:$ZN$1,0)),"na")</f>
        <v>101.33</v>
      </c>
      <c r="AE93">
        <f>IF(ISNUMBER(INDEX(Haver_M!$B$1:$ZN$1000,MATCH(data!$A93,Haver_M!$B$1:$B$1000,0),MATCH(data!AE$1,Haver_M!$B$1:$ZN$1,0))),INDEX(Haver_M!$B$1:$ZN$1000,MATCH(data!$A93,Haver_M!$B$1:$B$1000,0),MATCH(data!AE$1,Haver_M!$B$1:$ZN$1,0)),"na")</f>
        <v>43.5</v>
      </c>
      <c r="AF93">
        <f>IF(ISNUMBER(INDEX(Haver_M!$B$1:$ZN$1000,MATCH(data!$A93,Haver_M!$B$1:$B$1000,0),MATCH(data!AF$1,Haver_M!$B$1:$ZN$1,0))),INDEX(Haver_M!$B$1:$ZN$1000,MATCH(data!$A93,Haver_M!$B$1:$B$1000,0),MATCH(data!AF$1,Haver_M!$B$1:$ZN$1,0)),"na")</f>
        <v>101.63</v>
      </c>
      <c r="AG93" t="str">
        <f>IF(ISNUMBER(INDEX(Haver_M!$B$1:$ZN$1000,MATCH(data!$A93,Haver_M!$B$1:$B$1000,0),MATCH(data!AG$1,Haver_M!$B$1:$ZN$1,0))),INDEX(Haver_M!$B$1:$ZN$1000,MATCH(data!$A93,Haver_M!$B$1:$B$1000,0),MATCH(data!AG$1,Haver_M!$B$1:$ZN$1,0)),"na")</f>
        <v>na</v>
      </c>
      <c r="AH93" t="str">
        <f>IF(ISNUMBER(INDEX(Haver_M!$B$1:$ZN$1000,MATCH(data!$A93,Haver_M!$B$1:$B$1000,0),MATCH(data!AH$1,Haver_M!$B$1:$ZN$1,0))),INDEX(Haver_M!$B$1:$ZN$1000,MATCH(data!$A93,Haver_M!$B$1:$B$1000,0),MATCH(data!AH$1,Haver_M!$B$1:$ZN$1,0)),"na")</f>
        <v>na</v>
      </c>
      <c r="AI93" t="str">
        <f>IF(ISNUMBER(INDEX(Haver_M!$B$1:$ZN$1000,MATCH(data!$A93,Haver_M!$B$1:$B$1000,0),MATCH(data!AI$1,Haver_M!$B$1:$ZN$1,0))),INDEX(Haver_M!$B$1:$ZN$1000,MATCH(data!$A93,Haver_M!$B$1:$B$1000,0),MATCH(data!AI$1,Haver_M!$B$1:$ZN$1,0)),"na")</f>
        <v>na</v>
      </c>
      <c r="AJ93" t="str">
        <f>IF(ISNUMBER(INDEX(Haver_M!$B$1:$ZN$1000,MATCH(data!$A93,Haver_M!$B$1:$B$1000,0),MATCH(data!AJ$1,Haver_M!$B$1:$ZN$1,0))),INDEX(Haver_M!$B$1:$ZN$1000,MATCH(data!$A93,Haver_M!$B$1:$B$1000,0),MATCH(data!AJ$1,Haver_M!$B$1:$ZN$1,0)),"na")</f>
        <v>na</v>
      </c>
      <c r="AK93" t="str">
        <f>IF(ISNUMBER(INDEX(Haver_M!$B$1:$ZN$1000,MATCH(data!$A93,Haver_M!$B$1:$B$1000,0),MATCH(data!AK$1,Haver_M!$B$1:$ZN$1,0))),INDEX(Haver_M!$B$1:$ZN$1000,MATCH(data!$A93,Haver_M!$B$1:$B$1000,0),MATCH(data!AK$1,Haver_M!$B$1:$ZN$1,0)),"na")</f>
        <v>na</v>
      </c>
      <c r="AL93" t="str">
        <f>IF(ISNUMBER(INDEX(Haver_M!$B$1:$ZN$1000,MATCH(data!$A93,Haver_M!$B$1:$B$1000,0),MATCH(data!AL$1,Haver_M!$B$1:$ZN$1,0))),INDEX(Haver_M!$B$1:$ZN$1000,MATCH(data!$A93,Haver_M!$B$1:$B$1000,0),MATCH(data!AL$1,Haver_M!$B$1:$ZN$1,0)),"na")</f>
        <v>na</v>
      </c>
      <c r="AM93" t="str">
        <f>IF(ISNUMBER(INDEX(Haver_M!$B$1:$ZN$1000,MATCH(data!$A93,Haver_M!$B$1:$B$1000,0),MATCH(data!AM$1,Haver_M!$B$1:$ZN$1,0))),INDEX(Haver_M!$B$1:$ZN$1000,MATCH(data!$A93,Haver_M!$B$1:$B$1000,0),MATCH(data!AM$1,Haver_M!$B$1:$ZN$1,0)),"na")</f>
        <v>na</v>
      </c>
      <c r="AN93" t="str">
        <f>IF(ISNUMBER(INDEX(Haver_M!$B$1:$ZN$1000,MATCH(data!$A93,Haver_M!$B$1:$B$1000,0),MATCH(data!AN$1,Haver_M!$B$1:$ZN$1,0))),INDEX(Haver_M!$B$1:$ZN$1000,MATCH(data!$A93,Haver_M!$B$1:$B$1000,0),MATCH(data!AN$1,Haver_M!$B$1:$ZN$1,0)),"na")</f>
        <v>na</v>
      </c>
      <c r="AO93" t="str">
        <f>IF(ISNUMBER(INDEX(Haver_M!$B$1:$ZN$1000,MATCH(data!$A93,Haver_M!$B$1:$B$1000,0),MATCH(data!AO$1,Haver_M!$B$1:$ZN$1,0))),INDEX(Haver_M!$B$1:$ZN$1000,MATCH(data!$A93,Haver_M!$B$1:$B$1000,0),MATCH(data!AO$1,Haver_M!$B$1:$ZN$1,0)),"na")</f>
        <v>na</v>
      </c>
      <c r="AP93" t="str">
        <f>IF(ISNUMBER(INDEX(Haver_M!$B$1:$ZN$1000,MATCH(data!$A93,Haver_M!$B$1:$B$1000,0),MATCH(data!AP$1,Haver_M!$B$1:$ZN$1,0))),INDEX(Haver_M!$B$1:$ZN$1000,MATCH(data!$A93,Haver_M!$B$1:$B$1000,0),MATCH(data!AP$1,Haver_M!$B$1:$ZN$1,0)),"na")</f>
        <v>na</v>
      </c>
      <c r="AQ93" t="str">
        <f>IF(ISNUMBER(INDEX(Haver_M!$B$1:$ZN$1000,MATCH(data!$A93,Haver_M!$B$1:$B$1000,0),MATCH(data!AQ$1,Haver_M!$B$1:$ZN$1,0))),INDEX(Haver_M!$B$1:$ZN$1000,MATCH(data!$A93,Haver_M!$B$1:$B$1000,0),MATCH(data!AQ$1,Haver_M!$B$1:$ZN$1,0)),"na")</f>
        <v>na</v>
      </c>
      <c r="AR93" t="str">
        <f>IF(ISNUMBER(INDEX(Haver_M!$B$1:$ZN$1000,MATCH(data!$A93,Haver_M!$B$1:$B$1000,0),MATCH(data!AR$1,Haver_M!$B$1:$ZN$1,0))),INDEX(Haver_M!$B$1:$ZN$1000,MATCH(data!$A93,Haver_M!$B$1:$B$1000,0),MATCH(data!AR$1,Haver_M!$B$1:$ZN$1,0)),"na")</f>
        <v>na</v>
      </c>
      <c r="AS93">
        <f>IF(ISNUMBER(INDEX(Haver_M!$B$1:$ZN$1000,MATCH(data!$A93,Haver_M!$B$1:$B$1000,0),MATCH(data!AS$1,Haver_M!$B$1:$ZN$1,0))),INDEX(Haver_M!$B$1:$ZN$1000,MATCH(data!$A93,Haver_M!$B$1:$B$1000,0),MATCH(data!AS$1,Haver_M!$B$1:$ZN$1,0)),"na")</f>
        <v>29486.45</v>
      </c>
      <c r="AT93">
        <f>IF(ISNUMBER(INDEX(Haver_M!$B$1:$ZN$1000,MATCH(data!$A93,Haver_M!$B$1:$B$1000,0),MATCH(data!AT$1,Haver_M!$B$1:$ZN$1,0))),INDEX(Haver_M!$B$1:$ZN$1000,MATCH(data!$A93,Haver_M!$B$1:$B$1000,0),MATCH(data!AT$1,Haver_M!$B$1:$ZN$1,0)),"na")</f>
        <v>95.745000000000005</v>
      </c>
      <c r="AU93">
        <f>IF(ISNUMBER(INDEX(Haver_M!$B$1:$ZN$1000,MATCH(data!$A93,Haver_M!$B$1:$B$1000,0),MATCH(data!AU$1,Haver_M!$B$1:$ZN$1,0))),INDEX(Haver_M!$B$1:$ZN$1000,MATCH(data!$A93,Haver_M!$B$1:$B$1000,0),MATCH(data!AU$1,Haver_M!$B$1:$ZN$1,0)),"na")</f>
        <v>91.797707000000003</v>
      </c>
      <c r="AV93">
        <f>IF(ISNUMBER(INDEX(Haver_M!$B$1:$ZN$1000,MATCH(data!$A93,Haver_M!$B$1:$B$1000,0),MATCH(data!AV$1,Haver_M!$B$1:$ZN$1,0))),INDEX(Haver_M!$B$1:$ZN$1000,MATCH(data!$A93,Haver_M!$B$1:$B$1000,0),MATCH(data!AV$1,Haver_M!$B$1:$ZN$1,0)),"na")</f>
        <v>93.6</v>
      </c>
      <c r="AW93">
        <f>IF(ISNUMBER(INDEX(Haver_M!$B$1:$ZN$1000,MATCH(data!$A93,Haver_M!$B$1:$B$1000,0),MATCH(data!AW$1,Haver_M!$B$1:$ZN$1,0))),INDEX(Haver_M!$B$1:$ZN$1000,MATCH(data!$A93,Haver_M!$B$1:$B$1000,0),MATCH(data!AW$1,Haver_M!$B$1:$ZN$1,0)),"na")</f>
        <v>1043004.5111018673</v>
      </c>
      <c r="AX93">
        <f>IF(ISNUMBER(INDEX(Haver_M!$B$1:$ZN$1000,MATCH(data!$A93,Haver_M!$B$1:$B$1000,0),MATCH(data!AX$1,Haver_M!$B$1:$ZN$1,0))),INDEX(Haver_M!$B$1:$ZN$1000,MATCH(data!$A93,Haver_M!$B$1:$B$1000,0),MATCH(data!AX$1,Haver_M!$B$1:$ZN$1,0)),"na")</f>
        <v>2856</v>
      </c>
      <c r="AY93">
        <f>IF(ISNUMBER(INDEX(Haver_M!$B$1:$ZN$1000,MATCH(data!$A93,Haver_M!$B$1:$B$1000,0),MATCH(data!AY$1,Haver_M!$B$1:$ZN$1,0))),INDEX(Haver_M!$B$1:$ZN$1000,MATCH(data!$A93,Haver_M!$B$1:$B$1000,0),MATCH(data!AY$1,Haver_M!$B$1:$ZN$1,0)),"na")</f>
        <v>1631</v>
      </c>
      <c r="AZ93">
        <f>IF(ISNUMBER(INDEX(Haver_M!$B$1:$ZN$1000,MATCH(data!$A93,Haver_M!$B$1:$B$1000,0),MATCH(data!AZ$1,Haver_M!$B$1:$ZN$1,0))),INDEX(Haver_M!$B$1:$ZN$1000,MATCH(data!$A93,Haver_M!$B$1:$B$1000,0),MATCH(data!AZ$1,Haver_M!$B$1:$ZN$1,0)),"na")</f>
        <v>53.2</v>
      </c>
      <c r="BA93">
        <f>IF(ISNUMBER(INDEX(Haver_M!$B$1:$ZN$1000,MATCH(data!$A93,Haver_M!$B$1:$B$1000,0),MATCH(data!BA$1,Haver_M!$B$1:$ZN$1,0))),INDEX(Haver_M!$B$1:$ZN$1000,MATCH(data!$A93,Haver_M!$B$1:$B$1000,0),MATCH(data!BA$1,Haver_M!$B$1:$ZN$1,0)),"na")</f>
        <v>89.547002080712588</v>
      </c>
      <c r="BB93" t="str">
        <f>IF(ISNUMBER(INDEX(Haver_M!$B$1:$ZN$1000,MATCH(data!$A93,Haver_M!$B$1:$B$1000,0),MATCH(data!BB$1,Haver_M!$B$1:$ZN$1,0))),INDEX(Haver_M!$B$1:$ZN$1000,MATCH(data!$A93,Haver_M!$B$1:$B$1000,0),MATCH(data!BB$1,Haver_M!$B$1:$ZN$1,0)),"")</f>
        <v/>
      </c>
    </row>
    <row r="94" spans="1:54" x14ac:dyDescent="0.25">
      <c r="A94" s="2">
        <v>39355</v>
      </c>
      <c r="B94">
        <f>IF(ISNUMBER(INDEX(Haver_Q!$B$1:$BD$1000,MATCH(data!$A94,Haver_Q!$B$1:$B$1000,0),MATCH(data!B$1,Haver_Q!$B$1:$BD$1,0))),100*INDEX(Haver_Q!$B$1:$BD$1000,MATCH(data!$A94,Haver_Q!$B$1:$B$1000,0),MATCH(data!B$1,Haver_Q!$B$1:$BD$1,0)),"na")</f>
        <v>2.5311176464268392</v>
      </c>
      <c r="C94">
        <f>IF(ISNUMBER(INDEX(Haver_Q!$B$1:$BD$1000,MATCH(data!$A94,Haver_Q!$B$1:$B$1000,0),MATCH(data!C$1,Haver_Q!$B$1:$BD$1,0))),100*INDEX(Haver_Q!$B$1:$BD$1000,MATCH(data!$A94,Haver_Q!$B$1:$B$1000,0),MATCH(data!C$1,Haver_Q!$B$1:$BD$1,0)),"na")</f>
        <v>3.453290226521788</v>
      </c>
      <c r="D94">
        <f>IF(ISNUMBER(INDEX(Haver_Q!$B$1:$BD$1000,MATCH(data!$A94,Haver_Q!$B$1:$B$1000,0),MATCH(data!D$1,Haver_Q!$B$1:$BD$1,0))),100*INDEX(Haver_Q!$B$1:$BD$1000,MATCH(data!$A94,Haver_Q!$B$1:$B$1000,0),MATCH(data!D$1,Haver_Q!$B$1:$BD$1,0)),"na")</f>
        <v>-1.9002095378482631</v>
      </c>
      <c r="E94">
        <f>IF(ISNUMBER(INDEX(Haver_Q!$B$1:$BD$1000,MATCH(data!$A94,Haver_Q!$B$1:$B$1000,0),MATCH(data!E$1,Haver_Q!$B$1:$BD$1,0))),100*INDEX(Haver_Q!$B$1:$BD$1000,MATCH(data!$A94,Haver_Q!$B$1:$B$1000,0),MATCH(data!E$1,Haver_Q!$B$1:$BD$1,0)),"na")</f>
        <v>13.498552763975269</v>
      </c>
      <c r="F94">
        <f>IF(ISNUMBER(INDEX(Haver_Q!$B$1:$BD$1000,MATCH(data!$A94,Haver_Q!$B$1:$B$1000,0),MATCH(data!F$1,Haver_Q!$B$1:$BD$1,0))),100*INDEX(Haver_Q!$B$1:$BD$1000,MATCH(data!$A94,Haver_Q!$B$1:$B$1000,0),MATCH(data!F$1,Haver_Q!$B$1:$BD$1,0)),"na")</f>
        <v>4.4987344235792648</v>
      </c>
      <c r="G94">
        <f>IF(ISNUMBER(INDEX(Haver_Q!$B$1:$BD$1000,MATCH(data!$A94,Haver_Q!$B$1:$B$1000,0),MATCH(data!G$1,Haver_Q!$B$1:$BD$1,0))),100*INDEX(Haver_Q!$B$1:$BD$1000,MATCH(data!$A94,Haver_Q!$B$1:$B$1000,0),MATCH(data!G$1,Haver_Q!$B$1:$BD$1,0)),"na")</f>
        <v>9.3816343744280939</v>
      </c>
      <c r="H94">
        <f>IF(ISNUMBER(INDEX(Haver_Q!$B$1:$BD$1000,MATCH(data!$A94,Haver_Q!$B$1:$B$1000,0),MATCH(data!H$1,Haver_Q!$B$1:$BD$1,0))),100*INDEX(Haver_Q!$B$1:$BD$1000,MATCH(data!$A94,Haver_Q!$B$1:$B$1000,0),MATCH(data!H$1,Haver_Q!$B$1:$BD$1,0)),"na")</f>
        <v>398.29937795524148</v>
      </c>
      <c r="I94" s="3">
        <f>IF(ISNUMBER(Bloomberg_m!C110),Bloomberg_m!C110,"na")</f>
        <v>8574</v>
      </c>
      <c r="J94" s="3" t="str">
        <f>IF(ISNUMBER(Bloomberg_m!D110),Bloomberg_m!D110,"na")</f>
        <v>na</v>
      </c>
      <c r="K94" s="3" t="str">
        <f>IF(ISNUMBER(Bloomberg_m!E110),Bloomberg_m!E110,"na")</f>
        <v>na</v>
      </c>
      <c r="L94" s="3">
        <f>IF(ISNUMBER(Bloomberg_m!L110),Bloomberg_m!L110,"na")</f>
        <v>79.91</v>
      </c>
      <c r="M94" t="str">
        <f>IF(ISNUMBER(INDEX(Haver_M!$B$1:$ZN$1000,MATCH(data!$A94,Haver_M!$B$1:$B$1000,0),MATCH(data!M$1,Haver_M!$B$1:$ZN$1,0))),INDEX(Haver_M!$B$1:$ZN$1000,MATCH(data!$A94,Haver_M!$B$1:$B$1000,0),MATCH(data!M$1,Haver_M!$B$1:$ZN$1,0)),"na")</f>
        <v>na</v>
      </c>
      <c r="N94" t="str">
        <f>IF(ISNUMBER(INDEX(Haver_M!$B$1:$ZN$1000,MATCH(data!$A94,Haver_M!$B$1:$B$1000,0),MATCH(data!N$1,Haver_M!$B$1:$ZN$1,0))),INDEX(Haver_M!$B$1:$ZN$1000,MATCH(data!$A94,Haver_M!$B$1:$B$1000,0),MATCH(data!N$1,Haver_M!$B$1:$ZN$1,0)),"na")</f>
        <v>na</v>
      </c>
      <c r="O94">
        <f>IF(ISNUMBER(INDEX(Haver_M!$B$1:$ZN$1000,MATCH(data!$A94,Haver_M!$B$1:$B$1000,0),MATCH(data!O$1,Haver_M!$B$1:$ZN$1,0))),INDEX(Haver_M!$B$1:$ZN$1000,MATCH(data!$A94,Haver_M!$B$1:$B$1000,0),MATCH(data!O$1,Haver_M!$B$1:$ZN$1,0)),"na")</f>
        <v>107.33157</v>
      </c>
      <c r="P94">
        <f>IF(ISNUMBER(INDEX(Haver_M!$B$1:$ZN$1000,MATCH(data!$A94,Haver_M!$B$1:$B$1000,0),MATCH(data!P$1,Haver_M!$B$1:$ZN$1,0))),INDEX(Haver_M!$B$1:$ZN$1000,MATCH(data!$A94,Haver_M!$B$1:$B$1000,0),MATCH(data!P$1,Haver_M!$B$1:$ZN$1,0)),"na")</f>
        <v>64.270799999999994</v>
      </c>
      <c r="Q94">
        <f>IF(ISNUMBER(INDEX(Haver_M!$B$1:$ZN$1000,MATCH(data!$A94,Haver_M!$B$1:$B$1000,0),MATCH(data!Q$1,Haver_M!$B$1:$ZN$1,0))),INDEX(Haver_M!$B$1:$ZN$1000,MATCH(data!$A94,Haver_M!$B$1:$B$1000,0),MATCH(data!Q$1,Haver_M!$B$1:$ZN$1,0)),"na")</f>
        <v>68.006500000000003</v>
      </c>
      <c r="R94">
        <f>IF(ISNUMBER(INDEX(Haver_M!$B$1:$ZN$1000,MATCH(data!$A94,Haver_M!$B$1:$B$1000,0),MATCH(data!R$1,Haver_M!$B$1:$ZN$1,0))),INDEX(Haver_M!$B$1:$ZN$1000,MATCH(data!$A94,Haver_M!$B$1:$B$1000,0),MATCH(data!R$1,Haver_M!$B$1:$ZN$1,0)),"na")</f>
        <v>99.704400000000007</v>
      </c>
      <c r="S94">
        <f>IF(ISNUMBER(INDEX(Haver_M!$B$1:$ZN$1000,MATCH(data!$A94,Haver_M!$B$1:$B$1000,0),MATCH(data!S$1,Haver_M!$B$1:$ZN$1,0))),INDEX(Haver_M!$B$1:$ZN$1000,MATCH(data!$A94,Haver_M!$B$1:$B$1000,0),MATCH(data!S$1,Haver_M!$B$1:$ZN$1,0)),"na")</f>
        <v>109.8282</v>
      </c>
      <c r="T94">
        <f>IF(ISNUMBER(INDEX(Haver_M!$B$1:$ZN$1000,MATCH(data!$A94,Haver_M!$B$1:$B$1000,0),MATCH(data!T$1,Haver_M!$B$1:$ZN$1,0))),INDEX(Haver_M!$B$1:$ZN$1000,MATCH(data!$A94,Haver_M!$B$1:$B$1000,0),MATCH(data!T$1,Haver_M!$B$1:$ZN$1,0)),"na")</f>
        <v>87.262</v>
      </c>
      <c r="U94">
        <f>IF(ISNUMBER(INDEX(Haver_M!$B$1:$ZN$1000,MATCH(data!$A94,Haver_M!$B$1:$B$1000,0),MATCH(data!U$1,Haver_M!$B$1:$ZN$1,0))),INDEX(Haver_M!$B$1:$ZN$1000,MATCH(data!$A94,Haver_M!$B$1:$B$1000,0),MATCH(data!U$1,Haver_M!$B$1:$ZN$1,0)),"na")</f>
        <v>100.0256</v>
      </c>
      <c r="V94">
        <f>IF(ISNUMBER(INDEX(Haver_M!$B$1:$ZN$1000,MATCH(data!$A94,Haver_M!$B$1:$B$1000,0),MATCH(data!V$1,Haver_M!$B$1:$ZN$1,0))),INDEX(Haver_M!$B$1:$ZN$1000,MATCH(data!$A94,Haver_M!$B$1:$B$1000,0),MATCH(data!V$1,Haver_M!$B$1:$ZN$1,0)),"na")</f>
        <v>96.290599999999998</v>
      </c>
      <c r="W94">
        <f>IF(ISNUMBER(INDEX(Haver_M!$B$1:$ZN$1000,MATCH(data!$A94,Haver_M!$B$1:$B$1000,0),MATCH(data!W$1,Haver_M!$B$1:$ZN$1,0))),INDEX(Haver_M!$B$1:$ZN$1000,MATCH(data!$A94,Haver_M!$B$1:$B$1000,0),MATCH(data!W$1,Haver_M!$B$1:$ZN$1,0)),"na")</f>
        <v>3.59</v>
      </c>
      <c r="X94">
        <f>IF(ISNUMBER(INDEX(Haver_M!$B$1:$ZN$1000,MATCH(data!$A94,Haver_M!$B$1:$B$1000,0),MATCH(data!X$1,Haver_M!$B$1:$ZN$1,0))),INDEX(Haver_M!$B$1:$ZN$1000,MATCH(data!$A94,Haver_M!$B$1:$B$1000,0),MATCH(data!X$1,Haver_M!$B$1:$ZN$1,0)),"na")</f>
        <v>99.86</v>
      </c>
      <c r="Y94">
        <f>IF(ISNUMBER(INDEX(Haver_M!$B$1:$ZN$1000,MATCH(data!$A94,Haver_M!$B$1:$B$1000,0),MATCH(data!Y$1,Haver_M!$B$1:$ZN$1,0))),INDEX(Haver_M!$B$1:$ZN$1000,MATCH(data!$A94,Haver_M!$B$1:$B$1000,0),MATCH(data!Y$1,Haver_M!$B$1:$ZN$1,0)),"na")</f>
        <v>102.19</v>
      </c>
      <c r="Z94">
        <f>IF(ISNUMBER(INDEX(Haver_M!$B$1:$ZN$1000,MATCH(data!$A94,Haver_M!$B$1:$B$1000,0),MATCH(data!Z$1,Haver_M!$B$1:$ZN$1,0))),INDEX(Haver_M!$B$1:$ZN$1000,MATCH(data!$A94,Haver_M!$B$1:$B$1000,0),MATCH(data!Z$1,Haver_M!$B$1:$ZN$1,0)),"na")</f>
        <v>98.968299999999999</v>
      </c>
      <c r="AA94" t="str">
        <f>IF(ISNUMBER(INDEX(Haver_M!$B$1:$ZN$1000,MATCH(data!$A94,Haver_M!$B$1:$B$1000,0),MATCH(data!AA$1,Haver_M!$B$1:$ZN$1,0))),INDEX(Haver_M!$B$1:$ZN$1000,MATCH(data!$A94,Haver_M!$B$1:$B$1000,0),MATCH(data!AA$1,Haver_M!$B$1:$ZN$1,0)),"na")</f>
        <v>na</v>
      </c>
      <c r="AB94">
        <f>IF(ISNUMBER(INDEX(Haver_M!$B$1:$ZN$1000,MATCH(data!$A94,Haver_M!$B$1:$B$1000,0),MATCH(data!AB$1,Haver_M!$B$1:$ZN$1,0))),INDEX(Haver_M!$B$1:$ZN$1000,MATCH(data!$A94,Haver_M!$B$1:$B$1000,0),MATCH(data!AB$1,Haver_M!$B$1:$ZN$1,0)),"na")</f>
        <v>23961.599999999999</v>
      </c>
      <c r="AC94">
        <f>IF(ISNUMBER(INDEX(Haver_M!$B$1:$ZN$1000,MATCH(data!$A94,Haver_M!$B$1:$B$1000,0),MATCH(data!AC$1,Haver_M!$B$1:$ZN$1,0))),INDEX(Haver_M!$B$1:$ZN$1000,MATCH(data!$A94,Haver_M!$B$1:$B$1000,0),MATCH(data!AC$1,Haver_M!$B$1:$ZN$1,0)),"na")</f>
        <v>24409.599999999999</v>
      </c>
      <c r="AD94">
        <f>IF(ISNUMBER(INDEX(Haver_M!$B$1:$ZN$1000,MATCH(data!$A94,Haver_M!$B$1:$B$1000,0),MATCH(data!AD$1,Haver_M!$B$1:$ZN$1,0))),INDEX(Haver_M!$B$1:$ZN$1000,MATCH(data!$A94,Haver_M!$B$1:$B$1000,0),MATCH(data!AD$1,Haver_M!$B$1:$ZN$1,0)),"na")</f>
        <v>101.37</v>
      </c>
      <c r="AE94">
        <f>IF(ISNUMBER(INDEX(Haver_M!$B$1:$ZN$1000,MATCH(data!$A94,Haver_M!$B$1:$B$1000,0),MATCH(data!AE$1,Haver_M!$B$1:$ZN$1,0))),INDEX(Haver_M!$B$1:$ZN$1000,MATCH(data!$A94,Haver_M!$B$1:$B$1000,0),MATCH(data!AE$1,Haver_M!$B$1:$ZN$1,0)),"na")</f>
        <v>42.6</v>
      </c>
      <c r="AF94">
        <f>IF(ISNUMBER(INDEX(Haver_M!$B$1:$ZN$1000,MATCH(data!$A94,Haver_M!$B$1:$B$1000,0),MATCH(data!AF$1,Haver_M!$B$1:$ZN$1,0))),INDEX(Haver_M!$B$1:$ZN$1000,MATCH(data!$A94,Haver_M!$B$1:$B$1000,0),MATCH(data!AF$1,Haver_M!$B$1:$ZN$1,0)),"na")</f>
        <v>101.58</v>
      </c>
      <c r="AG94" t="str">
        <f>IF(ISNUMBER(INDEX(Haver_M!$B$1:$ZN$1000,MATCH(data!$A94,Haver_M!$B$1:$B$1000,0),MATCH(data!AG$1,Haver_M!$B$1:$ZN$1,0))),INDEX(Haver_M!$B$1:$ZN$1000,MATCH(data!$A94,Haver_M!$B$1:$B$1000,0),MATCH(data!AG$1,Haver_M!$B$1:$ZN$1,0)),"na")</f>
        <v>na</v>
      </c>
      <c r="AH94" t="str">
        <f>IF(ISNUMBER(INDEX(Haver_M!$B$1:$ZN$1000,MATCH(data!$A94,Haver_M!$B$1:$B$1000,0),MATCH(data!AH$1,Haver_M!$B$1:$ZN$1,0))),INDEX(Haver_M!$B$1:$ZN$1000,MATCH(data!$A94,Haver_M!$B$1:$B$1000,0),MATCH(data!AH$1,Haver_M!$B$1:$ZN$1,0)),"na")</f>
        <v>na</v>
      </c>
      <c r="AI94" t="str">
        <f>IF(ISNUMBER(INDEX(Haver_M!$B$1:$ZN$1000,MATCH(data!$A94,Haver_M!$B$1:$B$1000,0),MATCH(data!AI$1,Haver_M!$B$1:$ZN$1,0))),INDEX(Haver_M!$B$1:$ZN$1000,MATCH(data!$A94,Haver_M!$B$1:$B$1000,0),MATCH(data!AI$1,Haver_M!$B$1:$ZN$1,0)),"na")</f>
        <v>na</v>
      </c>
      <c r="AJ94" t="str">
        <f>IF(ISNUMBER(INDEX(Haver_M!$B$1:$ZN$1000,MATCH(data!$A94,Haver_M!$B$1:$B$1000,0),MATCH(data!AJ$1,Haver_M!$B$1:$ZN$1,0))),INDEX(Haver_M!$B$1:$ZN$1000,MATCH(data!$A94,Haver_M!$B$1:$B$1000,0),MATCH(data!AJ$1,Haver_M!$B$1:$ZN$1,0)),"na")</f>
        <v>na</v>
      </c>
      <c r="AK94" t="str">
        <f>IF(ISNUMBER(INDEX(Haver_M!$B$1:$ZN$1000,MATCH(data!$A94,Haver_M!$B$1:$B$1000,0),MATCH(data!AK$1,Haver_M!$B$1:$ZN$1,0))),INDEX(Haver_M!$B$1:$ZN$1000,MATCH(data!$A94,Haver_M!$B$1:$B$1000,0),MATCH(data!AK$1,Haver_M!$B$1:$ZN$1,0)),"na")</f>
        <v>na</v>
      </c>
      <c r="AL94" t="str">
        <f>IF(ISNUMBER(INDEX(Haver_M!$B$1:$ZN$1000,MATCH(data!$A94,Haver_M!$B$1:$B$1000,0),MATCH(data!AL$1,Haver_M!$B$1:$ZN$1,0))),INDEX(Haver_M!$B$1:$ZN$1000,MATCH(data!$A94,Haver_M!$B$1:$B$1000,0),MATCH(data!AL$1,Haver_M!$B$1:$ZN$1,0)),"na")</f>
        <v>na</v>
      </c>
      <c r="AM94" t="str">
        <f>IF(ISNUMBER(INDEX(Haver_M!$B$1:$ZN$1000,MATCH(data!$A94,Haver_M!$B$1:$B$1000,0),MATCH(data!AM$1,Haver_M!$B$1:$ZN$1,0))),INDEX(Haver_M!$B$1:$ZN$1000,MATCH(data!$A94,Haver_M!$B$1:$B$1000,0),MATCH(data!AM$1,Haver_M!$B$1:$ZN$1,0)),"na")</f>
        <v>na</v>
      </c>
      <c r="AN94" t="str">
        <f>IF(ISNUMBER(INDEX(Haver_M!$B$1:$ZN$1000,MATCH(data!$A94,Haver_M!$B$1:$B$1000,0),MATCH(data!AN$1,Haver_M!$B$1:$ZN$1,0))),INDEX(Haver_M!$B$1:$ZN$1000,MATCH(data!$A94,Haver_M!$B$1:$B$1000,0),MATCH(data!AN$1,Haver_M!$B$1:$ZN$1,0)),"na")</f>
        <v>na</v>
      </c>
      <c r="AO94" t="str">
        <f>IF(ISNUMBER(INDEX(Haver_M!$B$1:$ZN$1000,MATCH(data!$A94,Haver_M!$B$1:$B$1000,0),MATCH(data!AO$1,Haver_M!$B$1:$ZN$1,0))),INDEX(Haver_M!$B$1:$ZN$1000,MATCH(data!$A94,Haver_M!$B$1:$B$1000,0),MATCH(data!AO$1,Haver_M!$B$1:$ZN$1,0)),"na")</f>
        <v>na</v>
      </c>
      <c r="AP94" t="str">
        <f>IF(ISNUMBER(INDEX(Haver_M!$B$1:$ZN$1000,MATCH(data!$A94,Haver_M!$B$1:$B$1000,0),MATCH(data!AP$1,Haver_M!$B$1:$ZN$1,0))),INDEX(Haver_M!$B$1:$ZN$1000,MATCH(data!$A94,Haver_M!$B$1:$B$1000,0),MATCH(data!AP$1,Haver_M!$B$1:$ZN$1,0)),"na")</f>
        <v>na</v>
      </c>
      <c r="AQ94" t="str">
        <f>IF(ISNUMBER(INDEX(Haver_M!$B$1:$ZN$1000,MATCH(data!$A94,Haver_M!$B$1:$B$1000,0),MATCH(data!AQ$1,Haver_M!$B$1:$ZN$1,0))),INDEX(Haver_M!$B$1:$ZN$1000,MATCH(data!$A94,Haver_M!$B$1:$B$1000,0),MATCH(data!AQ$1,Haver_M!$B$1:$ZN$1,0)),"na")</f>
        <v>na</v>
      </c>
      <c r="AR94" t="str">
        <f>IF(ISNUMBER(INDEX(Haver_M!$B$1:$ZN$1000,MATCH(data!$A94,Haver_M!$B$1:$B$1000,0),MATCH(data!AR$1,Haver_M!$B$1:$ZN$1,0))),INDEX(Haver_M!$B$1:$ZN$1000,MATCH(data!$A94,Haver_M!$B$1:$B$1000,0),MATCH(data!AR$1,Haver_M!$B$1:$ZN$1,0)),"na")</f>
        <v>na</v>
      </c>
      <c r="AS94">
        <f>IF(ISNUMBER(INDEX(Haver_M!$B$1:$ZN$1000,MATCH(data!$A94,Haver_M!$B$1:$B$1000,0),MATCH(data!AS$1,Haver_M!$B$1:$ZN$1,0))),INDEX(Haver_M!$B$1:$ZN$1000,MATCH(data!$A94,Haver_M!$B$1:$B$1000,0),MATCH(data!AS$1,Haver_M!$B$1:$ZN$1,0)),"na")</f>
        <v>30405.67</v>
      </c>
      <c r="AT94">
        <f>IF(ISNUMBER(INDEX(Haver_M!$B$1:$ZN$1000,MATCH(data!$A94,Haver_M!$B$1:$B$1000,0),MATCH(data!AT$1,Haver_M!$B$1:$ZN$1,0))),INDEX(Haver_M!$B$1:$ZN$1000,MATCH(data!$A94,Haver_M!$B$1:$B$1000,0),MATCH(data!AT$1,Haver_M!$B$1:$ZN$1,0)),"na")</f>
        <v>95.501999999999995</v>
      </c>
      <c r="AU94">
        <f>IF(ISNUMBER(INDEX(Haver_M!$B$1:$ZN$1000,MATCH(data!$A94,Haver_M!$B$1:$B$1000,0),MATCH(data!AU$1,Haver_M!$B$1:$ZN$1,0))),INDEX(Haver_M!$B$1:$ZN$1000,MATCH(data!$A94,Haver_M!$B$1:$B$1000,0),MATCH(data!AU$1,Haver_M!$B$1:$ZN$1,0)),"na")</f>
        <v>92.279803999999999</v>
      </c>
      <c r="AV94">
        <f>IF(ISNUMBER(INDEX(Haver_M!$B$1:$ZN$1000,MATCH(data!$A94,Haver_M!$B$1:$B$1000,0),MATCH(data!AV$1,Haver_M!$B$1:$ZN$1,0))),INDEX(Haver_M!$B$1:$ZN$1000,MATCH(data!$A94,Haver_M!$B$1:$B$1000,0),MATCH(data!AV$1,Haver_M!$B$1:$ZN$1,0)),"na")</f>
        <v>95.6</v>
      </c>
      <c r="AW94">
        <f>IF(ISNUMBER(INDEX(Haver_M!$B$1:$ZN$1000,MATCH(data!$A94,Haver_M!$B$1:$B$1000,0),MATCH(data!AW$1,Haver_M!$B$1:$ZN$1,0))),INDEX(Haver_M!$B$1:$ZN$1000,MATCH(data!$A94,Haver_M!$B$1:$B$1000,0),MATCH(data!AW$1,Haver_M!$B$1:$ZN$1,0)),"na")</f>
        <v>1116050.8109577901</v>
      </c>
      <c r="AX94">
        <f>IF(ISNUMBER(INDEX(Haver_M!$B$1:$ZN$1000,MATCH(data!$A94,Haver_M!$B$1:$B$1000,0),MATCH(data!AX$1,Haver_M!$B$1:$ZN$1,0))),INDEX(Haver_M!$B$1:$ZN$1000,MATCH(data!$A94,Haver_M!$B$1:$B$1000,0),MATCH(data!AX$1,Haver_M!$B$1:$ZN$1,0)),"na")</f>
        <v>3113</v>
      </c>
      <c r="AY94">
        <f>IF(ISNUMBER(INDEX(Haver_M!$B$1:$ZN$1000,MATCH(data!$A94,Haver_M!$B$1:$B$1000,0),MATCH(data!AY$1,Haver_M!$B$1:$ZN$1,0))),INDEX(Haver_M!$B$1:$ZN$1000,MATCH(data!$A94,Haver_M!$B$1:$B$1000,0),MATCH(data!AY$1,Haver_M!$B$1:$ZN$1,0)),"na")</f>
        <v>1679</v>
      </c>
      <c r="AZ94">
        <f>IF(ISNUMBER(INDEX(Haver_M!$B$1:$ZN$1000,MATCH(data!$A94,Haver_M!$B$1:$B$1000,0),MATCH(data!AZ$1,Haver_M!$B$1:$ZN$1,0))),INDEX(Haver_M!$B$1:$ZN$1000,MATCH(data!$A94,Haver_M!$B$1:$B$1000,0),MATCH(data!AZ$1,Haver_M!$B$1:$ZN$1,0)),"na")</f>
        <v>52.1</v>
      </c>
      <c r="BA94">
        <f>IF(ISNUMBER(INDEX(Haver_M!$B$1:$ZN$1000,MATCH(data!$A94,Haver_M!$B$1:$B$1000,0),MATCH(data!BA$1,Haver_M!$B$1:$ZN$1,0))),INDEX(Haver_M!$B$1:$ZN$1000,MATCH(data!$A94,Haver_M!$B$1:$B$1000,0),MATCH(data!BA$1,Haver_M!$B$1:$ZN$1,0)),"na")</f>
        <v>72.959911928415451</v>
      </c>
      <c r="BB94" t="str">
        <f>IF(ISNUMBER(INDEX(Haver_M!$B$1:$ZN$1000,MATCH(data!$A94,Haver_M!$B$1:$B$1000,0),MATCH(data!BB$1,Haver_M!$B$1:$ZN$1,0))),INDEX(Haver_M!$B$1:$ZN$1000,MATCH(data!$A94,Haver_M!$B$1:$B$1000,0),MATCH(data!BB$1,Haver_M!$B$1:$ZN$1,0)),"")</f>
        <v/>
      </c>
    </row>
    <row r="95" spans="1:54" x14ac:dyDescent="0.25">
      <c r="A95" s="2">
        <v>39386</v>
      </c>
      <c r="B95" t="str">
        <f>IF(ISNUMBER(INDEX(Haver_Q!$B$1:$BD$1000,MATCH(data!$A95,Haver_Q!$B$1:$B$1000,0),MATCH(data!B$1,Haver_Q!$B$1:$BD$1,0))),100*INDEX(Haver_Q!$B$1:$BD$1000,MATCH(data!$A95,Haver_Q!$B$1:$B$1000,0),MATCH(data!B$1,Haver_Q!$B$1:$BD$1,0)),"na")</f>
        <v>na</v>
      </c>
      <c r="C95" t="str">
        <f>IF(ISNUMBER(INDEX(Haver_Q!$B$1:$BD$1000,MATCH(data!$A95,Haver_Q!$B$1:$B$1000,0),MATCH(data!C$1,Haver_Q!$B$1:$BD$1,0))),100*INDEX(Haver_Q!$B$1:$BD$1000,MATCH(data!$A95,Haver_Q!$B$1:$B$1000,0),MATCH(data!C$1,Haver_Q!$B$1:$BD$1,0)),"na")</f>
        <v>na</v>
      </c>
      <c r="D95" t="str">
        <f>IF(ISNUMBER(INDEX(Haver_Q!$B$1:$BD$1000,MATCH(data!$A95,Haver_Q!$B$1:$B$1000,0),MATCH(data!D$1,Haver_Q!$B$1:$BD$1,0))),100*INDEX(Haver_Q!$B$1:$BD$1000,MATCH(data!$A95,Haver_Q!$B$1:$B$1000,0),MATCH(data!D$1,Haver_Q!$B$1:$BD$1,0)),"na")</f>
        <v>na</v>
      </c>
      <c r="E95" t="str">
        <f>IF(ISNUMBER(INDEX(Haver_Q!$B$1:$BD$1000,MATCH(data!$A95,Haver_Q!$B$1:$B$1000,0),MATCH(data!E$1,Haver_Q!$B$1:$BD$1,0))),100*INDEX(Haver_Q!$B$1:$BD$1000,MATCH(data!$A95,Haver_Q!$B$1:$B$1000,0),MATCH(data!E$1,Haver_Q!$B$1:$BD$1,0)),"na")</f>
        <v>na</v>
      </c>
      <c r="F95" t="str">
        <f>IF(ISNUMBER(INDEX(Haver_Q!$B$1:$BD$1000,MATCH(data!$A95,Haver_Q!$B$1:$B$1000,0),MATCH(data!F$1,Haver_Q!$B$1:$BD$1,0))),100*INDEX(Haver_Q!$B$1:$BD$1000,MATCH(data!$A95,Haver_Q!$B$1:$B$1000,0),MATCH(data!F$1,Haver_Q!$B$1:$BD$1,0)),"na")</f>
        <v>na</v>
      </c>
      <c r="G95" t="str">
        <f>IF(ISNUMBER(INDEX(Haver_Q!$B$1:$BD$1000,MATCH(data!$A95,Haver_Q!$B$1:$B$1000,0),MATCH(data!G$1,Haver_Q!$B$1:$BD$1,0))),100*INDEX(Haver_Q!$B$1:$BD$1000,MATCH(data!$A95,Haver_Q!$B$1:$B$1000,0),MATCH(data!G$1,Haver_Q!$B$1:$BD$1,0)),"na")</f>
        <v>na</v>
      </c>
      <c r="H95" t="str">
        <f>IF(ISNUMBER(INDEX(Haver_Q!$B$1:$BD$1000,MATCH(data!$A95,Haver_Q!$B$1:$B$1000,0),MATCH(data!H$1,Haver_Q!$B$1:$BD$1,0))),100*INDEX(Haver_Q!$B$1:$BD$1000,MATCH(data!$A95,Haver_Q!$B$1:$B$1000,0),MATCH(data!H$1,Haver_Q!$B$1:$BD$1,0)),"na")</f>
        <v>na</v>
      </c>
      <c r="I95" s="3">
        <f>IF(ISNUMBER(Bloomberg_m!C111),Bloomberg_m!C111,"na")</f>
        <v>10426</v>
      </c>
      <c r="J95" s="3" t="str">
        <f>IF(ISNUMBER(Bloomberg_m!D111),Bloomberg_m!D111,"na")</f>
        <v>na</v>
      </c>
      <c r="K95" s="3" t="str">
        <f>IF(ISNUMBER(Bloomberg_m!E111),Bloomberg_m!E111,"na")</f>
        <v>na</v>
      </c>
      <c r="L95" s="3">
        <f>IF(ISNUMBER(Bloomberg_m!L111),Bloomberg_m!L111,"na")</f>
        <v>85.9</v>
      </c>
      <c r="M95" t="str">
        <f>IF(ISNUMBER(INDEX(Haver_M!$B$1:$ZN$1000,MATCH(data!$A95,Haver_M!$B$1:$B$1000,0),MATCH(data!M$1,Haver_M!$B$1:$ZN$1,0))),INDEX(Haver_M!$B$1:$ZN$1000,MATCH(data!$A95,Haver_M!$B$1:$B$1000,0),MATCH(data!M$1,Haver_M!$B$1:$ZN$1,0)),"na")</f>
        <v>na</v>
      </c>
      <c r="N95" t="str">
        <f>IF(ISNUMBER(INDEX(Haver_M!$B$1:$ZN$1000,MATCH(data!$A95,Haver_M!$B$1:$B$1000,0),MATCH(data!N$1,Haver_M!$B$1:$ZN$1,0))),INDEX(Haver_M!$B$1:$ZN$1000,MATCH(data!$A95,Haver_M!$B$1:$B$1000,0),MATCH(data!N$1,Haver_M!$B$1:$ZN$1,0)),"na")</f>
        <v>na</v>
      </c>
      <c r="O95">
        <f>IF(ISNUMBER(INDEX(Haver_M!$B$1:$ZN$1000,MATCH(data!$A95,Haver_M!$B$1:$B$1000,0),MATCH(data!O$1,Haver_M!$B$1:$ZN$1,0))),INDEX(Haver_M!$B$1:$ZN$1000,MATCH(data!$A95,Haver_M!$B$1:$B$1000,0),MATCH(data!O$1,Haver_M!$B$1:$ZN$1,0)),"na")</f>
        <v>108.54158</v>
      </c>
      <c r="P95">
        <f>IF(ISNUMBER(INDEX(Haver_M!$B$1:$ZN$1000,MATCH(data!$A95,Haver_M!$B$1:$B$1000,0),MATCH(data!P$1,Haver_M!$B$1:$ZN$1,0))),INDEX(Haver_M!$B$1:$ZN$1000,MATCH(data!$A95,Haver_M!$B$1:$B$1000,0),MATCH(data!P$1,Haver_M!$B$1:$ZN$1,0)),"na")</f>
        <v>64.456699999999998</v>
      </c>
      <c r="Q95">
        <f>IF(ISNUMBER(INDEX(Haver_M!$B$1:$ZN$1000,MATCH(data!$A95,Haver_M!$B$1:$B$1000,0),MATCH(data!Q$1,Haver_M!$B$1:$ZN$1,0))),INDEX(Haver_M!$B$1:$ZN$1000,MATCH(data!$A95,Haver_M!$B$1:$B$1000,0),MATCH(data!Q$1,Haver_M!$B$1:$ZN$1,0)),"na")</f>
        <v>68.260599999999997</v>
      </c>
      <c r="R95">
        <f>IF(ISNUMBER(INDEX(Haver_M!$B$1:$ZN$1000,MATCH(data!$A95,Haver_M!$B$1:$B$1000,0),MATCH(data!R$1,Haver_M!$B$1:$ZN$1,0))),INDEX(Haver_M!$B$1:$ZN$1000,MATCH(data!$A95,Haver_M!$B$1:$B$1000,0),MATCH(data!R$1,Haver_M!$B$1:$ZN$1,0)),"na")</f>
        <v>99.353899999999996</v>
      </c>
      <c r="S95">
        <f>IF(ISNUMBER(INDEX(Haver_M!$B$1:$ZN$1000,MATCH(data!$A95,Haver_M!$B$1:$B$1000,0),MATCH(data!S$1,Haver_M!$B$1:$ZN$1,0))),INDEX(Haver_M!$B$1:$ZN$1000,MATCH(data!$A95,Haver_M!$B$1:$B$1000,0),MATCH(data!S$1,Haver_M!$B$1:$ZN$1,0)),"na")</f>
        <v>107.85299999999999</v>
      </c>
      <c r="T95">
        <f>IF(ISNUMBER(INDEX(Haver_M!$B$1:$ZN$1000,MATCH(data!$A95,Haver_M!$B$1:$B$1000,0),MATCH(data!T$1,Haver_M!$B$1:$ZN$1,0))),INDEX(Haver_M!$B$1:$ZN$1000,MATCH(data!$A95,Haver_M!$B$1:$B$1000,0),MATCH(data!T$1,Haver_M!$B$1:$ZN$1,0)),"na")</f>
        <v>87.814899999999994</v>
      </c>
      <c r="U95">
        <f>IF(ISNUMBER(INDEX(Haver_M!$B$1:$ZN$1000,MATCH(data!$A95,Haver_M!$B$1:$B$1000,0),MATCH(data!U$1,Haver_M!$B$1:$ZN$1,0))),INDEX(Haver_M!$B$1:$ZN$1000,MATCH(data!$A95,Haver_M!$B$1:$B$1000,0),MATCH(data!U$1,Haver_M!$B$1:$ZN$1,0)),"na")</f>
        <v>100.8927</v>
      </c>
      <c r="V95">
        <f>IF(ISNUMBER(INDEX(Haver_M!$B$1:$ZN$1000,MATCH(data!$A95,Haver_M!$B$1:$B$1000,0),MATCH(data!V$1,Haver_M!$B$1:$ZN$1,0))),INDEX(Haver_M!$B$1:$ZN$1000,MATCH(data!$A95,Haver_M!$B$1:$B$1000,0),MATCH(data!V$1,Haver_M!$B$1:$ZN$1,0)),"na")</f>
        <v>95.745199999999997</v>
      </c>
      <c r="W95">
        <f>IF(ISNUMBER(INDEX(Haver_M!$B$1:$ZN$1000,MATCH(data!$A95,Haver_M!$B$1:$B$1000,0),MATCH(data!W$1,Haver_M!$B$1:$ZN$1,0))),INDEX(Haver_M!$B$1:$ZN$1000,MATCH(data!$A95,Haver_M!$B$1:$B$1000,0),MATCH(data!W$1,Haver_M!$B$1:$ZN$1,0)),"na")</f>
        <v>3.7</v>
      </c>
      <c r="X95">
        <f>IF(ISNUMBER(INDEX(Haver_M!$B$1:$ZN$1000,MATCH(data!$A95,Haver_M!$B$1:$B$1000,0),MATCH(data!X$1,Haver_M!$B$1:$ZN$1,0))),INDEX(Haver_M!$B$1:$ZN$1000,MATCH(data!$A95,Haver_M!$B$1:$B$1000,0),MATCH(data!X$1,Haver_M!$B$1:$ZN$1,0)),"na")</f>
        <v>100.77</v>
      </c>
      <c r="Y95">
        <f>IF(ISNUMBER(INDEX(Haver_M!$B$1:$ZN$1000,MATCH(data!$A95,Haver_M!$B$1:$B$1000,0),MATCH(data!Y$1,Haver_M!$B$1:$ZN$1,0))),INDEX(Haver_M!$B$1:$ZN$1000,MATCH(data!$A95,Haver_M!$B$1:$B$1000,0),MATCH(data!Y$1,Haver_M!$B$1:$ZN$1,0)),"na")</f>
        <v>102.15</v>
      </c>
      <c r="Z95">
        <f>IF(ISNUMBER(INDEX(Haver_M!$B$1:$ZN$1000,MATCH(data!$A95,Haver_M!$B$1:$B$1000,0),MATCH(data!Z$1,Haver_M!$B$1:$ZN$1,0))),INDEX(Haver_M!$B$1:$ZN$1000,MATCH(data!$A95,Haver_M!$B$1:$B$1000,0),MATCH(data!Z$1,Haver_M!$B$1:$ZN$1,0)),"na")</f>
        <v>98.311899999999994</v>
      </c>
      <c r="AA95" t="str">
        <f>IF(ISNUMBER(INDEX(Haver_M!$B$1:$ZN$1000,MATCH(data!$A95,Haver_M!$B$1:$B$1000,0),MATCH(data!AA$1,Haver_M!$B$1:$ZN$1,0))),INDEX(Haver_M!$B$1:$ZN$1000,MATCH(data!$A95,Haver_M!$B$1:$B$1000,0),MATCH(data!AA$1,Haver_M!$B$1:$ZN$1,0)),"na")</f>
        <v>na</v>
      </c>
      <c r="AB95">
        <f>IF(ISNUMBER(INDEX(Haver_M!$B$1:$ZN$1000,MATCH(data!$A95,Haver_M!$B$1:$B$1000,0),MATCH(data!AB$1,Haver_M!$B$1:$ZN$1,0))),INDEX(Haver_M!$B$1:$ZN$1000,MATCH(data!$A95,Haver_M!$B$1:$B$1000,0),MATCH(data!AB$1,Haver_M!$B$1:$ZN$1,0)),"na")</f>
        <v>23235.599999999999</v>
      </c>
      <c r="AC95">
        <f>IF(ISNUMBER(INDEX(Haver_M!$B$1:$ZN$1000,MATCH(data!$A95,Haver_M!$B$1:$B$1000,0),MATCH(data!AC$1,Haver_M!$B$1:$ZN$1,0))),INDEX(Haver_M!$B$1:$ZN$1000,MATCH(data!$A95,Haver_M!$B$1:$B$1000,0),MATCH(data!AC$1,Haver_M!$B$1:$ZN$1,0)),"na")</f>
        <v>24210.3</v>
      </c>
      <c r="AD95">
        <f>IF(ISNUMBER(INDEX(Haver_M!$B$1:$ZN$1000,MATCH(data!$A95,Haver_M!$B$1:$B$1000,0),MATCH(data!AD$1,Haver_M!$B$1:$ZN$1,0))),INDEX(Haver_M!$B$1:$ZN$1000,MATCH(data!$A95,Haver_M!$B$1:$B$1000,0),MATCH(data!AD$1,Haver_M!$B$1:$ZN$1,0)),"na")</f>
        <v>101.4</v>
      </c>
      <c r="AE95">
        <f>IF(ISNUMBER(INDEX(Haver_M!$B$1:$ZN$1000,MATCH(data!$A95,Haver_M!$B$1:$B$1000,0),MATCH(data!AE$1,Haver_M!$B$1:$ZN$1,0))),INDEX(Haver_M!$B$1:$ZN$1000,MATCH(data!$A95,Haver_M!$B$1:$B$1000,0),MATCH(data!AE$1,Haver_M!$B$1:$ZN$1,0)),"na")</f>
        <v>42.2</v>
      </c>
      <c r="AF95">
        <f>IF(ISNUMBER(INDEX(Haver_M!$B$1:$ZN$1000,MATCH(data!$A95,Haver_M!$B$1:$B$1000,0),MATCH(data!AF$1,Haver_M!$B$1:$ZN$1,0))),INDEX(Haver_M!$B$1:$ZN$1000,MATCH(data!$A95,Haver_M!$B$1:$B$1000,0),MATCH(data!AF$1,Haver_M!$B$1:$ZN$1,0)),"na")</f>
        <v>101.53</v>
      </c>
      <c r="AG95" t="str">
        <f>IF(ISNUMBER(INDEX(Haver_M!$B$1:$ZN$1000,MATCH(data!$A95,Haver_M!$B$1:$B$1000,0),MATCH(data!AG$1,Haver_M!$B$1:$ZN$1,0))),INDEX(Haver_M!$B$1:$ZN$1000,MATCH(data!$A95,Haver_M!$B$1:$B$1000,0),MATCH(data!AG$1,Haver_M!$B$1:$ZN$1,0)),"na")</f>
        <v>na</v>
      </c>
      <c r="AH95" t="str">
        <f>IF(ISNUMBER(INDEX(Haver_M!$B$1:$ZN$1000,MATCH(data!$A95,Haver_M!$B$1:$B$1000,0),MATCH(data!AH$1,Haver_M!$B$1:$ZN$1,0))),INDEX(Haver_M!$B$1:$ZN$1000,MATCH(data!$A95,Haver_M!$B$1:$B$1000,0),MATCH(data!AH$1,Haver_M!$B$1:$ZN$1,0)),"na")</f>
        <v>na</v>
      </c>
      <c r="AI95" t="str">
        <f>IF(ISNUMBER(INDEX(Haver_M!$B$1:$ZN$1000,MATCH(data!$A95,Haver_M!$B$1:$B$1000,0),MATCH(data!AI$1,Haver_M!$B$1:$ZN$1,0))),INDEX(Haver_M!$B$1:$ZN$1000,MATCH(data!$A95,Haver_M!$B$1:$B$1000,0),MATCH(data!AI$1,Haver_M!$B$1:$ZN$1,0)),"na")</f>
        <v>na</v>
      </c>
      <c r="AJ95" t="str">
        <f>IF(ISNUMBER(INDEX(Haver_M!$B$1:$ZN$1000,MATCH(data!$A95,Haver_M!$B$1:$B$1000,0),MATCH(data!AJ$1,Haver_M!$B$1:$ZN$1,0))),INDEX(Haver_M!$B$1:$ZN$1000,MATCH(data!$A95,Haver_M!$B$1:$B$1000,0),MATCH(data!AJ$1,Haver_M!$B$1:$ZN$1,0)),"na")</f>
        <v>na</v>
      </c>
      <c r="AK95" t="str">
        <f>IF(ISNUMBER(INDEX(Haver_M!$B$1:$ZN$1000,MATCH(data!$A95,Haver_M!$B$1:$B$1000,0),MATCH(data!AK$1,Haver_M!$B$1:$ZN$1,0))),INDEX(Haver_M!$B$1:$ZN$1000,MATCH(data!$A95,Haver_M!$B$1:$B$1000,0),MATCH(data!AK$1,Haver_M!$B$1:$ZN$1,0)),"na")</f>
        <v>na</v>
      </c>
      <c r="AL95" t="str">
        <f>IF(ISNUMBER(INDEX(Haver_M!$B$1:$ZN$1000,MATCH(data!$A95,Haver_M!$B$1:$B$1000,0),MATCH(data!AL$1,Haver_M!$B$1:$ZN$1,0))),INDEX(Haver_M!$B$1:$ZN$1000,MATCH(data!$A95,Haver_M!$B$1:$B$1000,0),MATCH(data!AL$1,Haver_M!$B$1:$ZN$1,0)),"na")</f>
        <v>na</v>
      </c>
      <c r="AM95" t="str">
        <f>IF(ISNUMBER(INDEX(Haver_M!$B$1:$ZN$1000,MATCH(data!$A95,Haver_M!$B$1:$B$1000,0),MATCH(data!AM$1,Haver_M!$B$1:$ZN$1,0))),INDEX(Haver_M!$B$1:$ZN$1000,MATCH(data!$A95,Haver_M!$B$1:$B$1000,0),MATCH(data!AM$1,Haver_M!$B$1:$ZN$1,0)),"na")</f>
        <v>na</v>
      </c>
      <c r="AN95" t="str">
        <f>IF(ISNUMBER(INDEX(Haver_M!$B$1:$ZN$1000,MATCH(data!$A95,Haver_M!$B$1:$B$1000,0),MATCH(data!AN$1,Haver_M!$B$1:$ZN$1,0))),INDEX(Haver_M!$B$1:$ZN$1000,MATCH(data!$A95,Haver_M!$B$1:$B$1000,0),MATCH(data!AN$1,Haver_M!$B$1:$ZN$1,0)),"na")</f>
        <v>na</v>
      </c>
      <c r="AO95" t="str">
        <f>IF(ISNUMBER(INDEX(Haver_M!$B$1:$ZN$1000,MATCH(data!$A95,Haver_M!$B$1:$B$1000,0),MATCH(data!AO$1,Haver_M!$B$1:$ZN$1,0))),INDEX(Haver_M!$B$1:$ZN$1000,MATCH(data!$A95,Haver_M!$B$1:$B$1000,0),MATCH(data!AO$1,Haver_M!$B$1:$ZN$1,0)),"na")</f>
        <v>na</v>
      </c>
      <c r="AP95" t="str">
        <f>IF(ISNUMBER(INDEX(Haver_M!$B$1:$ZN$1000,MATCH(data!$A95,Haver_M!$B$1:$B$1000,0),MATCH(data!AP$1,Haver_M!$B$1:$ZN$1,0))),INDEX(Haver_M!$B$1:$ZN$1000,MATCH(data!$A95,Haver_M!$B$1:$B$1000,0),MATCH(data!AP$1,Haver_M!$B$1:$ZN$1,0)),"na")</f>
        <v>na</v>
      </c>
      <c r="AQ95" t="str">
        <f>IF(ISNUMBER(INDEX(Haver_M!$B$1:$ZN$1000,MATCH(data!$A95,Haver_M!$B$1:$B$1000,0),MATCH(data!AQ$1,Haver_M!$B$1:$ZN$1,0))),INDEX(Haver_M!$B$1:$ZN$1000,MATCH(data!$A95,Haver_M!$B$1:$B$1000,0),MATCH(data!AQ$1,Haver_M!$B$1:$ZN$1,0)),"na")</f>
        <v>na</v>
      </c>
      <c r="AR95" t="str">
        <f>IF(ISNUMBER(INDEX(Haver_M!$B$1:$ZN$1000,MATCH(data!$A95,Haver_M!$B$1:$B$1000,0),MATCH(data!AR$1,Haver_M!$B$1:$ZN$1,0))),INDEX(Haver_M!$B$1:$ZN$1000,MATCH(data!$A95,Haver_M!$B$1:$B$1000,0),MATCH(data!AR$1,Haver_M!$B$1:$ZN$1,0)),"na")</f>
        <v>na</v>
      </c>
      <c r="AS95">
        <f>IF(ISNUMBER(INDEX(Haver_M!$B$1:$ZN$1000,MATCH(data!$A95,Haver_M!$B$1:$B$1000,0),MATCH(data!AS$1,Haver_M!$B$1:$ZN$1,0))),INDEX(Haver_M!$B$1:$ZN$1000,MATCH(data!$A95,Haver_M!$B$1:$B$1000,0),MATCH(data!AS$1,Haver_M!$B$1:$ZN$1,0)),"na")</f>
        <v>31908.49</v>
      </c>
      <c r="AT95">
        <f>IF(ISNUMBER(INDEX(Haver_M!$B$1:$ZN$1000,MATCH(data!$A95,Haver_M!$B$1:$B$1000,0),MATCH(data!AT$1,Haver_M!$B$1:$ZN$1,0))),INDEX(Haver_M!$B$1:$ZN$1000,MATCH(data!$A95,Haver_M!$B$1:$B$1000,0),MATCH(data!AT$1,Haver_M!$B$1:$ZN$1,0)),"na")</f>
        <v>96.42</v>
      </c>
      <c r="AU95">
        <f>IF(ISNUMBER(INDEX(Haver_M!$B$1:$ZN$1000,MATCH(data!$A95,Haver_M!$B$1:$B$1000,0),MATCH(data!AU$1,Haver_M!$B$1:$ZN$1,0))),INDEX(Haver_M!$B$1:$ZN$1000,MATCH(data!$A95,Haver_M!$B$1:$B$1000,0),MATCH(data!AU$1,Haver_M!$B$1:$ZN$1,0)),"na")</f>
        <v>92.582392999999996</v>
      </c>
      <c r="AV95">
        <f>IF(ISNUMBER(INDEX(Haver_M!$B$1:$ZN$1000,MATCH(data!$A95,Haver_M!$B$1:$B$1000,0),MATCH(data!AV$1,Haver_M!$B$1:$ZN$1,0))),INDEX(Haver_M!$B$1:$ZN$1000,MATCH(data!$A95,Haver_M!$B$1:$B$1000,0),MATCH(data!AV$1,Haver_M!$B$1:$ZN$1,0)),"na")</f>
        <v>96.3</v>
      </c>
      <c r="AW95">
        <f>IF(ISNUMBER(INDEX(Haver_M!$B$1:$ZN$1000,MATCH(data!$A95,Haver_M!$B$1:$B$1000,0),MATCH(data!AW$1,Haver_M!$B$1:$ZN$1,0))),INDEX(Haver_M!$B$1:$ZN$1000,MATCH(data!$A95,Haver_M!$B$1:$B$1000,0),MATCH(data!AW$1,Haver_M!$B$1:$ZN$1,0)),"na")</f>
        <v>1100103.9481472957</v>
      </c>
      <c r="AX95">
        <f>IF(ISNUMBER(INDEX(Haver_M!$B$1:$ZN$1000,MATCH(data!$A95,Haver_M!$B$1:$B$1000,0),MATCH(data!AX$1,Haver_M!$B$1:$ZN$1,0))),INDEX(Haver_M!$B$1:$ZN$1000,MATCH(data!$A95,Haver_M!$B$1:$B$1000,0),MATCH(data!AX$1,Haver_M!$B$1:$ZN$1,0)),"na")</f>
        <v>3006</v>
      </c>
      <c r="AY95">
        <f>IF(ISNUMBER(INDEX(Haver_M!$B$1:$ZN$1000,MATCH(data!$A95,Haver_M!$B$1:$B$1000,0),MATCH(data!AY$1,Haver_M!$B$1:$ZN$1,0))),INDEX(Haver_M!$B$1:$ZN$1000,MATCH(data!$A95,Haver_M!$B$1:$B$1000,0),MATCH(data!AY$1,Haver_M!$B$1:$ZN$1,0)),"na")</f>
        <v>1503</v>
      </c>
      <c r="AZ95">
        <f>IF(ISNUMBER(INDEX(Haver_M!$B$1:$ZN$1000,MATCH(data!$A95,Haver_M!$B$1:$B$1000,0),MATCH(data!AZ$1,Haver_M!$B$1:$ZN$1,0))),INDEX(Haver_M!$B$1:$ZN$1000,MATCH(data!$A95,Haver_M!$B$1:$B$1000,0),MATCH(data!AZ$1,Haver_M!$B$1:$ZN$1,0)),"na")</f>
        <v>52.5</v>
      </c>
      <c r="BA95">
        <f>IF(ISNUMBER(INDEX(Haver_M!$B$1:$ZN$1000,MATCH(data!$A95,Haver_M!$B$1:$B$1000,0),MATCH(data!BA$1,Haver_M!$B$1:$ZN$1,0))),INDEX(Haver_M!$B$1:$ZN$1000,MATCH(data!$A95,Haver_M!$B$1:$B$1000,0),MATCH(data!BA$1,Haver_M!$B$1:$ZN$1,0)),"na")</f>
        <v>52.449882055473644</v>
      </c>
      <c r="BB95" t="str">
        <f>IF(ISNUMBER(INDEX(Haver_M!$B$1:$ZN$1000,MATCH(data!$A95,Haver_M!$B$1:$B$1000,0),MATCH(data!BB$1,Haver_M!$B$1:$ZN$1,0))),INDEX(Haver_M!$B$1:$ZN$1000,MATCH(data!$A95,Haver_M!$B$1:$B$1000,0),MATCH(data!BB$1,Haver_M!$B$1:$ZN$1,0)),"")</f>
        <v/>
      </c>
    </row>
    <row r="96" spans="1:54" x14ac:dyDescent="0.25">
      <c r="A96" s="2">
        <v>39416</v>
      </c>
      <c r="B96" t="str">
        <f>IF(ISNUMBER(INDEX(Haver_Q!$B$1:$BD$1000,MATCH(data!$A96,Haver_Q!$B$1:$B$1000,0),MATCH(data!B$1,Haver_Q!$B$1:$BD$1,0))),100*INDEX(Haver_Q!$B$1:$BD$1000,MATCH(data!$A96,Haver_Q!$B$1:$B$1000,0),MATCH(data!B$1,Haver_Q!$B$1:$BD$1,0)),"na")</f>
        <v>na</v>
      </c>
      <c r="C96" t="str">
        <f>IF(ISNUMBER(INDEX(Haver_Q!$B$1:$BD$1000,MATCH(data!$A96,Haver_Q!$B$1:$B$1000,0),MATCH(data!C$1,Haver_Q!$B$1:$BD$1,0))),100*INDEX(Haver_Q!$B$1:$BD$1000,MATCH(data!$A96,Haver_Q!$B$1:$B$1000,0),MATCH(data!C$1,Haver_Q!$B$1:$BD$1,0)),"na")</f>
        <v>na</v>
      </c>
      <c r="D96" t="str">
        <f>IF(ISNUMBER(INDEX(Haver_Q!$B$1:$BD$1000,MATCH(data!$A96,Haver_Q!$B$1:$B$1000,0),MATCH(data!D$1,Haver_Q!$B$1:$BD$1,0))),100*INDEX(Haver_Q!$B$1:$BD$1000,MATCH(data!$A96,Haver_Q!$B$1:$B$1000,0),MATCH(data!D$1,Haver_Q!$B$1:$BD$1,0)),"na")</f>
        <v>na</v>
      </c>
      <c r="E96" t="str">
        <f>IF(ISNUMBER(INDEX(Haver_Q!$B$1:$BD$1000,MATCH(data!$A96,Haver_Q!$B$1:$B$1000,0),MATCH(data!E$1,Haver_Q!$B$1:$BD$1,0))),100*INDEX(Haver_Q!$B$1:$BD$1000,MATCH(data!$A96,Haver_Q!$B$1:$B$1000,0),MATCH(data!E$1,Haver_Q!$B$1:$BD$1,0)),"na")</f>
        <v>na</v>
      </c>
      <c r="F96" t="str">
        <f>IF(ISNUMBER(INDEX(Haver_Q!$B$1:$BD$1000,MATCH(data!$A96,Haver_Q!$B$1:$B$1000,0),MATCH(data!F$1,Haver_Q!$B$1:$BD$1,0))),100*INDEX(Haver_Q!$B$1:$BD$1000,MATCH(data!$A96,Haver_Q!$B$1:$B$1000,0),MATCH(data!F$1,Haver_Q!$B$1:$BD$1,0)),"na")</f>
        <v>na</v>
      </c>
      <c r="G96" t="str">
        <f>IF(ISNUMBER(INDEX(Haver_Q!$B$1:$BD$1000,MATCH(data!$A96,Haver_Q!$B$1:$B$1000,0),MATCH(data!G$1,Haver_Q!$B$1:$BD$1,0))),100*INDEX(Haver_Q!$B$1:$BD$1000,MATCH(data!$A96,Haver_Q!$B$1:$B$1000,0),MATCH(data!G$1,Haver_Q!$B$1:$BD$1,0)),"na")</f>
        <v>na</v>
      </c>
      <c r="H96" t="str">
        <f>IF(ISNUMBER(INDEX(Haver_Q!$B$1:$BD$1000,MATCH(data!$A96,Haver_Q!$B$1:$B$1000,0),MATCH(data!H$1,Haver_Q!$B$1:$BD$1,0))),100*INDEX(Haver_Q!$B$1:$BD$1000,MATCH(data!$A96,Haver_Q!$B$1:$B$1000,0),MATCH(data!H$1,Haver_Q!$B$1:$BD$1,0)),"na")</f>
        <v>na</v>
      </c>
      <c r="I96" s="3">
        <f>IF(ISNUMBER(Bloomberg_m!C112),Bloomberg_m!C112,"na")</f>
        <v>10543</v>
      </c>
      <c r="J96" s="3" t="str">
        <f>IF(ISNUMBER(Bloomberg_m!D112),Bloomberg_m!D112,"na")</f>
        <v>na</v>
      </c>
      <c r="K96" s="3" t="str">
        <f>IF(ISNUMBER(Bloomberg_m!E112),Bloomberg_m!E112,"na")</f>
        <v>na</v>
      </c>
      <c r="L96" s="3">
        <f>IF(ISNUMBER(Bloomberg_m!L112),Bloomberg_m!L112,"na")</f>
        <v>94.76</v>
      </c>
      <c r="M96" t="str">
        <f>IF(ISNUMBER(INDEX(Haver_M!$B$1:$ZN$1000,MATCH(data!$A96,Haver_M!$B$1:$B$1000,0),MATCH(data!M$1,Haver_M!$B$1:$ZN$1,0))),INDEX(Haver_M!$B$1:$ZN$1000,MATCH(data!$A96,Haver_M!$B$1:$B$1000,0),MATCH(data!M$1,Haver_M!$B$1:$ZN$1,0)),"na")</f>
        <v>na</v>
      </c>
      <c r="N96" t="str">
        <f>IF(ISNUMBER(INDEX(Haver_M!$B$1:$ZN$1000,MATCH(data!$A96,Haver_M!$B$1:$B$1000,0),MATCH(data!N$1,Haver_M!$B$1:$ZN$1,0))),INDEX(Haver_M!$B$1:$ZN$1000,MATCH(data!$A96,Haver_M!$B$1:$B$1000,0),MATCH(data!N$1,Haver_M!$B$1:$ZN$1,0)),"na")</f>
        <v>na</v>
      </c>
      <c r="O96">
        <f>IF(ISNUMBER(INDEX(Haver_M!$B$1:$ZN$1000,MATCH(data!$A96,Haver_M!$B$1:$B$1000,0),MATCH(data!O$1,Haver_M!$B$1:$ZN$1,0))),INDEX(Haver_M!$B$1:$ZN$1000,MATCH(data!$A96,Haver_M!$B$1:$B$1000,0),MATCH(data!O$1,Haver_M!$B$1:$ZN$1,0)),"na")</f>
        <v>107.21441</v>
      </c>
      <c r="P96">
        <f>IF(ISNUMBER(INDEX(Haver_M!$B$1:$ZN$1000,MATCH(data!$A96,Haver_M!$B$1:$B$1000,0),MATCH(data!P$1,Haver_M!$B$1:$ZN$1,0))),INDEX(Haver_M!$B$1:$ZN$1000,MATCH(data!$A96,Haver_M!$B$1:$B$1000,0),MATCH(data!P$1,Haver_M!$B$1:$ZN$1,0)),"na")</f>
        <v>64.623999999999995</v>
      </c>
      <c r="Q96">
        <f>IF(ISNUMBER(INDEX(Haver_M!$B$1:$ZN$1000,MATCH(data!$A96,Haver_M!$B$1:$B$1000,0),MATCH(data!Q$1,Haver_M!$B$1:$ZN$1,0))),INDEX(Haver_M!$B$1:$ZN$1000,MATCH(data!$A96,Haver_M!$B$1:$B$1000,0),MATCH(data!Q$1,Haver_M!$B$1:$ZN$1,0)),"na")</f>
        <v>68.472899999999996</v>
      </c>
      <c r="R96">
        <f>IF(ISNUMBER(INDEX(Haver_M!$B$1:$ZN$1000,MATCH(data!$A96,Haver_M!$B$1:$B$1000,0),MATCH(data!R$1,Haver_M!$B$1:$ZN$1,0))),INDEX(Haver_M!$B$1:$ZN$1000,MATCH(data!$A96,Haver_M!$B$1:$B$1000,0),MATCH(data!R$1,Haver_M!$B$1:$ZN$1,0)),"na")</f>
        <v>98.584500000000006</v>
      </c>
      <c r="S96">
        <f>IF(ISNUMBER(INDEX(Haver_M!$B$1:$ZN$1000,MATCH(data!$A96,Haver_M!$B$1:$B$1000,0),MATCH(data!S$1,Haver_M!$B$1:$ZN$1,0))),INDEX(Haver_M!$B$1:$ZN$1000,MATCH(data!$A96,Haver_M!$B$1:$B$1000,0),MATCH(data!S$1,Haver_M!$B$1:$ZN$1,0)),"na")</f>
        <v>105.7568</v>
      </c>
      <c r="T96">
        <f>IF(ISNUMBER(INDEX(Haver_M!$B$1:$ZN$1000,MATCH(data!$A96,Haver_M!$B$1:$B$1000,0),MATCH(data!T$1,Haver_M!$B$1:$ZN$1,0))),INDEX(Haver_M!$B$1:$ZN$1000,MATCH(data!$A96,Haver_M!$B$1:$B$1000,0),MATCH(data!T$1,Haver_M!$B$1:$ZN$1,0)),"na")</f>
        <v>88.007400000000004</v>
      </c>
      <c r="U96">
        <f>IF(ISNUMBER(INDEX(Haver_M!$B$1:$ZN$1000,MATCH(data!$A96,Haver_M!$B$1:$B$1000,0),MATCH(data!U$1,Haver_M!$B$1:$ZN$1,0))),INDEX(Haver_M!$B$1:$ZN$1000,MATCH(data!$A96,Haver_M!$B$1:$B$1000,0),MATCH(data!U$1,Haver_M!$B$1:$ZN$1,0)),"na")</f>
        <v>102.5301</v>
      </c>
      <c r="V96">
        <f>IF(ISNUMBER(INDEX(Haver_M!$B$1:$ZN$1000,MATCH(data!$A96,Haver_M!$B$1:$B$1000,0),MATCH(data!V$1,Haver_M!$B$1:$ZN$1,0))),INDEX(Haver_M!$B$1:$ZN$1000,MATCH(data!$A96,Haver_M!$B$1:$B$1000,0),MATCH(data!V$1,Haver_M!$B$1:$ZN$1,0)),"na")</f>
        <v>94.816000000000003</v>
      </c>
      <c r="W96">
        <f>IF(ISNUMBER(INDEX(Haver_M!$B$1:$ZN$1000,MATCH(data!$A96,Haver_M!$B$1:$B$1000,0),MATCH(data!W$1,Haver_M!$B$1:$ZN$1,0))),INDEX(Haver_M!$B$1:$ZN$1000,MATCH(data!$A96,Haver_M!$B$1:$B$1000,0),MATCH(data!W$1,Haver_M!$B$1:$ZN$1,0)),"na")</f>
        <v>3.67</v>
      </c>
      <c r="X96">
        <f>IF(ISNUMBER(INDEX(Haver_M!$B$1:$ZN$1000,MATCH(data!$A96,Haver_M!$B$1:$B$1000,0),MATCH(data!X$1,Haver_M!$B$1:$ZN$1,0))),INDEX(Haver_M!$B$1:$ZN$1000,MATCH(data!$A96,Haver_M!$B$1:$B$1000,0),MATCH(data!X$1,Haver_M!$B$1:$ZN$1,0)),"na")</f>
        <v>99.67</v>
      </c>
      <c r="Y96">
        <f>IF(ISNUMBER(INDEX(Haver_M!$B$1:$ZN$1000,MATCH(data!$A96,Haver_M!$B$1:$B$1000,0),MATCH(data!Y$1,Haver_M!$B$1:$ZN$1,0))),INDEX(Haver_M!$B$1:$ZN$1000,MATCH(data!$A96,Haver_M!$B$1:$B$1000,0),MATCH(data!Y$1,Haver_M!$B$1:$ZN$1,0)),"na")</f>
        <v>102.05</v>
      </c>
      <c r="Z96">
        <f>IF(ISNUMBER(INDEX(Haver_M!$B$1:$ZN$1000,MATCH(data!$A96,Haver_M!$B$1:$B$1000,0),MATCH(data!Z$1,Haver_M!$B$1:$ZN$1,0))),INDEX(Haver_M!$B$1:$ZN$1000,MATCH(data!$A96,Haver_M!$B$1:$B$1000,0),MATCH(data!Z$1,Haver_M!$B$1:$ZN$1,0)),"na")</f>
        <v>97.901499999999999</v>
      </c>
      <c r="AA96" t="str">
        <f>IF(ISNUMBER(INDEX(Haver_M!$B$1:$ZN$1000,MATCH(data!$A96,Haver_M!$B$1:$B$1000,0),MATCH(data!AA$1,Haver_M!$B$1:$ZN$1,0))),INDEX(Haver_M!$B$1:$ZN$1000,MATCH(data!$A96,Haver_M!$B$1:$B$1000,0),MATCH(data!AA$1,Haver_M!$B$1:$ZN$1,0)),"na")</f>
        <v>na</v>
      </c>
      <c r="AB96">
        <f>IF(ISNUMBER(INDEX(Haver_M!$B$1:$ZN$1000,MATCH(data!$A96,Haver_M!$B$1:$B$1000,0),MATCH(data!AB$1,Haver_M!$B$1:$ZN$1,0))),INDEX(Haver_M!$B$1:$ZN$1000,MATCH(data!$A96,Haver_M!$B$1:$B$1000,0),MATCH(data!AB$1,Haver_M!$B$1:$ZN$1,0)),"na")</f>
        <v>24566.6</v>
      </c>
      <c r="AC96">
        <f>IF(ISNUMBER(INDEX(Haver_M!$B$1:$ZN$1000,MATCH(data!$A96,Haver_M!$B$1:$B$1000,0),MATCH(data!AC$1,Haver_M!$B$1:$ZN$1,0))),INDEX(Haver_M!$B$1:$ZN$1000,MATCH(data!$A96,Haver_M!$B$1:$B$1000,0),MATCH(data!AC$1,Haver_M!$B$1:$ZN$1,0)),"na")</f>
        <v>24307.1</v>
      </c>
      <c r="AD96">
        <f>IF(ISNUMBER(INDEX(Haver_M!$B$1:$ZN$1000,MATCH(data!$A96,Haver_M!$B$1:$B$1000,0),MATCH(data!AD$1,Haver_M!$B$1:$ZN$1,0))),INDEX(Haver_M!$B$1:$ZN$1000,MATCH(data!$A96,Haver_M!$B$1:$B$1000,0),MATCH(data!AD$1,Haver_M!$B$1:$ZN$1,0)),"na")</f>
        <v>101.44</v>
      </c>
      <c r="AE96">
        <f>IF(ISNUMBER(INDEX(Haver_M!$B$1:$ZN$1000,MATCH(data!$A96,Haver_M!$B$1:$B$1000,0),MATCH(data!AE$1,Haver_M!$B$1:$ZN$1,0))),INDEX(Haver_M!$B$1:$ZN$1000,MATCH(data!$A96,Haver_M!$B$1:$B$1000,0),MATCH(data!AE$1,Haver_M!$B$1:$ZN$1,0)),"na")</f>
        <v>41.9</v>
      </c>
      <c r="AF96">
        <f>IF(ISNUMBER(INDEX(Haver_M!$B$1:$ZN$1000,MATCH(data!$A96,Haver_M!$B$1:$B$1000,0),MATCH(data!AF$1,Haver_M!$B$1:$ZN$1,0))),INDEX(Haver_M!$B$1:$ZN$1000,MATCH(data!$A96,Haver_M!$B$1:$B$1000,0),MATCH(data!AF$1,Haver_M!$B$1:$ZN$1,0)),"na")</f>
        <v>101.44</v>
      </c>
      <c r="AG96" t="str">
        <f>IF(ISNUMBER(INDEX(Haver_M!$B$1:$ZN$1000,MATCH(data!$A96,Haver_M!$B$1:$B$1000,0),MATCH(data!AG$1,Haver_M!$B$1:$ZN$1,0))),INDEX(Haver_M!$B$1:$ZN$1000,MATCH(data!$A96,Haver_M!$B$1:$B$1000,0),MATCH(data!AG$1,Haver_M!$B$1:$ZN$1,0)),"na")</f>
        <v>na</v>
      </c>
      <c r="AH96" t="str">
        <f>IF(ISNUMBER(INDEX(Haver_M!$B$1:$ZN$1000,MATCH(data!$A96,Haver_M!$B$1:$B$1000,0),MATCH(data!AH$1,Haver_M!$B$1:$ZN$1,0))),INDEX(Haver_M!$B$1:$ZN$1000,MATCH(data!$A96,Haver_M!$B$1:$B$1000,0),MATCH(data!AH$1,Haver_M!$B$1:$ZN$1,0)),"na")</f>
        <v>na</v>
      </c>
      <c r="AI96" t="str">
        <f>IF(ISNUMBER(INDEX(Haver_M!$B$1:$ZN$1000,MATCH(data!$A96,Haver_M!$B$1:$B$1000,0),MATCH(data!AI$1,Haver_M!$B$1:$ZN$1,0))),INDEX(Haver_M!$B$1:$ZN$1000,MATCH(data!$A96,Haver_M!$B$1:$B$1000,0),MATCH(data!AI$1,Haver_M!$B$1:$ZN$1,0)),"na")</f>
        <v>na</v>
      </c>
      <c r="AJ96" t="str">
        <f>IF(ISNUMBER(INDEX(Haver_M!$B$1:$ZN$1000,MATCH(data!$A96,Haver_M!$B$1:$B$1000,0),MATCH(data!AJ$1,Haver_M!$B$1:$ZN$1,0))),INDEX(Haver_M!$B$1:$ZN$1000,MATCH(data!$A96,Haver_M!$B$1:$B$1000,0),MATCH(data!AJ$1,Haver_M!$B$1:$ZN$1,0)),"na")</f>
        <v>na</v>
      </c>
      <c r="AK96" t="str">
        <f>IF(ISNUMBER(INDEX(Haver_M!$B$1:$ZN$1000,MATCH(data!$A96,Haver_M!$B$1:$B$1000,0),MATCH(data!AK$1,Haver_M!$B$1:$ZN$1,0))),INDEX(Haver_M!$B$1:$ZN$1000,MATCH(data!$A96,Haver_M!$B$1:$B$1000,0),MATCH(data!AK$1,Haver_M!$B$1:$ZN$1,0)),"na")</f>
        <v>na</v>
      </c>
      <c r="AL96" t="str">
        <f>IF(ISNUMBER(INDEX(Haver_M!$B$1:$ZN$1000,MATCH(data!$A96,Haver_M!$B$1:$B$1000,0),MATCH(data!AL$1,Haver_M!$B$1:$ZN$1,0))),INDEX(Haver_M!$B$1:$ZN$1000,MATCH(data!$A96,Haver_M!$B$1:$B$1000,0),MATCH(data!AL$1,Haver_M!$B$1:$ZN$1,0)),"na")</f>
        <v>na</v>
      </c>
      <c r="AM96" t="str">
        <f>IF(ISNUMBER(INDEX(Haver_M!$B$1:$ZN$1000,MATCH(data!$A96,Haver_M!$B$1:$B$1000,0),MATCH(data!AM$1,Haver_M!$B$1:$ZN$1,0))),INDEX(Haver_M!$B$1:$ZN$1000,MATCH(data!$A96,Haver_M!$B$1:$B$1000,0),MATCH(data!AM$1,Haver_M!$B$1:$ZN$1,0)),"na")</f>
        <v>na</v>
      </c>
      <c r="AN96" t="str">
        <f>IF(ISNUMBER(INDEX(Haver_M!$B$1:$ZN$1000,MATCH(data!$A96,Haver_M!$B$1:$B$1000,0),MATCH(data!AN$1,Haver_M!$B$1:$ZN$1,0))),INDEX(Haver_M!$B$1:$ZN$1000,MATCH(data!$A96,Haver_M!$B$1:$B$1000,0),MATCH(data!AN$1,Haver_M!$B$1:$ZN$1,0)),"na")</f>
        <v>na</v>
      </c>
      <c r="AO96" t="str">
        <f>IF(ISNUMBER(INDEX(Haver_M!$B$1:$ZN$1000,MATCH(data!$A96,Haver_M!$B$1:$B$1000,0),MATCH(data!AO$1,Haver_M!$B$1:$ZN$1,0))),INDEX(Haver_M!$B$1:$ZN$1000,MATCH(data!$A96,Haver_M!$B$1:$B$1000,0),MATCH(data!AO$1,Haver_M!$B$1:$ZN$1,0)),"na")</f>
        <v>na</v>
      </c>
      <c r="AP96" t="str">
        <f>IF(ISNUMBER(INDEX(Haver_M!$B$1:$ZN$1000,MATCH(data!$A96,Haver_M!$B$1:$B$1000,0),MATCH(data!AP$1,Haver_M!$B$1:$ZN$1,0))),INDEX(Haver_M!$B$1:$ZN$1000,MATCH(data!$A96,Haver_M!$B$1:$B$1000,0),MATCH(data!AP$1,Haver_M!$B$1:$ZN$1,0)),"na")</f>
        <v>na</v>
      </c>
      <c r="AQ96" t="str">
        <f>IF(ISNUMBER(INDEX(Haver_M!$B$1:$ZN$1000,MATCH(data!$A96,Haver_M!$B$1:$B$1000,0),MATCH(data!AQ$1,Haver_M!$B$1:$ZN$1,0))),INDEX(Haver_M!$B$1:$ZN$1000,MATCH(data!$A96,Haver_M!$B$1:$B$1000,0),MATCH(data!AQ$1,Haver_M!$B$1:$ZN$1,0)),"na")</f>
        <v>na</v>
      </c>
      <c r="AR96" t="str">
        <f>IF(ISNUMBER(INDEX(Haver_M!$B$1:$ZN$1000,MATCH(data!$A96,Haver_M!$B$1:$B$1000,0),MATCH(data!AR$1,Haver_M!$B$1:$ZN$1,0))),INDEX(Haver_M!$B$1:$ZN$1000,MATCH(data!$A96,Haver_M!$B$1:$B$1000,0),MATCH(data!AR$1,Haver_M!$B$1:$ZN$1,0)),"na")</f>
        <v>na</v>
      </c>
      <c r="AS96">
        <f>IF(ISNUMBER(INDEX(Haver_M!$B$1:$ZN$1000,MATCH(data!$A96,Haver_M!$B$1:$B$1000,0),MATCH(data!AS$1,Haver_M!$B$1:$ZN$1,0))),INDEX(Haver_M!$B$1:$ZN$1000,MATCH(data!$A96,Haver_M!$B$1:$B$1000,0),MATCH(data!AS$1,Haver_M!$B$1:$ZN$1,0)),"na")</f>
        <v>29311.57</v>
      </c>
      <c r="AT96">
        <f>IF(ISNUMBER(INDEX(Haver_M!$B$1:$ZN$1000,MATCH(data!$A96,Haver_M!$B$1:$B$1000,0),MATCH(data!AT$1,Haver_M!$B$1:$ZN$1,0))),INDEX(Haver_M!$B$1:$ZN$1000,MATCH(data!$A96,Haver_M!$B$1:$B$1000,0),MATCH(data!AT$1,Haver_M!$B$1:$ZN$1,0)),"na")</f>
        <v>95.024000000000001</v>
      </c>
      <c r="AU96">
        <f>IF(ISNUMBER(INDEX(Haver_M!$B$1:$ZN$1000,MATCH(data!$A96,Haver_M!$B$1:$B$1000,0),MATCH(data!AU$1,Haver_M!$B$1:$ZN$1,0))),INDEX(Haver_M!$B$1:$ZN$1000,MATCH(data!$A96,Haver_M!$B$1:$B$1000,0),MATCH(data!AU$1,Haver_M!$B$1:$ZN$1,0)),"na")</f>
        <v>91.896552</v>
      </c>
      <c r="AV96">
        <f>IF(ISNUMBER(INDEX(Haver_M!$B$1:$ZN$1000,MATCH(data!$A96,Haver_M!$B$1:$B$1000,0),MATCH(data!AV$1,Haver_M!$B$1:$ZN$1,0))),INDEX(Haver_M!$B$1:$ZN$1000,MATCH(data!$A96,Haver_M!$B$1:$B$1000,0),MATCH(data!AV$1,Haver_M!$B$1:$ZN$1,0)),"na")</f>
        <v>97.4</v>
      </c>
      <c r="AW96">
        <f>IF(ISNUMBER(INDEX(Haver_M!$B$1:$ZN$1000,MATCH(data!$A96,Haver_M!$B$1:$B$1000,0),MATCH(data!AW$1,Haver_M!$B$1:$ZN$1,0))),INDEX(Haver_M!$B$1:$ZN$1000,MATCH(data!$A96,Haver_M!$B$1:$B$1000,0),MATCH(data!AW$1,Haver_M!$B$1:$ZN$1,0)),"na")</f>
        <v>1089621.7903686718</v>
      </c>
      <c r="AX96">
        <f>IF(ISNUMBER(INDEX(Haver_M!$B$1:$ZN$1000,MATCH(data!$A96,Haver_M!$B$1:$B$1000,0),MATCH(data!AX$1,Haver_M!$B$1:$ZN$1,0))),INDEX(Haver_M!$B$1:$ZN$1000,MATCH(data!$A96,Haver_M!$B$1:$B$1000,0),MATCH(data!AX$1,Haver_M!$B$1:$ZN$1,0)),"na")</f>
        <v>2926</v>
      </c>
      <c r="AY96">
        <f>IF(ISNUMBER(INDEX(Haver_M!$B$1:$ZN$1000,MATCH(data!$A96,Haver_M!$B$1:$B$1000,0),MATCH(data!AY$1,Haver_M!$B$1:$ZN$1,0))),INDEX(Haver_M!$B$1:$ZN$1000,MATCH(data!$A96,Haver_M!$B$1:$B$1000,0),MATCH(data!AY$1,Haver_M!$B$1:$ZN$1,0)),"na")</f>
        <v>1872</v>
      </c>
      <c r="AZ96">
        <f>IF(ISNUMBER(INDEX(Haver_M!$B$1:$ZN$1000,MATCH(data!$A96,Haver_M!$B$1:$B$1000,0),MATCH(data!AZ$1,Haver_M!$B$1:$ZN$1,0))),INDEX(Haver_M!$B$1:$ZN$1000,MATCH(data!$A96,Haver_M!$B$1:$B$1000,0),MATCH(data!AZ$1,Haver_M!$B$1:$ZN$1,0)),"na")</f>
        <v>51.2</v>
      </c>
      <c r="BA96">
        <f>IF(ISNUMBER(INDEX(Haver_M!$B$1:$ZN$1000,MATCH(data!$A96,Haver_M!$B$1:$B$1000,0),MATCH(data!BA$1,Haver_M!$B$1:$ZN$1,0))),INDEX(Haver_M!$B$1:$ZN$1000,MATCH(data!$A96,Haver_M!$B$1:$B$1000,0),MATCH(data!BA$1,Haver_M!$B$1:$ZN$1,0)),"na")</f>
        <v>63.137070084785741</v>
      </c>
      <c r="BB96" t="str">
        <f>IF(ISNUMBER(INDEX(Haver_M!$B$1:$ZN$1000,MATCH(data!$A96,Haver_M!$B$1:$B$1000,0),MATCH(data!BB$1,Haver_M!$B$1:$ZN$1,0))),INDEX(Haver_M!$B$1:$ZN$1000,MATCH(data!$A96,Haver_M!$B$1:$B$1000,0),MATCH(data!BB$1,Haver_M!$B$1:$ZN$1,0)),"")</f>
        <v/>
      </c>
    </row>
    <row r="97" spans="1:54" x14ac:dyDescent="0.25">
      <c r="A97" s="2">
        <v>39447</v>
      </c>
      <c r="B97">
        <f>IF(ISNUMBER(INDEX(Haver_Q!$B$1:$BD$1000,MATCH(data!$A97,Haver_Q!$B$1:$B$1000,0),MATCH(data!B$1,Haver_Q!$B$1:$BD$1,0))),100*INDEX(Haver_Q!$B$1:$BD$1000,MATCH(data!$A97,Haver_Q!$B$1:$B$1000,0),MATCH(data!B$1,Haver_Q!$B$1:$BD$1,0)),"na")</f>
        <v>1.580424632965971</v>
      </c>
      <c r="C97">
        <f>IF(ISNUMBER(INDEX(Haver_Q!$B$1:$BD$1000,MATCH(data!$A97,Haver_Q!$B$1:$B$1000,0),MATCH(data!C$1,Haver_Q!$B$1:$BD$1,0))),100*INDEX(Haver_Q!$B$1:$BD$1000,MATCH(data!$A97,Haver_Q!$B$1:$B$1000,0),MATCH(data!C$1,Haver_Q!$B$1:$BD$1,0)),"na")</f>
        <v>3.4154764264482385</v>
      </c>
      <c r="D97">
        <f>IF(ISNUMBER(INDEX(Haver_Q!$B$1:$BD$1000,MATCH(data!$A97,Haver_Q!$B$1:$B$1000,0),MATCH(data!D$1,Haver_Q!$B$1:$BD$1,0))),100*INDEX(Haver_Q!$B$1:$BD$1000,MATCH(data!$A97,Haver_Q!$B$1:$B$1000,0),MATCH(data!D$1,Haver_Q!$B$1:$BD$1,0)),"na")</f>
        <v>-0.41455359332970287</v>
      </c>
      <c r="E97">
        <f>IF(ISNUMBER(INDEX(Haver_Q!$B$1:$BD$1000,MATCH(data!$A97,Haver_Q!$B$1:$B$1000,0),MATCH(data!E$1,Haver_Q!$B$1:$BD$1,0))),100*INDEX(Haver_Q!$B$1:$BD$1000,MATCH(data!$A97,Haver_Q!$B$1:$B$1000,0),MATCH(data!E$1,Haver_Q!$B$1:$BD$1,0)),"na")</f>
        <v>17.094962176954542</v>
      </c>
      <c r="F97">
        <f>IF(ISNUMBER(INDEX(Haver_Q!$B$1:$BD$1000,MATCH(data!$A97,Haver_Q!$B$1:$B$1000,0),MATCH(data!F$1,Haver_Q!$B$1:$BD$1,0))),100*INDEX(Haver_Q!$B$1:$BD$1000,MATCH(data!$A97,Haver_Q!$B$1:$B$1000,0),MATCH(data!F$1,Haver_Q!$B$1:$BD$1,0)),"na")</f>
        <v>-4.5188331162473672</v>
      </c>
      <c r="G97">
        <f>IF(ISNUMBER(INDEX(Haver_Q!$B$1:$BD$1000,MATCH(data!$A97,Haver_Q!$B$1:$B$1000,0),MATCH(data!G$1,Haver_Q!$B$1:$BD$1,0))),100*INDEX(Haver_Q!$B$1:$BD$1000,MATCH(data!$A97,Haver_Q!$B$1:$B$1000,0),MATCH(data!G$1,Haver_Q!$B$1:$BD$1,0)),"na")</f>
        <v>0.40332853716407158</v>
      </c>
      <c r="H97">
        <f>IF(ISNUMBER(INDEX(Haver_Q!$B$1:$BD$1000,MATCH(data!$A97,Haver_Q!$B$1:$B$1000,0),MATCH(data!H$1,Haver_Q!$B$1:$BD$1,0))),100*INDEX(Haver_Q!$B$1:$BD$1000,MATCH(data!$A97,Haver_Q!$B$1:$B$1000,0),MATCH(data!H$1,Haver_Q!$B$1:$BD$1,0)),"na")</f>
        <v>626.49672606026775</v>
      </c>
      <c r="I97" s="3">
        <f>IF(ISNUMBER(Bloomberg_m!C113),Bloomberg_m!C113,"na")</f>
        <v>9854</v>
      </c>
      <c r="J97" s="3" t="str">
        <f>IF(ISNUMBER(Bloomberg_m!D113),Bloomberg_m!D113,"na")</f>
        <v>na</v>
      </c>
      <c r="K97" s="3" t="str">
        <f>IF(ISNUMBER(Bloomberg_m!E113),Bloomberg_m!E113,"na")</f>
        <v>na</v>
      </c>
      <c r="L97" s="3">
        <f>IF(ISNUMBER(Bloomberg_m!L113),Bloomberg_m!L113,"na")</f>
        <v>91.36</v>
      </c>
      <c r="M97" t="str">
        <f>IF(ISNUMBER(INDEX(Haver_M!$B$1:$ZN$1000,MATCH(data!$A97,Haver_M!$B$1:$B$1000,0),MATCH(data!M$1,Haver_M!$B$1:$ZN$1,0))),INDEX(Haver_M!$B$1:$ZN$1000,MATCH(data!$A97,Haver_M!$B$1:$B$1000,0),MATCH(data!M$1,Haver_M!$B$1:$ZN$1,0)),"na")</f>
        <v>na</v>
      </c>
      <c r="N97" t="str">
        <f>IF(ISNUMBER(INDEX(Haver_M!$B$1:$ZN$1000,MATCH(data!$A97,Haver_M!$B$1:$B$1000,0),MATCH(data!N$1,Haver_M!$B$1:$ZN$1,0))),INDEX(Haver_M!$B$1:$ZN$1000,MATCH(data!$A97,Haver_M!$B$1:$B$1000,0),MATCH(data!N$1,Haver_M!$B$1:$ZN$1,0)),"na")</f>
        <v>na</v>
      </c>
      <c r="O97">
        <f>IF(ISNUMBER(INDEX(Haver_M!$B$1:$ZN$1000,MATCH(data!$A97,Haver_M!$B$1:$B$1000,0),MATCH(data!O$1,Haver_M!$B$1:$ZN$1,0))),INDEX(Haver_M!$B$1:$ZN$1000,MATCH(data!$A97,Haver_M!$B$1:$B$1000,0),MATCH(data!O$1,Haver_M!$B$1:$ZN$1,0)),"na")</f>
        <v>107.86854</v>
      </c>
      <c r="P97">
        <f>IF(ISNUMBER(INDEX(Haver_M!$B$1:$ZN$1000,MATCH(data!$A97,Haver_M!$B$1:$B$1000,0),MATCH(data!P$1,Haver_M!$B$1:$ZN$1,0))),INDEX(Haver_M!$B$1:$ZN$1000,MATCH(data!$A97,Haver_M!$B$1:$B$1000,0),MATCH(data!P$1,Haver_M!$B$1:$ZN$1,0)),"na")</f>
        <v>64.763199999999998</v>
      </c>
      <c r="Q97">
        <f>IF(ISNUMBER(INDEX(Haver_M!$B$1:$ZN$1000,MATCH(data!$A97,Haver_M!$B$1:$B$1000,0),MATCH(data!Q$1,Haver_M!$B$1:$ZN$1,0))),INDEX(Haver_M!$B$1:$ZN$1000,MATCH(data!$A97,Haver_M!$B$1:$B$1000,0),MATCH(data!Q$1,Haver_M!$B$1:$ZN$1,0)),"na")</f>
        <v>68.679900000000004</v>
      </c>
      <c r="R97">
        <f>IF(ISNUMBER(INDEX(Haver_M!$B$1:$ZN$1000,MATCH(data!$A97,Haver_M!$B$1:$B$1000,0),MATCH(data!R$1,Haver_M!$B$1:$ZN$1,0))),INDEX(Haver_M!$B$1:$ZN$1000,MATCH(data!$A97,Haver_M!$B$1:$B$1000,0),MATCH(data!R$1,Haver_M!$B$1:$ZN$1,0)),"na")</f>
        <v>99.587100000000007</v>
      </c>
      <c r="S97">
        <f>IF(ISNUMBER(INDEX(Haver_M!$B$1:$ZN$1000,MATCH(data!$A97,Haver_M!$B$1:$B$1000,0),MATCH(data!S$1,Haver_M!$B$1:$ZN$1,0))),INDEX(Haver_M!$B$1:$ZN$1000,MATCH(data!$A97,Haver_M!$B$1:$B$1000,0),MATCH(data!S$1,Haver_M!$B$1:$ZN$1,0)),"na")</f>
        <v>106.3593</v>
      </c>
      <c r="T97">
        <f>IF(ISNUMBER(INDEX(Haver_M!$B$1:$ZN$1000,MATCH(data!$A97,Haver_M!$B$1:$B$1000,0),MATCH(data!T$1,Haver_M!$B$1:$ZN$1,0))),INDEX(Haver_M!$B$1:$ZN$1000,MATCH(data!$A97,Haver_M!$B$1:$B$1000,0),MATCH(data!T$1,Haver_M!$B$1:$ZN$1,0)),"na")</f>
        <v>88.870500000000007</v>
      </c>
      <c r="U97">
        <f>IF(ISNUMBER(INDEX(Haver_M!$B$1:$ZN$1000,MATCH(data!$A97,Haver_M!$B$1:$B$1000,0),MATCH(data!U$1,Haver_M!$B$1:$ZN$1,0))),INDEX(Haver_M!$B$1:$ZN$1000,MATCH(data!$A97,Haver_M!$B$1:$B$1000,0),MATCH(data!U$1,Haver_M!$B$1:$ZN$1,0)),"na")</f>
        <v>103.8314</v>
      </c>
      <c r="V97">
        <f>IF(ISNUMBER(INDEX(Haver_M!$B$1:$ZN$1000,MATCH(data!$A97,Haver_M!$B$1:$B$1000,0),MATCH(data!V$1,Haver_M!$B$1:$ZN$1,0))),INDEX(Haver_M!$B$1:$ZN$1000,MATCH(data!$A97,Haver_M!$B$1:$B$1000,0),MATCH(data!V$1,Haver_M!$B$1:$ZN$1,0)),"na")</f>
        <v>93.963399999999993</v>
      </c>
      <c r="W97">
        <f>IF(ISNUMBER(INDEX(Haver_M!$B$1:$ZN$1000,MATCH(data!$A97,Haver_M!$B$1:$B$1000,0),MATCH(data!W$1,Haver_M!$B$1:$ZN$1,0))),INDEX(Haver_M!$B$1:$ZN$1000,MATCH(data!$A97,Haver_M!$B$1:$B$1000,0),MATCH(data!W$1,Haver_M!$B$1:$ZN$1,0)),"na")</f>
        <v>3.78</v>
      </c>
      <c r="X97">
        <f>IF(ISNUMBER(INDEX(Haver_M!$B$1:$ZN$1000,MATCH(data!$A97,Haver_M!$B$1:$B$1000,0),MATCH(data!X$1,Haver_M!$B$1:$ZN$1,0))),INDEX(Haver_M!$B$1:$ZN$1000,MATCH(data!$A97,Haver_M!$B$1:$B$1000,0),MATCH(data!X$1,Haver_M!$B$1:$ZN$1,0)),"na")</f>
        <v>100.97</v>
      </c>
      <c r="Y97">
        <f>IF(ISNUMBER(INDEX(Haver_M!$B$1:$ZN$1000,MATCH(data!$A97,Haver_M!$B$1:$B$1000,0),MATCH(data!Y$1,Haver_M!$B$1:$ZN$1,0))),INDEX(Haver_M!$B$1:$ZN$1000,MATCH(data!$A97,Haver_M!$B$1:$B$1000,0),MATCH(data!Y$1,Haver_M!$B$1:$ZN$1,0)),"na")</f>
        <v>101.92</v>
      </c>
      <c r="Z97">
        <f>IF(ISNUMBER(INDEX(Haver_M!$B$1:$ZN$1000,MATCH(data!$A97,Haver_M!$B$1:$B$1000,0),MATCH(data!Z$1,Haver_M!$B$1:$ZN$1,0))),INDEX(Haver_M!$B$1:$ZN$1000,MATCH(data!$A97,Haver_M!$B$1:$B$1000,0),MATCH(data!Z$1,Haver_M!$B$1:$ZN$1,0)),"na")</f>
        <v>97.737499999999997</v>
      </c>
      <c r="AA97" t="str">
        <f>IF(ISNUMBER(INDEX(Haver_M!$B$1:$ZN$1000,MATCH(data!$A97,Haver_M!$B$1:$B$1000,0),MATCH(data!AA$1,Haver_M!$B$1:$ZN$1,0))),INDEX(Haver_M!$B$1:$ZN$1000,MATCH(data!$A97,Haver_M!$B$1:$B$1000,0),MATCH(data!AA$1,Haver_M!$B$1:$ZN$1,0)),"na")</f>
        <v>na</v>
      </c>
      <c r="AB97">
        <f>IF(ISNUMBER(INDEX(Haver_M!$B$1:$ZN$1000,MATCH(data!$A97,Haver_M!$B$1:$B$1000,0),MATCH(data!AB$1,Haver_M!$B$1:$ZN$1,0))),INDEX(Haver_M!$B$1:$ZN$1000,MATCH(data!$A97,Haver_M!$B$1:$B$1000,0),MATCH(data!AB$1,Haver_M!$B$1:$ZN$1,0)),"na")</f>
        <v>24365.4</v>
      </c>
      <c r="AC97">
        <f>IF(ISNUMBER(INDEX(Haver_M!$B$1:$ZN$1000,MATCH(data!$A97,Haver_M!$B$1:$B$1000,0),MATCH(data!AC$1,Haver_M!$B$1:$ZN$1,0))),INDEX(Haver_M!$B$1:$ZN$1000,MATCH(data!$A97,Haver_M!$B$1:$B$1000,0),MATCH(data!AC$1,Haver_M!$B$1:$ZN$1,0)),"na")</f>
        <v>24597.9</v>
      </c>
      <c r="AD97">
        <f>IF(ISNUMBER(INDEX(Haver_M!$B$1:$ZN$1000,MATCH(data!$A97,Haver_M!$B$1:$B$1000,0),MATCH(data!AD$1,Haver_M!$B$1:$ZN$1,0))),INDEX(Haver_M!$B$1:$ZN$1000,MATCH(data!$A97,Haver_M!$B$1:$B$1000,0),MATCH(data!AD$1,Haver_M!$B$1:$ZN$1,0)),"na")</f>
        <v>101.48</v>
      </c>
      <c r="AE97">
        <f>IF(ISNUMBER(INDEX(Haver_M!$B$1:$ZN$1000,MATCH(data!$A97,Haver_M!$B$1:$B$1000,0),MATCH(data!AE$1,Haver_M!$B$1:$ZN$1,0))),INDEX(Haver_M!$B$1:$ZN$1000,MATCH(data!$A97,Haver_M!$B$1:$B$1000,0),MATCH(data!AE$1,Haver_M!$B$1:$ZN$1,0)),"na")</f>
        <v>42.2</v>
      </c>
      <c r="AF97">
        <f>IF(ISNUMBER(INDEX(Haver_M!$B$1:$ZN$1000,MATCH(data!$A97,Haver_M!$B$1:$B$1000,0),MATCH(data!AF$1,Haver_M!$B$1:$ZN$1,0))),INDEX(Haver_M!$B$1:$ZN$1000,MATCH(data!$A97,Haver_M!$B$1:$B$1000,0),MATCH(data!AF$1,Haver_M!$B$1:$ZN$1,0)),"na")</f>
        <v>101.3</v>
      </c>
      <c r="AG97" t="str">
        <f>IF(ISNUMBER(INDEX(Haver_M!$B$1:$ZN$1000,MATCH(data!$A97,Haver_M!$B$1:$B$1000,0),MATCH(data!AG$1,Haver_M!$B$1:$ZN$1,0))),INDEX(Haver_M!$B$1:$ZN$1000,MATCH(data!$A97,Haver_M!$B$1:$B$1000,0),MATCH(data!AG$1,Haver_M!$B$1:$ZN$1,0)),"na")</f>
        <v>na</v>
      </c>
      <c r="AH97" t="str">
        <f>IF(ISNUMBER(INDEX(Haver_M!$B$1:$ZN$1000,MATCH(data!$A97,Haver_M!$B$1:$B$1000,0),MATCH(data!AH$1,Haver_M!$B$1:$ZN$1,0))),INDEX(Haver_M!$B$1:$ZN$1000,MATCH(data!$A97,Haver_M!$B$1:$B$1000,0),MATCH(data!AH$1,Haver_M!$B$1:$ZN$1,0)),"na")</f>
        <v>na</v>
      </c>
      <c r="AI97" t="str">
        <f>IF(ISNUMBER(INDEX(Haver_M!$B$1:$ZN$1000,MATCH(data!$A97,Haver_M!$B$1:$B$1000,0),MATCH(data!AI$1,Haver_M!$B$1:$ZN$1,0))),INDEX(Haver_M!$B$1:$ZN$1000,MATCH(data!$A97,Haver_M!$B$1:$B$1000,0),MATCH(data!AI$1,Haver_M!$B$1:$ZN$1,0)),"na")</f>
        <v>na</v>
      </c>
      <c r="AJ97" t="str">
        <f>IF(ISNUMBER(INDEX(Haver_M!$B$1:$ZN$1000,MATCH(data!$A97,Haver_M!$B$1:$B$1000,0),MATCH(data!AJ$1,Haver_M!$B$1:$ZN$1,0))),INDEX(Haver_M!$B$1:$ZN$1000,MATCH(data!$A97,Haver_M!$B$1:$B$1000,0),MATCH(data!AJ$1,Haver_M!$B$1:$ZN$1,0)),"na")</f>
        <v>na</v>
      </c>
      <c r="AK97" t="str">
        <f>IF(ISNUMBER(INDEX(Haver_M!$B$1:$ZN$1000,MATCH(data!$A97,Haver_M!$B$1:$B$1000,0),MATCH(data!AK$1,Haver_M!$B$1:$ZN$1,0))),INDEX(Haver_M!$B$1:$ZN$1000,MATCH(data!$A97,Haver_M!$B$1:$B$1000,0),MATCH(data!AK$1,Haver_M!$B$1:$ZN$1,0)),"na")</f>
        <v>na</v>
      </c>
      <c r="AL97" t="str">
        <f>IF(ISNUMBER(INDEX(Haver_M!$B$1:$ZN$1000,MATCH(data!$A97,Haver_M!$B$1:$B$1000,0),MATCH(data!AL$1,Haver_M!$B$1:$ZN$1,0))),INDEX(Haver_M!$B$1:$ZN$1000,MATCH(data!$A97,Haver_M!$B$1:$B$1000,0),MATCH(data!AL$1,Haver_M!$B$1:$ZN$1,0)),"na")</f>
        <v>na</v>
      </c>
      <c r="AM97" t="str">
        <f>IF(ISNUMBER(INDEX(Haver_M!$B$1:$ZN$1000,MATCH(data!$A97,Haver_M!$B$1:$B$1000,0),MATCH(data!AM$1,Haver_M!$B$1:$ZN$1,0))),INDEX(Haver_M!$B$1:$ZN$1000,MATCH(data!$A97,Haver_M!$B$1:$B$1000,0),MATCH(data!AM$1,Haver_M!$B$1:$ZN$1,0)),"na")</f>
        <v>na</v>
      </c>
      <c r="AN97" t="str">
        <f>IF(ISNUMBER(INDEX(Haver_M!$B$1:$ZN$1000,MATCH(data!$A97,Haver_M!$B$1:$B$1000,0),MATCH(data!AN$1,Haver_M!$B$1:$ZN$1,0))),INDEX(Haver_M!$B$1:$ZN$1000,MATCH(data!$A97,Haver_M!$B$1:$B$1000,0),MATCH(data!AN$1,Haver_M!$B$1:$ZN$1,0)),"na")</f>
        <v>na</v>
      </c>
      <c r="AO97" t="str">
        <f>IF(ISNUMBER(INDEX(Haver_M!$B$1:$ZN$1000,MATCH(data!$A97,Haver_M!$B$1:$B$1000,0),MATCH(data!AO$1,Haver_M!$B$1:$ZN$1,0))),INDEX(Haver_M!$B$1:$ZN$1000,MATCH(data!$A97,Haver_M!$B$1:$B$1000,0),MATCH(data!AO$1,Haver_M!$B$1:$ZN$1,0)),"na")</f>
        <v>na</v>
      </c>
      <c r="AP97" t="str">
        <f>IF(ISNUMBER(INDEX(Haver_M!$B$1:$ZN$1000,MATCH(data!$A97,Haver_M!$B$1:$B$1000,0),MATCH(data!AP$1,Haver_M!$B$1:$ZN$1,0))),INDEX(Haver_M!$B$1:$ZN$1000,MATCH(data!$A97,Haver_M!$B$1:$B$1000,0),MATCH(data!AP$1,Haver_M!$B$1:$ZN$1,0)),"na")</f>
        <v>na</v>
      </c>
      <c r="AQ97" t="str">
        <f>IF(ISNUMBER(INDEX(Haver_M!$B$1:$ZN$1000,MATCH(data!$A97,Haver_M!$B$1:$B$1000,0),MATCH(data!AQ$1,Haver_M!$B$1:$ZN$1,0))),INDEX(Haver_M!$B$1:$ZN$1000,MATCH(data!$A97,Haver_M!$B$1:$B$1000,0),MATCH(data!AQ$1,Haver_M!$B$1:$ZN$1,0)),"na")</f>
        <v>na</v>
      </c>
      <c r="AR97" t="str">
        <f>IF(ISNUMBER(INDEX(Haver_M!$B$1:$ZN$1000,MATCH(data!$A97,Haver_M!$B$1:$B$1000,0),MATCH(data!AR$1,Haver_M!$B$1:$ZN$1,0))),INDEX(Haver_M!$B$1:$ZN$1000,MATCH(data!$A97,Haver_M!$B$1:$B$1000,0),MATCH(data!AR$1,Haver_M!$B$1:$ZN$1,0)),"na")</f>
        <v>na</v>
      </c>
      <c r="AS97">
        <f>IF(ISNUMBER(INDEX(Haver_M!$B$1:$ZN$1000,MATCH(data!$A97,Haver_M!$B$1:$B$1000,0),MATCH(data!AS$1,Haver_M!$B$1:$ZN$1,0))),INDEX(Haver_M!$B$1:$ZN$1000,MATCH(data!$A97,Haver_M!$B$1:$B$1000,0),MATCH(data!AS$1,Haver_M!$B$1:$ZN$1,0)),"na")</f>
        <v>29982.48</v>
      </c>
      <c r="AT97">
        <f>IF(ISNUMBER(INDEX(Haver_M!$B$1:$ZN$1000,MATCH(data!$A97,Haver_M!$B$1:$B$1000,0),MATCH(data!AT$1,Haver_M!$B$1:$ZN$1,0))),INDEX(Haver_M!$B$1:$ZN$1000,MATCH(data!$A97,Haver_M!$B$1:$B$1000,0),MATCH(data!AT$1,Haver_M!$B$1:$ZN$1,0)),"na")</f>
        <v>94.325000000000003</v>
      </c>
      <c r="AU97">
        <f>IF(ISNUMBER(INDEX(Haver_M!$B$1:$ZN$1000,MATCH(data!$A97,Haver_M!$B$1:$B$1000,0),MATCH(data!AU$1,Haver_M!$B$1:$ZN$1,0))),INDEX(Haver_M!$B$1:$ZN$1000,MATCH(data!$A97,Haver_M!$B$1:$B$1000,0),MATCH(data!AU$1,Haver_M!$B$1:$ZN$1,0)),"na")</f>
        <v>91.908108999999996</v>
      </c>
      <c r="AV97">
        <f>IF(ISNUMBER(INDEX(Haver_M!$B$1:$ZN$1000,MATCH(data!$A97,Haver_M!$B$1:$B$1000,0),MATCH(data!AV$1,Haver_M!$B$1:$ZN$1,0))),INDEX(Haver_M!$B$1:$ZN$1000,MATCH(data!$A97,Haver_M!$B$1:$B$1000,0),MATCH(data!AV$1,Haver_M!$B$1:$ZN$1,0)),"na")</f>
        <v>97.2</v>
      </c>
      <c r="AW97">
        <f>IF(ISNUMBER(INDEX(Haver_M!$B$1:$ZN$1000,MATCH(data!$A97,Haver_M!$B$1:$B$1000,0),MATCH(data!AW$1,Haver_M!$B$1:$ZN$1,0))),INDEX(Haver_M!$B$1:$ZN$1000,MATCH(data!$A97,Haver_M!$B$1:$B$1000,0),MATCH(data!AW$1,Haver_M!$B$1:$ZN$1,0)),"na")</f>
        <v>1138122.970697067</v>
      </c>
      <c r="AX97">
        <f>IF(ISNUMBER(INDEX(Haver_M!$B$1:$ZN$1000,MATCH(data!$A97,Haver_M!$B$1:$B$1000,0),MATCH(data!AX$1,Haver_M!$B$1:$ZN$1,0))),INDEX(Haver_M!$B$1:$ZN$1000,MATCH(data!$A97,Haver_M!$B$1:$B$1000,0),MATCH(data!AX$1,Haver_M!$B$1:$ZN$1,0)),"na")</f>
        <v>2923</v>
      </c>
      <c r="AY97">
        <f>IF(ISNUMBER(INDEX(Haver_M!$B$1:$ZN$1000,MATCH(data!$A97,Haver_M!$B$1:$B$1000,0),MATCH(data!AY$1,Haver_M!$B$1:$ZN$1,0))),INDEX(Haver_M!$B$1:$ZN$1000,MATCH(data!$A97,Haver_M!$B$1:$B$1000,0),MATCH(data!AY$1,Haver_M!$B$1:$ZN$1,0)),"na")</f>
        <v>1496</v>
      </c>
      <c r="AZ97">
        <f>IF(ISNUMBER(INDEX(Haver_M!$B$1:$ZN$1000,MATCH(data!$A97,Haver_M!$B$1:$B$1000,0),MATCH(data!AZ$1,Haver_M!$B$1:$ZN$1,0))),INDEX(Haver_M!$B$1:$ZN$1000,MATCH(data!$A97,Haver_M!$B$1:$B$1000,0),MATCH(data!AZ$1,Haver_M!$B$1:$ZN$1,0)),"na")</f>
        <v>51</v>
      </c>
      <c r="BA97">
        <f>IF(ISNUMBER(INDEX(Haver_M!$B$1:$ZN$1000,MATCH(data!$A97,Haver_M!$B$1:$B$1000,0),MATCH(data!BA$1,Haver_M!$B$1:$ZN$1,0))),INDEX(Haver_M!$B$1:$ZN$1000,MATCH(data!$A97,Haver_M!$B$1:$B$1000,0),MATCH(data!BA$1,Haver_M!$B$1:$ZN$1,0)),"na")</f>
        <v>86.974308466313104</v>
      </c>
      <c r="BB97" t="str">
        <f>IF(ISNUMBER(INDEX(Haver_M!$B$1:$ZN$1000,MATCH(data!$A97,Haver_M!$B$1:$B$1000,0),MATCH(data!BB$1,Haver_M!$B$1:$ZN$1,0))),INDEX(Haver_M!$B$1:$ZN$1000,MATCH(data!$A97,Haver_M!$B$1:$B$1000,0),MATCH(data!BB$1,Haver_M!$B$1:$ZN$1,0)),"")</f>
        <v/>
      </c>
    </row>
    <row r="98" spans="1:54" x14ac:dyDescent="0.25">
      <c r="A98" s="2">
        <v>39478</v>
      </c>
      <c r="B98" t="str">
        <f>IF(ISNUMBER(INDEX(Haver_Q!$B$1:$BD$1000,MATCH(data!$A98,Haver_Q!$B$1:$B$1000,0),MATCH(data!B$1,Haver_Q!$B$1:$BD$1,0))),100*INDEX(Haver_Q!$B$1:$BD$1000,MATCH(data!$A98,Haver_Q!$B$1:$B$1000,0),MATCH(data!B$1,Haver_Q!$B$1:$BD$1,0)),"na")</f>
        <v>na</v>
      </c>
      <c r="C98" t="str">
        <f>IF(ISNUMBER(INDEX(Haver_Q!$B$1:$BD$1000,MATCH(data!$A98,Haver_Q!$B$1:$B$1000,0),MATCH(data!C$1,Haver_Q!$B$1:$BD$1,0))),100*INDEX(Haver_Q!$B$1:$BD$1000,MATCH(data!$A98,Haver_Q!$B$1:$B$1000,0),MATCH(data!C$1,Haver_Q!$B$1:$BD$1,0)),"na")</f>
        <v>na</v>
      </c>
      <c r="D98" t="str">
        <f>IF(ISNUMBER(INDEX(Haver_Q!$B$1:$BD$1000,MATCH(data!$A98,Haver_Q!$B$1:$B$1000,0),MATCH(data!D$1,Haver_Q!$B$1:$BD$1,0))),100*INDEX(Haver_Q!$B$1:$BD$1000,MATCH(data!$A98,Haver_Q!$B$1:$B$1000,0),MATCH(data!D$1,Haver_Q!$B$1:$BD$1,0)),"na")</f>
        <v>na</v>
      </c>
      <c r="E98" t="str">
        <f>IF(ISNUMBER(INDEX(Haver_Q!$B$1:$BD$1000,MATCH(data!$A98,Haver_Q!$B$1:$B$1000,0),MATCH(data!E$1,Haver_Q!$B$1:$BD$1,0))),100*INDEX(Haver_Q!$B$1:$BD$1000,MATCH(data!$A98,Haver_Q!$B$1:$B$1000,0),MATCH(data!E$1,Haver_Q!$B$1:$BD$1,0)),"na")</f>
        <v>na</v>
      </c>
      <c r="F98" t="str">
        <f>IF(ISNUMBER(INDEX(Haver_Q!$B$1:$BD$1000,MATCH(data!$A98,Haver_Q!$B$1:$B$1000,0),MATCH(data!F$1,Haver_Q!$B$1:$BD$1,0))),100*INDEX(Haver_Q!$B$1:$BD$1000,MATCH(data!$A98,Haver_Q!$B$1:$B$1000,0),MATCH(data!F$1,Haver_Q!$B$1:$BD$1,0)),"na")</f>
        <v>na</v>
      </c>
      <c r="G98" t="str">
        <f>IF(ISNUMBER(INDEX(Haver_Q!$B$1:$BD$1000,MATCH(data!$A98,Haver_Q!$B$1:$B$1000,0),MATCH(data!G$1,Haver_Q!$B$1:$BD$1,0))),100*INDEX(Haver_Q!$B$1:$BD$1000,MATCH(data!$A98,Haver_Q!$B$1:$B$1000,0),MATCH(data!G$1,Haver_Q!$B$1:$BD$1,0)),"na")</f>
        <v>na</v>
      </c>
      <c r="H98" t="str">
        <f>IF(ISNUMBER(INDEX(Haver_Q!$B$1:$BD$1000,MATCH(data!$A98,Haver_Q!$B$1:$B$1000,0),MATCH(data!H$1,Haver_Q!$B$1:$BD$1,0))),100*INDEX(Haver_Q!$B$1:$BD$1000,MATCH(data!$A98,Haver_Q!$B$1:$B$1000,0),MATCH(data!H$1,Haver_Q!$B$1:$BD$1,0)),"na")</f>
        <v>na</v>
      </c>
      <c r="I98" s="3">
        <f>IF(ISNUMBER(Bloomberg_m!C114),Bloomberg_m!C114,"na")</f>
        <v>7170</v>
      </c>
      <c r="J98" s="3" t="str">
        <f>IF(ISNUMBER(Bloomberg_m!D114),Bloomberg_m!D114,"na")</f>
        <v>na</v>
      </c>
      <c r="K98" s="3" t="str">
        <f>IF(ISNUMBER(Bloomberg_m!E114),Bloomberg_m!E114,"na")</f>
        <v>na</v>
      </c>
      <c r="L98" s="3">
        <f>IF(ISNUMBER(Bloomberg_m!L114),Bloomberg_m!L114,"na")</f>
        <v>92.98</v>
      </c>
      <c r="M98">
        <f>IF(ISNUMBER(INDEX(Haver_M!$B$1:$ZN$1000,MATCH(data!$A98,Haver_M!$B$1:$B$1000,0),MATCH(data!M$1,Haver_M!$B$1:$ZN$1,0))),INDEX(Haver_M!$B$1:$ZN$1000,MATCH(data!$A98,Haver_M!$B$1:$B$1000,0),MATCH(data!M$1,Haver_M!$B$1:$ZN$1,0)),"na")</f>
        <v>7.5</v>
      </c>
      <c r="N98">
        <f>IF(ISNUMBER(INDEX(Haver_M!$B$1:$ZN$1000,MATCH(data!$A98,Haver_M!$B$1:$B$1000,0),MATCH(data!N$1,Haver_M!$B$1:$ZN$1,0))),INDEX(Haver_M!$B$1:$ZN$1000,MATCH(data!$A98,Haver_M!$B$1:$B$1000,0),MATCH(data!N$1,Haver_M!$B$1:$ZN$1,0)),"na")</f>
        <v>7.9214000000000002</v>
      </c>
      <c r="O98">
        <f>IF(ISNUMBER(INDEX(Haver_M!$B$1:$ZN$1000,MATCH(data!$A98,Haver_M!$B$1:$B$1000,0),MATCH(data!O$1,Haver_M!$B$1:$ZN$1,0))),INDEX(Haver_M!$B$1:$ZN$1000,MATCH(data!$A98,Haver_M!$B$1:$B$1000,0),MATCH(data!O$1,Haver_M!$B$1:$ZN$1,0)),"na")</f>
        <v>106.74151000000001</v>
      </c>
      <c r="P98">
        <f>IF(ISNUMBER(INDEX(Haver_M!$B$1:$ZN$1000,MATCH(data!$A98,Haver_M!$B$1:$B$1000,0),MATCH(data!P$1,Haver_M!$B$1:$ZN$1,0))),INDEX(Haver_M!$B$1:$ZN$1000,MATCH(data!$A98,Haver_M!$B$1:$B$1000,0),MATCH(data!P$1,Haver_M!$B$1:$ZN$1,0)),"na")</f>
        <v>65.003900000000002</v>
      </c>
      <c r="Q98">
        <f>IF(ISNUMBER(INDEX(Haver_M!$B$1:$ZN$1000,MATCH(data!$A98,Haver_M!$B$1:$B$1000,0),MATCH(data!Q$1,Haver_M!$B$1:$ZN$1,0))),INDEX(Haver_M!$B$1:$ZN$1000,MATCH(data!$A98,Haver_M!$B$1:$B$1000,0),MATCH(data!Q$1,Haver_M!$B$1:$ZN$1,0)),"na")</f>
        <v>68.917699999999996</v>
      </c>
      <c r="R98">
        <f>IF(ISNUMBER(INDEX(Haver_M!$B$1:$ZN$1000,MATCH(data!$A98,Haver_M!$B$1:$B$1000,0),MATCH(data!R$1,Haver_M!$B$1:$ZN$1,0))),INDEX(Haver_M!$B$1:$ZN$1000,MATCH(data!$A98,Haver_M!$B$1:$B$1000,0),MATCH(data!R$1,Haver_M!$B$1:$ZN$1,0)),"na")</f>
        <v>98.691599999999994</v>
      </c>
      <c r="S98">
        <f>IF(ISNUMBER(INDEX(Haver_M!$B$1:$ZN$1000,MATCH(data!$A98,Haver_M!$B$1:$B$1000,0),MATCH(data!S$1,Haver_M!$B$1:$ZN$1,0))),INDEX(Haver_M!$B$1:$ZN$1000,MATCH(data!$A98,Haver_M!$B$1:$B$1000,0),MATCH(data!S$1,Haver_M!$B$1:$ZN$1,0)),"na")</f>
        <v>105.8065</v>
      </c>
      <c r="T98">
        <f>IF(ISNUMBER(INDEX(Haver_M!$B$1:$ZN$1000,MATCH(data!$A98,Haver_M!$B$1:$B$1000,0),MATCH(data!T$1,Haver_M!$B$1:$ZN$1,0))),INDEX(Haver_M!$B$1:$ZN$1000,MATCH(data!$A98,Haver_M!$B$1:$B$1000,0),MATCH(data!T$1,Haver_M!$B$1:$ZN$1,0)),"na")</f>
        <v>87.295599999999993</v>
      </c>
      <c r="U98">
        <f>IF(ISNUMBER(INDEX(Haver_M!$B$1:$ZN$1000,MATCH(data!$A98,Haver_M!$B$1:$B$1000,0),MATCH(data!U$1,Haver_M!$B$1:$ZN$1,0))),INDEX(Haver_M!$B$1:$ZN$1000,MATCH(data!$A98,Haver_M!$B$1:$B$1000,0),MATCH(data!U$1,Haver_M!$B$1:$ZN$1,0)),"na")</f>
        <v>101.57250000000001</v>
      </c>
      <c r="V98">
        <f>IF(ISNUMBER(INDEX(Haver_M!$B$1:$ZN$1000,MATCH(data!$A98,Haver_M!$B$1:$B$1000,0),MATCH(data!V$1,Haver_M!$B$1:$ZN$1,0))),INDEX(Haver_M!$B$1:$ZN$1000,MATCH(data!$A98,Haver_M!$B$1:$B$1000,0),MATCH(data!V$1,Haver_M!$B$1:$ZN$1,0)),"na")</f>
        <v>96.312600000000003</v>
      </c>
      <c r="W98">
        <f>IF(ISNUMBER(INDEX(Haver_M!$B$1:$ZN$1000,MATCH(data!$A98,Haver_M!$B$1:$B$1000,0),MATCH(data!W$1,Haver_M!$B$1:$ZN$1,0))),INDEX(Haver_M!$B$1:$ZN$1000,MATCH(data!$A98,Haver_M!$B$1:$B$1000,0),MATCH(data!W$1,Haver_M!$B$1:$ZN$1,0)),"na")</f>
        <v>3.8</v>
      </c>
      <c r="X98">
        <f>IF(ISNUMBER(INDEX(Haver_M!$B$1:$ZN$1000,MATCH(data!$A98,Haver_M!$B$1:$B$1000,0),MATCH(data!X$1,Haver_M!$B$1:$ZN$1,0))),INDEX(Haver_M!$B$1:$ZN$1000,MATCH(data!$A98,Haver_M!$B$1:$B$1000,0),MATCH(data!X$1,Haver_M!$B$1:$ZN$1,0)),"na")</f>
        <v>100.34</v>
      </c>
      <c r="Y98">
        <f>IF(ISNUMBER(INDEX(Haver_M!$B$1:$ZN$1000,MATCH(data!$A98,Haver_M!$B$1:$B$1000,0),MATCH(data!Y$1,Haver_M!$B$1:$ZN$1,0))),INDEX(Haver_M!$B$1:$ZN$1000,MATCH(data!$A98,Haver_M!$B$1:$B$1000,0),MATCH(data!Y$1,Haver_M!$B$1:$ZN$1,0)),"na")</f>
        <v>101.75</v>
      </c>
      <c r="Z98">
        <f>IF(ISNUMBER(INDEX(Haver_M!$B$1:$ZN$1000,MATCH(data!$A98,Haver_M!$B$1:$B$1000,0),MATCH(data!Z$1,Haver_M!$B$1:$ZN$1,0))),INDEX(Haver_M!$B$1:$ZN$1000,MATCH(data!$A98,Haver_M!$B$1:$B$1000,0),MATCH(data!Z$1,Haver_M!$B$1:$ZN$1,0)),"na")</f>
        <v>99.331999999999994</v>
      </c>
      <c r="AA98">
        <f>IF(ISNUMBER(INDEX(Haver_M!$B$1:$ZN$1000,MATCH(data!$A98,Haver_M!$B$1:$B$1000,0),MATCH(data!AA$1,Haver_M!$B$1:$ZN$1,0))),INDEX(Haver_M!$B$1:$ZN$1000,MATCH(data!$A98,Haver_M!$B$1:$B$1000,0),MATCH(data!AA$1,Haver_M!$B$1:$ZN$1,0)),"na")</f>
        <v>92.254099999999994</v>
      </c>
      <c r="AB98">
        <f>IF(ISNUMBER(INDEX(Haver_M!$B$1:$ZN$1000,MATCH(data!$A98,Haver_M!$B$1:$B$1000,0),MATCH(data!AB$1,Haver_M!$B$1:$ZN$1,0))),INDEX(Haver_M!$B$1:$ZN$1000,MATCH(data!$A98,Haver_M!$B$1:$B$1000,0),MATCH(data!AB$1,Haver_M!$B$1:$ZN$1,0)),"na")</f>
        <v>24501.599999999999</v>
      </c>
      <c r="AC98">
        <f>IF(ISNUMBER(INDEX(Haver_M!$B$1:$ZN$1000,MATCH(data!$A98,Haver_M!$B$1:$B$1000,0),MATCH(data!AC$1,Haver_M!$B$1:$ZN$1,0))),INDEX(Haver_M!$B$1:$ZN$1000,MATCH(data!$A98,Haver_M!$B$1:$B$1000,0),MATCH(data!AC$1,Haver_M!$B$1:$ZN$1,0)),"na")</f>
        <v>25591.599999999999</v>
      </c>
      <c r="AD98">
        <f>IF(ISNUMBER(INDEX(Haver_M!$B$1:$ZN$1000,MATCH(data!$A98,Haver_M!$B$1:$B$1000,0),MATCH(data!AD$1,Haver_M!$B$1:$ZN$1,0))),INDEX(Haver_M!$B$1:$ZN$1000,MATCH(data!$A98,Haver_M!$B$1:$B$1000,0),MATCH(data!AD$1,Haver_M!$B$1:$ZN$1,0)),"na")</f>
        <v>101.54</v>
      </c>
      <c r="AE98">
        <f>IF(ISNUMBER(INDEX(Haver_M!$B$1:$ZN$1000,MATCH(data!$A98,Haver_M!$B$1:$B$1000,0),MATCH(data!AE$1,Haver_M!$B$1:$ZN$1,0))),INDEX(Haver_M!$B$1:$ZN$1000,MATCH(data!$A98,Haver_M!$B$1:$B$1000,0),MATCH(data!AE$1,Haver_M!$B$1:$ZN$1,0)),"na")</f>
        <v>42</v>
      </c>
      <c r="AF98">
        <f>IF(ISNUMBER(INDEX(Haver_M!$B$1:$ZN$1000,MATCH(data!$A98,Haver_M!$B$1:$B$1000,0),MATCH(data!AF$1,Haver_M!$B$1:$ZN$1,0))),INDEX(Haver_M!$B$1:$ZN$1000,MATCH(data!$A98,Haver_M!$B$1:$B$1000,0),MATCH(data!AF$1,Haver_M!$B$1:$ZN$1,0)),"na")</f>
        <v>101.1</v>
      </c>
      <c r="AG98" t="str">
        <f>IF(ISNUMBER(INDEX(Haver_M!$B$1:$ZN$1000,MATCH(data!$A98,Haver_M!$B$1:$B$1000,0),MATCH(data!AG$1,Haver_M!$B$1:$ZN$1,0))),INDEX(Haver_M!$B$1:$ZN$1000,MATCH(data!$A98,Haver_M!$B$1:$B$1000,0),MATCH(data!AG$1,Haver_M!$B$1:$ZN$1,0)),"na")</f>
        <v>na</v>
      </c>
      <c r="AH98" t="str">
        <f>IF(ISNUMBER(INDEX(Haver_M!$B$1:$ZN$1000,MATCH(data!$A98,Haver_M!$B$1:$B$1000,0),MATCH(data!AH$1,Haver_M!$B$1:$ZN$1,0))),INDEX(Haver_M!$B$1:$ZN$1000,MATCH(data!$A98,Haver_M!$B$1:$B$1000,0),MATCH(data!AH$1,Haver_M!$B$1:$ZN$1,0)),"na")</f>
        <v>na</v>
      </c>
      <c r="AI98" t="str">
        <f>IF(ISNUMBER(INDEX(Haver_M!$B$1:$ZN$1000,MATCH(data!$A98,Haver_M!$B$1:$B$1000,0),MATCH(data!AI$1,Haver_M!$B$1:$ZN$1,0))),INDEX(Haver_M!$B$1:$ZN$1000,MATCH(data!$A98,Haver_M!$B$1:$B$1000,0),MATCH(data!AI$1,Haver_M!$B$1:$ZN$1,0)),"na")</f>
        <v>na</v>
      </c>
      <c r="AJ98" t="str">
        <f>IF(ISNUMBER(INDEX(Haver_M!$B$1:$ZN$1000,MATCH(data!$A98,Haver_M!$B$1:$B$1000,0),MATCH(data!AJ$1,Haver_M!$B$1:$ZN$1,0))),INDEX(Haver_M!$B$1:$ZN$1000,MATCH(data!$A98,Haver_M!$B$1:$B$1000,0),MATCH(data!AJ$1,Haver_M!$B$1:$ZN$1,0)),"na")</f>
        <v>na</v>
      </c>
      <c r="AK98" t="str">
        <f>IF(ISNUMBER(INDEX(Haver_M!$B$1:$ZN$1000,MATCH(data!$A98,Haver_M!$B$1:$B$1000,0),MATCH(data!AK$1,Haver_M!$B$1:$ZN$1,0))),INDEX(Haver_M!$B$1:$ZN$1000,MATCH(data!$A98,Haver_M!$B$1:$B$1000,0),MATCH(data!AK$1,Haver_M!$B$1:$ZN$1,0)),"na")</f>
        <v>na</v>
      </c>
      <c r="AL98" t="str">
        <f>IF(ISNUMBER(INDEX(Haver_M!$B$1:$ZN$1000,MATCH(data!$A98,Haver_M!$B$1:$B$1000,0),MATCH(data!AL$1,Haver_M!$B$1:$ZN$1,0))),INDEX(Haver_M!$B$1:$ZN$1000,MATCH(data!$A98,Haver_M!$B$1:$B$1000,0),MATCH(data!AL$1,Haver_M!$B$1:$ZN$1,0)),"na")</f>
        <v>na</v>
      </c>
      <c r="AM98" t="str">
        <f>IF(ISNUMBER(INDEX(Haver_M!$B$1:$ZN$1000,MATCH(data!$A98,Haver_M!$B$1:$B$1000,0),MATCH(data!AM$1,Haver_M!$B$1:$ZN$1,0))),INDEX(Haver_M!$B$1:$ZN$1000,MATCH(data!$A98,Haver_M!$B$1:$B$1000,0),MATCH(data!AM$1,Haver_M!$B$1:$ZN$1,0)),"na")</f>
        <v>na</v>
      </c>
      <c r="AN98" t="str">
        <f>IF(ISNUMBER(INDEX(Haver_M!$B$1:$ZN$1000,MATCH(data!$A98,Haver_M!$B$1:$B$1000,0),MATCH(data!AN$1,Haver_M!$B$1:$ZN$1,0))),INDEX(Haver_M!$B$1:$ZN$1000,MATCH(data!$A98,Haver_M!$B$1:$B$1000,0),MATCH(data!AN$1,Haver_M!$B$1:$ZN$1,0)),"na")</f>
        <v>na</v>
      </c>
      <c r="AO98" t="str">
        <f>IF(ISNUMBER(INDEX(Haver_M!$B$1:$ZN$1000,MATCH(data!$A98,Haver_M!$B$1:$B$1000,0),MATCH(data!AO$1,Haver_M!$B$1:$ZN$1,0))),INDEX(Haver_M!$B$1:$ZN$1000,MATCH(data!$A98,Haver_M!$B$1:$B$1000,0),MATCH(data!AO$1,Haver_M!$B$1:$ZN$1,0)),"na")</f>
        <v>na</v>
      </c>
      <c r="AP98" t="str">
        <f>IF(ISNUMBER(INDEX(Haver_M!$B$1:$ZN$1000,MATCH(data!$A98,Haver_M!$B$1:$B$1000,0),MATCH(data!AP$1,Haver_M!$B$1:$ZN$1,0))),INDEX(Haver_M!$B$1:$ZN$1000,MATCH(data!$A98,Haver_M!$B$1:$B$1000,0),MATCH(data!AP$1,Haver_M!$B$1:$ZN$1,0)),"na")</f>
        <v>na</v>
      </c>
      <c r="AQ98" t="str">
        <f>IF(ISNUMBER(INDEX(Haver_M!$B$1:$ZN$1000,MATCH(data!$A98,Haver_M!$B$1:$B$1000,0),MATCH(data!AQ$1,Haver_M!$B$1:$ZN$1,0))),INDEX(Haver_M!$B$1:$ZN$1000,MATCH(data!$A98,Haver_M!$B$1:$B$1000,0),MATCH(data!AQ$1,Haver_M!$B$1:$ZN$1,0)),"na")</f>
        <v>na</v>
      </c>
      <c r="AR98" t="str">
        <f>IF(ISNUMBER(INDEX(Haver_M!$B$1:$ZN$1000,MATCH(data!$A98,Haver_M!$B$1:$B$1000,0),MATCH(data!AR$1,Haver_M!$B$1:$ZN$1,0))),INDEX(Haver_M!$B$1:$ZN$1000,MATCH(data!$A98,Haver_M!$B$1:$B$1000,0),MATCH(data!AR$1,Haver_M!$B$1:$ZN$1,0)),"na")</f>
        <v>na</v>
      </c>
      <c r="AS98">
        <f>IF(ISNUMBER(INDEX(Haver_M!$B$1:$ZN$1000,MATCH(data!$A98,Haver_M!$B$1:$B$1000,0),MATCH(data!AS$1,Haver_M!$B$1:$ZN$1,0))),INDEX(Haver_M!$B$1:$ZN$1000,MATCH(data!$A98,Haver_M!$B$1:$B$1000,0),MATCH(data!AS$1,Haver_M!$B$1:$ZN$1,0)),"na")</f>
        <v>27909.77</v>
      </c>
      <c r="AT98">
        <f>IF(ISNUMBER(INDEX(Haver_M!$B$1:$ZN$1000,MATCH(data!$A98,Haver_M!$B$1:$B$1000,0),MATCH(data!AT$1,Haver_M!$B$1:$ZN$1,0))),INDEX(Haver_M!$B$1:$ZN$1000,MATCH(data!$A98,Haver_M!$B$1:$B$1000,0),MATCH(data!AT$1,Haver_M!$B$1:$ZN$1,0)),"na")</f>
        <v>96.064999999999998</v>
      </c>
      <c r="AU98">
        <f>IF(ISNUMBER(INDEX(Haver_M!$B$1:$ZN$1000,MATCH(data!$A98,Haver_M!$B$1:$B$1000,0),MATCH(data!AU$1,Haver_M!$B$1:$ZN$1,0))),INDEX(Haver_M!$B$1:$ZN$1000,MATCH(data!$A98,Haver_M!$B$1:$B$1000,0),MATCH(data!AU$1,Haver_M!$B$1:$ZN$1,0)),"na")</f>
        <v>92.394096000000005</v>
      </c>
      <c r="AV98">
        <f>IF(ISNUMBER(INDEX(Haver_M!$B$1:$ZN$1000,MATCH(data!$A98,Haver_M!$B$1:$B$1000,0),MATCH(data!AV$1,Haver_M!$B$1:$ZN$1,0))),INDEX(Haver_M!$B$1:$ZN$1000,MATCH(data!$A98,Haver_M!$B$1:$B$1000,0),MATCH(data!AV$1,Haver_M!$B$1:$ZN$1,0)),"na")</f>
        <v>97.7</v>
      </c>
      <c r="AW98">
        <f>IF(ISNUMBER(INDEX(Haver_M!$B$1:$ZN$1000,MATCH(data!$A98,Haver_M!$B$1:$B$1000,0),MATCH(data!AW$1,Haver_M!$B$1:$ZN$1,0))),INDEX(Haver_M!$B$1:$ZN$1000,MATCH(data!$A98,Haver_M!$B$1:$B$1000,0),MATCH(data!AW$1,Haver_M!$B$1:$ZN$1,0)),"na")</f>
        <v>1132013.582467553</v>
      </c>
      <c r="AX98">
        <f>IF(ISNUMBER(INDEX(Haver_M!$B$1:$ZN$1000,MATCH(data!$A98,Haver_M!$B$1:$B$1000,0),MATCH(data!AX$1,Haver_M!$B$1:$ZN$1,0))),INDEX(Haver_M!$B$1:$ZN$1000,MATCH(data!$A98,Haver_M!$B$1:$B$1000,0),MATCH(data!AX$1,Haver_M!$B$1:$ZN$1,0)),"na")</f>
        <v>2926</v>
      </c>
      <c r="AY98">
        <f>IF(ISNUMBER(INDEX(Haver_M!$B$1:$ZN$1000,MATCH(data!$A98,Haver_M!$B$1:$B$1000,0),MATCH(data!AY$1,Haver_M!$B$1:$ZN$1,0))),INDEX(Haver_M!$B$1:$ZN$1000,MATCH(data!$A98,Haver_M!$B$1:$B$1000,0),MATCH(data!AY$1,Haver_M!$B$1:$ZN$1,0)),"na")</f>
        <v>1434</v>
      </c>
      <c r="AZ98">
        <f>IF(ISNUMBER(INDEX(Haver_M!$B$1:$ZN$1000,MATCH(data!$A98,Haver_M!$B$1:$B$1000,0),MATCH(data!AZ$1,Haver_M!$B$1:$ZN$1,0))),INDEX(Haver_M!$B$1:$ZN$1000,MATCH(data!$A98,Haver_M!$B$1:$B$1000,0),MATCH(data!AZ$1,Haver_M!$B$1:$ZN$1,0)),"na")</f>
        <v>50.5</v>
      </c>
      <c r="BA98">
        <f>IF(ISNUMBER(INDEX(Haver_M!$B$1:$ZN$1000,MATCH(data!$A98,Haver_M!$B$1:$B$1000,0),MATCH(data!BA$1,Haver_M!$B$1:$ZN$1,0))),INDEX(Haver_M!$B$1:$ZN$1000,MATCH(data!$A98,Haver_M!$B$1:$B$1000,0),MATCH(data!BA$1,Haver_M!$B$1:$ZN$1,0)),"na")</f>
        <v>85.440237842913433</v>
      </c>
      <c r="BB98" t="str">
        <f>IF(ISNUMBER(INDEX(Haver_M!$B$1:$ZN$1000,MATCH(data!$A98,Haver_M!$B$1:$B$1000,0),MATCH(data!BB$1,Haver_M!$B$1:$ZN$1,0))),INDEX(Haver_M!$B$1:$ZN$1000,MATCH(data!$A98,Haver_M!$B$1:$B$1000,0),MATCH(data!BB$1,Haver_M!$B$1:$ZN$1,0)),"")</f>
        <v/>
      </c>
    </row>
    <row r="99" spans="1:54" x14ac:dyDescent="0.25">
      <c r="A99" s="2">
        <v>39507</v>
      </c>
      <c r="B99" t="str">
        <f>IF(ISNUMBER(INDEX(Haver_Q!$B$1:$BD$1000,MATCH(data!$A99,Haver_Q!$B$1:$B$1000,0),MATCH(data!B$1,Haver_Q!$B$1:$BD$1,0))),100*INDEX(Haver_Q!$B$1:$BD$1000,MATCH(data!$A99,Haver_Q!$B$1:$B$1000,0),MATCH(data!B$1,Haver_Q!$B$1:$BD$1,0)),"na")</f>
        <v>na</v>
      </c>
      <c r="C99" t="str">
        <f>IF(ISNUMBER(INDEX(Haver_Q!$B$1:$BD$1000,MATCH(data!$A99,Haver_Q!$B$1:$B$1000,0),MATCH(data!C$1,Haver_Q!$B$1:$BD$1,0))),100*INDEX(Haver_Q!$B$1:$BD$1000,MATCH(data!$A99,Haver_Q!$B$1:$B$1000,0),MATCH(data!C$1,Haver_Q!$B$1:$BD$1,0)),"na")</f>
        <v>na</v>
      </c>
      <c r="D99" t="str">
        <f>IF(ISNUMBER(INDEX(Haver_Q!$B$1:$BD$1000,MATCH(data!$A99,Haver_Q!$B$1:$B$1000,0),MATCH(data!D$1,Haver_Q!$B$1:$BD$1,0))),100*INDEX(Haver_Q!$B$1:$BD$1000,MATCH(data!$A99,Haver_Q!$B$1:$B$1000,0),MATCH(data!D$1,Haver_Q!$B$1:$BD$1,0)),"na")</f>
        <v>na</v>
      </c>
      <c r="E99" t="str">
        <f>IF(ISNUMBER(INDEX(Haver_Q!$B$1:$BD$1000,MATCH(data!$A99,Haver_Q!$B$1:$B$1000,0),MATCH(data!E$1,Haver_Q!$B$1:$BD$1,0))),100*INDEX(Haver_Q!$B$1:$BD$1000,MATCH(data!$A99,Haver_Q!$B$1:$B$1000,0),MATCH(data!E$1,Haver_Q!$B$1:$BD$1,0)),"na")</f>
        <v>na</v>
      </c>
      <c r="F99" t="str">
        <f>IF(ISNUMBER(INDEX(Haver_Q!$B$1:$BD$1000,MATCH(data!$A99,Haver_Q!$B$1:$B$1000,0),MATCH(data!F$1,Haver_Q!$B$1:$BD$1,0))),100*INDEX(Haver_Q!$B$1:$BD$1000,MATCH(data!$A99,Haver_Q!$B$1:$B$1000,0),MATCH(data!F$1,Haver_Q!$B$1:$BD$1,0)),"na")</f>
        <v>na</v>
      </c>
      <c r="G99" t="str">
        <f>IF(ISNUMBER(INDEX(Haver_Q!$B$1:$BD$1000,MATCH(data!$A99,Haver_Q!$B$1:$B$1000,0),MATCH(data!G$1,Haver_Q!$B$1:$BD$1,0))),100*INDEX(Haver_Q!$B$1:$BD$1000,MATCH(data!$A99,Haver_Q!$B$1:$B$1000,0),MATCH(data!G$1,Haver_Q!$B$1:$BD$1,0)),"na")</f>
        <v>na</v>
      </c>
      <c r="H99" t="str">
        <f>IF(ISNUMBER(INDEX(Haver_Q!$B$1:$BD$1000,MATCH(data!$A99,Haver_Q!$B$1:$B$1000,0),MATCH(data!H$1,Haver_Q!$B$1:$BD$1,0))),100*INDEX(Haver_Q!$B$1:$BD$1000,MATCH(data!$A99,Haver_Q!$B$1:$B$1000,0),MATCH(data!H$1,Haver_Q!$B$1:$BD$1,0)),"na")</f>
        <v>na</v>
      </c>
      <c r="I99" s="3">
        <f>IF(ISNUMBER(Bloomberg_m!C115),Bloomberg_m!C115,"na")</f>
        <v>6874</v>
      </c>
      <c r="J99" s="3" t="str">
        <f>IF(ISNUMBER(Bloomberg_m!D115),Bloomberg_m!D115,"na")</f>
        <v>na</v>
      </c>
      <c r="K99" s="3" t="str">
        <f>IF(ISNUMBER(Bloomberg_m!E115),Bloomberg_m!E115,"na")</f>
        <v>na</v>
      </c>
      <c r="L99" s="3">
        <f>IF(ISNUMBER(Bloomberg_m!L115),Bloomberg_m!L115,"na")</f>
        <v>95.38</v>
      </c>
      <c r="M99">
        <f>IF(ISNUMBER(INDEX(Haver_M!$B$1:$ZN$1000,MATCH(data!$A99,Haver_M!$B$1:$B$1000,0),MATCH(data!M$1,Haver_M!$B$1:$ZN$1,0))),INDEX(Haver_M!$B$1:$ZN$1000,MATCH(data!$A99,Haver_M!$B$1:$B$1000,0),MATCH(data!M$1,Haver_M!$B$1:$ZN$1,0)),"na")</f>
        <v>7.5</v>
      </c>
      <c r="N99">
        <f>IF(ISNUMBER(INDEX(Haver_M!$B$1:$ZN$1000,MATCH(data!$A99,Haver_M!$B$1:$B$1000,0),MATCH(data!N$1,Haver_M!$B$1:$ZN$1,0))),INDEX(Haver_M!$B$1:$ZN$1000,MATCH(data!$A99,Haver_M!$B$1:$B$1000,0),MATCH(data!N$1,Haver_M!$B$1:$ZN$1,0)),"na")</f>
        <v>7.5391000000000004</v>
      </c>
      <c r="O99">
        <f>IF(ISNUMBER(INDEX(Haver_M!$B$1:$ZN$1000,MATCH(data!$A99,Haver_M!$B$1:$B$1000,0),MATCH(data!O$1,Haver_M!$B$1:$ZN$1,0))),INDEX(Haver_M!$B$1:$ZN$1000,MATCH(data!$A99,Haver_M!$B$1:$B$1000,0),MATCH(data!O$1,Haver_M!$B$1:$ZN$1,0)),"na")</f>
        <v>107.32355</v>
      </c>
      <c r="P99">
        <f>IF(ISNUMBER(INDEX(Haver_M!$B$1:$ZN$1000,MATCH(data!$A99,Haver_M!$B$1:$B$1000,0),MATCH(data!P$1,Haver_M!$B$1:$ZN$1,0))),INDEX(Haver_M!$B$1:$ZN$1000,MATCH(data!$A99,Haver_M!$B$1:$B$1000,0),MATCH(data!P$1,Haver_M!$B$1:$ZN$1,0)),"na")</f>
        <v>65.183199999999999</v>
      </c>
      <c r="Q99">
        <f>IF(ISNUMBER(INDEX(Haver_M!$B$1:$ZN$1000,MATCH(data!$A99,Haver_M!$B$1:$B$1000,0),MATCH(data!Q$1,Haver_M!$B$1:$ZN$1,0))),INDEX(Haver_M!$B$1:$ZN$1000,MATCH(data!$A99,Haver_M!$B$1:$B$1000,0),MATCH(data!Q$1,Haver_M!$B$1:$ZN$1,0)),"na")</f>
        <v>69.147199999999998</v>
      </c>
      <c r="R99">
        <f>IF(ISNUMBER(INDEX(Haver_M!$B$1:$ZN$1000,MATCH(data!$A99,Haver_M!$B$1:$B$1000,0),MATCH(data!R$1,Haver_M!$B$1:$ZN$1,0))),INDEX(Haver_M!$B$1:$ZN$1000,MATCH(data!$A99,Haver_M!$B$1:$B$1000,0),MATCH(data!R$1,Haver_M!$B$1:$ZN$1,0)),"na")</f>
        <v>100.1177</v>
      </c>
      <c r="S99">
        <f>IF(ISNUMBER(INDEX(Haver_M!$B$1:$ZN$1000,MATCH(data!$A99,Haver_M!$B$1:$B$1000,0),MATCH(data!S$1,Haver_M!$B$1:$ZN$1,0))),INDEX(Haver_M!$B$1:$ZN$1000,MATCH(data!$A99,Haver_M!$B$1:$B$1000,0),MATCH(data!S$1,Haver_M!$B$1:$ZN$1,0)),"na")</f>
        <v>105.6221</v>
      </c>
      <c r="T99">
        <f>IF(ISNUMBER(INDEX(Haver_M!$B$1:$ZN$1000,MATCH(data!$A99,Haver_M!$B$1:$B$1000,0),MATCH(data!T$1,Haver_M!$B$1:$ZN$1,0))),INDEX(Haver_M!$B$1:$ZN$1000,MATCH(data!$A99,Haver_M!$B$1:$B$1000,0),MATCH(data!T$1,Haver_M!$B$1:$ZN$1,0)),"na")</f>
        <v>89.713800000000006</v>
      </c>
      <c r="U99">
        <f>IF(ISNUMBER(INDEX(Haver_M!$B$1:$ZN$1000,MATCH(data!$A99,Haver_M!$B$1:$B$1000,0),MATCH(data!U$1,Haver_M!$B$1:$ZN$1,0))),INDEX(Haver_M!$B$1:$ZN$1000,MATCH(data!$A99,Haver_M!$B$1:$B$1000,0),MATCH(data!U$1,Haver_M!$B$1:$ZN$1,0)),"na")</f>
        <v>103.9149</v>
      </c>
      <c r="V99">
        <f>IF(ISNUMBER(INDEX(Haver_M!$B$1:$ZN$1000,MATCH(data!$A99,Haver_M!$B$1:$B$1000,0),MATCH(data!V$1,Haver_M!$B$1:$ZN$1,0))),INDEX(Haver_M!$B$1:$ZN$1000,MATCH(data!$A99,Haver_M!$B$1:$B$1000,0),MATCH(data!V$1,Haver_M!$B$1:$ZN$1,0)),"na")</f>
        <v>96.718500000000006</v>
      </c>
      <c r="W99">
        <f>IF(ISNUMBER(INDEX(Haver_M!$B$1:$ZN$1000,MATCH(data!$A99,Haver_M!$B$1:$B$1000,0),MATCH(data!W$1,Haver_M!$B$1:$ZN$1,0))),INDEX(Haver_M!$B$1:$ZN$1000,MATCH(data!$A99,Haver_M!$B$1:$B$1000,0),MATCH(data!W$1,Haver_M!$B$1:$ZN$1,0)),"na")</f>
        <v>3.71</v>
      </c>
      <c r="X99">
        <f>IF(ISNUMBER(INDEX(Haver_M!$B$1:$ZN$1000,MATCH(data!$A99,Haver_M!$B$1:$B$1000,0),MATCH(data!X$1,Haver_M!$B$1:$ZN$1,0))),INDEX(Haver_M!$B$1:$ZN$1000,MATCH(data!$A99,Haver_M!$B$1:$B$1000,0),MATCH(data!X$1,Haver_M!$B$1:$ZN$1,0)),"na")</f>
        <v>100.81</v>
      </c>
      <c r="Y99">
        <f>IF(ISNUMBER(INDEX(Haver_M!$B$1:$ZN$1000,MATCH(data!$A99,Haver_M!$B$1:$B$1000,0),MATCH(data!Y$1,Haver_M!$B$1:$ZN$1,0))),INDEX(Haver_M!$B$1:$ZN$1000,MATCH(data!$A99,Haver_M!$B$1:$B$1000,0),MATCH(data!Y$1,Haver_M!$B$1:$ZN$1,0)),"na")</f>
        <v>101.57</v>
      </c>
      <c r="Z99">
        <f>IF(ISNUMBER(INDEX(Haver_M!$B$1:$ZN$1000,MATCH(data!$A99,Haver_M!$B$1:$B$1000,0),MATCH(data!Z$1,Haver_M!$B$1:$ZN$1,0))),INDEX(Haver_M!$B$1:$ZN$1000,MATCH(data!$A99,Haver_M!$B$1:$B$1000,0),MATCH(data!Z$1,Haver_M!$B$1:$ZN$1,0)),"na")</f>
        <v>98.949799999999996</v>
      </c>
      <c r="AA99">
        <f>IF(ISNUMBER(INDEX(Haver_M!$B$1:$ZN$1000,MATCH(data!$A99,Haver_M!$B$1:$B$1000,0),MATCH(data!AA$1,Haver_M!$B$1:$ZN$1,0))),INDEX(Haver_M!$B$1:$ZN$1000,MATCH(data!$A99,Haver_M!$B$1:$B$1000,0),MATCH(data!AA$1,Haver_M!$B$1:$ZN$1,0)),"na")</f>
        <v>93.378399999999999</v>
      </c>
      <c r="AB99">
        <f>IF(ISNUMBER(INDEX(Haver_M!$B$1:$ZN$1000,MATCH(data!$A99,Haver_M!$B$1:$B$1000,0),MATCH(data!AB$1,Haver_M!$B$1:$ZN$1,0))),INDEX(Haver_M!$B$1:$ZN$1000,MATCH(data!$A99,Haver_M!$B$1:$B$1000,0),MATCH(data!AB$1,Haver_M!$B$1:$ZN$1,0)),"na")</f>
        <v>24254.2</v>
      </c>
      <c r="AC99">
        <f>IF(ISNUMBER(INDEX(Haver_M!$B$1:$ZN$1000,MATCH(data!$A99,Haver_M!$B$1:$B$1000,0),MATCH(data!AC$1,Haver_M!$B$1:$ZN$1,0))),INDEX(Haver_M!$B$1:$ZN$1000,MATCH(data!$A99,Haver_M!$B$1:$B$1000,0),MATCH(data!AC$1,Haver_M!$B$1:$ZN$1,0)),"na")</f>
        <v>25859.599999999999</v>
      </c>
      <c r="AD99">
        <f>IF(ISNUMBER(INDEX(Haver_M!$B$1:$ZN$1000,MATCH(data!$A99,Haver_M!$B$1:$B$1000,0),MATCH(data!AD$1,Haver_M!$B$1:$ZN$1,0))),INDEX(Haver_M!$B$1:$ZN$1000,MATCH(data!$A99,Haver_M!$B$1:$B$1000,0),MATCH(data!AD$1,Haver_M!$B$1:$ZN$1,0)),"na")</f>
        <v>101.6</v>
      </c>
      <c r="AE99">
        <f>IF(ISNUMBER(INDEX(Haver_M!$B$1:$ZN$1000,MATCH(data!$A99,Haver_M!$B$1:$B$1000,0),MATCH(data!AE$1,Haver_M!$B$1:$ZN$1,0))),INDEX(Haver_M!$B$1:$ZN$1000,MATCH(data!$A99,Haver_M!$B$1:$B$1000,0),MATCH(data!AE$1,Haver_M!$B$1:$ZN$1,0)),"na")</f>
        <v>41.6</v>
      </c>
      <c r="AF99">
        <f>IF(ISNUMBER(INDEX(Haver_M!$B$1:$ZN$1000,MATCH(data!$A99,Haver_M!$B$1:$B$1000,0),MATCH(data!AF$1,Haver_M!$B$1:$ZN$1,0))),INDEX(Haver_M!$B$1:$ZN$1000,MATCH(data!$A99,Haver_M!$B$1:$B$1000,0),MATCH(data!AF$1,Haver_M!$B$1:$ZN$1,0)),"na")</f>
        <v>100.84</v>
      </c>
      <c r="AG99" t="str">
        <f>IF(ISNUMBER(INDEX(Haver_M!$B$1:$ZN$1000,MATCH(data!$A99,Haver_M!$B$1:$B$1000,0),MATCH(data!AG$1,Haver_M!$B$1:$ZN$1,0))),INDEX(Haver_M!$B$1:$ZN$1000,MATCH(data!$A99,Haver_M!$B$1:$B$1000,0),MATCH(data!AG$1,Haver_M!$B$1:$ZN$1,0)),"na")</f>
        <v>na</v>
      </c>
      <c r="AH99" t="str">
        <f>IF(ISNUMBER(INDEX(Haver_M!$B$1:$ZN$1000,MATCH(data!$A99,Haver_M!$B$1:$B$1000,0),MATCH(data!AH$1,Haver_M!$B$1:$ZN$1,0))),INDEX(Haver_M!$B$1:$ZN$1000,MATCH(data!$A99,Haver_M!$B$1:$B$1000,0),MATCH(data!AH$1,Haver_M!$B$1:$ZN$1,0)),"na")</f>
        <v>na</v>
      </c>
      <c r="AI99" t="str">
        <f>IF(ISNUMBER(INDEX(Haver_M!$B$1:$ZN$1000,MATCH(data!$A99,Haver_M!$B$1:$B$1000,0),MATCH(data!AI$1,Haver_M!$B$1:$ZN$1,0))),INDEX(Haver_M!$B$1:$ZN$1000,MATCH(data!$A99,Haver_M!$B$1:$B$1000,0),MATCH(data!AI$1,Haver_M!$B$1:$ZN$1,0)),"na")</f>
        <v>na</v>
      </c>
      <c r="AJ99" t="str">
        <f>IF(ISNUMBER(INDEX(Haver_M!$B$1:$ZN$1000,MATCH(data!$A99,Haver_M!$B$1:$B$1000,0),MATCH(data!AJ$1,Haver_M!$B$1:$ZN$1,0))),INDEX(Haver_M!$B$1:$ZN$1000,MATCH(data!$A99,Haver_M!$B$1:$B$1000,0),MATCH(data!AJ$1,Haver_M!$B$1:$ZN$1,0)),"na")</f>
        <v>na</v>
      </c>
      <c r="AK99" t="str">
        <f>IF(ISNUMBER(INDEX(Haver_M!$B$1:$ZN$1000,MATCH(data!$A99,Haver_M!$B$1:$B$1000,0),MATCH(data!AK$1,Haver_M!$B$1:$ZN$1,0))),INDEX(Haver_M!$B$1:$ZN$1000,MATCH(data!$A99,Haver_M!$B$1:$B$1000,0),MATCH(data!AK$1,Haver_M!$B$1:$ZN$1,0)),"na")</f>
        <v>na</v>
      </c>
      <c r="AL99" t="str">
        <f>IF(ISNUMBER(INDEX(Haver_M!$B$1:$ZN$1000,MATCH(data!$A99,Haver_M!$B$1:$B$1000,0),MATCH(data!AL$1,Haver_M!$B$1:$ZN$1,0))),INDEX(Haver_M!$B$1:$ZN$1000,MATCH(data!$A99,Haver_M!$B$1:$B$1000,0),MATCH(data!AL$1,Haver_M!$B$1:$ZN$1,0)),"na")</f>
        <v>na</v>
      </c>
      <c r="AM99" t="str">
        <f>IF(ISNUMBER(INDEX(Haver_M!$B$1:$ZN$1000,MATCH(data!$A99,Haver_M!$B$1:$B$1000,0),MATCH(data!AM$1,Haver_M!$B$1:$ZN$1,0))),INDEX(Haver_M!$B$1:$ZN$1000,MATCH(data!$A99,Haver_M!$B$1:$B$1000,0),MATCH(data!AM$1,Haver_M!$B$1:$ZN$1,0)),"na")</f>
        <v>na</v>
      </c>
      <c r="AN99" t="str">
        <f>IF(ISNUMBER(INDEX(Haver_M!$B$1:$ZN$1000,MATCH(data!$A99,Haver_M!$B$1:$B$1000,0),MATCH(data!AN$1,Haver_M!$B$1:$ZN$1,0))),INDEX(Haver_M!$B$1:$ZN$1000,MATCH(data!$A99,Haver_M!$B$1:$B$1000,0),MATCH(data!AN$1,Haver_M!$B$1:$ZN$1,0)),"na")</f>
        <v>na</v>
      </c>
      <c r="AO99" t="str">
        <f>IF(ISNUMBER(INDEX(Haver_M!$B$1:$ZN$1000,MATCH(data!$A99,Haver_M!$B$1:$B$1000,0),MATCH(data!AO$1,Haver_M!$B$1:$ZN$1,0))),INDEX(Haver_M!$B$1:$ZN$1000,MATCH(data!$A99,Haver_M!$B$1:$B$1000,0),MATCH(data!AO$1,Haver_M!$B$1:$ZN$1,0)),"na")</f>
        <v>na</v>
      </c>
      <c r="AP99" t="str">
        <f>IF(ISNUMBER(INDEX(Haver_M!$B$1:$ZN$1000,MATCH(data!$A99,Haver_M!$B$1:$B$1000,0),MATCH(data!AP$1,Haver_M!$B$1:$ZN$1,0))),INDEX(Haver_M!$B$1:$ZN$1000,MATCH(data!$A99,Haver_M!$B$1:$B$1000,0),MATCH(data!AP$1,Haver_M!$B$1:$ZN$1,0)),"na")</f>
        <v>na</v>
      </c>
      <c r="AQ99" t="str">
        <f>IF(ISNUMBER(INDEX(Haver_M!$B$1:$ZN$1000,MATCH(data!$A99,Haver_M!$B$1:$B$1000,0),MATCH(data!AQ$1,Haver_M!$B$1:$ZN$1,0))),INDEX(Haver_M!$B$1:$ZN$1000,MATCH(data!$A99,Haver_M!$B$1:$B$1000,0),MATCH(data!AQ$1,Haver_M!$B$1:$ZN$1,0)),"na")</f>
        <v>na</v>
      </c>
      <c r="AR99" t="str">
        <f>IF(ISNUMBER(INDEX(Haver_M!$B$1:$ZN$1000,MATCH(data!$A99,Haver_M!$B$1:$B$1000,0),MATCH(data!AR$1,Haver_M!$B$1:$ZN$1,0))),INDEX(Haver_M!$B$1:$ZN$1000,MATCH(data!$A99,Haver_M!$B$1:$B$1000,0),MATCH(data!AR$1,Haver_M!$B$1:$ZN$1,0)),"na")</f>
        <v>na</v>
      </c>
      <c r="AS99">
        <f>IF(ISNUMBER(INDEX(Haver_M!$B$1:$ZN$1000,MATCH(data!$A99,Haver_M!$B$1:$B$1000,0),MATCH(data!AS$1,Haver_M!$B$1:$ZN$1,0))),INDEX(Haver_M!$B$1:$ZN$1000,MATCH(data!$A99,Haver_M!$B$1:$B$1000,0),MATCH(data!AS$1,Haver_M!$B$1:$ZN$1,0)),"na")</f>
        <v>29135.77</v>
      </c>
      <c r="AT99">
        <f>IF(ISNUMBER(INDEX(Haver_M!$B$1:$ZN$1000,MATCH(data!$A99,Haver_M!$B$1:$B$1000,0),MATCH(data!AT$1,Haver_M!$B$1:$ZN$1,0))),INDEX(Haver_M!$B$1:$ZN$1000,MATCH(data!$A99,Haver_M!$B$1:$B$1000,0),MATCH(data!AT$1,Haver_M!$B$1:$ZN$1,0)),"na")</f>
        <v>96.576999999999998</v>
      </c>
      <c r="AU99">
        <f>IF(ISNUMBER(INDEX(Haver_M!$B$1:$ZN$1000,MATCH(data!$A99,Haver_M!$B$1:$B$1000,0),MATCH(data!AU$1,Haver_M!$B$1:$ZN$1,0))),INDEX(Haver_M!$B$1:$ZN$1000,MATCH(data!$A99,Haver_M!$B$1:$B$1000,0),MATCH(data!AU$1,Haver_M!$B$1:$ZN$1,0)),"na")</f>
        <v>92.402502999999996</v>
      </c>
      <c r="AV99">
        <f>IF(ISNUMBER(INDEX(Haver_M!$B$1:$ZN$1000,MATCH(data!$A99,Haver_M!$B$1:$B$1000,0),MATCH(data!AV$1,Haver_M!$B$1:$ZN$1,0))),INDEX(Haver_M!$B$1:$ZN$1000,MATCH(data!$A99,Haver_M!$B$1:$B$1000,0),MATCH(data!AV$1,Haver_M!$B$1:$ZN$1,0)),"na")</f>
        <v>100.3</v>
      </c>
      <c r="AW99">
        <f>IF(ISNUMBER(INDEX(Haver_M!$B$1:$ZN$1000,MATCH(data!$A99,Haver_M!$B$1:$B$1000,0),MATCH(data!AW$1,Haver_M!$B$1:$ZN$1,0))),INDEX(Haver_M!$B$1:$ZN$1000,MATCH(data!$A99,Haver_M!$B$1:$B$1000,0),MATCH(data!AW$1,Haver_M!$B$1:$ZN$1,0)),"na")</f>
        <v>1145405.8336383447</v>
      </c>
      <c r="AX99">
        <f>IF(ISNUMBER(INDEX(Haver_M!$B$1:$ZN$1000,MATCH(data!$A99,Haver_M!$B$1:$B$1000,0),MATCH(data!AX$1,Haver_M!$B$1:$ZN$1,0))),INDEX(Haver_M!$B$1:$ZN$1000,MATCH(data!$A99,Haver_M!$B$1:$B$1000,0),MATCH(data!AX$1,Haver_M!$B$1:$ZN$1,0)),"na")</f>
        <v>2906</v>
      </c>
      <c r="AY99">
        <f>IF(ISNUMBER(INDEX(Haver_M!$B$1:$ZN$1000,MATCH(data!$A99,Haver_M!$B$1:$B$1000,0),MATCH(data!AY$1,Haver_M!$B$1:$ZN$1,0))),INDEX(Haver_M!$B$1:$ZN$1000,MATCH(data!$A99,Haver_M!$B$1:$B$1000,0),MATCH(data!AY$1,Haver_M!$B$1:$ZN$1,0)),"na")</f>
        <v>1429</v>
      </c>
      <c r="AZ99">
        <f>IF(ISNUMBER(INDEX(Haver_M!$B$1:$ZN$1000,MATCH(data!$A99,Haver_M!$B$1:$B$1000,0),MATCH(data!AZ$1,Haver_M!$B$1:$ZN$1,0))),INDEX(Haver_M!$B$1:$ZN$1000,MATCH(data!$A99,Haver_M!$B$1:$B$1000,0),MATCH(data!AZ$1,Haver_M!$B$1:$ZN$1,0)),"na")</f>
        <v>51.2</v>
      </c>
      <c r="BA99">
        <f>IF(ISNUMBER(INDEX(Haver_M!$B$1:$ZN$1000,MATCH(data!$A99,Haver_M!$B$1:$B$1000,0),MATCH(data!BA$1,Haver_M!$B$1:$ZN$1,0))),INDEX(Haver_M!$B$1:$ZN$1000,MATCH(data!$A99,Haver_M!$B$1:$B$1000,0),MATCH(data!BA$1,Haver_M!$B$1:$ZN$1,0)),"na")</f>
        <v>61.811380214600796</v>
      </c>
      <c r="BB99" t="str">
        <f>IF(ISNUMBER(INDEX(Haver_M!$B$1:$ZN$1000,MATCH(data!$A99,Haver_M!$B$1:$B$1000,0),MATCH(data!BB$1,Haver_M!$B$1:$ZN$1,0))),INDEX(Haver_M!$B$1:$ZN$1000,MATCH(data!$A99,Haver_M!$B$1:$B$1000,0),MATCH(data!BB$1,Haver_M!$B$1:$ZN$1,0)),"")</f>
        <v/>
      </c>
    </row>
    <row r="100" spans="1:54" x14ac:dyDescent="0.25">
      <c r="A100" s="2">
        <v>39538</v>
      </c>
      <c r="B100">
        <f>IF(ISNUMBER(INDEX(Haver_Q!$B$1:$BD$1000,MATCH(data!$A100,Haver_Q!$B$1:$B$1000,0),MATCH(data!B$1,Haver_Q!$B$1:$BD$1,0))),100*INDEX(Haver_Q!$B$1:$BD$1000,MATCH(data!$A100,Haver_Q!$B$1:$B$1000,0),MATCH(data!B$1,Haver_Q!$B$1:$BD$1,0)),"na")</f>
        <v>-0.7524073304854384</v>
      </c>
      <c r="C100">
        <f>IF(ISNUMBER(INDEX(Haver_Q!$B$1:$BD$1000,MATCH(data!$A100,Haver_Q!$B$1:$B$1000,0),MATCH(data!C$1,Haver_Q!$B$1:$BD$1,0))),100*INDEX(Haver_Q!$B$1:$BD$1000,MATCH(data!$A100,Haver_Q!$B$1:$B$1000,0),MATCH(data!C$1,Haver_Q!$B$1:$BD$1,0)),"na")</f>
        <v>-2.4587116170785128</v>
      </c>
      <c r="D100">
        <f>IF(ISNUMBER(INDEX(Haver_Q!$B$1:$BD$1000,MATCH(data!$A100,Haver_Q!$B$1:$B$1000,0),MATCH(data!D$1,Haver_Q!$B$1:$BD$1,0))),100*INDEX(Haver_Q!$B$1:$BD$1000,MATCH(data!$A100,Haver_Q!$B$1:$B$1000,0),MATCH(data!D$1,Haver_Q!$B$1:$BD$1,0)),"na")</f>
        <v>5.7779393704365578</v>
      </c>
      <c r="E100">
        <f>IF(ISNUMBER(INDEX(Haver_Q!$B$1:$BD$1000,MATCH(data!$A100,Haver_Q!$B$1:$B$1000,0),MATCH(data!E$1,Haver_Q!$B$1:$BD$1,0))),100*INDEX(Haver_Q!$B$1:$BD$1000,MATCH(data!$A100,Haver_Q!$B$1:$B$1000,0),MATCH(data!E$1,Haver_Q!$B$1:$BD$1,0)),"na")</f>
        <v>5.443029865121507</v>
      </c>
      <c r="F100">
        <f>IF(ISNUMBER(INDEX(Haver_Q!$B$1:$BD$1000,MATCH(data!$A100,Haver_Q!$B$1:$B$1000,0),MATCH(data!F$1,Haver_Q!$B$1:$BD$1,0))),100*INDEX(Haver_Q!$B$1:$BD$1000,MATCH(data!$A100,Haver_Q!$B$1:$B$1000,0),MATCH(data!F$1,Haver_Q!$B$1:$BD$1,0)),"na")</f>
        <v>4.1014164941679754</v>
      </c>
      <c r="G100">
        <f>IF(ISNUMBER(INDEX(Haver_Q!$B$1:$BD$1000,MATCH(data!$A100,Haver_Q!$B$1:$B$1000,0),MATCH(data!G$1,Haver_Q!$B$1:$BD$1,0))),100*INDEX(Haver_Q!$B$1:$BD$1000,MATCH(data!$A100,Haver_Q!$B$1:$B$1000,0),MATCH(data!G$1,Haver_Q!$B$1:$BD$1,0)),"na")</f>
        <v>2.3444961566614575</v>
      </c>
      <c r="H100">
        <f>IF(ISNUMBER(INDEX(Haver_Q!$B$1:$BD$1000,MATCH(data!$A100,Haver_Q!$B$1:$B$1000,0),MATCH(data!H$1,Haver_Q!$B$1:$BD$1,0))),100*INDEX(Haver_Q!$B$1:$BD$1000,MATCH(data!$A100,Haver_Q!$B$1:$B$1000,0),MATCH(data!H$1,Haver_Q!$B$1:$BD$1,0)),"na")</f>
        <v>335.72284817453425</v>
      </c>
      <c r="I100" s="3">
        <f>IF(ISNUMBER(Bloomberg_m!C116),Bloomberg_m!C116,"na")</f>
        <v>8063</v>
      </c>
      <c r="J100" s="3" t="str">
        <f>IF(ISNUMBER(Bloomberg_m!D116),Bloomberg_m!D116,"na")</f>
        <v>na</v>
      </c>
      <c r="K100" s="3" t="str">
        <f>IF(ISNUMBER(Bloomberg_m!E116),Bloomberg_m!E116,"na")</f>
        <v>na</v>
      </c>
      <c r="L100" s="3">
        <f>IF(ISNUMBER(Bloomberg_m!L116),Bloomberg_m!L116,"na")</f>
        <v>105.47</v>
      </c>
      <c r="M100">
        <f>IF(ISNUMBER(INDEX(Haver_M!$B$1:$ZN$1000,MATCH(data!$A100,Haver_M!$B$1:$B$1000,0),MATCH(data!M$1,Haver_M!$B$1:$ZN$1,0))),INDEX(Haver_M!$B$1:$ZN$1000,MATCH(data!$A100,Haver_M!$B$1:$B$1000,0),MATCH(data!M$1,Haver_M!$B$1:$ZN$1,0)),"na")</f>
        <v>7.5</v>
      </c>
      <c r="N100">
        <f>IF(ISNUMBER(INDEX(Haver_M!$B$1:$ZN$1000,MATCH(data!$A100,Haver_M!$B$1:$B$1000,0),MATCH(data!N$1,Haver_M!$B$1:$ZN$1,0))),INDEX(Haver_M!$B$1:$ZN$1000,MATCH(data!$A100,Haver_M!$B$1:$B$1000,0),MATCH(data!N$1,Haver_M!$B$1:$ZN$1,0)),"na")</f>
        <v>7.4992000000000001</v>
      </c>
      <c r="O100">
        <f>IF(ISNUMBER(INDEX(Haver_M!$B$1:$ZN$1000,MATCH(data!$A100,Haver_M!$B$1:$B$1000,0),MATCH(data!O$1,Haver_M!$B$1:$ZN$1,0))),INDEX(Haver_M!$B$1:$ZN$1000,MATCH(data!$A100,Haver_M!$B$1:$B$1000,0),MATCH(data!O$1,Haver_M!$B$1:$ZN$1,0)),"na")</f>
        <v>106.79498</v>
      </c>
      <c r="P100">
        <f>IF(ISNUMBER(INDEX(Haver_M!$B$1:$ZN$1000,MATCH(data!$A100,Haver_M!$B$1:$B$1000,0),MATCH(data!P$1,Haver_M!$B$1:$ZN$1,0))),INDEX(Haver_M!$B$1:$ZN$1000,MATCH(data!$A100,Haver_M!$B$1:$B$1000,0),MATCH(data!P$1,Haver_M!$B$1:$ZN$1,0)),"na")</f>
        <v>65.606399999999994</v>
      </c>
      <c r="Q100">
        <f>IF(ISNUMBER(INDEX(Haver_M!$B$1:$ZN$1000,MATCH(data!$A100,Haver_M!$B$1:$B$1000,0),MATCH(data!Q$1,Haver_M!$B$1:$ZN$1,0))),INDEX(Haver_M!$B$1:$ZN$1000,MATCH(data!$A100,Haver_M!$B$1:$B$1000,0),MATCH(data!Q$1,Haver_M!$B$1:$ZN$1,0)),"na")</f>
        <v>69.414299999999997</v>
      </c>
      <c r="R100">
        <f>IF(ISNUMBER(INDEX(Haver_M!$B$1:$ZN$1000,MATCH(data!$A100,Haver_M!$B$1:$B$1000,0),MATCH(data!R$1,Haver_M!$B$1:$ZN$1,0))),INDEX(Haver_M!$B$1:$ZN$1000,MATCH(data!$A100,Haver_M!$B$1:$B$1000,0),MATCH(data!R$1,Haver_M!$B$1:$ZN$1,0)),"na")</f>
        <v>98.620800000000003</v>
      </c>
      <c r="S100">
        <f>IF(ISNUMBER(INDEX(Haver_M!$B$1:$ZN$1000,MATCH(data!$A100,Haver_M!$B$1:$B$1000,0),MATCH(data!S$1,Haver_M!$B$1:$ZN$1,0))),INDEX(Haver_M!$B$1:$ZN$1000,MATCH(data!$A100,Haver_M!$B$1:$B$1000,0),MATCH(data!S$1,Haver_M!$B$1:$ZN$1,0)),"na")</f>
        <v>104.24890000000001</v>
      </c>
      <c r="T100">
        <f>IF(ISNUMBER(INDEX(Haver_M!$B$1:$ZN$1000,MATCH(data!$A100,Haver_M!$B$1:$B$1000,0),MATCH(data!T$1,Haver_M!$B$1:$ZN$1,0))),INDEX(Haver_M!$B$1:$ZN$1000,MATCH(data!$A100,Haver_M!$B$1:$B$1000,0),MATCH(data!T$1,Haver_M!$B$1:$ZN$1,0)),"na")</f>
        <v>87.203299999999999</v>
      </c>
      <c r="U100">
        <f>IF(ISNUMBER(INDEX(Haver_M!$B$1:$ZN$1000,MATCH(data!$A100,Haver_M!$B$1:$B$1000,0),MATCH(data!U$1,Haver_M!$B$1:$ZN$1,0))),INDEX(Haver_M!$B$1:$ZN$1000,MATCH(data!$A100,Haver_M!$B$1:$B$1000,0),MATCH(data!U$1,Haver_M!$B$1:$ZN$1,0)),"na")</f>
        <v>101.7976</v>
      </c>
      <c r="V100">
        <f>IF(ISNUMBER(INDEX(Haver_M!$B$1:$ZN$1000,MATCH(data!$A100,Haver_M!$B$1:$B$1000,0),MATCH(data!V$1,Haver_M!$B$1:$ZN$1,0))),INDEX(Haver_M!$B$1:$ZN$1000,MATCH(data!$A100,Haver_M!$B$1:$B$1000,0),MATCH(data!V$1,Haver_M!$B$1:$ZN$1,0)),"na")</f>
        <v>96.406999999999996</v>
      </c>
      <c r="W100">
        <f>IF(ISNUMBER(INDEX(Haver_M!$B$1:$ZN$1000,MATCH(data!$A100,Haver_M!$B$1:$B$1000,0),MATCH(data!W$1,Haver_M!$B$1:$ZN$1,0))),INDEX(Haver_M!$B$1:$ZN$1000,MATCH(data!$A100,Haver_M!$B$1:$B$1000,0),MATCH(data!W$1,Haver_M!$B$1:$ZN$1,0)),"na")</f>
        <v>4.1100000000000003</v>
      </c>
      <c r="X100">
        <f>IF(ISNUMBER(INDEX(Haver_M!$B$1:$ZN$1000,MATCH(data!$A100,Haver_M!$B$1:$B$1000,0),MATCH(data!X$1,Haver_M!$B$1:$ZN$1,0))),INDEX(Haver_M!$B$1:$ZN$1000,MATCH(data!$A100,Haver_M!$B$1:$B$1000,0),MATCH(data!X$1,Haver_M!$B$1:$ZN$1,0)),"na")</f>
        <v>100.47</v>
      </c>
      <c r="Y100">
        <f>IF(ISNUMBER(INDEX(Haver_M!$B$1:$ZN$1000,MATCH(data!$A100,Haver_M!$B$1:$B$1000,0),MATCH(data!Y$1,Haver_M!$B$1:$ZN$1,0))),INDEX(Haver_M!$B$1:$ZN$1000,MATCH(data!$A100,Haver_M!$B$1:$B$1000,0),MATCH(data!Y$1,Haver_M!$B$1:$ZN$1,0)),"na")</f>
        <v>101.37</v>
      </c>
      <c r="Z100">
        <f>IF(ISNUMBER(INDEX(Haver_M!$B$1:$ZN$1000,MATCH(data!$A100,Haver_M!$B$1:$B$1000,0),MATCH(data!Z$1,Haver_M!$B$1:$ZN$1,0))),INDEX(Haver_M!$B$1:$ZN$1000,MATCH(data!$A100,Haver_M!$B$1:$B$1000,0),MATCH(data!Z$1,Haver_M!$B$1:$ZN$1,0)),"na")</f>
        <v>98.162700000000001</v>
      </c>
      <c r="AA100">
        <f>IF(ISNUMBER(INDEX(Haver_M!$B$1:$ZN$1000,MATCH(data!$A100,Haver_M!$B$1:$B$1000,0),MATCH(data!AA$1,Haver_M!$B$1:$ZN$1,0))),INDEX(Haver_M!$B$1:$ZN$1000,MATCH(data!$A100,Haver_M!$B$1:$B$1000,0),MATCH(data!AA$1,Haver_M!$B$1:$ZN$1,0)),"na")</f>
        <v>93.366200000000006</v>
      </c>
      <c r="AB100">
        <f>IF(ISNUMBER(INDEX(Haver_M!$B$1:$ZN$1000,MATCH(data!$A100,Haver_M!$B$1:$B$1000,0),MATCH(data!AB$1,Haver_M!$B$1:$ZN$1,0))),INDEX(Haver_M!$B$1:$ZN$1000,MATCH(data!$A100,Haver_M!$B$1:$B$1000,0),MATCH(data!AB$1,Haver_M!$B$1:$ZN$1,0)),"na")</f>
        <v>25374.1</v>
      </c>
      <c r="AC100">
        <f>IF(ISNUMBER(INDEX(Haver_M!$B$1:$ZN$1000,MATCH(data!$A100,Haver_M!$B$1:$B$1000,0),MATCH(data!AC$1,Haver_M!$B$1:$ZN$1,0))),INDEX(Haver_M!$B$1:$ZN$1000,MATCH(data!$A100,Haver_M!$B$1:$B$1000,0),MATCH(data!AC$1,Haver_M!$B$1:$ZN$1,0)),"na")</f>
        <v>25845.200000000001</v>
      </c>
      <c r="AD100">
        <f>IF(ISNUMBER(INDEX(Haver_M!$B$1:$ZN$1000,MATCH(data!$A100,Haver_M!$B$1:$B$1000,0),MATCH(data!AD$1,Haver_M!$B$1:$ZN$1,0))),INDEX(Haver_M!$B$1:$ZN$1000,MATCH(data!$A100,Haver_M!$B$1:$B$1000,0),MATCH(data!AD$1,Haver_M!$B$1:$ZN$1,0)),"na")</f>
        <v>101.66</v>
      </c>
      <c r="AE100">
        <f>IF(ISNUMBER(INDEX(Haver_M!$B$1:$ZN$1000,MATCH(data!$A100,Haver_M!$B$1:$B$1000,0),MATCH(data!AE$1,Haver_M!$B$1:$ZN$1,0))),INDEX(Haver_M!$B$1:$ZN$1000,MATCH(data!$A100,Haver_M!$B$1:$B$1000,0),MATCH(data!AE$1,Haver_M!$B$1:$ZN$1,0)),"na")</f>
        <v>41.5</v>
      </c>
      <c r="AF100">
        <f>IF(ISNUMBER(INDEX(Haver_M!$B$1:$ZN$1000,MATCH(data!$A100,Haver_M!$B$1:$B$1000,0),MATCH(data!AF$1,Haver_M!$B$1:$ZN$1,0))),INDEX(Haver_M!$B$1:$ZN$1000,MATCH(data!$A100,Haver_M!$B$1:$B$1000,0),MATCH(data!AF$1,Haver_M!$B$1:$ZN$1,0)),"na")</f>
        <v>100.54</v>
      </c>
      <c r="AG100" t="str">
        <f>IF(ISNUMBER(INDEX(Haver_M!$B$1:$ZN$1000,MATCH(data!$A100,Haver_M!$B$1:$B$1000,0),MATCH(data!AG$1,Haver_M!$B$1:$ZN$1,0))),INDEX(Haver_M!$B$1:$ZN$1000,MATCH(data!$A100,Haver_M!$B$1:$B$1000,0),MATCH(data!AG$1,Haver_M!$B$1:$ZN$1,0)),"na")</f>
        <v>na</v>
      </c>
      <c r="AH100" t="str">
        <f>IF(ISNUMBER(INDEX(Haver_M!$B$1:$ZN$1000,MATCH(data!$A100,Haver_M!$B$1:$B$1000,0),MATCH(data!AH$1,Haver_M!$B$1:$ZN$1,0))),INDEX(Haver_M!$B$1:$ZN$1000,MATCH(data!$A100,Haver_M!$B$1:$B$1000,0),MATCH(data!AH$1,Haver_M!$B$1:$ZN$1,0)),"na")</f>
        <v>na</v>
      </c>
      <c r="AI100" t="str">
        <f>IF(ISNUMBER(INDEX(Haver_M!$B$1:$ZN$1000,MATCH(data!$A100,Haver_M!$B$1:$B$1000,0),MATCH(data!AI$1,Haver_M!$B$1:$ZN$1,0))),INDEX(Haver_M!$B$1:$ZN$1000,MATCH(data!$A100,Haver_M!$B$1:$B$1000,0),MATCH(data!AI$1,Haver_M!$B$1:$ZN$1,0)),"na")</f>
        <v>na</v>
      </c>
      <c r="AJ100" t="str">
        <f>IF(ISNUMBER(INDEX(Haver_M!$B$1:$ZN$1000,MATCH(data!$A100,Haver_M!$B$1:$B$1000,0),MATCH(data!AJ$1,Haver_M!$B$1:$ZN$1,0))),INDEX(Haver_M!$B$1:$ZN$1000,MATCH(data!$A100,Haver_M!$B$1:$B$1000,0),MATCH(data!AJ$1,Haver_M!$B$1:$ZN$1,0)),"na")</f>
        <v>na</v>
      </c>
      <c r="AK100" t="str">
        <f>IF(ISNUMBER(INDEX(Haver_M!$B$1:$ZN$1000,MATCH(data!$A100,Haver_M!$B$1:$B$1000,0),MATCH(data!AK$1,Haver_M!$B$1:$ZN$1,0))),INDEX(Haver_M!$B$1:$ZN$1000,MATCH(data!$A100,Haver_M!$B$1:$B$1000,0),MATCH(data!AK$1,Haver_M!$B$1:$ZN$1,0)),"na")</f>
        <v>na</v>
      </c>
      <c r="AL100" t="str">
        <f>IF(ISNUMBER(INDEX(Haver_M!$B$1:$ZN$1000,MATCH(data!$A100,Haver_M!$B$1:$B$1000,0),MATCH(data!AL$1,Haver_M!$B$1:$ZN$1,0))),INDEX(Haver_M!$B$1:$ZN$1000,MATCH(data!$A100,Haver_M!$B$1:$B$1000,0),MATCH(data!AL$1,Haver_M!$B$1:$ZN$1,0)),"na")</f>
        <v>na</v>
      </c>
      <c r="AM100" t="str">
        <f>IF(ISNUMBER(INDEX(Haver_M!$B$1:$ZN$1000,MATCH(data!$A100,Haver_M!$B$1:$B$1000,0),MATCH(data!AM$1,Haver_M!$B$1:$ZN$1,0))),INDEX(Haver_M!$B$1:$ZN$1000,MATCH(data!$A100,Haver_M!$B$1:$B$1000,0),MATCH(data!AM$1,Haver_M!$B$1:$ZN$1,0)),"na")</f>
        <v>na</v>
      </c>
      <c r="AN100" t="str">
        <f>IF(ISNUMBER(INDEX(Haver_M!$B$1:$ZN$1000,MATCH(data!$A100,Haver_M!$B$1:$B$1000,0),MATCH(data!AN$1,Haver_M!$B$1:$ZN$1,0))),INDEX(Haver_M!$B$1:$ZN$1000,MATCH(data!$A100,Haver_M!$B$1:$B$1000,0),MATCH(data!AN$1,Haver_M!$B$1:$ZN$1,0)),"na")</f>
        <v>na</v>
      </c>
      <c r="AO100" t="str">
        <f>IF(ISNUMBER(INDEX(Haver_M!$B$1:$ZN$1000,MATCH(data!$A100,Haver_M!$B$1:$B$1000,0),MATCH(data!AO$1,Haver_M!$B$1:$ZN$1,0))),INDEX(Haver_M!$B$1:$ZN$1000,MATCH(data!$A100,Haver_M!$B$1:$B$1000,0),MATCH(data!AO$1,Haver_M!$B$1:$ZN$1,0)),"na")</f>
        <v>na</v>
      </c>
      <c r="AP100" t="str">
        <f>IF(ISNUMBER(INDEX(Haver_M!$B$1:$ZN$1000,MATCH(data!$A100,Haver_M!$B$1:$B$1000,0),MATCH(data!AP$1,Haver_M!$B$1:$ZN$1,0))),INDEX(Haver_M!$B$1:$ZN$1000,MATCH(data!$A100,Haver_M!$B$1:$B$1000,0),MATCH(data!AP$1,Haver_M!$B$1:$ZN$1,0)),"na")</f>
        <v>na</v>
      </c>
      <c r="AQ100" t="str">
        <f>IF(ISNUMBER(INDEX(Haver_M!$B$1:$ZN$1000,MATCH(data!$A100,Haver_M!$B$1:$B$1000,0),MATCH(data!AQ$1,Haver_M!$B$1:$ZN$1,0))),INDEX(Haver_M!$B$1:$ZN$1000,MATCH(data!$A100,Haver_M!$B$1:$B$1000,0),MATCH(data!AQ$1,Haver_M!$B$1:$ZN$1,0)),"na")</f>
        <v>na</v>
      </c>
      <c r="AR100" t="str">
        <f>IF(ISNUMBER(INDEX(Haver_M!$B$1:$ZN$1000,MATCH(data!$A100,Haver_M!$B$1:$B$1000,0),MATCH(data!AR$1,Haver_M!$B$1:$ZN$1,0))),INDEX(Haver_M!$B$1:$ZN$1000,MATCH(data!$A100,Haver_M!$B$1:$B$1000,0),MATCH(data!AR$1,Haver_M!$B$1:$ZN$1,0)),"na")</f>
        <v>na</v>
      </c>
      <c r="AS100">
        <f>IF(ISNUMBER(INDEX(Haver_M!$B$1:$ZN$1000,MATCH(data!$A100,Haver_M!$B$1:$B$1000,0),MATCH(data!AS$1,Haver_M!$B$1:$ZN$1,0))),INDEX(Haver_M!$B$1:$ZN$1000,MATCH(data!$A100,Haver_M!$B$1:$B$1000,0),MATCH(data!AS$1,Haver_M!$B$1:$ZN$1,0)),"na")</f>
        <v>29464.04</v>
      </c>
      <c r="AT100">
        <f>IF(ISNUMBER(INDEX(Haver_M!$B$1:$ZN$1000,MATCH(data!$A100,Haver_M!$B$1:$B$1000,0),MATCH(data!AT$1,Haver_M!$B$1:$ZN$1,0))),INDEX(Haver_M!$B$1:$ZN$1000,MATCH(data!$A100,Haver_M!$B$1:$B$1000,0),MATCH(data!AT$1,Haver_M!$B$1:$ZN$1,0)),"na")</f>
        <v>96.143000000000001</v>
      </c>
      <c r="AU100">
        <f>IF(ISNUMBER(INDEX(Haver_M!$B$1:$ZN$1000,MATCH(data!$A100,Haver_M!$B$1:$B$1000,0),MATCH(data!AU$1,Haver_M!$B$1:$ZN$1,0))),INDEX(Haver_M!$B$1:$ZN$1000,MATCH(data!$A100,Haver_M!$B$1:$B$1000,0),MATCH(data!AU$1,Haver_M!$B$1:$ZN$1,0)),"na")</f>
        <v>91.500826000000004</v>
      </c>
      <c r="AV100">
        <f>IF(ISNUMBER(INDEX(Haver_M!$B$1:$ZN$1000,MATCH(data!$A100,Haver_M!$B$1:$B$1000,0),MATCH(data!AV$1,Haver_M!$B$1:$ZN$1,0))),INDEX(Haver_M!$B$1:$ZN$1000,MATCH(data!$A100,Haver_M!$B$1:$B$1000,0),MATCH(data!AV$1,Haver_M!$B$1:$ZN$1,0)),"na")</f>
        <v>97.8</v>
      </c>
      <c r="AW100">
        <f>IF(ISNUMBER(INDEX(Haver_M!$B$1:$ZN$1000,MATCH(data!$A100,Haver_M!$B$1:$B$1000,0),MATCH(data!AW$1,Haver_M!$B$1:$ZN$1,0))),INDEX(Haver_M!$B$1:$ZN$1000,MATCH(data!$A100,Haver_M!$B$1:$B$1000,0),MATCH(data!AW$1,Haver_M!$B$1:$ZN$1,0)),"na")</f>
        <v>1113365.8562257423</v>
      </c>
      <c r="AX100">
        <f>IF(ISNUMBER(INDEX(Haver_M!$B$1:$ZN$1000,MATCH(data!$A100,Haver_M!$B$1:$B$1000,0),MATCH(data!AX$1,Haver_M!$B$1:$ZN$1,0))),INDEX(Haver_M!$B$1:$ZN$1000,MATCH(data!$A100,Haver_M!$B$1:$B$1000,0),MATCH(data!AX$1,Haver_M!$B$1:$ZN$1,0)),"na")</f>
        <v>2836</v>
      </c>
      <c r="AY100">
        <f>IF(ISNUMBER(INDEX(Haver_M!$B$1:$ZN$1000,MATCH(data!$A100,Haver_M!$B$1:$B$1000,0),MATCH(data!AY$1,Haver_M!$B$1:$ZN$1,0))),INDEX(Haver_M!$B$1:$ZN$1000,MATCH(data!$A100,Haver_M!$B$1:$B$1000,0),MATCH(data!AY$1,Haver_M!$B$1:$ZN$1,0)),"na")</f>
        <v>1628</v>
      </c>
      <c r="AZ100">
        <f>IF(ISNUMBER(INDEX(Haver_M!$B$1:$ZN$1000,MATCH(data!$A100,Haver_M!$B$1:$B$1000,0),MATCH(data!AZ$1,Haver_M!$B$1:$ZN$1,0))),INDEX(Haver_M!$B$1:$ZN$1000,MATCH(data!$A100,Haver_M!$B$1:$B$1000,0),MATCH(data!AZ$1,Haver_M!$B$1:$ZN$1,0)),"na")</f>
        <v>48.6</v>
      </c>
      <c r="BA100">
        <f>IF(ISNUMBER(INDEX(Haver_M!$B$1:$ZN$1000,MATCH(data!$A100,Haver_M!$B$1:$B$1000,0),MATCH(data!BA$1,Haver_M!$B$1:$ZN$1,0))),INDEX(Haver_M!$B$1:$ZN$1000,MATCH(data!$A100,Haver_M!$B$1:$B$1000,0),MATCH(data!BA$1,Haver_M!$B$1:$ZN$1,0)),"na")</f>
        <v>60.688564455569555</v>
      </c>
      <c r="BB100" t="str">
        <f>IF(ISNUMBER(INDEX(Haver_M!$B$1:$ZN$1000,MATCH(data!$A100,Haver_M!$B$1:$B$1000,0),MATCH(data!BB$1,Haver_M!$B$1:$ZN$1,0))),INDEX(Haver_M!$B$1:$ZN$1000,MATCH(data!$A100,Haver_M!$B$1:$B$1000,0),MATCH(data!BB$1,Haver_M!$B$1:$ZN$1,0)),"")</f>
        <v/>
      </c>
    </row>
    <row r="101" spans="1:54" x14ac:dyDescent="0.25">
      <c r="A101" s="2">
        <v>39568</v>
      </c>
      <c r="B101" t="str">
        <f>IF(ISNUMBER(INDEX(Haver_Q!$B$1:$BD$1000,MATCH(data!$A101,Haver_Q!$B$1:$B$1000,0),MATCH(data!B$1,Haver_Q!$B$1:$BD$1,0))),100*INDEX(Haver_Q!$B$1:$BD$1000,MATCH(data!$A101,Haver_Q!$B$1:$B$1000,0),MATCH(data!B$1,Haver_Q!$B$1:$BD$1,0)),"na")</f>
        <v>na</v>
      </c>
      <c r="C101" t="str">
        <f>IF(ISNUMBER(INDEX(Haver_Q!$B$1:$BD$1000,MATCH(data!$A101,Haver_Q!$B$1:$B$1000,0),MATCH(data!C$1,Haver_Q!$B$1:$BD$1,0))),100*INDEX(Haver_Q!$B$1:$BD$1000,MATCH(data!$A101,Haver_Q!$B$1:$B$1000,0),MATCH(data!C$1,Haver_Q!$B$1:$BD$1,0)),"na")</f>
        <v>na</v>
      </c>
      <c r="D101" t="str">
        <f>IF(ISNUMBER(INDEX(Haver_Q!$B$1:$BD$1000,MATCH(data!$A101,Haver_Q!$B$1:$B$1000,0),MATCH(data!D$1,Haver_Q!$B$1:$BD$1,0))),100*INDEX(Haver_Q!$B$1:$BD$1000,MATCH(data!$A101,Haver_Q!$B$1:$B$1000,0),MATCH(data!D$1,Haver_Q!$B$1:$BD$1,0)),"na")</f>
        <v>na</v>
      </c>
      <c r="E101" t="str">
        <f>IF(ISNUMBER(INDEX(Haver_Q!$B$1:$BD$1000,MATCH(data!$A101,Haver_Q!$B$1:$B$1000,0),MATCH(data!E$1,Haver_Q!$B$1:$BD$1,0))),100*INDEX(Haver_Q!$B$1:$BD$1000,MATCH(data!$A101,Haver_Q!$B$1:$B$1000,0),MATCH(data!E$1,Haver_Q!$B$1:$BD$1,0)),"na")</f>
        <v>na</v>
      </c>
      <c r="F101" t="str">
        <f>IF(ISNUMBER(INDEX(Haver_Q!$B$1:$BD$1000,MATCH(data!$A101,Haver_Q!$B$1:$B$1000,0),MATCH(data!F$1,Haver_Q!$B$1:$BD$1,0))),100*INDEX(Haver_Q!$B$1:$BD$1000,MATCH(data!$A101,Haver_Q!$B$1:$B$1000,0),MATCH(data!F$1,Haver_Q!$B$1:$BD$1,0)),"na")</f>
        <v>na</v>
      </c>
      <c r="G101" t="str">
        <f>IF(ISNUMBER(INDEX(Haver_Q!$B$1:$BD$1000,MATCH(data!$A101,Haver_Q!$B$1:$B$1000,0),MATCH(data!G$1,Haver_Q!$B$1:$BD$1,0))),100*INDEX(Haver_Q!$B$1:$BD$1000,MATCH(data!$A101,Haver_Q!$B$1:$B$1000,0),MATCH(data!G$1,Haver_Q!$B$1:$BD$1,0)),"na")</f>
        <v>na</v>
      </c>
      <c r="H101" t="str">
        <f>IF(ISNUMBER(INDEX(Haver_Q!$B$1:$BD$1000,MATCH(data!$A101,Haver_Q!$B$1:$B$1000,0),MATCH(data!H$1,Haver_Q!$B$1:$BD$1,0))),100*INDEX(Haver_Q!$B$1:$BD$1000,MATCH(data!$A101,Haver_Q!$B$1:$B$1000,0),MATCH(data!H$1,Haver_Q!$B$1:$BD$1,0)),"na")</f>
        <v>na</v>
      </c>
      <c r="I101" s="3">
        <f>IF(ISNUMBER(Bloomberg_m!C117),Bloomberg_m!C117,"na")</f>
        <v>8287</v>
      </c>
      <c r="J101" s="3" t="str">
        <f>IF(ISNUMBER(Bloomberg_m!D117),Bloomberg_m!D117,"na")</f>
        <v>na</v>
      </c>
      <c r="K101" s="3" t="str">
        <f>IF(ISNUMBER(Bloomberg_m!E117),Bloomberg_m!E117,"na")</f>
        <v>na</v>
      </c>
      <c r="L101" s="3">
        <f>IF(ISNUMBER(Bloomberg_m!L117),Bloomberg_m!L117,"na")</f>
        <v>112.62</v>
      </c>
      <c r="M101">
        <f>IF(ISNUMBER(INDEX(Haver_M!$B$1:$ZN$1000,MATCH(data!$A101,Haver_M!$B$1:$B$1000,0),MATCH(data!M$1,Haver_M!$B$1:$ZN$1,0))),INDEX(Haver_M!$B$1:$ZN$1000,MATCH(data!$A101,Haver_M!$B$1:$B$1000,0),MATCH(data!M$1,Haver_M!$B$1:$ZN$1,0)),"na")</f>
        <v>7.5</v>
      </c>
      <c r="N101">
        <f>IF(ISNUMBER(INDEX(Haver_M!$B$1:$ZN$1000,MATCH(data!$A101,Haver_M!$B$1:$B$1000,0),MATCH(data!N$1,Haver_M!$B$1:$ZN$1,0))),INDEX(Haver_M!$B$1:$ZN$1000,MATCH(data!$A101,Haver_M!$B$1:$B$1000,0),MATCH(data!N$1,Haver_M!$B$1:$ZN$1,0)),"na")</f>
        <v>7.6478999999999999</v>
      </c>
      <c r="O101">
        <f>IF(ISNUMBER(INDEX(Haver_M!$B$1:$ZN$1000,MATCH(data!$A101,Haver_M!$B$1:$B$1000,0),MATCH(data!O$1,Haver_M!$B$1:$ZN$1,0))),INDEX(Haver_M!$B$1:$ZN$1000,MATCH(data!$A101,Haver_M!$B$1:$B$1000,0),MATCH(data!O$1,Haver_M!$B$1:$ZN$1,0)),"na")</f>
        <v>108.67382000000001</v>
      </c>
      <c r="P101">
        <f>IF(ISNUMBER(INDEX(Haver_M!$B$1:$ZN$1000,MATCH(data!$A101,Haver_M!$B$1:$B$1000,0),MATCH(data!P$1,Haver_M!$B$1:$ZN$1,0))),INDEX(Haver_M!$B$1:$ZN$1000,MATCH(data!$A101,Haver_M!$B$1:$B$1000,0),MATCH(data!P$1,Haver_M!$B$1:$ZN$1,0)),"na")</f>
        <v>65.985100000000003</v>
      </c>
      <c r="Q101">
        <f>IF(ISNUMBER(INDEX(Haver_M!$B$1:$ZN$1000,MATCH(data!$A101,Haver_M!$B$1:$B$1000,0),MATCH(data!Q$1,Haver_M!$B$1:$ZN$1,0))),INDEX(Haver_M!$B$1:$ZN$1000,MATCH(data!$A101,Haver_M!$B$1:$B$1000,0),MATCH(data!Q$1,Haver_M!$B$1:$ZN$1,0)),"na")</f>
        <v>69.791600000000003</v>
      </c>
      <c r="R101">
        <f>IF(ISNUMBER(INDEX(Haver_M!$B$1:$ZN$1000,MATCH(data!$A101,Haver_M!$B$1:$B$1000,0),MATCH(data!R$1,Haver_M!$B$1:$ZN$1,0))),INDEX(Haver_M!$B$1:$ZN$1000,MATCH(data!$A101,Haver_M!$B$1:$B$1000,0),MATCH(data!R$1,Haver_M!$B$1:$ZN$1,0)),"na")</f>
        <v>98.346599999999995</v>
      </c>
      <c r="S101">
        <f>IF(ISNUMBER(INDEX(Haver_M!$B$1:$ZN$1000,MATCH(data!$A101,Haver_M!$B$1:$B$1000,0),MATCH(data!S$1,Haver_M!$B$1:$ZN$1,0))),INDEX(Haver_M!$B$1:$ZN$1000,MATCH(data!$A101,Haver_M!$B$1:$B$1000,0),MATCH(data!S$1,Haver_M!$B$1:$ZN$1,0)),"na")</f>
        <v>100.7984</v>
      </c>
      <c r="T101">
        <f>IF(ISNUMBER(INDEX(Haver_M!$B$1:$ZN$1000,MATCH(data!$A101,Haver_M!$B$1:$B$1000,0),MATCH(data!T$1,Haver_M!$B$1:$ZN$1,0))),INDEX(Haver_M!$B$1:$ZN$1000,MATCH(data!$A101,Haver_M!$B$1:$B$1000,0),MATCH(data!T$1,Haver_M!$B$1:$ZN$1,0)),"na")</f>
        <v>86.966999999999999</v>
      </c>
      <c r="U101">
        <f>IF(ISNUMBER(INDEX(Haver_M!$B$1:$ZN$1000,MATCH(data!$A101,Haver_M!$B$1:$B$1000,0),MATCH(data!U$1,Haver_M!$B$1:$ZN$1,0))),INDEX(Haver_M!$B$1:$ZN$1000,MATCH(data!$A101,Haver_M!$B$1:$B$1000,0),MATCH(data!U$1,Haver_M!$B$1:$ZN$1,0)),"na")</f>
        <v>102.0873</v>
      </c>
      <c r="V101">
        <f>IF(ISNUMBER(INDEX(Haver_M!$B$1:$ZN$1000,MATCH(data!$A101,Haver_M!$B$1:$B$1000,0),MATCH(data!V$1,Haver_M!$B$1:$ZN$1,0))),INDEX(Haver_M!$B$1:$ZN$1000,MATCH(data!$A101,Haver_M!$B$1:$B$1000,0),MATCH(data!V$1,Haver_M!$B$1:$ZN$1,0)),"na")</f>
        <v>96.626300000000001</v>
      </c>
      <c r="W101">
        <f>IF(ISNUMBER(INDEX(Haver_M!$B$1:$ZN$1000,MATCH(data!$A101,Haver_M!$B$1:$B$1000,0),MATCH(data!W$1,Haver_M!$B$1:$ZN$1,0))),INDEX(Haver_M!$B$1:$ZN$1000,MATCH(data!$A101,Haver_M!$B$1:$B$1000,0),MATCH(data!W$1,Haver_M!$B$1:$ZN$1,0)),"na")</f>
        <v>3.71</v>
      </c>
      <c r="X101">
        <f>IF(ISNUMBER(INDEX(Haver_M!$B$1:$ZN$1000,MATCH(data!$A101,Haver_M!$B$1:$B$1000,0),MATCH(data!X$1,Haver_M!$B$1:$ZN$1,0))),INDEX(Haver_M!$B$1:$ZN$1000,MATCH(data!$A101,Haver_M!$B$1:$B$1000,0),MATCH(data!X$1,Haver_M!$B$1:$ZN$1,0)),"na")</f>
        <v>102.4</v>
      </c>
      <c r="Y101">
        <f>IF(ISNUMBER(INDEX(Haver_M!$B$1:$ZN$1000,MATCH(data!$A101,Haver_M!$B$1:$B$1000,0),MATCH(data!Y$1,Haver_M!$B$1:$ZN$1,0))),INDEX(Haver_M!$B$1:$ZN$1000,MATCH(data!$A101,Haver_M!$B$1:$B$1000,0),MATCH(data!Y$1,Haver_M!$B$1:$ZN$1,0)),"na")</f>
        <v>101.15</v>
      </c>
      <c r="Z101">
        <f>IF(ISNUMBER(INDEX(Haver_M!$B$1:$ZN$1000,MATCH(data!$A101,Haver_M!$B$1:$B$1000,0),MATCH(data!Z$1,Haver_M!$B$1:$ZN$1,0))),INDEX(Haver_M!$B$1:$ZN$1000,MATCH(data!$A101,Haver_M!$B$1:$B$1000,0),MATCH(data!Z$1,Haver_M!$B$1:$ZN$1,0)),"na")</f>
        <v>99.294600000000003</v>
      </c>
      <c r="AA101">
        <f>IF(ISNUMBER(INDEX(Haver_M!$B$1:$ZN$1000,MATCH(data!$A101,Haver_M!$B$1:$B$1000,0),MATCH(data!AA$1,Haver_M!$B$1:$ZN$1,0))),INDEX(Haver_M!$B$1:$ZN$1000,MATCH(data!$A101,Haver_M!$B$1:$B$1000,0),MATCH(data!AA$1,Haver_M!$B$1:$ZN$1,0)),"na")</f>
        <v>98.9435</v>
      </c>
      <c r="AB101">
        <f>IF(ISNUMBER(INDEX(Haver_M!$B$1:$ZN$1000,MATCH(data!$A101,Haver_M!$B$1:$B$1000,0),MATCH(data!AB$1,Haver_M!$B$1:$ZN$1,0))),INDEX(Haver_M!$B$1:$ZN$1000,MATCH(data!$A101,Haver_M!$B$1:$B$1000,0),MATCH(data!AB$1,Haver_M!$B$1:$ZN$1,0)),"na")</f>
        <v>25913.7</v>
      </c>
      <c r="AC101">
        <f>IF(ISNUMBER(INDEX(Haver_M!$B$1:$ZN$1000,MATCH(data!$A101,Haver_M!$B$1:$B$1000,0),MATCH(data!AC$1,Haver_M!$B$1:$ZN$1,0))),INDEX(Haver_M!$B$1:$ZN$1000,MATCH(data!$A101,Haver_M!$B$1:$B$1000,0),MATCH(data!AC$1,Haver_M!$B$1:$ZN$1,0)),"na")</f>
        <v>26700.1</v>
      </c>
      <c r="AD101">
        <f>IF(ISNUMBER(INDEX(Haver_M!$B$1:$ZN$1000,MATCH(data!$A101,Haver_M!$B$1:$B$1000,0),MATCH(data!AD$1,Haver_M!$B$1:$ZN$1,0))),INDEX(Haver_M!$B$1:$ZN$1000,MATCH(data!$A101,Haver_M!$B$1:$B$1000,0),MATCH(data!AD$1,Haver_M!$B$1:$ZN$1,0)),"na")</f>
        <v>101.7</v>
      </c>
      <c r="AE101">
        <f>IF(ISNUMBER(INDEX(Haver_M!$B$1:$ZN$1000,MATCH(data!$A101,Haver_M!$B$1:$B$1000,0),MATCH(data!AE$1,Haver_M!$B$1:$ZN$1,0))),INDEX(Haver_M!$B$1:$ZN$1000,MATCH(data!$A101,Haver_M!$B$1:$B$1000,0),MATCH(data!AE$1,Haver_M!$B$1:$ZN$1,0)),"na")</f>
        <v>40</v>
      </c>
      <c r="AF101">
        <f>IF(ISNUMBER(INDEX(Haver_M!$B$1:$ZN$1000,MATCH(data!$A101,Haver_M!$B$1:$B$1000,0),MATCH(data!AF$1,Haver_M!$B$1:$ZN$1,0))),INDEX(Haver_M!$B$1:$ZN$1000,MATCH(data!$A101,Haver_M!$B$1:$B$1000,0),MATCH(data!AF$1,Haver_M!$B$1:$ZN$1,0)),"na")</f>
        <v>100.22</v>
      </c>
      <c r="AG101" t="str">
        <f>IF(ISNUMBER(INDEX(Haver_M!$B$1:$ZN$1000,MATCH(data!$A101,Haver_M!$B$1:$B$1000,0),MATCH(data!AG$1,Haver_M!$B$1:$ZN$1,0))),INDEX(Haver_M!$B$1:$ZN$1000,MATCH(data!$A101,Haver_M!$B$1:$B$1000,0),MATCH(data!AG$1,Haver_M!$B$1:$ZN$1,0)),"na")</f>
        <v>na</v>
      </c>
      <c r="AH101" t="str">
        <f>IF(ISNUMBER(INDEX(Haver_M!$B$1:$ZN$1000,MATCH(data!$A101,Haver_M!$B$1:$B$1000,0),MATCH(data!AH$1,Haver_M!$B$1:$ZN$1,0))),INDEX(Haver_M!$B$1:$ZN$1000,MATCH(data!$A101,Haver_M!$B$1:$B$1000,0),MATCH(data!AH$1,Haver_M!$B$1:$ZN$1,0)),"na")</f>
        <v>na</v>
      </c>
      <c r="AI101" t="str">
        <f>IF(ISNUMBER(INDEX(Haver_M!$B$1:$ZN$1000,MATCH(data!$A101,Haver_M!$B$1:$B$1000,0),MATCH(data!AI$1,Haver_M!$B$1:$ZN$1,0))),INDEX(Haver_M!$B$1:$ZN$1000,MATCH(data!$A101,Haver_M!$B$1:$B$1000,0),MATCH(data!AI$1,Haver_M!$B$1:$ZN$1,0)),"na")</f>
        <v>na</v>
      </c>
      <c r="AJ101" t="str">
        <f>IF(ISNUMBER(INDEX(Haver_M!$B$1:$ZN$1000,MATCH(data!$A101,Haver_M!$B$1:$B$1000,0),MATCH(data!AJ$1,Haver_M!$B$1:$ZN$1,0))),INDEX(Haver_M!$B$1:$ZN$1000,MATCH(data!$A101,Haver_M!$B$1:$B$1000,0),MATCH(data!AJ$1,Haver_M!$B$1:$ZN$1,0)),"na")</f>
        <v>na</v>
      </c>
      <c r="AK101" t="str">
        <f>IF(ISNUMBER(INDEX(Haver_M!$B$1:$ZN$1000,MATCH(data!$A101,Haver_M!$B$1:$B$1000,0),MATCH(data!AK$1,Haver_M!$B$1:$ZN$1,0))),INDEX(Haver_M!$B$1:$ZN$1000,MATCH(data!$A101,Haver_M!$B$1:$B$1000,0),MATCH(data!AK$1,Haver_M!$B$1:$ZN$1,0)),"na")</f>
        <v>na</v>
      </c>
      <c r="AL101" t="str">
        <f>IF(ISNUMBER(INDEX(Haver_M!$B$1:$ZN$1000,MATCH(data!$A101,Haver_M!$B$1:$B$1000,0),MATCH(data!AL$1,Haver_M!$B$1:$ZN$1,0))),INDEX(Haver_M!$B$1:$ZN$1000,MATCH(data!$A101,Haver_M!$B$1:$B$1000,0),MATCH(data!AL$1,Haver_M!$B$1:$ZN$1,0)),"na")</f>
        <v>na</v>
      </c>
      <c r="AM101" t="str">
        <f>IF(ISNUMBER(INDEX(Haver_M!$B$1:$ZN$1000,MATCH(data!$A101,Haver_M!$B$1:$B$1000,0),MATCH(data!AM$1,Haver_M!$B$1:$ZN$1,0))),INDEX(Haver_M!$B$1:$ZN$1000,MATCH(data!$A101,Haver_M!$B$1:$B$1000,0),MATCH(data!AM$1,Haver_M!$B$1:$ZN$1,0)),"na")</f>
        <v>na</v>
      </c>
      <c r="AN101" t="str">
        <f>IF(ISNUMBER(INDEX(Haver_M!$B$1:$ZN$1000,MATCH(data!$A101,Haver_M!$B$1:$B$1000,0),MATCH(data!AN$1,Haver_M!$B$1:$ZN$1,0))),INDEX(Haver_M!$B$1:$ZN$1000,MATCH(data!$A101,Haver_M!$B$1:$B$1000,0),MATCH(data!AN$1,Haver_M!$B$1:$ZN$1,0)),"na")</f>
        <v>na</v>
      </c>
      <c r="AO101" t="str">
        <f>IF(ISNUMBER(INDEX(Haver_M!$B$1:$ZN$1000,MATCH(data!$A101,Haver_M!$B$1:$B$1000,0),MATCH(data!AO$1,Haver_M!$B$1:$ZN$1,0))),INDEX(Haver_M!$B$1:$ZN$1000,MATCH(data!$A101,Haver_M!$B$1:$B$1000,0),MATCH(data!AO$1,Haver_M!$B$1:$ZN$1,0)),"na")</f>
        <v>na</v>
      </c>
      <c r="AP101" t="str">
        <f>IF(ISNUMBER(INDEX(Haver_M!$B$1:$ZN$1000,MATCH(data!$A101,Haver_M!$B$1:$B$1000,0),MATCH(data!AP$1,Haver_M!$B$1:$ZN$1,0))),INDEX(Haver_M!$B$1:$ZN$1000,MATCH(data!$A101,Haver_M!$B$1:$B$1000,0),MATCH(data!AP$1,Haver_M!$B$1:$ZN$1,0)),"na")</f>
        <v>na</v>
      </c>
      <c r="AQ101" t="str">
        <f>IF(ISNUMBER(INDEX(Haver_M!$B$1:$ZN$1000,MATCH(data!$A101,Haver_M!$B$1:$B$1000,0),MATCH(data!AQ$1,Haver_M!$B$1:$ZN$1,0))),INDEX(Haver_M!$B$1:$ZN$1000,MATCH(data!$A101,Haver_M!$B$1:$B$1000,0),MATCH(data!AQ$1,Haver_M!$B$1:$ZN$1,0)),"na")</f>
        <v>na</v>
      </c>
      <c r="AR101" t="str">
        <f>IF(ISNUMBER(INDEX(Haver_M!$B$1:$ZN$1000,MATCH(data!$A101,Haver_M!$B$1:$B$1000,0),MATCH(data!AR$1,Haver_M!$B$1:$ZN$1,0))),INDEX(Haver_M!$B$1:$ZN$1000,MATCH(data!$A101,Haver_M!$B$1:$B$1000,0),MATCH(data!AR$1,Haver_M!$B$1:$ZN$1,0)),"na")</f>
        <v>na</v>
      </c>
      <c r="AS101">
        <f>IF(ISNUMBER(INDEX(Haver_M!$B$1:$ZN$1000,MATCH(data!$A101,Haver_M!$B$1:$B$1000,0),MATCH(data!AS$1,Haver_M!$B$1:$ZN$1,0))),INDEX(Haver_M!$B$1:$ZN$1000,MATCH(data!$A101,Haver_M!$B$1:$B$1000,0),MATCH(data!AS$1,Haver_M!$B$1:$ZN$1,0)),"na")</f>
        <v>31467.09</v>
      </c>
      <c r="AT101">
        <f>IF(ISNUMBER(INDEX(Haver_M!$B$1:$ZN$1000,MATCH(data!$A101,Haver_M!$B$1:$B$1000,0),MATCH(data!AT$1,Haver_M!$B$1:$ZN$1,0))),INDEX(Haver_M!$B$1:$ZN$1000,MATCH(data!$A101,Haver_M!$B$1:$B$1000,0),MATCH(data!AT$1,Haver_M!$B$1:$ZN$1,0)),"na")</f>
        <v>96.384</v>
      </c>
      <c r="AU101">
        <f>IF(ISNUMBER(INDEX(Haver_M!$B$1:$ZN$1000,MATCH(data!$A101,Haver_M!$B$1:$B$1000,0),MATCH(data!AU$1,Haver_M!$B$1:$ZN$1,0))),INDEX(Haver_M!$B$1:$ZN$1000,MATCH(data!$A101,Haver_M!$B$1:$B$1000,0),MATCH(data!AU$1,Haver_M!$B$1:$ZN$1,0)),"na")</f>
        <v>93.032238000000007</v>
      </c>
      <c r="AV101">
        <f>IF(ISNUMBER(INDEX(Haver_M!$B$1:$ZN$1000,MATCH(data!$A101,Haver_M!$B$1:$B$1000,0),MATCH(data!AV$1,Haver_M!$B$1:$ZN$1,0))),INDEX(Haver_M!$B$1:$ZN$1000,MATCH(data!$A101,Haver_M!$B$1:$B$1000,0),MATCH(data!AV$1,Haver_M!$B$1:$ZN$1,0)),"na")</f>
        <v>98.4</v>
      </c>
      <c r="AW101">
        <f>IF(ISNUMBER(INDEX(Haver_M!$B$1:$ZN$1000,MATCH(data!$A101,Haver_M!$B$1:$B$1000,0),MATCH(data!AW$1,Haver_M!$B$1:$ZN$1,0))),INDEX(Haver_M!$B$1:$ZN$1000,MATCH(data!$A101,Haver_M!$B$1:$B$1000,0),MATCH(data!AW$1,Haver_M!$B$1:$ZN$1,0)),"na")</f>
        <v>1087853.8586120186</v>
      </c>
      <c r="AX101">
        <f>IF(ISNUMBER(INDEX(Haver_M!$B$1:$ZN$1000,MATCH(data!$A101,Haver_M!$B$1:$B$1000,0),MATCH(data!AX$1,Haver_M!$B$1:$ZN$1,0))),INDEX(Haver_M!$B$1:$ZN$1000,MATCH(data!$A101,Haver_M!$B$1:$B$1000,0),MATCH(data!AX$1,Haver_M!$B$1:$ZN$1,0)),"na")</f>
        <v>2732</v>
      </c>
      <c r="AY101">
        <f>IF(ISNUMBER(INDEX(Haver_M!$B$1:$ZN$1000,MATCH(data!$A101,Haver_M!$B$1:$B$1000,0),MATCH(data!AY$1,Haver_M!$B$1:$ZN$1,0))),INDEX(Haver_M!$B$1:$ZN$1000,MATCH(data!$A101,Haver_M!$B$1:$B$1000,0),MATCH(data!AY$1,Haver_M!$B$1:$ZN$1,0)),"na")</f>
        <v>1439</v>
      </c>
      <c r="AZ101">
        <f>IF(ISNUMBER(INDEX(Haver_M!$B$1:$ZN$1000,MATCH(data!$A101,Haver_M!$B$1:$B$1000,0),MATCH(data!AZ$1,Haver_M!$B$1:$ZN$1,0))),INDEX(Haver_M!$B$1:$ZN$1000,MATCH(data!$A101,Haver_M!$B$1:$B$1000,0),MATCH(data!AZ$1,Haver_M!$B$1:$ZN$1,0)),"na")</f>
        <v>52.6</v>
      </c>
      <c r="BA101">
        <f>IF(ISNUMBER(INDEX(Haver_M!$B$1:$ZN$1000,MATCH(data!$A101,Haver_M!$B$1:$B$1000,0),MATCH(data!BA$1,Haver_M!$B$1:$ZN$1,0))),INDEX(Haver_M!$B$1:$ZN$1000,MATCH(data!$A101,Haver_M!$B$1:$B$1000,0),MATCH(data!BA$1,Haver_M!$B$1:$ZN$1,0)),"na")</f>
        <v>70.231438774174435</v>
      </c>
      <c r="BB101" t="str">
        <f>IF(ISNUMBER(INDEX(Haver_M!$B$1:$ZN$1000,MATCH(data!$A101,Haver_M!$B$1:$B$1000,0),MATCH(data!BB$1,Haver_M!$B$1:$ZN$1,0))),INDEX(Haver_M!$B$1:$ZN$1000,MATCH(data!$A101,Haver_M!$B$1:$B$1000,0),MATCH(data!BB$1,Haver_M!$B$1:$ZN$1,0)),"")</f>
        <v/>
      </c>
    </row>
    <row r="102" spans="1:54" x14ac:dyDescent="0.25">
      <c r="A102" s="2">
        <v>39599</v>
      </c>
      <c r="B102" t="str">
        <f>IF(ISNUMBER(INDEX(Haver_Q!$B$1:$BD$1000,MATCH(data!$A102,Haver_Q!$B$1:$B$1000,0),MATCH(data!B$1,Haver_Q!$B$1:$BD$1,0))),100*INDEX(Haver_Q!$B$1:$BD$1000,MATCH(data!$A102,Haver_Q!$B$1:$B$1000,0),MATCH(data!B$1,Haver_Q!$B$1:$BD$1,0)),"na")</f>
        <v>na</v>
      </c>
      <c r="C102" t="str">
        <f>IF(ISNUMBER(INDEX(Haver_Q!$B$1:$BD$1000,MATCH(data!$A102,Haver_Q!$B$1:$B$1000,0),MATCH(data!C$1,Haver_Q!$B$1:$BD$1,0))),100*INDEX(Haver_Q!$B$1:$BD$1000,MATCH(data!$A102,Haver_Q!$B$1:$B$1000,0),MATCH(data!C$1,Haver_Q!$B$1:$BD$1,0)),"na")</f>
        <v>na</v>
      </c>
      <c r="D102" t="str">
        <f>IF(ISNUMBER(INDEX(Haver_Q!$B$1:$BD$1000,MATCH(data!$A102,Haver_Q!$B$1:$B$1000,0),MATCH(data!D$1,Haver_Q!$B$1:$BD$1,0))),100*INDEX(Haver_Q!$B$1:$BD$1000,MATCH(data!$A102,Haver_Q!$B$1:$B$1000,0),MATCH(data!D$1,Haver_Q!$B$1:$BD$1,0)),"na")</f>
        <v>na</v>
      </c>
      <c r="E102" t="str">
        <f>IF(ISNUMBER(INDEX(Haver_Q!$B$1:$BD$1000,MATCH(data!$A102,Haver_Q!$B$1:$B$1000,0),MATCH(data!E$1,Haver_Q!$B$1:$BD$1,0))),100*INDEX(Haver_Q!$B$1:$BD$1000,MATCH(data!$A102,Haver_Q!$B$1:$B$1000,0),MATCH(data!E$1,Haver_Q!$B$1:$BD$1,0)),"na")</f>
        <v>na</v>
      </c>
      <c r="F102" t="str">
        <f>IF(ISNUMBER(INDEX(Haver_Q!$B$1:$BD$1000,MATCH(data!$A102,Haver_Q!$B$1:$B$1000,0),MATCH(data!F$1,Haver_Q!$B$1:$BD$1,0))),100*INDEX(Haver_Q!$B$1:$BD$1000,MATCH(data!$A102,Haver_Q!$B$1:$B$1000,0),MATCH(data!F$1,Haver_Q!$B$1:$BD$1,0)),"na")</f>
        <v>na</v>
      </c>
      <c r="G102" t="str">
        <f>IF(ISNUMBER(INDEX(Haver_Q!$B$1:$BD$1000,MATCH(data!$A102,Haver_Q!$B$1:$B$1000,0),MATCH(data!G$1,Haver_Q!$B$1:$BD$1,0))),100*INDEX(Haver_Q!$B$1:$BD$1000,MATCH(data!$A102,Haver_Q!$B$1:$B$1000,0),MATCH(data!G$1,Haver_Q!$B$1:$BD$1,0)),"na")</f>
        <v>na</v>
      </c>
      <c r="H102" t="str">
        <f>IF(ISNUMBER(INDEX(Haver_Q!$B$1:$BD$1000,MATCH(data!$A102,Haver_Q!$B$1:$B$1000,0),MATCH(data!H$1,Haver_Q!$B$1:$BD$1,0))),100*INDEX(Haver_Q!$B$1:$BD$1000,MATCH(data!$A102,Haver_Q!$B$1:$B$1000,0),MATCH(data!H$1,Haver_Q!$B$1:$BD$1,0)),"na")</f>
        <v>na</v>
      </c>
      <c r="I102" s="3">
        <f>IF(ISNUMBER(Bloomberg_m!C118),Bloomberg_m!C118,"na")</f>
        <v>10844</v>
      </c>
      <c r="J102" s="3" t="str">
        <f>IF(ISNUMBER(Bloomberg_m!D118),Bloomberg_m!D118,"na")</f>
        <v>na</v>
      </c>
      <c r="K102" s="3" t="str">
        <f>IF(ISNUMBER(Bloomberg_m!E118),Bloomberg_m!E118,"na")</f>
        <v>na</v>
      </c>
      <c r="L102" s="3">
        <f>IF(ISNUMBER(Bloomberg_m!L118),Bloomberg_m!L118,"na")</f>
        <v>125.37</v>
      </c>
      <c r="M102">
        <f>IF(ISNUMBER(INDEX(Haver_M!$B$1:$ZN$1000,MATCH(data!$A102,Haver_M!$B$1:$B$1000,0),MATCH(data!M$1,Haver_M!$B$1:$ZN$1,0))),INDEX(Haver_M!$B$1:$ZN$1000,MATCH(data!$A102,Haver_M!$B$1:$B$1000,0),MATCH(data!M$1,Haver_M!$B$1:$ZN$1,0)),"na")</f>
        <v>7.5</v>
      </c>
      <c r="N102">
        <f>IF(ISNUMBER(INDEX(Haver_M!$B$1:$ZN$1000,MATCH(data!$A102,Haver_M!$B$1:$B$1000,0),MATCH(data!N$1,Haver_M!$B$1:$ZN$1,0))),INDEX(Haver_M!$B$1:$ZN$1000,MATCH(data!$A102,Haver_M!$B$1:$B$1000,0),MATCH(data!N$1,Haver_M!$B$1:$ZN$1,0)),"na")</f>
        <v>8.0315999999999992</v>
      </c>
      <c r="O102">
        <f>IF(ISNUMBER(INDEX(Haver_M!$B$1:$ZN$1000,MATCH(data!$A102,Haver_M!$B$1:$B$1000,0),MATCH(data!O$1,Haver_M!$B$1:$ZN$1,0))),INDEX(Haver_M!$B$1:$ZN$1000,MATCH(data!$A102,Haver_M!$B$1:$B$1000,0),MATCH(data!O$1,Haver_M!$B$1:$ZN$1,0)),"na")</f>
        <v>109.21095</v>
      </c>
      <c r="P102">
        <f>IF(ISNUMBER(INDEX(Haver_M!$B$1:$ZN$1000,MATCH(data!$A102,Haver_M!$B$1:$B$1000,0),MATCH(data!P$1,Haver_M!$B$1:$ZN$1,0))),INDEX(Haver_M!$B$1:$ZN$1000,MATCH(data!$A102,Haver_M!$B$1:$B$1000,0),MATCH(data!P$1,Haver_M!$B$1:$ZN$1,0)),"na")</f>
        <v>66.354299999999995</v>
      </c>
      <c r="Q102">
        <f>IF(ISNUMBER(INDEX(Haver_M!$B$1:$ZN$1000,MATCH(data!$A102,Haver_M!$B$1:$B$1000,0),MATCH(data!Q$1,Haver_M!$B$1:$ZN$1,0))),INDEX(Haver_M!$B$1:$ZN$1000,MATCH(data!$A102,Haver_M!$B$1:$B$1000,0),MATCH(data!Q$1,Haver_M!$B$1:$ZN$1,0)),"na")</f>
        <v>70.143900000000002</v>
      </c>
      <c r="R102">
        <f>IF(ISNUMBER(INDEX(Haver_M!$B$1:$ZN$1000,MATCH(data!$A102,Haver_M!$B$1:$B$1000,0),MATCH(data!R$1,Haver_M!$B$1:$ZN$1,0))),INDEX(Haver_M!$B$1:$ZN$1000,MATCH(data!$A102,Haver_M!$B$1:$B$1000,0),MATCH(data!R$1,Haver_M!$B$1:$ZN$1,0)),"na")</f>
        <v>98.409199999999998</v>
      </c>
      <c r="S102">
        <f>IF(ISNUMBER(INDEX(Haver_M!$B$1:$ZN$1000,MATCH(data!$A102,Haver_M!$B$1:$B$1000,0),MATCH(data!S$1,Haver_M!$B$1:$ZN$1,0))),INDEX(Haver_M!$B$1:$ZN$1000,MATCH(data!$A102,Haver_M!$B$1:$B$1000,0),MATCH(data!S$1,Haver_M!$B$1:$ZN$1,0)),"na")</f>
        <v>102.2604</v>
      </c>
      <c r="T102">
        <f>IF(ISNUMBER(INDEX(Haver_M!$B$1:$ZN$1000,MATCH(data!$A102,Haver_M!$B$1:$B$1000,0),MATCH(data!T$1,Haver_M!$B$1:$ZN$1,0))),INDEX(Haver_M!$B$1:$ZN$1000,MATCH(data!$A102,Haver_M!$B$1:$B$1000,0),MATCH(data!T$1,Haver_M!$B$1:$ZN$1,0)),"na")</f>
        <v>87.7166</v>
      </c>
      <c r="U102">
        <f>IF(ISNUMBER(INDEX(Haver_M!$B$1:$ZN$1000,MATCH(data!$A102,Haver_M!$B$1:$B$1000,0),MATCH(data!U$1,Haver_M!$B$1:$ZN$1,0))),INDEX(Haver_M!$B$1:$ZN$1000,MATCH(data!$A102,Haver_M!$B$1:$B$1000,0),MATCH(data!U$1,Haver_M!$B$1:$ZN$1,0)),"na")</f>
        <v>103.33069999999999</v>
      </c>
      <c r="V102">
        <f>IF(ISNUMBER(INDEX(Haver_M!$B$1:$ZN$1000,MATCH(data!$A102,Haver_M!$B$1:$B$1000,0),MATCH(data!V$1,Haver_M!$B$1:$ZN$1,0))),INDEX(Haver_M!$B$1:$ZN$1000,MATCH(data!$A102,Haver_M!$B$1:$B$1000,0),MATCH(data!V$1,Haver_M!$B$1:$ZN$1,0)),"na")</f>
        <v>95.396799999999999</v>
      </c>
      <c r="W102">
        <f>IF(ISNUMBER(INDEX(Haver_M!$B$1:$ZN$1000,MATCH(data!$A102,Haver_M!$B$1:$B$1000,0),MATCH(data!W$1,Haver_M!$B$1:$ZN$1,0))),INDEX(Haver_M!$B$1:$ZN$1000,MATCH(data!$A102,Haver_M!$B$1:$B$1000,0),MATCH(data!W$1,Haver_M!$B$1:$ZN$1,0)),"na")</f>
        <v>3.62</v>
      </c>
      <c r="X102">
        <f>IF(ISNUMBER(INDEX(Haver_M!$B$1:$ZN$1000,MATCH(data!$A102,Haver_M!$B$1:$B$1000,0),MATCH(data!X$1,Haver_M!$B$1:$ZN$1,0))),INDEX(Haver_M!$B$1:$ZN$1000,MATCH(data!$A102,Haver_M!$B$1:$B$1000,0),MATCH(data!X$1,Haver_M!$B$1:$ZN$1,0)),"na")</f>
        <v>100.79</v>
      </c>
      <c r="Y102">
        <f>IF(ISNUMBER(INDEX(Haver_M!$B$1:$ZN$1000,MATCH(data!$A102,Haver_M!$B$1:$B$1000,0),MATCH(data!Y$1,Haver_M!$B$1:$ZN$1,0))),INDEX(Haver_M!$B$1:$ZN$1000,MATCH(data!$A102,Haver_M!$B$1:$B$1000,0),MATCH(data!Y$1,Haver_M!$B$1:$ZN$1,0)),"na")</f>
        <v>100.86</v>
      </c>
      <c r="Z102">
        <f>IF(ISNUMBER(INDEX(Haver_M!$B$1:$ZN$1000,MATCH(data!$A102,Haver_M!$B$1:$B$1000,0),MATCH(data!Z$1,Haver_M!$B$1:$ZN$1,0))),INDEX(Haver_M!$B$1:$ZN$1000,MATCH(data!$A102,Haver_M!$B$1:$B$1000,0),MATCH(data!Z$1,Haver_M!$B$1:$ZN$1,0)),"na")</f>
        <v>97.627099999999999</v>
      </c>
      <c r="AA102">
        <f>IF(ISNUMBER(INDEX(Haver_M!$B$1:$ZN$1000,MATCH(data!$A102,Haver_M!$B$1:$B$1000,0),MATCH(data!AA$1,Haver_M!$B$1:$ZN$1,0))),INDEX(Haver_M!$B$1:$ZN$1000,MATCH(data!$A102,Haver_M!$B$1:$B$1000,0),MATCH(data!AA$1,Haver_M!$B$1:$ZN$1,0)),"na")</f>
        <v>97.933999999999997</v>
      </c>
      <c r="AB102">
        <f>IF(ISNUMBER(INDEX(Haver_M!$B$1:$ZN$1000,MATCH(data!$A102,Haver_M!$B$1:$B$1000,0),MATCH(data!AB$1,Haver_M!$B$1:$ZN$1,0))),INDEX(Haver_M!$B$1:$ZN$1000,MATCH(data!$A102,Haver_M!$B$1:$B$1000,0),MATCH(data!AB$1,Haver_M!$B$1:$ZN$1,0)),"na")</f>
        <v>25596</v>
      </c>
      <c r="AC102">
        <f>IF(ISNUMBER(INDEX(Haver_M!$B$1:$ZN$1000,MATCH(data!$A102,Haver_M!$B$1:$B$1000,0),MATCH(data!AC$1,Haver_M!$B$1:$ZN$1,0))),INDEX(Haver_M!$B$1:$ZN$1000,MATCH(data!$A102,Haver_M!$B$1:$B$1000,0),MATCH(data!AC$1,Haver_M!$B$1:$ZN$1,0)),"na")</f>
        <v>26393.7</v>
      </c>
      <c r="AD102">
        <f>IF(ISNUMBER(INDEX(Haver_M!$B$1:$ZN$1000,MATCH(data!$A102,Haver_M!$B$1:$B$1000,0),MATCH(data!AD$1,Haver_M!$B$1:$ZN$1,0))),INDEX(Haver_M!$B$1:$ZN$1000,MATCH(data!$A102,Haver_M!$B$1:$B$1000,0),MATCH(data!AD$1,Haver_M!$B$1:$ZN$1,0)),"na")</f>
        <v>101.71</v>
      </c>
      <c r="AE102">
        <f>IF(ISNUMBER(INDEX(Haver_M!$B$1:$ZN$1000,MATCH(data!$A102,Haver_M!$B$1:$B$1000,0),MATCH(data!AE$1,Haver_M!$B$1:$ZN$1,0))),INDEX(Haver_M!$B$1:$ZN$1000,MATCH(data!$A102,Haver_M!$B$1:$B$1000,0),MATCH(data!AE$1,Haver_M!$B$1:$ZN$1,0)),"na")</f>
        <v>39</v>
      </c>
      <c r="AF102">
        <f>IF(ISNUMBER(INDEX(Haver_M!$B$1:$ZN$1000,MATCH(data!$A102,Haver_M!$B$1:$B$1000,0),MATCH(data!AF$1,Haver_M!$B$1:$ZN$1,0))),INDEX(Haver_M!$B$1:$ZN$1000,MATCH(data!$A102,Haver_M!$B$1:$B$1000,0),MATCH(data!AF$1,Haver_M!$B$1:$ZN$1,0)),"na")</f>
        <v>99.88</v>
      </c>
      <c r="AG102" t="str">
        <f>IF(ISNUMBER(INDEX(Haver_M!$B$1:$ZN$1000,MATCH(data!$A102,Haver_M!$B$1:$B$1000,0),MATCH(data!AG$1,Haver_M!$B$1:$ZN$1,0))),INDEX(Haver_M!$B$1:$ZN$1000,MATCH(data!$A102,Haver_M!$B$1:$B$1000,0),MATCH(data!AG$1,Haver_M!$B$1:$ZN$1,0)),"na")</f>
        <v>na</v>
      </c>
      <c r="AH102" t="str">
        <f>IF(ISNUMBER(INDEX(Haver_M!$B$1:$ZN$1000,MATCH(data!$A102,Haver_M!$B$1:$B$1000,0),MATCH(data!AH$1,Haver_M!$B$1:$ZN$1,0))),INDEX(Haver_M!$B$1:$ZN$1000,MATCH(data!$A102,Haver_M!$B$1:$B$1000,0),MATCH(data!AH$1,Haver_M!$B$1:$ZN$1,0)),"na")</f>
        <v>na</v>
      </c>
      <c r="AI102" t="str">
        <f>IF(ISNUMBER(INDEX(Haver_M!$B$1:$ZN$1000,MATCH(data!$A102,Haver_M!$B$1:$B$1000,0),MATCH(data!AI$1,Haver_M!$B$1:$ZN$1,0))),INDEX(Haver_M!$B$1:$ZN$1000,MATCH(data!$A102,Haver_M!$B$1:$B$1000,0),MATCH(data!AI$1,Haver_M!$B$1:$ZN$1,0)),"na")</f>
        <v>na</v>
      </c>
      <c r="AJ102" t="str">
        <f>IF(ISNUMBER(INDEX(Haver_M!$B$1:$ZN$1000,MATCH(data!$A102,Haver_M!$B$1:$B$1000,0),MATCH(data!AJ$1,Haver_M!$B$1:$ZN$1,0))),INDEX(Haver_M!$B$1:$ZN$1000,MATCH(data!$A102,Haver_M!$B$1:$B$1000,0),MATCH(data!AJ$1,Haver_M!$B$1:$ZN$1,0)),"na")</f>
        <v>na</v>
      </c>
      <c r="AK102" t="str">
        <f>IF(ISNUMBER(INDEX(Haver_M!$B$1:$ZN$1000,MATCH(data!$A102,Haver_M!$B$1:$B$1000,0),MATCH(data!AK$1,Haver_M!$B$1:$ZN$1,0))),INDEX(Haver_M!$B$1:$ZN$1000,MATCH(data!$A102,Haver_M!$B$1:$B$1000,0),MATCH(data!AK$1,Haver_M!$B$1:$ZN$1,0)),"na")</f>
        <v>na</v>
      </c>
      <c r="AL102" t="str">
        <f>IF(ISNUMBER(INDEX(Haver_M!$B$1:$ZN$1000,MATCH(data!$A102,Haver_M!$B$1:$B$1000,0),MATCH(data!AL$1,Haver_M!$B$1:$ZN$1,0))),INDEX(Haver_M!$B$1:$ZN$1000,MATCH(data!$A102,Haver_M!$B$1:$B$1000,0),MATCH(data!AL$1,Haver_M!$B$1:$ZN$1,0)),"na")</f>
        <v>na</v>
      </c>
      <c r="AM102" t="str">
        <f>IF(ISNUMBER(INDEX(Haver_M!$B$1:$ZN$1000,MATCH(data!$A102,Haver_M!$B$1:$B$1000,0),MATCH(data!AM$1,Haver_M!$B$1:$ZN$1,0))),INDEX(Haver_M!$B$1:$ZN$1000,MATCH(data!$A102,Haver_M!$B$1:$B$1000,0),MATCH(data!AM$1,Haver_M!$B$1:$ZN$1,0)),"na")</f>
        <v>na</v>
      </c>
      <c r="AN102" t="str">
        <f>IF(ISNUMBER(INDEX(Haver_M!$B$1:$ZN$1000,MATCH(data!$A102,Haver_M!$B$1:$B$1000,0),MATCH(data!AN$1,Haver_M!$B$1:$ZN$1,0))),INDEX(Haver_M!$B$1:$ZN$1000,MATCH(data!$A102,Haver_M!$B$1:$B$1000,0),MATCH(data!AN$1,Haver_M!$B$1:$ZN$1,0)),"na")</f>
        <v>na</v>
      </c>
      <c r="AO102" t="str">
        <f>IF(ISNUMBER(INDEX(Haver_M!$B$1:$ZN$1000,MATCH(data!$A102,Haver_M!$B$1:$B$1000,0),MATCH(data!AO$1,Haver_M!$B$1:$ZN$1,0))),INDEX(Haver_M!$B$1:$ZN$1000,MATCH(data!$A102,Haver_M!$B$1:$B$1000,0),MATCH(data!AO$1,Haver_M!$B$1:$ZN$1,0)),"na")</f>
        <v>na</v>
      </c>
      <c r="AP102" t="str">
        <f>IF(ISNUMBER(INDEX(Haver_M!$B$1:$ZN$1000,MATCH(data!$A102,Haver_M!$B$1:$B$1000,0),MATCH(data!AP$1,Haver_M!$B$1:$ZN$1,0))),INDEX(Haver_M!$B$1:$ZN$1000,MATCH(data!$A102,Haver_M!$B$1:$B$1000,0),MATCH(data!AP$1,Haver_M!$B$1:$ZN$1,0)),"na")</f>
        <v>na</v>
      </c>
      <c r="AQ102" t="str">
        <f>IF(ISNUMBER(INDEX(Haver_M!$B$1:$ZN$1000,MATCH(data!$A102,Haver_M!$B$1:$B$1000,0),MATCH(data!AQ$1,Haver_M!$B$1:$ZN$1,0))),INDEX(Haver_M!$B$1:$ZN$1000,MATCH(data!$A102,Haver_M!$B$1:$B$1000,0),MATCH(data!AQ$1,Haver_M!$B$1:$ZN$1,0)),"na")</f>
        <v>na</v>
      </c>
      <c r="AR102" t="str">
        <f>IF(ISNUMBER(INDEX(Haver_M!$B$1:$ZN$1000,MATCH(data!$A102,Haver_M!$B$1:$B$1000,0),MATCH(data!AR$1,Haver_M!$B$1:$ZN$1,0))),INDEX(Haver_M!$B$1:$ZN$1000,MATCH(data!$A102,Haver_M!$B$1:$B$1000,0),MATCH(data!AR$1,Haver_M!$B$1:$ZN$1,0)),"na")</f>
        <v>na</v>
      </c>
      <c r="AS102">
        <f>IF(ISNUMBER(INDEX(Haver_M!$B$1:$ZN$1000,MATCH(data!$A102,Haver_M!$B$1:$B$1000,0),MATCH(data!AS$1,Haver_M!$B$1:$ZN$1,0))),INDEX(Haver_M!$B$1:$ZN$1000,MATCH(data!$A102,Haver_M!$B$1:$B$1000,0),MATCH(data!AS$1,Haver_M!$B$1:$ZN$1,0)),"na")</f>
        <v>31226.91</v>
      </c>
      <c r="AT102">
        <f>IF(ISNUMBER(INDEX(Haver_M!$B$1:$ZN$1000,MATCH(data!$A102,Haver_M!$B$1:$B$1000,0),MATCH(data!AT$1,Haver_M!$B$1:$ZN$1,0))),INDEX(Haver_M!$B$1:$ZN$1000,MATCH(data!$A102,Haver_M!$B$1:$B$1000,0),MATCH(data!AT$1,Haver_M!$B$1:$ZN$1,0)),"na")</f>
        <v>97.021000000000001</v>
      </c>
      <c r="AU102">
        <f>IF(ISNUMBER(INDEX(Haver_M!$B$1:$ZN$1000,MATCH(data!$A102,Haver_M!$B$1:$B$1000,0),MATCH(data!AU$1,Haver_M!$B$1:$ZN$1,0))),INDEX(Haver_M!$B$1:$ZN$1000,MATCH(data!$A102,Haver_M!$B$1:$B$1000,0),MATCH(data!AU$1,Haver_M!$B$1:$ZN$1,0)),"na")</f>
        <v>92.746047000000004</v>
      </c>
      <c r="AV102">
        <f>IF(ISNUMBER(INDEX(Haver_M!$B$1:$ZN$1000,MATCH(data!$A102,Haver_M!$B$1:$B$1000,0),MATCH(data!AV$1,Haver_M!$B$1:$ZN$1,0))),INDEX(Haver_M!$B$1:$ZN$1000,MATCH(data!$A102,Haver_M!$B$1:$B$1000,0),MATCH(data!AV$1,Haver_M!$B$1:$ZN$1,0)),"na")</f>
        <v>101</v>
      </c>
      <c r="AW102">
        <f>IF(ISNUMBER(INDEX(Haver_M!$B$1:$ZN$1000,MATCH(data!$A102,Haver_M!$B$1:$B$1000,0),MATCH(data!AW$1,Haver_M!$B$1:$ZN$1,0))),INDEX(Haver_M!$B$1:$ZN$1000,MATCH(data!$A102,Haver_M!$B$1:$B$1000,0),MATCH(data!AW$1,Haver_M!$B$1:$ZN$1,0)),"na")</f>
        <v>1182606.3881580634</v>
      </c>
      <c r="AX102">
        <f>IF(ISNUMBER(INDEX(Haver_M!$B$1:$ZN$1000,MATCH(data!$A102,Haver_M!$B$1:$B$1000,0),MATCH(data!AX$1,Haver_M!$B$1:$ZN$1,0))),INDEX(Haver_M!$B$1:$ZN$1000,MATCH(data!$A102,Haver_M!$B$1:$B$1000,0),MATCH(data!AX$1,Haver_M!$B$1:$ZN$1,0)),"na")</f>
        <v>2794</v>
      </c>
      <c r="AY102">
        <f>IF(ISNUMBER(INDEX(Haver_M!$B$1:$ZN$1000,MATCH(data!$A102,Haver_M!$B$1:$B$1000,0),MATCH(data!AY$1,Haver_M!$B$1:$ZN$1,0))),INDEX(Haver_M!$B$1:$ZN$1000,MATCH(data!$A102,Haver_M!$B$1:$B$1000,0),MATCH(data!AY$1,Haver_M!$B$1:$ZN$1,0)),"na")</f>
        <v>1376</v>
      </c>
      <c r="AZ102">
        <f>IF(ISNUMBER(INDEX(Haver_M!$B$1:$ZN$1000,MATCH(data!$A102,Haver_M!$B$1:$B$1000,0),MATCH(data!AZ$1,Haver_M!$B$1:$ZN$1,0))),INDEX(Haver_M!$B$1:$ZN$1000,MATCH(data!$A102,Haver_M!$B$1:$B$1000,0),MATCH(data!AZ$1,Haver_M!$B$1:$ZN$1,0)),"na")</f>
        <v>51</v>
      </c>
      <c r="BA102">
        <f>IF(ISNUMBER(INDEX(Haver_M!$B$1:$ZN$1000,MATCH(data!$A102,Haver_M!$B$1:$B$1000,0),MATCH(data!BA$1,Haver_M!$B$1:$ZN$1,0))),INDEX(Haver_M!$B$1:$ZN$1000,MATCH(data!$A102,Haver_M!$B$1:$B$1000,0),MATCH(data!BA$1,Haver_M!$B$1:$ZN$1,0)),"na")</f>
        <v>57.936109678316754</v>
      </c>
      <c r="BB102" t="str">
        <f>IF(ISNUMBER(INDEX(Haver_M!$B$1:$ZN$1000,MATCH(data!$A102,Haver_M!$B$1:$B$1000,0),MATCH(data!BB$1,Haver_M!$B$1:$ZN$1,0))),INDEX(Haver_M!$B$1:$ZN$1000,MATCH(data!$A102,Haver_M!$B$1:$B$1000,0),MATCH(data!BB$1,Haver_M!$B$1:$ZN$1,0)),"")</f>
        <v/>
      </c>
    </row>
    <row r="103" spans="1:54" x14ac:dyDescent="0.25">
      <c r="A103" s="2">
        <v>39629</v>
      </c>
      <c r="B103">
        <f>IF(ISNUMBER(INDEX(Haver_Q!$B$1:$BD$1000,MATCH(data!$A103,Haver_Q!$B$1:$B$1000,0),MATCH(data!B$1,Haver_Q!$B$1:$BD$1,0))),100*INDEX(Haver_Q!$B$1:$BD$1000,MATCH(data!$A103,Haver_Q!$B$1:$B$1000,0),MATCH(data!B$1,Haver_Q!$B$1:$BD$1,0)),"na")</f>
        <v>2.9960775280571506</v>
      </c>
      <c r="C103">
        <f>IF(ISNUMBER(INDEX(Haver_Q!$B$1:$BD$1000,MATCH(data!$A103,Haver_Q!$B$1:$B$1000,0),MATCH(data!C$1,Haver_Q!$B$1:$BD$1,0))),100*INDEX(Haver_Q!$B$1:$BD$1000,MATCH(data!$A103,Haver_Q!$B$1:$B$1000,0),MATCH(data!C$1,Haver_Q!$B$1:$BD$1,0)),"na")</f>
        <v>8.5285282734939507</v>
      </c>
      <c r="D103">
        <f>IF(ISNUMBER(INDEX(Haver_Q!$B$1:$BD$1000,MATCH(data!$A103,Haver_Q!$B$1:$B$1000,0),MATCH(data!D$1,Haver_Q!$B$1:$BD$1,0))),100*INDEX(Haver_Q!$B$1:$BD$1000,MATCH(data!$A103,Haver_Q!$B$1:$B$1000,0),MATCH(data!D$1,Haver_Q!$B$1:$BD$1,0)),"na")</f>
        <v>3.0770540572470528</v>
      </c>
      <c r="E103">
        <f>IF(ISNUMBER(INDEX(Haver_Q!$B$1:$BD$1000,MATCH(data!$A103,Haver_Q!$B$1:$B$1000,0),MATCH(data!E$1,Haver_Q!$B$1:$BD$1,0))),100*INDEX(Haver_Q!$B$1:$BD$1000,MATCH(data!$A103,Haver_Q!$B$1:$B$1000,0),MATCH(data!E$1,Haver_Q!$B$1:$BD$1,0)),"na")</f>
        <v>5.9537657135127375</v>
      </c>
      <c r="F103">
        <f>IF(ISNUMBER(INDEX(Haver_Q!$B$1:$BD$1000,MATCH(data!$A103,Haver_Q!$B$1:$B$1000,0),MATCH(data!F$1,Haver_Q!$B$1:$BD$1,0))),100*INDEX(Haver_Q!$B$1:$BD$1000,MATCH(data!$A103,Haver_Q!$B$1:$B$1000,0),MATCH(data!F$1,Haver_Q!$B$1:$BD$1,0)),"na")</f>
        <v>0.52976250783702827</v>
      </c>
      <c r="G103">
        <f>IF(ISNUMBER(INDEX(Haver_Q!$B$1:$BD$1000,MATCH(data!$A103,Haver_Q!$B$1:$B$1000,0),MATCH(data!G$1,Haver_Q!$B$1:$BD$1,0))),100*INDEX(Haver_Q!$B$1:$BD$1000,MATCH(data!$A103,Haver_Q!$B$1:$B$1000,0),MATCH(data!G$1,Haver_Q!$B$1:$BD$1,0)),"na")</f>
        <v>4.5720347409507811</v>
      </c>
      <c r="H103">
        <f>IF(ISNUMBER(INDEX(Haver_Q!$B$1:$BD$1000,MATCH(data!$A103,Haver_Q!$B$1:$B$1000,0),MATCH(data!H$1,Haver_Q!$B$1:$BD$1,0))),100*INDEX(Haver_Q!$B$1:$BD$1000,MATCH(data!$A103,Haver_Q!$B$1:$B$1000,0),MATCH(data!H$1,Haver_Q!$B$1:$BD$1,0)),"na")</f>
        <v>216.71685012006665</v>
      </c>
      <c r="I103" s="3">
        <f>IF(ISNUMBER(Bloomberg_m!C119),Bloomberg_m!C119,"na")</f>
        <v>10245</v>
      </c>
      <c r="J103" s="3" t="str">
        <f>IF(ISNUMBER(Bloomberg_m!D119),Bloomberg_m!D119,"na")</f>
        <v>na</v>
      </c>
      <c r="K103" s="3" t="str">
        <f>IF(ISNUMBER(Bloomberg_m!E119),Bloomberg_m!E119,"na")</f>
        <v>na</v>
      </c>
      <c r="L103" s="3">
        <f>IF(ISNUMBER(Bloomberg_m!L119),Bloomberg_m!L119,"na")</f>
        <v>133.93</v>
      </c>
      <c r="M103">
        <f>IF(ISNUMBER(INDEX(Haver_M!$B$1:$ZN$1000,MATCH(data!$A103,Haver_M!$B$1:$B$1000,0),MATCH(data!M$1,Haver_M!$B$1:$ZN$1,0))),INDEX(Haver_M!$B$1:$ZN$1000,MATCH(data!$A103,Haver_M!$B$1:$B$1000,0),MATCH(data!M$1,Haver_M!$B$1:$ZN$1,0)),"na")</f>
        <v>7.75</v>
      </c>
      <c r="N103">
        <f>IF(ISNUMBER(INDEX(Haver_M!$B$1:$ZN$1000,MATCH(data!$A103,Haver_M!$B$1:$B$1000,0),MATCH(data!N$1,Haver_M!$B$1:$ZN$1,0))),INDEX(Haver_M!$B$1:$ZN$1000,MATCH(data!$A103,Haver_M!$B$1:$B$1000,0),MATCH(data!N$1,Haver_M!$B$1:$ZN$1,0)),"na")</f>
        <v>8.7317</v>
      </c>
      <c r="O103">
        <f>IF(ISNUMBER(INDEX(Haver_M!$B$1:$ZN$1000,MATCH(data!$A103,Haver_M!$B$1:$B$1000,0),MATCH(data!O$1,Haver_M!$B$1:$ZN$1,0))),INDEX(Haver_M!$B$1:$ZN$1000,MATCH(data!$A103,Haver_M!$B$1:$B$1000,0),MATCH(data!O$1,Haver_M!$B$1:$ZN$1,0)),"na")</f>
        <v>109.98255</v>
      </c>
      <c r="P103">
        <f>IF(ISNUMBER(INDEX(Haver_M!$B$1:$ZN$1000,MATCH(data!$A103,Haver_M!$B$1:$B$1000,0),MATCH(data!P$1,Haver_M!$B$1:$ZN$1,0))),INDEX(Haver_M!$B$1:$ZN$1000,MATCH(data!$A103,Haver_M!$B$1:$B$1000,0),MATCH(data!P$1,Haver_M!$B$1:$ZN$1,0)),"na")</f>
        <v>66.768299999999996</v>
      </c>
      <c r="Q103">
        <f>IF(ISNUMBER(INDEX(Haver_M!$B$1:$ZN$1000,MATCH(data!$A103,Haver_M!$B$1:$B$1000,0),MATCH(data!Q$1,Haver_M!$B$1:$ZN$1,0))),INDEX(Haver_M!$B$1:$ZN$1000,MATCH(data!$A103,Haver_M!$B$1:$B$1000,0),MATCH(data!Q$1,Haver_M!$B$1:$ZN$1,0)),"na")</f>
        <v>70.505300000000005</v>
      </c>
      <c r="R103">
        <f>IF(ISNUMBER(INDEX(Haver_M!$B$1:$ZN$1000,MATCH(data!$A103,Haver_M!$B$1:$B$1000,0),MATCH(data!R$1,Haver_M!$B$1:$ZN$1,0))),INDEX(Haver_M!$B$1:$ZN$1000,MATCH(data!$A103,Haver_M!$B$1:$B$1000,0),MATCH(data!R$1,Haver_M!$B$1:$ZN$1,0)),"na")</f>
        <v>99.742800000000003</v>
      </c>
      <c r="S103">
        <f>IF(ISNUMBER(INDEX(Haver_M!$B$1:$ZN$1000,MATCH(data!$A103,Haver_M!$B$1:$B$1000,0),MATCH(data!S$1,Haver_M!$B$1:$ZN$1,0))),INDEX(Haver_M!$B$1:$ZN$1000,MATCH(data!$A103,Haver_M!$B$1:$B$1000,0),MATCH(data!S$1,Haver_M!$B$1:$ZN$1,0)),"na")</f>
        <v>103.53660000000001</v>
      </c>
      <c r="T103">
        <f>IF(ISNUMBER(INDEX(Haver_M!$B$1:$ZN$1000,MATCH(data!$A103,Haver_M!$B$1:$B$1000,0),MATCH(data!T$1,Haver_M!$B$1:$ZN$1,0))),INDEX(Haver_M!$B$1:$ZN$1000,MATCH(data!$A103,Haver_M!$B$1:$B$1000,0),MATCH(data!T$1,Haver_M!$B$1:$ZN$1,0)),"na")</f>
        <v>86.666700000000006</v>
      </c>
      <c r="U103">
        <f>IF(ISNUMBER(INDEX(Haver_M!$B$1:$ZN$1000,MATCH(data!$A103,Haver_M!$B$1:$B$1000,0),MATCH(data!U$1,Haver_M!$B$1:$ZN$1,0))),INDEX(Haver_M!$B$1:$ZN$1000,MATCH(data!$A103,Haver_M!$B$1:$B$1000,0),MATCH(data!U$1,Haver_M!$B$1:$ZN$1,0)),"na")</f>
        <v>105.2302</v>
      </c>
      <c r="V103">
        <f>IF(ISNUMBER(INDEX(Haver_M!$B$1:$ZN$1000,MATCH(data!$A103,Haver_M!$B$1:$B$1000,0),MATCH(data!V$1,Haver_M!$B$1:$ZN$1,0))),INDEX(Haver_M!$B$1:$ZN$1000,MATCH(data!$A103,Haver_M!$B$1:$B$1000,0),MATCH(data!V$1,Haver_M!$B$1:$ZN$1,0)),"na")</f>
        <v>96.105500000000006</v>
      </c>
      <c r="W103">
        <f>IF(ISNUMBER(INDEX(Haver_M!$B$1:$ZN$1000,MATCH(data!$A103,Haver_M!$B$1:$B$1000,0),MATCH(data!W$1,Haver_M!$B$1:$ZN$1,0))),INDEX(Haver_M!$B$1:$ZN$1000,MATCH(data!$A103,Haver_M!$B$1:$B$1000,0),MATCH(data!W$1,Haver_M!$B$1:$ZN$1,0)),"na")</f>
        <v>3.79</v>
      </c>
      <c r="X103">
        <f>IF(ISNUMBER(INDEX(Haver_M!$B$1:$ZN$1000,MATCH(data!$A103,Haver_M!$B$1:$B$1000,0),MATCH(data!X$1,Haver_M!$B$1:$ZN$1,0))),INDEX(Haver_M!$B$1:$ZN$1000,MATCH(data!$A103,Haver_M!$B$1:$B$1000,0),MATCH(data!X$1,Haver_M!$B$1:$ZN$1,0)),"na")</f>
        <v>101.46</v>
      </c>
      <c r="Y103">
        <f>IF(ISNUMBER(INDEX(Haver_M!$B$1:$ZN$1000,MATCH(data!$A103,Haver_M!$B$1:$B$1000,0),MATCH(data!Y$1,Haver_M!$B$1:$ZN$1,0))),INDEX(Haver_M!$B$1:$ZN$1000,MATCH(data!$A103,Haver_M!$B$1:$B$1000,0),MATCH(data!Y$1,Haver_M!$B$1:$ZN$1,0)),"na")</f>
        <v>100.46</v>
      </c>
      <c r="Z103">
        <f>IF(ISNUMBER(INDEX(Haver_M!$B$1:$ZN$1000,MATCH(data!$A103,Haver_M!$B$1:$B$1000,0),MATCH(data!Z$1,Haver_M!$B$1:$ZN$1,0))),INDEX(Haver_M!$B$1:$ZN$1000,MATCH(data!$A103,Haver_M!$B$1:$B$1000,0),MATCH(data!Z$1,Haver_M!$B$1:$ZN$1,0)),"na")</f>
        <v>98.720100000000002</v>
      </c>
      <c r="AA103">
        <f>IF(ISNUMBER(INDEX(Haver_M!$B$1:$ZN$1000,MATCH(data!$A103,Haver_M!$B$1:$B$1000,0),MATCH(data!AA$1,Haver_M!$B$1:$ZN$1,0))),INDEX(Haver_M!$B$1:$ZN$1000,MATCH(data!$A103,Haver_M!$B$1:$B$1000,0),MATCH(data!AA$1,Haver_M!$B$1:$ZN$1,0)),"na")</f>
        <v>98.960099999999997</v>
      </c>
      <c r="AB103">
        <f>IF(ISNUMBER(INDEX(Haver_M!$B$1:$ZN$1000,MATCH(data!$A103,Haver_M!$B$1:$B$1000,0),MATCH(data!AB$1,Haver_M!$B$1:$ZN$1,0))),INDEX(Haver_M!$B$1:$ZN$1000,MATCH(data!$A103,Haver_M!$B$1:$B$1000,0),MATCH(data!AB$1,Haver_M!$B$1:$ZN$1,0)),"na")</f>
        <v>25677.1</v>
      </c>
      <c r="AC103">
        <f>IF(ISNUMBER(INDEX(Haver_M!$B$1:$ZN$1000,MATCH(data!$A103,Haver_M!$B$1:$B$1000,0),MATCH(data!AC$1,Haver_M!$B$1:$ZN$1,0))),INDEX(Haver_M!$B$1:$ZN$1000,MATCH(data!$A103,Haver_M!$B$1:$B$1000,0),MATCH(data!AC$1,Haver_M!$B$1:$ZN$1,0)),"na")</f>
        <v>26327.3</v>
      </c>
      <c r="AD103">
        <f>IF(ISNUMBER(INDEX(Haver_M!$B$1:$ZN$1000,MATCH(data!$A103,Haver_M!$B$1:$B$1000,0),MATCH(data!AD$1,Haver_M!$B$1:$ZN$1,0))),INDEX(Haver_M!$B$1:$ZN$1000,MATCH(data!$A103,Haver_M!$B$1:$B$1000,0),MATCH(data!AD$1,Haver_M!$B$1:$ZN$1,0)),"na")</f>
        <v>101.65</v>
      </c>
      <c r="AE103">
        <f>IF(ISNUMBER(INDEX(Haver_M!$B$1:$ZN$1000,MATCH(data!$A103,Haver_M!$B$1:$B$1000,0),MATCH(data!AE$1,Haver_M!$B$1:$ZN$1,0))),INDEX(Haver_M!$B$1:$ZN$1000,MATCH(data!$A103,Haver_M!$B$1:$B$1000,0),MATCH(data!AE$1,Haver_M!$B$1:$ZN$1,0)),"na")</f>
        <v>37.700000000000003</v>
      </c>
      <c r="AF103">
        <f>IF(ISNUMBER(INDEX(Haver_M!$B$1:$ZN$1000,MATCH(data!$A103,Haver_M!$B$1:$B$1000,0),MATCH(data!AF$1,Haver_M!$B$1:$ZN$1,0))),INDEX(Haver_M!$B$1:$ZN$1000,MATCH(data!$A103,Haver_M!$B$1:$B$1000,0),MATCH(data!AF$1,Haver_M!$B$1:$ZN$1,0)),"na")</f>
        <v>99.49</v>
      </c>
      <c r="AG103" t="str">
        <f>IF(ISNUMBER(INDEX(Haver_M!$B$1:$ZN$1000,MATCH(data!$A103,Haver_M!$B$1:$B$1000,0),MATCH(data!AG$1,Haver_M!$B$1:$ZN$1,0))),INDEX(Haver_M!$B$1:$ZN$1000,MATCH(data!$A103,Haver_M!$B$1:$B$1000,0),MATCH(data!AG$1,Haver_M!$B$1:$ZN$1,0)),"na")</f>
        <v>na</v>
      </c>
      <c r="AH103" t="str">
        <f>IF(ISNUMBER(INDEX(Haver_M!$B$1:$ZN$1000,MATCH(data!$A103,Haver_M!$B$1:$B$1000,0),MATCH(data!AH$1,Haver_M!$B$1:$ZN$1,0))),INDEX(Haver_M!$B$1:$ZN$1000,MATCH(data!$A103,Haver_M!$B$1:$B$1000,0),MATCH(data!AH$1,Haver_M!$B$1:$ZN$1,0)),"na")</f>
        <v>na</v>
      </c>
      <c r="AI103" t="str">
        <f>IF(ISNUMBER(INDEX(Haver_M!$B$1:$ZN$1000,MATCH(data!$A103,Haver_M!$B$1:$B$1000,0),MATCH(data!AI$1,Haver_M!$B$1:$ZN$1,0))),INDEX(Haver_M!$B$1:$ZN$1000,MATCH(data!$A103,Haver_M!$B$1:$B$1000,0),MATCH(data!AI$1,Haver_M!$B$1:$ZN$1,0)),"na")</f>
        <v>na</v>
      </c>
      <c r="AJ103" t="str">
        <f>IF(ISNUMBER(INDEX(Haver_M!$B$1:$ZN$1000,MATCH(data!$A103,Haver_M!$B$1:$B$1000,0),MATCH(data!AJ$1,Haver_M!$B$1:$ZN$1,0))),INDEX(Haver_M!$B$1:$ZN$1000,MATCH(data!$A103,Haver_M!$B$1:$B$1000,0),MATCH(data!AJ$1,Haver_M!$B$1:$ZN$1,0)),"na")</f>
        <v>na</v>
      </c>
      <c r="AK103" t="str">
        <f>IF(ISNUMBER(INDEX(Haver_M!$B$1:$ZN$1000,MATCH(data!$A103,Haver_M!$B$1:$B$1000,0),MATCH(data!AK$1,Haver_M!$B$1:$ZN$1,0))),INDEX(Haver_M!$B$1:$ZN$1000,MATCH(data!$A103,Haver_M!$B$1:$B$1000,0),MATCH(data!AK$1,Haver_M!$B$1:$ZN$1,0)),"na")</f>
        <v>na</v>
      </c>
      <c r="AL103" t="str">
        <f>IF(ISNUMBER(INDEX(Haver_M!$B$1:$ZN$1000,MATCH(data!$A103,Haver_M!$B$1:$B$1000,0),MATCH(data!AL$1,Haver_M!$B$1:$ZN$1,0))),INDEX(Haver_M!$B$1:$ZN$1000,MATCH(data!$A103,Haver_M!$B$1:$B$1000,0),MATCH(data!AL$1,Haver_M!$B$1:$ZN$1,0)),"na")</f>
        <v>na</v>
      </c>
      <c r="AM103" t="str">
        <f>IF(ISNUMBER(INDEX(Haver_M!$B$1:$ZN$1000,MATCH(data!$A103,Haver_M!$B$1:$B$1000,0),MATCH(data!AM$1,Haver_M!$B$1:$ZN$1,0))),INDEX(Haver_M!$B$1:$ZN$1000,MATCH(data!$A103,Haver_M!$B$1:$B$1000,0),MATCH(data!AM$1,Haver_M!$B$1:$ZN$1,0)),"na")</f>
        <v>na</v>
      </c>
      <c r="AN103" t="str">
        <f>IF(ISNUMBER(INDEX(Haver_M!$B$1:$ZN$1000,MATCH(data!$A103,Haver_M!$B$1:$B$1000,0),MATCH(data!AN$1,Haver_M!$B$1:$ZN$1,0))),INDEX(Haver_M!$B$1:$ZN$1000,MATCH(data!$A103,Haver_M!$B$1:$B$1000,0),MATCH(data!AN$1,Haver_M!$B$1:$ZN$1,0)),"na")</f>
        <v>na</v>
      </c>
      <c r="AO103" t="str">
        <f>IF(ISNUMBER(INDEX(Haver_M!$B$1:$ZN$1000,MATCH(data!$A103,Haver_M!$B$1:$B$1000,0),MATCH(data!AO$1,Haver_M!$B$1:$ZN$1,0))),INDEX(Haver_M!$B$1:$ZN$1000,MATCH(data!$A103,Haver_M!$B$1:$B$1000,0),MATCH(data!AO$1,Haver_M!$B$1:$ZN$1,0)),"na")</f>
        <v>na</v>
      </c>
      <c r="AP103" t="str">
        <f>IF(ISNUMBER(INDEX(Haver_M!$B$1:$ZN$1000,MATCH(data!$A103,Haver_M!$B$1:$B$1000,0),MATCH(data!AP$1,Haver_M!$B$1:$ZN$1,0))),INDEX(Haver_M!$B$1:$ZN$1000,MATCH(data!$A103,Haver_M!$B$1:$B$1000,0),MATCH(data!AP$1,Haver_M!$B$1:$ZN$1,0)),"na")</f>
        <v>na</v>
      </c>
      <c r="AQ103" t="str">
        <f>IF(ISNUMBER(INDEX(Haver_M!$B$1:$ZN$1000,MATCH(data!$A103,Haver_M!$B$1:$B$1000,0),MATCH(data!AQ$1,Haver_M!$B$1:$ZN$1,0))),INDEX(Haver_M!$B$1:$ZN$1000,MATCH(data!$A103,Haver_M!$B$1:$B$1000,0),MATCH(data!AQ$1,Haver_M!$B$1:$ZN$1,0)),"na")</f>
        <v>na</v>
      </c>
      <c r="AR103" t="str">
        <f>IF(ISNUMBER(INDEX(Haver_M!$B$1:$ZN$1000,MATCH(data!$A103,Haver_M!$B$1:$B$1000,0),MATCH(data!AR$1,Haver_M!$B$1:$ZN$1,0))),INDEX(Haver_M!$B$1:$ZN$1000,MATCH(data!$A103,Haver_M!$B$1:$B$1000,0),MATCH(data!AR$1,Haver_M!$B$1:$ZN$1,0)),"na")</f>
        <v>na</v>
      </c>
      <c r="AS103">
        <f>IF(ISNUMBER(INDEX(Haver_M!$B$1:$ZN$1000,MATCH(data!$A103,Haver_M!$B$1:$B$1000,0),MATCH(data!AS$1,Haver_M!$B$1:$ZN$1,0))),INDEX(Haver_M!$B$1:$ZN$1000,MATCH(data!$A103,Haver_M!$B$1:$B$1000,0),MATCH(data!AS$1,Haver_M!$B$1:$ZN$1,0)),"na")</f>
        <v>30291.16</v>
      </c>
      <c r="AT103">
        <f>IF(ISNUMBER(INDEX(Haver_M!$B$1:$ZN$1000,MATCH(data!$A103,Haver_M!$B$1:$B$1000,0),MATCH(data!AT$1,Haver_M!$B$1:$ZN$1,0))),INDEX(Haver_M!$B$1:$ZN$1000,MATCH(data!$A103,Haver_M!$B$1:$B$1000,0),MATCH(data!AT$1,Haver_M!$B$1:$ZN$1,0)),"na")</f>
        <v>97.515000000000001</v>
      </c>
      <c r="AU103">
        <f>IF(ISNUMBER(INDEX(Haver_M!$B$1:$ZN$1000,MATCH(data!$A103,Haver_M!$B$1:$B$1000,0),MATCH(data!AU$1,Haver_M!$B$1:$ZN$1,0))),INDEX(Haver_M!$B$1:$ZN$1000,MATCH(data!$A103,Haver_M!$B$1:$B$1000,0),MATCH(data!AU$1,Haver_M!$B$1:$ZN$1,0)),"na")</f>
        <v>93.344881999999998</v>
      </c>
      <c r="AV103">
        <f>IF(ISNUMBER(INDEX(Haver_M!$B$1:$ZN$1000,MATCH(data!$A103,Haver_M!$B$1:$B$1000,0),MATCH(data!AV$1,Haver_M!$B$1:$ZN$1,0))),INDEX(Haver_M!$B$1:$ZN$1000,MATCH(data!$A103,Haver_M!$B$1:$B$1000,0),MATCH(data!AV$1,Haver_M!$B$1:$ZN$1,0)),"na")</f>
        <v>102.8</v>
      </c>
      <c r="AW103">
        <f>IF(ISNUMBER(INDEX(Haver_M!$B$1:$ZN$1000,MATCH(data!$A103,Haver_M!$B$1:$B$1000,0),MATCH(data!AW$1,Haver_M!$B$1:$ZN$1,0))),INDEX(Haver_M!$B$1:$ZN$1000,MATCH(data!$A103,Haver_M!$B$1:$B$1000,0),MATCH(data!AW$1,Haver_M!$B$1:$ZN$1,0)),"na")</f>
        <v>1188846.6186510704</v>
      </c>
      <c r="AX103">
        <f>IF(ISNUMBER(INDEX(Haver_M!$B$1:$ZN$1000,MATCH(data!$A103,Haver_M!$B$1:$B$1000,0),MATCH(data!AX$1,Haver_M!$B$1:$ZN$1,0))),INDEX(Haver_M!$B$1:$ZN$1000,MATCH(data!$A103,Haver_M!$B$1:$B$1000,0),MATCH(data!AX$1,Haver_M!$B$1:$ZN$1,0)),"na")</f>
        <v>2811</v>
      </c>
      <c r="AY103">
        <f>IF(ISNUMBER(INDEX(Haver_M!$B$1:$ZN$1000,MATCH(data!$A103,Haver_M!$B$1:$B$1000,0),MATCH(data!AY$1,Haver_M!$B$1:$ZN$1,0))),INDEX(Haver_M!$B$1:$ZN$1000,MATCH(data!$A103,Haver_M!$B$1:$B$1000,0),MATCH(data!AY$1,Haver_M!$B$1:$ZN$1,0)),"na")</f>
        <v>1415</v>
      </c>
      <c r="AZ103">
        <f>IF(ISNUMBER(INDEX(Haver_M!$B$1:$ZN$1000,MATCH(data!$A103,Haver_M!$B$1:$B$1000,0),MATCH(data!AZ$1,Haver_M!$B$1:$ZN$1,0))),INDEX(Haver_M!$B$1:$ZN$1000,MATCH(data!$A103,Haver_M!$B$1:$B$1000,0),MATCH(data!AZ$1,Haver_M!$B$1:$ZN$1,0)),"na")</f>
        <v>51.1</v>
      </c>
      <c r="BA103">
        <f>IF(ISNUMBER(INDEX(Haver_M!$B$1:$ZN$1000,MATCH(data!$A103,Haver_M!$B$1:$B$1000,0),MATCH(data!BA$1,Haver_M!$B$1:$ZN$1,0))),INDEX(Haver_M!$B$1:$ZN$1000,MATCH(data!$A103,Haver_M!$B$1:$B$1000,0),MATCH(data!BA$1,Haver_M!$B$1:$ZN$1,0)),"na")</f>
        <v>73.697040441795508</v>
      </c>
      <c r="BB103" t="str">
        <f>IF(ISNUMBER(INDEX(Haver_M!$B$1:$ZN$1000,MATCH(data!$A103,Haver_M!$B$1:$B$1000,0),MATCH(data!BB$1,Haver_M!$B$1:$ZN$1,0))),INDEX(Haver_M!$B$1:$ZN$1000,MATCH(data!$A103,Haver_M!$B$1:$B$1000,0),MATCH(data!BB$1,Haver_M!$B$1:$ZN$1,0)),"")</f>
        <v/>
      </c>
    </row>
    <row r="104" spans="1:54" x14ac:dyDescent="0.25">
      <c r="A104" s="2">
        <v>39660</v>
      </c>
      <c r="B104" t="str">
        <f>IF(ISNUMBER(INDEX(Haver_Q!$B$1:$BD$1000,MATCH(data!$A104,Haver_Q!$B$1:$B$1000,0),MATCH(data!B$1,Haver_Q!$B$1:$BD$1,0))),100*INDEX(Haver_Q!$B$1:$BD$1000,MATCH(data!$A104,Haver_Q!$B$1:$B$1000,0),MATCH(data!B$1,Haver_Q!$B$1:$BD$1,0)),"na")</f>
        <v>na</v>
      </c>
      <c r="C104" t="str">
        <f>IF(ISNUMBER(INDEX(Haver_Q!$B$1:$BD$1000,MATCH(data!$A104,Haver_Q!$B$1:$B$1000,0),MATCH(data!C$1,Haver_Q!$B$1:$BD$1,0))),100*INDEX(Haver_Q!$B$1:$BD$1000,MATCH(data!$A104,Haver_Q!$B$1:$B$1000,0),MATCH(data!C$1,Haver_Q!$B$1:$BD$1,0)),"na")</f>
        <v>na</v>
      </c>
      <c r="D104" t="str">
        <f>IF(ISNUMBER(INDEX(Haver_Q!$B$1:$BD$1000,MATCH(data!$A104,Haver_Q!$B$1:$B$1000,0),MATCH(data!D$1,Haver_Q!$B$1:$BD$1,0))),100*INDEX(Haver_Q!$B$1:$BD$1000,MATCH(data!$A104,Haver_Q!$B$1:$B$1000,0),MATCH(data!D$1,Haver_Q!$B$1:$BD$1,0)),"na")</f>
        <v>na</v>
      </c>
      <c r="E104" t="str">
        <f>IF(ISNUMBER(INDEX(Haver_Q!$B$1:$BD$1000,MATCH(data!$A104,Haver_Q!$B$1:$B$1000,0),MATCH(data!E$1,Haver_Q!$B$1:$BD$1,0))),100*INDEX(Haver_Q!$B$1:$BD$1000,MATCH(data!$A104,Haver_Q!$B$1:$B$1000,0),MATCH(data!E$1,Haver_Q!$B$1:$BD$1,0)),"na")</f>
        <v>na</v>
      </c>
      <c r="F104" t="str">
        <f>IF(ISNUMBER(INDEX(Haver_Q!$B$1:$BD$1000,MATCH(data!$A104,Haver_Q!$B$1:$B$1000,0),MATCH(data!F$1,Haver_Q!$B$1:$BD$1,0))),100*INDEX(Haver_Q!$B$1:$BD$1000,MATCH(data!$A104,Haver_Q!$B$1:$B$1000,0),MATCH(data!F$1,Haver_Q!$B$1:$BD$1,0)),"na")</f>
        <v>na</v>
      </c>
      <c r="G104" t="str">
        <f>IF(ISNUMBER(INDEX(Haver_Q!$B$1:$BD$1000,MATCH(data!$A104,Haver_Q!$B$1:$B$1000,0),MATCH(data!G$1,Haver_Q!$B$1:$BD$1,0))),100*INDEX(Haver_Q!$B$1:$BD$1000,MATCH(data!$A104,Haver_Q!$B$1:$B$1000,0),MATCH(data!G$1,Haver_Q!$B$1:$BD$1,0)),"na")</f>
        <v>na</v>
      </c>
      <c r="H104" t="str">
        <f>IF(ISNUMBER(INDEX(Haver_Q!$B$1:$BD$1000,MATCH(data!$A104,Haver_Q!$B$1:$B$1000,0),MATCH(data!H$1,Haver_Q!$B$1:$BD$1,0))),100*INDEX(Haver_Q!$B$1:$BD$1000,MATCH(data!$A104,Haver_Q!$B$1:$B$1000,0),MATCH(data!H$1,Haver_Q!$B$1:$BD$1,0)),"na")</f>
        <v>na</v>
      </c>
      <c r="I104" s="3">
        <f>IF(ISNUMBER(Bloomberg_m!C120),Bloomberg_m!C120,"na")</f>
        <v>8936</v>
      </c>
      <c r="J104" s="3" t="str">
        <f>IF(ISNUMBER(Bloomberg_m!D120),Bloomberg_m!D120,"na")</f>
        <v>na</v>
      </c>
      <c r="K104" s="3" t="str">
        <f>IF(ISNUMBER(Bloomberg_m!E120),Bloomberg_m!E120,"na")</f>
        <v>na</v>
      </c>
      <c r="L104" s="3">
        <f>IF(ISNUMBER(Bloomberg_m!L120),Bloomberg_m!L120,"na")</f>
        <v>133.38</v>
      </c>
      <c r="M104">
        <f>IF(ISNUMBER(INDEX(Haver_M!$B$1:$ZN$1000,MATCH(data!$A104,Haver_M!$B$1:$B$1000,0),MATCH(data!M$1,Haver_M!$B$1:$ZN$1,0))),INDEX(Haver_M!$B$1:$ZN$1000,MATCH(data!$A104,Haver_M!$B$1:$B$1000,0),MATCH(data!M$1,Haver_M!$B$1:$ZN$1,0)),"na")</f>
        <v>8</v>
      </c>
      <c r="N104">
        <f>IF(ISNUMBER(INDEX(Haver_M!$B$1:$ZN$1000,MATCH(data!$A104,Haver_M!$B$1:$B$1000,0),MATCH(data!N$1,Haver_M!$B$1:$ZN$1,0))),INDEX(Haver_M!$B$1:$ZN$1000,MATCH(data!$A104,Haver_M!$B$1:$B$1000,0),MATCH(data!N$1,Haver_M!$B$1:$ZN$1,0)),"na")</f>
        <v>9.0546000000000006</v>
      </c>
      <c r="O104">
        <f>IF(ISNUMBER(INDEX(Haver_M!$B$1:$ZN$1000,MATCH(data!$A104,Haver_M!$B$1:$B$1000,0),MATCH(data!O$1,Haver_M!$B$1:$ZN$1,0))),INDEX(Haver_M!$B$1:$ZN$1000,MATCH(data!$A104,Haver_M!$B$1:$B$1000,0),MATCH(data!O$1,Haver_M!$B$1:$ZN$1,0)),"na")</f>
        <v>110.87179</v>
      </c>
      <c r="P104">
        <f>IF(ISNUMBER(INDEX(Haver_M!$B$1:$ZN$1000,MATCH(data!$A104,Haver_M!$B$1:$B$1000,0),MATCH(data!P$1,Haver_M!$B$1:$ZN$1,0))),INDEX(Haver_M!$B$1:$ZN$1000,MATCH(data!$A104,Haver_M!$B$1:$B$1000,0),MATCH(data!P$1,Haver_M!$B$1:$ZN$1,0)),"na")</f>
        <v>67.136899999999997</v>
      </c>
      <c r="Q104">
        <f>IF(ISNUMBER(INDEX(Haver_M!$B$1:$ZN$1000,MATCH(data!$A104,Haver_M!$B$1:$B$1000,0),MATCH(data!Q$1,Haver_M!$B$1:$ZN$1,0))),INDEX(Haver_M!$B$1:$ZN$1000,MATCH(data!$A104,Haver_M!$B$1:$B$1000,0),MATCH(data!Q$1,Haver_M!$B$1:$ZN$1,0)),"na")</f>
        <v>70.820300000000003</v>
      </c>
      <c r="R104">
        <f>IF(ISNUMBER(INDEX(Haver_M!$B$1:$ZN$1000,MATCH(data!$A104,Haver_M!$B$1:$B$1000,0),MATCH(data!R$1,Haver_M!$B$1:$ZN$1,0))),INDEX(Haver_M!$B$1:$ZN$1000,MATCH(data!$A104,Haver_M!$B$1:$B$1000,0),MATCH(data!R$1,Haver_M!$B$1:$ZN$1,0)),"na")</f>
        <v>98.017899999999997</v>
      </c>
      <c r="S104">
        <f>IF(ISNUMBER(INDEX(Haver_M!$B$1:$ZN$1000,MATCH(data!$A104,Haver_M!$B$1:$B$1000,0),MATCH(data!S$1,Haver_M!$B$1:$ZN$1,0))),INDEX(Haver_M!$B$1:$ZN$1000,MATCH(data!$A104,Haver_M!$B$1:$B$1000,0),MATCH(data!S$1,Haver_M!$B$1:$ZN$1,0)),"na")</f>
        <v>103.37179999999999</v>
      </c>
      <c r="T104">
        <f>IF(ISNUMBER(INDEX(Haver_M!$B$1:$ZN$1000,MATCH(data!$A104,Haver_M!$B$1:$B$1000,0),MATCH(data!T$1,Haver_M!$B$1:$ZN$1,0))),INDEX(Haver_M!$B$1:$ZN$1000,MATCH(data!$A104,Haver_M!$B$1:$B$1000,0),MATCH(data!T$1,Haver_M!$B$1:$ZN$1,0)),"na")</f>
        <v>86.033799999999999</v>
      </c>
      <c r="U104">
        <f>IF(ISNUMBER(INDEX(Haver_M!$B$1:$ZN$1000,MATCH(data!$A104,Haver_M!$B$1:$B$1000,0),MATCH(data!U$1,Haver_M!$B$1:$ZN$1,0))),INDEX(Haver_M!$B$1:$ZN$1000,MATCH(data!$A104,Haver_M!$B$1:$B$1000,0),MATCH(data!U$1,Haver_M!$B$1:$ZN$1,0)),"na")</f>
        <v>102.78270000000001</v>
      </c>
      <c r="V104">
        <f>IF(ISNUMBER(INDEX(Haver_M!$B$1:$ZN$1000,MATCH(data!$A104,Haver_M!$B$1:$B$1000,0),MATCH(data!V$1,Haver_M!$B$1:$ZN$1,0))),INDEX(Haver_M!$B$1:$ZN$1000,MATCH(data!$A104,Haver_M!$B$1:$B$1000,0),MATCH(data!V$1,Haver_M!$B$1:$ZN$1,0)),"na")</f>
        <v>95.010900000000007</v>
      </c>
      <c r="W104">
        <f>IF(ISNUMBER(INDEX(Haver_M!$B$1:$ZN$1000,MATCH(data!$A104,Haver_M!$B$1:$B$1000,0),MATCH(data!W$1,Haver_M!$B$1:$ZN$1,0))),INDEX(Haver_M!$B$1:$ZN$1000,MATCH(data!$A104,Haver_M!$B$1:$B$1000,0),MATCH(data!W$1,Haver_M!$B$1:$ZN$1,0)),"na")</f>
        <v>3.8</v>
      </c>
      <c r="X104">
        <f>IF(ISNUMBER(INDEX(Haver_M!$B$1:$ZN$1000,MATCH(data!$A104,Haver_M!$B$1:$B$1000,0),MATCH(data!X$1,Haver_M!$B$1:$ZN$1,0))),INDEX(Haver_M!$B$1:$ZN$1000,MATCH(data!$A104,Haver_M!$B$1:$B$1000,0),MATCH(data!X$1,Haver_M!$B$1:$ZN$1,0)),"na")</f>
        <v>100.55</v>
      </c>
      <c r="Y104">
        <f>IF(ISNUMBER(INDEX(Haver_M!$B$1:$ZN$1000,MATCH(data!$A104,Haver_M!$B$1:$B$1000,0),MATCH(data!Y$1,Haver_M!$B$1:$ZN$1,0))),INDEX(Haver_M!$B$1:$ZN$1000,MATCH(data!$A104,Haver_M!$B$1:$B$1000,0),MATCH(data!Y$1,Haver_M!$B$1:$ZN$1,0)),"na")</f>
        <v>99.91</v>
      </c>
      <c r="Z104">
        <f>IF(ISNUMBER(INDEX(Haver_M!$B$1:$ZN$1000,MATCH(data!$A104,Haver_M!$B$1:$B$1000,0),MATCH(data!Z$1,Haver_M!$B$1:$ZN$1,0))),INDEX(Haver_M!$B$1:$ZN$1000,MATCH(data!$A104,Haver_M!$B$1:$B$1000,0),MATCH(data!Z$1,Haver_M!$B$1:$ZN$1,0)),"na")</f>
        <v>98.248099999999994</v>
      </c>
      <c r="AA104">
        <f>IF(ISNUMBER(INDEX(Haver_M!$B$1:$ZN$1000,MATCH(data!$A104,Haver_M!$B$1:$B$1000,0),MATCH(data!AA$1,Haver_M!$B$1:$ZN$1,0))),INDEX(Haver_M!$B$1:$ZN$1000,MATCH(data!$A104,Haver_M!$B$1:$B$1000,0),MATCH(data!AA$1,Haver_M!$B$1:$ZN$1,0)),"na")</f>
        <v>98.333299999999994</v>
      </c>
      <c r="AB104">
        <f>IF(ISNUMBER(INDEX(Haver_M!$B$1:$ZN$1000,MATCH(data!$A104,Haver_M!$B$1:$B$1000,0),MATCH(data!AB$1,Haver_M!$B$1:$ZN$1,0))),INDEX(Haver_M!$B$1:$ZN$1000,MATCH(data!$A104,Haver_M!$B$1:$B$1000,0),MATCH(data!AB$1,Haver_M!$B$1:$ZN$1,0)),"na")</f>
        <v>26800.400000000001</v>
      </c>
      <c r="AC104">
        <f>IF(ISNUMBER(INDEX(Haver_M!$B$1:$ZN$1000,MATCH(data!$A104,Haver_M!$B$1:$B$1000,0),MATCH(data!AC$1,Haver_M!$B$1:$ZN$1,0))),INDEX(Haver_M!$B$1:$ZN$1000,MATCH(data!$A104,Haver_M!$B$1:$B$1000,0),MATCH(data!AC$1,Haver_M!$B$1:$ZN$1,0)),"na")</f>
        <v>27913</v>
      </c>
      <c r="AD104">
        <f>IF(ISNUMBER(INDEX(Haver_M!$B$1:$ZN$1000,MATCH(data!$A104,Haver_M!$B$1:$B$1000,0),MATCH(data!AD$1,Haver_M!$B$1:$ZN$1,0))),INDEX(Haver_M!$B$1:$ZN$1000,MATCH(data!$A104,Haver_M!$B$1:$B$1000,0),MATCH(data!AD$1,Haver_M!$B$1:$ZN$1,0)),"na")</f>
        <v>101.5</v>
      </c>
      <c r="AE104">
        <f>IF(ISNUMBER(INDEX(Haver_M!$B$1:$ZN$1000,MATCH(data!$A104,Haver_M!$B$1:$B$1000,0),MATCH(data!AE$1,Haver_M!$B$1:$ZN$1,0))),INDEX(Haver_M!$B$1:$ZN$1000,MATCH(data!$A104,Haver_M!$B$1:$B$1000,0),MATCH(data!AE$1,Haver_M!$B$1:$ZN$1,0)),"na")</f>
        <v>36.5</v>
      </c>
      <c r="AF104">
        <f>IF(ISNUMBER(INDEX(Haver_M!$B$1:$ZN$1000,MATCH(data!$A104,Haver_M!$B$1:$B$1000,0),MATCH(data!AF$1,Haver_M!$B$1:$ZN$1,0))),INDEX(Haver_M!$B$1:$ZN$1000,MATCH(data!$A104,Haver_M!$B$1:$B$1000,0),MATCH(data!AF$1,Haver_M!$B$1:$ZN$1,0)),"na")</f>
        <v>99.02</v>
      </c>
      <c r="AG104" t="str">
        <f>IF(ISNUMBER(INDEX(Haver_M!$B$1:$ZN$1000,MATCH(data!$A104,Haver_M!$B$1:$B$1000,0),MATCH(data!AG$1,Haver_M!$B$1:$ZN$1,0))),INDEX(Haver_M!$B$1:$ZN$1000,MATCH(data!$A104,Haver_M!$B$1:$B$1000,0),MATCH(data!AG$1,Haver_M!$B$1:$ZN$1,0)),"na")</f>
        <v>na</v>
      </c>
      <c r="AH104" t="str">
        <f>IF(ISNUMBER(INDEX(Haver_M!$B$1:$ZN$1000,MATCH(data!$A104,Haver_M!$B$1:$B$1000,0),MATCH(data!AH$1,Haver_M!$B$1:$ZN$1,0))),INDEX(Haver_M!$B$1:$ZN$1000,MATCH(data!$A104,Haver_M!$B$1:$B$1000,0),MATCH(data!AH$1,Haver_M!$B$1:$ZN$1,0)),"na")</f>
        <v>na</v>
      </c>
      <c r="AI104" t="str">
        <f>IF(ISNUMBER(INDEX(Haver_M!$B$1:$ZN$1000,MATCH(data!$A104,Haver_M!$B$1:$B$1000,0),MATCH(data!AI$1,Haver_M!$B$1:$ZN$1,0))),INDEX(Haver_M!$B$1:$ZN$1000,MATCH(data!$A104,Haver_M!$B$1:$B$1000,0),MATCH(data!AI$1,Haver_M!$B$1:$ZN$1,0)),"na")</f>
        <v>na</v>
      </c>
      <c r="AJ104" t="str">
        <f>IF(ISNUMBER(INDEX(Haver_M!$B$1:$ZN$1000,MATCH(data!$A104,Haver_M!$B$1:$B$1000,0),MATCH(data!AJ$1,Haver_M!$B$1:$ZN$1,0))),INDEX(Haver_M!$B$1:$ZN$1000,MATCH(data!$A104,Haver_M!$B$1:$B$1000,0),MATCH(data!AJ$1,Haver_M!$B$1:$ZN$1,0)),"na")</f>
        <v>na</v>
      </c>
      <c r="AK104" t="str">
        <f>IF(ISNUMBER(INDEX(Haver_M!$B$1:$ZN$1000,MATCH(data!$A104,Haver_M!$B$1:$B$1000,0),MATCH(data!AK$1,Haver_M!$B$1:$ZN$1,0))),INDEX(Haver_M!$B$1:$ZN$1000,MATCH(data!$A104,Haver_M!$B$1:$B$1000,0),MATCH(data!AK$1,Haver_M!$B$1:$ZN$1,0)),"na")</f>
        <v>na</v>
      </c>
      <c r="AL104" t="str">
        <f>IF(ISNUMBER(INDEX(Haver_M!$B$1:$ZN$1000,MATCH(data!$A104,Haver_M!$B$1:$B$1000,0),MATCH(data!AL$1,Haver_M!$B$1:$ZN$1,0))),INDEX(Haver_M!$B$1:$ZN$1000,MATCH(data!$A104,Haver_M!$B$1:$B$1000,0),MATCH(data!AL$1,Haver_M!$B$1:$ZN$1,0)),"na")</f>
        <v>na</v>
      </c>
      <c r="AM104" t="str">
        <f>IF(ISNUMBER(INDEX(Haver_M!$B$1:$ZN$1000,MATCH(data!$A104,Haver_M!$B$1:$B$1000,0),MATCH(data!AM$1,Haver_M!$B$1:$ZN$1,0))),INDEX(Haver_M!$B$1:$ZN$1000,MATCH(data!$A104,Haver_M!$B$1:$B$1000,0),MATCH(data!AM$1,Haver_M!$B$1:$ZN$1,0)),"na")</f>
        <v>na</v>
      </c>
      <c r="AN104" t="str">
        <f>IF(ISNUMBER(INDEX(Haver_M!$B$1:$ZN$1000,MATCH(data!$A104,Haver_M!$B$1:$B$1000,0),MATCH(data!AN$1,Haver_M!$B$1:$ZN$1,0))),INDEX(Haver_M!$B$1:$ZN$1000,MATCH(data!$A104,Haver_M!$B$1:$B$1000,0),MATCH(data!AN$1,Haver_M!$B$1:$ZN$1,0)),"na")</f>
        <v>na</v>
      </c>
      <c r="AO104" t="str">
        <f>IF(ISNUMBER(INDEX(Haver_M!$B$1:$ZN$1000,MATCH(data!$A104,Haver_M!$B$1:$B$1000,0),MATCH(data!AO$1,Haver_M!$B$1:$ZN$1,0))),INDEX(Haver_M!$B$1:$ZN$1000,MATCH(data!$A104,Haver_M!$B$1:$B$1000,0),MATCH(data!AO$1,Haver_M!$B$1:$ZN$1,0)),"na")</f>
        <v>na</v>
      </c>
      <c r="AP104" t="str">
        <f>IF(ISNUMBER(INDEX(Haver_M!$B$1:$ZN$1000,MATCH(data!$A104,Haver_M!$B$1:$B$1000,0),MATCH(data!AP$1,Haver_M!$B$1:$ZN$1,0))),INDEX(Haver_M!$B$1:$ZN$1000,MATCH(data!$A104,Haver_M!$B$1:$B$1000,0),MATCH(data!AP$1,Haver_M!$B$1:$ZN$1,0)),"na")</f>
        <v>na</v>
      </c>
      <c r="AQ104" t="str">
        <f>IF(ISNUMBER(INDEX(Haver_M!$B$1:$ZN$1000,MATCH(data!$A104,Haver_M!$B$1:$B$1000,0),MATCH(data!AQ$1,Haver_M!$B$1:$ZN$1,0))),INDEX(Haver_M!$B$1:$ZN$1000,MATCH(data!$A104,Haver_M!$B$1:$B$1000,0),MATCH(data!AQ$1,Haver_M!$B$1:$ZN$1,0)),"na")</f>
        <v>na</v>
      </c>
      <c r="AR104" t="str">
        <f>IF(ISNUMBER(INDEX(Haver_M!$B$1:$ZN$1000,MATCH(data!$A104,Haver_M!$B$1:$B$1000,0),MATCH(data!AR$1,Haver_M!$B$1:$ZN$1,0))),INDEX(Haver_M!$B$1:$ZN$1000,MATCH(data!$A104,Haver_M!$B$1:$B$1000,0),MATCH(data!AR$1,Haver_M!$B$1:$ZN$1,0)),"na")</f>
        <v>na</v>
      </c>
      <c r="AS104">
        <f>IF(ISNUMBER(INDEX(Haver_M!$B$1:$ZN$1000,MATCH(data!$A104,Haver_M!$B$1:$B$1000,0),MATCH(data!AS$1,Haver_M!$B$1:$ZN$1,0))),INDEX(Haver_M!$B$1:$ZN$1000,MATCH(data!$A104,Haver_M!$B$1:$B$1000,0),MATCH(data!AS$1,Haver_M!$B$1:$ZN$1,0)),"na")</f>
        <v>27858.71</v>
      </c>
      <c r="AT104">
        <f>IF(ISNUMBER(INDEX(Haver_M!$B$1:$ZN$1000,MATCH(data!$A104,Haver_M!$B$1:$B$1000,0),MATCH(data!AT$1,Haver_M!$B$1:$ZN$1,0))),INDEX(Haver_M!$B$1:$ZN$1000,MATCH(data!$A104,Haver_M!$B$1:$B$1000,0),MATCH(data!AT$1,Haver_M!$B$1:$ZN$1,0)),"na")</f>
        <v>97.234999999999999</v>
      </c>
      <c r="AU104">
        <f>IF(ISNUMBER(INDEX(Haver_M!$B$1:$ZN$1000,MATCH(data!$A104,Haver_M!$B$1:$B$1000,0),MATCH(data!AU$1,Haver_M!$B$1:$ZN$1,0))),INDEX(Haver_M!$B$1:$ZN$1000,MATCH(data!$A104,Haver_M!$B$1:$B$1000,0),MATCH(data!AU$1,Haver_M!$B$1:$ZN$1,0)),"na")</f>
        <v>93.405467999999999</v>
      </c>
      <c r="AV104">
        <f>IF(ISNUMBER(INDEX(Haver_M!$B$1:$ZN$1000,MATCH(data!$A104,Haver_M!$B$1:$B$1000,0),MATCH(data!AV$1,Haver_M!$B$1:$ZN$1,0))),INDEX(Haver_M!$B$1:$ZN$1000,MATCH(data!$A104,Haver_M!$B$1:$B$1000,0),MATCH(data!AV$1,Haver_M!$B$1:$ZN$1,0)),"na")</f>
        <v>102.4</v>
      </c>
      <c r="AW104">
        <f>IF(ISNUMBER(INDEX(Haver_M!$B$1:$ZN$1000,MATCH(data!$A104,Haver_M!$B$1:$B$1000,0),MATCH(data!AW$1,Haver_M!$B$1:$ZN$1,0))),INDEX(Haver_M!$B$1:$ZN$1000,MATCH(data!$A104,Haver_M!$B$1:$B$1000,0),MATCH(data!AW$1,Haver_M!$B$1:$ZN$1,0)),"na")</f>
        <v>1111512.3094705932</v>
      </c>
      <c r="AX104">
        <f>IF(ISNUMBER(INDEX(Haver_M!$B$1:$ZN$1000,MATCH(data!$A104,Haver_M!$B$1:$B$1000,0),MATCH(data!AX$1,Haver_M!$B$1:$ZN$1,0))),INDEX(Haver_M!$B$1:$ZN$1000,MATCH(data!$A104,Haver_M!$B$1:$B$1000,0),MATCH(data!AX$1,Haver_M!$B$1:$ZN$1,0)),"na")</f>
        <v>2794</v>
      </c>
      <c r="AY104">
        <f>IF(ISNUMBER(INDEX(Haver_M!$B$1:$ZN$1000,MATCH(data!$A104,Haver_M!$B$1:$B$1000,0),MATCH(data!AY$1,Haver_M!$B$1:$ZN$1,0))),INDEX(Haver_M!$B$1:$ZN$1000,MATCH(data!$A104,Haver_M!$B$1:$B$1000,0),MATCH(data!AY$1,Haver_M!$B$1:$ZN$1,0)),"na")</f>
        <v>1377</v>
      </c>
      <c r="AZ104">
        <f>IF(ISNUMBER(INDEX(Haver_M!$B$1:$ZN$1000,MATCH(data!$A104,Haver_M!$B$1:$B$1000,0),MATCH(data!AZ$1,Haver_M!$B$1:$ZN$1,0))),INDEX(Haver_M!$B$1:$ZN$1000,MATCH(data!$A104,Haver_M!$B$1:$B$1000,0),MATCH(data!AZ$1,Haver_M!$B$1:$ZN$1,0)),"na")</f>
        <v>50.4</v>
      </c>
      <c r="BA104">
        <f>IF(ISNUMBER(INDEX(Haver_M!$B$1:$ZN$1000,MATCH(data!$A104,Haver_M!$B$1:$B$1000,0),MATCH(data!BA$1,Haver_M!$B$1:$ZN$1,0))),INDEX(Haver_M!$B$1:$ZN$1000,MATCH(data!$A104,Haver_M!$B$1:$B$1000,0),MATCH(data!BA$1,Haver_M!$B$1:$ZN$1,0)),"na")</f>
        <v>69.367501426362793</v>
      </c>
      <c r="BB104" t="str">
        <f>IF(ISNUMBER(INDEX(Haver_M!$B$1:$ZN$1000,MATCH(data!$A104,Haver_M!$B$1:$B$1000,0),MATCH(data!BB$1,Haver_M!$B$1:$ZN$1,0))),INDEX(Haver_M!$B$1:$ZN$1000,MATCH(data!$A104,Haver_M!$B$1:$B$1000,0),MATCH(data!BB$1,Haver_M!$B$1:$ZN$1,0)),"")</f>
        <v/>
      </c>
    </row>
    <row r="105" spans="1:54" x14ac:dyDescent="0.25">
      <c r="A105" s="2">
        <v>39691</v>
      </c>
      <c r="B105" t="str">
        <f>IF(ISNUMBER(INDEX(Haver_Q!$B$1:$BD$1000,MATCH(data!$A105,Haver_Q!$B$1:$B$1000,0),MATCH(data!B$1,Haver_Q!$B$1:$BD$1,0))),100*INDEX(Haver_Q!$B$1:$BD$1000,MATCH(data!$A105,Haver_Q!$B$1:$B$1000,0),MATCH(data!B$1,Haver_Q!$B$1:$BD$1,0)),"na")</f>
        <v>na</v>
      </c>
      <c r="C105" t="str">
        <f>IF(ISNUMBER(INDEX(Haver_Q!$B$1:$BD$1000,MATCH(data!$A105,Haver_Q!$B$1:$B$1000,0),MATCH(data!C$1,Haver_Q!$B$1:$BD$1,0))),100*INDEX(Haver_Q!$B$1:$BD$1000,MATCH(data!$A105,Haver_Q!$B$1:$B$1000,0),MATCH(data!C$1,Haver_Q!$B$1:$BD$1,0)),"na")</f>
        <v>na</v>
      </c>
      <c r="D105" t="str">
        <f>IF(ISNUMBER(INDEX(Haver_Q!$B$1:$BD$1000,MATCH(data!$A105,Haver_Q!$B$1:$B$1000,0),MATCH(data!D$1,Haver_Q!$B$1:$BD$1,0))),100*INDEX(Haver_Q!$B$1:$BD$1000,MATCH(data!$A105,Haver_Q!$B$1:$B$1000,0),MATCH(data!D$1,Haver_Q!$B$1:$BD$1,0)),"na")</f>
        <v>na</v>
      </c>
      <c r="E105" t="str">
        <f>IF(ISNUMBER(INDEX(Haver_Q!$B$1:$BD$1000,MATCH(data!$A105,Haver_Q!$B$1:$B$1000,0),MATCH(data!E$1,Haver_Q!$B$1:$BD$1,0))),100*INDEX(Haver_Q!$B$1:$BD$1000,MATCH(data!$A105,Haver_Q!$B$1:$B$1000,0),MATCH(data!E$1,Haver_Q!$B$1:$BD$1,0)),"na")</f>
        <v>na</v>
      </c>
      <c r="F105" t="str">
        <f>IF(ISNUMBER(INDEX(Haver_Q!$B$1:$BD$1000,MATCH(data!$A105,Haver_Q!$B$1:$B$1000,0),MATCH(data!F$1,Haver_Q!$B$1:$BD$1,0))),100*INDEX(Haver_Q!$B$1:$BD$1000,MATCH(data!$A105,Haver_Q!$B$1:$B$1000,0),MATCH(data!F$1,Haver_Q!$B$1:$BD$1,0)),"na")</f>
        <v>na</v>
      </c>
      <c r="G105" t="str">
        <f>IF(ISNUMBER(INDEX(Haver_Q!$B$1:$BD$1000,MATCH(data!$A105,Haver_Q!$B$1:$B$1000,0),MATCH(data!G$1,Haver_Q!$B$1:$BD$1,0))),100*INDEX(Haver_Q!$B$1:$BD$1000,MATCH(data!$A105,Haver_Q!$B$1:$B$1000,0),MATCH(data!G$1,Haver_Q!$B$1:$BD$1,0)),"na")</f>
        <v>na</v>
      </c>
      <c r="H105" t="str">
        <f>IF(ISNUMBER(INDEX(Haver_Q!$B$1:$BD$1000,MATCH(data!$A105,Haver_Q!$B$1:$B$1000,0),MATCH(data!H$1,Haver_Q!$B$1:$BD$1,0))),100*INDEX(Haver_Q!$B$1:$BD$1000,MATCH(data!$A105,Haver_Q!$B$1:$B$1000,0),MATCH(data!H$1,Haver_Q!$B$1:$BD$1,0)),"na")</f>
        <v>na</v>
      </c>
      <c r="I105" s="3">
        <f>IF(ISNUMBER(Bloomberg_m!C121),Bloomberg_m!C121,"na")</f>
        <v>7403</v>
      </c>
      <c r="J105" s="3" t="str">
        <f>IF(ISNUMBER(Bloomberg_m!D121),Bloomberg_m!D121,"na")</f>
        <v>na</v>
      </c>
      <c r="K105" s="3" t="str">
        <f>IF(ISNUMBER(Bloomberg_m!E121),Bloomberg_m!E121,"na")</f>
        <v>na</v>
      </c>
      <c r="L105" s="3">
        <f>IF(ISNUMBER(Bloomberg_m!L121),Bloomberg_m!L121,"na")</f>
        <v>116.64</v>
      </c>
      <c r="M105">
        <f>IF(ISNUMBER(INDEX(Haver_M!$B$1:$ZN$1000,MATCH(data!$A105,Haver_M!$B$1:$B$1000,0),MATCH(data!M$1,Haver_M!$B$1:$ZN$1,0))),INDEX(Haver_M!$B$1:$ZN$1000,MATCH(data!$A105,Haver_M!$B$1:$B$1000,0),MATCH(data!M$1,Haver_M!$B$1:$ZN$1,0)),"na")</f>
        <v>8.25</v>
      </c>
      <c r="N105">
        <f>IF(ISNUMBER(INDEX(Haver_M!$B$1:$ZN$1000,MATCH(data!$A105,Haver_M!$B$1:$B$1000,0),MATCH(data!N$1,Haver_M!$B$1:$ZN$1,0))),INDEX(Haver_M!$B$1:$ZN$1000,MATCH(data!$A105,Haver_M!$B$1:$B$1000,0),MATCH(data!N$1,Haver_M!$B$1:$ZN$1,0)),"na")</f>
        <v>8.6462000000000003</v>
      </c>
      <c r="O105">
        <f>IF(ISNUMBER(INDEX(Haver_M!$B$1:$ZN$1000,MATCH(data!$A105,Haver_M!$B$1:$B$1000,0),MATCH(data!O$1,Haver_M!$B$1:$ZN$1,0))),INDEX(Haver_M!$B$1:$ZN$1000,MATCH(data!$A105,Haver_M!$B$1:$B$1000,0),MATCH(data!O$1,Haver_M!$B$1:$ZN$1,0)),"na")</f>
        <v>114.19555</v>
      </c>
      <c r="P105">
        <f>IF(ISNUMBER(INDEX(Haver_M!$B$1:$ZN$1000,MATCH(data!$A105,Haver_M!$B$1:$B$1000,0),MATCH(data!P$1,Haver_M!$B$1:$ZN$1,0))),INDEX(Haver_M!$B$1:$ZN$1000,MATCH(data!$A105,Haver_M!$B$1:$B$1000,0),MATCH(data!P$1,Haver_M!$B$1:$ZN$1,0)),"na")</f>
        <v>67.525300000000001</v>
      </c>
      <c r="Q105">
        <f>IF(ISNUMBER(INDEX(Haver_M!$B$1:$ZN$1000,MATCH(data!$A105,Haver_M!$B$1:$B$1000,0),MATCH(data!Q$1,Haver_M!$B$1:$ZN$1,0))),INDEX(Haver_M!$B$1:$ZN$1000,MATCH(data!$A105,Haver_M!$B$1:$B$1000,0),MATCH(data!Q$1,Haver_M!$B$1:$ZN$1,0)),"na")</f>
        <v>71.198800000000006</v>
      </c>
      <c r="R105">
        <f>IF(ISNUMBER(INDEX(Haver_M!$B$1:$ZN$1000,MATCH(data!$A105,Haver_M!$B$1:$B$1000,0),MATCH(data!R$1,Haver_M!$B$1:$ZN$1,0))),INDEX(Haver_M!$B$1:$ZN$1000,MATCH(data!$A105,Haver_M!$B$1:$B$1000,0),MATCH(data!R$1,Haver_M!$B$1:$ZN$1,0)),"na")</f>
        <v>97.585300000000004</v>
      </c>
      <c r="S105">
        <f>IF(ISNUMBER(INDEX(Haver_M!$B$1:$ZN$1000,MATCH(data!$A105,Haver_M!$B$1:$B$1000,0),MATCH(data!S$1,Haver_M!$B$1:$ZN$1,0))),INDEX(Haver_M!$B$1:$ZN$1000,MATCH(data!$A105,Haver_M!$B$1:$B$1000,0),MATCH(data!S$1,Haver_M!$B$1:$ZN$1,0)),"na")</f>
        <v>102.4661</v>
      </c>
      <c r="T105">
        <f>IF(ISNUMBER(INDEX(Haver_M!$B$1:$ZN$1000,MATCH(data!$A105,Haver_M!$B$1:$B$1000,0),MATCH(data!T$1,Haver_M!$B$1:$ZN$1,0))),INDEX(Haver_M!$B$1:$ZN$1000,MATCH(data!$A105,Haver_M!$B$1:$B$1000,0),MATCH(data!T$1,Haver_M!$B$1:$ZN$1,0)),"na")</f>
        <v>87.289299999999997</v>
      </c>
      <c r="U105">
        <f>IF(ISNUMBER(INDEX(Haver_M!$B$1:$ZN$1000,MATCH(data!$A105,Haver_M!$B$1:$B$1000,0),MATCH(data!U$1,Haver_M!$B$1:$ZN$1,0))),INDEX(Haver_M!$B$1:$ZN$1000,MATCH(data!$A105,Haver_M!$B$1:$B$1000,0),MATCH(data!U$1,Haver_M!$B$1:$ZN$1,0)),"na")</f>
        <v>99.979799999999997</v>
      </c>
      <c r="V105">
        <f>IF(ISNUMBER(INDEX(Haver_M!$B$1:$ZN$1000,MATCH(data!$A105,Haver_M!$B$1:$B$1000,0),MATCH(data!V$1,Haver_M!$B$1:$ZN$1,0))),INDEX(Haver_M!$B$1:$ZN$1000,MATCH(data!$A105,Haver_M!$B$1:$B$1000,0),MATCH(data!V$1,Haver_M!$B$1:$ZN$1,0)),"na")</f>
        <v>95.024500000000003</v>
      </c>
      <c r="W105">
        <f>IF(ISNUMBER(INDEX(Haver_M!$B$1:$ZN$1000,MATCH(data!$A105,Haver_M!$B$1:$B$1000,0),MATCH(data!W$1,Haver_M!$B$1:$ZN$1,0))),INDEX(Haver_M!$B$1:$ZN$1000,MATCH(data!$A105,Haver_M!$B$1:$B$1000,0),MATCH(data!W$1,Haver_M!$B$1:$ZN$1,0)),"na")</f>
        <v>3.82</v>
      </c>
      <c r="X105">
        <f>IF(ISNUMBER(INDEX(Haver_M!$B$1:$ZN$1000,MATCH(data!$A105,Haver_M!$B$1:$B$1000,0),MATCH(data!X$1,Haver_M!$B$1:$ZN$1,0))),INDEX(Haver_M!$B$1:$ZN$1000,MATCH(data!$A105,Haver_M!$B$1:$B$1000,0),MATCH(data!X$1,Haver_M!$B$1:$ZN$1,0)),"na")</f>
        <v>99.96</v>
      </c>
      <c r="Y105">
        <f>IF(ISNUMBER(INDEX(Haver_M!$B$1:$ZN$1000,MATCH(data!$A105,Haver_M!$B$1:$B$1000,0),MATCH(data!Y$1,Haver_M!$B$1:$ZN$1,0))),INDEX(Haver_M!$B$1:$ZN$1000,MATCH(data!$A105,Haver_M!$B$1:$B$1000,0),MATCH(data!Y$1,Haver_M!$B$1:$ZN$1,0)),"na")</f>
        <v>99.21</v>
      </c>
      <c r="Z105">
        <f>IF(ISNUMBER(INDEX(Haver_M!$B$1:$ZN$1000,MATCH(data!$A105,Haver_M!$B$1:$B$1000,0),MATCH(data!Z$1,Haver_M!$B$1:$ZN$1,0))),INDEX(Haver_M!$B$1:$ZN$1000,MATCH(data!$A105,Haver_M!$B$1:$B$1000,0),MATCH(data!Z$1,Haver_M!$B$1:$ZN$1,0)),"na")</f>
        <v>96.989599999999996</v>
      </c>
      <c r="AA105">
        <f>IF(ISNUMBER(INDEX(Haver_M!$B$1:$ZN$1000,MATCH(data!$A105,Haver_M!$B$1:$B$1000,0),MATCH(data!AA$1,Haver_M!$B$1:$ZN$1,0))),INDEX(Haver_M!$B$1:$ZN$1000,MATCH(data!$A105,Haver_M!$B$1:$B$1000,0),MATCH(data!AA$1,Haver_M!$B$1:$ZN$1,0)),"na")</f>
        <v>95.749300000000005</v>
      </c>
      <c r="AB105">
        <f>IF(ISNUMBER(INDEX(Haver_M!$B$1:$ZN$1000,MATCH(data!$A105,Haver_M!$B$1:$B$1000,0),MATCH(data!AB$1,Haver_M!$B$1:$ZN$1,0))),INDEX(Haver_M!$B$1:$ZN$1000,MATCH(data!$A105,Haver_M!$B$1:$B$1000,0),MATCH(data!AB$1,Haver_M!$B$1:$ZN$1,0)),"na")</f>
        <v>25679.7</v>
      </c>
      <c r="AC105">
        <f>IF(ISNUMBER(INDEX(Haver_M!$B$1:$ZN$1000,MATCH(data!$A105,Haver_M!$B$1:$B$1000,0),MATCH(data!AC$1,Haver_M!$B$1:$ZN$1,0))),INDEX(Haver_M!$B$1:$ZN$1000,MATCH(data!$A105,Haver_M!$B$1:$B$1000,0),MATCH(data!AC$1,Haver_M!$B$1:$ZN$1,0)),"na")</f>
        <v>27542.7</v>
      </c>
      <c r="AD105">
        <f>IF(ISNUMBER(INDEX(Haver_M!$B$1:$ZN$1000,MATCH(data!$A105,Haver_M!$B$1:$B$1000,0),MATCH(data!AD$1,Haver_M!$B$1:$ZN$1,0))),INDEX(Haver_M!$B$1:$ZN$1000,MATCH(data!$A105,Haver_M!$B$1:$B$1000,0),MATCH(data!AD$1,Haver_M!$B$1:$ZN$1,0)),"na")</f>
        <v>101.26</v>
      </c>
      <c r="AE105">
        <f>IF(ISNUMBER(INDEX(Haver_M!$B$1:$ZN$1000,MATCH(data!$A105,Haver_M!$B$1:$B$1000,0),MATCH(data!AE$1,Haver_M!$B$1:$ZN$1,0))),INDEX(Haver_M!$B$1:$ZN$1000,MATCH(data!$A105,Haver_M!$B$1:$B$1000,0),MATCH(data!AE$1,Haver_M!$B$1:$ZN$1,0)),"na")</f>
        <v>36.700000000000003</v>
      </c>
      <c r="AF105">
        <f>IF(ISNUMBER(INDEX(Haver_M!$B$1:$ZN$1000,MATCH(data!$A105,Haver_M!$B$1:$B$1000,0),MATCH(data!AF$1,Haver_M!$B$1:$ZN$1,0))),INDEX(Haver_M!$B$1:$ZN$1000,MATCH(data!$A105,Haver_M!$B$1:$B$1000,0),MATCH(data!AF$1,Haver_M!$B$1:$ZN$1,0)),"na")</f>
        <v>98.44</v>
      </c>
      <c r="AG105" t="str">
        <f>IF(ISNUMBER(INDEX(Haver_M!$B$1:$ZN$1000,MATCH(data!$A105,Haver_M!$B$1:$B$1000,0),MATCH(data!AG$1,Haver_M!$B$1:$ZN$1,0))),INDEX(Haver_M!$B$1:$ZN$1000,MATCH(data!$A105,Haver_M!$B$1:$B$1000,0),MATCH(data!AG$1,Haver_M!$B$1:$ZN$1,0)),"na")</f>
        <v>na</v>
      </c>
      <c r="AH105" t="str">
        <f>IF(ISNUMBER(INDEX(Haver_M!$B$1:$ZN$1000,MATCH(data!$A105,Haver_M!$B$1:$B$1000,0),MATCH(data!AH$1,Haver_M!$B$1:$ZN$1,0))),INDEX(Haver_M!$B$1:$ZN$1000,MATCH(data!$A105,Haver_M!$B$1:$B$1000,0),MATCH(data!AH$1,Haver_M!$B$1:$ZN$1,0)),"na")</f>
        <v>na</v>
      </c>
      <c r="AI105" t="str">
        <f>IF(ISNUMBER(INDEX(Haver_M!$B$1:$ZN$1000,MATCH(data!$A105,Haver_M!$B$1:$B$1000,0),MATCH(data!AI$1,Haver_M!$B$1:$ZN$1,0))),INDEX(Haver_M!$B$1:$ZN$1000,MATCH(data!$A105,Haver_M!$B$1:$B$1000,0),MATCH(data!AI$1,Haver_M!$B$1:$ZN$1,0)),"na")</f>
        <v>na</v>
      </c>
      <c r="AJ105" t="str">
        <f>IF(ISNUMBER(INDEX(Haver_M!$B$1:$ZN$1000,MATCH(data!$A105,Haver_M!$B$1:$B$1000,0),MATCH(data!AJ$1,Haver_M!$B$1:$ZN$1,0))),INDEX(Haver_M!$B$1:$ZN$1000,MATCH(data!$A105,Haver_M!$B$1:$B$1000,0),MATCH(data!AJ$1,Haver_M!$B$1:$ZN$1,0)),"na")</f>
        <v>na</v>
      </c>
      <c r="AK105" t="str">
        <f>IF(ISNUMBER(INDEX(Haver_M!$B$1:$ZN$1000,MATCH(data!$A105,Haver_M!$B$1:$B$1000,0),MATCH(data!AK$1,Haver_M!$B$1:$ZN$1,0))),INDEX(Haver_M!$B$1:$ZN$1000,MATCH(data!$A105,Haver_M!$B$1:$B$1000,0),MATCH(data!AK$1,Haver_M!$B$1:$ZN$1,0)),"na")</f>
        <v>na</v>
      </c>
      <c r="AL105" t="str">
        <f>IF(ISNUMBER(INDEX(Haver_M!$B$1:$ZN$1000,MATCH(data!$A105,Haver_M!$B$1:$B$1000,0),MATCH(data!AL$1,Haver_M!$B$1:$ZN$1,0))),INDEX(Haver_M!$B$1:$ZN$1000,MATCH(data!$A105,Haver_M!$B$1:$B$1000,0),MATCH(data!AL$1,Haver_M!$B$1:$ZN$1,0)),"na")</f>
        <v>na</v>
      </c>
      <c r="AM105" t="str">
        <f>IF(ISNUMBER(INDEX(Haver_M!$B$1:$ZN$1000,MATCH(data!$A105,Haver_M!$B$1:$B$1000,0),MATCH(data!AM$1,Haver_M!$B$1:$ZN$1,0))),INDEX(Haver_M!$B$1:$ZN$1000,MATCH(data!$A105,Haver_M!$B$1:$B$1000,0),MATCH(data!AM$1,Haver_M!$B$1:$ZN$1,0)),"na")</f>
        <v>na</v>
      </c>
      <c r="AN105" t="str">
        <f>IF(ISNUMBER(INDEX(Haver_M!$B$1:$ZN$1000,MATCH(data!$A105,Haver_M!$B$1:$B$1000,0),MATCH(data!AN$1,Haver_M!$B$1:$ZN$1,0))),INDEX(Haver_M!$B$1:$ZN$1000,MATCH(data!$A105,Haver_M!$B$1:$B$1000,0),MATCH(data!AN$1,Haver_M!$B$1:$ZN$1,0)),"na")</f>
        <v>na</v>
      </c>
      <c r="AO105" t="str">
        <f>IF(ISNUMBER(INDEX(Haver_M!$B$1:$ZN$1000,MATCH(data!$A105,Haver_M!$B$1:$B$1000,0),MATCH(data!AO$1,Haver_M!$B$1:$ZN$1,0))),INDEX(Haver_M!$B$1:$ZN$1000,MATCH(data!$A105,Haver_M!$B$1:$B$1000,0),MATCH(data!AO$1,Haver_M!$B$1:$ZN$1,0)),"na")</f>
        <v>na</v>
      </c>
      <c r="AP105" t="str">
        <f>IF(ISNUMBER(INDEX(Haver_M!$B$1:$ZN$1000,MATCH(data!$A105,Haver_M!$B$1:$B$1000,0),MATCH(data!AP$1,Haver_M!$B$1:$ZN$1,0))),INDEX(Haver_M!$B$1:$ZN$1000,MATCH(data!$A105,Haver_M!$B$1:$B$1000,0),MATCH(data!AP$1,Haver_M!$B$1:$ZN$1,0)),"na")</f>
        <v>na</v>
      </c>
      <c r="AQ105" t="str">
        <f>IF(ISNUMBER(INDEX(Haver_M!$B$1:$ZN$1000,MATCH(data!$A105,Haver_M!$B$1:$B$1000,0),MATCH(data!AQ$1,Haver_M!$B$1:$ZN$1,0))),INDEX(Haver_M!$B$1:$ZN$1000,MATCH(data!$A105,Haver_M!$B$1:$B$1000,0),MATCH(data!AQ$1,Haver_M!$B$1:$ZN$1,0)),"na")</f>
        <v>na</v>
      </c>
      <c r="AR105" t="str">
        <f>IF(ISNUMBER(INDEX(Haver_M!$B$1:$ZN$1000,MATCH(data!$A105,Haver_M!$B$1:$B$1000,0),MATCH(data!AR$1,Haver_M!$B$1:$ZN$1,0))),INDEX(Haver_M!$B$1:$ZN$1000,MATCH(data!$A105,Haver_M!$B$1:$B$1000,0),MATCH(data!AR$1,Haver_M!$B$1:$ZN$1,0)),"na")</f>
        <v>na</v>
      </c>
      <c r="AS105">
        <f>IF(ISNUMBER(INDEX(Haver_M!$B$1:$ZN$1000,MATCH(data!$A105,Haver_M!$B$1:$B$1000,0),MATCH(data!AS$1,Haver_M!$B$1:$ZN$1,0))),INDEX(Haver_M!$B$1:$ZN$1000,MATCH(data!$A105,Haver_M!$B$1:$B$1000,0),MATCH(data!AS$1,Haver_M!$B$1:$ZN$1,0)),"na")</f>
        <v>26765.93</v>
      </c>
      <c r="AT105">
        <f>IF(ISNUMBER(INDEX(Haver_M!$B$1:$ZN$1000,MATCH(data!$A105,Haver_M!$B$1:$B$1000,0),MATCH(data!AT$1,Haver_M!$B$1:$ZN$1,0))),INDEX(Haver_M!$B$1:$ZN$1000,MATCH(data!$A105,Haver_M!$B$1:$B$1000,0),MATCH(data!AT$1,Haver_M!$B$1:$ZN$1,0)),"na")</f>
        <v>95.831000000000003</v>
      </c>
      <c r="AU105">
        <f>IF(ISNUMBER(INDEX(Haver_M!$B$1:$ZN$1000,MATCH(data!$A105,Haver_M!$B$1:$B$1000,0),MATCH(data!AU$1,Haver_M!$B$1:$ZN$1,0))),INDEX(Haver_M!$B$1:$ZN$1000,MATCH(data!$A105,Haver_M!$B$1:$B$1000,0),MATCH(data!AU$1,Haver_M!$B$1:$ZN$1,0)),"na")</f>
        <v>92.362932000000001</v>
      </c>
      <c r="AV105">
        <f>IF(ISNUMBER(INDEX(Haver_M!$B$1:$ZN$1000,MATCH(data!$A105,Haver_M!$B$1:$B$1000,0),MATCH(data!AV$1,Haver_M!$B$1:$ZN$1,0))),INDEX(Haver_M!$B$1:$ZN$1000,MATCH(data!$A105,Haver_M!$B$1:$B$1000,0),MATCH(data!AV$1,Haver_M!$B$1:$ZN$1,0)),"na")</f>
        <v>99.1</v>
      </c>
      <c r="AW105">
        <f>IF(ISNUMBER(INDEX(Haver_M!$B$1:$ZN$1000,MATCH(data!$A105,Haver_M!$B$1:$B$1000,0),MATCH(data!AW$1,Haver_M!$B$1:$ZN$1,0))),INDEX(Haver_M!$B$1:$ZN$1000,MATCH(data!$A105,Haver_M!$B$1:$B$1000,0),MATCH(data!AW$1,Haver_M!$B$1:$ZN$1,0)),"na")</f>
        <v>1166485.342150942</v>
      </c>
      <c r="AX105">
        <f>IF(ISNUMBER(INDEX(Haver_M!$B$1:$ZN$1000,MATCH(data!$A105,Haver_M!$B$1:$B$1000,0),MATCH(data!AX$1,Haver_M!$B$1:$ZN$1,0))),INDEX(Haver_M!$B$1:$ZN$1000,MATCH(data!$A105,Haver_M!$B$1:$B$1000,0),MATCH(data!AX$1,Haver_M!$B$1:$ZN$1,0)),"na")</f>
        <v>2775</v>
      </c>
      <c r="AY105">
        <f>IF(ISNUMBER(INDEX(Haver_M!$B$1:$ZN$1000,MATCH(data!$A105,Haver_M!$B$1:$B$1000,0),MATCH(data!AY$1,Haver_M!$B$1:$ZN$1,0))),INDEX(Haver_M!$B$1:$ZN$1000,MATCH(data!$A105,Haver_M!$B$1:$B$1000,0),MATCH(data!AY$1,Haver_M!$B$1:$ZN$1,0)),"na")</f>
        <v>1416</v>
      </c>
      <c r="AZ105">
        <f>IF(ISNUMBER(INDEX(Haver_M!$B$1:$ZN$1000,MATCH(data!$A105,Haver_M!$B$1:$B$1000,0),MATCH(data!AZ$1,Haver_M!$B$1:$ZN$1,0))),INDEX(Haver_M!$B$1:$ZN$1000,MATCH(data!$A105,Haver_M!$B$1:$B$1000,0),MATCH(data!AZ$1,Haver_M!$B$1:$ZN$1,0)),"na")</f>
        <v>49.2</v>
      </c>
      <c r="BA105">
        <f>IF(ISNUMBER(INDEX(Haver_M!$B$1:$ZN$1000,MATCH(data!$A105,Haver_M!$B$1:$B$1000,0),MATCH(data!BA$1,Haver_M!$B$1:$ZN$1,0))),INDEX(Haver_M!$B$1:$ZN$1000,MATCH(data!$A105,Haver_M!$B$1:$B$1000,0),MATCH(data!BA$1,Haver_M!$B$1:$ZN$1,0)),"na")</f>
        <v>62.81114839906364</v>
      </c>
      <c r="BB105" t="str">
        <f>IF(ISNUMBER(INDEX(Haver_M!$B$1:$ZN$1000,MATCH(data!$A105,Haver_M!$B$1:$B$1000,0),MATCH(data!BB$1,Haver_M!$B$1:$ZN$1,0))),INDEX(Haver_M!$B$1:$ZN$1000,MATCH(data!$A105,Haver_M!$B$1:$B$1000,0),MATCH(data!BB$1,Haver_M!$B$1:$ZN$1,0)),"")</f>
        <v/>
      </c>
    </row>
    <row r="106" spans="1:54" x14ac:dyDescent="0.25">
      <c r="A106" s="2">
        <v>39721</v>
      </c>
      <c r="B106">
        <f>IF(ISNUMBER(INDEX(Haver_Q!$B$1:$BD$1000,MATCH(data!$A106,Haver_Q!$B$1:$B$1000,0),MATCH(data!B$1,Haver_Q!$B$1:$BD$1,0))),100*INDEX(Haver_Q!$B$1:$BD$1000,MATCH(data!$A106,Haver_Q!$B$1:$B$1000,0),MATCH(data!B$1,Haver_Q!$B$1:$BD$1,0)),"na")</f>
        <v>1.2394990884983192</v>
      </c>
      <c r="C106">
        <f>IF(ISNUMBER(INDEX(Haver_Q!$B$1:$BD$1000,MATCH(data!$A106,Haver_Q!$B$1:$B$1000,0),MATCH(data!C$1,Haver_Q!$B$1:$BD$1,0))),100*INDEX(Haver_Q!$B$1:$BD$1000,MATCH(data!$A106,Haver_Q!$B$1:$B$1000,0),MATCH(data!C$1,Haver_Q!$B$1:$BD$1,0)),"na")</f>
        <v>2.095891612135703</v>
      </c>
      <c r="D106">
        <f>IF(ISNUMBER(INDEX(Haver_Q!$B$1:$BD$1000,MATCH(data!$A106,Haver_Q!$B$1:$B$1000,0),MATCH(data!D$1,Haver_Q!$B$1:$BD$1,0))),100*INDEX(Haver_Q!$B$1:$BD$1000,MATCH(data!$A106,Haver_Q!$B$1:$B$1000,0),MATCH(data!D$1,Haver_Q!$B$1:$BD$1,0)),"na")</f>
        <v>-3.3332727355505964</v>
      </c>
      <c r="E106">
        <f>IF(ISNUMBER(INDEX(Haver_Q!$B$1:$BD$1000,MATCH(data!$A106,Haver_Q!$B$1:$B$1000,0),MATCH(data!E$1,Haver_Q!$B$1:$BD$1,0))),100*INDEX(Haver_Q!$B$1:$BD$1000,MATCH(data!$A106,Haver_Q!$B$1:$B$1000,0),MATCH(data!E$1,Haver_Q!$B$1:$BD$1,0)),"na")</f>
        <v>-0.83645954427140623</v>
      </c>
      <c r="F106">
        <f>IF(ISNUMBER(INDEX(Haver_Q!$B$1:$BD$1000,MATCH(data!$A106,Haver_Q!$B$1:$B$1000,0),MATCH(data!F$1,Haver_Q!$B$1:$BD$1,0))),100*INDEX(Haver_Q!$B$1:$BD$1000,MATCH(data!$A106,Haver_Q!$B$1:$B$1000,0),MATCH(data!F$1,Haver_Q!$B$1:$BD$1,0)),"na")</f>
        <v>-4.8663500626836775</v>
      </c>
      <c r="G106">
        <f>IF(ISNUMBER(INDEX(Haver_Q!$B$1:$BD$1000,MATCH(data!$A106,Haver_Q!$B$1:$B$1000,0),MATCH(data!G$1,Haver_Q!$B$1:$BD$1,0))),100*INDEX(Haver_Q!$B$1:$BD$1000,MATCH(data!$A106,Haver_Q!$B$1:$B$1000,0),MATCH(data!G$1,Haver_Q!$B$1:$BD$1,0)),"na")</f>
        <v>19.89953122950876</v>
      </c>
      <c r="H106">
        <f>IF(ISNUMBER(INDEX(Haver_Q!$B$1:$BD$1000,MATCH(data!$A106,Haver_Q!$B$1:$B$1000,0),MATCH(data!H$1,Haver_Q!$B$1:$BD$1,0))),100*INDEX(Haver_Q!$B$1:$BD$1000,MATCH(data!$A106,Haver_Q!$B$1:$B$1000,0),MATCH(data!H$1,Haver_Q!$B$1:$BD$1,0)),"na")</f>
        <v>-27.144356067218411</v>
      </c>
      <c r="I106" s="3">
        <f>IF(ISNUMBER(Bloomberg_m!C122),Bloomberg_m!C122,"na")</f>
        <v>4975</v>
      </c>
      <c r="J106" s="3" t="str">
        <f>IF(ISNUMBER(Bloomberg_m!D122),Bloomberg_m!D122,"na")</f>
        <v>na</v>
      </c>
      <c r="K106" s="3" t="str">
        <f>IF(ISNUMBER(Bloomberg_m!E122),Bloomberg_m!E122,"na")</f>
        <v>na</v>
      </c>
      <c r="L106" s="3">
        <f>IF(ISNUMBER(Bloomberg_m!L122),Bloomberg_m!L122,"na")</f>
        <v>103.94</v>
      </c>
      <c r="M106">
        <f>IF(ISNUMBER(INDEX(Haver_M!$B$1:$ZN$1000,MATCH(data!$A106,Haver_M!$B$1:$B$1000,0),MATCH(data!M$1,Haver_M!$B$1:$ZN$1,0))),INDEX(Haver_M!$B$1:$ZN$1000,MATCH(data!$A106,Haver_M!$B$1:$B$1000,0),MATCH(data!M$1,Haver_M!$B$1:$ZN$1,0)),"na")</f>
        <v>8.25</v>
      </c>
      <c r="N106">
        <f>IF(ISNUMBER(INDEX(Haver_M!$B$1:$ZN$1000,MATCH(data!$A106,Haver_M!$B$1:$B$1000,0),MATCH(data!N$1,Haver_M!$B$1:$ZN$1,0))),INDEX(Haver_M!$B$1:$ZN$1000,MATCH(data!$A106,Haver_M!$B$1:$B$1000,0),MATCH(data!N$1,Haver_M!$B$1:$ZN$1,0)),"na")</f>
        <v>8.4885999999999999</v>
      </c>
      <c r="O106">
        <f>IF(ISNUMBER(INDEX(Haver_M!$B$1:$ZN$1000,MATCH(data!$A106,Haver_M!$B$1:$B$1000,0),MATCH(data!O$1,Haver_M!$B$1:$ZN$1,0))),INDEX(Haver_M!$B$1:$ZN$1000,MATCH(data!$A106,Haver_M!$B$1:$B$1000,0),MATCH(data!O$1,Haver_M!$B$1:$ZN$1,0)),"na")</f>
        <v>110.31382000000001</v>
      </c>
      <c r="P106">
        <f>IF(ISNUMBER(INDEX(Haver_M!$B$1:$ZN$1000,MATCH(data!$A106,Haver_M!$B$1:$B$1000,0),MATCH(data!P$1,Haver_M!$B$1:$ZN$1,0))),INDEX(Haver_M!$B$1:$ZN$1000,MATCH(data!$A106,Haver_M!$B$1:$B$1000,0),MATCH(data!P$1,Haver_M!$B$1:$ZN$1,0)),"na")</f>
        <v>67.816900000000004</v>
      </c>
      <c r="Q106">
        <f>IF(ISNUMBER(INDEX(Haver_M!$B$1:$ZN$1000,MATCH(data!$A106,Haver_M!$B$1:$B$1000,0),MATCH(data!Q$1,Haver_M!$B$1:$ZN$1,0))),INDEX(Haver_M!$B$1:$ZN$1000,MATCH(data!$A106,Haver_M!$B$1:$B$1000,0),MATCH(data!Q$1,Haver_M!$B$1:$ZN$1,0)),"na")</f>
        <v>71.528700000000001</v>
      </c>
      <c r="R106">
        <f>IF(ISNUMBER(INDEX(Haver_M!$B$1:$ZN$1000,MATCH(data!$A106,Haver_M!$B$1:$B$1000,0),MATCH(data!R$1,Haver_M!$B$1:$ZN$1,0))),INDEX(Haver_M!$B$1:$ZN$1000,MATCH(data!$A106,Haver_M!$B$1:$B$1000,0),MATCH(data!R$1,Haver_M!$B$1:$ZN$1,0)),"na")</f>
        <v>96.766900000000007</v>
      </c>
      <c r="S106">
        <f>IF(ISNUMBER(INDEX(Haver_M!$B$1:$ZN$1000,MATCH(data!$A106,Haver_M!$B$1:$B$1000,0),MATCH(data!S$1,Haver_M!$B$1:$ZN$1,0))),INDEX(Haver_M!$B$1:$ZN$1000,MATCH(data!$A106,Haver_M!$B$1:$B$1000,0),MATCH(data!S$1,Haver_M!$B$1:$ZN$1,0)),"na")</f>
        <v>100.5442</v>
      </c>
      <c r="T106">
        <f>IF(ISNUMBER(INDEX(Haver_M!$B$1:$ZN$1000,MATCH(data!$A106,Haver_M!$B$1:$B$1000,0),MATCH(data!T$1,Haver_M!$B$1:$ZN$1,0))),INDEX(Haver_M!$B$1:$ZN$1000,MATCH(data!$A106,Haver_M!$B$1:$B$1000,0),MATCH(data!T$1,Haver_M!$B$1:$ZN$1,0)),"na")</f>
        <v>85.584199999999996</v>
      </c>
      <c r="U106">
        <f>IF(ISNUMBER(INDEX(Haver_M!$B$1:$ZN$1000,MATCH(data!$A106,Haver_M!$B$1:$B$1000,0),MATCH(data!U$1,Haver_M!$B$1:$ZN$1,0))),INDEX(Haver_M!$B$1:$ZN$1000,MATCH(data!$A106,Haver_M!$B$1:$B$1000,0),MATCH(data!U$1,Haver_M!$B$1:$ZN$1,0)),"na")</f>
        <v>99.146299999999997</v>
      </c>
      <c r="V106">
        <f>IF(ISNUMBER(INDEX(Haver_M!$B$1:$ZN$1000,MATCH(data!$A106,Haver_M!$B$1:$B$1000,0),MATCH(data!V$1,Haver_M!$B$1:$ZN$1,0))),INDEX(Haver_M!$B$1:$ZN$1000,MATCH(data!$A106,Haver_M!$B$1:$B$1000,0),MATCH(data!V$1,Haver_M!$B$1:$ZN$1,0)),"na")</f>
        <v>94.929500000000004</v>
      </c>
      <c r="W106">
        <f>IF(ISNUMBER(INDEX(Haver_M!$B$1:$ZN$1000,MATCH(data!$A106,Haver_M!$B$1:$B$1000,0),MATCH(data!W$1,Haver_M!$B$1:$ZN$1,0))),INDEX(Haver_M!$B$1:$ZN$1000,MATCH(data!$A106,Haver_M!$B$1:$B$1000,0),MATCH(data!W$1,Haver_M!$B$1:$ZN$1,0)),"na")</f>
        <v>3.94</v>
      </c>
      <c r="X106">
        <f>IF(ISNUMBER(INDEX(Haver_M!$B$1:$ZN$1000,MATCH(data!$A106,Haver_M!$B$1:$B$1000,0),MATCH(data!X$1,Haver_M!$B$1:$ZN$1,0))),INDEX(Haver_M!$B$1:$ZN$1000,MATCH(data!$A106,Haver_M!$B$1:$B$1000,0),MATCH(data!X$1,Haver_M!$B$1:$ZN$1,0)),"na")</f>
        <v>101.28</v>
      </c>
      <c r="Y106">
        <f>IF(ISNUMBER(INDEX(Haver_M!$B$1:$ZN$1000,MATCH(data!$A106,Haver_M!$B$1:$B$1000,0),MATCH(data!Y$1,Haver_M!$B$1:$ZN$1,0))),INDEX(Haver_M!$B$1:$ZN$1000,MATCH(data!$A106,Haver_M!$B$1:$B$1000,0),MATCH(data!Y$1,Haver_M!$B$1:$ZN$1,0)),"na")</f>
        <v>98.36</v>
      </c>
      <c r="Z106">
        <f>IF(ISNUMBER(INDEX(Haver_M!$B$1:$ZN$1000,MATCH(data!$A106,Haver_M!$B$1:$B$1000,0),MATCH(data!Z$1,Haver_M!$B$1:$ZN$1,0))),INDEX(Haver_M!$B$1:$ZN$1000,MATCH(data!$A106,Haver_M!$B$1:$B$1000,0),MATCH(data!Z$1,Haver_M!$B$1:$ZN$1,0)),"na")</f>
        <v>96.584199999999996</v>
      </c>
      <c r="AA106">
        <f>IF(ISNUMBER(INDEX(Haver_M!$B$1:$ZN$1000,MATCH(data!$A106,Haver_M!$B$1:$B$1000,0),MATCH(data!AA$1,Haver_M!$B$1:$ZN$1,0))),INDEX(Haver_M!$B$1:$ZN$1000,MATCH(data!$A106,Haver_M!$B$1:$B$1000,0),MATCH(data!AA$1,Haver_M!$B$1:$ZN$1,0)),"na")</f>
        <v>95.9739</v>
      </c>
      <c r="AB106">
        <f>IF(ISNUMBER(INDEX(Haver_M!$B$1:$ZN$1000,MATCH(data!$A106,Haver_M!$B$1:$B$1000,0),MATCH(data!AB$1,Haver_M!$B$1:$ZN$1,0))),INDEX(Haver_M!$B$1:$ZN$1000,MATCH(data!$A106,Haver_M!$B$1:$B$1000,0),MATCH(data!AB$1,Haver_M!$B$1:$ZN$1,0)),"na")</f>
        <v>24119.200000000001</v>
      </c>
      <c r="AC106">
        <f>IF(ISNUMBER(INDEX(Haver_M!$B$1:$ZN$1000,MATCH(data!$A106,Haver_M!$B$1:$B$1000,0),MATCH(data!AC$1,Haver_M!$B$1:$ZN$1,0))),INDEX(Haver_M!$B$1:$ZN$1000,MATCH(data!$A106,Haver_M!$B$1:$B$1000,0),MATCH(data!AC$1,Haver_M!$B$1:$ZN$1,0)),"na")</f>
        <v>26065.200000000001</v>
      </c>
      <c r="AD106">
        <f>IF(ISNUMBER(INDEX(Haver_M!$B$1:$ZN$1000,MATCH(data!$A106,Haver_M!$B$1:$B$1000,0),MATCH(data!AD$1,Haver_M!$B$1:$ZN$1,0))),INDEX(Haver_M!$B$1:$ZN$1000,MATCH(data!$A106,Haver_M!$B$1:$B$1000,0),MATCH(data!AD$1,Haver_M!$B$1:$ZN$1,0)),"na")</f>
        <v>100.91</v>
      </c>
      <c r="AE106">
        <f>IF(ISNUMBER(INDEX(Haver_M!$B$1:$ZN$1000,MATCH(data!$A106,Haver_M!$B$1:$B$1000,0),MATCH(data!AE$1,Haver_M!$B$1:$ZN$1,0))),INDEX(Haver_M!$B$1:$ZN$1000,MATCH(data!$A106,Haver_M!$B$1:$B$1000,0),MATCH(data!AE$1,Haver_M!$B$1:$ZN$1,0)),"na")</f>
        <v>36.200000000000003</v>
      </c>
      <c r="AF106">
        <f>IF(ISNUMBER(INDEX(Haver_M!$B$1:$ZN$1000,MATCH(data!$A106,Haver_M!$B$1:$B$1000,0),MATCH(data!AF$1,Haver_M!$B$1:$ZN$1,0))),INDEX(Haver_M!$B$1:$ZN$1000,MATCH(data!$A106,Haver_M!$B$1:$B$1000,0),MATCH(data!AF$1,Haver_M!$B$1:$ZN$1,0)),"na")</f>
        <v>97.73</v>
      </c>
      <c r="AG106" t="str">
        <f>IF(ISNUMBER(INDEX(Haver_M!$B$1:$ZN$1000,MATCH(data!$A106,Haver_M!$B$1:$B$1000,0),MATCH(data!AG$1,Haver_M!$B$1:$ZN$1,0))),INDEX(Haver_M!$B$1:$ZN$1000,MATCH(data!$A106,Haver_M!$B$1:$B$1000,0),MATCH(data!AG$1,Haver_M!$B$1:$ZN$1,0)),"na")</f>
        <v>na</v>
      </c>
      <c r="AH106" t="str">
        <f>IF(ISNUMBER(INDEX(Haver_M!$B$1:$ZN$1000,MATCH(data!$A106,Haver_M!$B$1:$B$1000,0),MATCH(data!AH$1,Haver_M!$B$1:$ZN$1,0))),INDEX(Haver_M!$B$1:$ZN$1000,MATCH(data!$A106,Haver_M!$B$1:$B$1000,0),MATCH(data!AH$1,Haver_M!$B$1:$ZN$1,0)),"na")</f>
        <v>na</v>
      </c>
      <c r="AI106" t="str">
        <f>IF(ISNUMBER(INDEX(Haver_M!$B$1:$ZN$1000,MATCH(data!$A106,Haver_M!$B$1:$B$1000,0),MATCH(data!AI$1,Haver_M!$B$1:$ZN$1,0))),INDEX(Haver_M!$B$1:$ZN$1000,MATCH(data!$A106,Haver_M!$B$1:$B$1000,0),MATCH(data!AI$1,Haver_M!$B$1:$ZN$1,0)),"na")</f>
        <v>na</v>
      </c>
      <c r="AJ106" t="str">
        <f>IF(ISNUMBER(INDEX(Haver_M!$B$1:$ZN$1000,MATCH(data!$A106,Haver_M!$B$1:$B$1000,0),MATCH(data!AJ$1,Haver_M!$B$1:$ZN$1,0))),INDEX(Haver_M!$B$1:$ZN$1000,MATCH(data!$A106,Haver_M!$B$1:$B$1000,0),MATCH(data!AJ$1,Haver_M!$B$1:$ZN$1,0)),"na")</f>
        <v>na</v>
      </c>
      <c r="AK106" t="str">
        <f>IF(ISNUMBER(INDEX(Haver_M!$B$1:$ZN$1000,MATCH(data!$A106,Haver_M!$B$1:$B$1000,0),MATCH(data!AK$1,Haver_M!$B$1:$ZN$1,0))),INDEX(Haver_M!$B$1:$ZN$1000,MATCH(data!$A106,Haver_M!$B$1:$B$1000,0),MATCH(data!AK$1,Haver_M!$B$1:$ZN$1,0)),"na")</f>
        <v>na</v>
      </c>
      <c r="AL106" t="str">
        <f>IF(ISNUMBER(INDEX(Haver_M!$B$1:$ZN$1000,MATCH(data!$A106,Haver_M!$B$1:$B$1000,0),MATCH(data!AL$1,Haver_M!$B$1:$ZN$1,0))),INDEX(Haver_M!$B$1:$ZN$1000,MATCH(data!$A106,Haver_M!$B$1:$B$1000,0),MATCH(data!AL$1,Haver_M!$B$1:$ZN$1,0)),"na")</f>
        <v>na</v>
      </c>
      <c r="AM106" t="str">
        <f>IF(ISNUMBER(INDEX(Haver_M!$B$1:$ZN$1000,MATCH(data!$A106,Haver_M!$B$1:$B$1000,0),MATCH(data!AM$1,Haver_M!$B$1:$ZN$1,0))),INDEX(Haver_M!$B$1:$ZN$1000,MATCH(data!$A106,Haver_M!$B$1:$B$1000,0),MATCH(data!AM$1,Haver_M!$B$1:$ZN$1,0)),"na")</f>
        <v>na</v>
      </c>
      <c r="AN106" t="str">
        <f>IF(ISNUMBER(INDEX(Haver_M!$B$1:$ZN$1000,MATCH(data!$A106,Haver_M!$B$1:$B$1000,0),MATCH(data!AN$1,Haver_M!$B$1:$ZN$1,0))),INDEX(Haver_M!$B$1:$ZN$1000,MATCH(data!$A106,Haver_M!$B$1:$B$1000,0),MATCH(data!AN$1,Haver_M!$B$1:$ZN$1,0)),"na")</f>
        <v>na</v>
      </c>
      <c r="AO106" t="str">
        <f>IF(ISNUMBER(INDEX(Haver_M!$B$1:$ZN$1000,MATCH(data!$A106,Haver_M!$B$1:$B$1000,0),MATCH(data!AO$1,Haver_M!$B$1:$ZN$1,0))),INDEX(Haver_M!$B$1:$ZN$1000,MATCH(data!$A106,Haver_M!$B$1:$B$1000,0),MATCH(data!AO$1,Haver_M!$B$1:$ZN$1,0)),"na")</f>
        <v>na</v>
      </c>
      <c r="AP106" t="str">
        <f>IF(ISNUMBER(INDEX(Haver_M!$B$1:$ZN$1000,MATCH(data!$A106,Haver_M!$B$1:$B$1000,0),MATCH(data!AP$1,Haver_M!$B$1:$ZN$1,0))),INDEX(Haver_M!$B$1:$ZN$1000,MATCH(data!$A106,Haver_M!$B$1:$B$1000,0),MATCH(data!AP$1,Haver_M!$B$1:$ZN$1,0)),"na")</f>
        <v>na</v>
      </c>
      <c r="AQ106" t="str">
        <f>IF(ISNUMBER(INDEX(Haver_M!$B$1:$ZN$1000,MATCH(data!$A106,Haver_M!$B$1:$B$1000,0),MATCH(data!AQ$1,Haver_M!$B$1:$ZN$1,0))),INDEX(Haver_M!$B$1:$ZN$1000,MATCH(data!$A106,Haver_M!$B$1:$B$1000,0),MATCH(data!AQ$1,Haver_M!$B$1:$ZN$1,0)),"na")</f>
        <v>na</v>
      </c>
      <c r="AR106" t="str">
        <f>IF(ISNUMBER(INDEX(Haver_M!$B$1:$ZN$1000,MATCH(data!$A106,Haver_M!$B$1:$B$1000,0),MATCH(data!AR$1,Haver_M!$B$1:$ZN$1,0))),INDEX(Haver_M!$B$1:$ZN$1000,MATCH(data!$A106,Haver_M!$B$1:$B$1000,0),MATCH(data!AR$1,Haver_M!$B$1:$ZN$1,0)),"na")</f>
        <v>na</v>
      </c>
      <c r="AS106">
        <f>IF(ISNUMBER(INDEX(Haver_M!$B$1:$ZN$1000,MATCH(data!$A106,Haver_M!$B$1:$B$1000,0),MATCH(data!AS$1,Haver_M!$B$1:$ZN$1,0))),INDEX(Haver_M!$B$1:$ZN$1000,MATCH(data!$A106,Haver_M!$B$1:$B$1000,0),MATCH(data!AS$1,Haver_M!$B$1:$ZN$1,0)),"na")</f>
        <v>25408.59</v>
      </c>
      <c r="AT106">
        <f>IF(ISNUMBER(INDEX(Haver_M!$B$1:$ZN$1000,MATCH(data!$A106,Haver_M!$B$1:$B$1000,0),MATCH(data!AT$1,Haver_M!$B$1:$ZN$1,0))),INDEX(Haver_M!$B$1:$ZN$1000,MATCH(data!$A106,Haver_M!$B$1:$B$1000,0),MATCH(data!AT$1,Haver_M!$B$1:$ZN$1,0)),"na")</f>
        <v>95.387</v>
      </c>
      <c r="AU106">
        <f>IF(ISNUMBER(INDEX(Haver_M!$B$1:$ZN$1000,MATCH(data!$A106,Haver_M!$B$1:$B$1000,0),MATCH(data!AU$1,Haver_M!$B$1:$ZN$1,0))),INDEX(Haver_M!$B$1:$ZN$1000,MATCH(data!$A106,Haver_M!$B$1:$B$1000,0),MATCH(data!AU$1,Haver_M!$B$1:$ZN$1,0)),"na")</f>
        <v>92.083955000000003</v>
      </c>
      <c r="AV106">
        <f>IF(ISNUMBER(INDEX(Haver_M!$B$1:$ZN$1000,MATCH(data!$A106,Haver_M!$B$1:$B$1000,0),MATCH(data!AV$1,Haver_M!$B$1:$ZN$1,0))),INDEX(Haver_M!$B$1:$ZN$1000,MATCH(data!$A106,Haver_M!$B$1:$B$1000,0),MATCH(data!AV$1,Haver_M!$B$1:$ZN$1,0)),"na")</f>
        <v>96.7</v>
      </c>
      <c r="AW106">
        <f>IF(ISNUMBER(INDEX(Haver_M!$B$1:$ZN$1000,MATCH(data!$A106,Haver_M!$B$1:$B$1000,0),MATCH(data!AW$1,Haver_M!$B$1:$ZN$1,0))),INDEX(Haver_M!$B$1:$ZN$1000,MATCH(data!$A106,Haver_M!$B$1:$B$1000,0),MATCH(data!AW$1,Haver_M!$B$1:$ZN$1,0)),"na")</f>
        <v>1084081.125455722</v>
      </c>
      <c r="AX106">
        <f>IF(ISNUMBER(INDEX(Haver_M!$B$1:$ZN$1000,MATCH(data!$A106,Haver_M!$B$1:$B$1000,0),MATCH(data!AX$1,Haver_M!$B$1:$ZN$1,0))),INDEX(Haver_M!$B$1:$ZN$1000,MATCH(data!$A106,Haver_M!$B$1:$B$1000,0),MATCH(data!AX$1,Haver_M!$B$1:$ZN$1,0)),"na")</f>
        <v>2706</v>
      </c>
      <c r="AY106">
        <f>IF(ISNUMBER(INDEX(Haver_M!$B$1:$ZN$1000,MATCH(data!$A106,Haver_M!$B$1:$B$1000,0),MATCH(data!AY$1,Haver_M!$B$1:$ZN$1,0))),INDEX(Haver_M!$B$1:$ZN$1000,MATCH(data!$A106,Haver_M!$B$1:$B$1000,0),MATCH(data!AY$1,Haver_M!$B$1:$ZN$1,0)),"na")</f>
        <v>1060</v>
      </c>
      <c r="AZ106">
        <f>IF(ISNUMBER(INDEX(Haver_M!$B$1:$ZN$1000,MATCH(data!$A106,Haver_M!$B$1:$B$1000,0),MATCH(data!AZ$1,Haver_M!$B$1:$ZN$1,0))),INDEX(Haver_M!$B$1:$ZN$1000,MATCH(data!$A106,Haver_M!$B$1:$B$1000,0),MATCH(data!AZ$1,Haver_M!$B$1:$ZN$1,0)),"na")</f>
        <v>49.7</v>
      </c>
      <c r="BA106">
        <f>IF(ISNUMBER(INDEX(Haver_M!$B$1:$ZN$1000,MATCH(data!$A106,Haver_M!$B$1:$B$1000,0),MATCH(data!BA$1,Haver_M!$B$1:$ZN$1,0))),INDEX(Haver_M!$B$1:$ZN$1000,MATCH(data!$A106,Haver_M!$B$1:$B$1000,0),MATCH(data!BA$1,Haver_M!$B$1:$ZN$1,0)),"na")</f>
        <v>84.426980103499943</v>
      </c>
      <c r="BB106" t="str">
        <f>IF(ISNUMBER(INDEX(Haver_M!$B$1:$ZN$1000,MATCH(data!$A106,Haver_M!$B$1:$B$1000,0),MATCH(data!BB$1,Haver_M!$B$1:$ZN$1,0))),INDEX(Haver_M!$B$1:$ZN$1000,MATCH(data!$A106,Haver_M!$B$1:$B$1000,0),MATCH(data!BB$1,Haver_M!$B$1:$ZN$1,0)),"")</f>
        <v/>
      </c>
    </row>
    <row r="107" spans="1:54" x14ac:dyDescent="0.25">
      <c r="A107" s="2">
        <v>39752</v>
      </c>
      <c r="B107" t="str">
        <f>IF(ISNUMBER(INDEX(Haver_Q!$B$1:$BD$1000,MATCH(data!$A107,Haver_Q!$B$1:$B$1000,0),MATCH(data!B$1,Haver_Q!$B$1:$BD$1,0))),100*INDEX(Haver_Q!$B$1:$BD$1000,MATCH(data!$A107,Haver_Q!$B$1:$B$1000,0),MATCH(data!B$1,Haver_Q!$B$1:$BD$1,0)),"na")</f>
        <v>na</v>
      </c>
      <c r="C107" t="str">
        <f>IF(ISNUMBER(INDEX(Haver_Q!$B$1:$BD$1000,MATCH(data!$A107,Haver_Q!$B$1:$B$1000,0),MATCH(data!C$1,Haver_Q!$B$1:$BD$1,0))),100*INDEX(Haver_Q!$B$1:$BD$1000,MATCH(data!$A107,Haver_Q!$B$1:$B$1000,0),MATCH(data!C$1,Haver_Q!$B$1:$BD$1,0)),"na")</f>
        <v>na</v>
      </c>
      <c r="D107" t="str">
        <f>IF(ISNUMBER(INDEX(Haver_Q!$B$1:$BD$1000,MATCH(data!$A107,Haver_Q!$B$1:$B$1000,0),MATCH(data!D$1,Haver_Q!$B$1:$BD$1,0))),100*INDEX(Haver_Q!$B$1:$BD$1000,MATCH(data!$A107,Haver_Q!$B$1:$B$1000,0),MATCH(data!D$1,Haver_Q!$B$1:$BD$1,0)),"na")</f>
        <v>na</v>
      </c>
      <c r="E107" t="str">
        <f>IF(ISNUMBER(INDEX(Haver_Q!$B$1:$BD$1000,MATCH(data!$A107,Haver_Q!$B$1:$B$1000,0),MATCH(data!E$1,Haver_Q!$B$1:$BD$1,0))),100*INDEX(Haver_Q!$B$1:$BD$1000,MATCH(data!$A107,Haver_Q!$B$1:$B$1000,0),MATCH(data!E$1,Haver_Q!$B$1:$BD$1,0)),"na")</f>
        <v>na</v>
      </c>
      <c r="F107" t="str">
        <f>IF(ISNUMBER(INDEX(Haver_Q!$B$1:$BD$1000,MATCH(data!$A107,Haver_Q!$B$1:$B$1000,0),MATCH(data!F$1,Haver_Q!$B$1:$BD$1,0))),100*INDEX(Haver_Q!$B$1:$BD$1000,MATCH(data!$A107,Haver_Q!$B$1:$B$1000,0),MATCH(data!F$1,Haver_Q!$B$1:$BD$1,0)),"na")</f>
        <v>na</v>
      </c>
      <c r="G107" t="str">
        <f>IF(ISNUMBER(INDEX(Haver_Q!$B$1:$BD$1000,MATCH(data!$A107,Haver_Q!$B$1:$B$1000,0),MATCH(data!G$1,Haver_Q!$B$1:$BD$1,0))),100*INDEX(Haver_Q!$B$1:$BD$1000,MATCH(data!$A107,Haver_Q!$B$1:$B$1000,0),MATCH(data!G$1,Haver_Q!$B$1:$BD$1,0)),"na")</f>
        <v>na</v>
      </c>
      <c r="H107" t="str">
        <f>IF(ISNUMBER(INDEX(Haver_Q!$B$1:$BD$1000,MATCH(data!$A107,Haver_Q!$B$1:$B$1000,0),MATCH(data!H$1,Haver_Q!$B$1:$BD$1,0))),100*INDEX(Haver_Q!$B$1:$BD$1000,MATCH(data!$A107,Haver_Q!$B$1:$B$1000,0),MATCH(data!H$1,Haver_Q!$B$1:$BD$1,0)),"na")</f>
        <v>na</v>
      </c>
      <c r="I107" s="3">
        <f>IF(ISNUMBER(Bloomberg_m!C123),Bloomberg_m!C123,"na")</f>
        <v>1808</v>
      </c>
      <c r="J107" s="3" t="str">
        <f>IF(ISNUMBER(Bloomberg_m!D123),Bloomberg_m!D123,"na")</f>
        <v>na</v>
      </c>
      <c r="K107" s="3" t="str">
        <f>IF(ISNUMBER(Bloomberg_m!E123),Bloomberg_m!E123,"na")</f>
        <v>na</v>
      </c>
      <c r="L107" s="3">
        <f>IF(ISNUMBER(Bloomberg_m!L123),Bloomberg_m!L123,"na")</f>
        <v>76.61</v>
      </c>
      <c r="M107">
        <f>IF(ISNUMBER(INDEX(Haver_M!$B$1:$ZN$1000,MATCH(data!$A107,Haver_M!$B$1:$B$1000,0),MATCH(data!M$1,Haver_M!$B$1:$ZN$1,0))),INDEX(Haver_M!$B$1:$ZN$1000,MATCH(data!$A107,Haver_M!$B$1:$B$1000,0),MATCH(data!M$1,Haver_M!$B$1:$ZN$1,0)),"na")</f>
        <v>8.25</v>
      </c>
      <c r="N107">
        <f>IF(ISNUMBER(INDEX(Haver_M!$B$1:$ZN$1000,MATCH(data!$A107,Haver_M!$B$1:$B$1000,0),MATCH(data!N$1,Haver_M!$B$1:$ZN$1,0))),INDEX(Haver_M!$B$1:$ZN$1000,MATCH(data!$A107,Haver_M!$B$1:$B$1000,0),MATCH(data!N$1,Haver_M!$B$1:$ZN$1,0)),"na")</f>
        <v>9.1860999999999997</v>
      </c>
      <c r="O107">
        <f>IF(ISNUMBER(INDEX(Haver_M!$B$1:$ZN$1000,MATCH(data!$A107,Haver_M!$B$1:$B$1000,0),MATCH(data!O$1,Haver_M!$B$1:$ZN$1,0))),INDEX(Haver_M!$B$1:$ZN$1000,MATCH(data!$A107,Haver_M!$B$1:$B$1000,0),MATCH(data!O$1,Haver_M!$B$1:$ZN$1,0)),"na")</f>
        <v>96.357380000000006</v>
      </c>
      <c r="P107">
        <f>IF(ISNUMBER(INDEX(Haver_M!$B$1:$ZN$1000,MATCH(data!$A107,Haver_M!$B$1:$B$1000,0),MATCH(data!P$1,Haver_M!$B$1:$ZN$1,0))),INDEX(Haver_M!$B$1:$ZN$1000,MATCH(data!$A107,Haver_M!$B$1:$B$1000,0),MATCH(data!P$1,Haver_M!$B$1:$ZN$1,0)),"na")</f>
        <v>68.210499999999996</v>
      </c>
      <c r="Q107">
        <f>IF(ISNUMBER(INDEX(Haver_M!$B$1:$ZN$1000,MATCH(data!$A107,Haver_M!$B$1:$B$1000,0),MATCH(data!Q$1,Haver_M!$B$1:$ZN$1,0))),INDEX(Haver_M!$B$1:$ZN$1000,MATCH(data!$A107,Haver_M!$B$1:$B$1000,0),MATCH(data!Q$1,Haver_M!$B$1:$ZN$1,0)),"na")</f>
        <v>71.763800000000003</v>
      </c>
      <c r="R107">
        <f>IF(ISNUMBER(INDEX(Haver_M!$B$1:$ZN$1000,MATCH(data!$A107,Haver_M!$B$1:$B$1000,0),MATCH(data!R$1,Haver_M!$B$1:$ZN$1,0))),INDEX(Haver_M!$B$1:$ZN$1000,MATCH(data!$A107,Haver_M!$B$1:$B$1000,0),MATCH(data!R$1,Haver_M!$B$1:$ZN$1,0)),"na")</f>
        <v>97.599500000000006</v>
      </c>
      <c r="S107">
        <f>IF(ISNUMBER(INDEX(Haver_M!$B$1:$ZN$1000,MATCH(data!$A107,Haver_M!$B$1:$B$1000,0),MATCH(data!S$1,Haver_M!$B$1:$ZN$1,0))),INDEX(Haver_M!$B$1:$ZN$1000,MATCH(data!$A107,Haver_M!$B$1:$B$1000,0),MATCH(data!S$1,Haver_M!$B$1:$ZN$1,0)),"na")</f>
        <v>103.8503</v>
      </c>
      <c r="T107">
        <f>IF(ISNUMBER(INDEX(Haver_M!$B$1:$ZN$1000,MATCH(data!$A107,Haver_M!$B$1:$B$1000,0),MATCH(data!T$1,Haver_M!$B$1:$ZN$1,0))),INDEX(Haver_M!$B$1:$ZN$1000,MATCH(data!$A107,Haver_M!$B$1:$B$1000,0),MATCH(data!T$1,Haver_M!$B$1:$ZN$1,0)),"na")</f>
        <v>85.755099999999999</v>
      </c>
      <c r="U107">
        <f>IF(ISNUMBER(INDEX(Haver_M!$B$1:$ZN$1000,MATCH(data!$A107,Haver_M!$B$1:$B$1000,0),MATCH(data!U$1,Haver_M!$B$1:$ZN$1,0))),INDEX(Haver_M!$B$1:$ZN$1000,MATCH(data!$A107,Haver_M!$B$1:$B$1000,0),MATCH(data!U$1,Haver_M!$B$1:$ZN$1,0)),"na")</f>
        <v>100.8262</v>
      </c>
      <c r="V107">
        <f>IF(ISNUMBER(INDEX(Haver_M!$B$1:$ZN$1000,MATCH(data!$A107,Haver_M!$B$1:$B$1000,0),MATCH(data!V$1,Haver_M!$B$1:$ZN$1,0))),INDEX(Haver_M!$B$1:$ZN$1000,MATCH(data!$A107,Haver_M!$B$1:$B$1000,0),MATCH(data!V$1,Haver_M!$B$1:$ZN$1,0)),"na")</f>
        <v>93.799700000000001</v>
      </c>
      <c r="W107">
        <f>IF(ISNUMBER(INDEX(Haver_M!$B$1:$ZN$1000,MATCH(data!$A107,Haver_M!$B$1:$B$1000,0),MATCH(data!W$1,Haver_M!$B$1:$ZN$1,0))),INDEX(Haver_M!$B$1:$ZN$1000,MATCH(data!$A107,Haver_M!$B$1:$B$1000,0),MATCH(data!W$1,Haver_M!$B$1:$ZN$1,0)),"na")</f>
        <v>3.88</v>
      </c>
      <c r="X107">
        <f>IF(ISNUMBER(INDEX(Haver_M!$B$1:$ZN$1000,MATCH(data!$A107,Haver_M!$B$1:$B$1000,0),MATCH(data!X$1,Haver_M!$B$1:$ZN$1,0))),INDEX(Haver_M!$B$1:$ZN$1000,MATCH(data!$A107,Haver_M!$B$1:$B$1000,0),MATCH(data!X$1,Haver_M!$B$1:$ZN$1,0)),"na")</f>
        <v>101.32</v>
      </c>
      <c r="Y107">
        <f>IF(ISNUMBER(INDEX(Haver_M!$B$1:$ZN$1000,MATCH(data!$A107,Haver_M!$B$1:$B$1000,0),MATCH(data!Y$1,Haver_M!$B$1:$ZN$1,0))),INDEX(Haver_M!$B$1:$ZN$1000,MATCH(data!$A107,Haver_M!$B$1:$B$1000,0),MATCH(data!Y$1,Haver_M!$B$1:$ZN$1,0)),"na")</f>
        <v>97.47</v>
      </c>
      <c r="Z107">
        <f>IF(ISNUMBER(INDEX(Haver_M!$B$1:$ZN$1000,MATCH(data!$A107,Haver_M!$B$1:$B$1000,0),MATCH(data!Z$1,Haver_M!$B$1:$ZN$1,0))),INDEX(Haver_M!$B$1:$ZN$1000,MATCH(data!$A107,Haver_M!$B$1:$B$1000,0),MATCH(data!Z$1,Haver_M!$B$1:$ZN$1,0)),"na")</f>
        <v>96.293099999999995</v>
      </c>
      <c r="AA107">
        <f>IF(ISNUMBER(INDEX(Haver_M!$B$1:$ZN$1000,MATCH(data!$A107,Haver_M!$B$1:$B$1000,0),MATCH(data!AA$1,Haver_M!$B$1:$ZN$1,0))),INDEX(Haver_M!$B$1:$ZN$1000,MATCH(data!$A107,Haver_M!$B$1:$B$1000,0),MATCH(data!AA$1,Haver_M!$B$1:$ZN$1,0)),"na")</f>
        <v>97.207300000000004</v>
      </c>
      <c r="AB107">
        <f>IF(ISNUMBER(INDEX(Haver_M!$B$1:$ZN$1000,MATCH(data!$A107,Haver_M!$B$1:$B$1000,0),MATCH(data!AB$1,Haver_M!$B$1:$ZN$1,0))),INDEX(Haver_M!$B$1:$ZN$1000,MATCH(data!$A107,Haver_M!$B$1:$B$1000,0),MATCH(data!AB$1,Haver_M!$B$1:$ZN$1,0)),"na")</f>
        <v>22735</v>
      </c>
      <c r="AC107">
        <f>IF(ISNUMBER(INDEX(Haver_M!$B$1:$ZN$1000,MATCH(data!$A107,Haver_M!$B$1:$B$1000,0),MATCH(data!AC$1,Haver_M!$B$1:$ZN$1,0))),INDEX(Haver_M!$B$1:$ZN$1000,MATCH(data!$A107,Haver_M!$B$1:$B$1000,0),MATCH(data!AC$1,Haver_M!$B$1:$ZN$1,0)),"na")</f>
        <v>25331.200000000001</v>
      </c>
      <c r="AD107">
        <f>IF(ISNUMBER(INDEX(Haver_M!$B$1:$ZN$1000,MATCH(data!$A107,Haver_M!$B$1:$B$1000,0),MATCH(data!AD$1,Haver_M!$B$1:$ZN$1,0))),INDEX(Haver_M!$B$1:$ZN$1000,MATCH(data!$A107,Haver_M!$B$1:$B$1000,0),MATCH(data!AD$1,Haver_M!$B$1:$ZN$1,0)),"na")</f>
        <v>100.46</v>
      </c>
      <c r="AE107">
        <f>IF(ISNUMBER(INDEX(Haver_M!$B$1:$ZN$1000,MATCH(data!$A107,Haver_M!$B$1:$B$1000,0),MATCH(data!AE$1,Haver_M!$B$1:$ZN$1,0))),INDEX(Haver_M!$B$1:$ZN$1000,MATCH(data!$A107,Haver_M!$B$1:$B$1000,0),MATCH(data!AE$1,Haver_M!$B$1:$ZN$1,0)),"na")</f>
        <v>35.1</v>
      </c>
      <c r="AF107">
        <f>IF(ISNUMBER(INDEX(Haver_M!$B$1:$ZN$1000,MATCH(data!$A107,Haver_M!$B$1:$B$1000,0),MATCH(data!AF$1,Haver_M!$B$1:$ZN$1,0))),INDEX(Haver_M!$B$1:$ZN$1000,MATCH(data!$A107,Haver_M!$B$1:$B$1000,0),MATCH(data!AF$1,Haver_M!$B$1:$ZN$1,0)),"na")</f>
        <v>96.95</v>
      </c>
      <c r="AG107" t="str">
        <f>IF(ISNUMBER(INDEX(Haver_M!$B$1:$ZN$1000,MATCH(data!$A107,Haver_M!$B$1:$B$1000,0),MATCH(data!AG$1,Haver_M!$B$1:$ZN$1,0))),INDEX(Haver_M!$B$1:$ZN$1000,MATCH(data!$A107,Haver_M!$B$1:$B$1000,0),MATCH(data!AG$1,Haver_M!$B$1:$ZN$1,0)),"na")</f>
        <v>na</v>
      </c>
      <c r="AH107" t="str">
        <f>IF(ISNUMBER(INDEX(Haver_M!$B$1:$ZN$1000,MATCH(data!$A107,Haver_M!$B$1:$B$1000,0),MATCH(data!AH$1,Haver_M!$B$1:$ZN$1,0))),INDEX(Haver_M!$B$1:$ZN$1000,MATCH(data!$A107,Haver_M!$B$1:$B$1000,0),MATCH(data!AH$1,Haver_M!$B$1:$ZN$1,0)),"na")</f>
        <v>na</v>
      </c>
      <c r="AI107" t="str">
        <f>IF(ISNUMBER(INDEX(Haver_M!$B$1:$ZN$1000,MATCH(data!$A107,Haver_M!$B$1:$B$1000,0),MATCH(data!AI$1,Haver_M!$B$1:$ZN$1,0))),INDEX(Haver_M!$B$1:$ZN$1000,MATCH(data!$A107,Haver_M!$B$1:$B$1000,0),MATCH(data!AI$1,Haver_M!$B$1:$ZN$1,0)),"na")</f>
        <v>na</v>
      </c>
      <c r="AJ107" t="str">
        <f>IF(ISNUMBER(INDEX(Haver_M!$B$1:$ZN$1000,MATCH(data!$A107,Haver_M!$B$1:$B$1000,0),MATCH(data!AJ$1,Haver_M!$B$1:$ZN$1,0))),INDEX(Haver_M!$B$1:$ZN$1000,MATCH(data!$A107,Haver_M!$B$1:$B$1000,0),MATCH(data!AJ$1,Haver_M!$B$1:$ZN$1,0)),"na")</f>
        <v>na</v>
      </c>
      <c r="AK107" t="str">
        <f>IF(ISNUMBER(INDEX(Haver_M!$B$1:$ZN$1000,MATCH(data!$A107,Haver_M!$B$1:$B$1000,0),MATCH(data!AK$1,Haver_M!$B$1:$ZN$1,0))),INDEX(Haver_M!$B$1:$ZN$1000,MATCH(data!$A107,Haver_M!$B$1:$B$1000,0),MATCH(data!AK$1,Haver_M!$B$1:$ZN$1,0)),"na")</f>
        <v>na</v>
      </c>
      <c r="AL107" t="str">
        <f>IF(ISNUMBER(INDEX(Haver_M!$B$1:$ZN$1000,MATCH(data!$A107,Haver_M!$B$1:$B$1000,0),MATCH(data!AL$1,Haver_M!$B$1:$ZN$1,0))),INDEX(Haver_M!$B$1:$ZN$1000,MATCH(data!$A107,Haver_M!$B$1:$B$1000,0),MATCH(data!AL$1,Haver_M!$B$1:$ZN$1,0)),"na")</f>
        <v>na</v>
      </c>
      <c r="AM107" t="str">
        <f>IF(ISNUMBER(INDEX(Haver_M!$B$1:$ZN$1000,MATCH(data!$A107,Haver_M!$B$1:$B$1000,0),MATCH(data!AM$1,Haver_M!$B$1:$ZN$1,0))),INDEX(Haver_M!$B$1:$ZN$1000,MATCH(data!$A107,Haver_M!$B$1:$B$1000,0),MATCH(data!AM$1,Haver_M!$B$1:$ZN$1,0)),"na")</f>
        <v>na</v>
      </c>
      <c r="AN107" t="str">
        <f>IF(ISNUMBER(INDEX(Haver_M!$B$1:$ZN$1000,MATCH(data!$A107,Haver_M!$B$1:$B$1000,0),MATCH(data!AN$1,Haver_M!$B$1:$ZN$1,0))),INDEX(Haver_M!$B$1:$ZN$1000,MATCH(data!$A107,Haver_M!$B$1:$B$1000,0),MATCH(data!AN$1,Haver_M!$B$1:$ZN$1,0)),"na")</f>
        <v>na</v>
      </c>
      <c r="AO107" t="str">
        <f>IF(ISNUMBER(INDEX(Haver_M!$B$1:$ZN$1000,MATCH(data!$A107,Haver_M!$B$1:$B$1000,0),MATCH(data!AO$1,Haver_M!$B$1:$ZN$1,0))),INDEX(Haver_M!$B$1:$ZN$1000,MATCH(data!$A107,Haver_M!$B$1:$B$1000,0),MATCH(data!AO$1,Haver_M!$B$1:$ZN$1,0)),"na")</f>
        <v>na</v>
      </c>
      <c r="AP107" t="str">
        <f>IF(ISNUMBER(INDEX(Haver_M!$B$1:$ZN$1000,MATCH(data!$A107,Haver_M!$B$1:$B$1000,0),MATCH(data!AP$1,Haver_M!$B$1:$ZN$1,0))),INDEX(Haver_M!$B$1:$ZN$1000,MATCH(data!$A107,Haver_M!$B$1:$B$1000,0),MATCH(data!AP$1,Haver_M!$B$1:$ZN$1,0)),"na")</f>
        <v>na</v>
      </c>
      <c r="AQ107" t="str">
        <f>IF(ISNUMBER(INDEX(Haver_M!$B$1:$ZN$1000,MATCH(data!$A107,Haver_M!$B$1:$B$1000,0),MATCH(data!AQ$1,Haver_M!$B$1:$ZN$1,0))),INDEX(Haver_M!$B$1:$ZN$1000,MATCH(data!$A107,Haver_M!$B$1:$B$1000,0),MATCH(data!AQ$1,Haver_M!$B$1:$ZN$1,0)),"na")</f>
        <v>na</v>
      </c>
      <c r="AR107" t="str">
        <f>IF(ISNUMBER(INDEX(Haver_M!$B$1:$ZN$1000,MATCH(data!$A107,Haver_M!$B$1:$B$1000,0),MATCH(data!AR$1,Haver_M!$B$1:$ZN$1,0))),INDEX(Haver_M!$B$1:$ZN$1000,MATCH(data!$A107,Haver_M!$B$1:$B$1000,0),MATCH(data!AR$1,Haver_M!$B$1:$ZN$1,0)),"na")</f>
        <v>na</v>
      </c>
      <c r="AS107">
        <f>IF(ISNUMBER(INDEX(Haver_M!$B$1:$ZN$1000,MATCH(data!$A107,Haver_M!$B$1:$B$1000,0),MATCH(data!AS$1,Haver_M!$B$1:$ZN$1,0))),INDEX(Haver_M!$B$1:$ZN$1000,MATCH(data!$A107,Haver_M!$B$1:$B$1000,0),MATCH(data!AS$1,Haver_M!$B$1:$ZN$1,0)),"na")</f>
        <v>20511.939999999999</v>
      </c>
      <c r="AT107">
        <f>IF(ISNUMBER(INDEX(Haver_M!$B$1:$ZN$1000,MATCH(data!$A107,Haver_M!$B$1:$B$1000,0),MATCH(data!AT$1,Haver_M!$B$1:$ZN$1,0))),INDEX(Haver_M!$B$1:$ZN$1000,MATCH(data!$A107,Haver_M!$B$1:$B$1000,0),MATCH(data!AT$1,Haver_M!$B$1:$ZN$1,0)),"na")</f>
        <v>94.123999999999995</v>
      </c>
      <c r="AU107">
        <f>IF(ISNUMBER(INDEX(Haver_M!$B$1:$ZN$1000,MATCH(data!$A107,Haver_M!$B$1:$B$1000,0),MATCH(data!AU$1,Haver_M!$B$1:$ZN$1,0))),INDEX(Haver_M!$B$1:$ZN$1000,MATCH(data!$A107,Haver_M!$B$1:$B$1000,0),MATCH(data!AU$1,Haver_M!$B$1:$ZN$1,0)),"na")</f>
        <v>92.704779000000002</v>
      </c>
      <c r="AV107">
        <f>IF(ISNUMBER(INDEX(Haver_M!$B$1:$ZN$1000,MATCH(data!$A107,Haver_M!$B$1:$B$1000,0),MATCH(data!AV$1,Haver_M!$B$1:$ZN$1,0))),INDEX(Haver_M!$B$1:$ZN$1000,MATCH(data!$A107,Haver_M!$B$1:$B$1000,0),MATCH(data!AV$1,Haver_M!$B$1:$ZN$1,0)),"na")</f>
        <v>98.3</v>
      </c>
      <c r="AW107">
        <f>IF(ISNUMBER(INDEX(Haver_M!$B$1:$ZN$1000,MATCH(data!$A107,Haver_M!$B$1:$B$1000,0),MATCH(data!AW$1,Haver_M!$B$1:$ZN$1,0))),INDEX(Haver_M!$B$1:$ZN$1000,MATCH(data!$A107,Haver_M!$B$1:$B$1000,0),MATCH(data!AW$1,Haver_M!$B$1:$ZN$1,0)),"na")</f>
        <v>1079035.7312764677</v>
      </c>
      <c r="AX107">
        <f>IF(ISNUMBER(INDEX(Haver_M!$B$1:$ZN$1000,MATCH(data!$A107,Haver_M!$B$1:$B$1000,0),MATCH(data!AX$1,Haver_M!$B$1:$ZN$1,0))),INDEX(Haver_M!$B$1:$ZN$1000,MATCH(data!$A107,Haver_M!$B$1:$B$1000,0),MATCH(data!AX$1,Haver_M!$B$1:$ZN$1,0)),"na")</f>
        <v>2763</v>
      </c>
      <c r="AY107">
        <f>IF(ISNUMBER(INDEX(Haver_M!$B$1:$ZN$1000,MATCH(data!$A107,Haver_M!$B$1:$B$1000,0),MATCH(data!AY$1,Haver_M!$B$1:$ZN$1,0))),INDEX(Haver_M!$B$1:$ZN$1000,MATCH(data!$A107,Haver_M!$B$1:$B$1000,0),MATCH(data!AY$1,Haver_M!$B$1:$ZN$1,0)),"na")</f>
        <v>1434</v>
      </c>
      <c r="AZ107">
        <f>IF(ISNUMBER(INDEX(Haver_M!$B$1:$ZN$1000,MATCH(data!$A107,Haver_M!$B$1:$B$1000,0),MATCH(data!AZ$1,Haver_M!$B$1:$ZN$1,0))),INDEX(Haver_M!$B$1:$ZN$1000,MATCH(data!$A107,Haver_M!$B$1:$B$1000,0),MATCH(data!AZ$1,Haver_M!$B$1:$ZN$1,0)),"na")</f>
        <v>49.1</v>
      </c>
      <c r="BA107">
        <f>IF(ISNUMBER(INDEX(Haver_M!$B$1:$ZN$1000,MATCH(data!$A107,Haver_M!$B$1:$B$1000,0),MATCH(data!BA$1,Haver_M!$B$1:$ZN$1,0))),INDEX(Haver_M!$B$1:$ZN$1000,MATCH(data!$A107,Haver_M!$B$1:$B$1000,0),MATCH(data!BA$1,Haver_M!$B$1:$ZN$1,0)),"na")</f>
        <v>113.72736130899044</v>
      </c>
      <c r="BB107" t="str">
        <f>IF(ISNUMBER(INDEX(Haver_M!$B$1:$ZN$1000,MATCH(data!$A107,Haver_M!$B$1:$B$1000,0),MATCH(data!BB$1,Haver_M!$B$1:$ZN$1,0))),INDEX(Haver_M!$B$1:$ZN$1000,MATCH(data!$A107,Haver_M!$B$1:$B$1000,0),MATCH(data!BB$1,Haver_M!$B$1:$ZN$1,0)),"")</f>
        <v/>
      </c>
    </row>
    <row r="108" spans="1:54" x14ac:dyDescent="0.25">
      <c r="A108" s="2">
        <v>39782</v>
      </c>
      <c r="B108" t="str">
        <f>IF(ISNUMBER(INDEX(Haver_Q!$B$1:$BD$1000,MATCH(data!$A108,Haver_Q!$B$1:$B$1000,0),MATCH(data!B$1,Haver_Q!$B$1:$BD$1,0))),100*INDEX(Haver_Q!$B$1:$BD$1000,MATCH(data!$A108,Haver_Q!$B$1:$B$1000,0),MATCH(data!B$1,Haver_Q!$B$1:$BD$1,0)),"na")</f>
        <v>na</v>
      </c>
      <c r="C108" t="str">
        <f>IF(ISNUMBER(INDEX(Haver_Q!$B$1:$BD$1000,MATCH(data!$A108,Haver_Q!$B$1:$B$1000,0),MATCH(data!C$1,Haver_Q!$B$1:$BD$1,0))),100*INDEX(Haver_Q!$B$1:$BD$1000,MATCH(data!$A108,Haver_Q!$B$1:$B$1000,0),MATCH(data!C$1,Haver_Q!$B$1:$BD$1,0)),"na")</f>
        <v>na</v>
      </c>
      <c r="D108" t="str">
        <f>IF(ISNUMBER(INDEX(Haver_Q!$B$1:$BD$1000,MATCH(data!$A108,Haver_Q!$B$1:$B$1000,0),MATCH(data!D$1,Haver_Q!$B$1:$BD$1,0))),100*INDEX(Haver_Q!$B$1:$BD$1000,MATCH(data!$A108,Haver_Q!$B$1:$B$1000,0),MATCH(data!D$1,Haver_Q!$B$1:$BD$1,0)),"na")</f>
        <v>na</v>
      </c>
      <c r="E108" t="str">
        <f>IF(ISNUMBER(INDEX(Haver_Q!$B$1:$BD$1000,MATCH(data!$A108,Haver_Q!$B$1:$B$1000,0),MATCH(data!E$1,Haver_Q!$B$1:$BD$1,0))),100*INDEX(Haver_Q!$B$1:$BD$1000,MATCH(data!$A108,Haver_Q!$B$1:$B$1000,0),MATCH(data!E$1,Haver_Q!$B$1:$BD$1,0)),"na")</f>
        <v>na</v>
      </c>
      <c r="F108" t="str">
        <f>IF(ISNUMBER(INDEX(Haver_Q!$B$1:$BD$1000,MATCH(data!$A108,Haver_Q!$B$1:$B$1000,0),MATCH(data!F$1,Haver_Q!$B$1:$BD$1,0))),100*INDEX(Haver_Q!$B$1:$BD$1000,MATCH(data!$A108,Haver_Q!$B$1:$B$1000,0),MATCH(data!F$1,Haver_Q!$B$1:$BD$1,0)),"na")</f>
        <v>na</v>
      </c>
      <c r="G108" t="str">
        <f>IF(ISNUMBER(INDEX(Haver_Q!$B$1:$BD$1000,MATCH(data!$A108,Haver_Q!$B$1:$B$1000,0),MATCH(data!G$1,Haver_Q!$B$1:$BD$1,0))),100*INDEX(Haver_Q!$B$1:$BD$1000,MATCH(data!$A108,Haver_Q!$B$1:$B$1000,0),MATCH(data!G$1,Haver_Q!$B$1:$BD$1,0)),"na")</f>
        <v>na</v>
      </c>
      <c r="H108" t="str">
        <f>IF(ISNUMBER(INDEX(Haver_Q!$B$1:$BD$1000,MATCH(data!$A108,Haver_Q!$B$1:$B$1000,0),MATCH(data!H$1,Haver_Q!$B$1:$BD$1,0))),100*INDEX(Haver_Q!$B$1:$BD$1000,MATCH(data!$A108,Haver_Q!$B$1:$B$1000,0),MATCH(data!H$1,Haver_Q!$B$1:$BD$1,0)),"na")</f>
        <v>na</v>
      </c>
      <c r="I108" s="3">
        <f>IF(ISNUMBER(Bloomberg_m!C124),Bloomberg_m!C124,"na")</f>
        <v>819</v>
      </c>
      <c r="J108" s="3" t="str">
        <f>IF(ISNUMBER(Bloomberg_m!D124),Bloomberg_m!D124,"na")</f>
        <v>na</v>
      </c>
      <c r="K108" s="3" t="str">
        <f>IF(ISNUMBER(Bloomberg_m!E124),Bloomberg_m!E124,"na")</f>
        <v>na</v>
      </c>
      <c r="L108" s="3">
        <f>IF(ISNUMBER(Bloomberg_m!L124),Bloomberg_m!L124,"na")</f>
        <v>57.29</v>
      </c>
      <c r="M108">
        <f>IF(ISNUMBER(INDEX(Haver_M!$B$1:$ZN$1000,MATCH(data!$A108,Haver_M!$B$1:$B$1000,0),MATCH(data!M$1,Haver_M!$B$1:$ZN$1,0))),INDEX(Haver_M!$B$1:$ZN$1000,MATCH(data!$A108,Haver_M!$B$1:$B$1000,0),MATCH(data!M$1,Haver_M!$B$1:$ZN$1,0)),"na")</f>
        <v>8.25</v>
      </c>
      <c r="N108">
        <f>IF(ISNUMBER(INDEX(Haver_M!$B$1:$ZN$1000,MATCH(data!$A108,Haver_M!$B$1:$B$1000,0),MATCH(data!N$1,Haver_M!$B$1:$ZN$1,0))),INDEX(Haver_M!$B$1:$ZN$1000,MATCH(data!$A108,Haver_M!$B$1:$B$1000,0),MATCH(data!N$1,Haver_M!$B$1:$ZN$1,0)),"na")</f>
        <v>9.2777999999999992</v>
      </c>
      <c r="O108">
        <f>IF(ISNUMBER(INDEX(Haver_M!$B$1:$ZN$1000,MATCH(data!$A108,Haver_M!$B$1:$B$1000,0),MATCH(data!O$1,Haver_M!$B$1:$ZN$1,0))),INDEX(Haver_M!$B$1:$ZN$1000,MATCH(data!$A108,Haver_M!$B$1:$B$1000,0),MATCH(data!O$1,Haver_M!$B$1:$ZN$1,0)),"na")</f>
        <v>96.203119999999998</v>
      </c>
      <c r="P108">
        <f>IF(ISNUMBER(INDEX(Haver_M!$B$1:$ZN$1000,MATCH(data!$A108,Haver_M!$B$1:$B$1000,0),MATCH(data!P$1,Haver_M!$B$1:$ZN$1,0))),INDEX(Haver_M!$B$1:$ZN$1000,MATCH(data!$A108,Haver_M!$B$1:$B$1000,0),MATCH(data!P$1,Haver_M!$B$1:$ZN$1,0)),"na")</f>
        <v>68.668400000000005</v>
      </c>
      <c r="Q108">
        <f>IF(ISNUMBER(INDEX(Haver_M!$B$1:$ZN$1000,MATCH(data!$A108,Haver_M!$B$1:$B$1000,0),MATCH(data!Q$1,Haver_M!$B$1:$ZN$1,0))),INDEX(Haver_M!$B$1:$ZN$1000,MATCH(data!$A108,Haver_M!$B$1:$B$1000,0),MATCH(data!Q$1,Haver_M!$B$1:$ZN$1,0)),"na")</f>
        <v>72.154300000000006</v>
      </c>
      <c r="R108">
        <f>IF(ISNUMBER(INDEX(Haver_M!$B$1:$ZN$1000,MATCH(data!$A108,Haver_M!$B$1:$B$1000,0),MATCH(data!R$1,Haver_M!$B$1:$ZN$1,0))),INDEX(Haver_M!$B$1:$ZN$1000,MATCH(data!$A108,Haver_M!$B$1:$B$1000,0),MATCH(data!R$1,Haver_M!$B$1:$ZN$1,0)),"na")</f>
        <v>95.550399999999996</v>
      </c>
      <c r="S108">
        <f>IF(ISNUMBER(INDEX(Haver_M!$B$1:$ZN$1000,MATCH(data!$A108,Haver_M!$B$1:$B$1000,0),MATCH(data!S$1,Haver_M!$B$1:$ZN$1,0))),INDEX(Haver_M!$B$1:$ZN$1000,MATCH(data!$A108,Haver_M!$B$1:$B$1000,0),MATCH(data!S$1,Haver_M!$B$1:$ZN$1,0)),"na")</f>
        <v>103.1626</v>
      </c>
      <c r="T108">
        <f>IF(ISNUMBER(INDEX(Haver_M!$B$1:$ZN$1000,MATCH(data!$A108,Haver_M!$B$1:$B$1000,0),MATCH(data!T$1,Haver_M!$B$1:$ZN$1,0))),INDEX(Haver_M!$B$1:$ZN$1000,MATCH(data!$A108,Haver_M!$B$1:$B$1000,0),MATCH(data!T$1,Haver_M!$B$1:$ZN$1,0)),"na")</f>
        <v>85.984999999999999</v>
      </c>
      <c r="U108">
        <f>IF(ISNUMBER(INDEX(Haver_M!$B$1:$ZN$1000,MATCH(data!$A108,Haver_M!$B$1:$B$1000,0),MATCH(data!U$1,Haver_M!$B$1:$ZN$1,0))),INDEX(Haver_M!$B$1:$ZN$1000,MATCH(data!$A108,Haver_M!$B$1:$B$1000,0),MATCH(data!U$1,Haver_M!$B$1:$ZN$1,0)),"na")</f>
        <v>98.031899999999993</v>
      </c>
      <c r="V108">
        <f>IF(ISNUMBER(INDEX(Haver_M!$B$1:$ZN$1000,MATCH(data!$A108,Haver_M!$B$1:$B$1000,0),MATCH(data!V$1,Haver_M!$B$1:$ZN$1,0))),INDEX(Haver_M!$B$1:$ZN$1000,MATCH(data!$A108,Haver_M!$B$1:$B$1000,0),MATCH(data!V$1,Haver_M!$B$1:$ZN$1,0)),"na")</f>
        <v>92.266400000000004</v>
      </c>
      <c r="W108">
        <f>IF(ISNUMBER(INDEX(Haver_M!$B$1:$ZN$1000,MATCH(data!$A108,Haver_M!$B$1:$B$1000,0),MATCH(data!W$1,Haver_M!$B$1:$ZN$1,0))),INDEX(Haver_M!$B$1:$ZN$1000,MATCH(data!$A108,Haver_M!$B$1:$B$1000,0),MATCH(data!W$1,Haver_M!$B$1:$ZN$1,0)),"na")</f>
        <v>4.66</v>
      </c>
      <c r="X108">
        <f>IF(ISNUMBER(INDEX(Haver_M!$B$1:$ZN$1000,MATCH(data!$A108,Haver_M!$B$1:$B$1000,0),MATCH(data!X$1,Haver_M!$B$1:$ZN$1,0))),INDEX(Haver_M!$B$1:$ZN$1000,MATCH(data!$A108,Haver_M!$B$1:$B$1000,0),MATCH(data!X$1,Haver_M!$B$1:$ZN$1,0)),"na")</f>
        <v>101.38</v>
      </c>
      <c r="Y108">
        <f>IF(ISNUMBER(INDEX(Haver_M!$B$1:$ZN$1000,MATCH(data!$A108,Haver_M!$B$1:$B$1000,0),MATCH(data!Y$1,Haver_M!$B$1:$ZN$1,0))),INDEX(Haver_M!$B$1:$ZN$1000,MATCH(data!$A108,Haver_M!$B$1:$B$1000,0),MATCH(data!Y$1,Haver_M!$B$1:$ZN$1,0)),"na")</f>
        <v>96.67</v>
      </c>
      <c r="Z108">
        <f>IF(ISNUMBER(INDEX(Haver_M!$B$1:$ZN$1000,MATCH(data!$A108,Haver_M!$B$1:$B$1000,0),MATCH(data!Z$1,Haver_M!$B$1:$ZN$1,0))),INDEX(Haver_M!$B$1:$ZN$1000,MATCH(data!$A108,Haver_M!$B$1:$B$1000,0),MATCH(data!Z$1,Haver_M!$B$1:$ZN$1,0)),"na")</f>
        <v>95.364999999999995</v>
      </c>
      <c r="AA108">
        <f>IF(ISNUMBER(INDEX(Haver_M!$B$1:$ZN$1000,MATCH(data!$A108,Haver_M!$B$1:$B$1000,0),MATCH(data!AA$1,Haver_M!$B$1:$ZN$1,0))),INDEX(Haver_M!$B$1:$ZN$1000,MATCH(data!$A108,Haver_M!$B$1:$B$1000,0),MATCH(data!AA$1,Haver_M!$B$1:$ZN$1,0)),"na")</f>
        <v>93.044499999999999</v>
      </c>
      <c r="AB108">
        <f>IF(ISNUMBER(INDEX(Haver_M!$B$1:$ZN$1000,MATCH(data!$A108,Haver_M!$B$1:$B$1000,0),MATCH(data!AB$1,Haver_M!$B$1:$ZN$1,0))),INDEX(Haver_M!$B$1:$ZN$1000,MATCH(data!$A108,Haver_M!$B$1:$B$1000,0),MATCH(data!AB$1,Haver_M!$B$1:$ZN$1,0)),"na")</f>
        <v>21129.9</v>
      </c>
      <c r="AC108">
        <f>IF(ISNUMBER(INDEX(Haver_M!$B$1:$ZN$1000,MATCH(data!$A108,Haver_M!$B$1:$B$1000,0),MATCH(data!AC$1,Haver_M!$B$1:$ZN$1,0))),INDEX(Haver_M!$B$1:$ZN$1000,MATCH(data!$A108,Haver_M!$B$1:$B$1000,0),MATCH(data!AC$1,Haver_M!$B$1:$ZN$1,0)),"na")</f>
        <v>24039</v>
      </c>
      <c r="AD108">
        <f>IF(ISNUMBER(INDEX(Haver_M!$B$1:$ZN$1000,MATCH(data!$A108,Haver_M!$B$1:$B$1000,0),MATCH(data!AD$1,Haver_M!$B$1:$ZN$1,0))),INDEX(Haver_M!$B$1:$ZN$1000,MATCH(data!$A108,Haver_M!$B$1:$B$1000,0),MATCH(data!AD$1,Haver_M!$B$1:$ZN$1,0)),"na")</f>
        <v>99.91</v>
      </c>
      <c r="AE108">
        <f>IF(ISNUMBER(INDEX(Haver_M!$B$1:$ZN$1000,MATCH(data!$A108,Haver_M!$B$1:$B$1000,0),MATCH(data!AE$1,Haver_M!$B$1:$ZN$1,0))),INDEX(Haver_M!$B$1:$ZN$1000,MATCH(data!$A108,Haver_M!$B$1:$B$1000,0),MATCH(data!AE$1,Haver_M!$B$1:$ZN$1,0)),"na")</f>
        <v>35.799999999999997</v>
      </c>
      <c r="AF108">
        <f>IF(ISNUMBER(INDEX(Haver_M!$B$1:$ZN$1000,MATCH(data!$A108,Haver_M!$B$1:$B$1000,0),MATCH(data!AF$1,Haver_M!$B$1:$ZN$1,0))),INDEX(Haver_M!$B$1:$ZN$1000,MATCH(data!$A108,Haver_M!$B$1:$B$1000,0),MATCH(data!AF$1,Haver_M!$B$1:$ZN$1,0)),"na")</f>
        <v>96.23</v>
      </c>
      <c r="AG108" t="str">
        <f>IF(ISNUMBER(INDEX(Haver_M!$B$1:$ZN$1000,MATCH(data!$A108,Haver_M!$B$1:$B$1000,0),MATCH(data!AG$1,Haver_M!$B$1:$ZN$1,0))),INDEX(Haver_M!$B$1:$ZN$1000,MATCH(data!$A108,Haver_M!$B$1:$B$1000,0),MATCH(data!AG$1,Haver_M!$B$1:$ZN$1,0)),"na")</f>
        <v>na</v>
      </c>
      <c r="AH108" t="str">
        <f>IF(ISNUMBER(INDEX(Haver_M!$B$1:$ZN$1000,MATCH(data!$A108,Haver_M!$B$1:$B$1000,0),MATCH(data!AH$1,Haver_M!$B$1:$ZN$1,0))),INDEX(Haver_M!$B$1:$ZN$1000,MATCH(data!$A108,Haver_M!$B$1:$B$1000,0),MATCH(data!AH$1,Haver_M!$B$1:$ZN$1,0)),"na")</f>
        <v>na</v>
      </c>
      <c r="AI108" t="str">
        <f>IF(ISNUMBER(INDEX(Haver_M!$B$1:$ZN$1000,MATCH(data!$A108,Haver_M!$B$1:$B$1000,0),MATCH(data!AI$1,Haver_M!$B$1:$ZN$1,0))),INDEX(Haver_M!$B$1:$ZN$1000,MATCH(data!$A108,Haver_M!$B$1:$B$1000,0),MATCH(data!AI$1,Haver_M!$B$1:$ZN$1,0)),"na")</f>
        <v>na</v>
      </c>
      <c r="AJ108" t="str">
        <f>IF(ISNUMBER(INDEX(Haver_M!$B$1:$ZN$1000,MATCH(data!$A108,Haver_M!$B$1:$B$1000,0),MATCH(data!AJ$1,Haver_M!$B$1:$ZN$1,0))),INDEX(Haver_M!$B$1:$ZN$1000,MATCH(data!$A108,Haver_M!$B$1:$B$1000,0),MATCH(data!AJ$1,Haver_M!$B$1:$ZN$1,0)),"na")</f>
        <v>na</v>
      </c>
      <c r="AK108" t="str">
        <f>IF(ISNUMBER(INDEX(Haver_M!$B$1:$ZN$1000,MATCH(data!$A108,Haver_M!$B$1:$B$1000,0),MATCH(data!AK$1,Haver_M!$B$1:$ZN$1,0))),INDEX(Haver_M!$B$1:$ZN$1000,MATCH(data!$A108,Haver_M!$B$1:$B$1000,0),MATCH(data!AK$1,Haver_M!$B$1:$ZN$1,0)),"na")</f>
        <v>na</v>
      </c>
      <c r="AL108" t="str">
        <f>IF(ISNUMBER(INDEX(Haver_M!$B$1:$ZN$1000,MATCH(data!$A108,Haver_M!$B$1:$B$1000,0),MATCH(data!AL$1,Haver_M!$B$1:$ZN$1,0))),INDEX(Haver_M!$B$1:$ZN$1000,MATCH(data!$A108,Haver_M!$B$1:$B$1000,0),MATCH(data!AL$1,Haver_M!$B$1:$ZN$1,0)),"na")</f>
        <v>na</v>
      </c>
      <c r="AM108" t="str">
        <f>IF(ISNUMBER(INDEX(Haver_M!$B$1:$ZN$1000,MATCH(data!$A108,Haver_M!$B$1:$B$1000,0),MATCH(data!AM$1,Haver_M!$B$1:$ZN$1,0))),INDEX(Haver_M!$B$1:$ZN$1000,MATCH(data!$A108,Haver_M!$B$1:$B$1000,0),MATCH(data!AM$1,Haver_M!$B$1:$ZN$1,0)),"na")</f>
        <v>na</v>
      </c>
      <c r="AN108" t="str">
        <f>IF(ISNUMBER(INDEX(Haver_M!$B$1:$ZN$1000,MATCH(data!$A108,Haver_M!$B$1:$B$1000,0),MATCH(data!AN$1,Haver_M!$B$1:$ZN$1,0))),INDEX(Haver_M!$B$1:$ZN$1000,MATCH(data!$A108,Haver_M!$B$1:$B$1000,0),MATCH(data!AN$1,Haver_M!$B$1:$ZN$1,0)),"na")</f>
        <v>na</v>
      </c>
      <c r="AO108" t="str">
        <f>IF(ISNUMBER(INDEX(Haver_M!$B$1:$ZN$1000,MATCH(data!$A108,Haver_M!$B$1:$B$1000,0),MATCH(data!AO$1,Haver_M!$B$1:$ZN$1,0))),INDEX(Haver_M!$B$1:$ZN$1000,MATCH(data!$A108,Haver_M!$B$1:$B$1000,0),MATCH(data!AO$1,Haver_M!$B$1:$ZN$1,0)),"na")</f>
        <v>na</v>
      </c>
      <c r="AP108" t="str">
        <f>IF(ISNUMBER(INDEX(Haver_M!$B$1:$ZN$1000,MATCH(data!$A108,Haver_M!$B$1:$B$1000,0),MATCH(data!AP$1,Haver_M!$B$1:$ZN$1,0))),INDEX(Haver_M!$B$1:$ZN$1000,MATCH(data!$A108,Haver_M!$B$1:$B$1000,0),MATCH(data!AP$1,Haver_M!$B$1:$ZN$1,0)),"na")</f>
        <v>na</v>
      </c>
      <c r="AQ108" t="str">
        <f>IF(ISNUMBER(INDEX(Haver_M!$B$1:$ZN$1000,MATCH(data!$A108,Haver_M!$B$1:$B$1000,0),MATCH(data!AQ$1,Haver_M!$B$1:$ZN$1,0))),INDEX(Haver_M!$B$1:$ZN$1000,MATCH(data!$A108,Haver_M!$B$1:$B$1000,0),MATCH(data!AQ$1,Haver_M!$B$1:$ZN$1,0)),"na")</f>
        <v>na</v>
      </c>
      <c r="AR108" t="str">
        <f>IF(ISNUMBER(INDEX(Haver_M!$B$1:$ZN$1000,MATCH(data!$A108,Haver_M!$B$1:$B$1000,0),MATCH(data!AR$1,Haver_M!$B$1:$ZN$1,0))),INDEX(Haver_M!$B$1:$ZN$1000,MATCH(data!$A108,Haver_M!$B$1:$B$1000,0),MATCH(data!AR$1,Haver_M!$B$1:$ZN$1,0)),"na")</f>
        <v>na</v>
      </c>
      <c r="AS108">
        <f>IF(ISNUMBER(INDEX(Haver_M!$B$1:$ZN$1000,MATCH(data!$A108,Haver_M!$B$1:$B$1000,0),MATCH(data!AS$1,Haver_M!$B$1:$ZN$1,0))),INDEX(Haver_M!$B$1:$ZN$1000,MATCH(data!$A108,Haver_M!$B$1:$B$1000,0),MATCH(data!AS$1,Haver_M!$B$1:$ZN$1,0)),"na")</f>
        <v>19665.77</v>
      </c>
      <c r="AT108">
        <f>IF(ISNUMBER(INDEX(Haver_M!$B$1:$ZN$1000,MATCH(data!$A108,Haver_M!$B$1:$B$1000,0),MATCH(data!AT$1,Haver_M!$B$1:$ZN$1,0))),INDEX(Haver_M!$B$1:$ZN$1000,MATCH(data!$A108,Haver_M!$B$1:$B$1000,0),MATCH(data!AT$1,Haver_M!$B$1:$ZN$1,0)),"na")</f>
        <v>93.150999999999996</v>
      </c>
      <c r="AU108">
        <f>IF(ISNUMBER(INDEX(Haver_M!$B$1:$ZN$1000,MATCH(data!$A108,Haver_M!$B$1:$B$1000,0),MATCH(data!AU$1,Haver_M!$B$1:$ZN$1,0))),INDEX(Haver_M!$B$1:$ZN$1000,MATCH(data!$A108,Haver_M!$B$1:$B$1000,0),MATCH(data!AU$1,Haver_M!$B$1:$ZN$1,0)),"na")</f>
        <v>91.063535999999999</v>
      </c>
      <c r="AV108">
        <f>IF(ISNUMBER(INDEX(Haver_M!$B$1:$ZN$1000,MATCH(data!$A108,Haver_M!$B$1:$B$1000,0),MATCH(data!AV$1,Haver_M!$B$1:$ZN$1,0))),INDEX(Haver_M!$B$1:$ZN$1000,MATCH(data!$A108,Haver_M!$B$1:$B$1000,0),MATCH(data!AV$1,Haver_M!$B$1:$ZN$1,0)),"na")</f>
        <v>95.4</v>
      </c>
      <c r="AW108">
        <f>IF(ISNUMBER(INDEX(Haver_M!$B$1:$ZN$1000,MATCH(data!$A108,Haver_M!$B$1:$B$1000,0),MATCH(data!AW$1,Haver_M!$B$1:$ZN$1,0))),INDEX(Haver_M!$B$1:$ZN$1000,MATCH(data!$A108,Haver_M!$B$1:$B$1000,0),MATCH(data!AW$1,Haver_M!$B$1:$ZN$1,0)),"na")</f>
        <v>1074692.2451344724</v>
      </c>
      <c r="AX108">
        <f>IF(ISNUMBER(INDEX(Haver_M!$B$1:$ZN$1000,MATCH(data!$A108,Haver_M!$B$1:$B$1000,0),MATCH(data!AX$1,Haver_M!$B$1:$ZN$1,0))),INDEX(Haver_M!$B$1:$ZN$1000,MATCH(data!$A108,Haver_M!$B$1:$B$1000,0),MATCH(data!AX$1,Haver_M!$B$1:$ZN$1,0)),"na")</f>
        <v>2749</v>
      </c>
      <c r="AY108">
        <f>IF(ISNUMBER(INDEX(Haver_M!$B$1:$ZN$1000,MATCH(data!$A108,Haver_M!$B$1:$B$1000,0),MATCH(data!AY$1,Haver_M!$B$1:$ZN$1,0))),INDEX(Haver_M!$B$1:$ZN$1000,MATCH(data!$A108,Haver_M!$B$1:$B$1000,0),MATCH(data!AY$1,Haver_M!$B$1:$ZN$1,0)),"na")</f>
        <v>1501</v>
      </c>
      <c r="AZ108">
        <f>IF(ISNUMBER(INDEX(Haver_M!$B$1:$ZN$1000,MATCH(data!$A108,Haver_M!$B$1:$B$1000,0),MATCH(data!AZ$1,Haver_M!$B$1:$ZN$1,0))),INDEX(Haver_M!$B$1:$ZN$1000,MATCH(data!$A108,Haver_M!$B$1:$B$1000,0),MATCH(data!AZ$1,Haver_M!$B$1:$ZN$1,0)),"na")</f>
        <v>44</v>
      </c>
      <c r="BA108">
        <f>IF(ISNUMBER(INDEX(Haver_M!$B$1:$ZN$1000,MATCH(data!$A108,Haver_M!$B$1:$B$1000,0),MATCH(data!BA$1,Haver_M!$B$1:$ZN$1,0))),INDEX(Haver_M!$B$1:$ZN$1000,MATCH(data!$A108,Haver_M!$B$1:$B$1000,0),MATCH(data!BA$1,Haver_M!$B$1:$ZN$1,0)),"na")</f>
        <v>106.07160954690175</v>
      </c>
      <c r="BB108" t="str">
        <f>IF(ISNUMBER(INDEX(Haver_M!$B$1:$ZN$1000,MATCH(data!$A108,Haver_M!$B$1:$B$1000,0),MATCH(data!BB$1,Haver_M!$B$1:$ZN$1,0))),INDEX(Haver_M!$B$1:$ZN$1000,MATCH(data!$A108,Haver_M!$B$1:$B$1000,0),MATCH(data!BB$1,Haver_M!$B$1:$ZN$1,0)),"")</f>
        <v/>
      </c>
    </row>
    <row r="109" spans="1:54" x14ac:dyDescent="0.25">
      <c r="A109" s="2">
        <v>39813</v>
      </c>
      <c r="B109">
        <f>IF(ISNUMBER(INDEX(Haver_Q!$B$1:$BD$1000,MATCH(data!$A109,Haver_Q!$B$1:$B$1000,0),MATCH(data!B$1,Haver_Q!$B$1:$BD$1,0))),100*INDEX(Haver_Q!$B$1:$BD$1000,MATCH(data!$A109,Haver_Q!$B$1:$B$1000,0),MATCH(data!B$1,Haver_Q!$B$1:$BD$1,0)),"na")</f>
        <v>-6.2474403936169871</v>
      </c>
      <c r="C109">
        <f>IF(ISNUMBER(INDEX(Haver_Q!$B$1:$BD$1000,MATCH(data!$A109,Haver_Q!$B$1:$B$1000,0),MATCH(data!C$1,Haver_Q!$B$1:$BD$1,0))),100*INDEX(Haver_Q!$B$1:$BD$1000,MATCH(data!$A109,Haver_Q!$B$1:$B$1000,0),MATCH(data!C$1,Haver_Q!$B$1:$BD$1,0)),"na")</f>
        <v>5.0201290720402136</v>
      </c>
      <c r="D109">
        <f>IF(ISNUMBER(INDEX(Haver_Q!$B$1:$BD$1000,MATCH(data!$A109,Haver_Q!$B$1:$B$1000,0),MATCH(data!D$1,Haver_Q!$B$1:$BD$1,0))),100*INDEX(Haver_Q!$B$1:$BD$1000,MATCH(data!$A109,Haver_Q!$B$1:$B$1000,0),MATCH(data!D$1,Haver_Q!$B$1:$BD$1,0)),"na")</f>
        <v>-14.2321332904509</v>
      </c>
      <c r="E109">
        <f>IF(ISNUMBER(INDEX(Haver_Q!$B$1:$BD$1000,MATCH(data!$A109,Haver_Q!$B$1:$B$1000,0),MATCH(data!E$1,Haver_Q!$B$1:$BD$1,0))),100*INDEX(Haver_Q!$B$1:$BD$1000,MATCH(data!$A109,Haver_Q!$B$1:$B$1000,0),MATCH(data!E$1,Haver_Q!$B$1:$BD$1,0)),"na")</f>
        <v>-12.808039942280891</v>
      </c>
      <c r="F109">
        <f>IF(ISNUMBER(INDEX(Haver_Q!$B$1:$BD$1000,MATCH(data!$A109,Haver_Q!$B$1:$B$1000,0),MATCH(data!F$1,Haver_Q!$B$1:$BD$1,0))),100*INDEX(Haver_Q!$B$1:$BD$1000,MATCH(data!$A109,Haver_Q!$B$1:$B$1000,0),MATCH(data!F$1,Haver_Q!$B$1:$BD$1,0)),"na")</f>
        <v>-24.704199844609363</v>
      </c>
      <c r="G109">
        <f>IF(ISNUMBER(INDEX(Haver_Q!$B$1:$BD$1000,MATCH(data!$A109,Haver_Q!$B$1:$B$1000,0),MATCH(data!G$1,Haver_Q!$B$1:$BD$1,0))),100*INDEX(Haver_Q!$B$1:$BD$1000,MATCH(data!$A109,Haver_Q!$B$1:$B$1000,0),MATCH(data!G$1,Haver_Q!$B$1:$BD$1,0)),"na")</f>
        <v>-36.169274737700285</v>
      </c>
      <c r="H109">
        <f>IF(ISNUMBER(INDEX(Haver_Q!$B$1:$BD$1000,MATCH(data!$A109,Haver_Q!$B$1:$B$1000,0),MATCH(data!H$1,Haver_Q!$B$1:$BD$1,0))),100*INDEX(Haver_Q!$B$1:$BD$1000,MATCH(data!$A109,Haver_Q!$B$1:$B$1000,0),MATCH(data!H$1,Haver_Q!$B$1:$BD$1,0)),"na")</f>
        <v>-607.01786858911521</v>
      </c>
      <c r="I109" s="3">
        <f>IF(ISNUMBER(Bloomberg_m!C125),Bloomberg_m!C125,"na")</f>
        <v>743</v>
      </c>
      <c r="J109" s="3" t="str">
        <f>IF(ISNUMBER(Bloomberg_m!D125),Bloomberg_m!D125,"na")</f>
        <v>na</v>
      </c>
      <c r="K109" s="3" t="str">
        <f>IF(ISNUMBER(Bloomberg_m!E125),Bloomberg_m!E125,"na")</f>
        <v>na</v>
      </c>
      <c r="L109" s="3">
        <f>IF(ISNUMBER(Bloomberg_m!L125),Bloomberg_m!L125,"na")</f>
        <v>41.44</v>
      </c>
      <c r="M109">
        <f>IF(ISNUMBER(INDEX(Haver_M!$B$1:$ZN$1000,MATCH(data!$A109,Haver_M!$B$1:$B$1000,0),MATCH(data!M$1,Haver_M!$B$1:$ZN$1,0))),INDEX(Haver_M!$B$1:$ZN$1000,MATCH(data!$A109,Haver_M!$B$1:$B$1000,0),MATCH(data!M$1,Haver_M!$B$1:$ZN$1,0)),"na")</f>
        <v>8.25</v>
      </c>
      <c r="N109">
        <f>IF(ISNUMBER(INDEX(Haver_M!$B$1:$ZN$1000,MATCH(data!$A109,Haver_M!$B$1:$B$1000,0),MATCH(data!N$1,Haver_M!$B$1:$ZN$1,0))),INDEX(Haver_M!$B$1:$ZN$1000,MATCH(data!$A109,Haver_M!$B$1:$B$1000,0),MATCH(data!N$1,Haver_M!$B$1:$ZN$1,0)),"na")</f>
        <v>8.2627000000000006</v>
      </c>
      <c r="O109">
        <f>IF(ISNUMBER(INDEX(Haver_M!$B$1:$ZN$1000,MATCH(data!$A109,Haver_M!$B$1:$B$1000,0),MATCH(data!O$1,Haver_M!$B$1:$ZN$1,0))),INDEX(Haver_M!$B$1:$ZN$1000,MATCH(data!$A109,Haver_M!$B$1:$B$1000,0),MATCH(data!O$1,Haver_M!$B$1:$ZN$1,0)),"na")</f>
        <v>94.350589999999997</v>
      </c>
      <c r="P109">
        <f>IF(ISNUMBER(INDEX(Haver_M!$B$1:$ZN$1000,MATCH(data!$A109,Haver_M!$B$1:$B$1000,0),MATCH(data!P$1,Haver_M!$B$1:$ZN$1,0))),INDEX(Haver_M!$B$1:$ZN$1000,MATCH(data!$A109,Haver_M!$B$1:$B$1000,0),MATCH(data!P$1,Haver_M!$B$1:$ZN$1,0)),"na")</f>
        <v>68.993499999999997</v>
      </c>
      <c r="Q109">
        <f>IF(ISNUMBER(INDEX(Haver_M!$B$1:$ZN$1000,MATCH(data!$A109,Haver_M!$B$1:$B$1000,0),MATCH(data!Q$1,Haver_M!$B$1:$ZN$1,0))),INDEX(Haver_M!$B$1:$ZN$1000,MATCH(data!$A109,Haver_M!$B$1:$B$1000,0),MATCH(data!Q$1,Haver_M!$B$1:$ZN$1,0)),"na")</f>
        <v>72.483400000000003</v>
      </c>
      <c r="R109">
        <f>IF(ISNUMBER(INDEX(Haver_M!$B$1:$ZN$1000,MATCH(data!$A109,Haver_M!$B$1:$B$1000,0),MATCH(data!R$1,Haver_M!$B$1:$ZN$1,0))),INDEX(Haver_M!$B$1:$ZN$1000,MATCH(data!$A109,Haver_M!$B$1:$B$1000,0),MATCH(data!R$1,Haver_M!$B$1:$ZN$1,0)),"na")</f>
        <v>94.479600000000005</v>
      </c>
      <c r="S109">
        <f>IF(ISNUMBER(INDEX(Haver_M!$B$1:$ZN$1000,MATCH(data!$A109,Haver_M!$B$1:$B$1000,0),MATCH(data!S$1,Haver_M!$B$1:$ZN$1,0))),INDEX(Haver_M!$B$1:$ZN$1000,MATCH(data!$A109,Haver_M!$B$1:$B$1000,0),MATCH(data!S$1,Haver_M!$B$1:$ZN$1,0)),"na")</f>
        <v>101.5688</v>
      </c>
      <c r="T109">
        <f>IF(ISNUMBER(INDEX(Haver_M!$B$1:$ZN$1000,MATCH(data!$A109,Haver_M!$B$1:$B$1000,0),MATCH(data!T$1,Haver_M!$B$1:$ZN$1,0))),INDEX(Haver_M!$B$1:$ZN$1000,MATCH(data!$A109,Haver_M!$B$1:$B$1000,0),MATCH(data!T$1,Haver_M!$B$1:$ZN$1,0)),"na")</f>
        <v>84.720500000000001</v>
      </c>
      <c r="U109">
        <f>IF(ISNUMBER(INDEX(Haver_M!$B$1:$ZN$1000,MATCH(data!$A109,Haver_M!$B$1:$B$1000,0),MATCH(data!U$1,Haver_M!$B$1:$ZN$1,0))),INDEX(Haver_M!$B$1:$ZN$1000,MATCH(data!$A109,Haver_M!$B$1:$B$1000,0),MATCH(data!U$1,Haver_M!$B$1:$ZN$1,0)),"na")</f>
        <v>98.210099999999997</v>
      </c>
      <c r="V109">
        <f>IF(ISNUMBER(INDEX(Haver_M!$B$1:$ZN$1000,MATCH(data!$A109,Haver_M!$B$1:$B$1000,0),MATCH(data!V$1,Haver_M!$B$1:$ZN$1,0))),INDEX(Haver_M!$B$1:$ZN$1000,MATCH(data!$A109,Haver_M!$B$1:$B$1000,0),MATCH(data!V$1,Haver_M!$B$1:$ZN$1,0)),"na")</f>
        <v>88.915999999999997</v>
      </c>
      <c r="W109">
        <f>IF(ISNUMBER(INDEX(Haver_M!$B$1:$ZN$1000,MATCH(data!$A109,Haver_M!$B$1:$B$1000,0),MATCH(data!W$1,Haver_M!$B$1:$ZN$1,0))),INDEX(Haver_M!$B$1:$ZN$1000,MATCH(data!$A109,Haver_M!$B$1:$B$1000,0),MATCH(data!W$1,Haver_M!$B$1:$ZN$1,0)),"na")</f>
        <v>4.72</v>
      </c>
      <c r="X109">
        <f>IF(ISNUMBER(INDEX(Haver_M!$B$1:$ZN$1000,MATCH(data!$A109,Haver_M!$B$1:$B$1000,0),MATCH(data!X$1,Haver_M!$B$1:$ZN$1,0))),INDEX(Haver_M!$B$1:$ZN$1000,MATCH(data!$A109,Haver_M!$B$1:$B$1000,0),MATCH(data!X$1,Haver_M!$B$1:$ZN$1,0)),"na")</f>
        <v>100.44</v>
      </c>
      <c r="Y109">
        <f>IF(ISNUMBER(INDEX(Haver_M!$B$1:$ZN$1000,MATCH(data!$A109,Haver_M!$B$1:$B$1000,0),MATCH(data!Y$1,Haver_M!$B$1:$ZN$1,0))),INDEX(Haver_M!$B$1:$ZN$1000,MATCH(data!$A109,Haver_M!$B$1:$B$1000,0),MATCH(data!Y$1,Haver_M!$B$1:$ZN$1,0)),"na")</f>
        <v>96.05</v>
      </c>
      <c r="Z109">
        <f>IF(ISNUMBER(INDEX(Haver_M!$B$1:$ZN$1000,MATCH(data!$A109,Haver_M!$B$1:$B$1000,0),MATCH(data!Z$1,Haver_M!$B$1:$ZN$1,0))),INDEX(Haver_M!$B$1:$ZN$1000,MATCH(data!$A109,Haver_M!$B$1:$B$1000,0),MATCH(data!Z$1,Haver_M!$B$1:$ZN$1,0)),"na")</f>
        <v>95.242800000000003</v>
      </c>
      <c r="AA109">
        <f>IF(ISNUMBER(INDEX(Haver_M!$B$1:$ZN$1000,MATCH(data!$A109,Haver_M!$B$1:$B$1000,0),MATCH(data!AA$1,Haver_M!$B$1:$ZN$1,0))),INDEX(Haver_M!$B$1:$ZN$1000,MATCH(data!$A109,Haver_M!$B$1:$B$1000,0),MATCH(data!AA$1,Haver_M!$B$1:$ZN$1,0)),"na")</f>
        <v>90.767700000000005</v>
      </c>
      <c r="AB109">
        <f>IF(ISNUMBER(INDEX(Haver_M!$B$1:$ZN$1000,MATCH(data!$A109,Haver_M!$B$1:$B$1000,0),MATCH(data!AB$1,Haver_M!$B$1:$ZN$1,0))),INDEX(Haver_M!$B$1:$ZN$1000,MATCH(data!$A109,Haver_M!$B$1:$B$1000,0),MATCH(data!AB$1,Haver_M!$B$1:$ZN$1,0)),"na")</f>
        <v>17990.400000000001</v>
      </c>
      <c r="AC109">
        <f>IF(ISNUMBER(INDEX(Haver_M!$B$1:$ZN$1000,MATCH(data!$A109,Haver_M!$B$1:$B$1000,0),MATCH(data!AC$1,Haver_M!$B$1:$ZN$1,0))),INDEX(Haver_M!$B$1:$ZN$1000,MATCH(data!$A109,Haver_M!$B$1:$B$1000,0),MATCH(data!AC$1,Haver_M!$B$1:$ZN$1,0)),"na")</f>
        <v>19722.099999999999</v>
      </c>
      <c r="AD109">
        <f>IF(ISNUMBER(INDEX(Haver_M!$B$1:$ZN$1000,MATCH(data!$A109,Haver_M!$B$1:$B$1000,0),MATCH(data!AD$1,Haver_M!$B$1:$ZN$1,0))),INDEX(Haver_M!$B$1:$ZN$1000,MATCH(data!$A109,Haver_M!$B$1:$B$1000,0),MATCH(data!AD$1,Haver_M!$B$1:$ZN$1,0)),"na")</f>
        <v>99.32</v>
      </c>
      <c r="AE109">
        <f>IF(ISNUMBER(INDEX(Haver_M!$B$1:$ZN$1000,MATCH(data!$A109,Haver_M!$B$1:$B$1000,0),MATCH(data!AE$1,Haver_M!$B$1:$ZN$1,0))),INDEX(Haver_M!$B$1:$ZN$1000,MATCH(data!$A109,Haver_M!$B$1:$B$1000,0),MATCH(data!AE$1,Haver_M!$B$1:$ZN$1,0)),"na")</f>
        <v>34.6</v>
      </c>
      <c r="AF109">
        <f>IF(ISNUMBER(INDEX(Haver_M!$B$1:$ZN$1000,MATCH(data!$A109,Haver_M!$B$1:$B$1000,0),MATCH(data!AF$1,Haver_M!$B$1:$ZN$1,0))),INDEX(Haver_M!$B$1:$ZN$1000,MATCH(data!$A109,Haver_M!$B$1:$B$1000,0),MATCH(data!AF$1,Haver_M!$B$1:$ZN$1,0)),"na")</f>
        <v>95.65</v>
      </c>
      <c r="AG109" t="str">
        <f>IF(ISNUMBER(INDEX(Haver_M!$B$1:$ZN$1000,MATCH(data!$A109,Haver_M!$B$1:$B$1000,0),MATCH(data!AG$1,Haver_M!$B$1:$ZN$1,0))),INDEX(Haver_M!$B$1:$ZN$1000,MATCH(data!$A109,Haver_M!$B$1:$B$1000,0),MATCH(data!AG$1,Haver_M!$B$1:$ZN$1,0)),"na")</f>
        <v>na</v>
      </c>
      <c r="AH109" t="str">
        <f>IF(ISNUMBER(INDEX(Haver_M!$B$1:$ZN$1000,MATCH(data!$A109,Haver_M!$B$1:$B$1000,0),MATCH(data!AH$1,Haver_M!$B$1:$ZN$1,0))),INDEX(Haver_M!$B$1:$ZN$1000,MATCH(data!$A109,Haver_M!$B$1:$B$1000,0),MATCH(data!AH$1,Haver_M!$B$1:$ZN$1,0)),"na")</f>
        <v>na</v>
      </c>
      <c r="AI109" t="str">
        <f>IF(ISNUMBER(INDEX(Haver_M!$B$1:$ZN$1000,MATCH(data!$A109,Haver_M!$B$1:$B$1000,0),MATCH(data!AI$1,Haver_M!$B$1:$ZN$1,0))),INDEX(Haver_M!$B$1:$ZN$1000,MATCH(data!$A109,Haver_M!$B$1:$B$1000,0),MATCH(data!AI$1,Haver_M!$B$1:$ZN$1,0)),"na")</f>
        <v>na</v>
      </c>
      <c r="AJ109" t="str">
        <f>IF(ISNUMBER(INDEX(Haver_M!$B$1:$ZN$1000,MATCH(data!$A109,Haver_M!$B$1:$B$1000,0),MATCH(data!AJ$1,Haver_M!$B$1:$ZN$1,0))),INDEX(Haver_M!$B$1:$ZN$1000,MATCH(data!$A109,Haver_M!$B$1:$B$1000,0),MATCH(data!AJ$1,Haver_M!$B$1:$ZN$1,0)),"na")</f>
        <v>na</v>
      </c>
      <c r="AK109" t="str">
        <f>IF(ISNUMBER(INDEX(Haver_M!$B$1:$ZN$1000,MATCH(data!$A109,Haver_M!$B$1:$B$1000,0),MATCH(data!AK$1,Haver_M!$B$1:$ZN$1,0))),INDEX(Haver_M!$B$1:$ZN$1000,MATCH(data!$A109,Haver_M!$B$1:$B$1000,0),MATCH(data!AK$1,Haver_M!$B$1:$ZN$1,0)),"na")</f>
        <v>na</v>
      </c>
      <c r="AL109" t="str">
        <f>IF(ISNUMBER(INDEX(Haver_M!$B$1:$ZN$1000,MATCH(data!$A109,Haver_M!$B$1:$B$1000,0),MATCH(data!AL$1,Haver_M!$B$1:$ZN$1,0))),INDEX(Haver_M!$B$1:$ZN$1000,MATCH(data!$A109,Haver_M!$B$1:$B$1000,0),MATCH(data!AL$1,Haver_M!$B$1:$ZN$1,0)),"na")</f>
        <v>na</v>
      </c>
      <c r="AM109" t="str">
        <f>IF(ISNUMBER(INDEX(Haver_M!$B$1:$ZN$1000,MATCH(data!$A109,Haver_M!$B$1:$B$1000,0),MATCH(data!AM$1,Haver_M!$B$1:$ZN$1,0))),INDEX(Haver_M!$B$1:$ZN$1000,MATCH(data!$A109,Haver_M!$B$1:$B$1000,0),MATCH(data!AM$1,Haver_M!$B$1:$ZN$1,0)),"na")</f>
        <v>na</v>
      </c>
      <c r="AN109" t="str">
        <f>IF(ISNUMBER(INDEX(Haver_M!$B$1:$ZN$1000,MATCH(data!$A109,Haver_M!$B$1:$B$1000,0),MATCH(data!AN$1,Haver_M!$B$1:$ZN$1,0))),INDEX(Haver_M!$B$1:$ZN$1000,MATCH(data!$A109,Haver_M!$B$1:$B$1000,0),MATCH(data!AN$1,Haver_M!$B$1:$ZN$1,0)),"na")</f>
        <v>na</v>
      </c>
      <c r="AO109" t="str">
        <f>IF(ISNUMBER(INDEX(Haver_M!$B$1:$ZN$1000,MATCH(data!$A109,Haver_M!$B$1:$B$1000,0),MATCH(data!AO$1,Haver_M!$B$1:$ZN$1,0))),INDEX(Haver_M!$B$1:$ZN$1000,MATCH(data!$A109,Haver_M!$B$1:$B$1000,0),MATCH(data!AO$1,Haver_M!$B$1:$ZN$1,0)),"na")</f>
        <v>na</v>
      </c>
      <c r="AP109" t="str">
        <f>IF(ISNUMBER(INDEX(Haver_M!$B$1:$ZN$1000,MATCH(data!$A109,Haver_M!$B$1:$B$1000,0),MATCH(data!AP$1,Haver_M!$B$1:$ZN$1,0))),INDEX(Haver_M!$B$1:$ZN$1000,MATCH(data!$A109,Haver_M!$B$1:$B$1000,0),MATCH(data!AP$1,Haver_M!$B$1:$ZN$1,0)),"na")</f>
        <v>na</v>
      </c>
      <c r="AQ109" t="str">
        <f>IF(ISNUMBER(INDEX(Haver_M!$B$1:$ZN$1000,MATCH(data!$A109,Haver_M!$B$1:$B$1000,0),MATCH(data!AQ$1,Haver_M!$B$1:$ZN$1,0))),INDEX(Haver_M!$B$1:$ZN$1000,MATCH(data!$A109,Haver_M!$B$1:$B$1000,0),MATCH(data!AQ$1,Haver_M!$B$1:$ZN$1,0)),"na")</f>
        <v>na</v>
      </c>
      <c r="AR109" t="str">
        <f>IF(ISNUMBER(INDEX(Haver_M!$B$1:$ZN$1000,MATCH(data!$A109,Haver_M!$B$1:$B$1000,0),MATCH(data!AR$1,Haver_M!$B$1:$ZN$1,0))),INDEX(Haver_M!$B$1:$ZN$1000,MATCH(data!$A109,Haver_M!$B$1:$B$1000,0),MATCH(data!AR$1,Haver_M!$B$1:$ZN$1,0)),"na")</f>
        <v>na</v>
      </c>
      <c r="AS109">
        <f>IF(ISNUMBER(INDEX(Haver_M!$B$1:$ZN$1000,MATCH(data!$A109,Haver_M!$B$1:$B$1000,0),MATCH(data!AS$1,Haver_M!$B$1:$ZN$1,0))),INDEX(Haver_M!$B$1:$ZN$1000,MATCH(data!$A109,Haver_M!$B$1:$B$1000,0),MATCH(data!AS$1,Haver_M!$B$1:$ZN$1,0)),"na")</f>
        <v>21509.22</v>
      </c>
      <c r="AT109">
        <f>IF(ISNUMBER(INDEX(Haver_M!$B$1:$ZN$1000,MATCH(data!$A109,Haver_M!$B$1:$B$1000,0),MATCH(data!AT$1,Haver_M!$B$1:$ZN$1,0))),INDEX(Haver_M!$B$1:$ZN$1000,MATCH(data!$A109,Haver_M!$B$1:$B$1000,0),MATCH(data!AT$1,Haver_M!$B$1:$ZN$1,0)),"na")</f>
        <v>92.206000000000003</v>
      </c>
      <c r="AU109">
        <f>IF(ISNUMBER(INDEX(Haver_M!$B$1:$ZN$1000,MATCH(data!$A109,Haver_M!$B$1:$B$1000,0),MATCH(data!AU$1,Haver_M!$B$1:$ZN$1,0))),INDEX(Haver_M!$B$1:$ZN$1000,MATCH(data!$A109,Haver_M!$B$1:$B$1000,0),MATCH(data!AU$1,Haver_M!$B$1:$ZN$1,0)),"na")</f>
        <v>89.804321999999999</v>
      </c>
      <c r="AV109">
        <f>IF(ISNUMBER(INDEX(Haver_M!$B$1:$ZN$1000,MATCH(data!$A109,Haver_M!$B$1:$B$1000,0),MATCH(data!AV$1,Haver_M!$B$1:$ZN$1,0))),INDEX(Haver_M!$B$1:$ZN$1000,MATCH(data!$A109,Haver_M!$B$1:$B$1000,0),MATCH(data!AV$1,Haver_M!$B$1:$ZN$1,0)),"na")</f>
        <v>92.9</v>
      </c>
      <c r="AW109">
        <f>IF(ISNUMBER(INDEX(Haver_M!$B$1:$ZN$1000,MATCH(data!$A109,Haver_M!$B$1:$B$1000,0),MATCH(data!AW$1,Haver_M!$B$1:$ZN$1,0))),INDEX(Haver_M!$B$1:$ZN$1000,MATCH(data!$A109,Haver_M!$B$1:$B$1000,0),MATCH(data!AW$1,Haver_M!$B$1:$ZN$1,0)),"na")</f>
        <v>1012759.4554612372</v>
      </c>
      <c r="AX109">
        <f>IF(ISNUMBER(INDEX(Haver_M!$B$1:$ZN$1000,MATCH(data!$A109,Haver_M!$B$1:$B$1000,0),MATCH(data!AX$1,Haver_M!$B$1:$ZN$1,0))),INDEX(Haver_M!$B$1:$ZN$1000,MATCH(data!$A109,Haver_M!$B$1:$B$1000,0),MATCH(data!AX$1,Haver_M!$B$1:$ZN$1,0)),"na")</f>
        <v>2709</v>
      </c>
      <c r="AY109">
        <f>IF(ISNUMBER(INDEX(Haver_M!$B$1:$ZN$1000,MATCH(data!$A109,Haver_M!$B$1:$B$1000,0),MATCH(data!AY$1,Haver_M!$B$1:$ZN$1,0))),INDEX(Haver_M!$B$1:$ZN$1000,MATCH(data!$A109,Haver_M!$B$1:$B$1000,0),MATCH(data!AY$1,Haver_M!$B$1:$ZN$1,0)),"na")</f>
        <v>1327</v>
      </c>
      <c r="AZ109">
        <f>IF(ISNUMBER(INDEX(Haver_M!$B$1:$ZN$1000,MATCH(data!$A109,Haver_M!$B$1:$B$1000,0),MATCH(data!AZ$1,Haver_M!$B$1:$ZN$1,0))),INDEX(Haver_M!$B$1:$ZN$1000,MATCH(data!$A109,Haver_M!$B$1:$B$1000,0),MATCH(data!AZ$1,Haver_M!$B$1:$ZN$1,0)),"na")</f>
        <v>46.1</v>
      </c>
      <c r="BA109">
        <f>IF(ISNUMBER(INDEX(Haver_M!$B$1:$ZN$1000,MATCH(data!$A109,Haver_M!$B$1:$B$1000,0),MATCH(data!BA$1,Haver_M!$B$1:$ZN$1,0))),INDEX(Haver_M!$B$1:$ZN$1000,MATCH(data!$A109,Haver_M!$B$1:$B$1000,0),MATCH(data!BA$1,Haver_M!$B$1:$ZN$1,0)),"na")</f>
        <v>107.19720824405769</v>
      </c>
      <c r="BB109" t="str">
        <f>IF(ISNUMBER(INDEX(Haver_M!$B$1:$ZN$1000,MATCH(data!$A109,Haver_M!$B$1:$B$1000,0),MATCH(data!BB$1,Haver_M!$B$1:$ZN$1,0))),INDEX(Haver_M!$B$1:$ZN$1000,MATCH(data!$A109,Haver_M!$B$1:$B$1000,0),MATCH(data!BB$1,Haver_M!$B$1:$ZN$1,0)),"")</f>
        <v/>
      </c>
    </row>
    <row r="110" spans="1:54" x14ac:dyDescent="0.25">
      <c r="A110" s="2">
        <v>39844</v>
      </c>
      <c r="B110" t="str">
        <f>IF(ISNUMBER(INDEX(Haver_Q!$B$1:$BD$1000,MATCH(data!$A110,Haver_Q!$B$1:$B$1000,0),MATCH(data!B$1,Haver_Q!$B$1:$BD$1,0))),100*INDEX(Haver_Q!$B$1:$BD$1000,MATCH(data!$A110,Haver_Q!$B$1:$B$1000,0),MATCH(data!B$1,Haver_Q!$B$1:$BD$1,0)),"na")</f>
        <v>na</v>
      </c>
      <c r="C110" t="str">
        <f>IF(ISNUMBER(INDEX(Haver_Q!$B$1:$BD$1000,MATCH(data!$A110,Haver_Q!$B$1:$B$1000,0),MATCH(data!C$1,Haver_Q!$B$1:$BD$1,0))),100*INDEX(Haver_Q!$B$1:$BD$1000,MATCH(data!$A110,Haver_Q!$B$1:$B$1000,0),MATCH(data!C$1,Haver_Q!$B$1:$BD$1,0)),"na")</f>
        <v>na</v>
      </c>
      <c r="D110" t="str">
        <f>IF(ISNUMBER(INDEX(Haver_Q!$B$1:$BD$1000,MATCH(data!$A110,Haver_Q!$B$1:$B$1000,0),MATCH(data!D$1,Haver_Q!$B$1:$BD$1,0))),100*INDEX(Haver_Q!$B$1:$BD$1000,MATCH(data!$A110,Haver_Q!$B$1:$B$1000,0),MATCH(data!D$1,Haver_Q!$B$1:$BD$1,0)),"na")</f>
        <v>na</v>
      </c>
      <c r="E110" t="str">
        <f>IF(ISNUMBER(INDEX(Haver_Q!$B$1:$BD$1000,MATCH(data!$A110,Haver_Q!$B$1:$B$1000,0),MATCH(data!E$1,Haver_Q!$B$1:$BD$1,0))),100*INDEX(Haver_Q!$B$1:$BD$1000,MATCH(data!$A110,Haver_Q!$B$1:$B$1000,0),MATCH(data!E$1,Haver_Q!$B$1:$BD$1,0)),"na")</f>
        <v>na</v>
      </c>
      <c r="F110" t="str">
        <f>IF(ISNUMBER(INDEX(Haver_Q!$B$1:$BD$1000,MATCH(data!$A110,Haver_Q!$B$1:$B$1000,0),MATCH(data!F$1,Haver_Q!$B$1:$BD$1,0))),100*INDEX(Haver_Q!$B$1:$BD$1000,MATCH(data!$A110,Haver_Q!$B$1:$B$1000,0),MATCH(data!F$1,Haver_Q!$B$1:$BD$1,0)),"na")</f>
        <v>na</v>
      </c>
      <c r="G110" t="str">
        <f>IF(ISNUMBER(INDEX(Haver_Q!$B$1:$BD$1000,MATCH(data!$A110,Haver_Q!$B$1:$B$1000,0),MATCH(data!G$1,Haver_Q!$B$1:$BD$1,0))),100*INDEX(Haver_Q!$B$1:$BD$1000,MATCH(data!$A110,Haver_Q!$B$1:$B$1000,0),MATCH(data!G$1,Haver_Q!$B$1:$BD$1,0)),"na")</f>
        <v>na</v>
      </c>
      <c r="H110" t="str">
        <f>IF(ISNUMBER(INDEX(Haver_Q!$B$1:$BD$1000,MATCH(data!$A110,Haver_Q!$B$1:$B$1000,0),MATCH(data!H$1,Haver_Q!$B$1:$BD$1,0))),100*INDEX(Haver_Q!$B$1:$BD$1000,MATCH(data!$A110,Haver_Q!$B$1:$B$1000,0),MATCH(data!H$1,Haver_Q!$B$1:$BD$1,0)),"na")</f>
        <v>na</v>
      </c>
      <c r="I110" s="3">
        <f>IF(ISNUMBER(Bloomberg_m!C126),Bloomberg_m!C126,"na")</f>
        <v>905</v>
      </c>
      <c r="J110" s="3" t="str">
        <f>IF(ISNUMBER(Bloomberg_m!D126),Bloomberg_m!D126,"na")</f>
        <v>na</v>
      </c>
      <c r="K110" s="3" t="str">
        <f>IF(ISNUMBER(Bloomberg_m!E126),Bloomberg_m!E126,"na")</f>
        <v>na</v>
      </c>
      <c r="L110" s="3">
        <f>IF(ISNUMBER(Bloomberg_m!L126),Bloomberg_m!L126,"na")</f>
        <v>41.74</v>
      </c>
      <c r="M110">
        <f>IF(ISNUMBER(INDEX(Haver_M!$B$1:$ZN$1000,MATCH(data!$A110,Haver_M!$B$1:$B$1000,0),MATCH(data!M$1,Haver_M!$B$1:$ZN$1,0))),INDEX(Haver_M!$B$1:$ZN$1000,MATCH(data!$A110,Haver_M!$B$1:$B$1000,0),MATCH(data!M$1,Haver_M!$B$1:$ZN$1,0)),"na")</f>
        <v>7.75</v>
      </c>
      <c r="N110">
        <f>IF(ISNUMBER(INDEX(Haver_M!$B$1:$ZN$1000,MATCH(data!$A110,Haver_M!$B$1:$B$1000,0),MATCH(data!N$1,Haver_M!$B$1:$ZN$1,0))),INDEX(Haver_M!$B$1:$ZN$1000,MATCH(data!$A110,Haver_M!$B$1:$B$1000,0),MATCH(data!N$1,Haver_M!$B$1:$ZN$1,0)),"na")</f>
        <v>7.5683999999999996</v>
      </c>
      <c r="O110">
        <f>IF(ISNUMBER(INDEX(Haver_M!$B$1:$ZN$1000,MATCH(data!$A110,Haver_M!$B$1:$B$1000,0),MATCH(data!O$1,Haver_M!$B$1:$ZN$1,0))),INDEX(Haver_M!$B$1:$ZN$1000,MATCH(data!$A110,Haver_M!$B$1:$B$1000,0),MATCH(data!O$1,Haver_M!$B$1:$ZN$1,0)),"na")</f>
        <v>91.342889999999997</v>
      </c>
      <c r="P110">
        <f>IF(ISNUMBER(INDEX(Haver_M!$B$1:$ZN$1000,MATCH(data!$A110,Haver_M!$B$1:$B$1000,0),MATCH(data!P$1,Haver_M!$B$1:$ZN$1,0))),INDEX(Haver_M!$B$1:$ZN$1000,MATCH(data!$A110,Haver_M!$B$1:$B$1000,0),MATCH(data!P$1,Haver_M!$B$1:$ZN$1,0)),"na")</f>
        <v>69.071299999999994</v>
      </c>
      <c r="Q110">
        <f>IF(ISNUMBER(INDEX(Haver_M!$B$1:$ZN$1000,MATCH(data!$A110,Haver_M!$B$1:$B$1000,0),MATCH(data!Q$1,Haver_M!$B$1:$ZN$1,0))),INDEX(Haver_M!$B$1:$ZN$1000,MATCH(data!$A110,Haver_M!$B$1:$B$1000,0),MATCH(data!Q$1,Haver_M!$B$1:$ZN$1,0)),"na")</f>
        <v>72.726500000000001</v>
      </c>
      <c r="R110">
        <f>IF(ISNUMBER(INDEX(Haver_M!$B$1:$ZN$1000,MATCH(data!$A110,Haver_M!$B$1:$B$1000,0),MATCH(data!R$1,Haver_M!$B$1:$ZN$1,0))),INDEX(Haver_M!$B$1:$ZN$1000,MATCH(data!$A110,Haver_M!$B$1:$B$1000,0),MATCH(data!R$1,Haver_M!$B$1:$ZN$1,0)),"na")</f>
        <v>90.543300000000002</v>
      </c>
      <c r="S110">
        <f>IF(ISNUMBER(INDEX(Haver_M!$B$1:$ZN$1000,MATCH(data!$A110,Haver_M!$B$1:$B$1000,0),MATCH(data!S$1,Haver_M!$B$1:$ZN$1,0))),INDEX(Haver_M!$B$1:$ZN$1000,MATCH(data!$A110,Haver_M!$B$1:$B$1000,0),MATCH(data!S$1,Haver_M!$B$1:$ZN$1,0)),"na")</f>
        <v>100.7672</v>
      </c>
      <c r="T110">
        <f>IF(ISNUMBER(INDEX(Haver_M!$B$1:$ZN$1000,MATCH(data!$A110,Haver_M!$B$1:$B$1000,0),MATCH(data!T$1,Haver_M!$B$1:$ZN$1,0))),INDEX(Haver_M!$B$1:$ZN$1000,MATCH(data!$A110,Haver_M!$B$1:$B$1000,0),MATCH(data!T$1,Haver_M!$B$1:$ZN$1,0)),"na")</f>
        <v>85.150800000000004</v>
      </c>
      <c r="U110">
        <f>IF(ISNUMBER(INDEX(Haver_M!$B$1:$ZN$1000,MATCH(data!$A110,Haver_M!$B$1:$B$1000,0),MATCH(data!U$1,Haver_M!$B$1:$ZN$1,0))),INDEX(Haver_M!$B$1:$ZN$1000,MATCH(data!$A110,Haver_M!$B$1:$B$1000,0),MATCH(data!U$1,Haver_M!$B$1:$ZN$1,0)),"na")</f>
        <v>98.140100000000004</v>
      </c>
      <c r="V110">
        <f>IF(ISNUMBER(INDEX(Haver_M!$B$1:$ZN$1000,MATCH(data!$A110,Haver_M!$B$1:$B$1000,0),MATCH(data!V$1,Haver_M!$B$1:$ZN$1,0))),INDEX(Haver_M!$B$1:$ZN$1000,MATCH(data!$A110,Haver_M!$B$1:$B$1000,0),MATCH(data!V$1,Haver_M!$B$1:$ZN$1,0)),"na")</f>
        <v>84.257199999999997</v>
      </c>
      <c r="W110">
        <f>IF(ISNUMBER(INDEX(Haver_M!$B$1:$ZN$1000,MATCH(data!$A110,Haver_M!$B$1:$B$1000,0),MATCH(data!W$1,Haver_M!$B$1:$ZN$1,0))),INDEX(Haver_M!$B$1:$ZN$1000,MATCH(data!$A110,Haver_M!$B$1:$B$1000,0),MATCH(data!W$1,Haver_M!$B$1:$ZN$1,0)),"na")</f>
        <v>4.78</v>
      </c>
      <c r="X110">
        <f>IF(ISNUMBER(INDEX(Haver_M!$B$1:$ZN$1000,MATCH(data!$A110,Haver_M!$B$1:$B$1000,0),MATCH(data!X$1,Haver_M!$B$1:$ZN$1,0))),INDEX(Haver_M!$B$1:$ZN$1000,MATCH(data!$A110,Haver_M!$B$1:$B$1000,0),MATCH(data!X$1,Haver_M!$B$1:$ZN$1,0)),"na")</f>
        <v>100.1</v>
      </c>
      <c r="Y110">
        <f>IF(ISNUMBER(INDEX(Haver_M!$B$1:$ZN$1000,MATCH(data!$A110,Haver_M!$B$1:$B$1000,0),MATCH(data!Y$1,Haver_M!$B$1:$ZN$1,0))),INDEX(Haver_M!$B$1:$ZN$1000,MATCH(data!$A110,Haver_M!$B$1:$B$1000,0),MATCH(data!Y$1,Haver_M!$B$1:$ZN$1,0)),"na")</f>
        <v>95.66</v>
      </c>
      <c r="Z110">
        <f>IF(ISNUMBER(INDEX(Haver_M!$B$1:$ZN$1000,MATCH(data!$A110,Haver_M!$B$1:$B$1000,0),MATCH(data!Z$1,Haver_M!$B$1:$ZN$1,0))),INDEX(Haver_M!$B$1:$ZN$1000,MATCH(data!$A110,Haver_M!$B$1:$B$1000,0),MATCH(data!Z$1,Haver_M!$B$1:$ZN$1,0)),"na")</f>
        <v>95.603499999999997</v>
      </c>
      <c r="AA110">
        <f>IF(ISNUMBER(INDEX(Haver_M!$B$1:$ZN$1000,MATCH(data!$A110,Haver_M!$B$1:$B$1000,0),MATCH(data!AA$1,Haver_M!$B$1:$ZN$1,0))),INDEX(Haver_M!$B$1:$ZN$1000,MATCH(data!$A110,Haver_M!$B$1:$B$1000,0),MATCH(data!AA$1,Haver_M!$B$1:$ZN$1,0)),"na")</f>
        <v>89.584599999999995</v>
      </c>
      <c r="AB110">
        <f>IF(ISNUMBER(INDEX(Haver_M!$B$1:$ZN$1000,MATCH(data!$A110,Haver_M!$B$1:$B$1000,0),MATCH(data!AB$1,Haver_M!$B$1:$ZN$1,0))),INDEX(Haver_M!$B$1:$ZN$1000,MATCH(data!$A110,Haver_M!$B$1:$B$1000,0),MATCH(data!AB$1,Haver_M!$B$1:$ZN$1,0)),"na")</f>
        <v>17644.2</v>
      </c>
      <c r="AC110">
        <f>IF(ISNUMBER(INDEX(Haver_M!$B$1:$ZN$1000,MATCH(data!$A110,Haver_M!$B$1:$B$1000,0),MATCH(data!AC$1,Haver_M!$B$1:$ZN$1,0))),INDEX(Haver_M!$B$1:$ZN$1000,MATCH(data!$A110,Haver_M!$B$1:$B$1000,0),MATCH(data!AC$1,Haver_M!$B$1:$ZN$1,0)),"na")</f>
        <v>18893.400000000001</v>
      </c>
      <c r="AD110">
        <f>IF(ISNUMBER(INDEX(Haver_M!$B$1:$ZN$1000,MATCH(data!$A110,Haver_M!$B$1:$B$1000,0),MATCH(data!AD$1,Haver_M!$B$1:$ZN$1,0))),INDEX(Haver_M!$B$1:$ZN$1000,MATCH(data!$A110,Haver_M!$B$1:$B$1000,0),MATCH(data!AD$1,Haver_M!$B$1:$ZN$1,0)),"na")</f>
        <v>98.74</v>
      </c>
      <c r="AE110">
        <f>IF(ISNUMBER(INDEX(Haver_M!$B$1:$ZN$1000,MATCH(data!$A110,Haver_M!$B$1:$B$1000,0),MATCH(data!AE$1,Haver_M!$B$1:$ZN$1,0))),INDEX(Haver_M!$B$1:$ZN$1000,MATCH(data!$A110,Haver_M!$B$1:$B$1000,0),MATCH(data!AE$1,Haver_M!$B$1:$ZN$1,0)),"na")</f>
        <v>34.200000000000003</v>
      </c>
      <c r="AF110">
        <f>IF(ISNUMBER(INDEX(Haver_M!$B$1:$ZN$1000,MATCH(data!$A110,Haver_M!$B$1:$B$1000,0),MATCH(data!AF$1,Haver_M!$B$1:$ZN$1,0))),INDEX(Haver_M!$B$1:$ZN$1000,MATCH(data!$A110,Haver_M!$B$1:$B$1000,0),MATCH(data!AF$1,Haver_M!$B$1:$ZN$1,0)),"na")</f>
        <v>95.27</v>
      </c>
      <c r="AG110" t="str">
        <f>IF(ISNUMBER(INDEX(Haver_M!$B$1:$ZN$1000,MATCH(data!$A110,Haver_M!$B$1:$B$1000,0),MATCH(data!AG$1,Haver_M!$B$1:$ZN$1,0))),INDEX(Haver_M!$B$1:$ZN$1000,MATCH(data!$A110,Haver_M!$B$1:$B$1000,0),MATCH(data!AG$1,Haver_M!$B$1:$ZN$1,0)),"na")</f>
        <v>na</v>
      </c>
      <c r="AH110" t="str">
        <f>IF(ISNUMBER(INDEX(Haver_M!$B$1:$ZN$1000,MATCH(data!$A110,Haver_M!$B$1:$B$1000,0),MATCH(data!AH$1,Haver_M!$B$1:$ZN$1,0))),INDEX(Haver_M!$B$1:$ZN$1000,MATCH(data!$A110,Haver_M!$B$1:$B$1000,0),MATCH(data!AH$1,Haver_M!$B$1:$ZN$1,0)),"na")</f>
        <v>na</v>
      </c>
      <c r="AI110" t="str">
        <f>IF(ISNUMBER(INDEX(Haver_M!$B$1:$ZN$1000,MATCH(data!$A110,Haver_M!$B$1:$B$1000,0),MATCH(data!AI$1,Haver_M!$B$1:$ZN$1,0))),INDEX(Haver_M!$B$1:$ZN$1000,MATCH(data!$A110,Haver_M!$B$1:$B$1000,0),MATCH(data!AI$1,Haver_M!$B$1:$ZN$1,0)),"na")</f>
        <v>na</v>
      </c>
      <c r="AJ110" t="str">
        <f>IF(ISNUMBER(INDEX(Haver_M!$B$1:$ZN$1000,MATCH(data!$A110,Haver_M!$B$1:$B$1000,0),MATCH(data!AJ$1,Haver_M!$B$1:$ZN$1,0))),INDEX(Haver_M!$B$1:$ZN$1000,MATCH(data!$A110,Haver_M!$B$1:$B$1000,0),MATCH(data!AJ$1,Haver_M!$B$1:$ZN$1,0)),"na")</f>
        <v>na</v>
      </c>
      <c r="AK110" t="str">
        <f>IF(ISNUMBER(INDEX(Haver_M!$B$1:$ZN$1000,MATCH(data!$A110,Haver_M!$B$1:$B$1000,0),MATCH(data!AK$1,Haver_M!$B$1:$ZN$1,0))),INDEX(Haver_M!$B$1:$ZN$1000,MATCH(data!$A110,Haver_M!$B$1:$B$1000,0),MATCH(data!AK$1,Haver_M!$B$1:$ZN$1,0)),"na")</f>
        <v>na</v>
      </c>
      <c r="AL110" t="str">
        <f>IF(ISNUMBER(INDEX(Haver_M!$B$1:$ZN$1000,MATCH(data!$A110,Haver_M!$B$1:$B$1000,0),MATCH(data!AL$1,Haver_M!$B$1:$ZN$1,0))),INDEX(Haver_M!$B$1:$ZN$1000,MATCH(data!$A110,Haver_M!$B$1:$B$1000,0),MATCH(data!AL$1,Haver_M!$B$1:$ZN$1,0)),"na")</f>
        <v>na</v>
      </c>
      <c r="AM110" t="str">
        <f>IF(ISNUMBER(INDEX(Haver_M!$B$1:$ZN$1000,MATCH(data!$A110,Haver_M!$B$1:$B$1000,0),MATCH(data!AM$1,Haver_M!$B$1:$ZN$1,0))),INDEX(Haver_M!$B$1:$ZN$1000,MATCH(data!$A110,Haver_M!$B$1:$B$1000,0),MATCH(data!AM$1,Haver_M!$B$1:$ZN$1,0)),"na")</f>
        <v>na</v>
      </c>
      <c r="AN110" t="str">
        <f>IF(ISNUMBER(INDEX(Haver_M!$B$1:$ZN$1000,MATCH(data!$A110,Haver_M!$B$1:$B$1000,0),MATCH(data!AN$1,Haver_M!$B$1:$ZN$1,0))),INDEX(Haver_M!$B$1:$ZN$1000,MATCH(data!$A110,Haver_M!$B$1:$B$1000,0),MATCH(data!AN$1,Haver_M!$B$1:$ZN$1,0)),"na")</f>
        <v>na</v>
      </c>
      <c r="AO110" t="str">
        <f>IF(ISNUMBER(INDEX(Haver_M!$B$1:$ZN$1000,MATCH(data!$A110,Haver_M!$B$1:$B$1000,0),MATCH(data!AO$1,Haver_M!$B$1:$ZN$1,0))),INDEX(Haver_M!$B$1:$ZN$1000,MATCH(data!$A110,Haver_M!$B$1:$B$1000,0),MATCH(data!AO$1,Haver_M!$B$1:$ZN$1,0)),"na")</f>
        <v>na</v>
      </c>
      <c r="AP110" t="str">
        <f>IF(ISNUMBER(INDEX(Haver_M!$B$1:$ZN$1000,MATCH(data!$A110,Haver_M!$B$1:$B$1000,0),MATCH(data!AP$1,Haver_M!$B$1:$ZN$1,0))),INDEX(Haver_M!$B$1:$ZN$1000,MATCH(data!$A110,Haver_M!$B$1:$B$1000,0),MATCH(data!AP$1,Haver_M!$B$1:$ZN$1,0)),"na")</f>
        <v>na</v>
      </c>
      <c r="AQ110" t="str">
        <f>IF(ISNUMBER(INDEX(Haver_M!$B$1:$ZN$1000,MATCH(data!$A110,Haver_M!$B$1:$B$1000,0),MATCH(data!AQ$1,Haver_M!$B$1:$ZN$1,0))),INDEX(Haver_M!$B$1:$ZN$1000,MATCH(data!$A110,Haver_M!$B$1:$B$1000,0),MATCH(data!AQ$1,Haver_M!$B$1:$ZN$1,0)),"na")</f>
        <v>na</v>
      </c>
      <c r="AR110" t="str">
        <f>IF(ISNUMBER(INDEX(Haver_M!$B$1:$ZN$1000,MATCH(data!$A110,Haver_M!$B$1:$B$1000,0),MATCH(data!AR$1,Haver_M!$B$1:$ZN$1,0))),INDEX(Haver_M!$B$1:$ZN$1000,MATCH(data!$A110,Haver_M!$B$1:$B$1000,0),MATCH(data!AR$1,Haver_M!$B$1:$ZN$1,0)),"na")</f>
        <v>na</v>
      </c>
      <c r="AS110">
        <f>IF(ISNUMBER(INDEX(Haver_M!$B$1:$ZN$1000,MATCH(data!$A110,Haver_M!$B$1:$B$1000,0),MATCH(data!AS$1,Haver_M!$B$1:$ZN$1,0))),INDEX(Haver_M!$B$1:$ZN$1000,MATCH(data!$A110,Haver_M!$B$1:$B$1000,0),MATCH(data!AS$1,Haver_M!$B$1:$ZN$1,0)),"na")</f>
        <v>20699.990000000002</v>
      </c>
      <c r="AT110">
        <f>IF(ISNUMBER(INDEX(Haver_M!$B$1:$ZN$1000,MATCH(data!$A110,Haver_M!$B$1:$B$1000,0),MATCH(data!AT$1,Haver_M!$B$1:$ZN$1,0))),INDEX(Haver_M!$B$1:$ZN$1000,MATCH(data!$A110,Haver_M!$B$1:$B$1000,0),MATCH(data!AT$1,Haver_M!$B$1:$ZN$1,0)),"na")</f>
        <v>88.259</v>
      </c>
      <c r="AU110">
        <f>IF(ISNUMBER(INDEX(Haver_M!$B$1:$ZN$1000,MATCH(data!$A110,Haver_M!$B$1:$B$1000,0),MATCH(data!AU$1,Haver_M!$B$1:$ZN$1,0))),INDEX(Haver_M!$B$1:$ZN$1000,MATCH(data!$A110,Haver_M!$B$1:$B$1000,0),MATCH(data!AU$1,Haver_M!$B$1:$ZN$1,0)),"na")</f>
        <v>86.891126</v>
      </c>
      <c r="AV110">
        <f>IF(ISNUMBER(INDEX(Haver_M!$B$1:$ZN$1000,MATCH(data!$A110,Haver_M!$B$1:$B$1000,0),MATCH(data!AV$1,Haver_M!$B$1:$ZN$1,0))),INDEX(Haver_M!$B$1:$ZN$1000,MATCH(data!$A110,Haver_M!$B$1:$B$1000,0),MATCH(data!AV$1,Haver_M!$B$1:$ZN$1,0)),"na")</f>
        <v>90.2</v>
      </c>
      <c r="AW110">
        <f>IF(ISNUMBER(INDEX(Haver_M!$B$1:$ZN$1000,MATCH(data!$A110,Haver_M!$B$1:$B$1000,0),MATCH(data!AW$1,Haver_M!$B$1:$ZN$1,0))),INDEX(Haver_M!$B$1:$ZN$1000,MATCH(data!$A110,Haver_M!$B$1:$B$1000,0),MATCH(data!AW$1,Haver_M!$B$1:$ZN$1,0)),"na")</f>
        <v>1053498.5576882842</v>
      </c>
      <c r="AX110">
        <f>IF(ISNUMBER(INDEX(Haver_M!$B$1:$ZN$1000,MATCH(data!$A110,Haver_M!$B$1:$B$1000,0),MATCH(data!AX$1,Haver_M!$B$1:$ZN$1,0))),INDEX(Haver_M!$B$1:$ZN$1000,MATCH(data!$A110,Haver_M!$B$1:$B$1000,0),MATCH(data!AX$1,Haver_M!$B$1:$ZN$1,0)),"na")</f>
        <v>2683</v>
      </c>
      <c r="AY110">
        <f>IF(ISNUMBER(INDEX(Haver_M!$B$1:$ZN$1000,MATCH(data!$A110,Haver_M!$B$1:$B$1000,0),MATCH(data!AY$1,Haver_M!$B$1:$ZN$1,0))),INDEX(Haver_M!$B$1:$ZN$1000,MATCH(data!$A110,Haver_M!$B$1:$B$1000,0),MATCH(data!AY$1,Haver_M!$B$1:$ZN$1,0)),"na")</f>
        <v>1366</v>
      </c>
      <c r="AZ110">
        <f>IF(ISNUMBER(INDEX(Haver_M!$B$1:$ZN$1000,MATCH(data!$A110,Haver_M!$B$1:$B$1000,0),MATCH(data!AZ$1,Haver_M!$B$1:$ZN$1,0))),INDEX(Haver_M!$B$1:$ZN$1000,MATCH(data!$A110,Haver_M!$B$1:$B$1000,0),MATCH(data!AZ$1,Haver_M!$B$1:$ZN$1,0)),"na")</f>
        <v>47.3</v>
      </c>
      <c r="BA110">
        <f>IF(ISNUMBER(INDEX(Haver_M!$B$1:$ZN$1000,MATCH(data!$A110,Haver_M!$B$1:$B$1000,0),MATCH(data!BA$1,Haver_M!$B$1:$ZN$1,0))),INDEX(Haver_M!$B$1:$ZN$1000,MATCH(data!$A110,Haver_M!$B$1:$B$1000,0),MATCH(data!BA$1,Haver_M!$B$1:$ZN$1,0)),"na")</f>
        <v>98.252123498833086</v>
      </c>
      <c r="BB110" t="str">
        <f>IF(ISNUMBER(INDEX(Haver_M!$B$1:$ZN$1000,MATCH(data!$A110,Haver_M!$B$1:$B$1000,0),MATCH(data!BB$1,Haver_M!$B$1:$ZN$1,0))),INDEX(Haver_M!$B$1:$ZN$1000,MATCH(data!$A110,Haver_M!$B$1:$B$1000,0),MATCH(data!BB$1,Haver_M!$B$1:$ZN$1,0)),"")</f>
        <v/>
      </c>
    </row>
    <row r="111" spans="1:54" x14ac:dyDescent="0.25">
      <c r="A111" s="2">
        <v>39872</v>
      </c>
      <c r="B111" t="str">
        <f>IF(ISNUMBER(INDEX(Haver_Q!$B$1:$BD$1000,MATCH(data!$A111,Haver_Q!$B$1:$B$1000,0),MATCH(data!B$1,Haver_Q!$B$1:$BD$1,0))),100*INDEX(Haver_Q!$B$1:$BD$1000,MATCH(data!$A111,Haver_Q!$B$1:$B$1000,0),MATCH(data!B$1,Haver_Q!$B$1:$BD$1,0)),"na")</f>
        <v>na</v>
      </c>
      <c r="C111" t="str">
        <f>IF(ISNUMBER(INDEX(Haver_Q!$B$1:$BD$1000,MATCH(data!$A111,Haver_Q!$B$1:$B$1000,0),MATCH(data!C$1,Haver_Q!$B$1:$BD$1,0))),100*INDEX(Haver_Q!$B$1:$BD$1000,MATCH(data!$A111,Haver_Q!$B$1:$B$1000,0),MATCH(data!C$1,Haver_Q!$B$1:$BD$1,0)),"na")</f>
        <v>na</v>
      </c>
      <c r="D111" t="str">
        <f>IF(ISNUMBER(INDEX(Haver_Q!$B$1:$BD$1000,MATCH(data!$A111,Haver_Q!$B$1:$B$1000,0),MATCH(data!D$1,Haver_Q!$B$1:$BD$1,0))),100*INDEX(Haver_Q!$B$1:$BD$1000,MATCH(data!$A111,Haver_Q!$B$1:$B$1000,0),MATCH(data!D$1,Haver_Q!$B$1:$BD$1,0)),"na")</f>
        <v>na</v>
      </c>
      <c r="E111" t="str">
        <f>IF(ISNUMBER(INDEX(Haver_Q!$B$1:$BD$1000,MATCH(data!$A111,Haver_Q!$B$1:$B$1000,0),MATCH(data!E$1,Haver_Q!$B$1:$BD$1,0))),100*INDEX(Haver_Q!$B$1:$BD$1000,MATCH(data!$A111,Haver_Q!$B$1:$B$1000,0),MATCH(data!E$1,Haver_Q!$B$1:$BD$1,0)),"na")</f>
        <v>na</v>
      </c>
      <c r="F111" t="str">
        <f>IF(ISNUMBER(INDEX(Haver_Q!$B$1:$BD$1000,MATCH(data!$A111,Haver_Q!$B$1:$B$1000,0),MATCH(data!F$1,Haver_Q!$B$1:$BD$1,0))),100*INDEX(Haver_Q!$B$1:$BD$1000,MATCH(data!$A111,Haver_Q!$B$1:$B$1000,0),MATCH(data!F$1,Haver_Q!$B$1:$BD$1,0)),"na")</f>
        <v>na</v>
      </c>
      <c r="G111" t="str">
        <f>IF(ISNUMBER(INDEX(Haver_Q!$B$1:$BD$1000,MATCH(data!$A111,Haver_Q!$B$1:$B$1000,0),MATCH(data!G$1,Haver_Q!$B$1:$BD$1,0))),100*INDEX(Haver_Q!$B$1:$BD$1000,MATCH(data!$A111,Haver_Q!$B$1:$B$1000,0),MATCH(data!G$1,Haver_Q!$B$1:$BD$1,0)),"na")</f>
        <v>na</v>
      </c>
      <c r="H111" t="str">
        <f>IF(ISNUMBER(INDEX(Haver_Q!$B$1:$BD$1000,MATCH(data!$A111,Haver_Q!$B$1:$B$1000,0),MATCH(data!H$1,Haver_Q!$B$1:$BD$1,0))),100*INDEX(Haver_Q!$B$1:$BD$1000,MATCH(data!$A111,Haver_Q!$B$1:$B$1000,0),MATCH(data!H$1,Haver_Q!$B$1:$BD$1,0)),"na")</f>
        <v>na</v>
      </c>
      <c r="I111" s="3">
        <f>IF(ISNUMBER(Bloomberg_m!C127),Bloomberg_m!C127,"na")</f>
        <v>1816</v>
      </c>
      <c r="J111" s="3" t="str">
        <f>IF(ISNUMBER(Bloomberg_m!D127),Bloomberg_m!D127,"na")</f>
        <v>na</v>
      </c>
      <c r="K111" s="3" t="str">
        <f>IF(ISNUMBER(Bloomberg_m!E127),Bloomberg_m!E127,"na")</f>
        <v>na</v>
      </c>
      <c r="L111" s="3">
        <f>IF(ISNUMBER(Bloomberg_m!L127),Bloomberg_m!L127,"na")</f>
        <v>39.15</v>
      </c>
      <c r="M111">
        <f>IF(ISNUMBER(INDEX(Haver_M!$B$1:$ZN$1000,MATCH(data!$A111,Haver_M!$B$1:$B$1000,0),MATCH(data!M$1,Haver_M!$B$1:$ZN$1,0))),INDEX(Haver_M!$B$1:$ZN$1000,MATCH(data!$A111,Haver_M!$B$1:$B$1000,0),MATCH(data!M$1,Haver_M!$B$1:$ZN$1,0)),"na")</f>
        <v>7.5</v>
      </c>
      <c r="N111">
        <f>IF(ISNUMBER(INDEX(Haver_M!$B$1:$ZN$1000,MATCH(data!$A111,Haver_M!$B$1:$B$1000,0),MATCH(data!N$1,Haver_M!$B$1:$ZN$1,0))),INDEX(Haver_M!$B$1:$ZN$1000,MATCH(data!$A111,Haver_M!$B$1:$B$1000,0),MATCH(data!N$1,Haver_M!$B$1:$ZN$1,0)),"na")</f>
        <v>8.1991999999999994</v>
      </c>
      <c r="O111">
        <f>IF(ISNUMBER(INDEX(Haver_M!$B$1:$ZN$1000,MATCH(data!$A111,Haver_M!$B$1:$B$1000,0),MATCH(data!O$1,Haver_M!$B$1:$ZN$1,0))),INDEX(Haver_M!$B$1:$ZN$1000,MATCH(data!$A111,Haver_M!$B$1:$B$1000,0),MATCH(data!O$1,Haver_M!$B$1:$ZN$1,0)),"na")</f>
        <v>87.752080000000007</v>
      </c>
      <c r="P111">
        <f>IF(ISNUMBER(INDEX(Haver_M!$B$1:$ZN$1000,MATCH(data!$A111,Haver_M!$B$1:$B$1000,0),MATCH(data!P$1,Haver_M!$B$1:$ZN$1,0))),INDEX(Haver_M!$B$1:$ZN$1000,MATCH(data!$A111,Haver_M!$B$1:$B$1000,0),MATCH(data!P$1,Haver_M!$B$1:$ZN$1,0)),"na")</f>
        <v>69.186400000000006</v>
      </c>
      <c r="Q111">
        <f>IF(ISNUMBER(INDEX(Haver_M!$B$1:$ZN$1000,MATCH(data!$A111,Haver_M!$B$1:$B$1000,0),MATCH(data!Q$1,Haver_M!$B$1:$ZN$1,0))),INDEX(Haver_M!$B$1:$ZN$1000,MATCH(data!$A111,Haver_M!$B$1:$B$1000,0),MATCH(data!Q$1,Haver_M!$B$1:$ZN$1,0)),"na")</f>
        <v>72.983800000000002</v>
      </c>
      <c r="R111">
        <f>IF(ISNUMBER(INDEX(Haver_M!$B$1:$ZN$1000,MATCH(data!$A111,Haver_M!$B$1:$B$1000,0),MATCH(data!R$1,Haver_M!$B$1:$ZN$1,0))),INDEX(Haver_M!$B$1:$ZN$1000,MATCH(data!$A111,Haver_M!$B$1:$B$1000,0),MATCH(data!R$1,Haver_M!$B$1:$ZN$1,0)),"na")</f>
        <v>89.921000000000006</v>
      </c>
      <c r="S111">
        <f>IF(ISNUMBER(INDEX(Haver_M!$B$1:$ZN$1000,MATCH(data!$A111,Haver_M!$B$1:$B$1000,0),MATCH(data!S$1,Haver_M!$B$1:$ZN$1,0))),INDEX(Haver_M!$B$1:$ZN$1000,MATCH(data!$A111,Haver_M!$B$1:$B$1000,0),MATCH(data!S$1,Haver_M!$B$1:$ZN$1,0)),"na")</f>
        <v>99.7864</v>
      </c>
      <c r="T111">
        <f>IF(ISNUMBER(INDEX(Haver_M!$B$1:$ZN$1000,MATCH(data!$A111,Haver_M!$B$1:$B$1000,0),MATCH(data!T$1,Haver_M!$B$1:$ZN$1,0))),INDEX(Haver_M!$B$1:$ZN$1000,MATCH(data!$A111,Haver_M!$B$1:$B$1000,0),MATCH(data!T$1,Haver_M!$B$1:$ZN$1,0)),"na")</f>
        <v>85.6648</v>
      </c>
      <c r="U111">
        <f>IF(ISNUMBER(INDEX(Haver_M!$B$1:$ZN$1000,MATCH(data!$A111,Haver_M!$B$1:$B$1000,0),MATCH(data!U$1,Haver_M!$B$1:$ZN$1,0))),INDEX(Haver_M!$B$1:$ZN$1000,MATCH(data!$A111,Haver_M!$B$1:$B$1000,0),MATCH(data!U$1,Haver_M!$B$1:$ZN$1,0)),"na")</f>
        <v>94.758700000000005</v>
      </c>
      <c r="V111">
        <f>IF(ISNUMBER(INDEX(Haver_M!$B$1:$ZN$1000,MATCH(data!$A111,Haver_M!$B$1:$B$1000,0),MATCH(data!V$1,Haver_M!$B$1:$ZN$1,0))),INDEX(Haver_M!$B$1:$ZN$1000,MATCH(data!$A111,Haver_M!$B$1:$B$1000,0),MATCH(data!V$1,Haver_M!$B$1:$ZN$1,0)),"na")</f>
        <v>84.050899999999999</v>
      </c>
      <c r="W111">
        <f>IF(ISNUMBER(INDEX(Haver_M!$B$1:$ZN$1000,MATCH(data!$A111,Haver_M!$B$1:$B$1000,0),MATCH(data!W$1,Haver_M!$B$1:$ZN$1,0))),INDEX(Haver_M!$B$1:$ZN$1000,MATCH(data!$A111,Haver_M!$B$1:$B$1000,0),MATCH(data!W$1,Haver_M!$B$1:$ZN$1,0)),"na")</f>
        <v>5.13</v>
      </c>
      <c r="X111">
        <f>IF(ISNUMBER(INDEX(Haver_M!$B$1:$ZN$1000,MATCH(data!$A111,Haver_M!$B$1:$B$1000,0),MATCH(data!X$1,Haver_M!$B$1:$ZN$1,0))),INDEX(Haver_M!$B$1:$ZN$1000,MATCH(data!$A111,Haver_M!$B$1:$B$1000,0),MATCH(data!X$1,Haver_M!$B$1:$ZN$1,0)),"na")</f>
        <v>100.69</v>
      </c>
      <c r="Y111">
        <f>IF(ISNUMBER(INDEX(Haver_M!$B$1:$ZN$1000,MATCH(data!$A111,Haver_M!$B$1:$B$1000,0),MATCH(data!Y$1,Haver_M!$B$1:$ZN$1,0))),INDEX(Haver_M!$B$1:$ZN$1000,MATCH(data!$A111,Haver_M!$B$1:$B$1000,0),MATCH(data!Y$1,Haver_M!$B$1:$ZN$1,0)),"na")</f>
        <v>95.51</v>
      </c>
      <c r="Z111">
        <f>IF(ISNUMBER(INDEX(Haver_M!$B$1:$ZN$1000,MATCH(data!$A111,Haver_M!$B$1:$B$1000,0),MATCH(data!Z$1,Haver_M!$B$1:$ZN$1,0))),INDEX(Haver_M!$B$1:$ZN$1000,MATCH(data!$A111,Haver_M!$B$1:$B$1000,0),MATCH(data!Z$1,Haver_M!$B$1:$ZN$1,0)),"na")</f>
        <v>95.268299999999996</v>
      </c>
      <c r="AA111">
        <f>IF(ISNUMBER(INDEX(Haver_M!$B$1:$ZN$1000,MATCH(data!$A111,Haver_M!$B$1:$B$1000,0),MATCH(data!AA$1,Haver_M!$B$1:$ZN$1,0))),INDEX(Haver_M!$B$1:$ZN$1000,MATCH(data!$A111,Haver_M!$B$1:$B$1000,0),MATCH(data!AA$1,Haver_M!$B$1:$ZN$1,0)),"na")</f>
        <v>90.301000000000002</v>
      </c>
      <c r="AB111">
        <f>IF(ISNUMBER(INDEX(Haver_M!$B$1:$ZN$1000,MATCH(data!$A111,Haver_M!$B$1:$B$1000,0),MATCH(data!AB$1,Haver_M!$B$1:$ZN$1,0))),INDEX(Haver_M!$B$1:$ZN$1000,MATCH(data!$A111,Haver_M!$B$1:$B$1000,0),MATCH(data!AB$1,Haver_M!$B$1:$ZN$1,0)),"na")</f>
        <v>17455.900000000001</v>
      </c>
      <c r="AC111">
        <f>IF(ISNUMBER(INDEX(Haver_M!$B$1:$ZN$1000,MATCH(data!$A111,Haver_M!$B$1:$B$1000,0),MATCH(data!AC$1,Haver_M!$B$1:$ZN$1,0))),INDEX(Haver_M!$B$1:$ZN$1000,MATCH(data!$A111,Haver_M!$B$1:$B$1000,0),MATCH(data!AC$1,Haver_M!$B$1:$ZN$1,0)),"na")</f>
        <v>18597.599999999999</v>
      </c>
      <c r="AD111">
        <f>IF(ISNUMBER(INDEX(Haver_M!$B$1:$ZN$1000,MATCH(data!$A111,Haver_M!$B$1:$B$1000,0),MATCH(data!AD$1,Haver_M!$B$1:$ZN$1,0))),INDEX(Haver_M!$B$1:$ZN$1000,MATCH(data!$A111,Haver_M!$B$1:$B$1000,0),MATCH(data!AD$1,Haver_M!$B$1:$ZN$1,0)),"na")</f>
        <v>98.24</v>
      </c>
      <c r="AE111">
        <f>IF(ISNUMBER(INDEX(Haver_M!$B$1:$ZN$1000,MATCH(data!$A111,Haver_M!$B$1:$B$1000,0),MATCH(data!AE$1,Haver_M!$B$1:$ZN$1,0))),INDEX(Haver_M!$B$1:$ZN$1000,MATCH(data!$A111,Haver_M!$B$1:$B$1000,0),MATCH(data!AE$1,Haver_M!$B$1:$ZN$1,0)),"na")</f>
        <v>33.700000000000003</v>
      </c>
      <c r="AF111">
        <f>IF(ISNUMBER(INDEX(Haver_M!$B$1:$ZN$1000,MATCH(data!$A111,Haver_M!$B$1:$B$1000,0),MATCH(data!AF$1,Haver_M!$B$1:$ZN$1,0))),INDEX(Haver_M!$B$1:$ZN$1000,MATCH(data!$A111,Haver_M!$B$1:$B$1000,0),MATCH(data!AF$1,Haver_M!$B$1:$ZN$1,0)),"na")</f>
        <v>95.12</v>
      </c>
      <c r="AG111" t="str">
        <f>IF(ISNUMBER(INDEX(Haver_M!$B$1:$ZN$1000,MATCH(data!$A111,Haver_M!$B$1:$B$1000,0),MATCH(data!AG$1,Haver_M!$B$1:$ZN$1,0))),INDEX(Haver_M!$B$1:$ZN$1000,MATCH(data!$A111,Haver_M!$B$1:$B$1000,0),MATCH(data!AG$1,Haver_M!$B$1:$ZN$1,0)),"na")</f>
        <v>na</v>
      </c>
      <c r="AH111" t="str">
        <f>IF(ISNUMBER(INDEX(Haver_M!$B$1:$ZN$1000,MATCH(data!$A111,Haver_M!$B$1:$B$1000,0),MATCH(data!AH$1,Haver_M!$B$1:$ZN$1,0))),INDEX(Haver_M!$B$1:$ZN$1000,MATCH(data!$A111,Haver_M!$B$1:$B$1000,0),MATCH(data!AH$1,Haver_M!$B$1:$ZN$1,0)),"na")</f>
        <v>na</v>
      </c>
      <c r="AI111" t="str">
        <f>IF(ISNUMBER(INDEX(Haver_M!$B$1:$ZN$1000,MATCH(data!$A111,Haver_M!$B$1:$B$1000,0),MATCH(data!AI$1,Haver_M!$B$1:$ZN$1,0))),INDEX(Haver_M!$B$1:$ZN$1000,MATCH(data!$A111,Haver_M!$B$1:$B$1000,0),MATCH(data!AI$1,Haver_M!$B$1:$ZN$1,0)),"na")</f>
        <v>na</v>
      </c>
      <c r="AJ111" t="str">
        <f>IF(ISNUMBER(INDEX(Haver_M!$B$1:$ZN$1000,MATCH(data!$A111,Haver_M!$B$1:$B$1000,0),MATCH(data!AJ$1,Haver_M!$B$1:$ZN$1,0))),INDEX(Haver_M!$B$1:$ZN$1000,MATCH(data!$A111,Haver_M!$B$1:$B$1000,0),MATCH(data!AJ$1,Haver_M!$B$1:$ZN$1,0)),"na")</f>
        <v>na</v>
      </c>
      <c r="AK111" t="str">
        <f>IF(ISNUMBER(INDEX(Haver_M!$B$1:$ZN$1000,MATCH(data!$A111,Haver_M!$B$1:$B$1000,0),MATCH(data!AK$1,Haver_M!$B$1:$ZN$1,0))),INDEX(Haver_M!$B$1:$ZN$1000,MATCH(data!$A111,Haver_M!$B$1:$B$1000,0),MATCH(data!AK$1,Haver_M!$B$1:$ZN$1,0)),"na")</f>
        <v>na</v>
      </c>
      <c r="AL111" t="str">
        <f>IF(ISNUMBER(INDEX(Haver_M!$B$1:$ZN$1000,MATCH(data!$A111,Haver_M!$B$1:$B$1000,0),MATCH(data!AL$1,Haver_M!$B$1:$ZN$1,0))),INDEX(Haver_M!$B$1:$ZN$1000,MATCH(data!$A111,Haver_M!$B$1:$B$1000,0),MATCH(data!AL$1,Haver_M!$B$1:$ZN$1,0)),"na")</f>
        <v>na</v>
      </c>
      <c r="AM111" t="str">
        <f>IF(ISNUMBER(INDEX(Haver_M!$B$1:$ZN$1000,MATCH(data!$A111,Haver_M!$B$1:$B$1000,0),MATCH(data!AM$1,Haver_M!$B$1:$ZN$1,0))),INDEX(Haver_M!$B$1:$ZN$1000,MATCH(data!$A111,Haver_M!$B$1:$B$1000,0),MATCH(data!AM$1,Haver_M!$B$1:$ZN$1,0)),"na")</f>
        <v>na</v>
      </c>
      <c r="AN111" t="str">
        <f>IF(ISNUMBER(INDEX(Haver_M!$B$1:$ZN$1000,MATCH(data!$A111,Haver_M!$B$1:$B$1000,0),MATCH(data!AN$1,Haver_M!$B$1:$ZN$1,0))),INDEX(Haver_M!$B$1:$ZN$1000,MATCH(data!$A111,Haver_M!$B$1:$B$1000,0),MATCH(data!AN$1,Haver_M!$B$1:$ZN$1,0)),"na")</f>
        <v>na</v>
      </c>
      <c r="AO111" t="str">
        <f>IF(ISNUMBER(INDEX(Haver_M!$B$1:$ZN$1000,MATCH(data!$A111,Haver_M!$B$1:$B$1000,0),MATCH(data!AO$1,Haver_M!$B$1:$ZN$1,0))),INDEX(Haver_M!$B$1:$ZN$1000,MATCH(data!$A111,Haver_M!$B$1:$B$1000,0),MATCH(data!AO$1,Haver_M!$B$1:$ZN$1,0)),"na")</f>
        <v>na</v>
      </c>
      <c r="AP111" t="str">
        <f>IF(ISNUMBER(INDEX(Haver_M!$B$1:$ZN$1000,MATCH(data!$A111,Haver_M!$B$1:$B$1000,0),MATCH(data!AP$1,Haver_M!$B$1:$ZN$1,0))),INDEX(Haver_M!$B$1:$ZN$1000,MATCH(data!$A111,Haver_M!$B$1:$B$1000,0),MATCH(data!AP$1,Haver_M!$B$1:$ZN$1,0)),"na")</f>
        <v>na</v>
      </c>
      <c r="AQ111" t="str">
        <f>IF(ISNUMBER(INDEX(Haver_M!$B$1:$ZN$1000,MATCH(data!$A111,Haver_M!$B$1:$B$1000,0),MATCH(data!AQ$1,Haver_M!$B$1:$ZN$1,0))),INDEX(Haver_M!$B$1:$ZN$1000,MATCH(data!$A111,Haver_M!$B$1:$B$1000,0),MATCH(data!AQ$1,Haver_M!$B$1:$ZN$1,0)),"na")</f>
        <v>na</v>
      </c>
      <c r="AR111" t="str">
        <f>IF(ISNUMBER(INDEX(Haver_M!$B$1:$ZN$1000,MATCH(data!$A111,Haver_M!$B$1:$B$1000,0),MATCH(data!AR$1,Haver_M!$B$1:$ZN$1,0))),INDEX(Haver_M!$B$1:$ZN$1000,MATCH(data!$A111,Haver_M!$B$1:$B$1000,0),MATCH(data!AR$1,Haver_M!$B$1:$ZN$1,0)),"na")</f>
        <v>na</v>
      </c>
      <c r="AS111">
        <f>IF(ISNUMBER(INDEX(Haver_M!$B$1:$ZN$1000,MATCH(data!$A111,Haver_M!$B$1:$B$1000,0),MATCH(data!AS$1,Haver_M!$B$1:$ZN$1,0))),INDEX(Haver_M!$B$1:$ZN$1000,MATCH(data!$A111,Haver_M!$B$1:$B$1000,0),MATCH(data!AS$1,Haver_M!$B$1:$ZN$1,0)),"na")</f>
        <v>19070.490000000002</v>
      </c>
      <c r="AT111">
        <f>IF(ISNUMBER(INDEX(Haver_M!$B$1:$ZN$1000,MATCH(data!$A111,Haver_M!$B$1:$B$1000,0),MATCH(data!AT$1,Haver_M!$B$1:$ZN$1,0))),INDEX(Haver_M!$B$1:$ZN$1000,MATCH(data!$A111,Haver_M!$B$1:$B$1000,0),MATCH(data!AT$1,Haver_M!$B$1:$ZN$1,0)),"na")</f>
        <v>89.427000000000007</v>
      </c>
      <c r="AU111">
        <f>IF(ISNUMBER(INDEX(Haver_M!$B$1:$ZN$1000,MATCH(data!$A111,Haver_M!$B$1:$B$1000,0),MATCH(data!AU$1,Haver_M!$B$1:$ZN$1,0))),INDEX(Haver_M!$B$1:$ZN$1000,MATCH(data!$A111,Haver_M!$B$1:$B$1000,0),MATCH(data!AU$1,Haver_M!$B$1:$ZN$1,0)),"na")</f>
        <v>86.459450000000004</v>
      </c>
      <c r="AV111">
        <f>IF(ISNUMBER(INDEX(Haver_M!$B$1:$ZN$1000,MATCH(data!$A111,Haver_M!$B$1:$B$1000,0),MATCH(data!AV$1,Haver_M!$B$1:$ZN$1,0))),INDEX(Haver_M!$B$1:$ZN$1000,MATCH(data!$A111,Haver_M!$B$1:$B$1000,0),MATCH(data!AV$1,Haver_M!$B$1:$ZN$1,0)),"na")</f>
        <v>87.9</v>
      </c>
      <c r="AW111">
        <f>IF(ISNUMBER(INDEX(Haver_M!$B$1:$ZN$1000,MATCH(data!$A111,Haver_M!$B$1:$B$1000,0),MATCH(data!AW$1,Haver_M!$B$1:$ZN$1,0))),INDEX(Haver_M!$B$1:$ZN$1000,MATCH(data!$A111,Haver_M!$B$1:$B$1000,0),MATCH(data!AW$1,Haver_M!$B$1:$ZN$1,0)),"na")</f>
        <v>1056993.7381610712</v>
      </c>
      <c r="AX111">
        <f>IF(ISNUMBER(INDEX(Haver_M!$B$1:$ZN$1000,MATCH(data!$A111,Haver_M!$B$1:$B$1000,0),MATCH(data!AX$1,Haver_M!$B$1:$ZN$1,0))),INDEX(Haver_M!$B$1:$ZN$1000,MATCH(data!$A111,Haver_M!$B$1:$B$1000,0),MATCH(data!AX$1,Haver_M!$B$1:$ZN$1,0)),"na")</f>
        <v>2655</v>
      </c>
      <c r="AY111">
        <f>IF(ISNUMBER(INDEX(Haver_M!$B$1:$ZN$1000,MATCH(data!$A111,Haver_M!$B$1:$B$1000,0),MATCH(data!AY$1,Haver_M!$B$1:$ZN$1,0))),INDEX(Haver_M!$B$1:$ZN$1000,MATCH(data!$A111,Haver_M!$B$1:$B$1000,0),MATCH(data!AY$1,Haver_M!$B$1:$ZN$1,0)),"na")</f>
        <v>1257</v>
      </c>
      <c r="AZ111">
        <f>IF(ISNUMBER(INDEX(Haver_M!$B$1:$ZN$1000,MATCH(data!$A111,Haver_M!$B$1:$B$1000,0),MATCH(data!AZ$1,Haver_M!$B$1:$ZN$1,0))),INDEX(Haver_M!$B$1:$ZN$1000,MATCH(data!$A111,Haver_M!$B$1:$B$1000,0),MATCH(data!AZ$1,Haver_M!$B$1:$ZN$1,0)),"na")</f>
        <v>46.4</v>
      </c>
      <c r="BA111">
        <f>IF(ISNUMBER(INDEX(Haver_M!$B$1:$ZN$1000,MATCH(data!$A111,Haver_M!$B$1:$B$1000,0),MATCH(data!BA$1,Haver_M!$B$1:$ZN$1,0))),INDEX(Haver_M!$B$1:$ZN$1000,MATCH(data!$A111,Haver_M!$B$1:$B$1000,0),MATCH(data!BA$1,Haver_M!$B$1:$ZN$1,0)),"na")</f>
        <v>223.75583326726738</v>
      </c>
      <c r="BB111" t="str">
        <f>IF(ISNUMBER(INDEX(Haver_M!$B$1:$ZN$1000,MATCH(data!$A111,Haver_M!$B$1:$B$1000,0),MATCH(data!BB$1,Haver_M!$B$1:$ZN$1,0))),INDEX(Haver_M!$B$1:$ZN$1000,MATCH(data!$A111,Haver_M!$B$1:$B$1000,0),MATCH(data!BB$1,Haver_M!$B$1:$ZN$1,0)),"")</f>
        <v/>
      </c>
    </row>
    <row r="112" spans="1:54" x14ac:dyDescent="0.25">
      <c r="A112" s="2">
        <v>39903</v>
      </c>
      <c r="B112">
        <f>IF(ISNUMBER(INDEX(Haver_Q!$B$1:$BD$1000,MATCH(data!$A112,Haver_Q!$B$1:$B$1000,0),MATCH(data!B$1,Haver_Q!$B$1:$BD$1,0))),100*INDEX(Haver_Q!$B$1:$BD$1000,MATCH(data!$A112,Haver_Q!$B$1:$B$1000,0),MATCH(data!B$1,Haver_Q!$B$1:$BD$1,0)),"na")</f>
        <v>-18.876538693396551</v>
      </c>
      <c r="C112">
        <f>IF(ISNUMBER(INDEX(Haver_Q!$B$1:$BD$1000,MATCH(data!$A112,Haver_Q!$B$1:$B$1000,0),MATCH(data!C$1,Haver_Q!$B$1:$BD$1,0))),100*INDEX(Haver_Q!$B$1:$BD$1000,MATCH(data!$A112,Haver_Q!$B$1:$B$1000,0),MATCH(data!C$1,Haver_Q!$B$1:$BD$1,0)),"na")</f>
        <v>0.33255296947169999</v>
      </c>
      <c r="D112">
        <f>IF(ISNUMBER(INDEX(Haver_Q!$B$1:$BD$1000,MATCH(data!$A112,Haver_Q!$B$1:$B$1000,0),MATCH(data!D$1,Haver_Q!$B$1:$BD$1,0))),100*INDEX(Haver_Q!$B$1:$BD$1000,MATCH(data!$A112,Haver_Q!$B$1:$B$1000,0),MATCH(data!D$1,Haver_Q!$B$1:$BD$1,0)),"na")</f>
        <v>-15.621787224265194</v>
      </c>
      <c r="E112">
        <f>IF(ISNUMBER(INDEX(Haver_Q!$B$1:$BD$1000,MATCH(data!$A112,Haver_Q!$B$1:$B$1000,0),MATCH(data!E$1,Haver_Q!$B$1:$BD$1,0))),100*INDEX(Haver_Q!$B$1:$BD$1000,MATCH(data!$A112,Haver_Q!$B$1:$B$1000,0),MATCH(data!E$1,Haver_Q!$B$1:$BD$1,0)),"na")</f>
        <v>-34.671897185622392</v>
      </c>
      <c r="F112">
        <f>IF(ISNUMBER(INDEX(Haver_Q!$B$1:$BD$1000,MATCH(data!$A112,Haver_Q!$B$1:$B$1000,0),MATCH(data!F$1,Haver_Q!$B$1:$BD$1,0))),100*INDEX(Haver_Q!$B$1:$BD$1000,MATCH(data!$A112,Haver_Q!$B$1:$B$1000,0),MATCH(data!F$1,Haver_Q!$B$1:$BD$1,0)),"na")</f>
        <v>-30.915004122479484</v>
      </c>
      <c r="G112">
        <f>IF(ISNUMBER(INDEX(Haver_Q!$B$1:$BD$1000,MATCH(data!$A112,Haver_Q!$B$1:$B$1000,0),MATCH(data!G$1,Haver_Q!$B$1:$BD$1,0))),100*INDEX(Haver_Q!$B$1:$BD$1000,MATCH(data!$A112,Haver_Q!$B$1:$B$1000,0),MATCH(data!G$1,Haver_Q!$B$1:$BD$1,0)),"na")</f>
        <v>-42.38013758103726</v>
      </c>
      <c r="H112">
        <f>IF(ISNUMBER(INDEX(Haver_Q!$B$1:$BD$1000,MATCH(data!$A112,Haver_Q!$B$1:$B$1000,0),MATCH(data!H$1,Haver_Q!$B$1:$BD$1,0))),100*INDEX(Haver_Q!$B$1:$BD$1000,MATCH(data!$A112,Haver_Q!$B$1:$B$1000,0),MATCH(data!H$1,Haver_Q!$B$1:$BD$1,0)),"na")</f>
        <v>-565.77464845767815</v>
      </c>
      <c r="I112" s="3">
        <f>IF(ISNUMBER(Bloomberg_m!C128),Bloomberg_m!C128,"na")</f>
        <v>1958</v>
      </c>
      <c r="J112" s="3" t="str">
        <f>IF(ISNUMBER(Bloomberg_m!D128),Bloomberg_m!D128,"na")</f>
        <v>na</v>
      </c>
      <c r="K112" s="3" t="str">
        <f>IF(ISNUMBER(Bloomberg_m!E128),Bloomberg_m!E128,"na")</f>
        <v>na</v>
      </c>
      <c r="L112" s="3">
        <f>IF(ISNUMBER(Bloomberg_m!L128),Bloomberg_m!L128,"na")</f>
        <v>47.98</v>
      </c>
      <c r="M112">
        <f>IF(ISNUMBER(INDEX(Haver_M!$B$1:$ZN$1000,MATCH(data!$A112,Haver_M!$B$1:$B$1000,0),MATCH(data!M$1,Haver_M!$B$1:$ZN$1,0))),INDEX(Haver_M!$B$1:$ZN$1000,MATCH(data!$A112,Haver_M!$B$1:$B$1000,0),MATCH(data!M$1,Haver_M!$B$1:$ZN$1,0)),"na")</f>
        <v>6.75</v>
      </c>
      <c r="N112">
        <f>IF(ISNUMBER(INDEX(Haver_M!$B$1:$ZN$1000,MATCH(data!$A112,Haver_M!$B$1:$B$1000,0),MATCH(data!N$1,Haver_M!$B$1:$ZN$1,0))),INDEX(Haver_M!$B$1:$ZN$1000,MATCH(data!$A112,Haver_M!$B$1:$B$1000,0),MATCH(data!N$1,Haver_M!$B$1:$ZN$1,0)),"na")</f>
        <v>8.2495999999999992</v>
      </c>
      <c r="O112">
        <f>IF(ISNUMBER(INDEX(Haver_M!$B$1:$ZN$1000,MATCH(data!$A112,Haver_M!$B$1:$B$1000,0),MATCH(data!O$1,Haver_M!$B$1:$ZN$1,0))),INDEX(Haver_M!$B$1:$ZN$1000,MATCH(data!$A112,Haver_M!$B$1:$B$1000,0),MATCH(data!O$1,Haver_M!$B$1:$ZN$1,0)),"na")</f>
        <v>88.154820000000001</v>
      </c>
      <c r="P112">
        <f>IF(ISNUMBER(INDEX(Haver_M!$B$1:$ZN$1000,MATCH(data!$A112,Haver_M!$B$1:$B$1000,0),MATCH(data!P$1,Haver_M!$B$1:$ZN$1,0))),INDEX(Haver_M!$B$1:$ZN$1000,MATCH(data!$A112,Haver_M!$B$1:$B$1000,0),MATCH(data!P$1,Haver_M!$B$1:$ZN$1,0)),"na")</f>
        <v>69.614699999999999</v>
      </c>
      <c r="Q112">
        <f>IF(ISNUMBER(INDEX(Haver_M!$B$1:$ZN$1000,MATCH(data!$A112,Haver_M!$B$1:$B$1000,0),MATCH(data!Q$1,Haver_M!$B$1:$ZN$1,0))),INDEX(Haver_M!$B$1:$ZN$1000,MATCH(data!$A112,Haver_M!$B$1:$B$1000,0),MATCH(data!Q$1,Haver_M!$B$1:$ZN$1,0)),"na")</f>
        <v>73.348200000000006</v>
      </c>
      <c r="R112">
        <f>IF(ISNUMBER(INDEX(Haver_M!$B$1:$ZN$1000,MATCH(data!$A112,Haver_M!$B$1:$B$1000,0),MATCH(data!R$1,Haver_M!$B$1:$ZN$1,0))),INDEX(Haver_M!$B$1:$ZN$1000,MATCH(data!$A112,Haver_M!$B$1:$B$1000,0),MATCH(data!R$1,Haver_M!$B$1:$ZN$1,0)),"na")</f>
        <v>89.306600000000003</v>
      </c>
      <c r="S112">
        <f>IF(ISNUMBER(INDEX(Haver_M!$B$1:$ZN$1000,MATCH(data!$A112,Haver_M!$B$1:$B$1000,0),MATCH(data!S$1,Haver_M!$B$1:$ZN$1,0))),INDEX(Haver_M!$B$1:$ZN$1000,MATCH(data!$A112,Haver_M!$B$1:$B$1000,0),MATCH(data!S$1,Haver_M!$B$1:$ZN$1,0)),"na")</f>
        <v>99.135300000000001</v>
      </c>
      <c r="T112">
        <f>IF(ISNUMBER(INDEX(Haver_M!$B$1:$ZN$1000,MATCH(data!$A112,Haver_M!$B$1:$B$1000,0),MATCH(data!T$1,Haver_M!$B$1:$ZN$1,0))),INDEX(Haver_M!$B$1:$ZN$1000,MATCH(data!$A112,Haver_M!$B$1:$B$1000,0),MATCH(data!T$1,Haver_M!$B$1:$ZN$1,0)),"na")</f>
        <v>86.654399999999995</v>
      </c>
      <c r="U112">
        <f>IF(ISNUMBER(INDEX(Haver_M!$B$1:$ZN$1000,MATCH(data!$A112,Haver_M!$B$1:$B$1000,0),MATCH(data!U$1,Haver_M!$B$1:$ZN$1,0))),INDEX(Haver_M!$B$1:$ZN$1000,MATCH(data!$A112,Haver_M!$B$1:$B$1000,0),MATCH(data!U$1,Haver_M!$B$1:$ZN$1,0)),"na")</f>
        <v>95.154600000000002</v>
      </c>
      <c r="V112">
        <f>IF(ISNUMBER(INDEX(Haver_M!$B$1:$ZN$1000,MATCH(data!$A112,Haver_M!$B$1:$B$1000,0),MATCH(data!V$1,Haver_M!$B$1:$ZN$1,0))),INDEX(Haver_M!$B$1:$ZN$1000,MATCH(data!$A112,Haver_M!$B$1:$B$1000,0),MATCH(data!V$1,Haver_M!$B$1:$ZN$1,0)),"na")</f>
        <v>82.433499999999995</v>
      </c>
      <c r="W112">
        <f>IF(ISNUMBER(INDEX(Haver_M!$B$1:$ZN$1000,MATCH(data!$A112,Haver_M!$B$1:$B$1000,0),MATCH(data!W$1,Haver_M!$B$1:$ZN$1,0))),INDEX(Haver_M!$B$1:$ZN$1000,MATCH(data!$A112,Haver_M!$B$1:$B$1000,0),MATCH(data!W$1,Haver_M!$B$1:$ZN$1,0)),"na")</f>
        <v>5.16</v>
      </c>
      <c r="X112">
        <f>IF(ISNUMBER(INDEX(Haver_M!$B$1:$ZN$1000,MATCH(data!$A112,Haver_M!$B$1:$B$1000,0),MATCH(data!X$1,Haver_M!$B$1:$ZN$1,0))),INDEX(Haver_M!$B$1:$ZN$1000,MATCH(data!$A112,Haver_M!$B$1:$B$1000,0),MATCH(data!X$1,Haver_M!$B$1:$ZN$1,0)),"na")</f>
        <v>100.73</v>
      </c>
      <c r="Y112">
        <f>IF(ISNUMBER(INDEX(Haver_M!$B$1:$ZN$1000,MATCH(data!$A112,Haver_M!$B$1:$B$1000,0),MATCH(data!Y$1,Haver_M!$B$1:$ZN$1,0))),INDEX(Haver_M!$B$1:$ZN$1000,MATCH(data!$A112,Haver_M!$B$1:$B$1000,0),MATCH(data!Y$1,Haver_M!$B$1:$ZN$1,0)),"na")</f>
        <v>95.65</v>
      </c>
      <c r="Z112">
        <f>IF(ISNUMBER(INDEX(Haver_M!$B$1:$ZN$1000,MATCH(data!$A112,Haver_M!$B$1:$B$1000,0),MATCH(data!Z$1,Haver_M!$B$1:$ZN$1,0))),INDEX(Haver_M!$B$1:$ZN$1000,MATCH(data!$A112,Haver_M!$B$1:$B$1000,0),MATCH(data!Z$1,Haver_M!$B$1:$ZN$1,0)),"na")</f>
        <v>96.700400000000002</v>
      </c>
      <c r="AA112">
        <f>IF(ISNUMBER(INDEX(Haver_M!$B$1:$ZN$1000,MATCH(data!$A112,Haver_M!$B$1:$B$1000,0),MATCH(data!AA$1,Haver_M!$B$1:$ZN$1,0))),INDEX(Haver_M!$B$1:$ZN$1000,MATCH(data!$A112,Haver_M!$B$1:$B$1000,0),MATCH(data!AA$1,Haver_M!$B$1:$ZN$1,0)),"na")</f>
        <v>88.969200000000001</v>
      </c>
      <c r="AB112">
        <f>IF(ISNUMBER(INDEX(Haver_M!$B$1:$ZN$1000,MATCH(data!$A112,Haver_M!$B$1:$B$1000,0),MATCH(data!AB$1,Haver_M!$B$1:$ZN$1,0))),INDEX(Haver_M!$B$1:$ZN$1000,MATCH(data!$A112,Haver_M!$B$1:$B$1000,0),MATCH(data!AB$1,Haver_M!$B$1:$ZN$1,0)),"na")</f>
        <v>17366.2</v>
      </c>
      <c r="AC112">
        <f>IF(ISNUMBER(INDEX(Haver_M!$B$1:$ZN$1000,MATCH(data!$A112,Haver_M!$B$1:$B$1000,0),MATCH(data!AC$1,Haver_M!$B$1:$ZN$1,0))),INDEX(Haver_M!$B$1:$ZN$1000,MATCH(data!$A112,Haver_M!$B$1:$B$1000,0),MATCH(data!AC$1,Haver_M!$B$1:$ZN$1,0)),"na")</f>
        <v>18054.099999999999</v>
      </c>
      <c r="AD112">
        <f>IF(ISNUMBER(INDEX(Haver_M!$B$1:$ZN$1000,MATCH(data!$A112,Haver_M!$B$1:$B$1000,0),MATCH(data!AD$1,Haver_M!$B$1:$ZN$1,0))),INDEX(Haver_M!$B$1:$ZN$1000,MATCH(data!$A112,Haver_M!$B$1:$B$1000,0),MATCH(data!AD$1,Haver_M!$B$1:$ZN$1,0)),"na")</f>
        <v>97.84</v>
      </c>
      <c r="AE112">
        <f>IF(ISNUMBER(INDEX(Haver_M!$B$1:$ZN$1000,MATCH(data!$A112,Haver_M!$B$1:$B$1000,0),MATCH(data!AE$1,Haver_M!$B$1:$ZN$1,0))),INDEX(Haver_M!$B$1:$ZN$1000,MATCH(data!$A112,Haver_M!$B$1:$B$1000,0),MATCH(data!AE$1,Haver_M!$B$1:$ZN$1,0)),"na")</f>
        <v>33.4</v>
      </c>
      <c r="AF112">
        <f>IF(ISNUMBER(INDEX(Haver_M!$B$1:$ZN$1000,MATCH(data!$A112,Haver_M!$B$1:$B$1000,0),MATCH(data!AF$1,Haver_M!$B$1:$ZN$1,0))),INDEX(Haver_M!$B$1:$ZN$1000,MATCH(data!$A112,Haver_M!$B$1:$B$1000,0),MATCH(data!AF$1,Haver_M!$B$1:$ZN$1,0)),"na")</f>
        <v>95.18</v>
      </c>
      <c r="AG112" t="str">
        <f>IF(ISNUMBER(INDEX(Haver_M!$B$1:$ZN$1000,MATCH(data!$A112,Haver_M!$B$1:$B$1000,0),MATCH(data!AG$1,Haver_M!$B$1:$ZN$1,0))),INDEX(Haver_M!$B$1:$ZN$1000,MATCH(data!$A112,Haver_M!$B$1:$B$1000,0),MATCH(data!AG$1,Haver_M!$B$1:$ZN$1,0)),"na")</f>
        <v>na</v>
      </c>
      <c r="AH112" t="str">
        <f>IF(ISNUMBER(INDEX(Haver_M!$B$1:$ZN$1000,MATCH(data!$A112,Haver_M!$B$1:$B$1000,0),MATCH(data!AH$1,Haver_M!$B$1:$ZN$1,0))),INDEX(Haver_M!$B$1:$ZN$1000,MATCH(data!$A112,Haver_M!$B$1:$B$1000,0),MATCH(data!AH$1,Haver_M!$B$1:$ZN$1,0)),"na")</f>
        <v>na</v>
      </c>
      <c r="AI112" t="str">
        <f>IF(ISNUMBER(INDEX(Haver_M!$B$1:$ZN$1000,MATCH(data!$A112,Haver_M!$B$1:$B$1000,0),MATCH(data!AI$1,Haver_M!$B$1:$ZN$1,0))),INDEX(Haver_M!$B$1:$ZN$1000,MATCH(data!$A112,Haver_M!$B$1:$B$1000,0),MATCH(data!AI$1,Haver_M!$B$1:$ZN$1,0)),"na")</f>
        <v>na</v>
      </c>
      <c r="AJ112" t="str">
        <f>IF(ISNUMBER(INDEX(Haver_M!$B$1:$ZN$1000,MATCH(data!$A112,Haver_M!$B$1:$B$1000,0),MATCH(data!AJ$1,Haver_M!$B$1:$ZN$1,0))),INDEX(Haver_M!$B$1:$ZN$1000,MATCH(data!$A112,Haver_M!$B$1:$B$1000,0),MATCH(data!AJ$1,Haver_M!$B$1:$ZN$1,0)),"na")</f>
        <v>na</v>
      </c>
      <c r="AK112" t="str">
        <f>IF(ISNUMBER(INDEX(Haver_M!$B$1:$ZN$1000,MATCH(data!$A112,Haver_M!$B$1:$B$1000,0),MATCH(data!AK$1,Haver_M!$B$1:$ZN$1,0))),INDEX(Haver_M!$B$1:$ZN$1000,MATCH(data!$A112,Haver_M!$B$1:$B$1000,0),MATCH(data!AK$1,Haver_M!$B$1:$ZN$1,0)),"na")</f>
        <v>na</v>
      </c>
      <c r="AL112" t="str">
        <f>IF(ISNUMBER(INDEX(Haver_M!$B$1:$ZN$1000,MATCH(data!$A112,Haver_M!$B$1:$B$1000,0),MATCH(data!AL$1,Haver_M!$B$1:$ZN$1,0))),INDEX(Haver_M!$B$1:$ZN$1000,MATCH(data!$A112,Haver_M!$B$1:$B$1000,0),MATCH(data!AL$1,Haver_M!$B$1:$ZN$1,0)),"na")</f>
        <v>na</v>
      </c>
      <c r="AM112" t="str">
        <f>IF(ISNUMBER(INDEX(Haver_M!$B$1:$ZN$1000,MATCH(data!$A112,Haver_M!$B$1:$B$1000,0),MATCH(data!AM$1,Haver_M!$B$1:$ZN$1,0))),INDEX(Haver_M!$B$1:$ZN$1000,MATCH(data!$A112,Haver_M!$B$1:$B$1000,0),MATCH(data!AM$1,Haver_M!$B$1:$ZN$1,0)),"na")</f>
        <v>na</v>
      </c>
      <c r="AN112" t="str">
        <f>IF(ISNUMBER(INDEX(Haver_M!$B$1:$ZN$1000,MATCH(data!$A112,Haver_M!$B$1:$B$1000,0),MATCH(data!AN$1,Haver_M!$B$1:$ZN$1,0))),INDEX(Haver_M!$B$1:$ZN$1000,MATCH(data!$A112,Haver_M!$B$1:$B$1000,0),MATCH(data!AN$1,Haver_M!$B$1:$ZN$1,0)),"na")</f>
        <v>na</v>
      </c>
      <c r="AO112" t="str">
        <f>IF(ISNUMBER(INDEX(Haver_M!$B$1:$ZN$1000,MATCH(data!$A112,Haver_M!$B$1:$B$1000,0),MATCH(data!AO$1,Haver_M!$B$1:$ZN$1,0))),INDEX(Haver_M!$B$1:$ZN$1000,MATCH(data!$A112,Haver_M!$B$1:$B$1000,0),MATCH(data!AO$1,Haver_M!$B$1:$ZN$1,0)),"na")</f>
        <v>na</v>
      </c>
      <c r="AP112" t="str">
        <f>IF(ISNUMBER(INDEX(Haver_M!$B$1:$ZN$1000,MATCH(data!$A112,Haver_M!$B$1:$B$1000,0),MATCH(data!AP$1,Haver_M!$B$1:$ZN$1,0))),INDEX(Haver_M!$B$1:$ZN$1000,MATCH(data!$A112,Haver_M!$B$1:$B$1000,0),MATCH(data!AP$1,Haver_M!$B$1:$ZN$1,0)),"na")</f>
        <v>na</v>
      </c>
      <c r="AQ112" t="str">
        <f>IF(ISNUMBER(INDEX(Haver_M!$B$1:$ZN$1000,MATCH(data!$A112,Haver_M!$B$1:$B$1000,0),MATCH(data!AQ$1,Haver_M!$B$1:$ZN$1,0))),INDEX(Haver_M!$B$1:$ZN$1000,MATCH(data!$A112,Haver_M!$B$1:$B$1000,0),MATCH(data!AQ$1,Haver_M!$B$1:$ZN$1,0)),"na")</f>
        <v>na</v>
      </c>
      <c r="AR112" t="str">
        <f>IF(ISNUMBER(INDEX(Haver_M!$B$1:$ZN$1000,MATCH(data!$A112,Haver_M!$B$1:$B$1000,0),MATCH(data!AR$1,Haver_M!$B$1:$ZN$1,0))),INDEX(Haver_M!$B$1:$ZN$1000,MATCH(data!$A112,Haver_M!$B$1:$B$1000,0),MATCH(data!AR$1,Haver_M!$B$1:$ZN$1,0)),"na")</f>
        <v>na</v>
      </c>
      <c r="AS112">
        <f>IF(ISNUMBER(INDEX(Haver_M!$B$1:$ZN$1000,MATCH(data!$A112,Haver_M!$B$1:$B$1000,0),MATCH(data!AS$1,Haver_M!$B$1:$ZN$1,0))),INDEX(Haver_M!$B$1:$ZN$1000,MATCH(data!$A112,Haver_M!$B$1:$B$1000,0),MATCH(data!AS$1,Haver_M!$B$1:$ZN$1,0)),"na")</f>
        <v>18839.919999999998</v>
      </c>
      <c r="AT112">
        <f>IF(ISNUMBER(INDEX(Haver_M!$B$1:$ZN$1000,MATCH(data!$A112,Haver_M!$B$1:$B$1000,0),MATCH(data!AT$1,Haver_M!$B$1:$ZN$1,0))),INDEX(Haver_M!$B$1:$ZN$1000,MATCH(data!$A112,Haver_M!$B$1:$B$1000,0),MATCH(data!AT$1,Haver_M!$B$1:$ZN$1,0)),"na")</f>
        <v>89.619</v>
      </c>
      <c r="AU112">
        <f>IF(ISNUMBER(INDEX(Haver_M!$B$1:$ZN$1000,MATCH(data!$A112,Haver_M!$B$1:$B$1000,0),MATCH(data!AU$1,Haver_M!$B$1:$ZN$1,0))),INDEX(Haver_M!$B$1:$ZN$1000,MATCH(data!$A112,Haver_M!$B$1:$B$1000,0),MATCH(data!AU$1,Haver_M!$B$1:$ZN$1,0)),"na")</f>
        <v>86.189216999999999</v>
      </c>
      <c r="AV112">
        <f>IF(ISNUMBER(INDEX(Haver_M!$B$1:$ZN$1000,MATCH(data!$A112,Haver_M!$B$1:$B$1000,0),MATCH(data!AV$1,Haver_M!$B$1:$ZN$1,0))),INDEX(Haver_M!$B$1:$ZN$1000,MATCH(data!$A112,Haver_M!$B$1:$B$1000,0),MATCH(data!AV$1,Haver_M!$B$1:$ZN$1,0)),"na")</f>
        <v>86.8</v>
      </c>
      <c r="AW112">
        <f>IF(ISNUMBER(INDEX(Haver_M!$B$1:$ZN$1000,MATCH(data!$A112,Haver_M!$B$1:$B$1000,0),MATCH(data!AW$1,Haver_M!$B$1:$ZN$1,0))),INDEX(Haver_M!$B$1:$ZN$1000,MATCH(data!$A112,Haver_M!$B$1:$B$1000,0),MATCH(data!AW$1,Haver_M!$B$1:$ZN$1,0)),"na")</f>
        <v>995327.38053915196</v>
      </c>
      <c r="AX112">
        <f>IF(ISNUMBER(INDEX(Haver_M!$B$1:$ZN$1000,MATCH(data!$A112,Haver_M!$B$1:$B$1000,0),MATCH(data!AX$1,Haver_M!$B$1:$ZN$1,0))),INDEX(Haver_M!$B$1:$ZN$1000,MATCH(data!$A112,Haver_M!$B$1:$B$1000,0),MATCH(data!AX$1,Haver_M!$B$1:$ZN$1,0)),"na")</f>
        <v>2644</v>
      </c>
      <c r="AY112">
        <f>IF(ISNUMBER(INDEX(Haver_M!$B$1:$ZN$1000,MATCH(data!$A112,Haver_M!$B$1:$B$1000,0),MATCH(data!AY$1,Haver_M!$B$1:$ZN$1,0))),INDEX(Haver_M!$B$1:$ZN$1000,MATCH(data!$A112,Haver_M!$B$1:$B$1000,0),MATCH(data!AY$1,Haver_M!$B$1:$ZN$1,0)),"na")</f>
        <v>1213</v>
      </c>
      <c r="AZ112">
        <f>IF(ISNUMBER(INDEX(Haver_M!$B$1:$ZN$1000,MATCH(data!$A112,Haver_M!$B$1:$B$1000,0),MATCH(data!AZ$1,Haver_M!$B$1:$ZN$1,0))),INDEX(Haver_M!$B$1:$ZN$1000,MATCH(data!$A112,Haver_M!$B$1:$B$1000,0),MATCH(data!AZ$1,Haver_M!$B$1:$ZN$1,0)),"na")</f>
        <v>46.8</v>
      </c>
      <c r="BA112">
        <f>IF(ISNUMBER(INDEX(Haver_M!$B$1:$ZN$1000,MATCH(data!$A112,Haver_M!$B$1:$B$1000,0),MATCH(data!BA$1,Haver_M!$B$1:$ZN$1,0))),INDEX(Haver_M!$B$1:$ZN$1000,MATCH(data!$A112,Haver_M!$B$1:$B$1000,0),MATCH(data!BA$1,Haver_M!$B$1:$ZN$1,0)),"na")</f>
        <v>119.51381747094143</v>
      </c>
      <c r="BB112" t="str">
        <f>IF(ISNUMBER(INDEX(Haver_M!$B$1:$ZN$1000,MATCH(data!$A112,Haver_M!$B$1:$B$1000,0),MATCH(data!BB$1,Haver_M!$B$1:$ZN$1,0))),INDEX(Haver_M!$B$1:$ZN$1000,MATCH(data!$A112,Haver_M!$B$1:$B$1000,0),MATCH(data!BB$1,Haver_M!$B$1:$ZN$1,0)),"")</f>
        <v/>
      </c>
    </row>
    <row r="113" spans="1:54" x14ac:dyDescent="0.25">
      <c r="A113" s="2">
        <v>39933</v>
      </c>
      <c r="B113" t="str">
        <f>IF(ISNUMBER(INDEX(Haver_Q!$B$1:$BD$1000,MATCH(data!$A113,Haver_Q!$B$1:$B$1000,0),MATCH(data!B$1,Haver_Q!$B$1:$BD$1,0))),100*INDEX(Haver_Q!$B$1:$BD$1000,MATCH(data!$A113,Haver_Q!$B$1:$B$1000,0),MATCH(data!B$1,Haver_Q!$B$1:$BD$1,0)),"na")</f>
        <v>na</v>
      </c>
      <c r="C113" t="str">
        <f>IF(ISNUMBER(INDEX(Haver_Q!$B$1:$BD$1000,MATCH(data!$A113,Haver_Q!$B$1:$B$1000,0),MATCH(data!C$1,Haver_Q!$B$1:$BD$1,0))),100*INDEX(Haver_Q!$B$1:$BD$1000,MATCH(data!$A113,Haver_Q!$B$1:$B$1000,0),MATCH(data!C$1,Haver_Q!$B$1:$BD$1,0)),"na")</f>
        <v>na</v>
      </c>
      <c r="D113" t="str">
        <f>IF(ISNUMBER(INDEX(Haver_Q!$B$1:$BD$1000,MATCH(data!$A113,Haver_Q!$B$1:$B$1000,0),MATCH(data!D$1,Haver_Q!$B$1:$BD$1,0))),100*INDEX(Haver_Q!$B$1:$BD$1000,MATCH(data!$A113,Haver_Q!$B$1:$B$1000,0),MATCH(data!D$1,Haver_Q!$B$1:$BD$1,0)),"na")</f>
        <v>na</v>
      </c>
      <c r="E113" t="str">
        <f>IF(ISNUMBER(INDEX(Haver_Q!$B$1:$BD$1000,MATCH(data!$A113,Haver_Q!$B$1:$B$1000,0),MATCH(data!E$1,Haver_Q!$B$1:$BD$1,0))),100*INDEX(Haver_Q!$B$1:$BD$1000,MATCH(data!$A113,Haver_Q!$B$1:$B$1000,0),MATCH(data!E$1,Haver_Q!$B$1:$BD$1,0)),"na")</f>
        <v>na</v>
      </c>
      <c r="F113" t="str">
        <f>IF(ISNUMBER(INDEX(Haver_Q!$B$1:$BD$1000,MATCH(data!$A113,Haver_Q!$B$1:$B$1000,0),MATCH(data!F$1,Haver_Q!$B$1:$BD$1,0))),100*INDEX(Haver_Q!$B$1:$BD$1000,MATCH(data!$A113,Haver_Q!$B$1:$B$1000,0),MATCH(data!F$1,Haver_Q!$B$1:$BD$1,0)),"na")</f>
        <v>na</v>
      </c>
      <c r="G113" t="str">
        <f>IF(ISNUMBER(INDEX(Haver_Q!$B$1:$BD$1000,MATCH(data!$A113,Haver_Q!$B$1:$B$1000,0),MATCH(data!G$1,Haver_Q!$B$1:$BD$1,0))),100*INDEX(Haver_Q!$B$1:$BD$1000,MATCH(data!$A113,Haver_Q!$B$1:$B$1000,0),MATCH(data!G$1,Haver_Q!$B$1:$BD$1,0)),"na")</f>
        <v>na</v>
      </c>
      <c r="H113" t="str">
        <f>IF(ISNUMBER(INDEX(Haver_Q!$B$1:$BD$1000,MATCH(data!$A113,Haver_Q!$B$1:$B$1000,0),MATCH(data!H$1,Haver_Q!$B$1:$BD$1,0))),100*INDEX(Haver_Q!$B$1:$BD$1000,MATCH(data!$A113,Haver_Q!$B$1:$B$1000,0),MATCH(data!H$1,Haver_Q!$B$1:$BD$1,0)),"na")</f>
        <v>na</v>
      </c>
      <c r="I113" s="3">
        <f>IF(ISNUMBER(Bloomberg_m!C129),Bloomberg_m!C129,"na")</f>
        <v>1659</v>
      </c>
      <c r="J113" s="3" t="str">
        <f>IF(ISNUMBER(Bloomberg_m!D129),Bloomberg_m!D129,"na")</f>
        <v>na</v>
      </c>
      <c r="K113" s="3" t="str">
        <f>IF(ISNUMBER(Bloomberg_m!E129),Bloomberg_m!E129,"na")</f>
        <v>na</v>
      </c>
      <c r="L113" s="3">
        <f>IF(ISNUMBER(Bloomberg_m!L129),Bloomberg_m!L129,"na")</f>
        <v>49.81</v>
      </c>
      <c r="M113">
        <f>IF(ISNUMBER(INDEX(Haver_M!$B$1:$ZN$1000,MATCH(data!$A113,Haver_M!$B$1:$B$1000,0),MATCH(data!M$1,Haver_M!$B$1:$ZN$1,0))),INDEX(Haver_M!$B$1:$ZN$1000,MATCH(data!$A113,Haver_M!$B$1:$B$1000,0),MATCH(data!M$1,Haver_M!$B$1:$ZN$1,0)),"na")</f>
        <v>6</v>
      </c>
      <c r="N113">
        <f>IF(ISNUMBER(INDEX(Haver_M!$B$1:$ZN$1000,MATCH(data!$A113,Haver_M!$B$1:$B$1000,0),MATCH(data!N$1,Haver_M!$B$1:$ZN$1,0))),INDEX(Haver_M!$B$1:$ZN$1000,MATCH(data!$A113,Haver_M!$B$1:$B$1000,0),MATCH(data!N$1,Haver_M!$B$1:$ZN$1,0)),"na")</f>
        <v>7.6299000000000001</v>
      </c>
      <c r="O113">
        <f>IF(ISNUMBER(INDEX(Haver_M!$B$1:$ZN$1000,MATCH(data!$A113,Haver_M!$B$1:$B$1000,0),MATCH(data!O$1,Haver_M!$B$1:$ZN$1,0))),INDEX(Haver_M!$B$1:$ZN$1000,MATCH(data!$A113,Haver_M!$B$1:$B$1000,0),MATCH(data!O$1,Haver_M!$B$1:$ZN$1,0)),"na")</f>
        <v>95.687700000000007</v>
      </c>
      <c r="P113">
        <f>IF(ISNUMBER(INDEX(Haver_M!$B$1:$ZN$1000,MATCH(data!$A113,Haver_M!$B$1:$B$1000,0),MATCH(data!P$1,Haver_M!$B$1:$ZN$1,0))),INDEX(Haver_M!$B$1:$ZN$1000,MATCH(data!$A113,Haver_M!$B$1:$B$1000,0),MATCH(data!P$1,Haver_M!$B$1:$ZN$1,0)),"na")</f>
        <v>69.960999999999999</v>
      </c>
      <c r="Q113">
        <f>IF(ISNUMBER(INDEX(Haver_M!$B$1:$ZN$1000,MATCH(data!$A113,Haver_M!$B$1:$B$1000,0),MATCH(data!Q$1,Haver_M!$B$1:$ZN$1,0))),INDEX(Haver_M!$B$1:$ZN$1000,MATCH(data!$A113,Haver_M!$B$1:$B$1000,0),MATCH(data!Q$1,Haver_M!$B$1:$ZN$1,0)),"na")</f>
        <v>73.670900000000003</v>
      </c>
      <c r="R113">
        <f>IF(ISNUMBER(INDEX(Haver_M!$B$1:$ZN$1000,MATCH(data!$A113,Haver_M!$B$1:$B$1000,0),MATCH(data!R$1,Haver_M!$B$1:$ZN$1,0))),INDEX(Haver_M!$B$1:$ZN$1000,MATCH(data!$A113,Haver_M!$B$1:$B$1000,0),MATCH(data!R$1,Haver_M!$B$1:$ZN$1,0)),"na")</f>
        <v>89.441299999999998</v>
      </c>
      <c r="S113">
        <f>IF(ISNUMBER(INDEX(Haver_M!$B$1:$ZN$1000,MATCH(data!$A113,Haver_M!$B$1:$B$1000,0),MATCH(data!S$1,Haver_M!$B$1:$ZN$1,0))),INDEX(Haver_M!$B$1:$ZN$1000,MATCH(data!$A113,Haver_M!$B$1:$B$1000,0),MATCH(data!S$1,Haver_M!$B$1:$ZN$1,0)),"na")</f>
        <v>99.192599999999999</v>
      </c>
      <c r="T113">
        <f>IF(ISNUMBER(INDEX(Haver_M!$B$1:$ZN$1000,MATCH(data!$A113,Haver_M!$B$1:$B$1000,0),MATCH(data!T$1,Haver_M!$B$1:$ZN$1,0))),INDEX(Haver_M!$B$1:$ZN$1000,MATCH(data!$A113,Haver_M!$B$1:$B$1000,0),MATCH(data!T$1,Haver_M!$B$1:$ZN$1,0)),"na")</f>
        <v>87.310900000000004</v>
      </c>
      <c r="U113">
        <f>IF(ISNUMBER(INDEX(Haver_M!$B$1:$ZN$1000,MATCH(data!$A113,Haver_M!$B$1:$B$1000,0),MATCH(data!U$1,Haver_M!$B$1:$ZN$1,0))),INDEX(Haver_M!$B$1:$ZN$1000,MATCH(data!$A113,Haver_M!$B$1:$B$1000,0),MATCH(data!U$1,Haver_M!$B$1:$ZN$1,0)),"na")</f>
        <v>95.220399999999998</v>
      </c>
      <c r="V113">
        <f>IF(ISNUMBER(INDEX(Haver_M!$B$1:$ZN$1000,MATCH(data!$A113,Haver_M!$B$1:$B$1000,0),MATCH(data!V$1,Haver_M!$B$1:$ZN$1,0))),INDEX(Haver_M!$B$1:$ZN$1000,MATCH(data!$A113,Haver_M!$B$1:$B$1000,0),MATCH(data!V$1,Haver_M!$B$1:$ZN$1,0)),"na")</f>
        <v>83.273099999999999</v>
      </c>
      <c r="W113">
        <f>IF(ISNUMBER(INDEX(Haver_M!$B$1:$ZN$1000,MATCH(data!$A113,Haver_M!$B$1:$B$1000,0),MATCH(data!W$1,Haver_M!$B$1:$ZN$1,0))),INDEX(Haver_M!$B$1:$ZN$1000,MATCH(data!$A113,Haver_M!$B$1:$B$1000,0),MATCH(data!W$1,Haver_M!$B$1:$ZN$1,0)),"na")</f>
        <v>5.35</v>
      </c>
      <c r="X113">
        <f>IF(ISNUMBER(INDEX(Haver_M!$B$1:$ZN$1000,MATCH(data!$A113,Haver_M!$B$1:$B$1000,0),MATCH(data!X$1,Haver_M!$B$1:$ZN$1,0))),INDEX(Haver_M!$B$1:$ZN$1000,MATCH(data!$A113,Haver_M!$B$1:$B$1000,0),MATCH(data!X$1,Haver_M!$B$1:$ZN$1,0)),"na")</f>
        <v>100.72</v>
      </c>
      <c r="Y113">
        <f>IF(ISNUMBER(INDEX(Haver_M!$B$1:$ZN$1000,MATCH(data!$A113,Haver_M!$B$1:$B$1000,0),MATCH(data!Y$1,Haver_M!$B$1:$ZN$1,0))),INDEX(Haver_M!$B$1:$ZN$1000,MATCH(data!$A113,Haver_M!$B$1:$B$1000,0),MATCH(data!Y$1,Haver_M!$B$1:$ZN$1,0)),"na")</f>
        <v>96.02</v>
      </c>
      <c r="Z113">
        <f>IF(ISNUMBER(INDEX(Haver_M!$B$1:$ZN$1000,MATCH(data!$A113,Haver_M!$B$1:$B$1000,0),MATCH(data!Z$1,Haver_M!$B$1:$ZN$1,0))),INDEX(Haver_M!$B$1:$ZN$1000,MATCH(data!$A113,Haver_M!$B$1:$B$1000,0),MATCH(data!Z$1,Haver_M!$B$1:$ZN$1,0)),"na")</f>
        <v>94.455500000000001</v>
      </c>
      <c r="AA113">
        <f>IF(ISNUMBER(INDEX(Haver_M!$B$1:$ZN$1000,MATCH(data!$A113,Haver_M!$B$1:$B$1000,0),MATCH(data!AA$1,Haver_M!$B$1:$ZN$1,0))),INDEX(Haver_M!$B$1:$ZN$1000,MATCH(data!$A113,Haver_M!$B$1:$B$1000,0),MATCH(data!AA$1,Haver_M!$B$1:$ZN$1,0)),"na")</f>
        <v>88.135199999999998</v>
      </c>
      <c r="AB113">
        <f>IF(ISNUMBER(INDEX(Haver_M!$B$1:$ZN$1000,MATCH(data!$A113,Haver_M!$B$1:$B$1000,0),MATCH(data!AB$1,Haver_M!$B$1:$ZN$1,0))),INDEX(Haver_M!$B$1:$ZN$1000,MATCH(data!$A113,Haver_M!$B$1:$B$1000,0),MATCH(data!AB$1,Haver_M!$B$1:$ZN$1,0)),"na")</f>
        <v>17547.2</v>
      </c>
      <c r="AC113">
        <f>IF(ISNUMBER(INDEX(Haver_M!$B$1:$ZN$1000,MATCH(data!$A113,Haver_M!$B$1:$B$1000,0),MATCH(data!AC$1,Haver_M!$B$1:$ZN$1,0))),INDEX(Haver_M!$B$1:$ZN$1000,MATCH(data!$A113,Haver_M!$B$1:$B$1000,0),MATCH(data!AC$1,Haver_M!$B$1:$ZN$1,0)),"na")</f>
        <v>17712</v>
      </c>
      <c r="AD113">
        <f>IF(ISNUMBER(INDEX(Haver_M!$B$1:$ZN$1000,MATCH(data!$A113,Haver_M!$B$1:$B$1000,0),MATCH(data!AD$1,Haver_M!$B$1:$ZN$1,0))),INDEX(Haver_M!$B$1:$ZN$1000,MATCH(data!$A113,Haver_M!$B$1:$B$1000,0),MATCH(data!AD$1,Haver_M!$B$1:$ZN$1,0)),"na")</f>
        <v>97.56</v>
      </c>
      <c r="AE113">
        <f>IF(ISNUMBER(INDEX(Haver_M!$B$1:$ZN$1000,MATCH(data!$A113,Haver_M!$B$1:$B$1000,0),MATCH(data!AE$1,Haver_M!$B$1:$ZN$1,0))),INDEX(Haver_M!$B$1:$ZN$1000,MATCH(data!$A113,Haver_M!$B$1:$B$1000,0),MATCH(data!AE$1,Haver_M!$B$1:$ZN$1,0)),"na")</f>
        <v>34.5</v>
      </c>
      <c r="AF113">
        <f>IF(ISNUMBER(INDEX(Haver_M!$B$1:$ZN$1000,MATCH(data!$A113,Haver_M!$B$1:$B$1000,0),MATCH(data!AF$1,Haver_M!$B$1:$ZN$1,0))),INDEX(Haver_M!$B$1:$ZN$1000,MATCH(data!$A113,Haver_M!$B$1:$B$1000,0),MATCH(data!AF$1,Haver_M!$B$1:$ZN$1,0)),"na")</f>
        <v>95.39</v>
      </c>
      <c r="AG113" t="str">
        <f>IF(ISNUMBER(INDEX(Haver_M!$B$1:$ZN$1000,MATCH(data!$A113,Haver_M!$B$1:$B$1000,0),MATCH(data!AG$1,Haver_M!$B$1:$ZN$1,0))),INDEX(Haver_M!$B$1:$ZN$1000,MATCH(data!$A113,Haver_M!$B$1:$B$1000,0),MATCH(data!AG$1,Haver_M!$B$1:$ZN$1,0)),"na")</f>
        <v>na</v>
      </c>
      <c r="AH113" t="str">
        <f>IF(ISNUMBER(INDEX(Haver_M!$B$1:$ZN$1000,MATCH(data!$A113,Haver_M!$B$1:$B$1000,0),MATCH(data!AH$1,Haver_M!$B$1:$ZN$1,0))),INDEX(Haver_M!$B$1:$ZN$1000,MATCH(data!$A113,Haver_M!$B$1:$B$1000,0),MATCH(data!AH$1,Haver_M!$B$1:$ZN$1,0)),"na")</f>
        <v>na</v>
      </c>
      <c r="AI113" t="str">
        <f>IF(ISNUMBER(INDEX(Haver_M!$B$1:$ZN$1000,MATCH(data!$A113,Haver_M!$B$1:$B$1000,0),MATCH(data!AI$1,Haver_M!$B$1:$ZN$1,0))),INDEX(Haver_M!$B$1:$ZN$1000,MATCH(data!$A113,Haver_M!$B$1:$B$1000,0),MATCH(data!AI$1,Haver_M!$B$1:$ZN$1,0)),"na")</f>
        <v>na</v>
      </c>
      <c r="AJ113" t="str">
        <f>IF(ISNUMBER(INDEX(Haver_M!$B$1:$ZN$1000,MATCH(data!$A113,Haver_M!$B$1:$B$1000,0),MATCH(data!AJ$1,Haver_M!$B$1:$ZN$1,0))),INDEX(Haver_M!$B$1:$ZN$1000,MATCH(data!$A113,Haver_M!$B$1:$B$1000,0),MATCH(data!AJ$1,Haver_M!$B$1:$ZN$1,0)),"na")</f>
        <v>na</v>
      </c>
      <c r="AK113" t="str">
        <f>IF(ISNUMBER(INDEX(Haver_M!$B$1:$ZN$1000,MATCH(data!$A113,Haver_M!$B$1:$B$1000,0),MATCH(data!AK$1,Haver_M!$B$1:$ZN$1,0))),INDEX(Haver_M!$B$1:$ZN$1000,MATCH(data!$A113,Haver_M!$B$1:$B$1000,0),MATCH(data!AK$1,Haver_M!$B$1:$ZN$1,0)),"na")</f>
        <v>na</v>
      </c>
      <c r="AL113" t="str">
        <f>IF(ISNUMBER(INDEX(Haver_M!$B$1:$ZN$1000,MATCH(data!$A113,Haver_M!$B$1:$B$1000,0),MATCH(data!AL$1,Haver_M!$B$1:$ZN$1,0))),INDEX(Haver_M!$B$1:$ZN$1000,MATCH(data!$A113,Haver_M!$B$1:$B$1000,0),MATCH(data!AL$1,Haver_M!$B$1:$ZN$1,0)),"na")</f>
        <v>na</v>
      </c>
      <c r="AM113" t="str">
        <f>IF(ISNUMBER(INDEX(Haver_M!$B$1:$ZN$1000,MATCH(data!$A113,Haver_M!$B$1:$B$1000,0),MATCH(data!AM$1,Haver_M!$B$1:$ZN$1,0))),INDEX(Haver_M!$B$1:$ZN$1000,MATCH(data!$A113,Haver_M!$B$1:$B$1000,0),MATCH(data!AM$1,Haver_M!$B$1:$ZN$1,0)),"na")</f>
        <v>na</v>
      </c>
      <c r="AN113" t="str">
        <f>IF(ISNUMBER(INDEX(Haver_M!$B$1:$ZN$1000,MATCH(data!$A113,Haver_M!$B$1:$B$1000,0),MATCH(data!AN$1,Haver_M!$B$1:$ZN$1,0))),INDEX(Haver_M!$B$1:$ZN$1000,MATCH(data!$A113,Haver_M!$B$1:$B$1000,0),MATCH(data!AN$1,Haver_M!$B$1:$ZN$1,0)),"na")</f>
        <v>na</v>
      </c>
      <c r="AO113" t="str">
        <f>IF(ISNUMBER(INDEX(Haver_M!$B$1:$ZN$1000,MATCH(data!$A113,Haver_M!$B$1:$B$1000,0),MATCH(data!AO$1,Haver_M!$B$1:$ZN$1,0))),INDEX(Haver_M!$B$1:$ZN$1000,MATCH(data!$A113,Haver_M!$B$1:$B$1000,0),MATCH(data!AO$1,Haver_M!$B$1:$ZN$1,0)),"na")</f>
        <v>na</v>
      </c>
      <c r="AP113" t="str">
        <f>IF(ISNUMBER(INDEX(Haver_M!$B$1:$ZN$1000,MATCH(data!$A113,Haver_M!$B$1:$B$1000,0),MATCH(data!AP$1,Haver_M!$B$1:$ZN$1,0))),INDEX(Haver_M!$B$1:$ZN$1000,MATCH(data!$A113,Haver_M!$B$1:$B$1000,0),MATCH(data!AP$1,Haver_M!$B$1:$ZN$1,0)),"na")</f>
        <v>na</v>
      </c>
      <c r="AQ113" t="str">
        <f>IF(ISNUMBER(INDEX(Haver_M!$B$1:$ZN$1000,MATCH(data!$A113,Haver_M!$B$1:$B$1000,0),MATCH(data!AQ$1,Haver_M!$B$1:$ZN$1,0))),INDEX(Haver_M!$B$1:$ZN$1000,MATCH(data!$A113,Haver_M!$B$1:$B$1000,0),MATCH(data!AQ$1,Haver_M!$B$1:$ZN$1,0)),"na")</f>
        <v>na</v>
      </c>
      <c r="AR113" t="str">
        <f>IF(ISNUMBER(INDEX(Haver_M!$B$1:$ZN$1000,MATCH(data!$A113,Haver_M!$B$1:$B$1000,0),MATCH(data!AR$1,Haver_M!$B$1:$ZN$1,0))),INDEX(Haver_M!$B$1:$ZN$1000,MATCH(data!$A113,Haver_M!$B$1:$B$1000,0),MATCH(data!AR$1,Haver_M!$B$1:$ZN$1,0)),"na")</f>
        <v>na</v>
      </c>
      <c r="AS113">
        <f>IF(ISNUMBER(INDEX(Haver_M!$B$1:$ZN$1000,MATCH(data!$A113,Haver_M!$B$1:$B$1000,0),MATCH(data!AS$1,Haver_M!$B$1:$ZN$1,0))),INDEX(Haver_M!$B$1:$ZN$1000,MATCH(data!$A113,Haver_M!$B$1:$B$1000,0),MATCH(data!AS$1,Haver_M!$B$1:$ZN$1,0)),"na")</f>
        <v>21476.880000000001</v>
      </c>
      <c r="AT113">
        <f>IF(ISNUMBER(INDEX(Haver_M!$B$1:$ZN$1000,MATCH(data!$A113,Haver_M!$B$1:$B$1000,0),MATCH(data!AT$1,Haver_M!$B$1:$ZN$1,0))),INDEX(Haver_M!$B$1:$ZN$1000,MATCH(data!$A113,Haver_M!$B$1:$B$1000,0),MATCH(data!AT$1,Haver_M!$B$1:$ZN$1,0)),"na")</f>
        <v>89.150999999999996</v>
      </c>
      <c r="AU113">
        <f>IF(ISNUMBER(INDEX(Haver_M!$B$1:$ZN$1000,MATCH(data!$A113,Haver_M!$B$1:$B$1000,0),MATCH(data!AU$1,Haver_M!$B$1:$ZN$1,0))),INDEX(Haver_M!$B$1:$ZN$1000,MATCH(data!$A113,Haver_M!$B$1:$B$1000,0),MATCH(data!AU$1,Haver_M!$B$1:$ZN$1,0)),"na")</f>
        <v>85.552464000000001</v>
      </c>
      <c r="AV113">
        <f>IF(ISNUMBER(INDEX(Haver_M!$B$1:$ZN$1000,MATCH(data!$A113,Haver_M!$B$1:$B$1000,0),MATCH(data!AV$1,Haver_M!$B$1:$ZN$1,0))),INDEX(Haver_M!$B$1:$ZN$1000,MATCH(data!$A113,Haver_M!$B$1:$B$1000,0),MATCH(data!AV$1,Haver_M!$B$1:$ZN$1,0)),"na")</f>
        <v>86.1</v>
      </c>
      <c r="AW113">
        <f>IF(ISNUMBER(INDEX(Haver_M!$B$1:$ZN$1000,MATCH(data!$A113,Haver_M!$B$1:$B$1000,0),MATCH(data!AW$1,Haver_M!$B$1:$ZN$1,0))),INDEX(Haver_M!$B$1:$ZN$1000,MATCH(data!$A113,Haver_M!$B$1:$B$1000,0),MATCH(data!AW$1,Haver_M!$B$1:$ZN$1,0)),"na")</f>
        <v>1069713.6865315223</v>
      </c>
      <c r="AX113">
        <f>IF(ISNUMBER(INDEX(Haver_M!$B$1:$ZN$1000,MATCH(data!$A113,Haver_M!$B$1:$B$1000,0),MATCH(data!AX$1,Haver_M!$B$1:$ZN$1,0))),INDEX(Haver_M!$B$1:$ZN$1000,MATCH(data!$A113,Haver_M!$B$1:$B$1000,0),MATCH(data!AX$1,Haver_M!$B$1:$ZN$1,0)),"na")</f>
        <v>2624</v>
      </c>
      <c r="AY113">
        <f>IF(ISNUMBER(INDEX(Haver_M!$B$1:$ZN$1000,MATCH(data!$A113,Haver_M!$B$1:$B$1000,0),MATCH(data!AY$1,Haver_M!$B$1:$ZN$1,0))),INDEX(Haver_M!$B$1:$ZN$1000,MATCH(data!$A113,Haver_M!$B$1:$B$1000,0),MATCH(data!AY$1,Haver_M!$B$1:$ZN$1,0)),"na")</f>
        <v>1177</v>
      </c>
      <c r="AZ113">
        <f>IF(ISNUMBER(INDEX(Haver_M!$B$1:$ZN$1000,MATCH(data!$A113,Haver_M!$B$1:$B$1000,0),MATCH(data!AZ$1,Haver_M!$B$1:$ZN$1,0))),INDEX(Haver_M!$B$1:$ZN$1000,MATCH(data!$A113,Haver_M!$B$1:$B$1000,0),MATCH(data!AZ$1,Haver_M!$B$1:$ZN$1,0)),"na")</f>
        <v>47.3</v>
      </c>
      <c r="BA113">
        <f>IF(ISNUMBER(INDEX(Haver_M!$B$1:$ZN$1000,MATCH(data!$A113,Haver_M!$B$1:$B$1000,0),MATCH(data!BA$1,Haver_M!$B$1:$ZN$1,0))),INDEX(Haver_M!$B$1:$ZN$1000,MATCH(data!$A113,Haver_M!$B$1:$B$1000,0),MATCH(data!BA$1,Haver_M!$B$1:$ZN$1,0)),"na")</f>
        <v>71.454743719227523</v>
      </c>
      <c r="BB113" t="str">
        <f>IF(ISNUMBER(INDEX(Haver_M!$B$1:$ZN$1000,MATCH(data!$A113,Haver_M!$B$1:$B$1000,0),MATCH(data!BB$1,Haver_M!$B$1:$ZN$1,0))),INDEX(Haver_M!$B$1:$ZN$1000,MATCH(data!$A113,Haver_M!$B$1:$B$1000,0),MATCH(data!BB$1,Haver_M!$B$1:$ZN$1,0)),"")</f>
        <v/>
      </c>
    </row>
    <row r="114" spans="1:54" x14ac:dyDescent="0.25">
      <c r="A114" s="2">
        <v>39964</v>
      </c>
      <c r="B114" t="str">
        <f>IF(ISNUMBER(INDEX(Haver_Q!$B$1:$BD$1000,MATCH(data!$A114,Haver_Q!$B$1:$B$1000,0),MATCH(data!B$1,Haver_Q!$B$1:$BD$1,0))),100*INDEX(Haver_Q!$B$1:$BD$1000,MATCH(data!$A114,Haver_Q!$B$1:$B$1000,0),MATCH(data!B$1,Haver_Q!$B$1:$BD$1,0)),"na")</f>
        <v>na</v>
      </c>
      <c r="C114" t="str">
        <f>IF(ISNUMBER(INDEX(Haver_Q!$B$1:$BD$1000,MATCH(data!$A114,Haver_Q!$B$1:$B$1000,0),MATCH(data!C$1,Haver_Q!$B$1:$BD$1,0))),100*INDEX(Haver_Q!$B$1:$BD$1000,MATCH(data!$A114,Haver_Q!$B$1:$B$1000,0),MATCH(data!C$1,Haver_Q!$B$1:$BD$1,0)),"na")</f>
        <v>na</v>
      </c>
      <c r="D114" t="str">
        <f>IF(ISNUMBER(INDEX(Haver_Q!$B$1:$BD$1000,MATCH(data!$A114,Haver_Q!$B$1:$B$1000,0),MATCH(data!D$1,Haver_Q!$B$1:$BD$1,0))),100*INDEX(Haver_Q!$B$1:$BD$1000,MATCH(data!$A114,Haver_Q!$B$1:$B$1000,0),MATCH(data!D$1,Haver_Q!$B$1:$BD$1,0)),"na")</f>
        <v>na</v>
      </c>
      <c r="E114" t="str">
        <f>IF(ISNUMBER(INDEX(Haver_Q!$B$1:$BD$1000,MATCH(data!$A114,Haver_Q!$B$1:$B$1000,0),MATCH(data!E$1,Haver_Q!$B$1:$BD$1,0))),100*INDEX(Haver_Q!$B$1:$BD$1000,MATCH(data!$A114,Haver_Q!$B$1:$B$1000,0),MATCH(data!E$1,Haver_Q!$B$1:$BD$1,0)),"na")</f>
        <v>na</v>
      </c>
      <c r="F114" t="str">
        <f>IF(ISNUMBER(INDEX(Haver_Q!$B$1:$BD$1000,MATCH(data!$A114,Haver_Q!$B$1:$B$1000,0),MATCH(data!F$1,Haver_Q!$B$1:$BD$1,0))),100*INDEX(Haver_Q!$B$1:$BD$1000,MATCH(data!$A114,Haver_Q!$B$1:$B$1000,0),MATCH(data!F$1,Haver_Q!$B$1:$BD$1,0)),"na")</f>
        <v>na</v>
      </c>
      <c r="G114" t="str">
        <f>IF(ISNUMBER(INDEX(Haver_Q!$B$1:$BD$1000,MATCH(data!$A114,Haver_Q!$B$1:$B$1000,0),MATCH(data!G$1,Haver_Q!$B$1:$BD$1,0))),100*INDEX(Haver_Q!$B$1:$BD$1000,MATCH(data!$A114,Haver_Q!$B$1:$B$1000,0),MATCH(data!G$1,Haver_Q!$B$1:$BD$1,0)),"na")</f>
        <v>na</v>
      </c>
      <c r="H114" t="str">
        <f>IF(ISNUMBER(INDEX(Haver_Q!$B$1:$BD$1000,MATCH(data!$A114,Haver_Q!$B$1:$B$1000,0),MATCH(data!H$1,Haver_Q!$B$1:$BD$1,0))),100*INDEX(Haver_Q!$B$1:$BD$1000,MATCH(data!$A114,Haver_Q!$B$1:$B$1000,0),MATCH(data!H$1,Haver_Q!$B$1:$BD$1,0)),"na")</f>
        <v>na</v>
      </c>
      <c r="I114" s="3">
        <f>IF(ISNUMBER(Bloomberg_m!C130),Bloomberg_m!C130,"na")</f>
        <v>2540</v>
      </c>
      <c r="J114" s="3" t="str">
        <f>IF(ISNUMBER(Bloomberg_m!D130),Bloomberg_m!D130,"na")</f>
        <v>na</v>
      </c>
      <c r="K114" s="3" t="str">
        <f>IF(ISNUMBER(Bloomberg_m!E130),Bloomberg_m!E130,"na")</f>
        <v>na</v>
      </c>
      <c r="L114" s="3">
        <f>IF(ISNUMBER(Bloomberg_m!L130),Bloomberg_m!L130,"na")</f>
        <v>59.12</v>
      </c>
      <c r="M114">
        <f>IF(ISNUMBER(INDEX(Haver_M!$B$1:$ZN$1000,MATCH(data!$A114,Haver_M!$B$1:$B$1000,0),MATCH(data!M$1,Haver_M!$B$1:$ZN$1,0))),INDEX(Haver_M!$B$1:$ZN$1000,MATCH(data!$A114,Haver_M!$B$1:$B$1000,0),MATCH(data!M$1,Haver_M!$B$1:$ZN$1,0)),"na")</f>
        <v>5.25</v>
      </c>
      <c r="N114">
        <f>IF(ISNUMBER(INDEX(Haver_M!$B$1:$ZN$1000,MATCH(data!$A114,Haver_M!$B$1:$B$1000,0),MATCH(data!N$1,Haver_M!$B$1:$ZN$1,0))),INDEX(Haver_M!$B$1:$ZN$1000,MATCH(data!$A114,Haver_M!$B$1:$B$1000,0),MATCH(data!N$1,Haver_M!$B$1:$ZN$1,0)),"na")</f>
        <v>7.6296999999999997</v>
      </c>
      <c r="O114">
        <f>IF(ISNUMBER(INDEX(Haver_M!$B$1:$ZN$1000,MATCH(data!$A114,Haver_M!$B$1:$B$1000,0),MATCH(data!O$1,Haver_M!$B$1:$ZN$1,0))),INDEX(Haver_M!$B$1:$ZN$1000,MATCH(data!$A114,Haver_M!$B$1:$B$1000,0),MATCH(data!O$1,Haver_M!$B$1:$ZN$1,0)),"na")</f>
        <v>95.610429999999994</v>
      </c>
      <c r="P114">
        <f>IF(ISNUMBER(INDEX(Haver_M!$B$1:$ZN$1000,MATCH(data!$A114,Haver_M!$B$1:$B$1000,0),MATCH(data!P$1,Haver_M!$B$1:$ZN$1,0))),INDEX(Haver_M!$B$1:$ZN$1000,MATCH(data!$A114,Haver_M!$B$1:$B$1000,0),MATCH(data!P$1,Haver_M!$B$1:$ZN$1,0)),"na")</f>
        <v>70.335999999999999</v>
      </c>
      <c r="Q114">
        <f>IF(ISNUMBER(INDEX(Haver_M!$B$1:$ZN$1000,MATCH(data!$A114,Haver_M!$B$1:$B$1000,0),MATCH(data!Q$1,Haver_M!$B$1:$ZN$1,0))),INDEX(Haver_M!$B$1:$ZN$1000,MATCH(data!$A114,Haver_M!$B$1:$B$1000,0),MATCH(data!Q$1,Haver_M!$B$1:$ZN$1,0)),"na")</f>
        <v>73.881600000000006</v>
      </c>
      <c r="R114">
        <f>IF(ISNUMBER(INDEX(Haver_M!$B$1:$ZN$1000,MATCH(data!$A114,Haver_M!$B$1:$B$1000,0),MATCH(data!R$1,Haver_M!$B$1:$ZN$1,0))),INDEX(Haver_M!$B$1:$ZN$1000,MATCH(data!$A114,Haver_M!$B$1:$B$1000,0),MATCH(data!R$1,Haver_M!$B$1:$ZN$1,0)),"na")</f>
        <v>89.221800000000002</v>
      </c>
      <c r="S114">
        <f>IF(ISNUMBER(INDEX(Haver_M!$B$1:$ZN$1000,MATCH(data!$A114,Haver_M!$B$1:$B$1000,0),MATCH(data!S$1,Haver_M!$B$1:$ZN$1,0))),INDEX(Haver_M!$B$1:$ZN$1000,MATCH(data!$A114,Haver_M!$B$1:$B$1000,0),MATCH(data!S$1,Haver_M!$B$1:$ZN$1,0)),"na")</f>
        <v>98.594300000000004</v>
      </c>
      <c r="T114">
        <f>IF(ISNUMBER(INDEX(Haver_M!$B$1:$ZN$1000,MATCH(data!$A114,Haver_M!$B$1:$B$1000,0),MATCH(data!T$1,Haver_M!$B$1:$ZN$1,0))),INDEX(Haver_M!$B$1:$ZN$1000,MATCH(data!$A114,Haver_M!$B$1:$B$1000,0),MATCH(data!T$1,Haver_M!$B$1:$ZN$1,0)),"na")</f>
        <v>86.750399999999999</v>
      </c>
      <c r="U114">
        <f>IF(ISNUMBER(INDEX(Haver_M!$B$1:$ZN$1000,MATCH(data!$A114,Haver_M!$B$1:$B$1000,0),MATCH(data!U$1,Haver_M!$B$1:$ZN$1,0))),INDEX(Haver_M!$B$1:$ZN$1000,MATCH(data!$A114,Haver_M!$B$1:$B$1000,0),MATCH(data!U$1,Haver_M!$B$1:$ZN$1,0)),"na")</f>
        <v>96.943299999999994</v>
      </c>
      <c r="V114">
        <f>IF(ISNUMBER(INDEX(Haver_M!$B$1:$ZN$1000,MATCH(data!$A114,Haver_M!$B$1:$B$1000,0),MATCH(data!V$1,Haver_M!$B$1:$ZN$1,0))),INDEX(Haver_M!$B$1:$ZN$1000,MATCH(data!$A114,Haver_M!$B$1:$B$1000,0),MATCH(data!V$1,Haver_M!$B$1:$ZN$1,0)),"na")</f>
        <v>81.115399999999994</v>
      </c>
      <c r="W114">
        <f>IF(ISNUMBER(INDEX(Haver_M!$B$1:$ZN$1000,MATCH(data!$A114,Haver_M!$B$1:$B$1000,0),MATCH(data!W$1,Haver_M!$B$1:$ZN$1,0))),INDEX(Haver_M!$B$1:$ZN$1000,MATCH(data!$A114,Haver_M!$B$1:$B$1000,0),MATCH(data!W$1,Haver_M!$B$1:$ZN$1,0)),"na")</f>
        <v>5.62</v>
      </c>
      <c r="X114">
        <f>IF(ISNUMBER(INDEX(Haver_M!$B$1:$ZN$1000,MATCH(data!$A114,Haver_M!$B$1:$B$1000,0),MATCH(data!X$1,Haver_M!$B$1:$ZN$1,0))),INDEX(Haver_M!$B$1:$ZN$1000,MATCH(data!$A114,Haver_M!$B$1:$B$1000,0),MATCH(data!X$1,Haver_M!$B$1:$ZN$1,0)),"na")</f>
        <v>100.08</v>
      </c>
      <c r="Y114">
        <f>IF(ISNUMBER(INDEX(Haver_M!$B$1:$ZN$1000,MATCH(data!$A114,Haver_M!$B$1:$B$1000,0),MATCH(data!Y$1,Haver_M!$B$1:$ZN$1,0))),INDEX(Haver_M!$B$1:$ZN$1000,MATCH(data!$A114,Haver_M!$B$1:$B$1000,0),MATCH(data!Y$1,Haver_M!$B$1:$ZN$1,0)),"na")</f>
        <v>96.55</v>
      </c>
      <c r="Z114">
        <f>IF(ISNUMBER(INDEX(Haver_M!$B$1:$ZN$1000,MATCH(data!$A114,Haver_M!$B$1:$B$1000,0),MATCH(data!Z$1,Haver_M!$B$1:$ZN$1,0))),INDEX(Haver_M!$B$1:$ZN$1000,MATCH(data!$A114,Haver_M!$B$1:$B$1000,0),MATCH(data!Z$1,Haver_M!$B$1:$ZN$1,0)),"na")</f>
        <v>92.994500000000002</v>
      </c>
      <c r="AA114">
        <f>IF(ISNUMBER(INDEX(Haver_M!$B$1:$ZN$1000,MATCH(data!$A114,Haver_M!$B$1:$B$1000,0),MATCH(data!AA$1,Haver_M!$B$1:$ZN$1,0))),INDEX(Haver_M!$B$1:$ZN$1000,MATCH(data!$A114,Haver_M!$B$1:$B$1000,0),MATCH(data!AA$1,Haver_M!$B$1:$ZN$1,0)),"na")</f>
        <v>85.6892</v>
      </c>
      <c r="AB114">
        <f>IF(ISNUMBER(INDEX(Haver_M!$B$1:$ZN$1000,MATCH(data!$A114,Haver_M!$B$1:$B$1000,0),MATCH(data!AB$1,Haver_M!$B$1:$ZN$1,0))),INDEX(Haver_M!$B$1:$ZN$1000,MATCH(data!$A114,Haver_M!$B$1:$B$1000,0),MATCH(data!AB$1,Haver_M!$B$1:$ZN$1,0)),"na")</f>
        <v>17207.2</v>
      </c>
      <c r="AC114">
        <f>IF(ISNUMBER(INDEX(Haver_M!$B$1:$ZN$1000,MATCH(data!$A114,Haver_M!$B$1:$B$1000,0),MATCH(data!AC$1,Haver_M!$B$1:$ZN$1,0))),INDEX(Haver_M!$B$1:$ZN$1000,MATCH(data!$A114,Haver_M!$B$1:$B$1000,0),MATCH(data!AC$1,Haver_M!$B$1:$ZN$1,0)),"na")</f>
        <v>17406.5</v>
      </c>
      <c r="AD114">
        <f>IF(ISNUMBER(INDEX(Haver_M!$B$1:$ZN$1000,MATCH(data!$A114,Haver_M!$B$1:$B$1000,0),MATCH(data!AD$1,Haver_M!$B$1:$ZN$1,0))),INDEX(Haver_M!$B$1:$ZN$1000,MATCH(data!$A114,Haver_M!$B$1:$B$1000,0),MATCH(data!AD$1,Haver_M!$B$1:$ZN$1,0)),"na")</f>
        <v>97.41</v>
      </c>
      <c r="AE114">
        <f>IF(ISNUMBER(INDEX(Haver_M!$B$1:$ZN$1000,MATCH(data!$A114,Haver_M!$B$1:$B$1000,0),MATCH(data!AE$1,Haver_M!$B$1:$ZN$1,0))),INDEX(Haver_M!$B$1:$ZN$1000,MATCH(data!$A114,Haver_M!$B$1:$B$1000,0),MATCH(data!AE$1,Haver_M!$B$1:$ZN$1,0)),"na")</f>
        <v>33.4</v>
      </c>
      <c r="AF114">
        <f>IF(ISNUMBER(INDEX(Haver_M!$B$1:$ZN$1000,MATCH(data!$A114,Haver_M!$B$1:$B$1000,0),MATCH(data!AF$1,Haver_M!$B$1:$ZN$1,0))),INDEX(Haver_M!$B$1:$ZN$1000,MATCH(data!$A114,Haver_M!$B$1:$B$1000,0),MATCH(data!AF$1,Haver_M!$B$1:$ZN$1,0)),"na")</f>
        <v>95.71</v>
      </c>
      <c r="AG114" t="str">
        <f>IF(ISNUMBER(INDEX(Haver_M!$B$1:$ZN$1000,MATCH(data!$A114,Haver_M!$B$1:$B$1000,0),MATCH(data!AG$1,Haver_M!$B$1:$ZN$1,0))),INDEX(Haver_M!$B$1:$ZN$1000,MATCH(data!$A114,Haver_M!$B$1:$B$1000,0),MATCH(data!AG$1,Haver_M!$B$1:$ZN$1,0)),"na")</f>
        <v>na</v>
      </c>
      <c r="AH114" t="str">
        <f>IF(ISNUMBER(INDEX(Haver_M!$B$1:$ZN$1000,MATCH(data!$A114,Haver_M!$B$1:$B$1000,0),MATCH(data!AH$1,Haver_M!$B$1:$ZN$1,0))),INDEX(Haver_M!$B$1:$ZN$1000,MATCH(data!$A114,Haver_M!$B$1:$B$1000,0),MATCH(data!AH$1,Haver_M!$B$1:$ZN$1,0)),"na")</f>
        <v>na</v>
      </c>
      <c r="AI114" t="str">
        <f>IF(ISNUMBER(INDEX(Haver_M!$B$1:$ZN$1000,MATCH(data!$A114,Haver_M!$B$1:$B$1000,0),MATCH(data!AI$1,Haver_M!$B$1:$ZN$1,0))),INDEX(Haver_M!$B$1:$ZN$1000,MATCH(data!$A114,Haver_M!$B$1:$B$1000,0),MATCH(data!AI$1,Haver_M!$B$1:$ZN$1,0)),"na")</f>
        <v>na</v>
      </c>
      <c r="AJ114" t="str">
        <f>IF(ISNUMBER(INDEX(Haver_M!$B$1:$ZN$1000,MATCH(data!$A114,Haver_M!$B$1:$B$1000,0),MATCH(data!AJ$1,Haver_M!$B$1:$ZN$1,0))),INDEX(Haver_M!$B$1:$ZN$1000,MATCH(data!$A114,Haver_M!$B$1:$B$1000,0),MATCH(data!AJ$1,Haver_M!$B$1:$ZN$1,0)),"na")</f>
        <v>na</v>
      </c>
      <c r="AK114" t="str">
        <f>IF(ISNUMBER(INDEX(Haver_M!$B$1:$ZN$1000,MATCH(data!$A114,Haver_M!$B$1:$B$1000,0),MATCH(data!AK$1,Haver_M!$B$1:$ZN$1,0))),INDEX(Haver_M!$B$1:$ZN$1000,MATCH(data!$A114,Haver_M!$B$1:$B$1000,0),MATCH(data!AK$1,Haver_M!$B$1:$ZN$1,0)),"na")</f>
        <v>na</v>
      </c>
      <c r="AL114" t="str">
        <f>IF(ISNUMBER(INDEX(Haver_M!$B$1:$ZN$1000,MATCH(data!$A114,Haver_M!$B$1:$B$1000,0),MATCH(data!AL$1,Haver_M!$B$1:$ZN$1,0))),INDEX(Haver_M!$B$1:$ZN$1000,MATCH(data!$A114,Haver_M!$B$1:$B$1000,0),MATCH(data!AL$1,Haver_M!$B$1:$ZN$1,0)),"na")</f>
        <v>na</v>
      </c>
      <c r="AM114" t="str">
        <f>IF(ISNUMBER(INDEX(Haver_M!$B$1:$ZN$1000,MATCH(data!$A114,Haver_M!$B$1:$B$1000,0),MATCH(data!AM$1,Haver_M!$B$1:$ZN$1,0))),INDEX(Haver_M!$B$1:$ZN$1000,MATCH(data!$A114,Haver_M!$B$1:$B$1000,0),MATCH(data!AM$1,Haver_M!$B$1:$ZN$1,0)),"na")</f>
        <v>na</v>
      </c>
      <c r="AN114" t="str">
        <f>IF(ISNUMBER(INDEX(Haver_M!$B$1:$ZN$1000,MATCH(data!$A114,Haver_M!$B$1:$B$1000,0),MATCH(data!AN$1,Haver_M!$B$1:$ZN$1,0))),INDEX(Haver_M!$B$1:$ZN$1000,MATCH(data!$A114,Haver_M!$B$1:$B$1000,0),MATCH(data!AN$1,Haver_M!$B$1:$ZN$1,0)),"na")</f>
        <v>na</v>
      </c>
      <c r="AO114" t="str">
        <f>IF(ISNUMBER(INDEX(Haver_M!$B$1:$ZN$1000,MATCH(data!$A114,Haver_M!$B$1:$B$1000,0),MATCH(data!AO$1,Haver_M!$B$1:$ZN$1,0))),INDEX(Haver_M!$B$1:$ZN$1000,MATCH(data!$A114,Haver_M!$B$1:$B$1000,0),MATCH(data!AO$1,Haver_M!$B$1:$ZN$1,0)),"na")</f>
        <v>na</v>
      </c>
      <c r="AP114" t="str">
        <f>IF(ISNUMBER(INDEX(Haver_M!$B$1:$ZN$1000,MATCH(data!$A114,Haver_M!$B$1:$B$1000,0),MATCH(data!AP$1,Haver_M!$B$1:$ZN$1,0))),INDEX(Haver_M!$B$1:$ZN$1000,MATCH(data!$A114,Haver_M!$B$1:$B$1000,0),MATCH(data!AP$1,Haver_M!$B$1:$ZN$1,0)),"na")</f>
        <v>na</v>
      </c>
      <c r="AQ114" t="str">
        <f>IF(ISNUMBER(INDEX(Haver_M!$B$1:$ZN$1000,MATCH(data!$A114,Haver_M!$B$1:$B$1000,0),MATCH(data!AQ$1,Haver_M!$B$1:$ZN$1,0))),INDEX(Haver_M!$B$1:$ZN$1000,MATCH(data!$A114,Haver_M!$B$1:$B$1000,0),MATCH(data!AQ$1,Haver_M!$B$1:$ZN$1,0)),"na")</f>
        <v>na</v>
      </c>
      <c r="AR114" t="str">
        <f>IF(ISNUMBER(INDEX(Haver_M!$B$1:$ZN$1000,MATCH(data!$A114,Haver_M!$B$1:$B$1000,0),MATCH(data!AR$1,Haver_M!$B$1:$ZN$1,0))),INDEX(Haver_M!$B$1:$ZN$1000,MATCH(data!$A114,Haver_M!$B$1:$B$1000,0),MATCH(data!AR$1,Haver_M!$B$1:$ZN$1,0)),"na")</f>
        <v>na</v>
      </c>
      <c r="AS114">
        <f>IF(ISNUMBER(INDEX(Haver_M!$B$1:$ZN$1000,MATCH(data!$A114,Haver_M!$B$1:$B$1000,0),MATCH(data!AS$1,Haver_M!$B$1:$ZN$1,0))),INDEX(Haver_M!$B$1:$ZN$1000,MATCH(data!$A114,Haver_M!$B$1:$B$1000,0),MATCH(data!AS$1,Haver_M!$B$1:$ZN$1,0)),"na")</f>
        <v>23924.98</v>
      </c>
      <c r="AT114">
        <f>IF(ISNUMBER(INDEX(Haver_M!$B$1:$ZN$1000,MATCH(data!$A114,Haver_M!$B$1:$B$1000,0),MATCH(data!AT$1,Haver_M!$B$1:$ZN$1,0))),INDEX(Haver_M!$B$1:$ZN$1000,MATCH(data!$A114,Haver_M!$B$1:$B$1000,0),MATCH(data!AT$1,Haver_M!$B$1:$ZN$1,0)),"na")</f>
        <v>86.141000000000005</v>
      </c>
      <c r="AU114">
        <f>IF(ISNUMBER(INDEX(Haver_M!$B$1:$ZN$1000,MATCH(data!$A114,Haver_M!$B$1:$B$1000,0),MATCH(data!AU$1,Haver_M!$B$1:$ZN$1,0))),INDEX(Haver_M!$B$1:$ZN$1000,MATCH(data!$A114,Haver_M!$B$1:$B$1000,0),MATCH(data!AU$1,Haver_M!$B$1:$ZN$1,0)),"na")</f>
        <v>85.056573999999998</v>
      </c>
      <c r="AV114">
        <f>IF(ISNUMBER(INDEX(Haver_M!$B$1:$ZN$1000,MATCH(data!$A114,Haver_M!$B$1:$B$1000,0),MATCH(data!AV$1,Haver_M!$B$1:$ZN$1,0))),INDEX(Haver_M!$B$1:$ZN$1000,MATCH(data!$A114,Haver_M!$B$1:$B$1000,0),MATCH(data!AV$1,Haver_M!$B$1:$ZN$1,0)),"na")</f>
        <v>86.7</v>
      </c>
      <c r="AW114">
        <f>IF(ISNUMBER(INDEX(Haver_M!$B$1:$ZN$1000,MATCH(data!$A114,Haver_M!$B$1:$B$1000,0),MATCH(data!AW$1,Haver_M!$B$1:$ZN$1,0))),INDEX(Haver_M!$B$1:$ZN$1000,MATCH(data!$A114,Haver_M!$B$1:$B$1000,0),MATCH(data!AW$1,Haver_M!$B$1:$ZN$1,0)),"na")</f>
        <v>607057.11873557605</v>
      </c>
      <c r="AX114">
        <f>IF(ISNUMBER(INDEX(Haver_M!$B$1:$ZN$1000,MATCH(data!$A114,Haver_M!$B$1:$B$1000,0),MATCH(data!AX$1,Haver_M!$B$1:$ZN$1,0))),INDEX(Haver_M!$B$1:$ZN$1000,MATCH(data!$A114,Haver_M!$B$1:$B$1000,0),MATCH(data!AX$1,Haver_M!$B$1:$ZN$1,0)),"na")</f>
        <v>2613</v>
      </c>
      <c r="AY114">
        <f>IF(ISNUMBER(INDEX(Haver_M!$B$1:$ZN$1000,MATCH(data!$A114,Haver_M!$B$1:$B$1000,0),MATCH(data!AY$1,Haver_M!$B$1:$ZN$1,0))),INDEX(Haver_M!$B$1:$ZN$1000,MATCH(data!$A114,Haver_M!$B$1:$B$1000,0),MATCH(data!AY$1,Haver_M!$B$1:$ZN$1,0)),"na")</f>
        <v>1173</v>
      </c>
      <c r="AZ114">
        <f>IF(ISNUMBER(INDEX(Haver_M!$B$1:$ZN$1000,MATCH(data!$A114,Haver_M!$B$1:$B$1000,0),MATCH(data!AZ$1,Haver_M!$B$1:$ZN$1,0))),INDEX(Haver_M!$B$1:$ZN$1000,MATCH(data!$A114,Haver_M!$B$1:$B$1000,0),MATCH(data!AZ$1,Haver_M!$B$1:$ZN$1,0)),"na")</f>
        <v>48.2</v>
      </c>
      <c r="BA114">
        <f>IF(ISNUMBER(INDEX(Haver_M!$B$1:$ZN$1000,MATCH(data!$A114,Haver_M!$B$1:$B$1000,0),MATCH(data!BA$1,Haver_M!$B$1:$ZN$1,0))),INDEX(Haver_M!$B$1:$ZN$1000,MATCH(data!$A114,Haver_M!$B$1:$B$1000,0),MATCH(data!BA$1,Haver_M!$B$1:$ZN$1,0)),"na")</f>
        <v>68.493941599146979</v>
      </c>
      <c r="BB114" t="str">
        <f>IF(ISNUMBER(INDEX(Haver_M!$B$1:$ZN$1000,MATCH(data!$A114,Haver_M!$B$1:$B$1000,0),MATCH(data!BB$1,Haver_M!$B$1:$ZN$1,0))),INDEX(Haver_M!$B$1:$ZN$1000,MATCH(data!$A114,Haver_M!$B$1:$B$1000,0),MATCH(data!BB$1,Haver_M!$B$1:$ZN$1,0)),"")</f>
        <v/>
      </c>
    </row>
    <row r="115" spans="1:54" x14ac:dyDescent="0.25">
      <c r="A115" s="2">
        <v>39994</v>
      </c>
      <c r="B115">
        <f>IF(ISNUMBER(INDEX(Haver_Q!$B$1:$BD$1000,MATCH(data!$A115,Haver_Q!$B$1:$B$1000,0),MATCH(data!B$1,Haver_Q!$B$1:$BD$1,0))),100*INDEX(Haver_Q!$B$1:$BD$1000,MATCH(data!$A115,Haver_Q!$B$1:$B$1000,0),MATCH(data!B$1,Haver_Q!$B$1:$BD$1,0)),"na")</f>
        <v>-5.9192359605893312</v>
      </c>
      <c r="C115">
        <f>IF(ISNUMBER(INDEX(Haver_Q!$B$1:$BD$1000,MATCH(data!$A115,Haver_Q!$B$1:$B$1000,0),MATCH(data!C$1,Haver_Q!$B$1:$BD$1,0))),100*INDEX(Haver_Q!$B$1:$BD$1000,MATCH(data!$A115,Haver_Q!$B$1:$B$1000,0),MATCH(data!C$1,Haver_Q!$B$1:$BD$1,0)),"na")</f>
        <v>3.9998182791926018</v>
      </c>
      <c r="D115">
        <f>IF(ISNUMBER(INDEX(Haver_Q!$B$1:$BD$1000,MATCH(data!$A115,Haver_Q!$B$1:$B$1000,0),MATCH(data!D$1,Haver_Q!$B$1:$BD$1,0))),100*INDEX(Haver_Q!$B$1:$BD$1000,MATCH(data!$A115,Haver_Q!$B$1:$B$1000,0),MATCH(data!D$1,Haver_Q!$B$1:$BD$1,0)),"na")</f>
        <v>-4.0919720317815216</v>
      </c>
      <c r="E115">
        <f>IF(ISNUMBER(INDEX(Haver_Q!$B$1:$BD$1000,MATCH(data!$A115,Haver_Q!$B$1:$B$1000,0),MATCH(data!E$1,Haver_Q!$B$1:$BD$1,0))),100*INDEX(Haver_Q!$B$1:$BD$1000,MATCH(data!$A115,Haver_Q!$B$1:$B$1000,0),MATCH(data!E$1,Haver_Q!$B$1:$BD$1,0)),"na")</f>
        <v>0.1813760010615173</v>
      </c>
      <c r="F115">
        <f>IF(ISNUMBER(INDEX(Haver_Q!$B$1:$BD$1000,MATCH(data!$A115,Haver_Q!$B$1:$B$1000,0),MATCH(data!F$1,Haver_Q!$B$1:$BD$1,0))),100*INDEX(Haver_Q!$B$1:$BD$1000,MATCH(data!$A115,Haver_Q!$B$1:$B$1000,0),MATCH(data!F$1,Haver_Q!$B$1:$BD$1,0)),"na")</f>
        <v>-10.610135002135701</v>
      </c>
      <c r="G115">
        <f>IF(ISNUMBER(INDEX(Haver_Q!$B$1:$BD$1000,MATCH(data!$A115,Haver_Q!$B$1:$B$1000,0),MATCH(data!G$1,Haver_Q!$B$1:$BD$1,0))),100*INDEX(Haver_Q!$B$1:$BD$1000,MATCH(data!$A115,Haver_Q!$B$1:$B$1000,0),MATCH(data!G$1,Haver_Q!$B$1:$BD$1,0)),"na")</f>
        <v>-26.013230226101136</v>
      </c>
      <c r="H115">
        <f>IF(ISNUMBER(INDEX(Haver_Q!$B$1:$BD$1000,MATCH(data!$A115,Haver_Q!$B$1:$B$1000,0),MATCH(data!H$1,Haver_Q!$B$1:$BD$1,0))),100*INDEX(Haver_Q!$B$1:$BD$1000,MATCH(data!$A115,Haver_Q!$B$1:$B$1000,0),MATCH(data!H$1,Haver_Q!$B$1:$BD$1,0)),"na")</f>
        <v>488.25149377798948</v>
      </c>
      <c r="I115" s="3">
        <f>IF(ISNUMBER(Bloomberg_m!C131),Bloomberg_m!C131,"na")</f>
        <v>3823</v>
      </c>
      <c r="J115" s="3" t="str">
        <f>IF(ISNUMBER(Bloomberg_m!D131),Bloomberg_m!D131,"na")</f>
        <v>na</v>
      </c>
      <c r="K115" s="3" t="str">
        <f>IF(ISNUMBER(Bloomberg_m!E131),Bloomberg_m!E131,"na")</f>
        <v>na</v>
      </c>
      <c r="L115" s="3">
        <f>IF(ISNUMBER(Bloomberg_m!L131),Bloomberg_m!L131,"na")</f>
        <v>69.62</v>
      </c>
      <c r="M115">
        <f>IF(ISNUMBER(INDEX(Haver_M!$B$1:$ZN$1000,MATCH(data!$A115,Haver_M!$B$1:$B$1000,0),MATCH(data!M$1,Haver_M!$B$1:$ZN$1,0))),INDEX(Haver_M!$B$1:$ZN$1000,MATCH(data!$A115,Haver_M!$B$1:$B$1000,0),MATCH(data!M$1,Haver_M!$B$1:$ZN$1,0)),"na")</f>
        <v>4.75</v>
      </c>
      <c r="N115">
        <f>IF(ISNUMBER(INDEX(Haver_M!$B$1:$ZN$1000,MATCH(data!$A115,Haver_M!$B$1:$B$1000,0),MATCH(data!N$1,Haver_M!$B$1:$ZN$1,0))),INDEX(Haver_M!$B$1:$ZN$1000,MATCH(data!$A115,Haver_M!$B$1:$B$1000,0),MATCH(data!N$1,Haver_M!$B$1:$ZN$1,0)),"na")</f>
        <v>8.0889000000000006</v>
      </c>
      <c r="O115">
        <f>IF(ISNUMBER(INDEX(Haver_M!$B$1:$ZN$1000,MATCH(data!$A115,Haver_M!$B$1:$B$1000,0),MATCH(data!O$1,Haver_M!$B$1:$ZN$1,0))),INDEX(Haver_M!$B$1:$ZN$1000,MATCH(data!$A115,Haver_M!$B$1:$B$1000,0),MATCH(data!O$1,Haver_M!$B$1:$ZN$1,0)),"na")</f>
        <v>93.623509999999996</v>
      </c>
      <c r="P115">
        <f>IF(ISNUMBER(INDEX(Haver_M!$B$1:$ZN$1000,MATCH(data!$A115,Haver_M!$B$1:$B$1000,0),MATCH(data!P$1,Haver_M!$B$1:$ZN$1,0))),INDEX(Haver_M!$B$1:$ZN$1000,MATCH(data!$A115,Haver_M!$B$1:$B$1000,0),MATCH(data!P$1,Haver_M!$B$1:$ZN$1,0)),"na")</f>
        <v>70.6036</v>
      </c>
      <c r="Q115">
        <f>IF(ISNUMBER(INDEX(Haver_M!$B$1:$ZN$1000,MATCH(data!$A115,Haver_M!$B$1:$B$1000,0),MATCH(data!Q$1,Haver_M!$B$1:$ZN$1,0))),INDEX(Haver_M!$B$1:$ZN$1000,MATCH(data!$A115,Haver_M!$B$1:$B$1000,0),MATCH(data!Q$1,Haver_M!$B$1:$ZN$1,0)),"na")</f>
        <v>74.113200000000006</v>
      </c>
      <c r="R115">
        <f>IF(ISNUMBER(INDEX(Haver_M!$B$1:$ZN$1000,MATCH(data!$A115,Haver_M!$B$1:$B$1000,0),MATCH(data!R$1,Haver_M!$B$1:$ZN$1,0))),INDEX(Haver_M!$B$1:$ZN$1000,MATCH(data!$A115,Haver_M!$B$1:$B$1000,0),MATCH(data!R$1,Haver_M!$B$1:$ZN$1,0)),"na")</f>
        <v>89.183000000000007</v>
      </c>
      <c r="S115">
        <f>IF(ISNUMBER(INDEX(Haver_M!$B$1:$ZN$1000,MATCH(data!$A115,Haver_M!$B$1:$B$1000,0),MATCH(data!S$1,Haver_M!$B$1:$ZN$1,0))),INDEX(Haver_M!$B$1:$ZN$1000,MATCH(data!$A115,Haver_M!$B$1:$B$1000,0),MATCH(data!S$1,Haver_M!$B$1:$ZN$1,0)),"na")</f>
        <v>96.273099999999999</v>
      </c>
      <c r="T115">
        <f>IF(ISNUMBER(INDEX(Haver_M!$B$1:$ZN$1000,MATCH(data!$A115,Haver_M!$B$1:$B$1000,0),MATCH(data!T$1,Haver_M!$B$1:$ZN$1,0))),INDEX(Haver_M!$B$1:$ZN$1000,MATCH(data!$A115,Haver_M!$B$1:$B$1000,0),MATCH(data!T$1,Haver_M!$B$1:$ZN$1,0)),"na")</f>
        <v>87.306200000000004</v>
      </c>
      <c r="U115">
        <f>IF(ISNUMBER(INDEX(Haver_M!$B$1:$ZN$1000,MATCH(data!$A115,Haver_M!$B$1:$B$1000,0),MATCH(data!U$1,Haver_M!$B$1:$ZN$1,0))),INDEX(Haver_M!$B$1:$ZN$1000,MATCH(data!$A115,Haver_M!$B$1:$B$1000,0),MATCH(data!U$1,Haver_M!$B$1:$ZN$1,0)),"na")</f>
        <v>97.737799999999993</v>
      </c>
      <c r="V115">
        <f>IF(ISNUMBER(INDEX(Haver_M!$B$1:$ZN$1000,MATCH(data!$A115,Haver_M!$B$1:$B$1000,0),MATCH(data!V$1,Haver_M!$B$1:$ZN$1,0))),INDEX(Haver_M!$B$1:$ZN$1000,MATCH(data!$A115,Haver_M!$B$1:$B$1000,0),MATCH(data!V$1,Haver_M!$B$1:$ZN$1,0)),"na")</f>
        <v>81.742599999999996</v>
      </c>
      <c r="W115">
        <f>IF(ISNUMBER(INDEX(Haver_M!$B$1:$ZN$1000,MATCH(data!$A115,Haver_M!$B$1:$B$1000,0),MATCH(data!W$1,Haver_M!$B$1:$ZN$1,0))),INDEX(Haver_M!$B$1:$ZN$1000,MATCH(data!$A115,Haver_M!$B$1:$B$1000,0),MATCH(data!W$1,Haver_M!$B$1:$ZN$1,0)),"na")</f>
        <v>5.37</v>
      </c>
      <c r="X115">
        <f>IF(ISNUMBER(INDEX(Haver_M!$B$1:$ZN$1000,MATCH(data!$A115,Haver_M!$B$1:$B$1000,0),MATCH(data!X$1,Haver_M!$B$1:$ZN$1,0))),INDEX(Haver_M!$B$1:$ZN$1000,MATCH(data!$A115,Haver_M!$B$1:$B$1000,0),MATCH(data!X$1,Haver_M!$B$1:$ZN$1,0)),"na")</f>
        <v>99.73</v>
      </c>
      <c r="Y115">
        <f>IF(ISNUMBER(INDEX(Haver_M!$B$1:$ZN$1000,MATCH(data!$A115,Haver_M!$B$1:$B$1000,0),MATCH(data!Y$1,Haver_M!$B$1:$ZN$1,0))),INDEX(Haver_M!$B$1:$ZN$1000,MATCH(data!$A115,Haver_M!$B$1:$B$1000,0),MATCH(data!Y$1,Haver_M!$B$1:$ZN$1,0)),"na")</f>
        <v>97.14</v>
      </c>
      <c r="Z115">
        <f>IF(ISNUMBER(INDEX(Haver_M!$B$1:$ZN$1000,MATCH(data!$A115,Haver_M!$B$1:$B$1000,0),MATCH(data!Z$1,Haver_M!$B$1:$ZN$1,0))),INDEX(Haver_M!$B$1:$ZN$1000,MATCH(data!$A115,Haver_M!$B$1:$B$1000,0),MATCH(data!Z$1,Haver_M!$B$1:$ZN$1,0)),"na")</f>
        <v>93.755499999999998</v>
      </c>
      <c r="AA115">
        <f>IF(ISNUMBER(INDEX(Haver_M!$B$1:$ZN$1000,MATCH(data!$A115,Haver_M!$B$1:$B$1000,0),MATCH(data!AA$1,Haver_M!$B$1:$ZN$1,0))),INDEX(Haver_M!$B$1:$ZN$1000,MATCH(data!$A115,Haver_M!$B$1:$B$1000,0),MATCH(data!AA$1,Haver_M!$B$1:$ZN$1,0)),"na")</f>
        <v>87.8904</v>
      </c>
      <c r="AB115">
        <f>IF(ISNUMBER(INDEX(Haver_M!$B$1:$ZN$1000,MATCH(data!$A115,Haver_M!$B$1:$B$1000,0),MATCH(data!AB$1,Haver_M!$B$1:$ZN$1,0))),INDEX(Haver_M!$B$1:$ZN$1000,MATCH(data!$A115,Haver_M!$B$1:$B$1000,0),MATCH(data!AB$1,Haver_M!$B$1:$ZN$1,0)),"na")</f>
        <v>18072.3</v>
      </c>
      <c r="AC115">
        <f>IF(ISNUMBER(INDEX(Haver_M!$B$1:$ZN$1000,MATCH(data!$A115,Haver_M!$B$1:$B$1000,0),MATCH(data!AC$1,Haver_M!$B$1:$ZN$1,0))),INDEX(Haver_M!$B$1:$ZN$1000,MATCH(data!$A115,Haver_M!$B$1:$B$1000,0),MATCH(data!AC$1,Haver_M!$B$1:$ZN$1,0)),"na")</f>
        <v>18672.5</v>
      </c>
      <c r="AD115">
        <f>IF(ISNUMBER(INDEX(Haver_M!$B$1:$ZN$1000,MATCH(data!$A115,Haver_M!$B$1:$B$1000,0),MATCH(data!AD$1,Haver_M!$B$1:$ZN$1,0))),INDEX(Haver_M!$B$1:$ZN$1000,MATCH(data!$A115,Haver_M!$B$1:$B$1000,0),MATCH(data!AD$1,Haver_M!$B$1:$ZN$1,0)),"na")</f>
        <v>97.39</v>
      </c>
      <c r="AE115">
        <f>IF(ISNUMBER(INDEX(Haver_M!$B$1:$ZN$1000,MATCH(data!$A115,Haver_M!$B$1:$B$1000,0),MATCH(data!AE$1,Haver_M!$B$1:$ZN$1,0))),INDEX(Haver_M!$B$1:$ZN$1000,MATCH(data!$A115,Haver_M!$B$1:$B$1000,0),MATCH(data!AE$1,Haver_M!$B$1:$ZN$1,0)),"na")</f>
        <v>34.1</v>
      </c>
      <c r="AF115">
        <f>IF(ISNUMBER(INDEX(Haver_M!$B$1:$ZN$1000,MATCH(data!$A115,Haver_M!$B$1:$B$1000,0),MATCH(data!AF$1,Haver_M!$B$1:$ZN$1,0))),INDEX(Haver_M!$B$1:$ZN$1000,MATCH(data!$A115,Haver_M!$B$1:$B$1000,0),MATCH(data!AF$1,Haver_M!$B$1:$ZN$1,0)),"na")</f>
        <v>96.09</v>
      </c>
      <c r="AG115" t="str">
        <f>IF(ISNUMBER(INDEX(Haver_M!$B$1:$ZN$1000,MATCH(data!$A115,Haver_M!$B$1:$B$1000,0),MATCH(data!AG$1,Haver_M!$B$1:$ZN$1,0))),INDEX(Haver_M!$B$1:$ZN$1000,MATCH(data!$A115,Haver_M!$B$1:$B$1000,0),MATCH(data!AG$1,Haver_M!$B$1:$ZN$1,0)),"na")</f>
        <v>na</v>
      </c>
      <c r="AH115" t="str">
        <f>IF(ISNUMBER(INDEX(Haver_M!$B$1:$ZN$1000,MATCH(data!$A115,Haver_M!$B$1:$B$1000,0),MATCH(data!AH$1,Haver_M!$B$1:$ZN$1,0))),INDEX(Haver_M!$B$1:$ZN$1000,MATCH(data!$A115,Haver_M!$B$1:$B$1000,0),MATCH(data!AH$1,Haver_M!$B$1:$ZN$1,0)),"na")</f>
        <v>na</v>
      </c>
      <c r="AI115" t="str">
        <f>IF(ISNUMBER(INDEX(Haver_M!$B$1:$ZN$1000,MATCH(data!$A115,Haver_M!$B$1:$B$1000,0),MATCH(data!AI$1,Haver_M!$B$1:$ZN$1,0))),INDEX(Haver_M!$B$1:$ZN$1000,MATCH(data!$A115,Haver_M!$B$1:$B$1000,0),MATCH(data!AI$1,Haver_M!$B$1:$ZN$1,0)),"na")</f>
        <v>na</v>
      </c>
      <c r="AJ115" t="str">
        <f>IF(ISNUMBER(INDEX(Haver_M!$B$1:$ZN$1000,MATCH(data!$A115,Haver_M!$B$1:$B$1000,0),MATCH(data!AJ$1,Haver_M!$B$1:$ZN$1,0))),INDEX(Haver_M!$B$1:$ZN$1000,MATCH(data!$A115,Haver_M!$B$1:$B$1000,0),MATCH(data!AJ$1,Haver_M!$B$1:$ZN$1,0)),"na")</f>
        <v>na</v>
      </c>
      <c r="AK115" t="str">
        <f>IF(ISNUMBER(INDEX(Haver_M!$B$1:$ZN$1000,MATCH(data!$A115,Haver_M!$B$1:$B$1000,0),MATCH(data!AK$1,Haver_M!$B$1:$ZN$1,0))),INDEX(Haver_M!$B$1:$ZN$1000,MATCH(data!$A115,Haver_M!$B$1:$B$1000,0),MATCH(data!AK$1,Haver_M!$B$1:$ZN$1,0)),"na")</f>
        <v>na</v>
      </c>
      <c r="AL115" t="str">
        <f>IF(ISNUMBER(INDEX(Haver_M!$B$1:$ZN$1000,MATCH(data!$A115,Haver_M!$B$1:$B$1000,0),MATCH(data!AL$1,Haver_M!$B$1:$ZN$1,0))),INDEX(Haver_M!$B$1:$ZN$1000,MATCH(data!$A115,Haver_M!$B$1:$B$1000,0),MATCH(data!AL$1,Haver_M!$B$1:$ZN$1,0)),"na")</f>
        <v>na</v>
      </c>
      <c r="AM115" t="str">
        <f>IF(ISNUMBER(INDEX(Haver_M!$B$1:$ZN$1000,MATCH(data!$A115,Haver_M!$B$1:$B$1000,0),MATCH(data!AM$1,Haver_M!$B$1:$ZN$1,0))),INDEX(Haver_M!$B$1:$ZN$1000,MATCH(data!$A115,Haver_M!$B$1:$B$1000,0),MATCH(data!AM$1,Haver_M!$B$1:$ZN$1,0)),"na")</f>
        <v>na</v>
      </c>
      <c r="AN115" t="str">
        <f>IF(ISNUMBER(INDEX(Haver_M!$B$1:$ZN$1000,MATCH(data!$A115,Haver_M!$B$1:$B$1000,0),MATCH(data!AN$1,Haver_M!$B$1:$ZN$1,0))),INDEX(Haver_M!$B$1:$ZN$1000,MATCH(data!$A115,Haver_M!$B$1:$B$1000,0),MATCH(data!AN$1,Haver_M!$B$1:$ZN$1,0)),"na")</f>
        <v>na</v>
      </c>
      <c r="AO115" t="str">
        <f>IF(ISNUMBER(INDEX(Haver_M!$B$1:$ZN$1000,MATCH(data!$A115,Haver_M!$B$1:$B$1000,0),MATCH(data!AO$1,Haver_M!$B$1:$ZN$1,0))),INDEX(Haver_M!$B$1:$ZN$1000,MATCH(data!$A115,Haver_M!$B$1:$B$1000,0),MATCH(data!AO$1,Haver_M!$B$1:$ZN$1,0)),"na")</f>
        <v>na</v>
      </c>
      <c r="AP115" t="str">
        <f>IF(ISNUMBER(INDEX(Haver_M!$B$1:$ZN$1000,MATCH(data!$A115,Haver_M!$B$1:$B$1000,0),MATCH(data!AP$1,Haver_M!$B$1:$ZN$1,0))),INDEX(Haver_M!$B$1:$ZN$1000,MATCH(data!$A115,Haver_M!$B$1:$B$1000,0),MATCH(data!AP$1,Haver_M!$B$1:$ZN$1,0)),"na")</f>
        <v>na</v>
      </c>
      <c r="AQ115" t="str">
        <f>IF(ISNUMBER(INDEX(Haver_M!$B$1:$ZN$1000,MATCH(data!$A115,Haver_M!$B$1:$B$1000,0),MATCH(data!AQ$1,Haver_M!$B$1:$ZN$1,0))),INDEX(Haver_M!$B$1:$ZN$1000,MATCH(data!$A115,Haver_M!$B$1:$B$1000,0),MATCH(data!AQ$1,Haver_M!$B$1:$ZN$1,0)),"na")</f>
        <v>na</v>
      </c>
      <c r="AR115" t="str">
        <f>IF(ISNUMBER(INDEX(Haver_M!$B$1:$ZN$1000,MATCH(data!$A115,Haver_M!$B$1:$B$1000,0),MATCH(data!AR$1,Haver_M!$B$1:$ZN$1,0))),INDEX(Haver_M!$B$1:$ZN$1000,MATCH(data!$A115,Haver_M!$B$1:$B$1000,0),MATCH(data!AR$1,Haver_M!$B$1:$ZN$1,0)),"na")</f>
        <v>na</v>
      </c>
      <c r="AS115">
        <f>IF(ISNUMBER(INDEX(Haver_M!$B$1:$ZN$1000,MATCH(data!$A115,Haver_M!$B$1:$B$1000,0),MATCH(data!AS$1,Haver_M!$B$1:$ZN$1,0))),INDEX(Haver_M!$B$1:$ZN$1000,MATCH(data!$A115,Haver_M!$B$1:$B$1000,0),MATCH(data!AS$1,Haver_M!$B$1:$ZN$1,0)),"na")</f>
        <v>24573.53</v>
      </c>
      <c r="AT115">
        <f>IF(ISNUMBER(INDEX(Haver_M!$B$1:$ZN$1000,MATCH(data!$A115,Haver_M!$B$1:$B$1000,0),MATCH(data!AT$1,Haver_M!$B$1:$ZN$1,0))),INDEX(Haver_M!$B$1:$ZN$1000,MATCH(data!$A115,Haver_M!$B$1:$B$1000,0),MATCH(data!AT$1,Haver_M!$B$1:$ZN$1,0)),"na")</f>
        <v>88.438999999999993</v>
      </c>
      <c r="AU115">
        <f>IF(ISNUMBER(INDEX(Haver_M!$B$1:$ZN$1000,MATCH(data!$A115,Haver_M!$B$1:$B$1000,0),MATCH(data!AU$1,Haver_M!$B$1:$ZN$1,0))),INDEX(Haver_M!$B$1:$ZN$1000,MATCH(data!$A115,Haver_M!$B$1:$B$1000,0),MATCH(data!AU$1,Haver_M!$B$1:$ZN$1,0)),"na")</f>
        <v>86.387502999999995</v>
      </c>
      <c r="AV115">
        <f>IF(ISNUMBER(INDEX(Haver_M!$B$1:$ZN$1000,MATCH(data!$A115,Haver_M!$B$1:$B$1000,0),MATCH(data!AV$1,Haver_M!$B$1:$ZN$1,0))),INDEX(Haver_M!$B$1:$ZN$1000,MATCH(data!$A115,Haver_M!$B$1:$B$1000,0),MATCH(data!AV$1,Haver_M!$B$1:$ZN$1,0)),"na")</f>
        <v>88</v>
      </c>
      <c r="AW115">
        <f>IF(ISNUMBER(INDEX(Haver_M!$B$1:$ZN$1000,MATCH(data!$A115,Haver_M!$B$1:$B$1000,0),MATCH(data!AW$1,Haver_M!$B$1:$ZN$1,0))),INDEX(Haver_M!$B$1:$ZN$1000,MATCH(data!$A115,Haver_M!$B$1:$B$1000,0),MATCH(data!AW$1,Haver_M!$B$1:$ZN$1,0)),"na")</f>
        <v>865314.21161367302</v>
      </c>
      <c r="AX115">
        <f>IF(ISNUMBER(INDEX(Haver_M!$B$1:$ZN$1000,MATCH(data!$A115,Haver_M!$B$1:$B$1000,0),MATCH(data!AX$1,Haver_M!$B$1:$ZN$1,0))),INDEX(Haver_M!$B$1:$ZN$1000,MATCH(data!$A115,Haver_M!$B$1:$B$1000,0),MATCH(data!AX$1,Haver_M!$B$1:$ZN$1,0)),"na")</f>
        <v>2511</v>
      </c>
      <c r="AY115">
        <f>IF(ISNUMBER(INDEX(Haver_M!$B$1:$ZN$1000,MATCH(data!$A115,Haver_M!$B$1:$B$1000,0),MATCH(data!AY$1,Haver_M!$B$1:$ZN$1,0))),INDEX(Haver_M!$B$1:$ZN$1000,MATCH(data!$A115,Haver_M!$B$1:$B$1000,0),MATCH(data!AY$1,Haver_M!$B$1:$ZN$1,0)),"na")</f>
        <v>1236</v>
      </c>
      <c r="AZ115">
        <f>IF(ISNUMBER(INDEX(Haver_M!$B$1:$ZN$1000,MATCH(data!$A115,Haver_M!$B$1:$B$1000,0),MATCH(data!AZ$1,Haver_M!$B$1:$ZN$1,0))),INDEX(Haver_M!$B$1:$ZN$1000,MATCH(data!$A115,Haver_M!$B$1:$B$1000,0),MATCH(data!AZ$1,Haver_M!$B$1:$ZN$1,0)),"na")</f>
        <v>49</v>
      </c>
      <c r="BA115">
        <f>IF(ISNUMBER(INDEX(Haver_M!$B$1:$ZN$1000,MATCH(data!$A115,Haver_M!$B$1:$B$1000,0),MATCH(data!BA$1,Haver_M!$B$1:$ZN$1,0))),INDEX(Haver_M!$B$1:$ZN$1000,MATCH(data!$A115,Haver_M!$B$1:$B$1000,0),MATCH(data!BA$1,Haver_M!$B$1:$ZN$1,0)),"na")</f>
        <v>58.083750630625993</v>
      </c>
      <c r="BB115" t="str">
        <f>IF(ISNUMBER(INDEX(Haver_M!$B$1:$ZN$1000,MATCH(data!$A115,Haver_M!$B$1:$B$1000,0),MATCH(data!BB$1,Haver_M!$B$1:$ZN$1,0))),INDEX(Haver_M!$B$1:$ZN$1000,MATCH(data!$A115,Haver_M!$B$1:$B$1000,0),MATCH(data!BB$1,Haver_M!$B$1:$ZN$1,0)),"")</f>
        <v/>
      </c>
    </row>
    <row r="116" spans="1:54" x14ac:dyDescent="0.25">
      <c r="A116" s="2">
        <v>40025</v>
      </c>
      <c r="B116" t="str">
        <f>IF(ISNUMBER(INDEX(Haver_Q!$B$1:$BD$1000,MATCH(data!$A116,Haver_Q!$B$1:$B$1000,0),MATCH(data!B$1,Haver_Q!$B$1:$BD$1,0))),100*INDEX(Haver_Q!$B$1:$BD$1000,MATCH(data!$A116,Haver_Q!$B$1:$B$1000,0),MATCH(data!B$1,Haver_Q!$B$1:$BD$1,0)),"na")</f>
        <v>na</v>
      </c>
      <c r="C116" t="str">
        <f>IF(ISNUMBER(INDEX(Haver_Q!$B$1:$BD$1000,MATCH(data!$A116,Haver_Q!$B$1:$B$1000,0),MATCH(data!C$1,Haver_Q!$B$1:$BD$1,0))),100*INDEX(Haver_Q!$B$1:$BD$1000,MATCH(data!$A116,Haver_Q!$B$1:$B$1000,0),MATCH(data!C$1,Haver_Q!$B$1:$BD$1,0)),"na")</f>
        <v>na</v>
      </c>
      <c r="D116" t="str">
        <f>IF(ISNUMBER(INDEX(Haver_Q!$B$1:$BD$1000,MATCH(data!$A116,Haver_Q!$B$1:$B$1000,0),MATCH(data!D$1,Haver_Q!$B$1:$BD$1,0))),100*INDEX(Haver_Q!$B$1:$BD$1000,MATCH(data!$A116,Haver_Q!$B$1:$B$1000,0),MATCH(data!D$1,Haver_Q!$B$1:$BD$1,0)),"na")</f>
        <v>na</v>
      </c>
      <c r="E116" t="str">
        <f>IF(ISNUMBER(INDEX(Haver_Q!$B$1:$BD$1000,MATCH(data!$A116,Haver_Q!$B$1:$B$1000,0),MATCH(data!E$1,Haver_Q!$B$1:$BD$1,0))),100*INDEX(Haver_Q!$B$1:$BD$1000,MATCH(data!$A116,Haver_Q!$B$1:$B$1000,0),MATCH(data!E$1,Haver_Q!$B$1:$BD$1,0)),"na")</f>
        <v>na</v>
      </c>
      <c r="F116" t="str">
        <f>IF(ISNUMBER(INDEX(Haver_Q!$B$1:$BD$1000,MATCH(data!$A116,Haver_Q!$B$1:$B$1000,0),MATCH(data!F$1,Haver_Q!$B$1:$BD$1,0))),100*INDEX(Haver_Q!$B$1:$BD$1000,MATCH(data!$A116,Haver_Q!$B$1:$B$1000,0),MATCH(data!F$1,Haver_Q!$B$1:$BD$1,0)),"na")</f>
        <v>na</v>
      </c>
      <c r="G116" t="str">
        <f>IF(ISNUMBER(INDEX(Haver_Q!$B$1:$BD$1000,MATCH(data!$A116,Haver_Q!$B$1:$B$1000,0),MATCH(data!G$1,Haver_Q!$B$1:$BD$1,0))),100*INDEX(Haver_Q!$B$1:$BD$1000,MATCH(data!$A116,Haver_Q!$B$1:$B$1000,0),MATCH(data!G$1,Haver_Q!$B$1:$BD$1,0)),"na")</f>
        <v>na</v>
      </c>
      <c r="H116" t="str">
        <f>IF(ISNUMBER(INDEX(Haver_Q!$B$1:$BD$1000,MATCH(data!$A116,Haver_Q!$B$1:$B$1000,0),MATCH(data!H$1,Haver_Q!$B$1:$BD$1,0))),100*INDEX(Haver_Q!$B$1:$BD$1000,MATCH(data!$A116,Haver_Q!$B$1:$B$1000,0),MATCH(data!H$1,Haver_Q!$B$1:$BD$1,0)),"na")</f>
        <v>na</v>
      </c>
      <c r="I116" s="3">
        <f>IF(ISNUMBER(Bloomberg_m!C132),Bloomberg_m!C132,"na")</f>
        <v>3362</v>
      </c>
      <c r="J116" s="3" t="str">
        <f>IF(ISNUMBER(Bloomberg_m!D132),Bloomberg_m!D132,"na")</f>
        <v>na</v>
      </c>
      <c r="K116" s="3" t="str">
        <f>IF(ISNUMBER(Bloomberg_m!E132),Bloomberg_m!E132,"na")</f>
        <v>na</v>
      </c>
      <c r="L116" s="3">
        <f>IF(ISNUMBER(Bloomberg_m!L132),Bloomberg_m!L132,"na")</f>
        <v>64.12</v>
      </c>
      <c r="M116">
        <f>IF(ISNUMBER(INDEX(Haver_M!$B$1:$ZN$1000,MATCH(data!$A116,Haver_M!$B$1:$B$1000,0),MATCH(data!M$1,Haver_M!$B$1:$ZN$1,0))),INDEX(Haver_M!$B$1:$ZN$1000,MATCH(data!$A116,Haver_M!$B$1:$B$1000,0),MATCH(data!M$1,Haver_M!$B$1:$ZN$1,0)),"na")</f>
        <v>4.5</v>
      </c>
      <c r="N116">
        <f>IF(ISNUMBER(INDEX(Haver_M!$B$1:$ZN$1000,MATCH(data!$A116,Haver_M!$B$1:$B$1000,0),MATCH(data!N$1,Haver_M!$B$1:$ZN$1,0))),INDEX(Haver_M!$B$1:$ZN$1000,MATCH(data!$A116,Haver_M!$B$1:$B$1000,0),MATCH(data!N$1,Haver_M!$B$1:$ZN$1,0)),"na")</f>
        <v>8.0277999999999992</v>
      </c>
      <c r="O116">
        <f>IF(ISNUMBER(INDEX(Haver_M!$B$1:$ZN$1000,MATCH(data!$A116,Haver_M!$B$1:$B$1000,0),MATCH(data!O$1,Haver_M!$B$1:$ZN$1,0))),INDEX(Haver_M!$B$1:$ZN$1000,MATCH(data!$A116,Haver_M!$B$1:$B$1000,0),MATCH(data!O$1,Haver_M!$B$1:$ZN$1,0)),"na")</f>
        <v>93.57011</v>
      </c>
      <c r="P116">
        <f>IF(ISNUMBER(INDEX(Haver_M!$B$1:$ZN$1000,MATCH(data!$A116,Haver_M!$B$1:$B$1000,0),MATCH(data!P$1,Haver_M!$B$1:$ZN$1,0))),INDEX(Haver_M!$B$1:$ZN$1000,MATCH(data!$A116,Haver_M!$B$1:$B$1000,0),MATCH(data!P$1,Haver_M!$B$1:$ZN$1,0)),"na")</f>
        <v>70.783500000000004</v>
      </c>
      <c r="Q116">
        <f>IF(ISNUMBER(INDEX(Haver_M!$B$1:$ZN$1000,MATCH(data!$A116,Haver_M!$B$1:$B$1000,0),MATCH(data!Q$1,Haver_M!$B$1:$ZN$1,0))),INDEX(Haver_M!$B$1:$ZN$1000,MATCH(data!$A116,Haver_M!$B$1:$B$1000,0),MATCH(data!Q$1,Haver_M!$B$1:$ZN$1,0)),"na")</f>
        <v>74.371499999999997</v>
      </c>
      <c r="R116">
        <f>IF(ISNUMBER(INDEX(Haver_M!$B$1:$ZN$1000,MATCH(data!$A116,Haver_M!$B$1:$B$1000,0),MATCH(data!R$1,Haver_M!$B$1:$ZN$1,0))),INDEX(Haver_M!$B$1:$ZN$1000,MATCH(data!$A116,Haver_M!$B$1:$B$1000,0),MATCH(data!R$1,Haver_M!$B$1:$ZN$1,0)),"na")</f>
        <v>90.930300000000003</v>
      </c>
      <c r="S116">
        <f>IF(ISNUMBER(INDEX(Haver_M!$B$1:$ZN$1000,MATCH(data!$A116,Haver_M!$B$1:$B$1000,0),MATCH(data!S$1,Haver_M!$B$1:$ZN$1,0))),INDEX(Haver_M!$B$1:$ZN$1000,MATCH(data!$A116,Haver_M!$B$1:$B$1000,0),MATCH(data!S$1,Haver_M!$B$1:$ZN$1,0)),"na")</f>
        <v>97.744299999999996</v>
      </c>
      <c r="T116">
        <f>IF(ISNUMBER(INDEX(Haver_M!$B$1:$ZN$1000,MATCH(data!$A116,Haver_M!$B$1:$B$1000,0),MATCH(data!T$1,Haver_M!$B$1:$ZN$1,0))),INDEX(Haver_M!$B$1:$ZN$1000,MATCH(data!$A116,Haver_M!$B$1:$B$1000,0),MATCH(data!T$1,Haver_M!$B$1:$ZN$1,0)),"na")</f>
        <v>88.584599999999995</v>
      </c>
      <c r="U116">
        <f>IF(ISNUMBER(INDEX(Haver_M!$B$1:$ZN$1000,MATCH(data!$A116,Haver_M!$B$1:$B$1000,0),MATCH(data!U$1,Haver_M!$B$1:$ZN$1,0))),INDEX(Haver_M!$B$1:$ZN$1000,MATCH(data!$A116,Haver_M!$B$1:$B$1000,0),MATCH(data!U$1,Haver_M!$B$1:$ZN$1,0)),"na")</f>
        <v>96.281199999999998</v>
      </c>
      <c r="V116">
        <f>IF(ISNUMBER(INDEX(Haver_M!$B$1:$ZN$1000,MATCH(data!$A116,Haver_M!$B$1:$B$1000,0),MATCH(data!V$1,Haver_M!$B$1:$ZN$1,0))),INDEX(Haver_M!$B$1:$ZN$1000,MATCH(data!$A116,Haver_M!$B$1:$B$1000,0),MATCH(data!V$1,Haver_M!$B$1:$ZN$1,0)),"na")</f>
        <v>85.780500000000004</v>
      </c>
      <c r="W116">
        <f>IF(ISNUMBER(INDEX(Haver_M!$B$1:$ZN$1000,MATCH(data!$A116,Haver_M!$B$1:$B$1000,0),MATCH(data!W$1,Haver_M!$B$1:$ZN$1,0))),INDEX(Haver_M!$B$1:$ZN$1000,MATCH(data!$A116,Haver_M!$B$1:$B$1000,0),MATCH(data!W$1,Haver_M!$B$1:$ZN$1,0)),"na")</f>
        <v>5.78</v>
      </c>
      <c r="X116">
        <f>IF(ISNUMBER(INDEX(Haver_M!$B$1:$ZN$1000,MATCH(data!$A116,Haver_M!$B$1:$B$1000,0),MATCH(data!X$1,Haver_M!$B$1:$ZN$1,0))),INDEX(Haver_M!$B$1:$ZN$1000,MATCH(data!$A116,Haver_M!$B$1:$B$1000,0),MATCH(data!X$1,Haver_M!$B$1:$ZN$1,0)),"na")</f>
        <v>100.68</v>
      </c>
      <c r="Y116">
        <f>IF(ISNUMBER(INDEX(Haver_M!$B$1:$ZN$1000,MATCH(data!$A116,Haver_M!$B$1:$B$1000,0),MATCH(data!Y$1,Haver_M!$B$1:$ZN$1,0))),INDEX(Haver_M!$B$1:$ZN$1000,MATCH(data!$A116,Haver_M!$B$1:$B$1000,0),MATCH(data!Y$1,Haver_M!$B$1:$ZN$1,0)),"na")</f>
        <v>97.72</v>
      </c>
      <c r="Z116">
        <f>IF(ISNUMBER(INDEX(Haver_M!$B$1:$ZN$1000,MATCH(data!$A116,Haver_M!$B$1:$B$1000,0),MATCH(data!Z$1,Haver_M!$B$1:$ZN$1,0))),INDEX(Haver_M!$B$1:$ZN$1000,MATCH(data!$A116,Haver_M!$B$1:$B$1000,0),MATCH(data!Z$1,Haver_M!$B$1:$ZN$1,0)),"na")</f>
        <v>94.0642</v>
      </c>
      <c r="AA116">
        <f>IF(ISNUMBER(INDEX(Haver_M!$B$1:$ZN$1000,MATCH(data!$A116,Haver_M!$B$1:$B$1000,0),MATCH(data!AA$1,Haver_M!$B$1:$ZN$1,0))),INDEX(Haver_M!$B$1:$ZN$1000,MATCH(data!$A116,Haver_M!$B$1:$B$1000,0),MATCH(data!AA$1,Haver_M!$B$1:$ZN$1,0)),"na")</f>
        <v>88.293800000000005</v>
      </c>
      <c r="AB116">
        <f>IF(ISNUMBER(INDEX(Haver_M!$B$1:$ZN$1000,MATCH(data!$A116,Haver_M!$B$1:$B$1000,0),MATCH(data!AB$1,Haver_M!$B$1:$ZN$1,0))),INDEX(Haver_M!$B$1:$ZN$1000,MATCH(data!$A116,Haver_M!$B$1:$B$1000,0),MATCH(data!AB$1,Haver_M!$B$1:$ZN$1,0)),"na")</f>
        <v>18166.7</v>
      </c>
      <c r="AC116">
        <f>IF(ISNUMBER(INDEX(Haver_M!$B$1:$ZN$1000,MATCH(data!$A116,Haver_M!$B$1:$B$1000,0),MATCH(data!AC$1,Haver_M!$B$1:$ZN$1,0))),INDEX(Haver_M!$B$1:$ZN$1000,MATCH(data!$A116,Haver_M!$B$1:$B$1000,0),MATCH(data!AC$1,Haver_M!$B$1:$ZN$1,0)),"na")</f>
        <v>19142.7</v>
      </c>
      <c r="AD116">
        <f>IF(ISNUMBER(INDEX(Haver_M!$B$1:$ZN$1000,MATCH(data!$A116,Haver_M!$B$1:$B$1000,0),MATCH(data!AD$1,Haver_M!$B$1:$ZN$1,0))),INDEX(Haver_M!$B$1:$ZN$1000,MATCH(data!$A116,Haver_M!$B$1:$B$1000,0),MATCH(data!AD$1,Haver_M!$B$1:$ZN$1,0)),"na")</f>
        <v>97.46</v>
      </c>
      <c r="AE116">
        <f>IF(ISNUMBER(INDEX(Haver_M!$B$1:$ZN$1000,MATCH(data!$A116,Haver_M!$B$1:$B$1000,0),MATCH(data!AE$1,Haver_M!$B$1:$ZN$1,0))),INDEX(Haver_M!$B$1:$ZN$1000,MATCH(data!$A116,Haver_M!$B$1:$B$1000,0),MATCH(data!AE$1,Haver_M!$B$1:$ZN$1,0)),"na")</f>
        <v>35.700000000000003</v>
      </c>
      <c r="AF116">
        <f>IF(ISNUMBER(INDEX(Haver_M!$B$1:$ZN$1000,MATCH(data!$A116,Haver_M!$B$1:$B$1000,0),MATCH(data!AF$1,Haver_M!$B$1:$ZN$1,0))),INDEX(Haver_M!$B$1:$ZN$1000,MATCH(data!$A116,Haver_M!$B$1:$B$1000,0),MATCH(data!AF$1,Haver_M!$B$1:$ZN$1,0)),"na")</f>
        <v>96.5</v>
      </c>
      <c r="AG116" t="str">
        <f>IF(ISNUMBER(INDEX(Haver_M!$B$1:$ZN$1000,MATCH(data!$A116,Haver_M!$B$1:$B$1000,0),MATCH(data!AG$1,Haver_M!$B$1:$ZN$1,0))),INDEX(Haver_M!$B$1:$ZN$1000,MATCH(data!$A116,Haver_M!$B$1:$B$1000,0),MATCH(data!AG$1,Haver_M!$B$1:$ZN$1,0)),"na")</f>
        <v>na</v>
      </c>
      <c r="AH116" t="str">
        <f>IF(ISNUMBER(INDEX(Haver_M!$B$1:$ZN$1000,MATCH(data!$A116,Haver_M!$B$1:$B$1000,0),MATCH(data!AH$1,Haver_M!$B$1:$ZN$1,0))),INDEX(Haver_M!$B$1:$ZN$1000,MATCH(data!$A116,Haver_M!$B$1:$B$1000,0),MATCH(data!AH$1,Haver_M!$B$1:$ZN$1,0)),"na")</f>
        <v>na</v>
      </c>
      <c r="AI116" t="str">
        <f>IF(ISNUMBER(INDEX(Haver_M!$B$1:$ZN$1000,MATCH(data!$A116,Haver_M!$B$1:$B$1000,0),MATCH(data!AI$1,Haver_M!$B$1:$ZN$1,0))),INDEX(Haver_M!$B$1:$ZN$1000,MATCH(data!$A116,Haver_M!$B$1:$B$1000,0),MATCH(data!AI$1,Haver_M!$B$1:$ZN$1,0)),"na")</f>
        <v>na</v>
      </c>
      <c r="AJ116" t="str">
        <f>IF(ISNUMBER(INDEX(Haver_M!$B$1:$ZN$1000,MATCH(data!$A116,Haver_M!$B$1:$B$1000,0),MATCH(data!AJ$1,Haver_M!$B$1:$ZN$1,0))),INDEX(Haver_M!$B$1:$ZN$1000,MATCH(data!$A116,Haver_M!$B$1:$B$1000,0),MATCH(data!AJ$1,Haver_M!$B$1:$ZN$1,0)),"na")</f>
        <v>na</v>
      </c>
      <c r="AK116" t="str">
        <f>IF(ISNUMBER(INDEX(Haver_M!$B$1:$ZN$1000,MATCH(data!$A116,Haver_M!$B$1:$B$1000,0),MATCH(data!AK$1,Haver_M!$B$1:$ZN$1,0))),INDEX(Haver_M!$B$1:$ZN$1000,MATCH(data!$A116,Haver_M!$B$1:$B$1000,0),MATCH(data!AK$1,Haver_M!$B$1:$ZN$1,0)),"na")</f>
        <v>na</v>
      </c>
      <c r="AL116" t="str">
        <f>IF(ISNUMBER(INDEX(Haver_M!$B$1:$ZN$1000,MATCH(data!$A116,Haver_M!$B$1:$B$1000,0),MATCH(data!AL$1,Haver_M!$B$1:$ZN$1,0))),INDEX(Haver_M!$B$1:$ZN$1000,MATCH(data!$A116,Haver_M!$B$1:$B$1000,0),MATCH(data!AL$1,Haver_M!$B$1:$ZN$1,0)),"na")</f>
        <v>na</v>
      </c>
      <c r="AM116" t="str">
        <f>IF(ISNUMBER(INDEX(Haver_M!$B$1:$ZN$1000,MATCH(data!$A116,Haver_M!$B$1:$B$1000,0),MATCH(data!AM$1,Haver_M!$B$1:$ZN$1,0))),INDEX(Haver_M!$B$1:$ZN$1000,MATCH(data!$A116,Haver_M!$B$1:$B$1000,0),MATCH(data!AM$1,Haver_M!$B$1:$ZN$1,0)),"na")</f>
        <v>na</v>
      </c>
      <c r="AN116" t="str">
        <f>IF(ISNUMBER(INDEX(Haver_M!$B$1:$ZN$1000,MATCH(data!$A116,Haver_M!$B$1:$B$1000,0),MATCH(data!AN$1,Haver_M!$B$1:$ZN$1,0))),INDEX(Haver_M!$B$1:$ZN$1000,MATCH(data!$A116,Haver_M!$B$1:$B$1000,0),MATCH(data!AN$1,Haver_M!$B$1:$ZN$1,0)),"na")</f>
        <v>na</v>
      </c>
      <c r="AO116" t="str">
        <f>IF(ISNUMBER(INDEX(Haver_M!$B$1:$ZN$1000,MATCH(data!$A116,Haver_M!$B$1:$B$1000,0),MATCH(data!AO$1,Haver_M!$B$1:$ZN$1,0))),INDEX(Haver_M!$B$1:$ZN$1000,MATCH(data!$A116,Haver_M!$B$1:$B$1000,0),MATCH(data!AO$1,Haver_M!$B$1:$ZN$1,0)),"na")</f>
        <v>na</v>
      </c>
      <c r="AP116" t="str">
        <f>IF(ISNUMBER(INDEX(Haver_M!$B$1:$ZN$1000,MATCH(data!$A116,Haver_M!$B$1:$B$1000,0),MATCH(data!AP$1,Haver_M!$B$1:$ZN$1,0))),INDEX(Haver_M!$B$1:$ZN$1000,MATCH(data!$A116,Haver_M!$B$1:$B$1000,0),MATCH(data!AP$1,Haver_M!$B$1:$ZN$1,0)),"na")</f>
        <v>na</v>
      </c>
      <c r="AQ116" t="str">
        <f>IF(ISNUMBER(INDEX(Haver_M!$B$1:$ZN$1000,MATCH(data!$A116,Haver_M!$B$1:$B$1000,0),MATCH(data!AQ$1,Haver_M!$B$1:$ZN$1,0))),INDEX(Haver_M!$B$1:$ZN$1000,MATCH(data!$A116,Haver_M!$B$1:$B$1000,0),MATCH(data!AQ$1,Haver_M!$B$1:$ZN$1,0)),"na")</f>
        <v>na</v>
      </c>
      <c r="AR116" t="str">
        <f>IF(ISNUMBER(INDEX(Haver_M!$B$1:$ZN$1000,MATCH(data!$A116,Haver_M!$B$1:$B$1000,0),MATCH(data!AR$1,Haver_M!$B$1:$ZN$1,0))),INDEX(Haver_M!$B$1:$ZN$1000,MATCH(data!$A116,Haver_M!$B$1:$B$1000,0),MATCH(data!AR$1,Haver_M!$B$1:$ZN$1,0)),"na")</f>
        <v>na</v>
      </c>
      <c r="AS116">
        <f>IF(ISNUMBER(INDEX(Haver_M!$B$1:$ZN$1000,MATCH(data!$A116,Haver_M!$B$1:$B$1000,0),MATCH(data!AS$1,Haver_M!$B$1:$ZN$1,0))),INDEX(Haver_M!$B$1:$ZN$1000,MATCH(data!$A116,Haver_M!$B$1:$B$1000,0),MATCH(data!AS$1,Haver_M!$B$1:$ZN$1,0)),"na")</f>
        <v>25289.29</v>
      </c>
      <c r="AT116">
        <f>IF(ISNUMBER(INDEX(Haver_M!$B$1:$ZN$1000,MATCH(data!$A116,Haver_M!$B$1:$B$1000,0),MATCH(data!AT$1,Haver_M!$B$1:$ZN$1,0))),INDEX(Haver_M!$B$1:$ZN$1000,MATCH(data!$A116,Haver_M!$B$1:$B$1000,0),MATCH(data!AT$1,Haver_M!$B$1:$ZN$1,0)),"na")</f>
        <v>89.915000000000006</v>
      </c>
      <c r="AU116">
        <f>IF(ISNUMBER(INDEX(Haver_M!$B$1:$ZN$1000,MATCH(data!$A116,Haver_M!$B$1:$B$1000,0),MATCH(data!AU$1,Haver_M!$B$1:$ZN$1,0))),INDEX(Haver_M!$B$1:$ZN$1000,MATCH(data!$A116,Haver_M!$B$1:$B$1000,0),MATCH(data!AU$1,Haver_M!$B$1:$ZN$1,0)),"na")</f>
        <v>87.905737000000002</v>
      </c>
      <c r="AV116">
        <f>IF(ISNUMBER(INDEX(Haver_M!$B$1:$ZN$1000,MATCH(data!$A116,Haver_M!$B$1:$B$1000,0),MATCH(data!AV$1,Haver_M!$B$1:$ZN$1,0))),INDEX(Haver_M!$B$1:$ZN$1000,MATCH(data!$A116,Haver_M!$B$1:$B$1000,0),MATCH(data!AV$1,Haver_M!$B$1:$ZN$1,0)),"na")</f>
        <v>88.2</v>
      </c>
      <c r="AW116">
        <f>IF(ISNUMBER(INDEX(Haver_M!$B$1:$ZN$1000,MATCH(data!$A116,Haver_M!$B$1:$B$1000,0),MATCH(data!AW$1,Haver_M!$B$1:$ZN$1,0))),INDEX(Haver_M!$B$1:$ZN$1000,MATCH(data!$A116,Haver_M!$B$1:$B$1000,0),MATCH(data!AW$1,Haver_M!$B$1:$ZN$1,0)),"na")</f>
        <v>920937.33700784831</v>
      </c>
      <c r="AX116">
        <f>IF(ISNUMBER(INDEX(Haver_M!$B$1:$ZN$1000,MATCH(data!$A116,Haver_M!$B$1:$B$1000,0),MATCH(data!AX$1,Haver_M!$B$1:$ZN$1,0))),INDEX(Haver_M!$B$1:$ZN$1000,MATCH(data!$A116,Haver_M!$B$1:$B$1000,0),MATCH(data!AX$1,Haver_M!$B$1:$ZN$1,0)),"na")</f>
        <v>2575</v>
      </c>
      <c r="AY116">
        <f>IF(ISNUMBER(INDEX(Haver_M!$B$1:$ZN$1000,MATCH(data!$A116,Haver_M!$B$1:$B$1000,0),MATCH(data!AY$1,Haver_M!$B$1:$ZN$1,0))),INDEX(Haver_M!$B$1:$ZN$1000,MATCH(data!$A116,Haver_M!$B$1:$B$1000,0),MATCH(data!AY$1,Haver_M!$B$1:$ZN$1,0)),"na")</f>
        <v>1307</v>
      </c>
      <c r="AZ116">
        <f>IF(ISNUMBER(INDEX(Haver_M!$B$1:$ZN$1000,MATCH(data!$A116,Haver_M!$B$1:$B$1000,0),MATCH(data!AZ$1,Haver_M!$B$1:$ZN$1,0))),INDEX(Haver_M!$B$1:$ZN$1000,MATCH(data!$A116,Haver_M!$B$1:$B$1000,0),MATCH(data!AZ$1,Haver_M!$B$1:$ZN$1,0)),"na")</f>
        <v>50.8</v>
      </c>
      <c r="BA116">
        <f>IF(ISNUMBER(INDEX(Haver_M!$B$1:$ZN$1000,MATCH(data!$A116,Haver_M!$B$1:$B$1000,0),MATCH(data!BA$1,Haver_M!$B$1:$ZN$1,0))),INDEX(Haver_M!$B$1:$ZN$1000,MATCH(data!$A116,Haver_M!$B$1:$B$1000,0),MATCH(data!BA$1,Haver_M!$B$1:$ZN$1,0)),"na")</f>
        <v>39.016287840558718</v>
      </c>
      <c r="BB116" t="str">
        <f>IF(ISNUMBER(INDEX(Haver_M!$B$1:$ZN$1000,MATCH(data!$A116,Haver_M!$B$1:$B$1000,0),MATCH(data!BB$1,Haver_M!$B$1:$ZN$1,0))),INDEX(Haver_M!$B$1:$ZN$1000,MATCH(data!$A116,Haver_M!$B$1:$B$1000,0),MATCH(data!BB$1,Haver_M!$B$1:$ZN$1,0)),"")</f>
        <v/>
      </c>
    </row>
    <row r="117" spans="1:54" x14ac:dyDescent="0.25">
      <c r="A117" s="2">
        <v>40056</v>
      </c>
      <c r="B117" t="str">
        <f>IF(ISNUMBER(INDEX(Haver_Q!$B$1:$BD$1000,MATCH(data!$A117,Haver_Q!$B$1:$B$1000,0),MATCH(data!B$1,Haver_Q!$B$1:$BD$1,0))),100*INDEX(Haver_Q!$B$1:$BD$1000,MATCH(data!$A117,Haver_Q!$B$1:$B$1000,0),MATCH(data!B$1,Haver_Q!$B$1:$BD$1,0)),"na")</f>
        <v>na</v>
      </c>
      <c r="C117" t="str">
        <f>IF(ISNUMBER(INDEX(Haver_Q!$B$1:$BD$1000,MATCH(data!$A117,Haver_Q!$B$1:$B$1000,0),MATCH(data!C$1,Haver_Q!$B$1:$BD$1,0))),100*INDEX(Haver_Q!$B$1:$BD$1000,MATCH(data!$A117,Haver_Q!$B$1:$B$1000,0),MATCH(data!C$1,Haver_Q!$B$1:$BD$1,0)),"na")</f>
        <v>na</v>
      </c>
      <c r="D117" t="str">
        <f>IF(ISNUMBER(INDEX(Haver_Q!$B$1:$BD$1000,MATCH(data!$A117,Haver_Q!$B$1:$B$1000,0),MATCH(data!D$1,Haver_Q!$B$1:$BD$1,0))),100*INDEX(Haver_Q!$B$1:$BD$1000,MATCH(data!$A117,Haver_Q!$B$1:$B$1000,0),MATCH(data!D$1,Haver_Q!$B$1:$BD$1,0)),"na")</f>
        <v>na</v>
      </c>
      <c r="E117" t="str">
        <f>IF(ISNUMBER(INDEX(Haver_Q!$B$1:$BD$1000,MATCH(data!$A117,Haver_Q!$B$1:$B$1000,0),MATCH(data!E$1,Haver_Q!$B$1:$BD$1,0))),100*INDEX(Haver_Q!$B$1:$BD$1000,MATCH(data!$A117,Haver_Q!$B$1:$B$1000,0),MATCH(data!E$1,Haver_Q!$B$1:$BD$1,0)),"na")</f>
        <v>na</v>
      </c>
      <c r="F117" t="str">
        <f>IF(ISNUMBER(INDEX(Haver_Q!$B$1:$BD$1000,MATCH(data!$A117,Haver_Q!$B$1:$B$1000,0),MATCH(data!F$1,Haver_Q!$B$1:$BD$1,0))),100*INDEX(Haver_Q!$B$1:$BD$1000,MATCH(data!$A117,Haver_Q!$B$1:$B$1000,0),MATCH(data!F$1,Haver_Q!$B$1:$BD$1,0)),"na")</f>
        <v>na</v>
      </c>
      <c r="G117" t="str">
        <f>IF(ISNUMBER(INDEX(Haver_Q!$B$1:$BD$1000,MATCH(data!$A117,Haver_Q!$B$1:$B$1000,0),MATCH(data!G$1,Haver_Q!$B$1:$BD$1,0))),100*INDEX(Haver_Q!$B$1:$BD$1000,MATCH(data!$A117,Haver_Q!$B$1:$B$1000,0),MATCH(data!G$1,Haver_Q!$B$1:$BD$1,0)),"na")</f>
        <v>na</v>
      </c>
      <c r="H117" t="str">
        <f>IF(ISNUMBER(INDEX(Haver_Q!$B$1:$BD$1000,MATCH(data!$A117,Haver_Q!$B$1:$B$1000,0),MATCH(data!H$1,Haver_Q!$B$1:$BD$1,0))),100*INDEX(Haver_Q!$B$1:$BD$1000,MATCH(data!$A117,Haver_Q!$B$1:$B$1000,0),MATCH(data!H$1,Haver_Q!$B$1:$BD$1,0)),"na")</f>
        <v>na</v>
      </c>
      <c r="I117" s="3">
        <f>IF(ISNUMBER(Bloomberg_m!C133),Bloomberg_m!C133,"na")</f>
        <v>2685</v>
      </c>
      <c r="J117" s="3" t="str">
        <f>IF(ISNUMBER(Bloomberg_m!D133),Bloomberg_m!D133,"na")</f>
        <v>na</v>
      </c>
      <c r="K117" s="3" t="str">
        <f>IF(ISNUMBER(Bloomberg_m!E133),Bloomberg_m!E133,"na")</f>
        <v>na</v>
      </c>
      <c r="L117" s="3">
        <f>IF(ISNUMBER(Bloomberg_m!L133),Bloomberg_m!L133,"na")</f>
        <v>71.06</v>
      </c>
      <c r="M117">
        <f>IF(ISNUMBER(INDEX(Haver_M!$B$1:$ZN$1000,MATCH(data!$A117,Haver_M!$B$1:$B$1000,0),MATCH(data!M$1,Haver_M!$B$1:$ZN$1,0))),INDEX(Haver_M!$B$1:$ZN$1000,MATCH(data!$A117,Haver_M!$B$1:$B$1000,0),MATCH(data!M$1,Haver_M!$B$1:$ZN$1,0)),"na")</f>
        <v>4.5</v>
      </c>
      <c r="N117">
        <f>IF(ISNUMBER(INDEX(Haver_M!$B$1:$ZN$1000,MATCH(data!$A117,Haver_M!$B$1:$B$1000,0),MATCH(data!N$1,Haver_M!$B$1:$ZN$1,0))),INDEX(Haver_M!$B$1:$ZN$1000,MATCH(data!$A117,Haver_M!$B$1:$B$1000,0),MATCH(data!N$1,Haver_M!$B$1:$ZN$1,0)),"na")</f>
        <v>8.1071000000000009</v>
      </c>
      <c r="O117">
        <f>IF(ISNUMBER(INDEX(Haver_M!$B$1:$ZN$1000,MATCH(data!$A117,Haver_M!$B$1:$B$1000,0),MATCH(data!O$1,Haver_M!$B$1:$ZN$1,0))),INDEX(Haver_M!$B$1:$ZN$1000,MATCH(data!$A117,Haver_M!$B$1:$B$1000,0),MATCH(data!O$1,Haver_M!$B$1:$ZN$1,0)),"na")</f>
        <v>95.609189999999998</v>
      </c>
      <c r="P117">
        <f>IF(ISNUMBER(INDEX(Haver_M!$B$1:$ZN$1000,MATCH(data!$A117,Haver_M!$B$1:$B$1000,0),MATCH(data!P$1,Haver_M!$B$1:$ZN$1,0))),INDEX(Haver_M!$B$1:$ZN$1000,MATCH(data!$A117,Haver_M!$B$1:$B$1000,0),MATCH(data!P$1,Haver_M!$B$1:$ZN$1,0)),"na")</f>
        <v>70.971599999999995</v>
      </c>
      <c r="Q117">
        <f>IF(ISNUMBER(INDEX(Haver_M!$B$1:$ZN$1000,MATCH(data!$A117,Haver_M!$B$1:$B$1000,0),MATCH(data!Q$1,Haver_M!$B$1:$ZN$1,0))),INDEX(Haver_M!$B$1:$ZN$1000,MATCH(data!$A117,Haver_M!$B$1:$B$1000,0),MATCH(data!Q$1,Haver_M!$B$1:$ZN$1,0)),"na")</f>
        <v>74.578000000000003</v>
      </c>
      <c r="R117">
        <f>IF(ISNUMBER(INDEX(Haver_M!$B$1:$ZN$1000,MATCH(data!$A117,Haver_M!$B$1:$B$1000,0),MATCH(data!R$1,Haver_M!$B$1:$ZN$1,0))),INDEX(Haver_M!$B$1:$ZN$1000,MATCH(data!$A117,Haver_M!$B$1:$B$1000,0),MATCH(data!R$1,Haver_M!$B$1:$ZN$1,0)),"na")</f>
        <v>90.365799999999993</v>
      </c>
      <c r="S117">
        <f>IF(ISNUMBER(INDEX(Haver_M!$B$1:$ZN$1000,MATCH(data!$A117,Haver_M!$B$1:$B$1000,0),MATCH(data!S$1,Haver_M!$B$1:$ZN$1,0))),INDEX(Haver_M!$B$1:$ZN$1000,MATCH(data!$A117,Haver_M!$B$1:$B$1000,0),MATCH(data!S$1,Haver_M!$B$1:$ZN$1,0)),"na")</f>
        <v>96.442400000000006</v>
      </c>
      <c r="T117">
        <f>IF(ISNUMBER(INDEX(Haver_M!$B$1:$ZN$1000,MATCH(data!$A117,Haver_M!$B$1:$B$1000,0),MATCH(data!T$1,Haver_M!$B$1:$ZN$1,0))),INDEX(Haver_M!$B$1:$ZN$1000,MATCH(data!$A117,Haver_M!$B$1:$B$1000,0),MATCH(data!T$1,Haver_M!$B$1:$ZN$1,0)),"na")</f>
        <v>89.3125</v>
      </c>
      <c r="U117">
        <f>IF(ISNUMBER(INDEX(Haver_M!$B$1:$ZN$1000,MATCH(data!$A117,Haver_M!$B$1:$B$1000,0),MATCH(data!U$1,Haver_M!$B$1:$ZN$1,0))),INDEX(Haver_M!$B$1:$ZN$1000,MATCH(data!$A117,Haver_M!$B$1:$B$1000,0),MATCH(data!U$1,Haver_M!$B$1:$ZN$1,0)),"na")</f>
        <v>95.928799999999995</v>
      </c>
      <c r="V117">
        <f>IF(ISNUMBER(INDEX(Haver_M!$B$1:$ZN$1000,MATCH(data!$A117,Haver_M!$B$1:$B$1000,0),MATCH(data!V$1,Haver_M!$B$1:$ZN$1,0))),INDEX(Haver_M!$B$1:$ZN$1000,MATCH(data!$A117,Haver_M!$B$1:$B$1000,0),MATCH(data!V$1,Haver_M!$B$1:$ZN$1,0)),"na")</f>
        <v>85.312200000000004</v>
      </c>
      <c r="W117">
        <f>IF(ISNUMBER(INDEX(Haver_M!$B$1:$ZN$1000,MATCH(data!$A117,Haver_M!$B$1:$B$1000,0),MATCH(data!W$1,Haver_M!$B$1:$ZN$1,0))),INDEX(Haver_M!$B$1:$ZN$1000,MATCH(data!$A117,Haver_M!$B$1:$B$1000,0),MATCH(data!W$1,Haver_M!$B$1:$ZN$1,0)),"na")</f>
        <v>5.93</v>
      </c>
      <c r="X117">
        <f>IF(ISNUMBER(INDEX(Haver_M!$B$1:$ZN$1000,MATCH(data!$A117,Haver_M!$B$1:$B$1000,0),MATCH(data!X$1,Haver_M!$B$1:$ZN$1,0))),INDEX(Haver_M!$B$1:$ZN$1000,MATCH(data!$A117,Haver_M!$B$1:$B$1000,0),MATCH(data!X$1,Haver_M!$B$1:$ZN$1,0)),"na")</f>
        <v>99.79</v>
      </c>
      <c r="Y117">
        <f>IF(ISNUMBER(INDEX(Haver_M!$B$1:$ZN$1000,MATCH(data!$A117,Haver_M!$B$1:$B$1000,0),MATCH(data!Y$1,Haver_M!$B$1:$ZN$1,0))),INDEX(Haver_M!$B$1:$ZN$1000,MATCH(data!$A117,Haver_M!$B$1:$B$1000,0),MATCH(data!Y$1,Haver_M!$B$1:$ZN$1,0)),"na")</f>
        <v>98.27</v>
      </c>
      <c r="Z117">
        <f>IF(ISNUMBER(INDEX(Haver_M!$B$1:$ZN$1000,MATCH(data!$A117,Haver_M!$B$1:$B$1000,0),MATCH(data!Z$1,Haver_M!$B$1:$ZN$1,0))),INDEX(Haver_M!$B$1:$ZN$1000,MATCH(data!$A117,Haver_M!$B$1:$B$1000,0),MATCH(data!Z$1,Haver_M!$B$1:$ZN$1,0)),"na")</f>
        <v>93.872600000000006</v>
      </c>
      <c r="AA117">
        <f>IF(ISNUMBER(INDEX(Haver_M!$B$1:$ZN$1000,MATCH(data!$A117,Haver_M!$B$1:$B$1000,0),MATCH(data!AA$1,Haver_M!$B$1:$ZN$1,0))),INDEX(Haver_M!$B$1:$ZN$1000,MATCH(data!$A117,Haver_M!$B$1:$B$1000,0),MATCH(data!AA$1,Haver_M!$B$1:$ZN$1,0)),"na")</f>
        <v>88.463499999999996</v>
      </c>
      <c r="AB117">
        <f>IF(ISNUMBER(INDEX(Haver_M!$B$1:$ZN$1000,MATCH(data!$A117,Haver_M!$B$1:$B$1000,0),MATCH(data!AB$1,Haver_M!$B$1:$ZN$1,0))),INDEX(Haver_M!$B$1:$ZN$1000,MATCH(data!$A117,Haver_M!$B$1:$B$1000,0),MATCH(data!AB$1,Haver_M!$B$1:$ZN$1,0)),"na")</f>
        <v>19366.599999999999</v>
      </c>
      <c r="AC117">
        <f>IF(ISNUMBER(INDEX(Haver_M!$B$1:$ZN$1000,MATCH(data!$A117,Haver_M!$B$1:$B$1000,0),MATCH(data!AC$1,Haver_M!$B$1:$ZN$1,0))),INDEX(Haver_M!$B$1:$ZN$1000,MATCH(data!$A117,Haver_M!$B$1:$B$1000,0),MATCH(data!AC$1,Haver_M!$B$1:$ZN$1,0)),"na")</f>
        <v>19755.400000000001</v>
      </c>
      <c r="AD117">
        <f>IF(ISNUMBER(INDEX(Haver_M!$B$1:$ZN$1000,MATCH(data!$A117,Haver_M!$B$1:$B$1000,0),MATCH(data!AD$1,Haver_M!$B$1:$ZN$1,0))),INDEX(Haver_M!$B$1:$ZN$1000,MATCH(data!$A117,Haver_M!$B$1:$B$1000,0),MATCH(data!AD$1,Haver_M!$B$1:$ZN$1,0)),"na")</f>
        <v>97.59</v>
      </c>
      <c r="AE117">
        <f>IF(ISNUMBER(INDEX(Haver_M!$B$1:$ZN$1000,MATCH(data!$A117,Haver_M!$B$1:$B$1000,0),MATCH(data!AE$1,Haver_M!$B$1:$ZN$1,0))),INDEX(Haver_M!$B$1:$ZN$1000,MATCH(data!$A117,Haver_M!$B$1:$B$1000,0),MATCH(data!AE$1,Haver_M!$B$1:$ZN$1,0)),"na")</f>
        <v>34</v>
      </c>
      <c r="AF117">
        <f>IF(ISNUMBER(INDEX(Haver_M!$B$1:$ZN$1000,MATCH(data!$A117,Haver_M!$B$1:$B$1000,0),MATCH(data!AF$1,Haver_M!$B$1:$ZN$1,0))),INDEX(Haver_M!$B$1:$ZN$1000,MATCH(data!$A117,Haver_M!$B$1:$B$1000,0),MATCH(data!AF$1,Haver_M!$B$1:$ZN$1,0)),"na")</f>
        <v>96.91</v>
      </c>
      <c r="AG117" t="str">
        <f>IF(ISNUMBER(INDEX(Haver_M!$B$1:$ZN$1000,MATCH(data!$A117,Haver_M!$B$1:$B$1000,0),MATCH(data!AG$1,Haver_M!$B$1:$ZN$1,0))),INDEX(Haver_M!$B$1:$ZN$1000,MATCH(data!$A117,Haver_M!$B$1:$B$1000,0),MATCH(data!AG$1,Haver_M!$B$1:$ZN$1,0)),"na")</f>
        <v>na</v>
      </c>
      <c r="AH117" t="str">
        <f>IF(ISNUMBER(INDEX(Haver_M!$B$1:$ZN$1000,MATCH(data!$A117,Haver_M!$B$1:$B$1000,0),MATCH(data!AH$1,Haver_M!$B$1:$ZN$1,0))),INDEX(Haver_M!$B$1:$ZN$1000,MATCH(data!$A117,Haver_M!$B$1:$B$1000,0),MATCH(data!AH$1,Haver_M!$B$1:$ZN$1,0)),"na")</f>
        <v>na</v>
      </c>
      <c r="AI117" t="str">
        <f>IF(ISNUMBER(INDEX(Haver_M!$B$1:$ZN$1000,MATCH(data!$A117,Haver_M!$B$1:$B$1000,0),MATCH(data!AI$1,Haver_M!$B$1:$ZN$1,0))),INDEX(Haver_M!$B$1:$ZN$1000,MATCH(data!$A117,Haver_M!$B$1:$B$1000,0),MATCH(data!AI$1,Haver_M!$B$1:$ZN$1,0)),"na")</f>
        <v>na</v>
      </c>
      <c r="AJ117" t="str">
        <f>IF(ISNUMBER(INDEX(Haver_M!$B$1:$ZN$1000,MATCH(data!$A117,Haver_M!$B$1:$B$1000,0),MATCH(data!AJ$1,Haver_M!$B$1:$ZN$1,0))),INDEX(Haver_M!$B$1:$ZN$1000,MATCH(data!$A117,Haver_M!$B$1:$B$1000,0),MATCH(data!AJ$1,Haver_M!$B$1:$ZN$1,0)),"na")</f>
        <v>na</v>
      </c>
      <c r="AK117" t="str">
        <f>IF(ISNUMBER(INDEX(Haver_M!$B$1:$ZN$1000,MATCH(data!$A117,Haver_M!$B$1:$B$1000,0),MATCH(data!AK$1,Haver_M!$B$1:$ZN$1,0))),INDEX(Haver_M!$B$1:$ZN$1000,MATCH(data!$A117,Haver_M!$B$1:$B$1000,0),MATCH(data!AK$1,Haver_M!$B$1:$ZN$1,0)),"na")</f>
        <v>na</v>
      </c>
      <c r="AL117" t="str">
        <f>IF(ISNUMBER(INDEX(Haver_M!$B$1:$ZN$1000,MATCH(data!$A117,Haver_M!$B$1:$B$1000,0),MATCH(data!AL$1,Haver_M!$B$1:$ZN$1,0))),INDEX(Haver_M!$B$1:$ZN$1000,MATCH(data!$A117,Haver_M!$B$1:$B$1000,0),MATCH(data!AL$1,Haver_M!$B$1:$ZN$1,0)),"na")</f>
        <v>na</v>
      </c>
      <c r="AM117" t="str">
        <f>IF(ISNUMBER(INDEX(Haver_M!$B$1:$ZN$1000,MATCH(data!$A117,Haver_M!$B$1:$B$1000,0),MATCH(data!AM$1,Haver_M!$B$1:$ZN$1,0))),INDEX(Haver_M!$B$1:$ZN$1000,MATCH(data!$A117,Haver_M!$B$1:$B$1000,0),MATCH(data!AM$1,Haver_M!$B$1:$ZN$1,0)),"na")</f>
        <v>na</v>
      </c>
      <c r="AN117" t="str">
        <f>IF(ISNUMBER(INDEX(Haver_M!$B$1:$ZN$1000,MATCH(data!$A117,Haver_M!$B$1:$B$1000,0),MATCH(data!AN$1,Haver_M!$B$1:$ZN$1,0))),INDEX(Haver_M!$B$1:$ZN$1000,MATCH(data!$A117,Haver_M!$B$1:$B$1000,0),MATCH(data!AN$1,Haver_M!$B$1:$ZN$1,0)),"na")</f>
        <v>na</v>
      </c>
      <c r="AO117" t="str">
        <f>IF(ISNUMBER(INDEX(Haver_M!$B$1:$ZN$1000,MATCH(data!$A117,Haver_M!$B$1:$B$1000,0),MATCH(data!AO$1,Haver_M!$B$1:$ZN$1,0))),INDEX(Haver_M!$B$1:$ZN$1000,MATCH(data!$A117,Haver_M!$B$1:$B$1000,0),MATCH(data!AO$1,Haver_M!$B$1:$ZN$1,0)),"na")</f>
        <v>na</v>
      </c>
      <c r="AP117" t="str">
        <f>IF(ISNUMBER(INDEX(Haver_M!$B$1:$ZN$1000,MATCH(data!$A117,Haver_M!$B$1:$B$1000,0),MATCH(data!AP$1,Haver_M!$B$1:$ZN$1,0))),INDEX(Haver_M!$B$1:$ZN$1000,MATCH(data!$A117,Haver_M!$B$1:$B$1000,0),MATCH(data!AP$1,Haver_M!$B$1:$ZN$1,0)),"na")</f>
        <v>na</v>
      </c>
      <c r="AQ117" t="str">
        <f>IF(ISNUMBER(INDEX(Haver_M!$B$1:$ZN$1000,MATCH(data!$A117,Haver_M!$B$1:$B$1000,0),MATCH(data!AQ$1,Haver_M!$B$1:$ZN$1,0))),INDEX(Haver_M!$B$1:$ZN$1000,MATCH(data!$A117,Haver_M!$B$1:$B$1000,0),MATCH(data!AQ$1,Haver_M!$B$1:$ZN$1,0)),"na")</f>
        <v>na</v>
      </c>
      <c r="AR117" t="str">
        <f>IF(ISNUMBER(INDEX(Haver_M!$B$1:$ZN$1000,MATCH(data!$A117,Haver_M!$B$1:$B$1000,0),MATCH(data!AR$1,Haver_M!$B$1:$ZN$1,0))),INDEX(Haver_M!$B$1:$ZN$1000,MATCH(data!$A117,Haver_M!$B$1:$B$1000,0),MATCH(data!AR$1,Haver_M!$B$1:$ZN$1,0)),"na")</f>
        <v>na</v>
      </c>
      <c r="AS117">
        <f>IF(ISNUMBER(INDEX(Haver_M!$B$1:$ZN$1000,MATCH(data!$A117,Haver_M!$B$1:$B$1000,0),MATCH(data!AS$1,Haver_M!$B$1:$ZN$1,0))),INDEX(Haver_M!$B$1:$ZN$1000,MATCH(data!$A117,Haver_M!$B$1:$B$1000,0),MATCH(data!AS$1,Haver_M!$B$1:$ZN$1,0)),"na")</f>
        <v>27996.44</v>
      </c>
      <c r="AT117">
        <f>IF(ISNUMBER(INDEX(Haver_M!$B$1:$ZN$1000,MATCH(data!$A117,Haver_M!$B$1:$B$1000,0),MATCH(data!AT$1,Haver_M!$B$1:$ZN$1,0))),INDEX(Haver_M!$B$1:$ZN$1000,MATCH(data!$A117,Haver_M!$B$1:$B$1000,0),MATCH(data!AT$1,Haver_M!$B$1:$ZN$1,0)),"na")</f>
        <v>90.870999999999995</v>
      </c>
      <c r="AU117">
        <f>IF(ISNUMBER(INDEX(Haver_M!$B$1:$ZN$1000,MATCH(data!$A117,Haver_M!$B$1:$B$1000,0),MATCH(data!AU$1,Haver_M!$B$1:$ZN$1,0))),INDEX(Haver_M!$B$1:$ZN$1000,MATCH(data!$A117,Haver_M!$B$1:$B$1000,0),MATCH(data!AU$1,Haver_M!$B$1:$ZN$1,0)),"na")</f>
        <v>87.564383000000007</v>
      </c>
      <c r="AV117">
        <f>IF(ISNUMBER(INDEX(Haver_M!$B$1:$ZN$1000,MATCH(data!$A117,Haver_M!$B$1:$B$1000,0),MATCH(data!AV$1,Haver_M!$B$1:$ZN$1,0))),INDEX(Haver_M!$B$1:$ZN$1000,MATCH(data!$A117,Haver_M!$B$1:$B$1000,0),MATCH(data!AV$1,Haver_M!$B$1:$ZN$1,0)),"na")</f>
        <v>87.2</v>
      </c>
      <c r="AW117">
        <f>IF(ISNUMBER(INDEX(Haver_M!$B$1:$ZN$1000,MATCH(data!$A117,Haver_M!$B$1:$B$1000,0),MATCH(data!AW$1,Haver_M!$B$1:$ZN$1,0))),INDEX(Haver_M!$B$1:$ZN$1000,MATCH(data!$A117,Haver_M!$B$1:$B$1000,0),MATCH(data!AW$1,Haver_M!$B$1:$ZN$1,0)),"na")</f>
        <v>960204.59426222241</v>
      </c>
      <c r="AX117">
        <f>IF(ISNUMBER(INDEX(Haver_M!$B$1:$ZN$1000,MATCH(data!$A117,Haver_M!$B$1:$B$1000,0),MATCH(data!AX$1,Haver_M!$B$1:$ZN$1,0))),INDEX(Haver_M!$B$1:$ZN$1000,MATCH(data!$A117,Haver_M!$B$1:$B$1000,0),MATCH(data!AX$1,Haver_M!$B$1:$ZN$1,0)),"na")</f>
        <v>2557</v>
      </c>
      <c r="AY117">
        <f>IF(ISNUMBER(INDEX(Haver_M!$B$1:$ZN$1000,MATCH(data!$A117,Haver_M!$B$1:$B$1000,0),MATCH(data!AY$1,Haver_M!$B$1:$ZN$1,0))),INDEX(Haver_M!$B$1:$ZN$1000,MATCH(data!$A117,Haver_M!$B$1:$B$1000,0),MATCH(data!AY$1,Haver_M!$B$1:$ZN$1,0)),"na")</f>
        <v>1101</v>
      </c>
      <c r="AZ117">
        <f>IF(ISNUMBER(INDEX(Haver_M!$B$1:$ZN$1000,MATCH(data!$A117,Haver_M!$B$1:$B$1000,0),MATCH(data!AZ$1,Haver_M!$B$1:$ZN$1,0))),INDEX(Haver_M!$B$1:$ZN$1000,MATCH(data!$A117,Haver_M!$B$1:$B$1000,0),MATCH(data!AZ$1,Haver_M!$B$1:$ZN$1,0)),"na")</f>
        <v>51.6</v>
      </c>
      <c r="BA117">
        <f>IF(ISNUMBER(INDEX(Haver_M!$B$1:$ZN$1000,MATCH(data!$A117,Haver_M!$B$1:$B$1000,0),MATCH(data!BA$1,Haver_M!$B$1:$ZN$1,0))),INDEX(Haver_M!$B$1:$ZN$1000,MATCH(data!$A117,Haver_M!$B$1:$B$1000,0),MATCH(data!BA$1,Haver_M!$B$1:$ZN$1,0)),"na")</f>
        <v>41.229273833536283</v>
      </c>
      <c r="BB117" t="str">
        <f>IF(ISNUMBER(INDEX(Haver_M!$B$1:$ZN$1000,MATCH(data!$A117,Haver_M!$B$1:$B$1000,0),MATCH(data!BB$1,Haver_M!$B$1:$ZN$1,0))),INDEX(Haver_M!$B$1:$ZN$1000,MATCH(data!$A117,Haver_M!$B$1:$B$1000,0),MATCH(data!BB$1,Haver_M!$B$1:$ZN$1,0)),"")</f>
        <v/>
      </c>
    </row>
    <row r="118" spans="1:54" x14ac:dyDescent="0.25">
      <c r="A118" s="2">
        <v>40086</v>
      </c>
      <c r="B118">
        <f>IF(ISNUMBER(INDEX(Haver_Q!$B$1:$BD$1000,MATCH(data!$A118,Haver_Q!$B$1:$B$1000,0),MATCH(data!B$1,Haver_Q!$B$1:$BD$1,0))),100*INDEX(Haver_Q!$B$1:$BD$1000,MATCH(data!$A118,Haver_Q!$B$1:$B$1000,0),MATCH(data!B$1,Haver_Q!$B$1:$BD$1,0)),"na")</f>
        <v>13.646486782578183</v>
      </c>
      <c r="C118">
        <f>IF(ISNUMBER(INDEX(Haver_Q!$B$1:$BD$1000,MATCH(data!$A118,Haver_Q!$B$1:$B$1000,0),MATCH(data!C$1,Haver_Q!$B$1:$BD$1,0))),100*INDEX(Haver_Q!$B$1:$BD$1000,MATCH(data!$A118,Haver_Q!$B$1:$B$1000,0),MATCH(data!C$1,Haver_Q!$B$1:$BD$1,0)),"na")</f>
        <v>3.1765514818213436</v>
      </c>
      <c r="D118">
        <f>IF(ISNUMBER(INDEX(Haver_Q!$B$1:$BD$1000,MATCH(data!$A118,Haver_Q!$B$1:$B$1000,0),MATCH(data!D$1,Haver_Q!$B$1:$BD$1,0))),100*INDEX(Haver_Q!$B$1:$BD$1000,MATCH(data!$A118,Haver_Q!$B$1:$B$1000,0),MATCH(data!D$1,Haver_Q!$B$1:$BD$1,0)),"na")</f>
        <v>11.028230671551631</v>
      </c>
      <c r="E118">
        <f>IF(ISNUMBER(INDEX(Haver_Q!$B$1:$BD$1000,MATCH(data!$A118,Haver_Q!$B$1:$B$1000,0),MATCH(data!E$1,Haver_Q!$B$1:$BD$1,0))),100*INDEX(Haver_Q!$B$1:$BD$1000,MATCH(data!$A118,Haver_Q!$B$1:$B$1000,0),MATCH(data!E$1,Haver_Q!$B$1:$BD$1,0)),"na")</f>
        <v>4.1940110267878916</v>
      </c>
      <c r="F118">
        <f>IF(ISNUMBER(INDEX(Haver_Q!$B$1:$BD$1000,MATCH(data!$A118,Haver_Q!$B$1:$B$1000,0),MATCH(data!F$1,Haver_Q!$B$1:$BD$1,0))),100*INDEX(Haver_Q!$B$1:$BD$1000,MATCH(data!$A118,Haver_Q!$B$1:$B$1000,0),MATCH(data!F$1,Haver_Q!$B$1:$BD$1,0)),"na")</f>
        <v>30.020693946957522</v>
      </c>
      <c r="G118">
        <f>IF(ISNUMBER(INDEX(Haver_Q!$B$1:$BD$1000,MATCH(data!$A118,Haver_Q!$B$1:$B$1000,0),MATCH(data!G$1,Haver_Q!$B$1:$BD$1,0))),100*INDEX(Haver_Q!$B$1:$BD$1000,MATCH(data!$A118,Haver_Q!$B$1:$B$1000,0),MATCH(data!G$1,Haver_Q!$B$1:$BD$1,0)),"na")</f>
        <v>74.343276556969528</v>
      </c>
      <c r="H118">
        <f>IF(ISNUMBER(INDEX(Haver_Q!$B$1:$BD$1000,MATCH(data!$A118,Haver_Q!$B$1:$B$1000,0),MATCH(data!H$1,Haver_Q!$B$1:$BD$1,0))),100*INDEX(Haver_Q!$B$1:$BD$1000,MATCH(data!$A118,Haver_Q!$B$1:$B$1000,0),MATCH(data!H$1,Haver_Q!$B$1:$BD$1,0)),"na")</f>
        <v>584.5320438710695</v>
      </c>
      <c r="I118" s="3">
        <f>IF(ISNUMBER(Bloomberg_m!C134),Bloomberg_m!C134,"na")</f>
        <v>2351</v>
      </c>
      <c r="J118" s="3" t="str">
        <f>IF(ISNUMBER(Bloomberg_m!D134),Bloomberg_m!D134,"na")</f>
        <v>na</v>
      </c>
      <c r="K118" s="3" t="str">
        <f>IF(ISNUMBER(Bloomberg_m!E134),Bloomberg_m!E134,"na")</f>
        <v>na</v>
      </c>
      <c r="L118" s="3">
        <f>IF(ISNUMBER(Bloomberg_m!L134),Bloomberg_m!L134,"na")</f>
        <v>69.44</v>
      </c>
      <c r="M118">
        <f>IF(ISNUMBER(INDEX(Haver_M!$B$1:$ZN$1000,MATCH(data!$A118,Haver_M!$B$1:$B$1000,0),MATCH(data!M$1,Haver_M!$B$1:$ZN$1,0))),INDEX(Haver_M!$B$1:$ZN$1000,MATCH(data!$A118,Haver_M!$B$1:$B$1000,0),MATCH(data!M$1,Haver_M!$B$1:$ZN$1,0)),"na")</f>
        <v>4.5</v>
      </c>
      <c r="N118">
        <f>IF(ISNUMBER(INDEX(Haver_M!$B$1:$ZN$1000,MATCH(data!$A118,Haver_M!$B$1:$B$1000,0),MATCH(data!N$1,Haver_M!$B$1:$ZN$1,0))),INDEX(Haver_M!$B$1:$ZN$1000,MATCH(data!$A118,Haver_M!$B$1:$B$1000,0),MATCH(data!N$1,Haver_M!$B$1:$ZN$1,0)),"na")</f>
        <v>8.0854999999999997</v>
      </c>
      <c r="O118">
        <f>IF(ISNUMBER(INDEX(Haver_M!$B$1:$ZN$1000,MATCH(data!$A118,Haver_M!$B$1:$B$1000,0),MATCH(data!O$1,Haver_M!$B$1:$ZN$1,0))),INDEX(Haver_M!$B$1:$ZN$1000,MATCH(data!$A118,Haver_M!$B$1:$B$1000,0),MATCH(data!O$1,Haver_M!$B$1:$ZN$1,0)),"na")</f>
        <v>92.477369999999993</v>
      </c>
      <c r="P118">
        <f>IF(ISNUMBER(INDEX(Haver_M!$B$1:$ZN$1000,MATCH(data!$A118,Haver_M!$B$1:$B$1000,0),MATCH(data!P$1,Haver_M!$B$1:$ZN$1,0))),INDEX(Haver_M!$B$1:$ZN$1000,MATCH(data!$A118,Haver_M!$B$1:$B$1000,0),MATCH(data!P$1,Haver_M!$B$1:$ZN$1,0)),"na")</f>
        <v>71.176599999999993</v>
      </c>
      <c r="Q118">
        <f>IF(ISNUMBER(INDEX(Haver_M!$B$1:$ZN$1000,MATCH(data!$A118,Haver_M!$B$1:$B$1000,0),MATCH(data!Q$1,Haver_M!$B$1:$ZN$1,0))),INDEX(Haver_M!$B$1:$ZN$1000,MATCH(data!$A118,Haver_M!$B$1:$B$1000,0),MATCH(data!Q$1,Haver_M!$B$1:$ZN$1,0)),"na")</f>
        <v>74.811800000000005</v>
      </c>
      <c r="R118">
        <f>IF(ISNUMBER(INDEX(Haver_M!$B$1:$ZN$1000,MATCH(data!$A118,Haver_M!$B$1:$B$1000,0),MATCH(data!R$1,Haver_M!$B$1:$ZN$1,0))),INDEX(Haver_M!$B$1:$ZN$1000,MATCH(data!$A118,Haver_M!$B$1:$B$1000,0),MATCH(data!R$1,Haver_M!$B$1:$ZN$1,0)),"na")</f>
        <v>91.091499999999996</v>
      </c>
      <c r="S118">
        <f>IF(ISNUMBER(INDEX(Haver_M!$B$1:$ZN$1000,MATCH(data!$A118,Haver_M!$B$1:$B$1000,0),MATCH(data!S$1,Haver_M!$B$1:$ZN$1,0))),INDEX(Haver_M!$B$1:$ZN$1000,MATCH(data!$A118,Haver_M!$B$1:$B$1000,0),MATCH(data!S$1,Haver_M!$B$1:$ZN$1,0)),"na")</f>
        <v>97.327200000000005</v>
      </c>
      <c r="T118">
        <f>IF(ISNUMBER(INDEX(Haver_M!$B$1:$ZN$1000,MATCH(data!$A118,Haver_M!$B$1:$B$1000,0),MATCH(data!T$1,Haver_M!$B$1:$ZN$1,0))),INDEX(Haver_M!$B$1:$ZN$1000,MATCH(data!$A118,Haver_M!$B$1:$B$1000,0),MATCH(data!T$1,Haver_M!$B$1:$ZN$1,0)),"na")</f>
        <v>89.448400000000007</v>
      </c>
      <c r="U118">
        <f>IF(ISNUMBER(INDEX(Haver_M!$B$1:$ZN$1000,MATCH(data!$A118,Haver_M!$B$1:$B$1000,0),MATCH(data!U$1,Haver_M!$B$1:$ZN$1,0))),INDEX(Haver_M!$B$1:$ZN$1000,MATCH(data!$A118,Haver_M!$B$1:$B$1000,0),MATCH(data!U$1,Haver_M!$B$1:$ZN$1,0)),"na")</f>
        <v>94.837599999999995</v>
      </c>
      <c r="V118">
        <f>IF(ISNUMBER(INDEX(Haver_M!$B$1:$ZN$1000,MATCH(data!$A118,Haver_M!$B$1:$B$1000,0),MATCH(data!V$1,Haver_M!$B$1:$ZN$1,0))),INDEX(Haver_M!$B$1:$ZN$1000,MATCH(data!$A118,Haver_M!$B$1:$B$1000,0),MATCH(data!V$1,Haver_M!$B$1:$ZN$1,0)),"na")</f>
        <v>86.4983</v>
      </c>
      <c r="W118">
        <f>IF(ISNUMBER(INDEX(Haver_M!$B$1:$ZN$1000,MATCH(data!$A118,Haver_M!$B$1:$B$1000,0),MATCH(data!W$1,Haver_M!$B$1:$ZN$1,0))),INDEX(Haver_M!$B$1:$ZN$1000,MATCH(data!$A118,Haver_M!$B$1:$B$1000,0),MATCH(data!W$1,Haver_M!$B$1:$ZN$1,0)),"na")</f>
        <v>6.08</v>
      </c>
      <c r="X118">
        <f>IF(ISNUMBER(INDEX(Haver_M!$B$1:$ZN$1000,MATCH(data!$A118,Haver_M!$B$1:$B$1000,0),MATCH(data!X$1,Haver_M!$B$1:$ZN$1,0))),INDEX(Haver_M!$B$1:$ZN$1000,MATCH(data!$A118,Haver_M!$B$1:$B$1000,0),MATCH(data!X$1,Haver_M!$B$1:$ZN$1,0)),"na")</f>
        <v>100.16</v>
      </c>
      <c r="Y118">
        <f>IF(ISNUMBER(INDEX(Haver_M!$B$1:$ZN$1000,MATCH(data!$A118,Haver_M!$B$1:$B$1000,0),MATCH(data!Y$1,Haver_M!$B$1:$ZN$1,0))),INDEX(Haver_M!$B$1:$ZN$1000,MATCH(data!$A118,Haver_M!$B$1:$B$1000,0),MATCH(data!Y$1,Haver_M!$B$1:$ZN$1,0)),"na")</f>
        <v>98.75</v>
      </c>
      <c r="Z118">
        <f>IF(ISNUMBER(INDEX(Haver_M!$B$1:$ZN$1000,MATCH(data!$A118,Haver_M!$B$1:$B$1000,0),MATCH(data!Z$1,Haver_M!$B$1:$ZN$1,0))),INDEX(Haver_M!$B$1:$ZN$1000,MATCH(data!$A118,Haver_M!$B$1:$B$1000,0),MATCH(data!Z$1,Haver_M!$B$1:$ZN$1,0)),"na")</f>
        <v>93.565100000000001</v>
      </c>
      <c r="AA118">
        <f>IF(ISNUMBER(INDEX(Haver_M!$B$1:$ZN$1000,MATCH(data!$A118,Haver_M!$B$1:$B$1000,0),MATCH(data!AA$1,Haver_M!$B$1:$ZN$1,0))),INDEX(Haver_M!$B$1:$ZN$1000,MATCH(data!$A118,Haver_M!$B$1:$B$1000,0),MATCH(data!AA$1,Haver_M!$B$1:$ZN$1,0)),"na")</f>
        <v>87.3733</v>
      </c>
      <c r="AB118">
        <f>IF(ISNUMBER(INDEX(Haver_M!$B$1:$ZN$1000,MATCH(data!$A118,Haver_M!$B$1:$B$1000,0),MATCH(data!AB$1,Haver_M!$B$1:$ZN$1,0))),INDEX(Haver_M!$B$1:$ZN$1000,MATCH(data!$A118,Haver_M!$B$1:$B$1000,0),MATCH(data!AB$1,Haver_M!$B$1:$ZN$1,0)),"na")</f>
        <v>20264.7</v>
      </c>
      <c r="AC118">
        <f>IF(ISNUMBER(INDEX(Haver_M!$B$1:$ZN$1000,MATCH(data!$A118,Haver_M!$B$1:$B$1000,0),MATCH(data!AC$1,Haver_M!$B$1:$ZN$1,0))),INDEX(Haver_M!$B$1:$ZN$1000,MATCH(data!$A118,Haver_M!$B$1:$B$1000,0),MATCH(data!AC$1,Haver_M!$B$1:$ZN$1,0)),"na")</f>
        <v>20555</v>
      </c>
      <c r="AD118">
        <f>IF(ISNUMBER(INDEX(Haver_M!$B$1:$ZN$1000,MATCH(data!$A118,Haver_M!$B$1:$B$1000,0),MATCH(data!AD$1,Haver_M!$B$1:$ZN$1,0))),INDEX(Haver_M!$B$1:$ZN$1000,MATCH(data!$A118,Haver_M!$B$1:$B$1000,0),MATCH(data!AD$1,Haver_M!$B$1:$ZN$1,0)),"na")</f>
        <v>97.76</v>
      </c>
      <c r="AE118">
        <f>IF(ISNUMBER(INDEX(Haver_M!$B$1:$ZN$1000,MATCH(data!$A118,Haver_M!$B$1:$B$1000,0),MATCH(data!AE$1,Haver_M!$B$1:$ZN$1,0))),INDEX(Haver_M!$B$1:$ZN$1000,MATCH(data!$A118,Haver_M!$B$1:$B$1000,0),MATCH(data!AE$1,Haver_M!$B$1:$ZN$1,0)),"na")</f>
        <v>34</v>
      </c>
      <c r="AF118">
        <f>IF(ISNUMBER(INDEX(Haver_M!$B$1:$ZN$1000,MATCH(data!$A118,Haver_M!$B$1:$B$1000,0),MATCH(data!AF$1,Haver_M!$B$1:$ZN$1,0))),INDEX(Haver_M!$B$1:$ZN$1000,MATCH(data!$A118,Haver_M!$B$1:$B$1000,0),MATCH(data!AF$1,Haver_M!$B$1:$ZN$1,0)),"na")</f>
        <v>97.33</v>
      </c>
      <c r="AG118" t="str">
        <f>IF(ISNUMBER(INDEX(Haver_M!$B$1:$ZN$1000,MATCH(data!$A118,Haver_M!$B$1:$B$1000,0),MATCH(data!AG$1,Haver_M!$B$1:$ZN$1,0))),INDEX(Haver_M!$B$1:$ZN$1000,MATCH(data!$A118,Haver_M!$B$1:$B$1000,0),MATCH(data!AG$1,Haver_M!$B$1:$ZN$1,0)),"na")</f>
        <v>na</v>
      </c>
      <c r="AH118" t="str">
        <f>IF(ISNUMBER(INDEX(Haver_M!$B$1:$ZN$1000,MATCH(data!$A118,Haver_M!$B$1:$B$1000,0),MATCH(data!AH$1,Haver_M!$B$1:$ZN$1,0))),INDEX(Haver_M!$B$1:$ZN$1000,MATCH(data!$A118,Haver_M!$B$1:$B$1000,0),MATCH(data!AH$1,Haver_M!$B$1:$ZN$1,0)),"na")</f>
        <v>na</v>
      </c>
      <c r="AI118" t="str">
        <f>IF(ISNUMBER(INDEX(Haver_M!$B$1:$ZN$1000,MATCH(data!$A118,Haver_M!$B$1:$B$1000,0),MATCH(data!AI$1,Haver_M!$B$1:$ZN$1,0))),INDEX(Haver_M!$B$1:$ZN$1000,MATCH(data!$A118,Haver_M!$B$1:$B$1000,0),MATCH(data!AI$1,Haver_M!$B$1:$ZN$1,0)),"na")</f>
        <v>na</v>
      </c>
      <c r="AJ118" t="str">
        <f>IF(ISNUMBER(INDEX(Haver_M!$B$1:$ZN$1000,MATCH(data!$A118,Haver_M!$B$1:$B$1000,0),MATCH(data!AJ$1,Haver_M!$B$1:$ZN$1,0))),INDEX(Haver_M!$B$1:$ZN$1000,MATCH(data!$A118,Haver_M!$B$1:$B$1000,0),MATCH(data!AJ$1,Haver_M!$B$1:$ZN$1,0)),"na")</f>
        <v>na</v>
      </c>
      <c r="AK118" t="str">
        <f>IF(ISNUMBER(INDEX(Haver_M!$B$1:$ZN$1000,MATCH(data!$A118,Haver_M!$B$1:$B$1000,0),MATCH(data!AK$1,Haver_M!$B$1:$ZN$1,0))),INDEX(Haver_M!$B$1:$ZN$1000,MATCH(data!$A118,Haver_M!$B$1:$B$1000,0),MATCH(data!AK$1,Haver_M!$B$1:$ZN$1,0)),"na")</f>
        <v>na</v>
      </c>
      <c r="AL118" t="str">
        <f>IF(ISNUMBER(INDEX(Haver_M!$B$1:$ZN$1000,MATCH(data!$A118,Haver_M!$B$1:$B$1000,0),MATCH(data!AL$1,Haver_M!$B$1:$ZN$1,0))),INDEX(Haver_M!$B$1:$ZN$1000,MATCH(data!$A118,Haver_M!$B$1:$B$1000,0),MATCH(data!AL$1,Haver_M!$B$1:$ZN$1,0)),"na")</f>
        <v>na</v>
      </c>
      <c r="AM118" t="str">
        <f>IF(ISNUMBER(INDEX(Haver_M!$B$1:$ZN$1000,MATCH(data!$A118,Haver_M!$B$1:$B$1000,0),MATCH(data!AM$1,Haver_M!$B$1:$ZN$1,0))),INDEX(Haver_M!$B$1:$ZN$1000,MATCH(data!$A118,Haver_M!$B$1:$B$1000,0),MATCH(data!AM$1,Haver_M!$B$1:$ZN$1,0)),"na")</f>
        <v>na</v>
      </c>
      <c r="AN118" t="str">
        <f>IF(ISNUMBER(INDEX(Haver_M!$B$1:$ZN$1000,MATCH(data!$A118,Haver_M!$B$1:$B$1000,0),MATCH(data!AN$1,Haver_M!$B$1:$ZN$1,0))),INDEX(Haver_M!$B$1:$ZN$1000,MATCH(data!$A118,Haver_M!$B$1:$B$1000,0),MATCH(data!AN$1,Haver_M!$B$1:$ZN$1,0)),"na")</f>
        <v>na</v>
      </c>
      <c r="AO118" t="str">
        <f>IF(ISNUMBER(INDEX(Haver_M!$B$1:$ZN$1000,MATCH(data!$A118,Haver_M!$B$1:$B$1000,0),MATCH(data!AO$1,Haver_M!$B$1:$ZN$1,0))),INDEX(Haver_M!$B$1:$ZN$1000,MATCH(data!$A118,Haver_M!$B$1:$B$1000,0),MATCH(data!AO$1,Haver_M!$B$1:$ZN$1,0)),"na")</f>
        <v>na</v>
      </c>
      <c r="AP118" t="str">
        <f>IF(ISNUMBER(INDEX(Haver_M!$B$1:$ZN$1000,MATCH(data!$A118,Haver_M!$B$1:$B$1000,0),MATCH(data!AP$1,Haver_M!$B$1:$ZN$1,0))),INDEX(Haver_M!$B$1:$ZN$1000,MATCH(data!$A118,Haver_M!$B$1:$B$1000,0),MATCH(data!AP$1,Haver_M!$B$1:$ZN$1,0)),"na")</f>
        <v>na</v>
      </c>
      <c r="AQ118" t="str">
        <f>IF(ISNUMBER(INDEX(Haver_M!$B$1:$ZN$1000,MATCH(data!$A118,Haver_M!$B$1:$B$1000,0),MATCH(data!AQ$1,Haver_M!$B$1:$ZN$1,0))),INDEX(Haver_M!$B$1:$ZN$1000,MATCH(data!$A118,Haver_M!$B$1:$B$1000,0),MATCH(data!AQ$1,Haver_M!$B$1:$ZN$1,0)),"na")</f>
        <v>na</v>
      </c>
      <c r="AR118" t="str">
        <f>IF(ISNUMBER(INDEX(Haver_M!$B$1:$ZN$1000,MATCH(data!$A118,Haver_M!$B$1:$B$1000,0),MATCH(data!AR$1,Haver_M!$B$1:$ZN$1,0))),INDEX(Haver_M!$B$1:$ZN$1000,MATCH(data!$A118,Haver_M!$B$1:$B$1000,0),MATCH(data!AR$1,Haver_M!$B$1:$ZN$1,0)),"na")</f>
        <v>na</v>
      </c>
      <c r="AS118">
        <f>IF(ISNUMBER(INDEX(Haver_M!$B$1:$ZN$1000,MATCH(data!$A118,Haver_M!$B$1:$B$1000,0),MATCH(data!AS$1,Haver_M!$B$1:$ZN$1,0))),INDEX(Haver_M!$B$1:$ZN$1000,MATCH(data!$A118,Haver_M!$B$1:$B$1000,0),MATCH(data!AS$1,Haver_M!$B$1:$ZN$1,0)),"na")</f>
        <v>29054.54</v>
      </c>
      <c r="AT118">
        <f>IF(ISNUMBER(INDEX(Haver_M!$B$1:$ZN$1000,MATCH(data!$A118,Haver_M!$B$1:$B$1000,0),MATCH(data!AT$1,Haver_M!$B$1:$ZN$1,0))),INDEX(Haver_M!$B$1:$ZN$1000,MATCH(data!$A118,Haver_M!$B$1:$B$1000,0),MATCH(data!AT$1,Haver_M!$B$1:$ZN$1,0)),"na")</f>
        <v>90.337000000000003</v>
      </c>
      <c r="AU118">
        <f>IF(ISNUMBER(INDEX(Haver_M!$B$1:$ZN$1000,MATCH(data!$A118,Haver_M!$B$1:$B$1000,0),MATCH(data!AU$1,Haver_M!$B$1:$ZN$1,0))),INDEX(Haver_M!$B$1:$ZN$1000,MATCH(data!$A118,Haver_M!$B$1:$B$1000,0),MATCH(data!AU$1,Haver_M!$B$1:$ZN$1,0)),"na")</f>
        <v>87.943897000000007</v>
      </c>
      <c r="AV118">
        <f>IF(ISNUMBER(INDEX(Haver_M!$B$1:$ZN$1000,MATCH(data!$A118,Haver_M!$B$1:$B$1000,0),MATCH(data!AV$1,Haver_M!$B$1:$ZN$1,0))),INDEX(Haver_M!$B$1:$ZN$1000,MATCH(data!$A118,Haver_M!$B$1:$B$1000,0),MATCH(data!AV$1,Haver_M!$B$1:$ZN$1,0)),"na")</f>
        <v>86</v>
      </c>
      <c r="AW118">
        <f>IF(ISNUMBER(INDEX(Haver_M!$B$1:$ZN$1000,MATCH(data!$A118,Haver_M!$B$1:$B$1000,0),MATCH(data!AW$1,Haver_M!$B$1:$ZN$1,0))),INDEX(Haver_M!$B$1:$ZN$1000,MATCH(data!$A118,Haver_M!$B$1:$B$1000,0),MATCH(data!AW$1,Haver_M!$B$1:$ZN$1,0)),"na")</f>
        <v>961588.12971601076</v>
      </c>
      <c r="AX118">
        <f>IF(ISNUMBER(INDEX(Haver_M!$B$1:$ZN$1000,MATCH(data!$A118,Haver_M!$B$1:$B$1000,0),MATCH(data!AX$1,Haver_M!$B$1:$ZN$1,0))),INDEX(Haver_M!$B$1:$ZN$1000,MATCH(data!$A118,Haver_M!$B$1:$B$1000,0),MATCH(data!AX$1,Haver_M!$B$1:$ZN$1,0)),"na")</f>
        <v>2589</v>
      </c>
      <c r="AY118">
        <f>IF(ISNUMBER(INDEX(Haver_M!$B$1:$ZN$1000,MATCH(data!$A118,Haver_M!$B$1:$B$1000,0),MATCH(data!AY$1,Haver_M!$B$1:$ZN$1,0))),INDEX(Haver_M!$B$1:$ZN$1000,MATCH(data!$A118,Haver_M!$B$1:$B$1000,0),MATCH(data!AY$1,Haver_M!$B$1:$ZN$1,0)),"na")</f>
        <v>1128</v>
      </c>
      <c r="AZ118">
        <f>IF(ISNUMBER(INDEX(Haver_M!$B$1:$ZN$1000,MATCH(data!$A118,Haver_M!$B$1:$B$1000,0),MATCH(data!AZ$1,Haver_M!$B$1:$ZN$1,0))),INDEX(Haver_M!$B$1:$ZN$1000,MATCH(data!$A118,Haver_M!$B$1:$B$1000,0),MATCH(data!AZ$1,Haver_M!$B$1:$ZN$1,0)),"na")</f>
        <v>52.2</v>
      </c>
      <c r="BA118">
        <f>IF(ISNUMBER(INDEX(Haver_M!$B$1:$ZN$1000,MATCH(data!$A118,Haver_M!$B$1:$B$1000,0),MATCH(data!BA$1,Haver_M!$B$1:$ZN$1,0))),INDEX(Haver_M!$B$1:$ZN$1000,MATCH(data!$A118,Haver_M!$B$1:$B$1000,0),MATCH(data!BA$1,Haver_M!$B$1:$ZN$1,0)),"na")</f>
        <v>74.110799988462205</v>
      </c>
      <c r="BB118" t="str">
        <f>IF(ISNUMBER(INDEX(Haver_M!$B$1:$ZN$1000,MATCH(data!$A118,Haver_M!$B$1:$B$1000,0),MATCH(data!BB$1,Haver_M!$B$1:$ZN$1,0))),INDEX(Haver_M!$B$1:$ZN$1000,MATCH(data!$A118,Haver_M!$B$1:$B$1000,0),MATCH(data!BB$1,Haver_M!$B$1:$ZN$1,0)),"")</f>
        <v/>
      </c>
    </row>
    <row r="119" spans="1:54" x14ac:dyDescent="0.25">
      <c r="A119" s="2">
        <v>40117</v>
      </c>
      <c r="B119" t="str">
        <f>IF(ISNUMBER(INDEX(Haver_Q!$B$1:$BD$1000,MATCH(data!$A119,Haver_Q!$B$1:$B$1000,0),MATCH(data!B$1,Haver_Q!$B$1:$BD$1,0))),100*INDEX(Haver_Q!$B$1:$BD$1000,MATCH(data!$A119,Haver_Q!$B$1:$B$1000,0),MATCH(data!B$1,Haver_Q!$B$1:$BD$1,0)),"na")</f>
        <v>na</v>
      </c>
      <c r="C119" t="str">
        <f>IF(ISNUMBER(INDEX(Haver_Q!$B$1:$BD$1000,MATCH(data!$A119,Haver_Q!$B$1:$B$1000,0),MATCH(data!C$1,Haver_Q!$B$1:$BD$1,0))),100*INDEX(Haver_Q!$B$1:$BD$1000,MATCH(data!$A119,Haver_Q!$B$1:$B$1000,0),MATCH(data!C$1,Haver_Q!$B$1:$BD$1,0)),"na")</f>
        <v>na</v>
      </c>
      <c r="D119" t="str">
        <f>IF(ISNUMBER(INDEX(Haver_Q!$B$1:$BD$1000,MATCH(data!$A119,Haver_Q!$B$1:$B$1000,0),MATCH(data!D$1,Haver_Q!$B$1:$BD$1,0))),100*INDEX(Haver_Q!$B$1:$BD$1000,MATCH(data!$A119,Haver_Q!$B$1:$B$1000,0),MATCH(data!D$1,Haver_Q!$B$1:$BD$1,0)),"na")</f>
        <v>na</v>
      </c>
      <c r="E119" t="str">
        <f>IF(ISNUMBER(INDEX(Haver_Q!$B$1:$BD$1000,MATCH(data!$A119,Haver_Q!$B$1:$B$1000,0),MATCH(data!E$1,Haver_Q!$B$1:$BD$1,0))),100*INDEX(Haver_Q!$B$1:$BD$1000,MATCH(data!$A119,Haver_Q!$B$1:$B$1000,0),MATCH(data!E$1,Haver_Q!$B$1:$BD$1,0)),"na")</f>
        <v>na</v>
      </c>
      <c r="F119" t="str">
        <f>IF(ISNUMBER(INDEX(Haver_Q!$B$1:$BD$1000,MATCH(data!$A119,Haver_Q!$B$1:$B$1000,0),MATCH(data!F$1,Haver_Q!$B$1:$BD$1,0))),100*INDEX(Haver_Q!$B$1:$BD$1000,MATCH(data!$A119,Haver_Q!$B$1:$B$1000,0),MATCH(data!F$1,Haver_Q!$B$1:$BD$1,0)),"na")</f>
        <v>na</v>
      </c>
      <c r="G119" t="str">
        <f>IF(ISNUMBER(INDEX(Haver_Q!$B$1:$BD$1000,MATCH(data!$A119,Haver_Q!$B$1:$B$1000,0),MATCH(data!G$1,Haver_Q!$B$1:$BD$1,0))),100*INDEX(Haver_Q!$B$1:$BD$1000,MATCH(data!$A119,Haver_Q!$B$1:$B$1000,0),MATCH(data!G$1,Haver_Q!$B$1:$BD$1,0)),"na")</f>
        <v>na</v>
      </c>
      <c r="H119" t="str">
        <f>IF(ISNUMBER(INDEX(Haver_Q!$B$1:$BD$1000,MATCH(data!$A119,Haver_Q!$B$1:$B$1000,0),MATCH(data!H$1,Haver_Q!$B$1:$BD$1,0))),100*INDEX(Haver_Q!$B$1:$BD$1000,MATCH(data!$A119,Haver_Q!$B$1:$B$1000,0),MATCH(data!H$1,Haver_Q!$B$1:$BD$1,0)),"na")</f>
        <v>na</v>
      </c>
      <c r="I119" s="3">
        <f>IF(ISNUMBER(Bloomberg_m!C135),Bloomberg_m!C135,"na")</f>
        <v>2746</v>
      </c>
      <c r="J119" s="3" t="str">
        <f>IF(ISNUMBER(Bloomberg_m!D135),Bloomberg_m!D135,"na")</f>
        <v>na</v>
      </c>
      <c r="K119" s="3" t="str">
        <f>IF(ISNUMBER(Bloomberg_m!E135),Bloomberg_m!E135,"na")</f>
        <v>na</v>
      </c>
      <c r="L119" s="3">
        <f>IF(ISNUMBER(Bloomberg_m!L135),Bloomberg_m!L135,"na")</f>
        <v>75.77</v>
      </c>
      <c r="M119">
        <f>IF(ISNUMBER(INDEX(Haver_M!$B$1:$ZN$1000,MATCH(data!$A119,Haver_M!$B$1:$B$1000,0),MATCH(data!M$1,Haver_M!$B$1:$ZN$1,0))),INDEX(Haver_M!$B$1:$ZN$1000,MATCH(data!$A119,Haver_M!$B$1:$B$1000,0),MATCH(data!M$1,Haver_M!$B$1:$ZN$1,0)),"na")</f>
        <v>4.5</v>
      </c>
      <c r="N119">
        <f>IF(ISNUMBER(INDEX(Haver_M!$B$1:$ZN$1000,MATCH(data!$A119,Haver_M!$B$1:$B$1000,0),MATCH(data!N$1,Haver_M!$B$1:$ZN$1,0))),INDEX(Haver_M!$B$1:$ZN$1000,MATCH(data!$A119,Haver_M!$B$1:$B$1000,0),MATCH(data!N$1,Haver_M!$B$1:$ZN$1,0)),"na")</f>
        <v>7.9153000000000002</v>
      </c>
      <c r="O119">
        <f>IF(ISNUMBER(INDEX(Haver_M!$B$1:$ZN$1000,MATCH(data!$A119,Haver_M!$B$1:$B$1000,0),MATCH(data!O$1,Haver_M!$B$1:$ZN$1,0))),INDEX(Haver_M!$B$1:$ZN$1000,MATCH(data!$A119,Haver_M!$B$1:$B$1000,0),MATCH(data!O$1,Haver_M!$B$1:$ZN$1,0)),"na")</f>
        <v>93.189239999999998</v>
      </c>
      <c r="P119">
        <f>IF(ISNUMBER(INDEX(Haver_M!$B$1:$ZN$1000,MATCH(data!$A119,Haver_M!$B$1:$B$1000,0),MATCH(data!P$1,Haver_M!$B$1:$ZN$1,0))),INDEX(Haver_M!$B$1:$ZN$1000,MATCH(data!$A119,Haver_M!$B$1:$B$1000,0),MATCH(data!P$1,Haver_M!$B$1:$ZN$1,0)),"na")</f>
        <v>71.301299999999998</v>
      </c>
      <c r="Q119">
        <f>IF(ISNUMBER(INDEX(Haver_M!$B$1:$ZN$1000,MATCH(data!$A119,Haver_M!$B$1:$B$1000,0),MATCH(data!Q$1,Haver_M!$B$1:$ZN$1,0))),INDEX(Haver_M!$B$1:$ZN$1000,MATCH(data!$A119,Haver_M!$B$1:$B$1000,0),MATCH(data!Q$1,Haver_M!$B$1:$ZN$1,0)),"na")</f>
        <v>75.081400000000002</v>
      </c>
      <c r="R119">
        <f>IF(ISNUMBER(INDEX(Haver_M!$B$1:$ZN$1000,MATCH(data!$A119,Haver_M!$B$1:$B$1000,0),MATCH(data!R$1,Haver_M!$B$1:$ZN$1,0))),INDEX(Haver_M!$B$1:$ZN$1000,MATCH(data!$A119,Haver_M!$B$1:$B$1000,0),MATCH(data!R$1,Haver_M!$B$1:$ZN$1,0)),"na")</f>
        <v>91.876300000000001</v>
      </c>
      <c r="S119">
        <f>IF(ISNUMBER(INDEX(Haver_M!$B$1:$ZN$1000,MATCH(data!$A119,Haver_M!$B$1:$B$1000,0),MATCH(data!S$1,Haver_M!$B$1:$ZN$1,0))),INDEX(Haver_M!$B$1:$ZN$1000,MATCH(data!$A119,Haver_M!$B$1:$B$1000,0),MATCH(data!S$1,Haver_M!$B$1:$ZN$1,0)),"na")</f>
        <v>98.031599999999997</v>
      </c>
      <c r="T119">
        <f>IF(ISNUMBER(INDEX(Haver_M!$B$1:$ZN$1000,MATCH(data!$A119,Haver_M!$B$1:$B$1000,0),MATCH(data!T$1,Haver_M!$B$1:$ZN$1,0))),INDEX(Haver_M!$B$1:$ZN$1000,MATCH(data!$A119,Haver_M!$B$1:$B$1000,0),MATCH(data!T$1,Haver_M!$B$1:$ZN$1,0)),"na")</f>
        <v>90.258600000000001</v>
      </c>
      <c r="U119">
        <f>IF(ISNUMBER(INDEX(Haver_M!$B$1:$ZN$1000,MATCH(data!$A119,Haver_M!$B$1:$B$1000,0),MATCH(data!U$1,Haver_M!$B$1:$ZN$1,0))),INDEX(Haver_M!$B$1:$ZN$1000,MATCH(data!$A119,Haver_M!$B$1:$B$1000,0),MATCH(data!U$1,Haver_M!$B$1:$ZN$1,0)),"na")</f>
        <v>93.221299999999999</v>
      </c>
      <c r="V119">
        <f>IF(ISNUMBER(INDEX(Haver_M!$B$1:$ZN$1000,MATCH(data!$A119,Haver_M!$B$1:$B$1000,0),MATCH(data!V$1,Haver_M!$B$1:$ZN$1,0))),INDEX(Haver_M!$B$1:$ZN$1000,MATCH(data!$A119,Haver_M!$B$1:$B$1000,0),MATCH(data!V$1,Haver_M!$B$1:$ZN$1,0)),"na")</f>
        <v>88.250799999999998</v>
      </c>
      <c r="W119">
        <f>IF(ISNUMBER(INDEX(Haver_M!$B$1:$ZN$1000,MATCH(data!$A119,Haver_M!$B$1:$B$1000,0),MATCH(data!W$1,Haver_M!$B$1:$ZN$1,0))),INDEX(Haver_M!$B$1:$ZN$1000,MATCH(data!$A119,Haver_M!$B$1:$B$1000,0),MATCH(data!W$1,Haver_M!$B$1:$ZN$1,0)),"na")</f>
        <v>5.72</v>
      </c>
      <c r="X119">
        <f>IF(ISNUMBER(INDEX(Haver_M!$B$1:$ZN$1000,MATCH(data!$A119,Haver_M!$B$1:$B$1000,0),MATCH(data!X$1,Haver_M!$B$1:$ZN$1,0))),INDEX(Haver_M!$B$1:$ZN$1000,MATCH(data!$A119,Haver_M!$B$1:$B$1000,0),MATCH(data!X$1,Haver_M!$B$1:$ZN$1,0)),"na")</f>
        <v>99.87</v>
      </c>
      <c r="Y119">
        <f>IF(ISNUMBER(INDEX(Haver_M!$B$1:$ZN$1000,MATCH(data!$A119,Haver_M!$B$1:$B$1000,0),MATCH(data!Y$1,Haver_M!$B$1:$ZN$1,0))),INDEX(Haver_M!$B$1:$ZN$1000,MATCH(data!$A119,Haver_M!$B$1:$B$1000,0),MATCH(data!Y$1,Haver_M!$B$1:$ZN$1,0)),"na")</f>
        <v>99.16</v>
      </c>
      <c r="Z119">
        <f>IF(ISNUMBER(INDEX(Haver_M!$B$1:$ZN$1000,MATCH(data!$A119,Haver_M!$B$1:$B$1000,0),MATCH(data!Z$1,Haver_M!$B$1:$ZN$1,0))),INDEX(Haver_M!$B$1:$ZN$1000,MATCH(data!$A119,Haver_M!$B$1:$B$1000,0),MATCH(data!Z$1,Haver_M!$B$1:$ZN$1,0)),"na")</f>
        <v>93.2196</v>
      </c>
      <c r="AA119">
        <f>IF(ISNUMBER(INDEX(Haver_M!$B$1:$ZN$1000,MATCH(data!$A119,Haver_M!$B$1:$B$1000,0),MATCH(data!AA$1,Haver_M!$B$1:$ZN$1,0))),INDEX(Haver_M!$B$1:$ZN$1000,MATCH(data!$A119,Haver_M!$B$1:$B$1000,0),MATCH(data!AA$1,Haver_M!$B$1:$ZN$1,0)),"na")</f>
        <v>87.756299999999996</v>
      </c>
      <c r="AB119">
        <f>IF(ISNUMBER(INDEX(Haver_M!$B$1:$ZN$1000,MATCH(data!$A119,Haver_M!$B$1:$B$1000,0),MATCH(data!AB$1,Haver_M!$B$1:$ZN$1,0))),INDEX(Haver_M!$B$1:$ZN$1000,MATCH(data!$A119,Haver_M!$B$1:$B$1000,0),MATCH(data!AB$1,Haver_M!$B$1:$ZN$1,0)),"na")</f>
        <v>21251.7</v>
      </c>
      <c r="AC119">
        <f>IF(ISNUMBER(INDEX(Haver_M!$B$1:$ZN$1000,MATCH(data!$A119,Haver_M!$B$1:$B$1000,0),MATCH(data!AC$1,Haver_M!$B$1:$ZN$1,0))),INDEX(Haver_M!$B$1:$ZN$1000,MATCH(data!$A119,Haver_M!$B$1:$B$1000,0),MATCH(data!AC$1,Haver_M!$B$1:$ZN$1,0)),"na")</f>
        <v>20593.5</v>
      </c>
      <c r="AD119">
        <f>IF(ISNUMBER(INDEX(Haver_M!$B$1:$ZN$1000,MATCH(data!$A119,Haver_M!$B$1:$B$1000,0),MATCH(data!AD$1,Haver_M!$B$1:$ZN$1,0))),INDEX(Haver_M!$B$1:$ZN$1000,MATCH(data!$A119,Haver_M!$B$1:$B$1000,0),MATCH(data!AD$1,Haver_M!$B$1:$ZN$1,0)),"na")</f>
        <v>97.98</v>
      </c>
      <c r="AE119">
        <f>IF(ISNUMBER(INDEX(Haver_M!$B$1:$ZN$1000,MATCH(data!$A119,Haver_M!$B$1:$B$1000,0),MATCH(data!AE$1,Haver_M!$B$1:$ZN$1,0))),INDEX(Haver_M!$B$1:$ZN$1000,MATCH(data!$A119,Haver_M!$B$1:$B$1000,0),MATCH(data!AE$1,Haver_M!$B$1:$ZN$1,0)),"na")</f>
        <v>33.4</v>
      </c>
      <c r="AF119">
        <f>IF(ISNUMBER(INDEX(Haver_M!$B$1:$ZN$1000,MATCH(data!$A119,Haver_M!$B$1:$B$1000,0),MATCH(data!AF$1,Haver_M!$B$1:$ZN$1,0))),INDEX(Haver_M!$B$1:$ZN$1000,MATCH(data!$A119,Haver_M!$B$1:$B$1000,0),MATCH(data!AF$1,Haver_M!$B$1:$ZN$1,0)),"na")</f>
        <v>97.73</v>
      </c>
      <c r="AG119" t="str">
        <f>IF(ISNUMBER(INDEX(Haver_M!$B$1:$ZN$1000,MATCH(data!$A119,Haver_M!$B$1:$B$1000,0),MATCH(data!AG$1,Haver_M!$B$1:$ZN$1,0))),INDEX(Haver_M!$B$1:$ZN$1000,MATCH(data!$A119,Haver_M!$B$1:$B$1000,0),MATCH(data!AG$1,Haver_M!$B$1:$ZN$1,0)),"na")</f>
        <v>na</v>
      </c>
      <c r="AH119" t="str">
        <f>IF(ISNUMBER(INDEX(Haver_M!$B$1:$ZN$1000,MATCH(data!$A119,Haver_M!$B$1:$B$1000,0),MATCH(data!AH$1,Haver_M!$B$1:$ZN$1,0))),INDEX(Haver_M!$B$1:$ZN$1000,MATCH(data!$A119,Haver_M!$B$1:$B$1000,0),MATCH(data!AH$1,Haver_M!$B$1:$ZN$1,0)),"na")</f>
        <v>na</v>
      </c>
      <c r="AI119" t="str">
        <f>IF(ISNUMBER(INDEX(Haver_M!$B$1:$ZN$1000,MATCH(data!$A119,Haver_M!$B$1:$B$1000,0),MATCH(data!AI$1,Haver_M!$B$1:$ZN$1,0))),INDEX(Haver_M!$B$1:$ZN$1000,MATCH(data!$A119,Haver_M!$B$1:$B$1000,0),MATCH(data!AI$1,Haver_M!$B$1:$ZN$1,0)),"na")</f>
        <v>na</v>
      </c>
      <c r="AJ119" t="str">
        <f>IF(ISNUMBER(INDEX(Haver_M!$B$1:$ZN$1000,MATCH(data!$A119,Haver_M!$B$1:$B$1000,0),MATCH(data!AJ$1,Haver_M!$B$1:$ZN$1,0))),INDEX(Haver_M!$B$1:$ZN$1000,MATCH(data!$A119,Haver_M!$B$1:$B$1000,0),MATCH(data!AJ$1,Haver_M!$B$1:$ZN$1,0)),"na")</f>
        <v>na</v>
      </c>
      <c r="AK119" t="str">
        <f>IF(ISNUMBER(INDEX(Haver_M!$B$1:$ZN$1000,MATCH(data!$A119,Haver_M!$B$1:$B$1000,0),MATCH(data!AK$1,Haver_M!$B$1:$ZN$1,0))),INDEX(Haver_M!$B$1:$ZN$1000,MATCH(data!$A119,Haver_M!$B$1:$B$1000,0),MATCH(data!AK$1,Haver_M!$B$1:$ZN$1,0)),"na")</f>
        <v>na</v>
      </c>
      <c r="AL119" t="str">
        <f>IF(ISNUMBER(INDEX(Haver_M!$B$1:$ZN$1000,MATCH(data!$A119,Haver_M!$B$1:$B$1000,0),MATCH(data!AL$1,Haver_M!$B$1:$ZN$1,0))),INDEX(Haver_M!$B$1:$ZN$1000,MATCH(data!$A119,Haver_M!$B$1:$B$1000,0),MATCH(data!AL$1,Haver_M!$B$1:$ZN$1,0)),"na")</f>
        <v>na</v>
      </c>
      <c r="AM119" t="str">
        <f>IF(ISNUMBER(INDEX(Haver_M!$B$1:$ZN$1000,MATCH(data!$A119,Haver_M!$B$1:$B$1000,0),MATCH(data!AM$1,Haver_M!$B$1:$ZN$1,0))),INDEX(Haver_M!$B$1:$ZN$1000,MATCH(data!$A119,Haver_M!$B$1:$B$1000,0),MATCH(data!AM$1,Haver_M!$B$1:$ZN$1,0)),"na")</f>
        <v>na</v>
      </c>
      <c r="AN119" t="str">
        <f>IF(ISNUMBER(INDEX(Haver_M!$B$1:$ZN$1000,MATCH(data!$A119,Haver_M!$B$1:$B$1000,0),MATCH(data!AN$1,Haver_M!$B$1:$ZN$1,0))),INDEX(Haver_M!$B$1:$ZN$1000,MATCH(data!$A119,Haver_M!$B$1:$B$1000,0),MATCH(data!AN$1,Haver_M!$B$1:$ZN$1,0)),"na")</f>
        <v>na</v>
      </c>
      <c r="AO119" t="str">
        <f>IF(ISNUMBER(INDEX(Haver_M!$B$1:$ZN$1000,MATCH(data!$A119,Haver_M!$B$1:$B$1000,0),MATCH(data!AO$1,Haver_M!$B$1:$ZN$1,0))),INDEX(Haver_M!$B$1:$ZN$1000,MATCH(data!$A119,Haver_M!$B$1:$B$1000,0),MATCH(data!AO$1,Haver_M!$B$1:$ZN$1,0)),"na")</f>
        <v>na</v>
      </c>
      <c r="AP119" t="str">
        <f>IF(ISNUMBER(INDEX(Haver_M!$B$1:$ZN$1000,MATCH(data!$A119,Haver_M!$B$1:$B$1000,0),MATCH(data!AP$1,Haver_M!$B$1:$ZN$1,0))),INDEX(Haver_M!$B$1:$ZN$1000,MATCH(data!$A119,Haver_M!$B$1:$B$1000,0),MATCH(data!AP$1,Haver_M!$B$1:$ZN$1,0)),"na")</f>
        <v>na</v>
      </c>
      <c r="AQ119" t="str">
        <f>IF(ISNUMBER(INDEX(Haver_M!$B$1:$ZN$1000,MATCH(data!$A119,Haver_M!$B$1:$B$1000,0),MATCH(data!AQ$1,Haver_M!$B$1:$ZN$1,0))),INDEX(Haver_M!$B$1:$ZN$1000,MATCH(data!$A119,Haver_M!$B$1:$B$1000,0),MATCH(data!AQ$1,Haver_M!$B$1:$ZN$1,0)),"na")</f>
        <v>na</v>
      </c>
      <c r="AR119" t="str">
        <f>IF(ISNUMBER(INDEX(Haver_M!$B$1:$ZN$1000,MATCH(data!$A119,Haver_M!$B$1:$B$1000,0),MATCH(data!AR$1,Haver_M!$B$1:$ZN$1,0))),INDEX(Haver_M!$B$1:$ZN$1000,MATCH(data!$A119,Haver_M!$B$1:$B$1000,0),MATCH(data!AR$1,Haver_M!$B$1:$ZN$1,0)),"na")</f>
        <v>na</v>
      </c>
      <c r="AS119">
        <f>IF(ISNUMBER(INDEX(Haver_M!$B$1:$ZN$1000,MATCH(data!$A119,Haver_M!$B$1:$B$1000,0),MATCH(data!AS$1,Haver_M!$B$1:$ZN$1,0))),INDEX(Haver_M!$B$1:$ZN$1000,MATCH(data!$A119,Haver_M!$B$1:$B$1000,0),MATCH(data!AS$1,Haver_M!$B$1:$ZN$1,0)),"na")</f>
        <v>29997.26</v>
      </c>
      <c r="AT119">
        <f>IF(ISNUMBER(INDEX(Haver_M!$B$1:$ZN$1000,MATCH(data!$A119,Haver_M!$B$1:$B$1000,0),MATCH(data!AT$1,Haver_M!$B$1:$ZN$1,0))),INDEX(Haver_M!$B$1:$ZN$1000,MATCH(data!$A119,Haver_M!$B$1:$B$1000,0),MATCH(data!AT$1,Haver_M!$B$1:$ZN$1,0)),"na")</f>
        <v>91.332999999999998</v>
      </c>
      <c r="AU119">
        <f>IF(ISNUMBER(INDEX(Haver_M!$B$1:$ZN$1000,MATCH(data!$A119,Haver_M!$B$1:$B$1000,0),MATCH(data!AU$1,Haver_M!$B$1:$ZN$1,0))),INDEX(Haver_M!$B$1:$ZN$1000,MATCH(data!$A119,Haver_M!$B$1:$B$1000,0),MATCH(data!AU$1,Haver_M!$B$1:$ZN$1,0)),"na")</f>
        <v>88.890029999999996</v>
      </c>
      <c r="AV119">
        <f>IF(ISNUMBER(INDEX(Haver_M!$B$1:$ZN$1000,MATCH(data!$A119,Haver_M!$B$1:$B$1000,0),MATCH(data!AV$1,Haver_M!$B$1:$ZN$1,0))),INDEX(Haver_M!$B$1:$ZN$1000,MATCH(data!$A119,Haver_M!$B$1:$B$1000,0),MATCH(data!AV$1,Haver_M!$B$1:$ZN$1,0)),"na")</f>
        <v>86.7</v>
      </c>
      <c r="AW119">
        <f>IF(ISNUMBER(INDEX(Haver_M!$B$1:$ZN$1000,MATCH(data!$A119,Haver_M!$B$1:$B$1000,0),MATCH(data!AW$1,Haver_M!$B$1:$ZN$1,0))),INDEX(Haver_M!$B$1:$ZN$1000,MATCH(data!$A119,Haver_M!$B$1:$B$1000,0),MATCH(data!AW$1,Haver_M!$B$1:$ZN$1,0)),"na")</f>
        <v>978985.19905959326</v>
      </c>
      <c r="AX119">
        <f>IF(ISNUMBER(INDEX(Haver_M!$B$1:$ZN$1000,MATCH(data!$A119,Haver_M!$B$1:$B$1000,0),MATCH(data!AX$1,Haver_M!$B$1:$ZN$1,0))),INDEX(Haver_M!$B$1:$ZN$1000,MATCH(data!$A119,Haver_M!$B$1:$B$1000,0),MATCH(data!AX$1,Haver_M!$B$1:$ZN$1,0)),"na")</f>
        <v>2597</v>
      </c>
      <c r="AY119">
        <f>IF(ISNUMBER(INDEX(Haver_M!$B$1:$ZN$1000,MATCH(data!$A119,Haver_M!$B$1:$B$1000,0),MATCH(data!AY$1,Haver_M!$B$1:$ZN$1,0))),INDEX(Haver_M!$B$1:$ZN$1000,MATCH(data!$A119,Haver_M!$B$1:$B$1000,0),MATCH(data!AY$1,Haver_M!$B$1:$ZN$1,0)),"na")</f>
        <v>1238</v>
      </c>
      <c r="AZ119">
        <f>IF(ISNUMBER(INDEX(Haver_M!$B$1:$ZN$1000,MATCH(data!$A119,Haver_M!$B$1:$B$1000,0),MATCH(data!AZ$1,Haver_M!$B$1:$ZN$1,0))),INDEX(Haver_M!$B$1:$ZN$1000,MATCH(data!$A119,Haver_M!$B$1:$B$1000,0),MATCH(data!AZ$1,Haver_M!$B$1:$ZN$1,0)),"na")</f>
        <v>53.6</v>
      </c>
      <c r="BA119">
        <f>IF(ISNUMBER(INDEX(Haver_M!$B$1:$ZN$1000,MATCH(data!$A119,Haver_M!$B$1:$B$1000,0),MATCH(data!BA$1,Haver_M!$B$1:$ZN$1,0))),INDEX(Haver_M!$B$1:$ZN$1000,MATCH(data!$A119,Haver_M!$B$1:$B$1000,0),MATCH(data!BA$1,Haver_M!$B$1:$ZN$1,0)),"na")</f>
        <v>62.662640321603256</v>
      </c>
      <c r="BB119" t="str">
        <f>IF(ISNUMBER(INDEX(Haver_M!$B$1:$ZN$1000,MATCH(data!$A119,Haver_M!$B$1:$B$1000,0),MATCH(data!BB$1,Haver_M!$B$1:$ZN$1,0))),INDEX(Haver_M!$B$1:$ZN$1000,MATCH(data!$A119,Haver_M!$B$1:$B$1000,0),MATCH(data!BB$1,Haver_M!$B$1:$ZN$1,0)),"")</f>
        <v/>
      </c>
    </row>
    <row r="120" spans="1:54" x14ac:dyDescent="0.25">
      <c r="A120" s="2">
        <v>40147</v>
      </c>
      <c r="B120" t="str">
        <f>IF(ISNUMBER(INDEX(Haver_Q!$B$1:$BD$1000,MATCH(data!$A120,Haver_Q!$B$1:$B$1000,0),MATCH(data!B$1,Haver_Q!$B$1:$BD$1,0))),100*INDEX(Haver_Q!$B$1:$BD$1000,MATCH(data!$A120,Haver_Q!$B$1:$B$1000,0),MATCH(data!B$1,Haver_Q!$B$1:$BD$1,0)),"na")</f>
        <v>na</v>
      </c>
      <c r="C120" t="str">
        <f>IF(ISNUMBER(INDEX(Haver_Q!$B$1:$BD$1000,MATCH(data!$A120,Haver_Q!$B$1:$B$1000,0),MATCH(data!C$1,Haver_Q!$B$1:$BD$1,0))),100*INDEX(Haver_Q!$B$1:$BD$1000,MATCH(data!$A120,Haver_Q!$B$1:$B$1000,0),MATCH(data!C$1,Haver_Q!$B$1:$BD$1,0)),"na")</f>
        <v>na</v>
      </c>
      <c r="D120" t="str">
        <f>IF(ISNUMBER(INDEX(Haver_Q!$B$1:$BD$1000,MATCH(data!$A120,Haver_Q!$B$1:$B$1000,0),MATCH(data!D$1,Haver_Q!$B$1:$BD$1,0))),100*INDEX(Haver_Q!$B$1:$BD$1000,MATCH(data!$A120,Haver_Q!$B$1:$B$1000,0),MATCH(data!D$1,Haver_Q!$B$1:$BD$1,0)),"na")</f>
        <v>na</v>
      </c>
      <c r="E120" t="str">
        <f>IF(ISNUMBER(INDEX(Haver_Q!$B$1:$BD$1000,MATCH(data!$A120,Haver_Q!$B$1:$B$1000,0),MATCH(data!E$1,Haver_Q!$B$1:$BD$1,0))),100*INDEX(Haver_Q!$B$1:$BD$1000,MATCH(data!$A120,Haver_Q!$B$1:$B$1000,0),MATCH(data!E$1,Haver_Q!$B$1:$BD$1,0)),"na")</f>
        <v>na</v>
      </c>
      <c r="F120" t="str">
        <f>IF(ISNUMBER(INDEX(Haver_Q!$B$1:$BD$1000,MATCH(data!$A120,Haver_Q!$B$1:$B$1000,0),MATCH(data!F$1,Haver_Q!$B$1:$BD$1,0))),100*INDEX(Haver_Q!$B$1:$BD$1000,MATCH(data!$A120,Haver_Q!$B$1:$B$1000,0),MATCH(data!F$1,Haver_Q!$B$1:$BD$1,0)),"na")</f>
        <v>na</v>
      </c>
      <c r="G120" t="str">
        <f>IF(ISNUMBER(INDEX(Haver_Q!$B$1:$BD$1000,MATCH(data!$A120,Haver_Q!$B$1:$B$1000,0),MATCH(data!G$1,Haver_Q!$B$1:$BD$1,0))),100*INDEX(Haver_Q!$B$1:$BD$1000,MATCH(data!$A120,Haver_Q!$B$1:$B$1000,0),MATCH(data!G$1,Haver_Q!$B$1:$BD$1,0)),"na")</f>
        <v>na</v>
      </c>
      <c r="H120" t="str">
        <f>IF(ISNUMBER(INDEX(Haver_Q!$B$1:$BD$1000,MATCH(data!$A120,Haver_Q!$B$1:$B$1000,0),MATCH(data!H$1,Haver_Q!$B$1:$BD$1,0))),100*INDEX(Haver_Q!$B$1:$BD$1000,MATCH(data!$A120,Haver_Q!$B$1:$B$1000,0),MATCH(data!H$1,Haver_Q!$B$1:$BD$1,0)),"na")</f>
        <v>na</v>
      </c>
      <c r="I120" s="3">
        <f>IF(ISNUMBER(Bloomberg_m!C136),Bloomberg_m!C136,"na")</f>
        <v>3941</v>
      </c>
      <c r="J120" s="3" t="str">
        <f>IF(ISNUMBER(Bloomberg_m!D136),Bloomberg_m!D136,"na")</f>
        <v>na</v>
      </c>
      <c r="K120" s="3" t="str">
        <f>IF(ISNUMBER(Bloomberg_m!E136),Bloomberg_m!E136,"na")</f>
        <v>na</v>
      </c>
      <c r="L120" s="3">
        <f>IF(ISNUMBER(Bloomberg_m!L136),Bloomberg_m!L136,"na")</f>
        <v>78</v>
      </c>
      <c r="M120">
        <f>IF(ISNUMBER(INDEX(Haver_M!$B$1:$ZN$1000,MATCH(data!$A120,Haver_M!$B$1:$B$1000,0),MATCH(data!M$1,Haver_M!$B$1:$ZN$1,0))),INDEX(Haver_M!$B$1:$ZN$1000,MATCH(data!$A120,Haver_M!$B$1:$B$1000,0),MATCH(data!M$1,Haver_M!$B$1:$ZN$1,0)),"na")</f>
        <v>4.5</v>
      </c>
      <c r="N120">
        <f>IF(ISNUMBER(INDEX(Haver_M!$B$1:$ZN$1000,MATCH(data!$A120,Haver_M!$B$1:$B$1000,0),MATCH(data!N$1,Haver_M!$B$1:$ZN$1,0))),INDEX(Haver_M!$B$1:$ZN$1000,MATCH(data!$A120,Haver_M!$B$1:$B$1000,0),MATCH(data!N$1,Haver_M!$B$1:$ZN$1,0)),"na")</f>
        <v>7.9146999999999998</v>
      </c>
      <c r="O120">
        <f>IF(ISNUMBER(INDEX(Haver_M!$B$1:$ZN$1000,MATCH(data!$A120,Haver_M!$B$1:$B$1000,0),MATCH(data!O$1,Haver_M!$B$1:$ZN$1,0))),INDEX(Haver_M!$B$1:$ZN$1000,MATCH(data!$A120,Haver_M!$B$1:$B$1000,0),MATCH(data!O$1,Haver_M!$B$1:$ZN$1,0)),"na")</f>
        <v>94.041989999999998</v>
      </c>
      <c r="P120">
        <f>IF(ISNUMBER(INDEX(Haver_M!$B$1:$ZN$1000,MATCH(data!$A120,Haver_M!$B$1:$B$1000,0),MATCH(data!P$1,Haver_M!$B$1:$ZN$1,0))),INDEX(Haver_M!$B$1:$ZN$1000,MATCH(data!$A120,Haver_M!$B$1:$B$1000,0),MATCH(data!P$1,Haver_M!$B$1:$ZN$1,0)),"na")</f>
        <v>71.323899999999995</v>
      </c>
      <c r="Q120">
        <f>IF(ISNUMBER(INDEX(Haver_M!$B$1:$ZN$1000,MATCH(data!$A120,Haver_M!$B$1:$B$1000,0),MATCH(data!Q$1,Haver_M!$B$1:$ZN$1,0))),INDEX(Haver_M!$B$1:$ZN$1000,MATCH(data!$A120,Haver_M!$B$1:$B$1000,0),MATCH(data!Q$1,Haver_M!$B$1:$ZN$1,0)),"na")</f>
        <v>75.255600000000001</v>
      </c>
      <c r="R120">
        <f>IF(ISNUMBER(INDEX(Haver_M!$B$1:$ZN$1000,MATCH(data!$A120,Haver_M!$B$1:$B$1000,0),MATCH(data!R$1,Haver_M!$B$1:$ZN$1,0))),INDEX(Haver_M!$B$1:$ZN$1000,MATCH(data!$A120,Haver_M!$B$1:$B$1000,0),MATCH(data!R$1,Haver_M!$B$1:$ZN$1,0)),"na")</f>
        <v>92.741500000000002</v>
      </c>
      <c r="S120">
        <f>IF(ISNUMBER(INDEX(Haver_M!$B$1:$ZN$1000,MATCH(data!$A120,Haver_M!$B$1:$B$1000,0),MATCH(data!S$1,Haver_M!$B$1:$ZN$1,0))),INDEX(Haver_M!$B$1:$ZN$1000,MATCH(data!$A120,Haver_M!$B$1:$B$1000,0),MATCH(data!S$1,Haver_M!$B$1:$ZN$1,0)),"na")</f>
        <v>97.206800000000001</v>
      </c>
      <c r="T120">
        <f>IF(ISNUMBER(INDEX(Haver_M!$B$1:$ZN$1000,MATCH(data!$A120,Haver_M!$B$1:$B$1000,0),MATCH(data!T$1,Haver_M!$B$1:$ZN$1,0))),INDEX(Haver_M!$B$1:$ZN$1000,MATCH(data!$A120,Haver_M!$B$1:$B$1000,0),MATCH(data!T$1,Haver_M!$B$1:$ZN$1,0)),"na")</f>
        <v>89.389700000000005</v>
      </c>
      <c r="U120">
        <f>IF(ISNUMBER(INDEX(Haver_M!$B$1:$ZN$1000,MATCH(data!$A120,Haver_M!$B$1:$B$1000,0),MATCH(data!U$1,Haver_M!$B$1:$ZN$1,0))),INDEX(Haver_M!$B$1:$ZN$1000,MATCH(data!$A120,Haver_M!$B$1:$B$1000,0),MATCH(data!U$1,Haver_M!$B$1:$ZN$1,0)),"na")</f>
        <v>93.108400000000003</v>
      </c>
      <c r="V120">
        <f>IF(ISNUMBER(INDEX(Haver_M!$B$1:$ZN$1000,MATCH(data!$A120,Haver_M!$B$1:$B$1000,0),MATCH(data!V$1,Haver_M!$B$1:$ZN$1,0))),INDEX(Haver_M!$B$1:$ZN$1000,MATCH(data!$A120,Haver_M!$B$1:$B$1000,0),MATCH(data!V$1,Haver_M!$B$1:$ZN$1,0)),"na")</f>
        <v>91.2119</v>
      </c>
      <c r="W120">
        <f>IF(ISNUMBER(INDEX(Haver_M!$B$1:$ZN$1000,MATCH(data!$A120,Haver_M!$B$1:$B$1000,0),MATCH(data!W$1,Haver_M!$B$1:$ZN$1,0))),INDEX(Haver_M!$B$1:$ZN$1000,MATCH(data!$A120,Haver_M!$B$1:$B$1000,0),MATCH(data!W$1,Haver_M!$B$1:$ZN$1,0)),"na")</f>
        <v>5.41</v>
      </c>
      <c r="X120">
        <f>IF(ISNUMBER(INDEX(Haver_M!$B$1:$ZN$1000,MATCH(data!$A120,Haver_M!$B$1:$B$1000,0),MATCH(data!X$1,Haver_M!$B$1:$ZN$1,0))),INDEX(Haver_M!$B$1:$ZN$1000,MATCH(data!$A120,Haver_M!$B$1:$B$1000,0),MATCH(data!X$1,Haver_M!$B$1:$ZN$1,0)),"na")</f>
        <v>99.98</v>
      </c>
      <c r="Y120">
        <f>IF(ISNUMBER(INDEX(Haver_M!$B$1:$ZN$1000,MATCH(data!$A120,Haver_M!$B$1:$B$1000,0),MATCH(data!Y$1,Haver_M!$B$1:$ZN$1,0))),INDEX(Haver_M!$B$1:$ZN$1000,MATCH(data!$A120,Haver_M!$B$1:$B$1000,0),MATCH(data!Y$1,Haver_M!$B$1:$ZN$1,0)),"na")</f>
        <v>99.49</v>
      </c>
      <c r="Z120">
        <f>IF(ISNUMBER(INDEX(Haver_M!$B$1:$ZN$1000,MATCH(data!$A120,Haver_M!$B$1:$B$1000,0),MATCH(data!Z$1,Haver_M!$B$1:$ZN$1,0))),INDEX(Haver_M!$B$1:$ZN$1000,MATCH(data!$A120,Haver_M!$B$1:$B$1000,0),MATCH(data!Z$1,Haver_M!$B$1:$ZN$1,0)),"na")</f>
        <v>93.440899999999999</v>
      </c>
      <c r="AA120">
        <f>IF(ISNUMBER(INDEX(Haver_M!$B$1:$ZN$1000,MATCH(data!$A120,Haver_M!$B$1:$B$1000,0),MATCH(data!AA$1,Haver_M!$B$1:$ZN$1,0))),INDEX(Haver_M!$B$1:$ZN$1000,MATCH(data!$A120,Haver_M!$B$1:$B$1000,0),MATCH(data!AA$1,Haver_M!$B$1:$ZN$1,0)),"na")</f>
        <v>88.780100000000004</v>
      </c>
      <c r="AB120">
        <f>IF(ISNUMBER(INDEX(Haver_M!$B$1:$ZN$1000,MATCH(data!$A120,Haver_M!$B$1:$B$1000,0),MATCH(data!AB$1,Haver_M!$B$1:$ZN$1,0))),INDEX(Haver_M!$B$1:$ZN$1000,MATCH(data!$A120,Haver_M!$B$1:$B$1000,0),MATCH(data!AB$1,Haver_M!$B$1:$ZN$1,0)),"na")</f>
        <v>22595.8</v>
      </c>
      <c r="AC120">
        <f>IF(ISNUMBER(INDEX(Haver_M!$B$1:$ZN$1000,MATCH(data!$A120,Haver_M!$B$1:$B$1000,0),MATCH(data!AC$1,Haver_M!$B$1:$ZN$1,0))),INDEX(Haver_M!$B$1:$ZN$1000,MATCH(data!$A120,Haver_M!$B$1:$B$1000,0),MATCH(data!AC$1,Haver_M!$B$1:$ZN$1,0)),"na")</f>
        <v>22430.9</v>
      </c>
      <c r="AD120">
        <f>IF(ISNUMBER(INDEX(Haver_M!$B$1:$ZN$1000,MATCH(data!$A120,Haver_M!$B$1:$B$1000,0),MATCH(data!AD$1,Haver_M!$B$1:$ZN$1,0))),INDEX(Haver_M!$B$1:$ZN$1000,MATCH(data!$A120,Haver_M!$B$1:$B$1000,0),MATCH(data!AD$1,Haver_M!$B$1:$ZN$1,0)),"na")</f>
        <v>98.21</v>
      </c>
      <c r="AE120">
        <f>IF(ISNUMBER(INDEX(Haver_M!$B$1:$ZN$1000,MATCH(data!$A120,Haver_M!$B$1:$B$1000,0),MATCH(data!AE$1,Haver_M!$B$1:$ZN$1,0))),INDEX(Haver_M!$B$1:$ZN$1000,MATCH(data!$A120,Haver_M!$B$1:$B$1000,0),MATCH(data!AE$1,Haver_M!$B$1:$ZN$1,0)),"na")</f>
        <v>34</v>
      </c>
      <c r="AF120">
        <f>IF(ISNUMBER(INDEX(Haver_M!$B$1:$ZN$1000,MATCH(data!$A120,Haver_M!$B$1:$B$1000,0),MATCH(data!AF$1,Haver_M!$B$1:$ZN$1,0))),INDEX(Haver_M!$B$1:$ZN$1000,MATCH(data!$A120,Haver_M!$B$1:$B$1000,0),MATCH(data!AF$1,Haver_M!$B$1:$ZN$1,0)),"na")</f>
        <v>98.13</v>
      </c>
      <c r="AG120" t="str">
        <f>IF(ISNUMBER(INDEX(Haver_M!$B$1:$ZN$1000,MATCH(data!$A120,Haver_M!$B$1:$B$1000,0),MATCH(data!AG$1,Haver_M!$B$1:$ZN$1,0))),INDEX(Haver_M!$B$1:$ZN$1000,MATCH(data!$A120,Haver_M!$B$1:$B$1000,0),MATCH(data!AG$1,Haver_M!$B$1:$ZN$1,0)),"na")</f>
        <v>na</v>
      </c>
      <c r="AH120" t="str">
        <f>IF(ISNUMBER(INDEX(Haver_M!$B$1:$ZN$1000,MATCH(data!$A120,Haver_M!$B$1:$B$1000,0),MATCH(data!AH$1,Haver_M!$B$1:$ZN$1,0))),INDEX(Haver_M!$B$1:$ZN$1000,MATCH(data!$A120,Haver_M!$B$1:$B$1000,0),MATCH(data!AH$1,Haver_M!$B$1:$ZN$1,0)),"na")</f>
        <v>na</v>
      </c>
      <c r="AI120" t="str">
        <f>IF(ISNUMBER(INDEX(Haver_M!$B$1:$ZN$1000,MATCH(data!$A120,Haver_M!$B$1:$B$1000,0),MATCH(data!AI$1,Haver_M!$B$1:$ZN$1,0))),INDEX(Haver_M!$B$1:$ZN$1000,MATCH(data!$A120,Haver_M!$B$1:$B$1000,0),MATCH(data!AI$1,Haver_M!$B$1:$ZN$1,0)),"na")</f>
        <v>na</v>
      </c>
      <c r="AJ120" t="str">
        <f>IF(ISNUMBER(INDEX(Haver_M!$B$1:$ZN$1000,MATCH(data!$A120,Haver_M!$B$1:$B$1000,0),MATCH(data!AJ$1,Haver_M!$B$1:$ZN$1,0))),INDEX(Haver_M!$B$1:$ZN$1000,MATCH(data!$A120,Haver_M!$B$1:$B$1000,0),MATCH(data!AJ$1,Haver_M!$B$1:$ZN$1,0)),"na")</f>
        <v>na</v>
      </c>
      <c r="AK120" t="str">
        <f>IF(ISNUMBER(INDEX(Haver_M!$B$1:$ZN$1000,MATCH(data!$A120,Haver_M!$B$1:$B$1000,0),MATCH(data!AK$1,Haver_M!$B$1:$ZN$1,0))),INDEX(Haver_M!$B$1:$ZN$1000,MATCH(data!$A120,Haver_M!$B$1:$B$1000,0),MATCH(data!AK$1,Haver_M!$B$1:$ZN$1,0)),"na")</f>
        <v>na</v>
      </c>
      <c r="AL120" t="str">
        <f>IF(ISNUMBER(INDEX(Haver_M!$B$1:$ZN$1000,MATCH(data!$A120,Haver_M!$B$1:$B$1000,0),MATCH(data!AL$1,Haver_M!$B$1:$ZN$1,0))),INDEX(Haver_M!$B$1:$ZN$1000,MATCH(data!$A120,Haver_M!$B$1:$B$1000,0),MATCH(data!AL$1,Haver_M!$B$1:$ZN$1,0)),"na")</f>
        <v>na</v>
      </c>
      <c r="AM120" t="str">
        <f>IF(ISNUMBER(INDEX(Haver_M!$B$1:$ZN$1000,MATCH(data!$A120,Haver_M!$B$1:$B$1000,0),MATCH(data!AM$1,Haver_M!$B$1:$ZN$1,0))),INDEX(Haver_M!$B$1:$ZN$1000,MATCH(data!$A120,Haver_M!$B$1:$B$1000,0),MATCH(data!AM$1,Haver_M!$B$1:$ZN$1,0)),"na")</f>
        <v>na</v>
      </c>
      <c r="AN120" t="str">
        <f>IF(ISNUMBER(INDEX(Haver_M!$B$1:$ZN$1000,MATCH(data!$A120,Haver_M!$B$1:$B$1000,0),MATCH(data!AN$1,Haver_M!$B$1:$ZN$1,0))),INDEX(Haver_M!$B$1:$ZN$1000,MATCH(data!$A120,Haver_M!$B$1:$B$1000,0),MATCH(data!AN$1,Haver_M!$B$1:$ZN$1,0)),"na")</f>
        <v>na</v>
      </c>
      <c r="AO120" t="str">
        <f>IF(ISNUMBER(INDEX(Haver_M!$B$1:$ZN$1000,MATCH(data!$A120,Haver_M!$B$1:$B$1000,0),MATCH(data!AO$1,Haver_M!$B$1:$ZN$1,0))),INDEX(Haver_M!$B$1:$ZN$1000,MATCH(data!$A120,Haver_M!$B$1:$B$1000,0),MATCH(data!AO$1,Haver_M!$B$1:$ZN$1,0)),"na")</f>
        <v>na</v>
      </c>
      <c r="AP120" t="str">
        <f>IF(ISNUMBER(INDEX(Haver_M!$B$1:$ZN$1000,MATCH(data!$A120,Haver_M!$B$1:$B$1000,0),MATCH(data!AP$1,Haver_M!$B$1:$ZN$1,0))),INDEX(Haver_M!$B$1:$ZN$1000,MATCH(data!$A120,Haver_M!$B$1:$B$1000,0),MATCH(data!AP$1,Haver_M!$B$1:$ZN$1,0)),"na")</f>
        <v>na</v>
      </c>
      <c r="AQ120" t="str">
        <f>IF(ISNUMBER(INDEX(Haver_M!$B$1:$ZN$1000,MATCH(data!$A120,Haver_M!$B$1:$B$1000,0),MATCH(data!AQ$1,Haver_M!$B$1:$ZN$1,0))),INDEX(Haver_M!$B$1:$ZN$1000,MATCH(data!$A120,Haver_M!$B$1:$B$1000,0),MATCH(data!AQ$1,Haver_M!$B$1:$ZN$1,0)),"na")</f>
        <v>na</v>
      </c>
      <c r="AR120" t="str">
        <f>IF(ISNUMBER(INDEX(Haver_M!$B$1:$ZN$1000,MATCH(data!$A120,Haver_M!$B$1:$B$1000,0),MATCH(data!AR$1,Haver_M!$B$1:$ZN$1,0))),INDEX(Haver_M!$B$1:$ZN$1000,MATCH(data!$A120,Haver_M!$B$1:$B$1000,0),MATCH(data!AR$1,Haver_M!$B$1:$ZN$1,0)),"na")</f>
        <v>na</v>
      </c>
      <c r="AS120">
        <f>IF(ISNUMBER(INDEX(Haver_M!$B$1:$ZN$1000,MATCH(data!$A120,Haver_M!$B$1:$B$1000,0),MATCH(data!AS$1,Haver_M!$B$1:$ZN$1,0))),INDEX(Haver_M!$B$1:$ZN$1000,MATCH(data!$A120,Haver_M!$B$1:$B$1000,0),MATCH(data!AS$1,Haver_M!$B$1:$ZN$1,0)),"na")</f>
        <v>30620.45</v>
      </c>
      <c r="AT120">
        <f>IF(ISNUMBER(INDEX(Haver_M!$B$1:$ZN$1000,MATCH(data!$A120,Haver_M!$B$1:$B$1000,0),MATCH(data!AT$1,Haver_M!$B$1:$ZN$1,0))),INDEX(Haver_M!$B$1:$ZN$1000,MATCH(data!$A120,Haver_M!$B$1:$B$1000,0),MATCH(data!AT$1,Haver_M!$B$1:$ZN$1,0)),"na")</f>
        <v>92.103999999999999</v>
      </c>
      <c r="AU120">
        <f>IF(ISNUMBER(INDEX(Haver_M!$B$1:$ZN$1000,MATCH(data!$A120,Haver_M!$B$1:$B$1000,0),MATCH(data!AU$1,Haver_M!$B$1:$ZN$1,0))),INDEX(Haver_M!$B$1:$ZN$1000,MATCH(data!$A120,Haver_M!$B$1:$B$1000,0),MATCH(data!AU$1,Haver_M!$B$1:$ZN$1,0)),"na")</f>
        <v>89.430860999999993</v>
      </c>
      <c r="AV120">
        <f>IF(ISNUMBER(INDEX(Haver_M!$B$1:$ZN$1000,MATCH(data!$A120,Haver_M!$B$1:$B$1000,0),MATCH(data!AV$1,Haver_M!$B$1:$ZN$1,0))),INDEX(Haver_M!$B$1:$ZN$1000,MATCH(data!$A120,Haver_M!$B$1:$B$1000,0),MATCH(data!AV$1,Haver_M!$B$1:$ZN$1,0)),"na")</f>
        <v>86.1</v>
      </c>
      <c r="AW120">
        <f>IF(ISNUMBER(INDEX(Haver_M!$B$1:$ZN$1000,MATCH(data!$A120,Haver_M!$B$1:$B$1000,0),MATCH(data!AW$1,Haver_M!$B$1:$ZN$1,0))),INDEX(Haver_M!$B$1:$ZN$1000,MATCH(data!$A120,Haver_M!$B$1:$B$1000,0),MATCH(data!AW$1,Haver_M!$B$1:$ZN$1,0)),"na")</f>
        <v>1015047.8846862178</v>
      </c>
      <c r="AX120">
        <f>IF(ISNUMBER(INDEX(Haver_M!$B$1:$ZN$1000,MATCH(data!$A120,Haver_M!$B$1:$B$1000,0),MATCH(data!AX$1,Haver_M!$B$1:$ZN$1,0))),INDEX(Haver_M!$B$1:$ZN$1000,MATCH(data!$A120,Haver_M!$B$1:$B$1000,0),MATCH(data!AX$1,Haver_M!$B$1:$ZN$1,0)),"na")</f>
        <v>2583</v>
      </c>
      <c r="AY120">
        <f>IF(ISNUMBER(INDEX(Haver_M!$B$1:$ZN$1000,MATCH(data!$A120,Haver_M!$B$1:$B$1000,0),MATCH(data!AY$1,Haver_M!$B$1:$ZN$1,0))),INDEX(Haver_M!$B$1:$ZN$1000,MATCH(data!$A120,Haver_M!$B$1:$B$1000,0),MATCH(data!AY$1,Haver_M!$B$1:$ZN$1,0)),"na")</f>
        <v>1219</v>
      </c>
      <c r="AZ120">
        <f>IF(ISNUMBER(INDEX(Haver_M!$B$1:$ZN$1000,MATCH(data!$A120,Haver_M!$B$1:$B$1000,0),MATCH(data!AZ$1,Haver_M!$B$1:$ZN$1,0))),INDEX(Haver_M!$B$1:$ZN$1000,MATCH(data!$A120,Haver_M!$B$1:$B$1000,0),MATCH(data!AZ$1,Haver_M!$B$1:$ZN$1,0)),"na")</f>
        <v>52.6</v>
      </c>
      <c r="BA120">
        <f>IF(ISNUMBER(INDEX(Haver_M!$B$1:$ZN$1000,MATCH(data!$A120,Haver_M!$B$1:$B$1000,0),MATCH(data!BA$1,Haver_M!$B$1:$ZN$1,0))),INDEX(Haver_M!$B$1:$ZN$1000,MATCH(data!$A120,Haver_M!$B$1:$B$1000,0),MATCH(data!BA$1,Haver_M!$B$1:$ZN$1,0)),"na")</f>
        <v>56.197908275963982</v>
      </c>
      <c r="BB120" t="str">
        <f>IF(ISNUMBER(INDEX(Haver_M!$B$1:$ZN$1000,MATCH(data!$A120,Haver_M!$B$1:$B$1000,0),MATCH(data!BB$1,Haver_M!$B$1:$ZN$1,0))),INDEX(Haver_M!$B$1:$ZN$1000,MATCH(data!$A120,Haver_M!$B$1:$B$1000,0),MATCH(data!BB$1,Haver_M!$B$1:$ZN$1,0)),"")</f>
        <v/>
      </c>
    </row>
    <row r="121" spans="1:54" x14ac:dyDescent="0.25">
      <c r="A121" s="2">
        <v>40178</v>
      </c>
      <c r="B121">
        <f>IF(ISNUMBER(INDEX(Haver_Q!$B$1:$BD$1000,MATCH(data!$A121,Haver_Q!$B$1:$B$1000,0),MATCH(data!B$1,Haver_Q!$B$1:$BD$1,0))),100*INDEX(Haver_Q!$B$1:$BD$1000,MATCH(data!$A121,Haver_Q!$B$1:$B$1000,0),MATCH(data!B$1,Haver_Q!$B$1:$BD$1,0)),"na")</f>
        <v>7.0746725936529309</v>
      </c>
      <c r="C121">
        <f>IF(ISNUMBER(INDEX(Haver_Q!$B$1:$BD$1000,MATCH(data!$A121,Haver_Q!$B$1:$B$1000,0),MATCH(data!C$1,Haver_Q!$B$1:$BD$1,0))),100*INDEX(Haver_Q!$B$1:$BD$1000,MATCH(data!$A121,Haver_Q!$B$1:$B$1000,0),MATCH(data!C$1,Haver_Q!$B$1:$BD$1,0)),"na")</f>
        <v>0.47296775026983706</v>
      </c>
      <c r="D121">
        <f>IF(ISNUMBER(INDEX(Haver_Q!$B$1:$BD$1000,MATCH(data!$A121,Haver_Q!$B$1:$B$1000,0),MATCH(data!D$1,Haver_Q!$B$1:$BD$1,0))),100*INDEX(Haver_Q!$B$1:$BD$1000,MATCH(data!$A121,Haver_Q!$B$1:$B$1000,0),MATCH(data!D$1,Haver_Q!$B$1:$BD$1,0)),"na")</f>
        <v>8.8504195359495164</v>
      </c>
      <c r="E121">
        <f>IF(ISNUMBER(INDEX(Haver_Q!$B$1:$BD$1000,MATCH(data!$A121,Haver_Q!$B$1:$B$1000,0),MATCH(data!E$1,Haver_Q!$B$1:$BD$1,0))),100*INDEX(Haver_Q!$B$1:$BD$1000,MATCH(data!$A121,Haver_Q!$B$1:$B$1000,0),MATCH(data!E$1,Haver_Q!$B$1:$BD$1,0)),"na")</f>
        <v>-0.44126048175998633</v>
      </c>
      <c r="F121">
        <f>IF(ISNUMBER(INDEX(Haver_Q!$B$1:$BD$1000,MATCH(data!$A121,Haver_Q!$B$1:$B$1000,0),MATCH(data!F$1,Haver_Q!$B$1:$BD$1,0))),100*INDEX(Haver_Q!$B$1:$BD$1000,MATCH(data!$A121,Haver_Q!$B$1:$B$1000,0),MATCH(data!F$1,Haver_Q!$B$1:$BD$1,0)),"na")</f>
        <v>42.78251372390325</v>
      </c>
      <c r="G121">
        <f>IF(ISNUMBER(INDEX(Haver_Q!$B$1:$BD$1000,MATCH(data!$A121,Haver_Q!$B$1:$B$1000,0),MATCH(data!G$1,Haver_Q!$B$1:$BD$1,0))),100*INDEX(Haver_Q!$B$1:$BD$1000,MATCH(data!$A121,Haver_Q!$B$1:$B$1000,0),MATCH(data!G$1,Haver_Q!$B$1:$BD$1,0)),"na")</f>
        <v>20.160326005547958</v>
      </c>
      <c r="H121">
        <f>IF(ISNUMBER(INDEX(Haver_Q!$B$1:$BD$1000,MATCH(data!$A121,Haver_Q!$B$1:$B$1000,0),MATCH(data!H$1,Haver_Q!$B$1:$BD$1,0))),100*INDEX(Haver_Q!$B$1:$BD$1000,MATCH(data!$A121,Haver_Q!$B$1:$B$1000,0),MATCH(data!H$1,Haver_Q!$B$1:$BD$1,0)),"na")</f>
        <v>565.96925269132225</v>
      </c>
      <c r="I121" s="3">
        <f>IF(ISNUMBER(Bloomberg_m!C137),Bloomberg_m!C137,"na")</f>
        <v>3572</v>
      </c>
      <c r="J121" s="3" t="str">
        <f>IF(ISNUMBER(Bloomberg_m!D137),Bloomberg_m!D137,"na")</f>
        <v>na</v>
      </c>
      <c r="K121" s="3" t="str">
        <f>IF(ISNUMBER(Bloomberg_m!E137),Bloomberg_m!E137,"na")</f>
        <v>na</v>
      </c>
      <c r="L121" s="3">
        <f>IF(ISNUMBER(Bloomberg_m!L137),Bloomberg_m!L137,"na")</f>
        <v>74.489999999999995</v>
      </c>
      <c r="M121">
        <f>IF(ISNUMBER(INDEX(Haver_M!$B$1:$ZN$1000,MATCH(data!$A121,Haver_M!$B$1:$B$1000,0),MATCH(data!M$1,Haver_M!$B$1:$ZN$1,0))),INDEX(Haver_M!$B$1:$ZN$1000,MATCH(data!$A121,Haver_M!$B$1:$B$1000,0),MATCH(data!M$1,Haver_M!$B$1:$ZN$1,0)),"na")</f>
        <v>4.5</v>
      </c>
      <c r="N121">
        <f>IF(ISNUMBER(INDEX(Haver_M!$B$1:$ZN$1000,MATCH(data!$A121,Haver_M!$B$1:$B$1000,0),MATCH(data!N$1,Haver_M!$B$1:$ZN$1,0))),INDEX(Haver_M!$B$1:$ZN$1000,MATCH(data!$A121,Haver_M!$B$1:$B$1000,0),MATCH(data!N$1,Haver_M!$B$1:$ZN$1,0)),"na")</f>
        <v>7.9058999999999999</v>
      </c>
      <c r="O121">
        <f>IF(ISNUMBER(INDEX(Haver_M!$B$1:$ZN$1000,MATCH(data!$A121,Haver_M!$B$1:$B$1000,0),MATCH(data!O$1,Haver_M!$B$1:$ZN$1,0))),INDEX(Haver_M!$B$1:$ZN$1000,MATCH(data!$A121,Haver_M!$B$1:$B$1000,0),MATCH(data!O$1,Haver_M!$B$1:$ZN$1,0)),"na")</f>
        <v>96.387910000000005</v>
      </c>
      <c r="P121">
        <f>IF(ISNUMBER(INDEX(Haver_M!$B$1:$ZN$1000,MATCH(data!$A121,Haver_M!$B$1:$B$1000,0),MATCH(data!P$1,Haver_M!$B$1:$ZN$1,0))),INDEX(Haver_M!$B$1:$ZN$1000,MATCH(data!$A121,Haver_M!$B$1:$B$1000,0),MATCH(data!P$1,Haver_M!$B$1:$ZN$1,0)),"na")</f>
        <v>71.460300000000004</v>
      </c>
      <c r="Q121">
        <f>IF(ISNUMBER(INDEX(Haver_M!$B$1:$ZN$1000,MATCH(data!$A121,Haver_M!$B$1:$B$1000,0),MATCH(data!Q$1,Haver_M!$B$1:$ZN$1,0))),INDEX(Haver_M!$B$1:$ZN$1000,MATCH(data!$A121,Haver_M!$B$1:$B$1000,0),MATCH(data!Q$1,Haver_M!$B$1:$ZN$1,0)),"na")</f>
        <v>75.498000000000005</v>
      </c>
      <c r="R121">
        <f>IF(ISNUMBER(INDEX(Haver_M!$B$1:$ZN$1000,MATCH(data!$A121,Haver_M!$B$1:$B$1000,0),MATCH(data!R$1,Haver_M!$B$1:$ZN$1,0))),INDEX(Haver_M!$B$1:$ZN$1000,MATCH(data!$A121,Haver_M!$B$1:$B$1000,0),MATCH(data!R$1,Haver_M!$B$1:$ZN$1,0)),"na")</f>
        <v>92.938299999999998</v>
      </c>
      <c r="S121">
        <f>IF(ISNUMBER(INDEX(Haver_M!$B$1:$ZN$1000,MATCH(data!$A121,Haver_M!$B$1:$B$1000,0),MATCH(data!S$1,Haver_M!$B$1:$ZN$1,0))),INDEX(Haver_M!$B$1:$ZN$1000,MATCH(data!$A121,Haver_M!$B$1:$B$1000,0),MATCH(data!S$1,Haver_M!$B$1:$ZN$1,0)),"na")</f>
        <v>97.358099999999993</v>
      </c>
      <c r="T121">
        <f>IF(ISNUMBER(INDEX(Haver_M!$B$1:$ZN$1000,MATCH(data!$A121,Haver_M!$B$1:$B$1000,0),MATCH(data!T$1,Haver_M!$B$1:$ZN$1,0))),INDEX(Haver_M!$B$1:$ZN$1000,MATCH(data!$A121,Haver_M!$B$1:$B$1000,0),MATCH(data!T$1,Haver_M!$B$1:$ZN$1,0)),"na")</f>
        <v>89.156000000000006</v>
      </c>
      <c r="U121">
        <f>IF(ISNUMBER(INDEX(Haver_M!$B$1:$ZN$1000,MATCH(data!$A121,Haver_M!$B$1:$B$1000,0),MATCH(data!U$1,Haver_M!$B$1:$ZN$1,0))),INDEX(Haver_M!$B$1:$ZN$1000,MATCH(data!$A121,Haver_M!$B$1:$B$1000,0),MATCH(data!U$1,Haver_M!$B$1:$ZN$1,0)),"na")</f>
        <v>92.973600000000005</v>
      </c>
      <c r="V121">
        <f>IF(ISNUMBER(INDEX(Haver_M!$B$1:$ZN$1000,MATCH(data!$A121,Haver_M!$B$1:$B$1000,0),MATCH(data!V$1,Haver_M!$B$1:$ZN$1,0))),INDEX(Haver_M!$B$1:$ZN$1000,MATCH(data!$A121,Haver_M!$B$1:$B$1000,0),MATCH(data!V$1,Haver_M!$B$1:$ZN$1,0)),"na")</f>
        <v>90.271699999999996</v>
      </c>
      <c r="W121">
        <f>IF(ISNUMBER(INDEX(Haver_M!$B$1:$ZN$1000,MATCH(data!$A121,Haver_M!$B$1:$B$1000,0),MATCH(data!W$1,Haver_M!$B$1:$ZN$1,0))),INDEX(Haver_M!$B$1:$ZN$1000,MATCH(data!$A121,Haver_M!$B$1:$B$1000,0),MATCH(data!W$1,Haver_M!$B$1:$ZN$1,0)),"na")</f>
        <v>5.23</v>
      </c>
      <c r="X121">
        <f>IF(ISNUMBER(INDEX(Haver_M!$B$1:$ZN$1000,MATCH(data!$A121,Haver_M!$B$1:$B$1000,0),MATCH(data!X$1,Haver_M!$B$1:$ZN$1,0))),INDEX(Haver_M!$B$1:$ZN$1000,MATCH(data!$A121,Haver_M!$B$1:$B$1000,0),MATCH(data!X$1,Haver_M!$B$1:$ZN$1,0)),"na")</f>
        <v>100.47</v>
      </c>
      <c r="Y121">
        <f>IF(ISNUMBER(INDEX(Haver_M!$B$1:$ZN$1000,MATCH(data!$A121,Haver_M!$B$1:$B$1000,0),MATCH(data!Y$1,Haver_M!$B$1:$ZN$1,0))),INDEX(Haver_M!$B$1:$ZN$1000,MATCH(data!$A121,Haver_M!$B$1:$B$1000,0),MATCH(data!Y$1,Haver_M!$B$1:$ZN$1,0)),"na")</f>
        <v>99.75</v>
      </c>
      <c r="Z121">
        <f>IF(ISNUMBER(INDEX(Haver_M!$B$1:$ZN$1000,MATCH(data!$A121,Haver_M!$B$1:$B$1000,0),MATCH(data!Z$1,Haver_M!$B$1:$ZN$1,0))),INDEX(Haver_M!$B$1:$ZN$1000,MATCH(data!$A121,Haver_M!$B$1:$B$1000,0),MATCH(data!Z$1,Haver_M!$B$1:$ZN$1,0)),"na")</f>
        <v>94.274000000000001</v>
      </c>
      <c r="AA121">
        <f>IF(ISNUMBER(INDEX(Haver_M!$B$1:$ZN$1000,MATCH(data!$A121,Haver_M!$B$1:$B$1000,0),MATCH(data!AA$1,Haver_M!$B$1:$ZN$1,0))),INDEX(Haver_M!$B$1:$ZN$1000,MATCH(data!$A121,Haver_M!$B$1:$B$1000,0),MATCH(data!AA$1,Haver_M!$B$1:$ZN$1,0)),"na")</f>
        <v>89.020099999999999</v>
      </c>
      <c r="AB121">
        <f>IF(ISNUMBER(INDEX(Haver_M!$B$1:$ZN$1000,MATCH(data!$A121,Haver_M!$B$1:$B$1000,0),MATCH(data!AB$1,Haver_M!$B$1:$ZN$1,0))),INDEX(Haver_M!$B$1:$ZN$1000,MATCH(data!$A121,Haver_M!$B$1:$B$1000,0),MATCH(data!AB$1,Haver_M!$B$1:$ZN$1,0)),"na")</f>
        <v>22630.9</v>
      </c>
      <c r="AC121">
        <f>IF(ISNUMBER(INDEX(Haver_M!$B$1:$ZN$1000,MATCH(data!$A121,Haver_M!$B$1:$B$1000,0),MATCH(data!AC$1,Haver_M!$B$1:$ZN$1,0))),INDEX(Haver_M!$B$1:$ZN$1000,MATCH(data!$A121,Haver_M!$B$1:$B$1000,0),MATCH(data!AC$1,Haver_M!$B$1:$ZN$1,0)),"na")</f>
        <v>22495.1</v>
      </c>
      <c r="AD121">
        <f>IF(ISNUMBER(INDEX(Haver_M!$B$1:$ZN$1000,MATCH(data!$A121,Haver_M!$B$1:$B$1000,0),MATCH(data!AD$1,Haver_M!$B$1:$ZN$1,0))),INDEX(Haver_M!$B$1:$ZN$1000,MATCH(data!$A121,Haver_M!$B$1:$B$1000,0),MATCH(data!AD$1,Haver_M!$B$1:$ZN$1,0)),"na")</f>
        <v>98.42</v>
      </c>
      <c r="AE121">
        <f>IF(ISNUMBER(INDEX(Haver_M!$B$1:$ZN$1000,MATCH(data!$A121,Haver_M!$B$1:$B$1000,0),MATCH(data!AE$1,Haver_M!$B$1:$ZN$1,0))),INDEX(Haver_M!$B$1:$ZN$1000,MATCH(data!$A121,Haver_M!$B$1:$B$1000,0),MATCH(data!AE$1,Haver_M!$B$1:$ZN$1,0)),"na")</f>
        <v>33.799999999999997</v>
      </c>
      <c r="AF121">
        <f>IF(ISNUMBER(INDEX(Haver_M!$B$1:$ZN$1000,MATCH(data!$A121,Haver_M!$B$1:$B$1000,0),MATCH(data!AF$1,Haver_M!$B$1:$ZN$1,0))),INDEX(Haver_M!$B$1:$ZN$1000,MATCH(data!$A121,Haver_M!$B$1:$B$1000,0),MATCH(data!AF$1,Haver_M!$B$1:$ZN$1,0)),"na")</f>
        <v>98.55</v>
      </c>
      <c r="AG121" t="str">
        <f>IF(ISNUMBER(INDEX(Haver_M!$B$1:$ZN$1000,MATCH(data!$A121,Haver_M!$B$1:$B$1000,0),MATCH(data!AG$1,Haver_M!$B$1:$ZN$1,0))),INDEX(Haver_M!$B$1:$ZN$1000,MATCH(data!$A121,Haver_M!$B$1:$B$1000,0),MATCH(data!AG$1,Haver_M!$B$1:$ZN$1,0)),"na")</f>
        <v>na</v>
      </c>
      <c r="AH121" t="str">
        <f>IF(ISNUMBER(INDEX(Haver_M!$B$1:$ZN$1000,MATCH(data!$A121,Haver_M!$B$1:$B$1000,0),MATCH(data!AH$1,Haver_M!$B$1:$ZN$1,0))),INDEX(Haver_M!$B$1:$ZN$1000,MATCH(data!$A121,Haver_M!$B$1:$B$1000,0),MATCH(data!AH$1,Haver_M!$B$1:$ZN$1,0)),"na")</f>
        <v>na</v>
      </c>
      <c r="AI121" t="str">
        <f>IF(ISNUMBER(INDEX(Haver_M!$B$1:$ZN$1000,MATCH(data!$A121,Haver_M!$B$1:$B$1000,0),MATCH(data!AI$1,Haver_M!$B$1:$ZN$1,0))),INDEX(Haver_M!$B$1:$ZN$1000,MATCH(data!$A121,Haver_M!$B$1:$B$1000,0),MATCH(data!AI$1,Haver_M!$B$1:$ZN$1,0)),"na")</f>
        <v>na</v>
      </c>
      <c r="AJ121" t="str">
        <f>IF(ISNUMBER(INDEX(Haver_M!$B$1:$ZN$1000,MATCH(data!$A121,Haver_M!$B$1:$B$1000,0),MATCH(data!AJ$1,Haver_M!$B$1:$ZN$1,0))),INDEX(Haver_M!$B$1:$ZN$1000,MATCH(data!$A121,Haver_M!$B$1:$B$1000,0),MATCH(data!AJ$1,Haver_M!$B$1:$ZN$1,0)),"na")</f>
        <v>na</v>
      </c>
      <c r="AK121" t="str">
        <f>IF(ISNUMBER(INDEX(Haver_M!$B$1:$ZN$1000,MATCH(data!$A121,Haver_M!$B$1:$B$1000,0),MATCH(data!AK$1,Haver_M!$B$1:$ZN$1,0))),INDEX(Haver_M!$B$1:$ZN$1000,MATCH(data!$A121,Haver_M!$B$1:$B$1000,0),MATCH(data!AK$1,Haver_M!$B$1:$ZN$1,0)),"na")</f>
        <v>na</v>
      </c>
      <c r="AL121" t="str">
        <f>IF(ISNUMBER(INDEX(Haver_M!$B$1:$ZN$1000,MATCH(data!$A121,Haver_M!$B$1:$B$1000,0),MATCH(data!AL$1,Haver_M!$B$1:$ZN$1,0))),INDEX(Haver_M!$B$1:$ZN$1000,MATCH(data!$A121,Haver_M!$B$1:$B$1000,0),MATCH(data!AL$1,Haver_M!$B$1:$ZN$1,0)),"na")</f>
        <v>na</v>
      </c>
      <c r="AM121" t="str">
        <f>IF(ISNUMBER(INDEX(Haver_M!$B$1:$ZN$1000,MATCH(data!$A121,Haver_M!$B$1:$B$1000,0),MATCH(data!AM$1,Haver_M!$B$1:$ZN$1,0))),INDEX(Haver_M!$B$1:$ZN$1000,MATCH(data!$A121,Haver_M!$B$1:$B$1000,0),MATCH(data!AM$1,Haver_M!$B$1:$ZN$1,0)),"na")</f>
        <v>na</v>
      </c>
      <c r="AN121" t="str">
        <f>IF(ISNUMBER(INDEX(Haver_M!$B$1:$ZN$1000,MATCH(data!$A121,Haver_M!$B$1:$B$1000,0),MATCH(data!AN$1,Haver_M!$B$1:$ZN$1,0))),INDEX(Haver_M!$B$1:$ZN$1000,MATCH(data!$A121,Haver_M!$B$1:$B$1000,0),MATCH(data!AN$1,Haver_M!$B$1:$ZN$1,0)),"na")</f>
        <v>na</v>
      </c>
      <c r="AO121" t="str">
        <f>IF(ISNUMBER(INDEX(Haver_M!$B$1:$ZN$1000,MATCH(data!$A121,Haver_M!$B$1:$B$1000,0),MATCH(data!AO$1,Haver_M!$B$1:$ZN$1,0))),INDEX(Haver_M!$B$1:$ZN$1000,MATCH(data!$A121,Haver_M!$B$1:$B$1000,0),MATCH(data!AO$1,Haver_M!$B$1:$ZN$1,0)),"na")</f>
        <v>na</v>
      </c>
      <c r="AP121" t="str">
        <f>IF(ISNUMBER(INDEX(Haver_M!$B$1:$ZN$1000,MATCH(data!$A121,Haver_M!$B$1:$B$1000,0),MATCH(data!AP$1,Haver_M!$B$1:$ZN$1,0))),INDEX(Haver_M!$B$1:$ZN$1000,MATCH(data!$A121,Haver_M!$B$1:$B$1000,0),MATCH(data!AP$1,Haver_M!$B$1:$ZN$1,0)),"na")</f>
        <v>na</v>
      </c>
      <c r="AQ121" t="str">
        <f>IF(ISNUMBER(INDEX(Haver_M!$B$1:$ZN$1000,MATCH(data!$A121,Haver_M!$B$1:$B$1000,0),MATCH(data!AQ$1,Haver_M!$B$1:$ZN$1,0))),INDEX(Haver_M!$B$1:$ZN$1000,MATCH(data!$A121,Haver_M!$B$1:$B$1000,0),MATCH(data!AQ$1,Haver_M!$B$1:$ZN$1,0)),"na")</f>
        <v>na</v>
      </c>
      <c r="AR121" t="str">
        <f>IF(ISNUMBER(INDEX(Haver_M!$B$1:$ZN$1000,MATCH(data!$A121,Haver_M!$B$1:$B$1000,0),MATCH(data!AR$1,Haver_M!$B$1:$ZN$1,0))),INDEX(Haver_M!$B$1:$ZN$1000,MATCH(data!$A121,Haver_M!$B$1:$B$1000,0),MATCH(data!AR$1,Haver_M!$B$1:$ZN$1,0)),"na")</f>
        <v>na</v>
      </c>
      <c r="AS121">
        <f>IF(ISNUMBER(INDEX(Haver_M!$B$1:$ZN$1000,MATCH(data!$A121,Haver_M!$B$1:$B$1000,0),MATCH(data!AS$1,Haver_M!$B$1:$ZN$1,0))),INDEX(Haver_M!$B$1:$ZN$1000,MATCH(data!$A121,Haver_M!$B$1:$B$1000,0),MATCH(data!AS$1,Haver_M!$B$1:$ZN$1,0)),"na")</f>
        <v>32077.95</v>
      </c>
      <c r="AT121">
        <f>IF(ISNUMBER(INDEX(Haver_M!$B$1:$ZN$1000,MATCH(data!$A121,Haver_M!$B$1:$B$1000,0),MATCH(data!AT$1,Haver_M!$B$1:$ZN$1,0))),INDEX(Haver_M!$B$1:$ZN$1000,MATCH(data!$A121,Haver_M!$B$1:$B$1000,0),MATCH(data!AT$1,Haver_M!$B$1:$ZN$1,0)),"na")</f>
        <v>94.391999999999996</v>
      </c>
      <c r="AU121">
        <f>IF(ISNUMBER(INDEX(Haver_M!$B$1:$ZN$1000,MATCH(data!$A121,Haver_M!$B$1:$B$1000,0),MATCH(data!AU$1,Haver_M!$B$1:$ZN$1,0))),INDEX(Haver_M!$B$1:$ZN$1000,MATCH(data!$A121,Haver_M!$B$1:$B$1000,0),MATCH(data!AU$1,Haver_M!$B$1:$ZN$1,0)),"na")</f>
        <v>89.642259999999993</v>
      </c>
      <c r="AV121">
        <f>IF(ISNUMBER(INDEX(Haver_M!$B$1:$ZN$1000,MATCH(data!$A121,Haver_M!$B$1:$B$1000,0),MATCH(data!AV$1,Haver_M!$B$1:$ZN$1,0))),INDEX(Haver_M!$B$1:$ZN$1000,MATCH(data!$A121,Haver_M!$B$1:$B$1000,0),MATCH(data!AV$1,Haver_M!$B$1:$ZN$1,0)),"na")</f>
        <v>87.7</v>
      </c>
      <c r="AW121">
        <f>IF(ISNUMBER(INDEX(Haver_M!$B$1:$ZN$1000,MATCH(data!$A121,Haver_M!$B$1:$B$1000,0),MATCH(data!AW$1,Haver_M!$B$1:$ZN$1,0))),INDEX(Haver_M!$B$1:$ZN$1000,MATCH(data!$A121,Haver_M!$B$1:$B$1000,0),MATCH(data!AW$1,Haver_M!$B$1:$ZN$1,0)),"na")</f>
        <v>952915.07678199816</v>
      </c>
      <c r="AX121">
        <f>IF(ISNUMBER(INDEX(Haver_M!$B$1:$ZN$1000,MATCH(data!$A121,Haver_M!$B$1:$B$1000,0),MATCH(data!AX$1,Haver_M!$B$1:$ZN$1,0))),INDEX(Haver_M!$B$1:$ZN$1000,MATCH(data!$A121,Haver_M!$B$1:$B$1000,0),MATCH(data!AX$1,Haver_M!$B$1:$ZN$1,0)),"na")</f>
        <v>2583</v>
      </c>
      <c r="AY121">
        <f>IF(ISNUMBER(INDEX(Haver_M!$B$1:$ZN$1000,MATCH(data!$A121,Haver_M!$B$1:$B$1000,0),MATCH(data!AY$1,Haver_M!$B$1:$ZN$1,0))),INDEX(Haver_M!$B$1:$ZN$1000,MATCH(data!$A121,Haver_M!$B$1:$B$1000,0),MATCH(data!AY$1,Haver_M!$B$1:$ZN$1,0)),"na")</f>
        <v>1249</v>
      </c>
      <c r="AZ121">
        <f>IF(ISNUMBER(INDEX(Haver_M!$B$1:$ZN$1000,MATCH(data!$A121,Haver_M!$B$1:$B$1000,0),MATCH(data!AZ$1,Haver_M!$B$1:$ZN$1,0))),INDEX(Haver_M!$B$1:$ZN$1000,MATCH(data!$A121,Haver_M!$B$1:$B$1000,0),MATCH(data!AZ$1,Haver_M!$B$1:$ZN$1,0)),"na")</f>
        <v>54.4</v>
      </c>
      <c r="BA121">
        <f>IF(ISNUMBER(INDEX(Haver_M!$B$1:$ZN$1000,MATCH(data!$A121,Haver_M!$B$1:$B$1000,0),MATCH(data!BA$1,Haver_M!$B$1:$ZN$1,0))),INDEX(Haver_M!$B$1:$ZN$1000,MATCH(data!$A121,Haver_M!$B$1:$B$1000,0),MATCH(data!BA$1,Haver_M!$B$1:$ZN$1,0)),"na")</f>
        <v>59.574103788663464</v>
      </c>
      <c r="BB121" t="str">
        <f>IF(ISNUMBER(INDEX(Haver_M!$B$1:$ZN$1000,MATCH(data!$A121,Haver_M!$B$1:$B$1000,0),MATCH(data!BB$1,Haver_M!$B$1:$ZN$1,0))),INDEX(Haver_M!$B$1:$ZN$1000,MATCH(data!$A121,Haver_M!$B$1:$B$1000,0),MATCH(data!BB$1,Haver_M!$B$1:$ZN$1,0)),"")</f>
        <v/>
      </c>
    </row>
    <row r="122" spans="1:54" x14ac:dyDescent="0.25">
      <c r="A122" s="2">
        <v>40209</v>
      </c>
      <c r="B122" t="str">
        <f>IF(ISNUMBER(INDEX(Haver_Q!$B$1:$BD$1000,MATCH(data!$A122,Haver_Q!$B$1:$B$1000,0),MATCH(data!B$1,Haver_Q!$B$1:$BD$1,0))),100*INDEX(Haver_Q!$B$1:$BD$1000,MATCH(data!$A122,Haver_Q!$B$1:$B$1000,0),MATCH(data!B$1,Haver_Q!$B$1:$BD$1,0)),"na")</f>
        <v>na</v>
      </c>
      <c r="C122" t="str">
        <f>IF(ISNUMBER(INDEX(Haver_Q!$B$1:$BD$1000,MATCH(data!$A122,Haver_Q!$B$1:$B$1000,0),MATCH(data!C$1,Haver_Q!$B$1:$BD$1,0))),100*INDEX(Haver_Q!$B$1:$BD$1000,MATCH(data!$A122,Haver_Q!$B$1:$B$1000,0),MATCH(data!C$1,Haver_Q!$B$1:$BD$1,0)),"na")</f>
        <v>na</v>
      </c>
      <c r="D122" t="str">
        <f>IF(ISNUMBER(INDEX(Haver_Q!$B$1:$BD$1000,MATCH(data!$A122,Haver_Q!$B$1:$B$1000,0),MATCH(data!D$1,Haver_Q!$B$1:$BD$1,0))),100*INDEX(Haver_Q!$B$1:$BD$1000,MATCH(data!$A122,Haver_Q!$B$1:$B$1000,0),MATCH(data!D$1,Haver_Q!$B$1:$BD$1,0)),"na")</f>
        <v>na</v>
      </c>
      <c r="E122" t="str">
        <f>IF(ISNUMBER(INDEX(Haver_Q!$B$1:$BD$1000,MATCH(data!$A122,Haver_Q!$B$1:$B$1000,0),MATCH(data!E$1,Haver_Q!$B$1:$BD$1,0))),100*INDEX(Haver_Q!$B$1:$BD$1000,MATCH(data!$A122,Haver_Q!$B$1:$B$1000,0),MATCH(data!E$1,Haver_Q!$B$1:$BD$1,0)),"na")</f>
        <v>na</v>
      </c>
      <c r="F122" t="str">
        <f>IF(ISNUMBER(INDEX(Haver_Q!$B$1:$BD$1000,MATCH(data!$A122,Haver_Q!$B$1:$B$1000,0),MATCH(data!F$1,Haver_Q!$B$1:$BD$1,0))),100*INDEX(Haver_Q!$B$1:$BD$1000,MATCH(data!$A122,Haver_Q!$B$1:$B$1000,0),MATCH(data!F$1,Haver_Q!$B$1:$BD$1,0)),"na")</f>
        <v>na</v>
      </c>
      <c r="G122" t="str">
        <f>IF(ISNUMBER(INDEX(Haver_Q!$B$1:$BD$1000,MATCH(data!$A122,Haver_Q!$B$1:$B$1000,0),MATCH(data!G$1,Haver_Q!$B$1:$BD$1,0))),100*INDEX(Haver_Q!$B$1:$BD$1000,MATCH(data!$A122,Haver_Q!$B$1:$B$1000,0),MATCH(data!G$1,Haver_Q!$B$1:$BD$1,0)),"na")</f>
        <v>na</v>
      </c>
      <c r="H122" t="str">
        <f>IF(ISNUMBER(INDEX(Haver_Q!$B$1:$BD$1000,MATCH(data!$A122,Haver_Q!$B$1:$B$1000,0),MATCH(data!H$1,Haver_Q!$B$1:$BD$1,0))),100*INDEX(Haver_Q!$B$1:$BD$1000,MATCH(data!$A122,Haver_Q!$B$1:$B$1000,0),MATCH(data!H$1,Haver_Q!$B$1:$BD$1,0)),"na")</f>
        <v>na</v>
      </c>
      <c r="I122" s="3">
        <f>IF(ISNUMBER(Bloomberg_m!C138),Bloomberg_m!C138,"na")</f>
        <v>3168</v>
      </c>
      <c r="J122" s="3" t="str">
        <f>IF(ISNUMBER(Bloomberg_m!D138),Bloomberg_m!D138,"na")</f>
        <v>na</v>
      </c>
      <c r="K122" s="3" t="str">
        <f>IF(ISNUMBER(Bloomberg_m!E138),Bloomberg_m!E138,"na")</f>
        <v>na</v>
      </c>
      <c r="L122" s="3">
        <f>IF(ISNUMBER(Bloomberg_m!L138),Bloomberg_m!L138,"na")</f>
        <v>78.36</v>
      </c>
      <c r="M122">
        <f>IF(ISNUMBER(INDEX(Haver_M!$B$1:$ZN$1000,MATCH(data!$A122,Haver_M!$B$1:$B$1000,0),MATCH(data!M$1,Haver_M!$B$1:$ZN$1,0))),INDEX(Haver_M!$B$1:$ZN$1000,MATCH(data!$A122,Haver_M!$B$1:$B$1000,0),MATCH(data!M$1,Haver_M!$B$1:$ZN$1,0)),"na")</f>
        <v>4.5</v>
      </c>
      <c r="N122">
        <f>IF(ISNUMBER(INDEX(Haver_M!$B$1:$ZN$1000,MATCH(data!$A122,Haver_M!$B$1:$B$1000,0),MATCH(data!N$1,Haver_M!$B$1:$ZN$1,0))),INDEX(Haver_M!$B$1:$ZN$1000,MATCH(data!$A122,Haver_M!$B$1:$B$1000,0),MATCH(data!N$1,Haver_M!$B$1:$ZN$1,0)),"na")</f>
        <v>7.8707000000000003</v>
      </c>
      <c r="O122">
        <f>IF(ISNUMBER(INDEX(Haver_M!$B$1:$ZN$1000,MATCH(data!$A122,Haver_M!$B$1:$B$1000,0),MATCH(data!O$1,Haver_M!$B$1:$ZN$1,0))),INDEX(Haver_M!$B$1:$ZN$1000,MATCH(data!$A122,Haver_M!$B$1:$B$1000,0),MATCH(data!O$1,Haver_M!$B$1:$ZN$1,0)),"na")</f>
        <v>97.951970000000003</v>
      </c>
      <c r="P122">
        <f>IF(ISNUMBER(INDEX(Haver_M!$B$1:$ZN$1000,MATCH(data!$A122,Haver_M!$B$1:$B$1000,0),MATCH(data!P$1,Haver_M!$B$1:$ZN$1,0))),INDEX(Haver_M!$B$1:$ZN$1000,MATCH(data!$A122,Haver_M!$B$1:$B$1000,0),MATCH(data!P$1,Haver_M!$B$1:$ZN$1,0)),"na")</f>
        <v>72.146500000000003</v>
      </c>
      <c r="Q122">
        <f>IF(ISNUMBER(INDEX(Haver_M!$B$1:$ZN$1000,MATCH(data!$A122,Haver_M!$B$1:$B$1000,0),MATCH(data!Q$1,Haver_M!$B$1:$ZN$1,0))),INDEX(Haver_M!$B$1:$ZN$1000,MATCH(data!$A122,Haver_M!$B$1:$B$1000,0),MATCH(data!Q$1,Haver_M!$B$1:$ZN$1,0)),"na")</f>
        <v>75.978700000000003</v>
      </c>
      <c r="R122">
        <f>IF(ISNUMBER(INDEX(Haver_M!$B$1:$ZN$1000,MATCH(data!$A122,Haver_M!$B$1:$B$1000,0),MATCH(data!R$1,Haver_M!$B$1:$ZN$1,0))),INDEX(Haver_M!$B$1:$ZN$1000,MATCH(data!$A122,Haver_M!$B$1:$B$1000,0),MATCH(data!R$1,Haver_M!$B$1:$ZN$1,0)),"na")</f>
        <v>94.260999999999996</v>
      </c>
      <c r="S122">
        <f>IF(ISNUMBER(INDEX(Haver_M!$B$1:$ZN$1000,MATCH(data!$A122,Haver_M!$B$1:$B$1000,0),MATCH(data!S$1,Haver_M!$B$1:$ZN$1,0))),INDEX(Haver_M!$B$1:$ZN$1000,MATCH(data!$A122,Haver_M!$B$1:$B$1000,0),MATCH(data!S$1,Haver_M!$B$1:$ZN$1,0)),"na")</f>
        <v>99.150400000000005</v>
      </c>
      <c r="T122">
        <f>IF(ISNUMBER(INDEX(Haver_M!$B$1:$ZN$1000,MATCH(data!$A122,Haver_M!$B$1:$B$1000,0),MATCH(data!T$1,Haver_M!$B$1:$ZN$1,0))),INDEX(Haver_M!$B$1:$ZN$1000,MATCH(data!$A122,Haver_M!$B$1:$B$1000,0),MATCH(data!T$1,Haver_M!$B$1:$ZN$1,0)),"na")</f>
        <v>89.390299999999996</v>
      </c>
      <c r="U122">
        <f>IF(ISNUMBER(INDEX(Haver_M!$B$1:$ZN$1000,MATCH(data!$A122,Haver_M!$B$1:$B$1000,0),MATCH(data!U$1,Haver_M!$B$1:$ZN$1,0))),INDEX(Haver_M!$B$1:$ZN$1000,MATCH(data!$A122,Haver_M!$B$1:$B$1000,0),MATCH(data!U$1,Haver_M!$B$1:$ZN$1,0)),"na")</f>
        <v>104.34310000000001</v>
      </c>
      <c r="V122">
        <f>IF(ISNUMBER(INDEX(Haver_M!$B$1:$ZN$1000,MATCH(data!$A122,Haver_M!$B$1:$B$1000,0),MATCH(data!V$1,Haver_M!$B$1:$ZN$1,0))),INDEX(Haver_M!$B$1:$ZN$1000,MATCH(data!$A122,Haver_M!$B$1:$B$1000,0),MATCH(data!V$1,Haver_M!$B$1:$ZN$1,0)),"na")</f>
        <v>88.883899999999997</v>
      </c>
      <c r="W122">
        <f>IF(ISNUMBER(INDEX(Haver_M!$B$1:$ZN$1000,MATCH(data!$A122,Haver_M!$B$1:$B$1000,0),MATCH(data!W$1,Haver_M!$B$1:$ZN$1,0))),INDEX(Haver_M!$B$1:$ZN$1000,MATCH(data!$A122,Haver_M!$B$1:$B$1000,0),MATCH(data!W$1,Haver_M!$B$1:$ZN$1,0)),"na")</f>
        <v>5.66</v>
      </c>
      <c r="X122">
        <f>IF(ISNUMBER(INDEX(Haver_M!$B$1:$ZN$1000,MATCH(data!$A122,Haver_M!$B$1:$B$1000,0),MATCH(data!X$1,Haver_M!$B$1:$ZN$1,0))),INDEX(Haver_M!$B$1:$ZN$1000,MATCH(data!$A122,Haver_M!$B$1:$B$1000,0),MATCH(data!X$1,Haver_M!$B$1:$ZN$1,0)),"na")</f>
        <v>100.65</v>
      </c>
      <c r="Y122">
        <f>IF(ISNUMBER(INDEX(Haver_M!$B$1:$ZN$1000,MATCH(data!$A122,Haver_M!$B$1:$B$1000,0),MATCH(data!Y$1,Haver_M!$B$1:$ZN$1,0))),INDEX(Haver_M!$B$1:$ZN$1000,MATCH(data!$A122,Haver_M!$B$1:$B$1000,0),MATCH(data!Y$1,Haver_M!$B$1:$ZN$1,0)),"na")</f>
        <v>99.97</v>
      </c>
      <c r="Z122">
        <f>IF(ISNUMBER(INDEX(Haver_M!$B$1:$ZN$1000,MATCH(data!$A122,Haver_M!$B$1:$B$1000,0),MATCH(data!Z$1,Haver_M!$B$1:$ZN$1,0))),INDEX(Haver_M!$B$1:$ZN$1000,MATCH(data!$A122,Haver_M!$B$1:$B$1000,0),MATCH(data!Z$1,Haver_M!$B$1:$ZN$1,0)),"na")</f>
        <v>93.432599999999994</v>
      </c>
      <c r="AA122">
        <f>IF(ISNUMBER(INDEX(Haver_M!$B$1:$ZN$1000,MATCH(data!$A122,Haver_M!$B$1:$B$1000,0),MATCH(data!AA$1,Haver_M!$B$1:$ZN$1,0))),INDEX(Haver_M!$B$1:$ZN$1000,MATCH(data!$A122,Haver_M!$B$1:$B$1000,0),MATCH(data!AA$1,Haver_M!$B$1:$ZN$1,0)),"na")</f>
        <v>89.796899999999994</v>
      </c>
      <c r="AB122">
        <f>IF(ISNUMBER(INDEX(Haver_M!$B$1:$ZN$1000,MATCH(data!$A122,Haver_M!$B$1:$B$1000,0),MATCH(data!AB$1,Haver_M!$B$1:$ZN$1,0))),INDEX(Haver_M!$B$1:$ZN$1000,MATCH(data!$A122,Haver_M!$B$1:$B$1000,0),MATCH(data!AB$1,Haver_M!$B$1:$ZN$1,0)),"na")</f>
        <v>22690.3</v>
      </c>
      <c r="AC122">
        <f>IF(ISNUMBER(INDEX(Haver_M!$B$1:$ZN$1000,MATCH(data!$A122,Haver_M!$B$1:$B$1000,0),MATCH(data!AC$1,Haver_M!$B$1:$ZN$1,0))),INDEX(Haver_M!$B$1:$ZN$1000,MATCH(data!$A122,Haver_M!$B$1:$B$1000,0),MATCH(data!AC$1,Haver_M!$B$1:$ZN$1,0)),"na")</f>
        <v>22514.9</v>
      </c>
      <c r="AD122">
        <f>IF(ISNUMBER(INDEX(Haver_M!$B$1:$ZN$1000,MATCH(data!$A122,Haver_M!$B$1:$B$1000,0),MATCH(data!AD$1,Haver_M!$B$1:$ZN$1,0))),INDEX(Haver_M!$B$1:$ZN$1000,MATCH(data!$A122,Haver_M!$B$1:$B$1000,0),MATCH(data!AD$1,Haver_M!$B$1:$ZN$1,0)),"na")</f>
        <v>98.61</v>
      </c>
      <c r="AE122">
        <f>IF(ISNUMBER(INDEX(Haver_M!$B$1:$ZN$1000,MATCH(data!$A122,Haver_M!$B$1:$B$1000,0),MATCH(data!AE$1,Haver_M!$B$1:$ZN$1,0))),INDEX(Haver_M!$B$1:$ZN$1000,MATCH(data!$A122,Haver_M!$B$1:$B$1000,0),MATCH(data!AE$1,Haver_M!$B$1:$ZN$1,0)),"na")</f>
        <v>34.5</v>
      </c>
      <c r="AF122">
        <f>IF(ISNUMBER(INDEX(Haver_M!$B$1:$ZN$1000,MATCH(data!$A122,Haver_M!$B$1:$B$1000,0),MATCH(data!AF$1,Haver_M!$B$1:$ZN$1,0))),INDEX(Haver_M!$B$1:$ZN$1000,MATCH(data!$A122,Haver_M!$B$1:$B$1000,0),MATCH(data!AF$1,Haver_M!$B$1:$ZN$1,0)),"na")</f>
        <v>99.01</v>
      </c>
      <c r="AG122" t="str">
        <f>IF(ISNUMBER(INDEX(Haver_M!$B$1:$ZN$1000,MATCH(data!$A122,Haver_M!$B$1:$B$1000,0),MATCH(data!AG$1,Haver_M!$B$1:$ZN$1,0))),INDEX(Haver_M!$B$1:$ZN$1000,MATCH(data!$A122,Haver_M!$B$1:$B$1000,0),MATCH(data!AG$1,Haver_M!$B$1:$ZN$1,0)),"na")</f>
        <v>na</v>
      </c>
      <c r="AH122" t="str">
        <f>IF(ISNUMBER(INDEX(Haver_M!$B$1:$ZN$1000,MATCH(data!$A122,Haver_M!$B$1:$B$1000,0),MATCH(data!AH$1,Haver_M!$B$1:$ZN$1,0))),INDEX(Haver_M!$B$1:$ZN$1000,MATCH(data!$A122,Haver_M!$B$1:$B$1000,0),MATCH(data!AH$1,Haver_M!$B$1:$ZN$1,0)),"na")</f>
        <v>na</v>
      </c>
      <c r="AI122" t="str">
        <f>IF(ISNUMBER(INDEX(Haver_M!$B$1:$ZN$1000,MATCH(data!$A122,Haver_M!$B$1:$B$1000,0),MATCH(data!AI$1,Haver_M!$B$1:$ZN$1,0))),INDEX(Haver_M!$B$1:$ZN$1000,MATCH(data!$A122,Haver_M!$B$1:$B$1000,0),MATCH(data!AI$1,Haver_M!$B$1:$ZN$1,0)),"na")</f>
        <v>na</v>
      </c>
      <c r="AJ122" t="str">
        <f>IF(ISNUMBER(INDEX(Haver_M!$B$1:$ZN$1000,MATCH(data!$A122,Haver_M!$B$1:$B$1000,0),MATCH(data!AJ$1,Haver_M!$B$1:$ZN$1,0))),INDEX(Haver_M!$B$1:$ZN$1000,MATCH(data!$A122,Haver_M!$B$1:$B$1000,0),MATCH(data!AJ$1,Haver_M!$B$1:$ZN$1,0)),"na")</f>
        <v>na</v>
      </c>
      <c r="AK122" t="str">
        <f>IF(ISNUMBER(INDEX(Haver_M!$B$1:$ZN$1000,MATCH(data!$A122,Haver_M!$B$1:$B$1000,0),MATCH(data!AK$1,Haver_M!$B$1:$ZN$1,0))),INDEX(Haver_M!$B$1:$ZN$1000,MATCH(data!$A122,Haver_M!$B$1:$B$1000,0),MATCH(data!AK$1,Haver_M!$B$1:$ZN$1,0)),"na")</f>
        <v>na</v>
      </c>
      <c r="AL122" t="str">
        <f>IF(ISNUMBER(INDEX(Haver_M!$B$1:$ZN$1000,MATCH(data!$A122,Haver_M!$B$1:$B$1000,0),MATCH(data!AL$1,Haver_M!$B$1:$ZN$1,0))),INDEX(Haver_M!$B$1:$ZN$1000,MATCH(data!$A122,Haver_M!$B$1:$B$1000,0),MATCH(data!AL$1,Haver_M!$B$1:$ZN$1,0)),"na")</f>
        <v>na</v>
      </c>
      <c r="AM122" t="str">
        <f>IF(ISNUMBER(INDEX(Haver_M!$B$1:$ZN$1000,MATCH(data!$A122,Haver_M!$B$1:$B$1000,0),MATCH(data!AM$1,Haver_M!$B$1:$ZN$1,0))),INDEX(Haver_M!$B$1:$ZN$1000,MATCH(data!$A122,Haver_M!$B$1:$B$1000,0),MATCH(data!AM$1,Haver_M!$B$1:$ZN$1,0)),"na")</f>
        <v>na</v>
      </c>
      <c r="AN122" t="str">
        <f>IF(ISNUMBER(INDEX(Haver_M!$B$1:$ZN$1000,MATCH(data!$A122,Haver_M!$B$1:$B$1000,0),MATCH(data!AN$1,Haver_M!$B$1:$ZN$1,0))),INDEX(Haver_M!$B$1:$ZN$1000,MATCH(data!$A122,Haver_M!$B$1:$B$1000,0),MATCH(data!AN$1,Haver_M!$B$1:$ZN$1,0)),"na")</f>
        <v>na</v>
      </c>
      <c r="AO122" t="str">
        <f>IF(ISNUMBER(INDEX(Haver_M!$B$1:$ZN$1000,MATCH(data!$A122,Haver_M!$B$1:$B$1000,0),MATCH(data!AO$1,Haver_M!$B$1:$ZN$1,0))),INDEX(Haver_M!$B$1:$ZN$1000,MATCH(data!$A122,Haver_M!$B$1:$B$1000,0),MATCH(data!AO$1,Haver_M!$B$1:$ZN$1,0)),"na")</f>
        <v>na</v>
      </c>
      <c r="AP122" t="str">
        <f>IF(ISNUMBER(INDEX(Haver_M!$B$1:$ZN$1000,MATCH(data!$A122,Haver_M!$B$1:$B$1000,0),MATCH(data!AP$1,Haver_M!$B$1:$ZN$1,0))),INDEX(Haver_M!$B$1:$ZN$1000,MATCH(data!$A122,Haver_M!$B$1:$B$1000,0),MATCH(data!AP$1,Haver_M!$B$1:$ZN$1,0)),"na")</f>
        <v>na</v>
      </c>
      <c r="AQ122" t="str">
        <f>IF(ISNUMBER(INDEX(Haver_M!$B$1:$ZN$1000,MATCH(data!$A122,Haver_M!$B$1:$B$1000,0),MATCH(data!AQ$1,Haver_M!$B$1:$ZN$1,0))),INDEX(Haver_M!$B$1:$ZN$1000,MATCH(data!$A122,Haver_M!$B$1:$B$1000,0),MATCH(data!AQ$1,Haver_M!$B$1:$ZN$1,0)),"na")</f>
        <v>na</v>
      </c>
      <c r="AR122" t="str">
        <f>IF(ISNUMBER(INDEX(Haver_M!$B$1:$ZN$1000,MATCH(data!$A122,Haver_M!$B$1:$B$1000,0),MATCH(data!AR$1,Haver_M!$B$1:$ZN$1,0))),INDEX(Haver_M!$B$1:$ZN$1000,MATCH(data!$A122,Haver_M!$B$1:$B$1000,0),MATCH(data!AR$1,Haver_M!$B$1:$ZN$1,0)),"na")</f>
        <v>na</v>
      </c>
      <c r="AS122">
        <f>IF(ISNUMBER(INDEX(Haver_M!$B$1:$ZN$1000,MATCH(data!$A122,Haver_M!$B$1:$B$1000,0),MATCH(data!AS$1,Haver_M!$B$1:$ZN$1,0))),INDEX(Haver_M!$B$1:$ZN$1000,MATCH(data!$A122,Haver_M!$B$1:$B$1000,0),MATCH(data!AS$1,Haver_M!$B$1:$ZN$1,0)),"na")</f>
        <v>31989.09</v>
      </c>
      <c r="AT122">
        <f>IF(ISNUMBER(INDEX(Haver_M!$B$1:$ZN$1000,MATCH(data!$A122,Haver_M!$B$1:$B$1000,0),MATCH(data!AT$1,Haver_M!$B$1:$ZN$1,0))),INDEX(Haver_M!$B$1:$ZN$1000,MATCH(data!$A122,Haver_M!$B$1:$B$1000,0),MATCH(data!AT$1,Haver_M!$B$1:$ZN$1,0)),"na")</f>
        <v>90.5</v>
      </c>
      <c r="AU122">
        <f>IF(ISNUMBER(INDEX(Haver_M!$B$1:$ZN$1000,MATCH(data!$A122,Haver_M!$B$1:$B$1000,0),MATCH(data!AU$1,Haver_M!$B$1:$ZN$1,0))),INDEX(Haver_M!$B$1:$ZN$1000,MATCH(data!$A122,Haver_M!$B$1:$B$1000,0),MATCH(data!AU$1,Haver_M!$B$1:$ZN$1,0)),"na")</f>
        <v>89.811507000000006</v>
      </c>
      <c r="AV122">
        <f>IF(ISNUMBER(INDEX(Haver_M!$B$1:$ZN$1000,MATCH(data!$A122,Haver_M!$B$1:$B$1000,0),MATCH(data!AV$1,Haver_M!$B$1:$ZN$1,0))),INDEX(Haver_M!$B$1:$ZN$1000,MATCH(data!$A122,Haver_M!$B$1:$B$1000,0),MATCH(data!AV$1,Haver_M!$B$1:$ZN$1,0)),"na")</f>
        <v>94.1</v>
      </c>
      <c r="AW122">
        <f>IF(ISNUMBER(INDEX(Haver_M!$B$1:$ZN$1000,MATCH(data!$A122,Haver_M!$B$1:$B$1000,0),MATCH(data!AW$1,Haver_M!$B$1:$ZN$1,0))),INDEX(Haver_M!$B$1:$ZN$1000,MATCH(data!$A122,Haver_M!$B$1:$B$1000,0),MATCH(data!AW$1,Haver_M!$B$1:$ZN$1,0)),"na")</f>
        <v>1015425.5332620922</v>
      </c>
      <c r="AX122">
        <f>IF(ISNUMBER(INDEX(Haver_M!$B$1:$ZN$1000,MATCH(data!$A122,Haver_M!$B$1:$B$1000,0),MATCH(data!AX$1,Haver_M!$B$1:$ZN$1,0))),INDEX(Haver_M!$B$1:$ZN$1000,MATCH(data!$A122,Haver_M!$B$1:$B$1000,0),MATCH(data!AX$1,Haver_M!$B$1:$ZN$1,0)),"na")</f>
        <v>2574</v>
      </c>
      <c r="AY122">
        <f>IF(ISNUMBER(INDEX(Haver_M!$B$1:$ZN$1000,MATCH(data!$A122,Haver_M!$B$1:$B$1000,0),MATCH(data!AY$1,Haver_M!$B$1:$ZN$1,0))),INDEX(Haver_M!$B$1:$ZN$1000,MATCH(data!$A122,Haver_M!$B$1:$B$1000,0),MATCH(data!AY$1,Haver_M!$B$1:$ZN$1,0)),"na")</f>
        <v>1176</v>
      </c>
      <c r="AZ122">
        <f>IF(ISNUMBER(INDEX(Haver_M!$B$1:$ZN$1000,MATCH(data!$A122,Haver_M!$B$1:$B$1000,0),MATCH(data!AZ$1,Haver_M!$B$1:$ZN$1,0))),INDEX(Haver_M!$B$1:$ZN$1000,MATCH(data!$A122,Haver_M!$B$1:$B$1000,0),MATCH(data!AZ$1,Haver_M!$B$1:$ZN$1,0)),"na")</f>
        <v>53.7</v>
      </c>
      <c r="BA122">
        <f>IF(ISNUMBER(INDEX(Haver_M!$B$1:$ZN$1000,MATCH(data!$A122,Haver_M!$B$1:$B$1000,0),MATCH(data!BA$1,Haver_M!$B$1:$ZN$1,0))),INDEX(Haver_M!$B$1:$ZN$1000,MATCH(data!$A122,Haver_M!$B$1:$B$1000,0),MATCH(data!BA$1,Haver_M!$B$1:$ZN$1,0)),"na")</f>
        <v>79.569002845814268</v>
      </c>
      <c r="BB122" t="str">
        <f>IF(ISNUMBER(INDEX(Haver_M!$B$1:$ZN$1000,MATCH(data!$A122,Haver_M!$B$1:$B$1000,0),MATCH(data!BB$1,Haver_M!$B$1:$ZN$1,0))),INDEX(Haver_M!$B$1:$ZN$1000,MATCH(data!$A122,Haver_M!$B$1:$B$1000,0),MATCH(data!BB$1,Haver_M!$B$1:$ZN$1,0)),"")</f>
        <v/>
      </c>
    </row>
    <row r="123" spans="1:54" x14ac:dyDescent="0.25">
      <c r="A123" s="2">
        <v>40237</v>
      </c>
      <c r="B123" t="str">
        <f>IF(ISNUMBER(INDEX(Haver_Q!$B$1:$BD$1000,MATCH(data!$A123,Haver_Q!$B$1:$B$1000,0),MATCH(data!B$1,Haver_Q!$B$1:$BD$1,0))),100*INDEX(Haver_Q!$B$1:$BD$1000,MATCH(data!$A123,Haver_Q!$B$1:$B$1000,0),MATCH(data!B$1,Haver_Q!$B$1:$BD$1,0)),"na")</f>
        <v>na</v>
      </c>
      <c r="C123" t="str">
        <f>IF(ISNUMBER(INDEX(Haver_Q!$B$1:$BD$1000,MATCH(data!$A123,Haver_Q!$B$1:$B$1000,0),MATCH(data!C$1,Haver_Q!$B$1:$BD$1,0))),100*INDEX(Haver_Q!$B$1:$BD$1000,MATCH(data!$A123,Haver_Q!$B$1:$B$1000,0),MATCH(data!C$1,Haver_Q!$B$1:$BD$1,0)),"na")</f>
        <v>na</v>
      </c>
      <c r="D123" t="str">
        <f>IF(ISNUMBER(INDEX(Haver_Q!$B$1:$BD$1000,MATCH(data!$A123,Haver_Q!$B$1:$B$1000,0),MATCH(data!D$1,Haver_Q!$B$1:$BD$1,0))),100*INDEX(Haver_Q!$B$1:$BD$1000,MATCH(data!$A123,Haver_Q!$B$1:$B$1000,0),MATCH(data!D$1,Haver_Q!$B$1:$BD$1,0)),"na")</f>
        <v>na</v>
      </c>
      <c r="E123" t="str">
        <f>IF(ISNUMBER(INDEX(Haver_Q!$B$1:$BD$1000,MATCH(data!$A123,Haver_Q!$B$1:$B$1000,0),MATCH(data!E$1,Haver_Q!$B$1:$BD$1,0))),100*INDEX(Haver_Q!$B$1:$BD$1000,MATCH(data!$A123,Haver_Q!$B$1:$B$1000,0),MATCH(data!E$1,Haver_Q!$B$1:$BD$1,0)),"na")</f>
        <v>na</v>
      </c>
      <c r="F123" t="str">
        <f>IF(ISNUMBER(INDEX(Haver_Q!$B$1:$BD$1000,MATCH(data!$A123,Haver_Q!$B$1:$B$1000,0),MATCH(data!F$1,Haver_Q!$B$1:$BD$1,0))),100*INDEX(Haver_Q!$B$1:$BD$1000,MATCH(data!$A123,Haver_Q!$B$1:$B$1000,0),MATCH(data!F$1,Haver_Q!$B$1:$BD$1,0)),"na")</f>
        <v>na</v>
      </c>
      <c r="G123" t="str">
        <f>IF(ISNUMBER(INDEX(Haver_Q!$B$1:$BD$1000,MATCH(data!$A123,Haver_Q!$B$1:$B$1000,0),MATCH(data!G$1,Haver_Q!$B$1:$BD$1,0))),100*INDEX(Haver_Q!$B$1:$BD$1000,MATCH(data!$A123,Haver_Q!$B$1:$B$1000,0),MATCH(data!G$1,Haver_Q!$B$1:$BD$1,0)),"na")</f>
        <v>na</v>
      </c>
      <c r="H123" t="str">
        <f>IF(ISNUMBER(INDEX(Haver_Q!$B$1:$BD$1000,MATCH(data!$A123,Haver_Q!$B$1:$B$1000,0),MATCH(data!H$1,Haver_Q!$B$1:$BD$1,0))),100*INDEX(Haver_Q!$B$1:$BD$1000,MATCH(data!$A123,Haver_Q!$B$1:$B$1000,0),MATCH(data!H$1,Haver_Q!$B$1:$BD$1,0)),"na")</f>
        <v>na</v>
      </c>
      <c r="I123" s="3">
        <f>IF(ISNUMBER(Bloomberg_m!C139),Bloomberg_m!C139,"na")</f>
        <v>2678</v>
      </c>
      <c r="J123" s="3" t="str">
        <f>IF(ISNUMBER(Bloomberg_m!D139),Bloomberg_m!D139,"na")</f>
        <v>na</v>
      </c>
      <c r="K123" s="3" t="str">
        <f>IF(ISNUMBER(Bloomberg_m!E139),Bloomberg_m!E139,"na")</f>
        <v>na</v>
      </c>
      <c r="L123" s="3">
        <f>IF(ISNUMBER(Bloomberg_m!L139),Bloomberg_m!L139,"na")</f>
        <v>76.41</v>
      </c>
      <c r="M123">
        <f>IF(ISNUMBER(INDEX(Haver_M!$B$1:$ZN$1000,MATCH(data!$A123,Haver_M!$B$1:$B$1000,0),MATCH(data!M$1,Haver_M!$B$1:$ZN$1,0))),INDEX(Haver_M!$B$1:$ZN$1000,MATCH(data!$A123,Haver_M!$B$1:$B$1000,0),MATCH(data!M$1,Haver_M!$B$1:$ZN$1,0)),"na")</f>
        <v>4.5</v>
      </c>
      <c r="N123">
        <f>IF(ISNUMBER(INDEX(Haver_M!$B$1:$ZN$1000,MATCH(data!$A123,Haver_M!$B$1:$B$1000,0),MATCH(data!N$1,Haver_M!$B$1:$ZN$1,0))),INDEX(Haver_M!$B$1:$ZN$1000,MATCH(data!$A123,Haver_M!$B$1:$B$1000,0),MATCH(data!N$1,Haver_M!$B$1:$ZN$1,0)),"na")</f>
        <v>7.6519000000000004</v>
      </c>
      <c r="O123">
        <f>IF(ISNUMBER(INDEX(Haver_M!$B$1:$ZN$1000,MATCH(data!$A123,Haver_M!$B$1:$B$1000,0),MATCH(data!O$1,Haver_M!$B$1:$ZN$1,0))),INDEX(Haver_M!$B$1:$ZN$1000,MATCH(data!$A123,Haver_M!$B$1:$B$1000,0),MATCH(data!O$1,Haver_M!$B$1:$ZN$1,0)),"na")</f>
        <v>98.017039999999994</v>
      </c>
      <c r="P123">
        <f>IF(ISNUMBER(INDEX(Haver_M!$B$1:$ZN$1000,MATCH(data!$A123,Haver_M!$B$1:$B$1000,0),MATCH(data!P$1,Haver_M!$B$1:$ZN$1,0))),INDEX(Haver_M!$B$1:$ZN$1000,MATCH(data!$A123,Haver_M!$B$1:$B$1000,0),MATCH(data!P$1,Haver_M!$B$1:$ZN$1,0)),"na")</f>
        <v>72.497100000000003</v>
      </c>
      <c r="Q123">
        <f>IF(ISNUMBER(INDEX(Haver_M!$B$1:$ZN$1000,MATCH(data!$A123,Haver_M!$B$1:$B$1000,0),MATCH(data!Q$1,Haver_M!$B$1:$ZN$1,0))),INDEX(Haver_M!$B$1:$ZN$1000,MATCH(data!$A123,Haver_M!$B$1:$B$1000,0),MATCH(data!Q$1,Haver_M!$B$1:$ZN$1,0)),"na")</f>
        <v>76.190100000000001</v>
      </c>
      <c r="R123">
        <f>IF(ISNUMBER(INDEX(Haver_M!$B$1:$ZN$1000,MATCH(data!$A123,Haver_M!$B$1:$B$1000,0),MATCH(data!R$1,Haver_M!$B$1:$ZN$1,0))),INDEX(Haver_M!$B$1:$ZN$1000,MATCH(data!$A123,Haver_M!$B$1:$B$1000,0),MATCH(data!R$1,Haver_M!$B$1:$ZN$1,0)),"na")</f>
        <v>93.335300000000004</v>
      </c>
      <c r="S123">
        <f>IF(ISNUMBER(INDEX(Haver_M!$B$1:$ZN$1000,MATCH(data!$A123,Haver_M!$B$1:$B$1000,0),MATCH(data!S$1,Haver_M!$B$1:$ZN$1,0))),INDEX(Haver_M!$B$1:$ZN$1000,MATCH(data!$A123,Haver_M!$B$1:$B$1000,0),MATCH(data!S$1,Haver_M!$B$1:$ZN$1,0)),"na")</f>
        <v>99.846599999999995</v>
      </c>
      <c r="T123">
        <f>IF(ISNUMBER(INDEX(Haver_M!$B$1:$ZN$1000,MATCH(data!$A123,Haver_M!$B$1:$B$1000,0),MATCH(data!T$1,Haver_M!$B$1:$ZN$1,0))),INDEX(Haver_M!$B$1:$ZN$1000,MATCH(data!$A123,Haver_M!$B$1:$B$1000,0),MATCH(data!T$1,Haver_M!$B$1:$ZN$1,0)),"na")</f>
        <v>88.979699999999994</v>
      </c>
      <c r="U123">
        <f>IF(ISNUMBER(INDEX(Haver_M!$B$1:$ZN$1000,MATCH(data!$A123,Haver_M!$B$1:$B$1000,0),MATCH(data!U$1,Haver_M!$B$1:$ZN$1,0))),INDEX(Haver_M!$B$1:$ZN$1000,MATCH(data!$A123,Haver_M!$B$1:$B$1000,0),MATCH(data!U$1,Haver_M!$B$1:$ZN$1,0)),"na")</f>
        <v>94.921099999999996</v>
      </c>
      <c r="V123">
        <f>IF(ISNUMBER(INDEX(Haver_M!$B$1:$ZN$1000,MATCH(data!$A123,Haver_M!$B$1:$B$1000,0),MATCH(data!V$1,Haver_M!$B$1:$ZN$1,0))),INDEX(Haver_M!$B$1:$ZN$1000,MATCH(data!$A123,Haver_M!$B$1:$B$1000,0),MATCH(data!V$1,Haver_M!$B$1:$ZN$1,0)),"na")</f>
        <v>90.548100000000005</v>
      </c>
      <c r="W123">
        <f>IF(ISNUMBER(INDEX(Haver_M!$B$1:$ZN$1000,MATCH(data!$A123,Haver_M!$B$1:$B$1000,0),MATCH(data!W$1,Haver_M!$B$1:$ZN$1,0))),INDEX(Haver_M!$B$1:$ZN$1000,MATCH(data!$A123,Haver_M!$B$1:$B$1000,0),MATCH(data!W$1,Haver_M!$B$1:$ZN$1,0)),"na")</f>
        <v>5.32</v>
      </c>
      <c r="X123">
        <f>IF(ISNUMBER(INDEX(Haver_M!$B$1:$ZN$1000,MATCH(data!$A123,Haver_M!$B$1:$B$1000,0),MATCH(data!X$1,Haver_M!$B$1:$ZN$1,0))),INDEX(Haver_M!$B$1:$ZN$1000,MATCH(data!$A123,Haver_M!$B$1:$B$1000,0),MATCH(data!X$1,Haver_M!$B$1:$ZN$1,0)),"na")</f>
        <v>99.78</v>
      </c>
      <c r="Y123">
        <f>IF(ISNUMBER(INDEX(Haver_M!$B$1:$ZN$1000,MATCH(data!$A123,Haver_M!$B$1:$B$1000,0),MATCH(data!Y$1,Haver_M!$B$1:$ZN$1,0))),INDEX(Haver_M!$B$1:$ZN$1000,MATCH(data!$A123,Haver_M!$B$1:$B$1000,0),MATCH(data!Y$1,Haver_M!$B$1:$ZN$1,0)),"na")</f>
        <v>100.16</v>
      </c>
      <c r="Z123">
        <f>IF(ISNUMBER(INDEX(Haver_M!$B$1:$ZN$1000,MATCH(data!$A123,Haver_M!$B$1:$B$1000,0),MATCH(data!Z$1,Haver_M!$B$1:$ZN$1,0))),INDEX(Haver_M!$B$1:$ZN$1000,MATCH(data!$A123,Haver_M!$B$1:$B$1000,0),MATCH(data!Z$1,Haver_M!$B$1:$ZN$1,0)),"na")</f>
        <v>93.751300000000001</v>
      </c>
      <c r="AA123">
        <f>IF(ISNUMBER(INDEX(Haver_M!$B$1:$ZN$1000,MATCH(data!$A123,Haver_M!$B$1:$B$1000,0),MATCH(data!AA$1,Haver_M!$B$1:$ZN$1,0))),INDEX(Haver_M!$B$1:$ZN$1000,MATCH(data!$A123,Haver_M!$B$1:$B$1000,0),MATCH(data!AA$1,Haver_M!$B$1:$ZN$1,0)),"na")</f>
        <v>90.665800000000004</v>
      </c>
      <c r="AB123">
        <f>IF(ISNUMBER(INDEX(Haver_M!$B$1:$ZN$1000,MATCH(data!$A123,Haver_M!$B$1:$B$1000,0),MATCH(data!AB$1,Haver_M!$B$1:$ZN$1,0))),INDEX(Haver_M!$B$1:$ZN$1000,MATCH(data!$A123,Haver_M!$B$1:$B$1000,0),MATCH(data!AB$1,Haver_M!$B$1:$ZN$1,0)),"na")</f>
        <v>23132.799999999999</v>
      </c>
      <c r="AC123">
        <f>IF(ISNUMBER(INDEX(Haver_M!$B$1:$ZN$1000,MATCH(data!$A123,Haver_M!$B$1:$B$1000,0),MATCH(data!AC$1,Haver_M!$B$1:$ZN$1,0))),INDEX(Haver_M!$B$1:$ZN$1000,MATCH(data!$A123,Haver_M!$B$1:$B$1000,0),MATCH(data!AC$1,Haver_M!$B$1:$ZN$1,0)),"na")</f>
        <v>23239.8</v>
      </c>
      <c r="AD123">
        <f>IF(ISNUMBER(INDEX(Haver_M!$B$1:$ZN$1000,MATCH(data!$A123,Haver_M!$B$1:$B$1000,0),MATCH(data!AD$1,Haver_M!$B$1:$ZN$1,0))),INDEX(Haver_M!$B$1:$ZN$1000,MATCH(data!$A123,Haver_M!$B$1:$B$1000,0),MATCH(data!AD$1,Haver_M!$B$1:$ZN$1,0)),"na")</f>
        <v>98.78</v>
      </c>
      <c r="AE123">
        <f>IF(ISNUMBER(INDEX(Haver_M!$B$1:$ZN$1000,MATCH(data!$A123,Haver_M!$B$1:$B$1000,0),MATCH(data!AE$1,Haver_M!$B$1:$ZN$1,0))),INDEX(Haver_M!$B$1:$ZN$1000,MATCH(data!$A123,Haver_M!$B$1:$B$1000,0),MATCH(data!AE$1,Haver_M!$B$1:$ZN$1,0)),"na")</f>
        <v>34.5</v>
      </c>
      <c r="AF123">
        <f>IF(ISNUMBER(INDEX(Haver_M!$B$1:$ZN$1000,MATCH(data!$A123,Haver_M!$B$1:$B$1000,0),MATCH(data!AF$1,Haver_M!$B$1:$ZN$1,0))),INDEX(Haver_M!$B$1:$ZN$1000,MATCH(data!$A123,Haver_M!$B$1:$B$1000,0),MATCH(data!AF$1,Haver_M!$B$1:$ZN$1,0)),"na")</f>
        <v>99.51</v>
      </c>
      <c r="AG123" t="str">
        <f>IF(ISNUMBER(INDEX(Haver_M!$B$1:$ZN$1000,MATCH(data!$A123,Haver_M!$B$1:$B$1000,0),MATCH(data!AG$1,Haver_M!$B$1:$ZN$1,0))),INDEX(Haver_M!$B$1:$ZN$1000,MATCH(data!$A123,Haver_M!$B$1:$B$1000,0),MATCH(data!AG$1,Haver_M!$B$1:$ZN$1,0)),"na")</f>
        <v>na</v>
      </c>
      <c r="AH123" t="str">
        <f>IF(ISNUMBER(INDEX(Haver_M!$B$1:$ZN$1000,MATCH(data!$A123,Haver_M!$B$1:$B$1000,0),MATCH(data!AH$1,Haver_M!$B$1:$ZN$1,0))),INDEX(Haver_M!$B$1:$ZN$1000,MATCH(data!$A123,Haver_M!$B$1:$B$1000,0),MATCH(data!AH$1,Haver_M!$B$1:$ZN$1,0)),"na")</f>
        <v>na</v>
      </c>
      <c r="AI123" t="str">
        <f>IF(ISNUMBER(INDEX(Haver_M!$B$1:$ZN$1000,MATCH(data!$A123,Haver_M!$B$1:$B$1000,0),MATCH(data!AI$1,Haver_M!$B$1:$ZN$1,0))),INDEX(Haver_M!$B$1:$ZN$1000,MATCH(data!$A123,Haver_M!$B$1:$B$1000,0),MATCH(data!AI$1,Haver_M!$B$1:$ZN$1,0)),"na")</f>
        <v>na</v>
      </c>
      <c r="AJ123" t="str">
        <f>IF(ISNUMBER(INDEX(Haver_M!$B$1:$ZN$1000,MATCH(data!$A123,Haver_M!$B$1:$B$1000,0),MATCH(data!AJ$1,Haver_M!$B$1:$ZN$1,0))),INDEX(Haver_M!$B$1:$ZN$1000,MATCH(data!$A123,Haver_M!$B$1:$B$1000,0),MATCH(data!AJ$1,Haver_M!$B$1:$ZN$1,0)),"na")</f>
        <v>na</v>
      </c>
      <c r="AK123" t="str">
        <f>IF(ISNUMBER(INDEX(Haver_M!$B$1:$ZN$1000,MATCH(data!$A123,Haver_M!$B$1:$B$1000,0),MATCH(data!AK$1,Haver_M!$B$1:$ZN$1,0))),INDEX(Haver_M!$B$1:$ZN$1000,MATCH(data!$A123,Haver_M!$B$1:$B$1000,0),MATCH(data!AK$1,Haver_M!$B$1:$ZN$1,0)),"na")</f>
        <v>na</v>
      </c>
      <c r="AL123" t="str">
        <f>IF(ISNUMBER(INDEX(Haver_M!$B$1:$ZN$1000,MATCH(data!$A123,Haver_M!$B$1:$B$1000,0),MATCH(data!AL$1,Haver_M!$B$1:$ZN$1,0))),INDEX(Haver_M!$B$1:$ZN$1000,MATCH(data!$A123,Haver_M!$B$1:$B$1000,0),MATCH(data!AL$1,Haver_M!$B$1:$ZN$1,0)),"na")</f>
        <v>na</v>
      </c>
      <c r="AM123" t="str">
        <f>IF(ISNUMBER(INDEX(Haver_M!$B$1:$ZN$1000,MATCH(data!$A123,Haver_M!$B$1:$B$1000,0),MATCH(data!AM$1,Haver_M!$B$1:$ZN$1,0))),INDEX(Haver_M!$B$1:$ZN$1000,MATCH(data!$A123,Haver_M!$B$1:$B$1000,0),MATCH(data!AM$1,Haver_M!$B$1:$ZN$1,0)),"na")</f>
        <v>na</v>
      </c>
      <c r="AN123" t="str">
        <f>IF(ISNUMBER(INDEX(Haver_M!$B$1:$ZN$1000,MATCH(data!$A123,Haver_M!$B$1:$B$1000,0),MATCH(data!AN$1,Haver_M!$B$1:$ZN$1,0))),INDEX(Haver_M!$B$1:$ZN$1000,MATCH(data!$A123,Haver_M!$B$1:$B$1000,0),MATCH(data!AN$1,Haver_M!$B$1:$ZN$1,0)),"na")</f>
        <v>na</v>
      </c>
      <c r="AO123" t="str">
        <f>IF(ISNUMBER(INDEX(Haver_M!$B$1:$ZN$1000,MATCH(data!$A123,Haver_M!$B$1:$B$1000,0),MATCH(data!AO$1,Haver_M!$B$1:$ZN$1,0))),INDEX(Haver_M!$B$1:$ZN$1000,MATCH(data!$A123,Haver_M!$B$1:$B$1000,0),MATCH(data!AO$1,Haver_M!$B$1:$ZN$1,0)),"na")</f>
        <v>na</v>
      </c>
      <c r="AP123" t="str">
        <f>IF(ISNUMBER(INDEX(Haver_M!$B$1:$ZN$1000,MATCH(data!$A123,Haver_M!$B$1:$B$1000,0),MATCH(data!AP$1,Haver_M!$B$1:$ZN$1,0))),INDEX(Haver_M!$B$1:$ZN$1000,MATCH(data!$A123,Haver_M!$B$1:$B$1000,0),MATCH(data!AP$1,Haver_M!$B$1:$ZN$1,0)),"na")</f>
        <v>na</v>
      </c>
      <c r="AQ123" t="str">
        <f>IF(ISNUMBER(INDEX(Haver_M!$B$1:$ZN$1000,MATCH(data!$A123,Haver_M!$B$1:$B$1000,0),MATCH(data!AQ$1,Haver_M!$B$1:$ZN$1,0))),INDEX(Haver_M!$B$1:$ZN$1000,MATCH(data!$A123,Haver_M!$B$1:$B$1000,0),MATCH(data!AQ$1,Haver_M!$B$1:$ZN$1,0)),"na")</f>
        <v>na</v>
      </c>
      <c r="AR123" t="str">
        <f>IF(ISNUMBER(INDEX(Haver_M!$B$1:$ZN$1000,MATCH(data!$A123,Haver_M!$B$1:$B$1000,0),MATCH(data!AR$1,Haver_M!$B$1:$ZN$1,0))),INDEX(Haver_M!$B$1:$ZN$1000,MATCH(data!$A123,Haver_M!$B$1:$B$1000,0),MATCH(data!AR$1,Haver_M!$B$1:$ZN$1,0)),"na")</f>
        <v>na</v>
      </c>
      <c r="AS123">
        <f>IF(ISNUMBER(INDEX(Haver_M!$B$1:$ZN$1000,MATCH(data!$A123,Haver_M!$B$1:$B$1000,0),MATCH(data!AS$1,Haver_M!$B$1:$ZN$1,0))),INDEX(Haver_M!$B$1:$ZN$1000,MATCH(data!$A123,Haver_M!$B$1:$B$1000,0),MATCH(data!AS$1,Haver_M!$B$1:$ZN$1,0)),"na")</f>
        <v>31333.599999999999</v>
      </c>
      <c r="AT123">
        <f>IF(ISNUMBER(INDEX(Haver_M!$B$1:$ZN$1000,MATCH(data!$A123,Haver_M!$B$1:$B$1000,0),MATCH(data!AT$1,Haver_M!$B$1:$ZN$1,0))),INDEX(Haver_M!$B$1:$ZN$1000,MATCH(data!$A123,Haver_M!$B$1:$B$1000,0),MATCH(data!AT$1,Haver_M!$B$1:$ZN$1,0)),"na")</f>
        <v>92.114999999999995</v>
      </c>
      <c r="AU123">
        <f>IF(ISNUMBER(INDEX(Haver_M!$B$1:$ZN$1000,MATCH(data!$A123,Haver_M!$B$1:$B$1000,0),MATCH(data!AU$1,Haver_M!$B$1:$ZN$1,0))),INDEX(Haver_M!$B$1:$ZN$1000,MATCH(data!$A123,Haver_M!$B$1:$B$1000,0),MATCH(data!AU$1,Haver_M!$B$1:$ZN$1,0)),"na")</f>
        <v>90.048619000000002</v>
      </c>
      <c r="AV123">
        <f>IF(ISNUMBER(INDEX(Haver_M!$B$1:$ZN$1000,MATCH(data!$A123,Haver_M!$B$1:$B$1000,0),MATCH(data!AV$1,Haver_M!$B$1:$ZN$1,0))),INDEX(Haver_M!$B$1:$ZN$1000,MATCH(data!$A123,Haver_M!$B$1:$B$1000,0),MATCH(data!AV$1,Haver_M!$B$1:$ZN$1,0)),"na")</f>
        <v>89.7</v>
      </c>
      <c r="AW123">
        <f>IF(ISNUMBER(INDEX(Haver_M!$B$1:$ZN$1000,MATCH(data!$A123,Haver_M!$B$1:$B$1000,0),MATCH(data!AW$1,Haver_M!$B$1:$ZN$1,0))),INDEX(Haver_M!$B$1:$ZN$1000,MATCH(data!$A123,Haver_M!$B$1:$B$1000,0),MATCH(data!AW$1,Haver_M!$B$1:$ZN$1,0)),"na")</f>
        <v>1033345.6899251598</v>
      </c>
      <c r="AX123">
        <f>IF(ISNUMBER(INDEX(Haver_M!$B$1:$ZN$1000,MATCH(data!$A123,Haver_M!$B$1:$B$1000,0),MATCH(data!AX$1,Haver_M!$B$1:$ZN$1,0))),INDEX(Haver_M!$B$1:$ZN$1000,MATCH(data!$A123,Haver_M!$B$1:$B$1000,0),MATCH(data!AX$1,Haver_M!$B$1:$ZN$1,0)),"na")</f>
        <v>2602</v>
      </c>
      <c r="AY123">
        <f>IF(ISNUMBER(INDEX(Haver_M!$B$1:$ZN$1000,MATCH(data!$A123,Haver_M!$B$1:$B$1000,0),MATCH(data!AY$1,Haver_M!$B$1:$ZN$1,0))),INDEX(Haver_M!$B$1:$ZN$1000,MATCH(data!$A123,Haver_M!$B$1:$B$1000,0),MATCH(data!AY$1,Haver_M!$B$1:$ZN$1,0)),"na")</f>
        <v>1234</v>
      </c>
      <c r="AZ123">
        <f>IF(ISNUMBER(INDEX(Haver_M!$B$1:$ZN$1000,MATCH(data!$A123,Haver_M!$B$1:$B$1000,0),MATCH(data!AZ$1,Haver_M!$B$1:$ZN$1,0))),INDEX(Haver_M!$B$1:$ZN$1000,MATCH(data!$A123,Haver_M!$B$1:$B$1000,0),MATCH(data!AZ$1,Haver_M!$B$1:$ZN$1,0)),"na")</f>
        <v>54.2</v>
      </c>
      <c r="BA123">
        <f>IF(ISNUMBER(INDEX(Haver_M!$B$1:$ZN$1000,MATCH(data!$A123,Haver_M!$B$1:$B$1000,0),MATCH(data!BA$1,Haver_M!$B$1:$ZN$1,0))),INDEX(Haver_M!$B$1:$ZN$1000,MATCH(data!$A123,Haver_M!$B$1:$B$1000,0),MATCH(data!BA$1,Haver_M!$B$1:$ZN$1,0)),"na")</f>
        <v>48.721101721202693</v>
      </c>
      <c r="BB123" t="str">
        <f>IF(ISNUMBER(INDEX(Haver_M!$B$1:$ZN$1000,MATCH(data!$A123,Haver_M!$B$1:$B$1000,0),MATCH(data!BB$1,Haver_M!$B$1:$ZN$1,0))),INDEX(Haver_M!$B$1:$ZN$1000,MATCH(data!$A123,Haver_M!$B$1:$B$1000,0),MATCH(data!BB$1,Haver_M!$B$1:$ZN$1,0)),"")</f>
        <v/>
      </c>
    </row>
    <row r="124" spans="1:54" x14ac:dyDescent="0.25">
      <c r="A124" s="2">
        <v>40268</v>
      </c>
      <c r="B124">
        <f>IF(ISNUMBER(INDEX(Haver_Q!$B$1:$BD$1000,MATCH(data!$A124,Haver_Q!$B$1:$B$1000,0),MATCH(data!B$1,Haver_Q!$B$1:$BD$1,0))),100*INDEX(Haver_Q!$B$1:$BD$1000,MATCH(data!$A124,Haver_Q!$B$1:$B$1000,0),MATCH(data!B$1,Haver_Q!$B$1:$BD$1,0)),"na")</f>
        <v>4.3259774769206061</v>
      </c>
      <c r="C124">
        <f>IF(ISNUMBER(INDEX(Haver_Q!$B$1:$BD$1000,MATCH(data!$A124,Haver_Q!$B$1:$B$1000,0),MATCH(data!C$1,Haver_Q!$B$1:$BD$1,0))),100*INDEX(Haver_Q!$B$1:$BD$1000,MATCH(data!$A124,Haver_Q!$B$1:$B$1000,0),MATCH(data!C$1,Haver_Q!$B$1:$BD$1,0)),"na")</f>
        <v>-0.25801095640549665</v>
      </c>
      <c r="D124">
        <f>IF(ISNUMBER(INDEX(Haver_Q!$B$1:$BD$1000,MATCH(data!$A124,Haver_Q!$B$1:$B$1000,0),MATCH(data!D$1,Haver_Q!$B$1:$BD$1,0))),100*INDEX(Haver_Q!$B$1:$BD$1000,MATCH(data!$A124,Haver_Q!$B$1:$B$1000,0),MATCH(data!D$1,Haver_Q!$B$1:$BD$1,0)),"na")</f>
        <v>-1.2767871072693393</v>
      </c>
      <c r="E124">
        <f>IF(ISNUMBER(INDEX(Haver_Q!$B$1:$BD$1000,MATCH(data!$A124,Haver_Q!$B$1:$B$1000,0),MATCH(data!E$1,Haver_Q!$B$1:$BD$1,0))),100*INDEX(Haver_Q!$B$1:$BD$1000,MATCH(data!$A124,Haver_Q!$B$1:$B$1000,0),MATCH(data!E$1,Haver_Q!$B$1:$BD$1,0)),"na")</f>
        <v>14.649309110123166</v>
      </c>
      <c r="F124">
        <f>IF(ISNUMBER(INDEX(Haver_Q!$B$1:$BD$1000,MATCH(data!$A124,Haver_Q!$B$1:$B$1000,0),MATCH(data!F$1,Haver_Q!$B$1:$BD$1,0))),100*INDEX(Haver_Q!$B$1:$BD$1000,MATCH(data!$A124,Haver_Q!$B$1:$B$1000,0),MATCH(data!F$1,Haver_Q!$B$1:$BD$1,0)),"na")</f>
        <v>25.575882147617413</v>
      </c>
      <c r="G124">
        <f>IF(ISNUMBER(INDEX(Haver_Q!$B$1:$BD$1000,MATCH(data!$A124,Haver_Q!$B$1:$B$1000,0),MATCH(data!G$1,Haver_Q!$B$1:$BD$1,0))),100*INDEX(Haver_Q!$B$1:$BD$1000,MATCH(data!$A124,Haver_Q!$B$1:$B$1000,0),MATCH(data!G$1,Haver_Q!$B$1:$BD$1,0)),"na")</f>
        <v>17.598177300325514</v>
      </c>
      <c r="H124">
        <f>IF(ISNUMBER(INDEX(Haver_Q!$B$1:$BD$1000,MATCH(data!$A124,Haver_Q!$B$1:$B$1000,0),MATCH(data!H$1,Haver_Q!$B$1:$BD$1,0))),100*INDEX(Haver_Q!$B$1:$BD$1000,MATCH(data!$A124,Haver_Q!$B$1:$B$1000,0),MATCH(data!H$1,Haver_Q!$B$1:$BD$1,0)),"na")</f>
        <v>535.87045885478051</v>
      </c>
      <c r="I124" s="3">
        <f>IF(ISNUMBER(Bloomberg_m!C140),Bloomberg_m!C140,"na")</f>
        <v>3207</v>
      </c>
      <c r="J124" s="3" t="str">
        <f>IF(ISNUMBER(Bloomberg_m!D140),Bloomberg_m!D140,"na")</f>
        <v>na</v>
      </c>
      <c r="K124" s="3" t="str">
        <f>IF(ISNUMBER(Bloomberg_m!E140),Bloomberg_m!E140,"na")</f>
        <v>na</v>
      </c>
      <c r="L124" s="3">
        <f>IF(ISNUMBER(Bloomberg_m!L140),Bloomberg_m!L140,"na")</f>
        <v>81.25</v>
      </c>
      <c r="M124">
        <f>IF(ISNUMBER(INDEX(Haver_M!$B$1:$ZN$1000,MATCH(data!$A124,Haver_M!$B$1:$B$1000,0),MATCH(data!M$1,Haver_M!$B$1:$ZN$1,0))),INDEX(Haver_M!$B$1:$ZN$1000,MATCH(data!$A124,Haver_M!$B$1:$B$1000,0),MATCH(data!M$1,Haver_M!$B$1:$ZN$1,0)),"na")</f>
        <v>4.5</v>
      </c>
      <c r="N124">
        <f>IF(ISNUMBER(INDEX(Haver_M!$B$1:$ZN$1000,MATCH(data!$A124,Haver_M!$B$1:$B$1000,0),MATCH(data!N$1,Haver_M!$B$1:$ZN$1,0))),INDEX(Haver_M!$B$1:$ZN$1000,MATCH(data!$A124,Haver_M!$B$1:$B$1000,0),MATCH(data!N$1,Haver_M!$B$1:$ZN$1,0)),"na")</f>
        <v>7.6040999999999999</v>
      </c>
      <c r="O124">
        <f>IF(ISNUMBER(INDEX(Haver_M!$B$1:$ZN$1000,MATCH(data!$A124,Haver_M!$B$1:$B$1000,0),MATCH(data!O$1,Haver_M!$B$1:$ZN$1,0))),INDEX(Haver_M!$B$1:$ZN$1000,MATCH(data!$A124,Haver_M!$B$1:$B$1000,0),MATCH(data!O$1,Haver_M!$B$1:$ZN$1,0)),"na")</f>
        <v>101.27856</v>
      </c>
      <c r="P124">
        <f>IF(ISNUMBER(INDEX(Haver_M!$B$1:$ZN$1000,MATCH(data!$A124,Haver_M!$B$1:$B$1000,0),MATCH(data!P$1,Haver_M!$B$1:$ZN$1,0))),INDEX(Haver_M!$B$1:$ZN$1000,MATCH(data!$A124,Haver_M!$B$1:$B$1000,0),MATCH(data!P$1,Haver_M!$B$1:$ZN$1,0)),"na")</f>
        <v>72.990200000000002</v>
      </c>
      <c r="Q124">
        <f>IF(ISNUMBER(INDEX(Haver_M!$B$1:$ZN$1000,MATCH(data!$A124,Haver_M!$B$1:$B$1000,0),MATCH(data!Q$1,Haver_M!$B$1:$ZN$1,0))),INDEX(Haver_M!$B$1:$ZN$1000,MATCH(data!$A124,Haver_M!$B$1:$B$1000,0),MATCH(data!Q$1,Haver_M!$B$1:$ZN$1,0)),"na")</f>
        <v>76.415599999999998</v>
      </c>
      <c r="R124">
        <f>IF(ISNUMBER(INDEX(Haver_M!$B$1:$ZN$1000,MATCH(data!$A124,Haver_M!$B$1:$B$1000,0),MATCH(data!R$1,Haver_M!$B$1:$ZN$1,0))),INDEX(Haver_M!$B$1:$ZN$1000,MATCH(data!$A124,Haver_M!$B$1:$B$1000,0),MATCH(data!R$1,Haver_M!$B$1:$ZN$1,0)),"na")</f>
        <v>95.075699999999998</v>
      </c>
      <c r="S124">
        <f>IF(ISNUMBER(INDEX(Haver_M!$B$1:$ZN$1000,MATCH(data!$A124,Haver_M!$B$1:$B$1000,0),MATCH(data!S$1,Haver_M!$B$1:$ZN$1,0))),INDEX(Haver_M!$B$1:$ZN$1000,MATCH(data!$A124,Haver_M!$B$1:$B$1000,0),MATCH(data!S$1,Haver_M!$B$1:$ZN$1,0)),"na")</f>
        <v>99.537199999999999</v>
      </c>
      <c r="T124">
        <f>IF(ISNUMBER(INDEX(Haver_M!$B$1:$ZN$1000,MATCH(data!$A124,Haver_M!$B$1:$B$1000,0),MATCH(data!T$1,Haver_M!$B$1:$ZN$1,0))),INDEX(Haver_M!$B$1:$ZN$1000,MATCH(data!$A124,Haver_M!$B$1:$B$1000,0),MATCH(data!T$1,Haver_M!$B$1:$ZN$1,0)),"na")</f>
        <v>90.114599999999996</v>
      </c>
      <c r="U124">
        <f>IF(ISNUMBER(INDEX(Haver_M!$B$1:$ZN$1000,MATCH(data!$A124,Haver_M!$B$1:$B$1000,0),MATCH(data!U$1,Haver_M!$B$1:$ZN$1,0))),INDEX(Haver_M!$B$1:$ZN$1000,MATCH(data!$A124,Haver_M!$B$1:$B$1000,0),MATCH(data!U$1,Haver_M!$B$1:$ZN$1,0)),"na")</f>
        <v>95.955100000000002</v>
      </c>
      <c r="V124">
        <f>IF(ISNUMBER(INDEX(Haver_M!$B$1:$ZN$1000,MATCH(data!$A124,Haver_M!$B$1:$B$1000,0),MATCH(data!V$1,Haver_M!$B$1:$ZN$1,0))),INDEX(Haver_M!$B$1:$ZN$1000,MATCH(data!$A124,Haver_M!$B$1:$B$1000,0),MATCH(data!V$1,Haver_M!$B$1:$ZN$1,0)),"na")</f>
        <v>92.671499999999995</v>
      </c>
      <c r="W124">
        <f>IF(ISNUMBER(INDEX(Haver_M!$B$1:$ZN$1000,MATCH(data!$A124,Haver_M!$B$1:$B$1000,0),MATCH(data!W$1,Haver_M!$B$1:$ZN$1,0))),INDEX(Haver_M!$B$1:$ZN$1000,MATCH(data!$A124,Haver_M!$B$1:$B$1000,0),MATCH(data!W$1,Haver_M!$B$1:$ZN$1,0)),"na")</f>
        <v>5.29</v>
      </c>
      <c r="X124">
        <f>IF(ISNUMBER(INDEX(Haver_M!$B$1:$ZN$1000,MATCH(data!$A124,Haver_M!$B$1:$B$1000,0),MATCH(data!X$1,Haver_M!$B$1:$ZN$1,0))),INDEX(Haver_M!$B$1:$ZN$1000,MATCH(data!$A124,Haver_M!$B$1:$B$1000,0),MATCH(data!X$1,Haver_M!$B$1:$ZN$1,0)),"na")</f>
        <v>101.28</v>
      </c>
      <c r="Y124">
        <f>IF(ISNUMBER(INDEX(Haver_M!$B$1:$ZN$1000,MATCH(data!$A124,Haver_M!$B$1:$B$1000,0),MATCH(data!Y$1,Haver_M!$B$1:$ZN$1,0))),INDEX(Haver_M!$B$1:$ZN$1000,MATCH(data!$A124,Haver_M!$B$1:$B$1000,0),MATCH(data!Y$1,Haver_M!$B$1:$ZN$1,0)),"na")</f>
        <v>100.33</v>
      </c>
      <c r="Z124">
        <f>IF(ISNUMBER(INDEX(Haver_M!$B$1:$ZN$1000,MATCH(data!$A124,Haver_M!$B$1:$B$1000,0),MATCH(data!Z$1,Haver_M!$B$1:$ZN$1,0))),INDEX(Haver_M!$B$1:$ZN$1000,MATCH(data!$A124,Haver_M!$B$1:$B$1000,0),MATCH(data!Z$1,Haver_M!$B$1:$ZN$1,0)),"na")</f>
        <v>94.702799999999996</v>
      </c>
      <c r="AA124">
        <f>IF(ISNUMBER(INDEX(Haver_M!$B$1:$ZN$1000,MATCH(data!$A124,Haver_M!$B$1:$B$1000,0),MATCH(data!AA$1,Haver_M!$B$1:$ZN$1,0))),INDEX(Haver_M!$B$1:$ZN$1000,MATCH(data!$A124,Haver_M!$B$1:$B$1000,0),MATCH(data!AA$1,Haver_M!$B$1:$ZN$1,0)),"na")</f>
        <v>91.943899999999999</v>
      </c>
      <c r="AB124">
        <f>IF(ISNUMBER(INDEX(Haver_M!$B$1:$ZN$1000,MATCH(data!$A124,Haver_M!$B$1:$B$1000,0),MATCH(data!AB$1,Haver_M!$B$1:$ZN$1,0))),INDEX(Haver_M!$B$1:$ZN$1000,MATCH(data!$A124,Haver_M!$B$1:$B$1000,0),MATCH(data!AB$1,Haver_M!$B$1:$ZN$1,0)),"na")</f>
        <v>23983.8</v>
      </c>
      <c r="AC124">
        <f>IF(ISNUMBER(INDEX(Haver_M!$B$1:$ZN$1000,MATCH(data!$A124,Haver_M!$B$1:$B$1000,0),MATCH(data!AC$1,Haver_M!$B$1:$ZN$1,0))),INDEX(Haver_M!$B$1:$ZN$1000,MATCH(data!$A124,Haver_M!$B$1:$B$1000,0),MATCH(data!AC$1,Haver_M!$B$1:$ZN$1,0)),"na")</f>
        <v>24427.4</v>
      </c>
      <c r="AD124">
        <f>IF(ISNUMBER(INDEX(Haver_M!$B$1:$ZN$1000,MATCH(data!$A124,Haver_M!$B$1:$B$1000,0),MATCH(data!AD$1,Haver_M!$B$1:$ZN$1,0))),INDEX(Haver_M!$B$1:$ZN$1000,MATCH(data!$A124,Haver_M!$B$1:$B$1000,0),MATCH(data!AD$1,Haver_M!$B$1:$ZN$1,0)),"na")</f>
        <v>98.93</v>
      </c>
      <c r="AE124">
        <f>IF(ISNUMBER(INDEX(Haver_M!$B$1:$ZN$1000,MATCH(data!$A124,Haver_M!$B$1:$B$1000,0),MATCH(data!AE$1,Haver_M!$B$1:$ZN$1,0))),INDEX(Haver_M!$B$1:$ZN$1000,MATCH(data!$A124,Haver_M!$B$1:$B$1000,0),MATCH(data!AE$1,Haver_M!$B$1:$ZN$1,0)),"na")</f>
        <v>34.700000000000003</v>
      </c>
      <c r="AF124">
        <f>IF(ISNUMBER(INDEX(Haver_M!$B$1:$ZN$1000,MATCH(data!$A124,Haver_M!$B$1:$B$1000,0),MATCH(data!AF$1,Haver_M!$B$1:$ZN$1,0))),INDEX(Haver_M!$B$1:$ZN$1000,MATCH(data!$A124,Haver_M!$B$1:$B$1000,0),MATCH(data!AF$1,Haver_M!$B$1:$ZN$1,0)),"na")</f>
        <v>100.04</v>
      </c>
      <c r="AG124" t="str">
        <f>IF(ISNUMBER(INDEX(Haver_M!$B$1:$ZN$1000,MATCH(data!$A124,Haver_M!$B$1:$B$1000,0),MATCH(data!AG$1,Haver_M!$B$1:$ZN$1,0))),INDEX(Haver_M!$B$1:$ZN$1000,MATCH(data!$A124,Haver_M!$B$1:$B$1000,0),MATCH(data!AG$1,Haver_M!$B$1:$ZN$1,0)),"na")</f>
        <v>na</v>
      </c>
      <c r="AH124" t="str">
        <f>IF(ISNUMBER(INDEX(Haver_M!$B$1:$ZN$1000,MATCH(data!$A124,Haver_M!$B$1:$B$1000,0),MATCH(data!AH$1,Haver_M!$B$1:$ZN$1,0))),INDEX(Haver_M!$B$1:$ZN$1000,MATCH(data!$A124,Haver_M!$B$1:$B$1000,0),MATCH(data!AH$1,Haver_M!$B$1:$ZN$1,0)),"na")</f>
        <v>na</v>
      </c>
      <c r="AI124" t="str">
        <f>IF(ISNUMBER(INDEX(Haver_M!$B$1:$ZN$1000,MATCH(data!$A124,Haver_M!$B$1:$B$1000,0),MATCH(data!AI$1,Haver_M!$B$1:$ZN$1,0))),INDEX(Haver_M!$B$1:$ZN$1000,MATCH(data!$A124,Haver_M!$B$1:$B$1000,0),MATCH(data!AI$1,Haver_M!$B$1:$ZN$1,0)),"na")</f>
        <v>na</v>
      </c>
      <c r="AJ124" t="str">
        <f>IF(ISNUMBER(INDEX(Haver_M!$B$1:$ZN$1000,MATCH(data!$A124,Haver_M!$B$1:$B$1000,0),MATCH(data!AJ$1,Haver_M!$B$1:$ZN$1,0))),INDEX(Haver_M!$B$1:$ZN$1000,MATCH(data!$A124,Haver_M!$B$1:$B$1000,0),MATCH(data!AJ$1,Haver_M!$B$1:$ZN$1,0)),"na")</f>
        <v>na</v>
      </c>
      <c r="AK124" t="str">
        <f>IF(ISNUMBER(INDEX(Haver_M!$B$1:$ZN$1000,MATCH(data!$A124,Haver_M!$B$1:$B$1000,0),MATCH(data!AK$1,Haver_M!$B$1:$ZN$1,0))),INDEX(Haver_M!$B$1:$ZN$1000,MATCH(data!$A124,Haver_M!$B$1:$B$1000,0),MATCH(data!AK$1,Haver_M!$B$1:$ZN$1,0)),"na")</f>
        <v>na</v>
      </c>
      <c r="AL124" t="str">
        <f>IF(ISNUMBER(INDEX(Haver_M!$B$1:$ZN$1000,MATCH(data!$A124,Haver_M!$B$1:$B$1000,0),MATCH(data!AL$1,Haver_M!$B$1:$ZN$1,0))),INDEX(Haver_M!$B$1:$ZN$1000,MATCH(data!$A124,Haver_M!$B$1:$B$1000,0),MATCH(data!AL$1,Haver_M!$B$1:$ZN$1,0)),"na")</f>
        <v>na</v>
      </c>
      <c r="AM124" t="str">
        <f>IF(ISNUMBER(INDEX(Haver_M!$B$1:$ZN$1000,MATCH(data!$A124,Haver_M!$B$1:$B$1000,0),MATCH(data!AM$1,Haver_M!$B$1:$ZN$1,0))),INDEX(Haver_M!$B$1:$ZN$1000,MATCH(data!$A124,Haver_M!$B$1:$B$1000,0),MATCH(data!AM$1,Haver_M!$B$1:$ZN$1,0)),"na")</f>
        <v>na</v>
      </c>
      <c r="AN124" t="str">
        <f>IF(ISNUMBER(INDEX(Haver_M!$B$1:$ZN$1000,MATCH(data!$A124,Haver_M!$B$1:$B$1000,0),MATCH(data!AN$1,Haver_M!$B$1:$ZN$1,0))),INDEX(Haver_M!$B$1:$ZN$1000,MATCH(data!$A124,Haver_M!$B$1:$B$1000,0),MATCH(data!AN$1,Haver_M!$B$1:$ZN$1,0)),"na")</f>
        <v>na</v>
      </c>
      <c r="AO124" t="str">
        <f>IF(ISNUMBER(INDEX(Haver_M!$B$1:$ZN$1000,MATCH(data!$A124,Haver_M!$B$1:$B$1000,0),MATCH(data!AO$1,Haver_M!$B$1:$ZN$1,0))),INDEX(Haver_M!$B$1:$ZN$1000,MATCH(data!$A124,Haver_M!$B$1:$B$1000,0),MATCH(data!AO$1,Haver_M!$B$1:$ZN$1,0)),"na")</f>
        <v>na</v>
      </c>
      <c r="AP124" t="str">
        <f>IF(ISNUMBER(INDEX(Haver_M!$B$1:$ZN$1000,MATCH(data!$A124,Haver_M!$B$1:$B$1000,0),MATCH(data!AP$1,Haver_M!$B$1:$ZN$1,0))),INDEX(Haver_M!$B$1:$ZN$1000,MATCH(data!$A124,Haver_M!$B$1:$B$1000,0),MATCH(data!AP$1,Haver_M!$B$1:$ZN$1,0)),"na")</f>
        <v>na</v>
      </c>
      <c r="AQ124" t="str">
        <f>IF(ISNUMBER(INDEX(Haver_M!$B$1:$ZN$1000,MATCH(data!$A124,Haver_M!$B$1:$B$1000,0),MATCH(data!AQ$1,Haver_M!$B$1:$ZN$1,0))),INDEX(Haver_M!$B$1:$ZN$1000,MATCH(data!$A124,Haver_M!$B$1:$B$1000,0),MATCH(data!AQ$1,Haver_M!$B$1:$ZN$1,0)),"na")</f>
        <v>na</v>
      </c>
      <c r="AR124" t="str">
        <f>IF(ISNUMBER(INDEX(Haver_M!$B$1:$ZN$1000,MATCH(data!$A124,Haver_M!$B$1:$B$1000,0),MATCH(data!AR$1,Haver_M!$B$1:$ZN$1,0))),INDEX(Haver_M!$B$1:$ZN$1000,MATCH(data!$A124,Haver_M!$B$1:$B$1000,0),MATCH(data!AR$1,Haver_M!$B$1:$ZN$1,0)),"na")</f>
        <v>na</v>
      </c>
      <c r="AS124">
        <f>IF(ISNUMBER(INDEX(Haver_M!$B$1:$ZN$1000,MATCH(data!$A124,Haver_M!$B$1:$B$1000,0),MATCH(data!AS$1,Haver_M!$B$1:$ZN$1,0))),INDEX(Haver_M!$B$1:$ZN$1000,MATCH(data!$A124,Haver_M!$B$1:$B$1000,0),MATCH(data!AS$1,Haver_M!$B$1:$ZN$1,0)),"na")</f>
        <v>32777.58</v>
      </c>
      <c r="AT124">
        <f>IF(ISNUMBER(INDEX(Haver_M!$B$1:$ZN$1000,MATCH(data!$A124,Haver_M!$B$1:$B$1000,0),MATCH(data!AT$1,Haver_M!$B$1:$ZN$1,0))),INDEX(Haver_M!$B$1:$ZN$1000,MATCH(data!$A124,Haver_M!$B$1:$B$1000,0),MATCH(data!AT$1,Haver_M!$B$1:$ZN$1,0)),"na")</f>
        <v>92.546000000000006</v>
      </c>
      <c r="AU124">
        <f>IF(ISNUMBER(INDEX(Haver_M!$B$1:$ZN$1000,MATCH(data!$A124,Haver_M!$B$1:$B$1000,0),MATCH(data!AU$1,Haver_M!$B$1:$ZN$1,0))),INDEX(Haver_M!$B$1:$ZN$1000,MATCH(data!$A124,Haver_M!$B$1:$B$1000,0),MATCH(data!AU$1,Haver_M!$B$1:$ZN$1,0)),"na")</f>
        <v>91.236202000000006</v>
      </c>
      <c r="AV124">
        <f>IF(ISNUMBER(INDEX(Haver_M!$B$1:$ZN$1000,MATCH(data!$A124,Haver_M!$B$1:$B$1000,0),MATCH(data!AV$1,Haver_M!$B$1:$ZN$1,0))),INDEX(Haver_M!$B$1:$ZN$1000,MATCH(data!$A124,Haver_M!$B$1:$B$1000,0),MATCH(data!AV$1,Haver_M!$B$1:$ZN$1,0)),"na")</f>
        <v>92.5</v>
      </c>
      <c r="AW124">
        <f>IF(ISNUMBER(INDEX(Haver_M!$B$1:$ZN$1000,MATCH(data!$A124,Haver_M!$B$1:$B$1000,0),MATCH(data!AW$1,Haver_M!$B$1:$ZN$1,0))),INDEX(Haver_M!$B$1:$ZN$1000,MATCH(data!$A124,Haver_M!$B$1:$B$1000,0),MATCH(data!AW$1,Haver_M!$B$1:$ZN$1,0)),"na")</f>
        <v>1020661.3695774438</v>
      </c>
      <c r="AX124">
        <f>IF(ISNUMBER(INDEX(Haver_M!$B$1:$ZN$1000,MATCH(data!$A124,Haver_M!$B$1:$B$1000,0),MATCH(data!AX$1,Haver_M!$B$1:$ZN$1,0))),INDEX(Haver_M!$B$1:$ZN$1000,MATCH(data!$A124,Haver_M!$B$1:$B$1000,0),MATCH(data!AX$1,Haver_M!$B$1:$ZN$1,0)),"na")</f>
        <v>2589</v>
      </c>
      <c r="AY124">
        <f>IF(ISNUMBER(INDEX(Haver_M!$B$1:$ZN$1000,MATCH(data!$A124,Haver_M!$B$1:$B$1000,0),MATCH(data!AY$1,Haver_M!$B$1:$ZN$1,0))),INDEX(Haver_M!$B$1:$ZN$1000,MATCH(data!$A124,Haver_M!$B$1:$B$1000,0),MATCH(data!AY$1,Haver_M!$B$1:$ZN$1,0)),"na")</f>
        <v>1331</v>
      </c>
      <c r="AZ124">
        <f>IF(ISNUMBER(INDEX(Haver_M!$B$1:$ZN$1000,MATCH(data!$A124,Haver_M!$B$1:$B$1000,0),MATCH(data!AZ$1,Haver_M!$B$1:$ZN$1,0))),INDEX(Haver_M!$B$1:$ZN$1000,MATCH(data!$A124,Haver_M!$B$1:$B$1000,0),MATCH(data!AZ$1,Haver_M!$B$1:$ZN$1,0)),"na")</f>
        <v>54.5</v>
      </c>
      <c r="BA124">
        <f>IF(ISNUMBER(INDEX(Haver_M!$B$1:$ZN$1000,MATCH(data!$A124,Haver_M!$B$1:$B$1000,0),MATCH(data!BA$1,Haver_M!$B$1:$ZN$1,0))),INDEX(Haver_M!$B$1:$ZN$1000,MATCH(data!$A124,Haver_M!$B$1:$B$1000,0),MATCH(data!BA$1,Haver_M!$B$1:$ZN$1,0)),"na")</f>
        <v>53.018856404472231</v>
      </c>
      <c r="BB124" t="str">
        <f>IF(ISNUMBER(INDEX(Haver_M!$B$1:$ZN$1000,MATCH(data!$A124,Haver_M!$B$1:$B$1000,0),MATCH(data!BB$1,Haver_M!$B$1:$ZN$1,0))),INDEX(Haver_M!$B$1:$ZN$1000,MATCH(data!$A124,Haver_M!$B$1:$B$1000,0),MATCH(data!BB$1,Haver_M!$B$1:$ZN$1,0)),"")</f>
        <v/>
      </c>
    </row>
    <row r="125" spans="1:54" x14ac:dyDescent="0.25">
      <c r="A125" s="2">
        <v>40298</v>
      </c>
      <c r="B125" t="str">
        <f>IF(ISNUMBER(INDEX(Haver_Q!$B$1:$BD$1000,MATCH(data!$A125,Haver_Q!$B$1:$B$1000,0),MATCH(data!B$1,Haver_Q!$B$1:$BD$1,0))),100*INDEX(Haver_Q!$B$1:$BD$1000,MATCH(data!$A125,Haver_Q!$B$1:$B$1000,0),MATCH(data!B$1,Haver_Q!$B$1:$BD$1,0)),"na")</f>
        <v>na</v>
      </c>
      <c r="C125" t="str">
        <f>IF(ISNUMBER(INDEX(Haver_Q!$B$1:$BD$1000,MATCH(data!$A125,Haver_Q!$B$1:$B$1000,0),MATCH(data!C$1,Haver_Q!$B$1:$BD$1,0))),100*INDEX(Haver_Q!$B$1:$BD$1000,MATCH(data!$A125,Haver_Q!$B$1:$B$1000,0),MATCH(data!C$1,Haver_Q!$B$1:$BD$1,0)),"na")</f>
        <v>na</v>
      </c>
      <c r="D125" t="str">
        <f>IF(ISNUMBER(INDEX(Haver_Q!$B$1:$BD$1000,MATCH(data!$A125,Haver_Q!$B$1:$B$1000,0),MATCH(data!D$1,Haver_Q!$B$1:$BD$1,0))),100*INDEX(Haver_Q!$B$1:$BD$1000,MATCH(data!$A125,Haver_Q!$B$1:$B$1000,0),MATCH(data!D$1,Haver_Q!$B$1:$BD$1,0)),"na")</f>
        <v>na</v>
      </c>
      <c r="E125" t="str">
        <f>IF(ISNUMBER(INDEX(Haver_Q!$B$1:$BD$1000,MATCH(data!$A125,Haver_Q!$B$1:$B$1000,0),MATCH(data!E$1,Haver_Q!$B$1:$BD$1,0))),100*INDEX(Haver_Q!$B$1:$BD$1000,MATCH(data!$A125,Haver_Q!$B$1:$B$1000,0),MATCH(data!E$1,Haver_Q!$B$1:$BD$1,0)),"na")</f>
        <v>na</v>
      </c>
      <c r="F125" t="str">
        <f>IF(ISNUMBER(INDEX(Haver_Q!$B$1:$BD$1000,MATCH(data!$A125,Haver_Q!$B$1:$B$1000,0),MATCH(data!F$1,Haver_Q!$B$1:$BD$1,0))),100*INDEX(Haver_Q!$B$1:$BD$1000,MATCH(data!$A125,Haver_Q!$B$1:$B$1000,0),MATCH(data!F$1,Haver_Q!$B$1:$BD$1,0)),"na")</f>
        <v>na</v>
      </c>
      <c r="G125" t="str">
        <f>IF(ISNUMBER(INDEX(Haver_Q!$B$1:$BD$1000,MATCH(data!$A125,Haver_Q!$B$1:$B$1000,0),MATCH(data!G$1,Haver_Q!$B$1:$BD$1,0))),100*INDEX(Haver_Q!$B$1:$BD$1000,MATCH(data!$A125,Haver_Q!$B$1:$B$1000,0),MATCH(data!G$1,Haver_Q!$B$1:$BD$1,0)),"na")</f>
        <v>na</v>
      </c>
      <c r="H125" t="str">
        <f>IF(ISNUMBER(INDEX(Haver_Q!$B$1:$BD$1000,MATCH(data!$A125,Haver_Q!$B$1:$B$1000,0),MATCH(data!H$1,Haver_Q!$B$1:$BD$1,0))),100*INDEX(Haver_Q!$B$1:$BD$1000,MATCH(data!$A125,Haver_Q!$B$1:$B$1000,0),MATCH(data!H$1,Haver_Q!$B$1:$BD$1,0)),"na")</f>
        <v>na</v>
      </c>
      <c r="I125" s="3">
        <f>IF(ISNUMBER(Bloomberg_m!C141),Bloomberg_m!C141,"na")</f>
        <v>3043</v>
      </c>
      <c r="J125" s="3" t="str">
        <f>IF(ISNUMBER(Bloomberg_m!D141),Bloomberg_m!D141,"na")</f>
        <v>na</v>
      </c>
      <c r="K125" s="3" t="str">
        <f>IF(ISNUMBER(Bloomberg_m!E141),Bloomberg_m!E141,"na")</f>
        <v>na</v>
      </c>
      <c r="L125" s="3">
        <f>IF(ISNUMBER(Bloomberg_m!L141),Bloomberg_m!L141,"na")</f>
        <v>84.48</v>
      </c>
      <c r="M125">
        <f>IF(ISNUMBER(INDEX(Haver_M!$B$1:$ZN$1000,MATCH(data!$A125,Haver_M!$B$1:$B$1000,0),MATCH(data!M$1,Haver_M!$B$1:$ZN$1,0))),INDEX(Haver_M!$B$1:$ZN$1000,MATCH(data!$A125,Haver_M!$B$1:$B$1000,0),MATCH(data!M$1,Haver_M!$B$1:$ZN$1,0)),"na")</f>
        <v>4.5</v>
      </c>
      <c r="N125">
        <f>IF(ISNUMBER(INDEX(Haver_M!$B$1:$ZN$1000,MATCH(data!$A125,Haver_M!$B$1:$B$1000,0),MATCH(data!N$1,Haver_M!$B$1:$ZN$1,0))),INDEX(Haver_M!$B$1:$ZN$1000,MATCH(data!$A125,Haver_M!$B$1:$B$1000,0),MATCH(data!N$1,Haver_M!$B$1:$ZN$1,0)),"na")</f>
        <v>7.5021000000000004</v>
      </c>
      <c r="O125">
        <f>IF(ISNUMBER(INDEX(Haver_M!$B$1:$ZN$1000,MATCH(data!$A125,Haver_M!$B$1:$B$1000,0),MATCH(data!O$1,Haver_M!$B$1:$ZN$1,0))),INDEX(Haver_M!$B$1:$ZN$1000,MATCH(data!$A125,Haver_M!$B$1:$B$1000,0),MATCH(data!O$1,Haver_M!$B$1:$ZN$1,0)),"na")</f>
        <v>103.42209</v>
      </c>
      <c r="P125">
        <f>IF(ISNUMBER(INDEX(Haver_M!$B$1:$ZN$1000,MATCH(data!$A125,Haver_M!$B$1:$B$1000,0),MATCH(data!P$1,Haver_M!$B$1:$ZN$1,0))),INDEX(Haver_M!$B$1:$ZN$1000,MATCH(data!$A125,Haver_M!$B$1:$B$1000,0),MATCH(data!P$1,Haver_M!$B$1:$ZN$1,0)),"na")</f>
        <v>72.981099999999998</v>
      </c>
      <c r="Q125">
        <f>IF(ISNUMBER(INDEX(Haver_M!$B$1:$ZN$1000,MATCH(data!$A125,Haver_M!$B$1:$B$1000,0),MATCH(data!Q$1,Haver_M!$B$1:$ZN$1,0))),INDEX(Haver_M!$B$1:$ZN$1000,MATCH(data!$A125,Haver_M!$B$1:$B$1000,0),MATCH(data!Q$1,Haver_M!$B$1:$ZN$1,0)),"na")</f>
        <v>76.600800000000007</v>
      </c>
      <c r="R125">
        <f>IF(ISNUMBER(INDEX(Haver_M!$B$1:$ZN$1000,MATCH(data!$A125,Haver_M!$B$1:$B$1000,0),MATCH(data!R$1,Haver_M!$B$1:$ZN$1,0))),INDEX(Haver_M!$B$1:$ZN$1000,MATCH(data!$A125,Haver_M!$B$1:$B$1000,0),MATCH(data!R$1,Haver_M!$B$1:$ZN$1,0)),"na")</f>
        <v>95.287000000000006</v>
      </c>
      <c r="S125">
        <f>IF(ISNUMBER(INDEX(Haver_M!$B$1:$ZN$1000,MATCH(data!$A125,Haver_M!$B$1:$B$1000,0),MATCH(data!S$1,Haver_M!$B$1:$ZN$1,0))),INDEX(Haver_M!$B$1:$ZN$1000,MATCH(data!$A125,Haver_M!$B$1:$B$1000,0),MATCH(data!S$1,Haver_M!$B$1:$ZN$1,0)),"na")</f>
        <v>99.945999999999998</v>
      </c>
      <c r="T125">
        <f>IF(ISNUMBER(INDEX(Haver_M!$B$1:$ZN$1000,MATCH(data!$A125,Haver_M!$B$1:$B$1000,0),MATCH(data!T$1,Haver_M!$B$1:$ZN$1,0))),INDEX(Haver_M!$B$1:$ZN$1000,MATCH(data!$A125,Haver_M!$B$1:$B$1000,0),MATCH(data!T$1,Haver_M!$B$1:$ZN$1,0)),"na")</f>
        <v>90.108800000000002</v>
      </c>
      <c r="U125">
        <f>IF(ISNUMBER(INDEX(Haver_M!$B$1:$ZN$1000,MATCH(data!$A125,Haver_M!$B$1:$B$1000,0),MATCH(data!U$1,Haver_M!$B$1:$ZN$1,0))),INDEX(Haver_M!$B$1:$ZN$1000,MATCH(data!$A125,Haver_M!$B$1:$B$1000,0),MATCH(data!U$1,Haver_M!$B$1:$ZN$1,0)),"na")</f>
        <v>99.691900000000004</v>
      </c>
      <c r="V125">
        <f>IF(ISNUMBER(INDEX(Haver_M!$B$1:$ZN$1000,MATCH(data!$A125,Haver_M!$B$1:$B$1000,0),MATCH(data!V$1,Haver_M!$B$1:$ZN$1,0))),INDEX(Haver_M!$B$1:$ZN$1000,MATCH(data!$A125,Haver_M!$B$1:$B$1000,0),MATCH(data!V$1,Haver_M!$B$1:$ZN$1,0)),"na")</f>
        <v>92.323700000000002</v>
      </c>
      <c r="W125">
        <f>IF(ISNUMBER(INDEX(Haver_M!$B$1:$ZN$1000,MATCH(data!$A125,Haver_M!$B$1:$B$1000,0),MATCH(data!W$1,Haver_M!$B$1:$ZN$1,0))),INDEX(Haver_M!$B$1:$ZN$1000,MATCH(data!$A125,Haver_M!$B$1:$B$1000,0),MATCH(data!W$1,Haver_M!$B$1:$ZN$1,0)),"na")</f>
        <v>5.52</v>
      </c>
      <c r="X125">
        <f>IF(ISNUMBER(INDEX(Haver_M!$B$1:$ZN$1000,MATCH(data!$A125,Haver_M!$B$1:$B$1000,0),MATCH(data!X$1,Haver_M!$B$1:$ZN$1,0))),INDEX(Haver_M!$B$1:$ZN$1000,MATCH(data!$A125,Haver_M!$B$1:$B$1000,0),MATCH(data!X$1,Haver_M!$B$1:$ZN$1,0)),"na")</f>
        <v>99.3</v>
      </c>
      <c r="Y125">
        <f>IF(ISNUMBER(INDEX(Haver_M!$B$1:$ZN$1000,MATCH(data!$A125,Haver_M!$B$1:$B$1000,0),MATCH(data!Y$1,Haver_M!$B$1:$ZN$1,0))),INDEX(Haver_M!$B$1:$ZN$1000,MATCH(data!$A125,Haver_M!$B$1:$B$1000,0),MATCH(data!Y$1,Haver_M!$B$1:$ZN$1,0)),"na")</f>
        <v>100.45</v>
      </c>
      <c r="Z125">
        <f>IF(ISNUMBER(INDEX(Haver_M!$B$1:$ZN$1000,MATCH(data!$A125,Haver_M!$B$1:$B$1000,0),MATCH(data!Z$1,Haver_M!$B$1:$ZN$1,0))),INDEX(Haver_M!$B$1:$ZN$1000,MATCH(data!$A125,Haver_M!$B$1:$B$1000,0),MATCH(data!Z$1,Haver_M!$B$1:$ZN$1,0)),"na")</f>
        <v>93.648399999999995</v>
      </c>
      <c r="AA125">
        <f>IF(ISNUMBER(INDEX(Haver_M!$B$1:$ZN$1000,MATCH(data!$A125,Haver_M!$B$1:$B$1000,0),MATCH(data!AA$1,Haver_M!$B$1:$ZN$1,0))),INDEX(Haver_M!$B$1:$ZN$1000,MATCH(data!$A125,Haver_M!$B$1:$B$1000,0),MATCH(data!AA$1,Haver_M!$B$1:$ZN$1,0)),"na")</f>
        <v>93.958699999999993</v>
      </c>
      <c r="AB125">
        <f>IF(ISNUMBER(INDEX(Haver_M!$B$1:$ZN$1000,MATCH(data!$A125,Haver_M!$B$1:$B$1000,0),MATCH(data!AB$1,Haver_M!$B$1:$ZN$1,0))),INDEX(Haver_M!$B$1:$ZN$1000,MATCH(data!$A125,Haver_M!$B$1:$B$1000,0),MATCH(data!AB$1,Haver_M!$B$1:$ZN$1,0)),"na")</f>
        <v>24969.3</v>
      </c>
      <c r="AC125">
        <f>IF(ISNUMBER(INDEX(Haver_M!$B$1:$ZN$1000,MATCH(data!$A125,Haver_M!$B$1:$B$1000,0),MATCH(data!AC$1,Haver_M!$B$1:$ZN$1,0))),INDEX(Haver_M!$B$1:$ZN$1000,MATCH(data!$A125,Haver_M!$B$1:$B$1000,0),MATCH(data!AC$1,Haver_M!$B$1:$ZN$1,0)),"na")</f>
        <v>25036.2</v>
      </c>
      <c r="AD125">
        <f>IF(ISNUMBER(INDEX(Haver_M!$B$1:$ZN$1000,MATCH(data!$A125,Haver_M!$B$1:$B$1000,0),MATCH(data!AD$1,Haver_M!$B$1:$ZN$1,0))),INDEX(Haver_M!$B$1:$ZN$1000,MATCH(data!$A125,Haver_M!$B$1:$B$1000,0),MATCH(data!AD$1,Haver_M!$B$1:$ZN$1,0)),"na")</f>
        <v>99.03</v>
      </c>
      <c r="AE125">
        <f>IF(ISNUMBER(INDEX(Haver_M!$B$1:$ZN$1000,MATCH(data!$A125,Haver_M!$B$1:$B$1000,0),MATCH(data!AE$1,Haver_M!$B$1:$ZN$1,0))),INDEX(Haver_M!$B$1:$ZN$1000,MATCH(data!$A125,Haver_M!$B$1:$B$1000,0),MATCH(data!AE$1,Haver_M!$B$1:$ZN$1,0)),"na")</f>
        <v>35</v>
      </c>
      <c r="AF125">
        <f>IF(ISNUMBER(INDEX(Haver_M!$B$1:$ZN$1000,MATCH(data!$A125,Haver_M!$B$1:$B$1000,0),MATCH(data!AF$1,Haver_M!$B$1:$ZN$1,0))),INDEX(Haver_M!$B$1:$ZN$1000,MATCH(data!$A125,Haver_M!$B$1:$B$1000,0),MATCH(data!AF$1,Haver_M!$B$1:$ZN$1,0)),"na")</f>
        <v>100.54</v>
      </c>
      <c r="AG125" t="str">
        <f>IF(ISNUMBER(INDEX(Haver_M!$B$1:$ZN$1000,MATCH(data!$A125,Haver_M!$B$1:$B$1000,0),MATCH(data!AG$1,Haver_M!$B$1:$ZN$1,0))),INDEX(Haver_M!$B$1:$ZN$1000,MATCH(data!$A125,Haver_M!$B$1:$B$1000,0),MATCH(data!AG$1,Haver_M!$B$1:$ZN$1,0)),"na")</f>
        <v>na</v>
      </c>
      <c r="AH125" t="str">
        <f>IF(ISNUMBER(INDEX(Haver_M!$B$1:$ZN$1000,MATCH(data!$A125,Haver_M!$B$1:$B$1000,0),MATCH(data!AH$1,Haver_M!$B$1:$ZN$1,0))),INDEX(Haver_M!$B$1:$ZN$1000,MATCH(data!$A125,Haver_M!$B$1:$B$1000,0),MATCH(data!AH$1,Haver_M!$B$1:$ZN$1,0)),"na")</f>
        <v>na</v>
      </c>
      <c r="AI125" t="str">
        <f>IF(ISNUMBER(INDEX(Haver_M!$B$1:$ZN$1000,MATCH(data!$A125,Haver_M!$B$1:$B$1000,0),MATCH(data!AI$1,Haver_M!$B$1:$ZN$1,0))),INDEX(Haver_M!$B$1:$ZN$1000,MATCH(data!$A125,Haver_M!$B$1:$B$1000,0),MATCH(data!AI$1,Haver_M!$B$1:$ZN$1,0)),"na")</f>
        <v>na</v>
      </c>
      <c r="AJ125" t="str">
        <f>IF(ISNUMBER(INDEX(Haver_M!$B$1:$ZN$1000,MATCH(data!$A125,Haver_M!$B$1:$B$1000,0),MATCH(data!AJ$1,Haver_M!$B$1:$ZN$1,0))),INDEX(Haver_M!$B$1:$ZN$1000,MATCH(data!$A125,Haver_M!$B$1:$B$1000,0),MATCH(data!AJ$1,Haver_M!$B$1:$ZN$1,0)),"na")</f>
        <v>na</v>
      </c>
      <c r="AK125" t="str">
        <f>IF(ISNUMBER(INDEX(Haver_M!$B$1:$ZN$1000,MATCH(data!$A125,Haver_M!$B$1:$B$1000,0),MATCH(data!AK$1,Haver_M!$B$1:$ZN$1,0))),INDEX(Haver_M!$B$1:$ZN$1000,MATCH(data!$A125,Haver_M!$B$1:$B$1000,0),MATCH(data!AK$1,Haver_M!$B$1:$ZN$1,0)),"na")</f>
        <v>na</v>
      </c>
      <c r="AL125" t="str">
        <f>IF(ISNUMBER(INDEX(Haver_M!$B$1:$ZN$1000,MATCH(data!$A125,Haver_M!$B$1:$B$1000,0),MATCH(data!AL$1,Haver_M!$B$1:$ZN$1,0))),INDEX(Haver_M!$B$1:$ZN$1000,MATCH(data!$A125,Haver_M!$B$1:$B$1000,0),MATCH(data!AL$1,Haver_M!$B$1:$ZN$1,0)),"na")</f>
        <v>na</v>
      </c>
      <c r="AM125" t="str">
        <f>IF(ISNUMBER(INDEX(Haver_M!$B$1:$ZN$1000,MATCH(data!$A125,Haver_M!$B$1:$B$1000,0),MATCH(data!AM$1,Haver_M!$B$1:$ZN$1,0))),INDEX(Haver_M!$B$1:$ZN$1000,MATCH(data!$A125,Haver_M!$B$1:$B$1000,0),MATCH(data!AM$1,Haver_M!$B$1:$ZN$1,0)),"na")</f>
        <v>na</v>
      </c>
      <c r="AN125" t="str">
        <f>IF(ISNUMBER(INDEX(Haver_M!$B$1:$ZN$1000,MATCH(data!$A125,Haver_M!$B$1:$B$1000,0),MATCH(data!AN$1,Haver_M!$B$1:$ZN$1,0))),INDEX(Haver_M!$B$1:$ZN$1000,MATCH(data!$A125,Haver_M!$B$1:$B$1000,0),MATCH(data!AN$1,Haver_M!$B$1:$ZN$1,0)),"na")</f>
        <v>na</v>
      </c>
      <c r="AO125" t="str">
        <f>IF(ISNUMBER(INDEX(Haver_M!$B$1:$ZN$1000,MATCH(data!$A125,Haver_M!$B$1:$B$1000,0),MATCH(data!AO$1,Haver_M!$B$1:$ZN$1,0))),INDEX(Haver_M!$B$1:$ZN$1000,MATCH(data!$A125,Haver_M!$B$1:$B$1000,0),MATCH(data!AO$1,Haver_M!$B$1:$ZN$1,0)),"na")</f>
        <v>na</v>
      </c>
      <c r="AP125" t="str">
        <f>IF(ISNUMBER(INDEX(Haver_M!$B$1:$ZN$1000,MATCH(data!$A125,Haver_M!$B$1:$B$1000,0),MATCH(data!AP$1,Haver_M!$B$1:$ZN$1,0))),INDEX(Haver_M!$B$1:$ZN$1000,MATCH(data!$A125,Haver_M!$B$1:$B$1000,0),MATCH(data!AP$1,Haver_M!$B$1:$ZN$1,0)),"na")</f>
        <v>na</v>
      </c>
      <c r="AQ125" t="str">
        <f>IF(ISNUMBER(INDEX(Haver_M!$B$1:$ZN$1000,MATCH(data!$A125,Haver_M!$B$1:$B$1000,0),MATCH(data!AQ$1,Haver_M!$B$1:$ZN$1,0))),INDEX(Haver_M!$B$1:$ZN$1000,MATCH(data!$A125,Haver_M!$B$1:$B$1000,0),MATCH(data!AQ$1,Haver_M!$B$1:$ZN$1,0)),"na")</f>
        <v>na</v>
      </c>
      <c r="AR125" t="str">
        <f>IF(ISNUMBER(INDEX(Haver_M!$B$1:$ZN$1000,MATCH(data!$A125,Haver_M!$B$1:$B$1000,0),MATCH(data!AR$1,Haver_M!$B$1:$ZN$1,0))),INDEX(Haver_M!$B$1:$ZN$1000,MATCH(data!$A125,Haver_M!$B$1:$B$1000,0),MATCH(data!AR$1,Haver_M!$B$1:$ZN$1,0)),"na")</f>
        <v>na</v>
      </c>
      <c r="AS125">
        <f>IF(ISNUMBER(INDEX(Haver_M!$B$1:$ZN$1000,MATCH(data!$A125,Haver_M!$B$1:$B$1000,0),MATCH(data!AS$1,Haver_M!$B$1:$ZN$1,0))),INDEX(Haver_M!$B$1:$ZN$1000,MATCH(data!$A125,Haver_M!$B$1:$B$1000,0),MATCH(data!AS$1,Haver_M!$B$1:$ZN$1,0)),"na")</f>
        <v>33563.300000000003</v>
      </c>
      <c r="AT125">
        <f>IF(ISNUMBER(INDEX(Haver_M!$B$1:$ZN$1000,MATCH(data!$A125,Haver_M!$B$1:$B$1000,0),MATCH(data!AT$1,Haver_M!$B$1:$ZN$1,0))),INDEX(Haver_M!$B$1:$ZN$1000,MATCH(data!$A125,Haver_M!$B$1:$B$1000,0),MATCH(data!AT$1,Haver_M!$B$1:$ZN$1,0)),"na")</f>
        <v>92.206000000000003</v>
      </c>
      <c r="AU125">
        <f>IF(ISNUMBER(INDEX(Haver_M!$B$1:$ZN$1000,MATCH(data!$A125,Haver_M!$B$1:$B$1000,0),MATCH(data!AU$1,Haver_M!$B$1:$ZN$1,0))),INDEX(Haver_M!$B$1:$ZN$1000,MATCH(data!$A125,Haver_M!$B$1:$B$1000,0),MATCH(data!AU$1,Haver_M!$B$1:$ZN$1,0)),"na")</f>
        <v>91.366023999999996</v>
      </c>
      <c r="AV125">
        <f>IF(ISNUMBER(INDEX(Haver_M!$B$1:$ZN$1000,MATCH(data!$A125,Haver_M!$B$1:$B$1000,0),MATCH(data!AV$1,Haver_M!$B$1:$ZN$1,0))),INDEX(Haver_M!$B$1:$ZN$1000,MATCH(data!$A125,Haver_M!$B$1:$B$1000,0),MATCH(data!AV$1,Haver_M!$B$1:$ZN$1,0)),"na")</f>
        <v>92.4</v>
      </c>
      <c r="AW125">
        <f>IF(ISNUMBER(INDEX(Haver_M!$B$1:$ZN$1000,MATCH(data!$A125,Haver_M!$B$1:$B$1000,0),MATCH(data!AW$1,Haver_M!$B$1:$ZN$1,0))),INDEX(Haver_M!$B$1:$ZN$1000,MATCH(data!$A125,Haver_M!$B$1:$B$1000,0),MATCH(data!AW$1,Haver_M!$B$1:$ZN$1,0)),"na")</f>
        <v>999120.71506575914</v>
      </c>
      <c r="AX125">
        <f>IF(ISNUMBER(INDEX(Haver_M!$B$1:$ZN$1000,MATCH(data!$A125,Haver_M!$B$1:$B$1000,0),MATCH(data!AX$1,Haver_M!$B$1:$ZN$1,0))),INDEX(Haver_M!$B$1:$ZN$1000,MATCH(data!$A125,Haver_M!$B$1:$B$1000,0),MATCH(data!AX$1,Haver_M!$B$1:$ZN$1,0)),"na")</f>
        <v>2582</v>
      </c>
      <c r="AY125">
        <f>IF(ISNUMBER(INDEX(Haver_M!$B$1:$ZN$1000,MATCH(data!$A125,Haver_M!$B$1:$B$1000,0),MATCH(data!AY$1,Haver_M!$B$1:$ZN$1,0))),INDEX(Haver_M!$B$1:$ZN$1000,MATCH(data!$A125,Haver_M!$B$1:$B$1000,0),MATCH(data!AY$1,Haver_M!$B$1:$ZN$1,0)),"na")</f>
        <v>1302</v>
      </c>
      <c r="AZ125">
        <f>IF(ISNUMBER(INDEX(Haver_M!$B$1:$ZN$1000,MATCH(data!$A125,Haver_M!$B$1:$B$1000,0),MATCH(data!AZ$1,Haver_M!$B$1:$ZN$1,0))),INDEX(Haver_M!$B$1:$ZN$1000,MATCH(data!$A125,Haver_M!$B$1:$B$1000,0),MATCH(data!AZ$1,Haver_M!$B$1:$ZN$1,0)),"na")</f>
        <v>54.3</v>
      </c>
      <c r="BA125">
        <f>IF(ISNUMBER(INDEX(Haver_M!$B$1:$ZN$1000,MATCH(data!$A125,Haver_M!$B$1:$B$1000,0),MATCH(data!BA$1,Haver_M!$B$1:$ZN$1,0))),INDEX(Haver_M!$B$1:$ZN$1000,MATCH(data!$A125,Haver_M!$B$1:$B$1000,0),MATCH(data!BA$1,Haver_M!$B$1:$ZN$1,0)),"na")</f>
        <v>103.36362725241879</v>
      </c>
      <c r="BB125" t="str">
        <f>IF(ISNUMBER(INDEX(Haver_M!$B$1:$ZN$1000,MATCH(data!$A125,Haver_M!$B$1:$B$1000,0),MATCH(data!BB$1,Haver_M!$B$1:$ZN$1,0))),INDEX(Haver_M!$B$1:$ZN$1000,MATCH(data!$A125,Haver_M!$B$1:$B$1000,0),MATCH(data!BB$1,Haver_M!$B$1:$ZN$1,0)),"")</f>
        <v/>
      </c>
    </row>
    <row r="126" spans="1:54" x14ac:dyDescent="0.25">
      <c r="A126" s="2">
        <v>40329</v>
      </c>
      <c r="B126" t="str">
        <f>IF(ISNUMBER(INDEX(Haver_Q!$B$1:$BD$1000,MATCH(data!$A126,Haver_Q!$B$1:$B$1000,0),MATCH(data!B$1,Haver_Q!$B$1:$BD$1,0))),100*INDEX(Haver_Q!$B$1:$BD$1000,MATCH(data!$A126,Haver_Q!$B$1:$B$1000,0),MATCH(data!B$1,Haver_Q!$B$1:$BD$1,0)),"na")</f>
        <v>na</v>
      </c>
      <c r="C126" t="str">
        <f>IF(ISNUMBER(INDEX(Haver_Q!$B$1:$BD$1000,MATCH(data!$A126,Haver_Q!$B$1:$B$1000,0),MATCH(data!C$1,Haver_Q!$B$1:$BD$1,0))),100*INDEX(Haver_Q!$B$1:$BD$1000,MATCH(data!$A126,Haver_Q!$B$1:$B$1000,0),MATCH(data!C$1,Haver_Q!$B$1:$BD$1,0)),"na")</f>
        <v>na</v>
      </c>
      <c r="D126" t="str">
        <f>IF(ISNUMBER(INDEX(Haver_Q!$B$1:$BD$1000,MATCH(data!$A126,Haver_Q!$B$1:$B$1000,0),MATCH(data!D$1,Haver_Q!$B$1:$BD$1,0))),100*INDEX(Haver_Q!$B$1:$BD$1000,MATCH(data!$A126,Haver_Q!$B$1:$B$1000,0),MATCH(data!D$1,Haver_Q!$B$1:$BD$1,0)),"na")</f>
        <v>na</v>
      </c>
      <c r="E126" t="str">
        <f>IF(ISNUMBER(INDEX(Haver_Q!$B$1:$BD$1000,MATCH(data!$A126,Haver_Q!$B$1:$B$1000,0),MATCH(data!E$1,Haver_Q!$B$1:$BD$1,0))),100*INDEX(Haver_Q!$B$1:$BD$1000,MATCH(data!$A126,Haver_Q!$B$1:$B$1000,0),MATCH(data!E$1,Haver_Q!$B$1:$BD$1,0)),"na")</f>
        <v>na</v>
      </c>
      <c r="F126" t="str">
        <f>IF(ISNUMBER(INDEX(Haver_Q!$B$1:$BD$1000,MATCH(data!$A126,Haver_Q!$B$1:$B$1000,0),MATCH(data!F$1,Haver_Q!$B$1:$BD$1,0))),100*INDEX(Haver_Q!$B$1:$BD$1000,MATCH(data!$A126,Haver_Q!$B$1:$B$1000,0),MATCH(data!F$1,Haver_Q!$B$1:$BD$1,0)),"na")</f>
        <v>na</v>
      </c>
      <c r="G126" t="str">
        <f>IF(ISNUMBER(INDEX(Haver_Q!$B$1:$BD$1000,MATCH(data!$A126,Haver_Q!$B$1:$B$1000,0),MATCH(data!G$1,Haver_Q!$B$1:$BD$1,0))),100*INDEX(Haver_Q!$B$1:$BD$1000,MATCH(data!$A126,Haver_Q!$B$1:$B$1000,0),MATCH(data!G$1,Haver_Q!$B$1:$BD$1,0)),"na")</f>
        <v>na</v>
      </c>
      <c r="H126" t="str">
        <f>IF(ISNUMBER(INDEX(Haver_Q!$B$1:$BD$1000,MATCH(data!$A126,Haver_Q!$B$1:$B$1000,0),MATCH(data!H$1,Haver_Q!$B$1:$BD$1,0))),100*INDEX(Haver_Q!$B$1:$BD$1000,MATCH(data!$A126,Haver_Q!$B$1:$B$1000,0),MATCH(data!H$1,Haver_Q!$B$1:$BD$1,0)),"na")</f>
        <v>na</v>
      </c>
      <c r="I126" s="3">
        <f>IF(ISNUMBER(Bloomberg_m!C142),Bloomberg_m!C142,"na")</f>
        <v>3838</v>
      </c>
      <c r="J126" s="3" t="str">
        <f>IF(ISNUMBER(Bloomberg_m!D142),Bloomberg_m!D142,"na")</f>
        <v>na</v>
      </c>
      <c r="K126" s="3" t="str">
        <f>IF(ISNUMBER(Bloomberg_m!E142),Bloomberg_m!E142,"na")</f>
        <v>na</v>
      </c>
      <c r="L126" s="3">
        <f>IF(ISNUMBER(Bloomberg_m!L142),Bloomberg_m!L142,"na")</f>
        <v>73.73</v>
      </c>
      <c r="M126">
        <f>IF(ISNUMBER(INDEX(Haver_M!$B$1:$ZN$1000,MATCH(data!$A126,Haver_M!$B$1:$B$1000,0),MATCH(data!M$1,Haver_M!$B$1:$ZN$1,0))),INDEX(Haver_M!$B$1:$ZN$1000,MATCH(data!$A126,Haver_M!$B$1:$B$1000,0),MATCH(data!M$1,Haver_M!$B$1:$ZN$1,0)),"na")</f>
        <v>4.5</v>
      </c>
      <c r="N126">
        <f>IF(ISNUMBER(INDEX(Haver_M!$B$1:$ZN$1000,MATCH(data!$A126,Haver_M!$B$1:$B$1000,0),MATCH(data!N$1,Haver_M!$B$1:$ZN$1,0))),INDEX(Haver_M!$B$1:$ZN$1000,MATCH(data!$A126,Haver_M!$B$1:$B$1000,0),MATCH(data!N$1,Haver_M!$B$1:$ZN$1,0)),"na")</f>
        <v>7.4615999999999998</v>
      </c>
      <c r="O126">
        <f>IF(ISNUMBER(INDEX(Haver_M!$B$1:$ZN$1000,MATCH(data!$A126,Haver_M!$B$1:$B$1000,0),MATCH(data!O$1,Haver_M!$B$1:$ZN$1,0))),INDEX(Haver_M!$B$1:$ZN$1000,MATCH(data!$A126,Haver_M!$B$1:$B$1000,0),MATCH(data!O$1,Haver_M!$B$1:$ZN$1,0)),"na")</f>
        <v>100.02173999999999</v>
      </c>
      <c r="P126">
        <f>IF(ISNUMBER(INDEX(Haver_M!$B$1:$ZN$1000,MATCH(data!$A126,Haver_M!$B$1:$B$1000,0),MATCH(data!P$1,Haver_M!$B$1:$ZN$1,0))),INDEX(Haver_M!$B$1:$ZN$1000,MATCH(data!$A126,Haver_M!$B$1:$B$1000,0),MATCH(data!P$1,Haver_M!$B$1:$ZN$1,0)),"na")</f>
        <v>73.092799999999997</v>
      </c>
      <c r="Q126">
        <f>IF(ISNUMBER(INDEX(Haver_M!$B$1:$ZN$1000,MATCH(data!$A126,Haver_M!$B$1:$B$1000,0),MATCH(data!Q$1,Haver_M!$B$1:$ZN$1,0))),INDEX(Haver_M!$B$1:$ZN$1000,MATCH(data!$A126,Haver_M!$B$1:$B$1000,0),MATCH(data!Q$1,Haver_M!$B$1:$ZN$1,0)),"na")</f>
        <v>76.8001</v>
      </c>
      <c r="R126">
        <f>IF(ISNUMBER(INDEX(Haver_M!$B$1:$ZN$1000,MATCH(data!$A126,Haver_M!$B$1:$B$1000,0),MATCH(data!R$1,Haver_M!$B$1:$ZN$1,0))),INDEX(Haver_M!$B$1:$ZN$1000,MATCH(data!$A126,Haver_M!$B$1:$B$1000,0),MATCH(data!R$1,Haver_M!$B$1:$ZN$1,0)),"na")</f>
        <v>94.863600000000005</v>
      </c>
      <c r="S126">
        <f>IF(ISNUMBER(INDEX(Haver_M!$B$1:$ZN$1000,MATCH(data!$A126,Haver_M!$B$1:$B$1000,0),MATCH(data!S$1,Haver_M!$B$1:$ZN$1,0))),INDEX(Haver_M!$B$1:$ZN$1000,MATCH(data!$A126,Haver_M!$B$1:$B$1000,0),MATCH(data!S$1,Haver_M!$B$1:$ZN$1,0)),"na")</f>
        <v>100.5851</v>
      </c>
      <c r="T126">
        <f>IF(ISNUMBER(INDEX(Haver_M!$B$1:$ZN$1000,MATCH(data!$A126,Haver_M!$B$1:$B$1000,0),MATCH(data!T$1,Haver_M!$B$1:$ZN$1,0))),INDEX(Haver_M!$B$1:$ZN$1000,MATCH(data!$A126,Haver_M!$B$1:$B$1000,0),MATCH(data!T$1,Haver_M!$B$1:$ZN$1,0)),"na")</f>
        <v>90.805499999999995</v>
      </c>
      <c r="U126">
        <f>IF(ISNUMBER(INDEX(Haver_M!$B$1:$ZN$1000,MATCH(data!$A126,Haver_M!$B$1:$B$1000,0),MATCH(data!U$1,Haver_M!$B$1:$ZN$1,0))),INDEX(Haver_M!$B$1:$ZN$1000,MATCH(data!$A126,Haver_M!$B$1:$B$1000,0),MATCH(data!U$1,Haver_M!$B$1:$ZN$1,0)),"na")</f>
        <v>93.393799999999999</v>
      </c>
      <c r="V126">
        <f>IF(ISNUMBER(INDEX(Haver_M!$B$1:$ZN$1000,MATCH(data!$A126,Haver_M!$B$1:$B$1000,0),MATCH(data!V$1,Haver_M!$B$1:$ZN$1,0))),INDEX(Haver_M!$B$1:$ZN$1000,MATCH(data!$A126,Haver_M!$B$1:$B$1000,0),MATCH(data!V$1,Haver_M!$B$1:$ZN$1,0)),"na")</f>
        <v>93.143000000000001</v>
      </c>
      <c r="W126">
        <f>IF(ISNUMBER(INDEX(Haver_M!$B$1:$ZN$1000,MATCH(data!$A126,Haver_M!$B$1:$B$1000,0),MATCH(data!W$1,Haver_M!$B$1:$ZN$1,0))),INDEX(Haver_M!$B$1:$ZN$1000,MATCH(data!$A126,Haver_M!$B$1:$B$1000,0),MATCH(data!W$1,Haver_M!$B$1:$ZN$1,0)),"na")</f>
        <v>5.35</v>
      </c>
      <c r="X126">
        <f>IF(ISNUMBER(INDEX(Haver_M!$B$1:$ZN$1000,MATCH(data!$A126,Haver_M!$B$1:$B$1000,0),MATCH(data!X$1,Haver_M!$B$1:$ZN$1,0))),INDEX(Haver_M!$B$1:$ZN$1000,MATCH(data!$A126,Haver_M!$B$1:$B$1000,0),MATCH(data!X$1,Haver_M!$B$1:$ZN$1,0)),"na")</f>
        <v>99.76</v>
      </c>
      <c r="Y126">
        <f>IF(ISNUMBER(INDEX(Haver_M!$B$1:$ZN$1000,MATCH(data!$A126,Haver_M!$B$1:$B$1000,0),MATCH(data!Y$1,Haver_M!$B$1:$ZN$1,0))),INDEX(Haver_M!$B$1:$ZN$1000,MATCH(data!$A126,Haver_M!$B$1:$B$1000,0),MATCH(data!Y$1,Haver_M!$B$1:$ZN$1,0)),"na")</f>
        <v>100.51</v>
      </c>
      <c r="Z126">
        <f>IF(ISNUMBER(INDEX(Haver_M!$B$1:$ZN$1000,MATCH(data!$A126,Haver_M!$B$1:$B$1000,0),MATCH(data!Z$1,Haver_M!$B$1:$ZN$1,0))),INDEX(Haver_M!$B$1:$ZN$1000,MATCH(data!$A126,Haver_M!$B$1:$B$1000,0),MATCH(data!Z$1,Haver_M!$B$1:$ZN$1,0)),"na")</f>
        <v>94.635900000000007</v>
      </c>
      <c r="AA126">
        <f>IF(ISNUMBER(INDEX(Haver_M!$B$1:$ZN$1000,MATCH(data!$A126,Haver_M!$B$1:$B$1000,0),MATCH(data!AA$1,Haver_M!$B$1:$ZN$1,0))),INDEX(Haver_M!$B$1:$ZN$1000,MATCH(data!$A126,Haver_M!$B$1:$B$1000,0),MATCH(data!AA$1,Haver_M!$B$1:$ZN$1,0)),"na")</f>
        <v>93.990399999999994</v>
      </c>
      <c r="AB126">
        <f>IF(ISNUMBER(INDEX(Haver_M!$B$1:$ZN$1000,MATCH(data!$A126,Haver_M!$B$1:$B$1000,0),MATCH(data!AB$1,Haver_M!$B$1:$ZN$1,0))),INDEX(Haver_M!$B$1:$ZN$1000,MATCH(data!$A126,Haver_M!$B$1:$B$1000,0),MATCH(data!AB$1,Haver_M!$B$1:$ZN$1,0)),"na")</f>
        <v>24657.8</v>
      </c>
      <c r="AC126">
        <f>IF(ISNUMBER(INDEX(Haver_M!$B$1:$ZN$1000,MATCH(data!$A126,Haver_M!$B$1:$B$1000,0),MATCH(data!AC$1,Haver_M!$B$1:$ZN$1,0))),INDEX(Haver_M!$B$1:$ZN$1000,MATCH(data!$A126,Haver_M!$B$1:$B$1000,0),MATCH(data!AC$1,Haver_M!$B$1:$ZN$1,0)),"na")</f>
        <v>25258.400000000001</v>
      </c>
      <c r="AD126">
        <f>IF(ISNUMBER(INDEX(Haver_M!$B$1:$ZN$1000,MATCH(data!$A126,Haver_M!$B$1:$B$1000,0),MATCH(data!AD$1,Haver_M!$B$1:$ZN$1,0))),INDEX(Haver_M!$B$1:$ZN$1000,MATCH(data!$A126,Haver_M!$B$1:$B$1000,0),MATCH(data!AD$1,Haver_M!$B$1:$ZN$1,0)),"na")</f>
        <v>99.1</v>
      </c>
      <c r="AE126">
        <f>IF(ISNUMBER(INDEX(Haver_M!$B$1:$ZN$1000,MATCH(data!$A126,Haver_M!$B$1:$B$1000,0),MATCH(data!AE$1,Haver_M!$B$1:$ZN$1,0))),INDEX(Haver_M!$B$1:$ZN$1000,MATCH(data!$A126,Haver_M!$B$1:$B$1000,0),MATCH(data!AE$1,Haver_M!$B$1:$ZN$1,0)),"na")</f>
        <v>35.9</v>
      </c>
      <c r="AF126">
        <f>IF(ISNUMBER(INDEX(Haver_M!$B$1:$ZN$1000,MATCH(data!$A126,Haver_M!$B$1:$B$1000,0),MATCH(data!AF$1,Haver_M!$B$1:$ZN$1,0))),INDEX(Haver_M!$B$1:$ZN$1000,MATCH(data!$A126,Haver_M!$B$1:$B$1000,0),MATCH(data!AF$1,Haver_M!$B$1:$ZN$1,0)),"na")</f>
        <v>100.96</v>
      </c>
      <c r="AG126" t="str">
        <f>IF(ISNUMBER(INDEX(Haver_M!$B$1:$ZN$1000,MATCH(data!$A126,Haver_M!$B$1:$B$1000,0),MATCH(data!AG$1,Haver_M!$B$1:$ZN$1,0))),INDEX(Haver_M!$B$1:$ZN$1000,MATCH(data!$A126,Haver_M!$B$1:$B$1000,0),MATCH(data!AG$1,Haver_M!$B$1:$ZN$1,0)),"na")</f>
        <v>na</v>
      </c>
      <c r="AH126" t="str">
        <f>IF(ISNUMBER(INDEX(Haver_M!$B$1:$ZN$1000,MATCH(data!$A126,Haver_M!$B$1:$B$1000,0),MATCH(data!AH$1,Haver_M!$B$1:$ZN$1,0))),INDEX(Haver_M!$B$1:$ZN$1000,MATCH(data!$A126,Haver_M!$B$1:$B$1000,0),MATCH(data!AH$1,Haver_M!$B$1:$ZN$1,0)),"na")</f>
        <v>na</v>
      </c>
      <c r="AI126" t="str">
        <f>IF(ISNUMBER(INDEX(Haver_M!$B$1:$ZN$1000,MATCH(data!$A126,Haver_M!$B$1:$B$1000,0),MATCH(data!AI$1,Haver_M!$B$1:$ZN$1,0))),INDEX(Haver_M!$B$1:$ZN$1000,MATCH(data!$A126,Haver_M!$B$1:$B$1000,0),MATCH(data!AI$1,Haver_M!$B$1:$ZN$1,0)),"na")</f>
        <v>na</v>
      </c>
      <c r="AJ126" t="str">
        <f>IF(ISNUMBER(INDEX(Haver_M!$B$1:$ZN$1000,MATCH(data!$A126,Haver_M!$B$1:$B$1000,0),MATCH(data!AJ$1,Haver_M!$B$1:$ZN$1,0))),INDEX(Haver_M!$B$1:$ZN$1000,MATCH(data!$A126,Haver_M!$B$1:$B$1000,0),MATCH(data!AJ$1,Haver_M!$B$1:$ZN$1,0)),"na")</f>
        <v>na</v>
      </c>
      <c r="AK126" t="str">
        <f>IF(ISNUMBER(INDEX(Haver_M!$B$1:$ZN$1000,MATCH(data!$A126,Haver_M!$B$1:$B$1000,0),MATCH(data!AK$1,Haver_M!$B$1:$ZN$1,0))),INDEX(Haver_M!$B$1:$ZN$1000,MATCH(data!$A126,Haver_M!$B$1:$B$1000,0),MATCH(data!AK$1,Haver_M!$B$1:$ZN$1,0)),"na")</f>
        <v>na</v>
      </c>
      <c r="AL126" t="str">
        <f>IF(ISNUMBER(INDEX(Haver_M!$B$1:$ZN$1000,MATCH(data!$A126,Haver_M!$B$1:$B$1000,0),MATCH(data!AL$1,Haver_M!$B$1:$ZN$1,0))),INDEX(Haver_M!$B$1:$ZN$1000,MATCH(data!$A126,Haver_M!$B$1:$B$1000,0),MATCH(data!AL$1,Haver_M!$B$1:$ZN$1,0)),"na")</f>
        <v>na</v>
      </c>
      <c r="AM126" t="str">
        <f>IF(ISNUMBER(INDEX(Haver_M!$B$1:$ZN$1000,MATCH(data!$A126,Haver_M!$B$1:$B$1000,0),MATCH(data!AM$1,Haver_M!$B$1:$ZN$1,0))),INDEX(Haver_M!$B$1:$ZN$1000,MATCH(data!$A126,Haver_M!$B$1:$B$1000,0),MATCH(data!AM$1,Haver_M!$B$1:$ZN$1,0)),"na")</f>
        <v>na</v>
      </c>
      <c r="AN126" t="str">
        <f>IF(ISNUMBER(INDEX(Haver_M!$B$1:$ZN$1000,MATCH(data!$A126,Haver_M!$B$1:$B$1000,0),MATCH(data!AN$1,Haver_M!$B$1:$ZN$1,0))),INDEX(Haver_M!$B$1:$ZN$1000,MATCH(data!$A126,Haver_M!$B$1:$B$1000,0),MATCH(data!AN$1,Haver_M!$B$1:$ZN$1,0)),"na")</f>
        <v>na</v>
      </c>
      <c r="AO126" t="str">
        <f>IF(ISNUMBER(INDEX(Haver_M!$B$1:$ZN$1000,MATCH(data!$A126,Haver_M!$B$1:$B$1000,0),MATCH(data!AO$1,Haver_M!$B$1:$ZN$1,0))),INDEX(Haver_M!$B$1:$ZN$1000,MATCH(data!$A126,Haver_M!$B$1:$B$1000,0),MATCH(data!AO$1,Haver_M!$B$1:$ZN$1,0)),"na")</f>
        <v>na</v>
      </c>
      <c r="AP126" t="str">
        <f>IF(ISNUMBER(INDEX(Haver_M!$B$1:$ZN$1000,MATCH(data!$A126,Haver_M!$B$1:$B$1000,0),MATCH(data!AP$1,Haver_M!$B$1:$ZN$1,0))),INDEX(Haver_M!$B$1:$ZN$1000,MATCH(data!$A126,Haver_M!$B$1:$B$1000,0),MATCH(data!AP$1,Haver_M!$B$1:$ZN$1,0)),"na")</f>
        <v>na</v>
      </c>
      <c r="AQ126" t="str">
        <f>IF(ISNUMBER(INDEX(Haver_M!$B$1:$ZN$1000,MATCH(data!$A126,Haver_M!$B$1:$B$1000,0),MATCH(data!AQ$1,Haver_M!$B$1:$ZN$1,0))),INDEX(Haver_M!$B$1:$ZN$1000,MATCH(data!$A126,Haver_M!$B$1:$B$1000,0),MATCH(data!AQ$1,Haver_M!$B$1:$ZN$1,0)),"na")</f>
        <v>na</v>
      </c>
      <c r="AR126" t="str">
        <f>IF(ISNUMBER(INDEX(Haver_M!$B$1:$ZN$1000,MATCH(data!$A126,Haver_M!$B$1:$B$1000,0),MATCH(data!AR$1,Haver_M!$B$1:$ZN$1,0))),INDEX(Haver_M!$B$1:$ZN$1000,MATCH(data!$A126,Haver_M!$B$1:$B$1000,0),MATCH(data!AR$1,Haver_M!$B$1:$ZN$1,0)),"na")</f>
        <v>na</v>
      </c>
      <c r="AS126">
        <f>IF(ISNUMBER(INDEX(Haver_M!$B$1:$ZN$1000,MATCH(data!$A126,Haver_M!$B$1:$B$1000,0),MATCH(data!AS$1,Haver_M!$B$1:$ZN$1,0))),INDEX(Haver_M!$B$1:$ZN$1000,MATCH(data!$A126,Haver_M!$B$1:$B$1000,0),MATCH(data!AS$1,Haver_M!$B$1:$ZN$1,0)),"na")</f>
        <v>31611.35</v>
      </c>
      <c r="AT126">
        <f>IF(ISNUMBER(INDEX(Haver_M!$B$1:$ZN$1000,MATCH(data!$A126,Haver_M!$B$1:$B$1000,0),MATCH(data!AT$1,Haver_M!$B$1:$ZN$1,0))),INDEX(Haver_M!$B$1:$ZN$1000,MATCH(data!$A126,Haver_M!$B$1:$B$1000,0),MATCH(data!AT$1,Haver_M!$B$1:$ZN$1,0)),"na")</f>
        <v>93.001000000000005</v>
      </c>
      <c r="AU126">
        <f>IF(ISNUMBER(INDEX(Haver_M!$B$1:$ZN$1000,MATCH(data!$A126,Haver_M!$B$1:$B$1000,0),MATCH(data!AU$1,Haver_M!$B$1:$ZN$1,0))),INDEX(Haver_M!$B$1:$ZN$1000,MATCH(data!$A126,Haver_M!$B$1:$B$1000,0),MATCH(data!AU$1,Haver_M!$B$1:$ZN$1,0)),"na")</f>
        <v>91.471383000000003</v>
      </c>
      <c r="AV126">
        <f>IF(ISNUMBER(INDEX(Haver_M!$B$1:$ZN$1000,MATCH(data!$A126,Haver_M!$B$1:$B$1000,0),MATCH(data!AV$1,Haver_M!$B$1:$ZN$1,0))),INDEX(Haver_M!$B$1:$ZN$1000,MATCH(data!$A126,Haver_M!$B$1:$B$1000,0),MATCH(data!AV$1,Haver_M!$B$1:$ZN$1,0)),"na")</f>
        <v>90.7</v>
      </c>
      <c r="AW126">
        <f>IF(ISNUMBER(INDEX(Haver_M!$B$1:$ZN$1000,MATCH(data!$A126,Haver_M!$B$1:$B$1000,0),MATCH(data!AW$1,Haver_M!$B$1:$ZN$1,0))),INDEX(Haver_M!$B$1:$ZN$1000,MATCH(data!$A126,Haver_M!$B$1:$B$1000,0),MATCH(data!AW$1,Haver_M!$B$1:$ZN$1,0)),"na")</f>
        <v>992224.81700144068</v>
      </c>
      <c r="AX126">
        <f>IF(ISNUMBER(INDEX(Haver_M!$B$1:$ZN$1000,MATCH(data!$A126,Haver_M!$B$1:$B$1000,0),MATCH(data!AX$1,Haver_M!$B$1:$ZN$1,0))),INDEX(Haver_M!$B$1:$ZN$1000,MATCH(data!$A126,Haver_M!$B$1:$B$1000,0),MATCH(data!AX$1,Haver_M!$B$1:$ZN$1,0)),"na")</f>
        <v>2598</v>
      </c>
      <c r="AY126">
        <f>IF(ISNUMBER(INDEX(Haver_M!$B$1:$ZN$1000,MATCH(data!$A126,Haver_M!$B$1:$B$1000,0),MATCH(data!AY$1,Haver_M!$B$1:$ZN$1,0))),INDEX(Haver_M!$B$1:$ZN$1000,MATCH(data!$A126,Haver_M!$B$1:$B$1000,0),MATCH(data!AY$1,Haver_M!$B$1:$ZN$1,0)),"na")</f>
        <v>1591</v>
      </c>
      <c r="AZ126">
        <f>IF(ISNUMBER(INDEX(Haver_M!$B$1:$ZN$1000,MATCH(data!$A126,Haver_M!$B$1:$B$1000,0),MATCH(data!AZ$1,Haver_M!$B$1:$ZN$1,0))),INDEX(Haver_M!$B$1:$ZN$1000,MATCH(data!$A126,Haver_M!$B$1:$B$1000,0),MATCH(data!AZ$1,Haver_M!$B$1:$ZN$1,0)),"na")</f>
        <v>54.2</v>
      </c>
      <c r="BA126">
        <f>IF(ISNUMBER(INDEX(Haver_M!$B$1:$ZN$1000,MATCH(data!$A126,Haver_M!$B$1:$B$1000,0),MATCH(data!BA$1,Haver_M!$B$1:$ZN$1,0))),INDEX(Haver_M!$B$1:$ZN$1000,MATCH(data!$A126,Haver_M!$B$1:$B$1000,0),MATCH(data!BA$1,Haver_M!$B$1:$ZN$1,0)),"na")</f>
        <v>140.16438369744901</v>
      </c>
      <c r="BB126" t="str">
        <f>IF(ISNUMBER(INDEX(Haver_M!$B$1:$ZN$1000,MATCH(data!$A126,Haver_M!$B$1:$B$1000,0),MATCH(data!BB$1,Haver_M!$B$1:$ZN$1,0))),INDEX(Haver_M!$B$1:$ZN$1000,MATCH(data!$A126,Haver_M!$B$1:$B$1000,0),MATCH(data!BB$1,Haver_M!$B$1:$ZN$1,0)),"")</f>
        <v/>
      </c>
    </row>
    <row r="127" spans="1:54" x14ac:dyDescent="0.25">
      <c r="A127" s="2">
        <v>40359</v>
      </c>
      <c r="B127">
        <f>IF(ISNUMBER(INDEX(Haver_Q!$B$1:$BD$1000,MATCH(data!$A127,Haver_Q!$B$1:$B$1000,0),MATCH(data!B$1,Haver_Q!$B$1:$BD$1,0))),100*INDEX(Haver_Q!$B$1:$BD$1000,MATCH(data!$A127,Haver_Q!$B$1:$B$1000,0),MATCH(data!B$1,Haver_Q!$B$1:$BD$1,0)),"na")</f>
        <v>4.325706913864491</v>
      </c>
      <c r="C127">
        <f>IF(ISNUMBER(INDEX(Haver_Q!$B$1:$BD$1000,MATCH(data!$A127,Haver_Q!$B$1:$B$1000,0),MATCH(data!C$1,Haver_Q!$B$1:$BD$1,0))),100*INDEX(Haver_Q!$B$1:$BD$1000,MATCH(data!$A127,Haver_Q!$B$1:$B$1000,0),MATCH(data!C$1,Haver_Q!$B$1:$BD$1,0)),"na")</f>
        <v>7.4570257454055655</v>
      </c>
      <c r="D127">
        <f>IF(ISNUMBER(INDEX(Haver_Q!$B$1:$BD$1000,MATCH(data!$A127,Haver_Q!$B$1:$B$1000,0),MATCH(data!D$1,Haver_Q!$B$1:$BD$1,0))),100*INDEX(Haver_Q!$B$1:$BD$1000,MATCH(data!$A127,Haver_Q!$B$1:$B$1000,0),MATCH(data!D$1,Haver_Q!$B$1:$BD$1,0)),"na")</f>
        <v>3.7226059619350549</v>
      </c>
      <c r="E127">
        <f>IF(ISNUMBER(INDEX(Haver_Q!$B$1:$BD$1000,MATCH(data!$A127,Haver_Q!$B$1:$B$1000,0),MATCH(data!E$1,Haver_Q!$B$1:$BD$1,0))),100*INDEX(Haver_Q!$B$1:$BD$1000,MATCH(data!$A127,Haver_Q!$B$1:$B$1000,0),MATCH(data!E$1,Haver_Q!$B$1:$BD$1,0)),"na")</f>
        <v>1.616806181682473</v>
      </c>
      <c r="F127">
        <f>IF(ISNUMBER(INDEX(Haver_Q!$B$1:$BD$1000,MATCH(data!$A127,Haver_Q!$B$1:$B$1000,0),MATCH(data!F$1,Haver_Q!$B$1:$BD$1,0))),100*INDEX(Haver_Q!$B$1:$BD$1000,MATCH(data!$A127,Haver_Q!$B$1:$B$1000,0),MATCH(data!F$1,Haver_Q!$B$1:$BD$1,0)),"na")</f>
        <v>21.851792238036793</v>
      </c>
      <c r="G127">
        <f>IF(ISNUMBER(INDEX(Haver_Q!$B$1:$BD$1000,MATCH(data!$A127,Haver_Q!$B$1:$B$1000,0),MATCH(data!G$1,Haver_Q!$B$1:$BD$1,0))),100*INDEX(Haver_Q!$B$1:$BD$1000,MATCH(data!$A127,Haver_Q!$B$1:$B$1000,0),MATCH(data!G$1,Haver_Q!$B$1:$BD$1,0)),"na")</f>
        <v>13.493423910333235</v>
      </c>
      <c r="H127">
        <f>IF(ISNUMBER(INDEX(Haver_Q!$B$1:$BD$1000,MATCH(data!$A127,Haver_Q!$B$1:$B$1000,0),MATCH(data!H$1,Haver_Q!$B$1:$BD$1,0))),100*INDEX(Haver_Q!$B$1:$BD$1000,MATCH(data!$A127,Haver_Q!$B$1:$B$1000,0),MATCH(data!H$1,Haver_Q!$B$1:$BD$1,0)),"na")</f>
        <v>603.76504674532214</v>
      </c>
      <c r="I127" s="3">
        <f>IF(ISNUMBER(Bloomberg_m!C143),Bloomberg_m!C143,"na")</f>
        <v>3088</v>
      </c>
      <c r="J127" s="3" t="str">
        <f>IF(ISNUMBER(Bloomberg_m!D143),Bloomberg_m!D143,"na")</f>
        <v>na</v>
      </c>
      <c r="K127" s="3" t="str">
        <f>IF(ISNUMBER(Bloomberg_m!E143),Bloomberg_m!E143,"na")</f>
        <v>na</v>
      </c>
      <c r="L127" s="3">
        <f>IF(ISNUMBER(Bloomberg_m!L143),Bloomberg_m!L143,"na")</f>
        <v>75.349999999999994</v>
      </c>
      <c r="M127">
        <f>IF(ISNUMBER(INDEX(Haver_M!$B$1:$ZN$1000,MATCH(data!$A127,Haver_M!$B$1:$B$1000,0),MATCH(data!M$1,Haver_M!$B$1:$ZN$1,0))),INDEX(Haver_M!$B$1:$ZN$1000,MATCH(data!$A127,Haver_M!$B$1:$B$1000,0),MATCH(data!M$1,Haver_M!$B$1:$ZN$1,0)),"na")</f>
        <v>4.5</v>
      </c>
      <c r="N127">
        <f>IF(ISNUMBER(INDEX(Haver_M!$B$1:$ZN$1000,MATCH(data!$A127,Haver_M!$B$1:$B$1000,0),MATCH(data!N$1,Haver_M!$B$1:$ZN$1,0))),INDEX(Haver_M!$B$1:$ZN$1000,MATCH(data!$A127,Haver_M!$B$1:$B$1000,0),MATCH(data!N$1,Haver_M!$B$1:$ZN$1,0)),"na")</f>
        <v>6.9645999999999999</v>
      </c>
      <c r="O127">
        <f>IF(ISNUMBER(INDEX(Haver_M!$B$1:$ZN$1000,MATCH(data!$A127,Haver_M!$B$1:$B$1000,0),MATCH(data!O$1,Haver_M!$B$1:$ZN$1,0))),INDEX(Haver_M!$B$1:$ZN$1000,MATCH(data!$A127,Haver_M!$B$1:$B$1000,0),MATCH(data!O$1,Haver_M!$B$1:$ZN$1,0)),"na")</f>
        <v>100.55537</v>
      </c>
      <c r="P127">
        <f>IF(ISNUMBER(INDEX(Haver_M!$B$1:$ZN$1000,MATCH(data!$A127,Haver_M!$B$1:$B$1000,0),MATCH(data!P$1,Haver_M!$B$1:$ZN$1,0))),INDEX(Haver_M!$B$1:$ZN$1000,MATCH(data!$A127,Haver_M!$B$1:$B$1000,0),MATCH(data!P$1,Haver_M!$B$1:$ZN$1,0)),"na")</f>
        <v>73.213499999999996</v>
      </c>
      <c r="Q127">
        <f>IF(ISNUMBER(INDEX(Haver_M!$B$1:$ZN$1000,MATCH(data!$A127,Haver_M!$B$1:$B$1000,0),MATCH(data!Q$1,Haver_M!$B$1:$ZN$1,0))),INDEX(Haver_M!$B$1:$ZN$1000,MATCH(data!$A127,Haver_M!$B$1:$B$1000,0),MATCH(data!Q$1,Haver_M!$B$1:$ZN$1,0)),"na")</f>
        <v>76.962199999999996</v>
      </c>
      <c r="R127">
        <f>IF(ISNUMBER(INDEX(Haver_M!$B$1:$ZN$1000,MATCH(data!$A127,Haver_M!$B$1:$B$1000,0),MATCH(data!R$1,Haver_M!$B$1:$ZN$1,0))),INDEX(Haver_M!$B$1:$ZN$1000,MATCH(data!$A127,Haver_M!$B$1:$B$1000,0),MATCH(data!R$1,Haver_M!$B$1:$ZN$1,0)),"na")</f>
        <v>94.656800000000004</v>
      </c>
      <c r="S127">
        <f>IF(ISNUMBER(INDEX(Haver_M!$B$1:$ZN$1000,MATCH(data!$A127,Haver_M!$B$1:$B$1000,0),MATCH(data!S$1,Haver_M!$B$1:$ZN$1,0))),INDEX(Haver_M!$B$1:$ZN$1000,MATCH(data!$A127,Haver_M!$B$1:$B$1000,0),MATCH(data!S$1,Haver_M!$B$1:$ZN$1,0)),"na")</f>
        <v>99.643600000000006</v>
      </c>
      <c r="T127">
        <f>IF(ISNUMBER(INDEX(Haver_M!$B$1:$ZN$1000,MATCH(data!$A127,Haver_M!$B$1:$B$1000,0),MATCH(data!T$1,Haver_M!$B$1:$ZN$1,0))),INDEX(Haver_M!$B$1:$ZN$1000,MATCH(data!$A127,Haver_M!$B$1:$B$1000,0),MATCH(data!T$1,Haver_M!$B$1:$ZN$1,0)),"na")</f>
        <v>91.796499999999995</v>
      </c>
      <c r="U127">
        <f>IF(ISNUMBER(INDEX(Haver_M!$B$1:$ZN$1000,MATCH(data!$A127,Haver_M!$B$1:$B$1000,0),MATCH(data!U$1,Haver_M!$B$1:$ZN$1,0))),INDEX(Haver_M!$B$1:$ZN$1000,MATCH(data!$A127,Haver_M!$B$1:$B$1000,0),MATCH(data!U$1,Haver_M!$B$1:$ZN$1,0)),"na")</f>
        <v>93.301199999999994</v>
      </c>
      <c r="V127">
        <f>IF(ISNUMBER(INDEX(Haver_M!$B$1:$ZN$1000,MATCH(data!$A127,Haver_M!$B$1:$B$1000,0),MATCH(data!V$1,Haver_M!$B$1:$ZN$1,0))),INDEX(Haver_M!$B$1:$ZN$1000,MATCH(data!$A127,Haver_M!$B$1:$B$1000,0),MATCH(data!V$1,Haver_M!$B$1:$ZN$1,0)),"na")</f>
        <v>92.900599999999997</v>
      </c>
      <c r="W127">
        <f>IF(ISNUMBER(INDEX(Haver_M!$B$1:$ZN$1000,MATCH(data!$A127,Haver_M!$B$1:$B$1000,0),MATCH(data!W$1,Haver_M!$B$1:$ZN$1,0))),INDEX(Haver_M!$B$1:$ZN$1000,MATCH(data!$A127,Haver_M!$B$1:$B$1000,0),MATCH(data!W$1,Haver_M!$B$1:$ZN$1,0)),"na")</f>
        <v>5.19</v>
      </c>
      <c r="X127">
        <f>IF(ISNUMBER(INDEX(Haver_M!$B$1:$ZN$1000,MATCH(data!$A127,Haver_M!$B$1:$B$1000,0),MATCH(data!X$1,Haver_M!$B$1:$ZN$1,0))),INDEX(Haver_M!$B$1:$ZN$1000,MATCH(data!$A127,Haver_M!$B$1:$B$1000,0),MATCH(data!X$1,Haver_M!$B$1:$ZN$1,0)),"na")</f>
        <v>99.39</v>
      </c>
      <c r="Y127">
        <f>IF(ISNUMBER(INDEX(Haver_M!$B$1:$ZN$1000,MATCH(data!$A127,Haver_M!$B$1:$B$1000,0),MATCH(data!Y$1,Haver_M!$B$1:$ZN$1,0))),INDEX(Haver_M!$B$1:$ZN$1000,MATCH(data!$A127,Haver_M!$B$1:$B$1000,0),MATCH(data!Y$1,Haver_M!$B$1:$ZN$1,0)),"na")</f>
        <v>100.53</v>
      </c>
      <c r="Z127">
        <f>IF(ISNUMBER(INDEX(Haver_M!$B$1:$ZN$1000,MATCH(data!$A127,Haver_M!$B$1:$B$1000,0),MATCH(data!Z$1,Haver_M!$B$1:$ZN$1,0))),INDEX(Haver_M!$B$1:$ZN$1000,MATCH(data!$A127,Haver_M!$B$1:$B$1000,0),MATCH(data!Z$1,Haver_M!$B$1:$ZN$1,0)),"na")</f>
        <v>94.064700000000002</v>
      </c>
      <c r="AA127">
        <f>IF(ISNUMBER(INDEX(Haver_M!$B$1:$ZN$1000,MATCH(data!$A127,Haver_M!$B$1:$B$1000,0),MATCH(data!AA$1,Haver_M!$B$1:$ZN$1,0))),INDEX(Haver_M!$B$1:$ZN$1000,MATCH(data!$A127,Haver_M!$B$1:$B$1000,0),MATCH(data!AA$1,Haver_M!$B$1:$ZN$1,0)),"na")</f>
        <v>92.732399999999998</v>
      </c>
      <c r="AB127">
        <f>IF(ISNUMBER(INDEX(Haver_M!$B$1:$ZN$1000,MATCH(data!$A127,Haver_M!$B$1:$B$1000,0),MATCH(data!AB$1,Haver_M!$B$1:$ZN$1,0))),INDEX(Haver_M!$B$1:$ZN$1000,MATCH(data!$A127,Haver_M!$B$1:$B$1000,0),MATCH(data!AB$1,Haver_M!$B$1:$ZN$1,0)),"na")</f>
        <v>23337.8</v>
      </c>
      <c r="AC127">
        <f>IF(ISNUMBER(INDEX(Haver_M!$B$1:$ZN$1000,MATCH(data!$A127,Haver_M!$B$1:$B$1000,0),MATCH(data!AC$1,Haver_M!$B$1:$ZN$1,0))),INDEX(Haver_M!$B$1:$ZN$1000,MATCH(data!$A127,Haver_M!$B$1:$B$1000,0),MATCH(data!AC$1,Haver_M!$B$1:$ZN$1,0)),"na")</f>
        <v>24380.5</v>
      </c>
      <c r="AD127">
        <f>IF(ISNUMBER(INDEX(Haver_M!$B$1:$ZN$1000,MATCH(data!$A127,Haver_M!$B$1:$B$1000,0),MATCH(data!AD$1,Haver_M!$B$1:$ZN$1,0))),INDEX(Haver_M!$B$1:$ZN$1000,MATCH(data!$A127,Haver_M!$B$1:$B$1000,0),MATCH(data!AD$1,Haver_M!$B$1:$ZN$1,0)),"na")</f>
        <v>99.15</v>
      </c>
      <c r="AE127">
        <f>IF(ISNUMBER(INDEX(Haver_M!$B$1:$ZN$1000,MATCH(data!$A127,Haver_M!$B$1:$B$1000,0),MATCH(data!AE$1,Haver_M!$B$1:$ZN$1,0))),INDEX(Haver_M!$B$1:$ZN$1000,MATCH(data!$A127,Haver_M!$B$1:$B$1000,0),MATCH(data!AE$1,Haver_M!$B$1:$ZN$1,0)),"na")</f>
        <v>36.6</v>
      </c>
      <c r="AF127">
        <f>IF(ISNUMBER(INDEX(Haver_M!$B$1:$ZN$1000,MATCH(data!$A127,Haver_M!$B$1:$B$1000,0),MATCH(data!AF$1,Haver_M!$B$1:$ZN$1,0))),INDEX(Haver_M!$B$1:$ZN$1000,MATCH(data!$A127,Haver_M!$B$1:$B$1000,0),MATCH(data!AF$1,Haver_M!$B$1:$ZN$1,0)),"na")</f>
        <v>101.29</v>
      </c>
      <c r="AG127" t="str">
        <f>IF(ISNUMBER(INDEX(Haver_M!$B$1:$ZN$1000,MATCH(data!$A127,Haver_M!$B$1:$B$1000,0),MATCH(data!AG$1,Haver_M!$B$1:$ZN$1,0))),INDEX(Haver_M!$B$1:$ZN$1000,MATCH(data!$A127,Haver_M!$B$1:$B$1000,0),MATCH(data!AG$1,Haver_M!$B$1:$ZN$1,0)),"na")</f>
        <v>na</v>
      </c>
      <c r="AH127" t="str">
        <f>IF(ISNUMBER(INDEX(Haver_M!$B$1:$ZN$1000,MATCH(data!$A127,Haver_M!$B$1:$B$1000,0),MATCH(data!AH$1,Haver_M!$B$1:$ZN$1,0))),INDEX(Haver_M!$B$1:$ZN$1000,MATCH(data!$A127,Haver_M!$B$1:$B$1000,0),MATCH(data!AH$1,Haver_M!$B$1:$ZN$1,0)),"na")</f>
        <v>na</v>
      </c>
      <c r="AI127" t="str">
        <f>IF(ISNUMBER(INDEX(Haver_M!$B$1:$ZN$1000,MATCH(data!$A127,Haver_M!$B$1:$B$1000,0),MATCH(data!AI$1,Haver_M!$B$1:$ZN$1,0))),INDEX(Haver_M!$B$1:$ZN$1000,MATCH(data!$A127,Haver_M!$B$1:$B$1000,0),MATCH(data!AI$1,Haver_M!$B$1:$ZN$1,0)),"na")</f>
        <v>na</v>
      </c>
      <c r="AJ127" t="str">
        <f>IF(ISNUMBER(INDEX(Haver_M!$B$1:$ZN$1000,MATCH(data!$A127,Haver_M!$B$1:$B$1000,0),MATCH(data!AJ$1,Haver_M!$B$1:$ZN$1,0))),INDEX(Haver_M!$B$1:$ZN$1000,MATCH(data!$A127,Haver_M!$B$1:$B$1000,0),MATCH(data!AJ$1,Haver_M!$B$1:$ZN$1,0)),"na")</f>
        <v>na</v>
      </c>
      <c r="AK127" t="str">
        <f>IF(ISNUMBER(INDEX(Haver_M!$B$1:$ZN$1000,MATCH(data!$A127,Haver_M!$B$1:$B$1000,0),MATCH(data!AK$1,Haver_M!$B$1:$ZN$1,0))),INDEX(Haver_M!$B$1:$ZN$1000,MATCH(data!$A127,Haver_M!$B$1:$B$1000,0),MATCH(data!AK$1,Haver_M!$B$1:$ZN$1,0)),"na")</f>
        <v>na</v>
      </c>
      <c r="AL127" t="str">
        <f>IF(ISNUMBER(INDEX(Haver_M!$B$1:$ZN$1000,MATCH(data!$A127,Haver_M!$B$1:$B$1000,0),MATCH(data!AL$1,Haver_M!$B$1:$ZN$1,0))),INDEX(Haver_M!$B$1:$ZN$1000,MATCH(data!$A127,Haver_M!$B$1:$B$1000,0),MATCH(data!AL$1,Haver_M!$B$1:$ZN$1,0)),"na")</f>
        <v>na</v>
      </c>
      <c r="AM127" t="str">
        <f>IF(ISNUMBER(INDEX(Haver_M!$B$1:$ZN$1000,MATCH(data!$A127,Haver_M!$B$1:$B$1000,0),MATCH(data!AM$1,Haver_M!$B$1:$ZN$1,0))),INDEX(Haver_M!$B$1:$ZN$1000,MATCH(data!$A127,Haver_M!$B$1:$B$1000,0),MATCH(data!AM$1,Haver_M!$B$1:$ZN$1,0)),"na")</f>
        <v>na</v>
      </c>
      <c r="AN127" t="str">
        <f>IF(ISNUMBER(INDEX(Haver_M!$B$1:$ZN$1000,MATCH(data!$A127,Haver_M!$B$1:$B$1000,0),MATCH(data!AN$1,Haver_M!$B$1:$ZN$1,0))),INDEX(Haver_M!$B$1:$ZN$1000,MATCH(data!$A127,Haver_M!$B$1:$B$1000,0),MATCH(data!AN$1,Haver_M!$B$1:$ZN$1,0)),"na")</f>
        <v>na</v>
      </c>
      <c r="AO127" t="str">
        <f>IF(ISNUMBER(INDEX(Haver_M!$B$1:$ZN$1000,MATCH(data!$A127,Haver_M!$B$1:$B$1000,0),MATCH(data!AO$1,Haver_M!$B$1:$ZN$1,0))),INDEX(Haver_M!$B$1:$ZN$1000,MATCH(data!$A127,Haver_M!$B$1:$B$1000,0),MATCH(data!AO$1,Haver_M!$B$1:$ZN$1,0)),"na")</f>
        <v>na</v>
      </c>
      <c r="AP127" t="str">
        <f>IF(ISNUMBER(INDEX(Haver_M!$B$1:$ZN$1000,MATCH(data!$A127,Haver_M!$B$1:$B$1000,0),MATCH(data!AP$1,Haver_M!$B$1:$ZN$1,0))),INDEX(Haver_M!$B$1:$ZN$1000,MATCH(data!$A127,Haver_M!$B$1:$B$1000,0),MATCH(data!AP$1,Haver_M!$B$1:$ZN$1,0)),"na")</f>
        <v>na</v>
      </c>
      <c r="AQ127" t="str">
        <f>IF(ISNUMBER(INDEX(Haver_M!$B$1:$ZN$1000,MATCH(data!$A127,Haver_M!$B$1:$B$1000,0),MATCH(data!AQ$1,Haver_M!$B$1:$ZN$1,0))),INDEX(Haver_M!$B$1:$ZN$1000,MATCH(data!$A127,Haver_M!$B$1:$B$1000,0),MATCH(data!AQ$1,Haver_M!$B$1:$ZN$1,0)),"na")</f>
        <v>na</v>
      </c>
      <c r="AR127" t="str">
        <f>IF(ISNUMBER(INDEX(Haver_M!$B$1:$ZN$1000,MATCH(data!$A127,Haver_M!$B$1:$B$1000,0),MATCH(data!AR$1,Haver_M!$B$1:$ZN$1,0))),INDEX(Haver_M!$B$1:$ZN$1000,MATCH(data!$A127,Haver_M!$B$1:$B$1000,0),MATCH(data!AR$1,Haver_M!$B$1:$ZN$1,0)),"na")</f>
        <v>na</v>
      </c>
      <c r="AS127">
        <f>IF(ISNUMBER(INDEX(Haver_M!$B$1:$ZN$1000,MATCH(data!$A127,Haver_M!$B$1:$B$1000,0),MATCH(data!AS$1,Haver_M!$B$1:$ZN$1,0))),INDEX(Haver_M!$B$1:$ZN$1000,MATCH(data!$A127,Haver_M!$B$1:$B$1000,0),MATCH(data!AS$1,Haver_M!$B$1:$ZN$1,0)),"na")</f>
        <v>31976.3</v>
      </c>
      <c r="AT127">
        <f>IF(ISNUMBER(INDEX(Haver_M!$B$1:$ZN$1000,MATCH(data!$A127,Haver_M!$B$1:$B$1000,0),MATCH(data!AT$1,Haver_M!$B$1:$ZN$1,0))),INDEX(Haver_M!$B$1:$ZN$1000,MATCH(data!$A127,Haver_M!$B$1:$B$1000,0),MATCH(data!AT$1,Haver_M!$B$1:$ZN$1,0)),"na")</f>
        <v>92.893000000000001</v>
      </c>
      <c r="AU127">
        <f>IF(ISNUMBER(INDEX(Haver_M!$B$1:$ZN$1000,MATCH(data!$A127,Haver_M!$B$1:$B$1000,0),MATCH(data!AU$1,Haver_M!$B$1:$ZN$1,0))),INDEX(Haver_M!$B$1:$ZN$1000,MATCH(data!$A127,Haver_M!$B$1:$B$1000,0),MATCH(data!AU$1,Haver_M!$B$1:$ZN$1,0)),"na")</f>
        <v>91.479737999999998</v>
      </c>
      <c r="AV127">
        <f>IF(ISNUMBER(INDEX(Haver_M!$B$1:$ZN$1000,MATCH(data!$A127,Haver_M!$B$1:$B$1000,0),MATCH(data!AV$1,Haver_M!$B$1:$ZN$1,0))),INDEX(Haver_M!$B$1:$ZN$1000,MATCH(data!$A127,Haver_M!$B$1:$B$1000,0),MATCH(data!AV$1,Haver_M!$B$1:$ZN$1,0)),"na")</f>
        <v>90.3</v>
      </c>
      <c r="AW127">
        <f>IF(ISNUMBER(INDEX(Haver_M!$B$1:$ZN$1000,MATCH(data!$A127,Haver_M!$B$1:$B$1000,0),MATCH(data!AW$1,Haver_M!$B$1:$ZN$1,0))),INDEX(Haver_M!$B$1:$ZN$1000,MATCH(data!$A127,Haver_M!$B$1:$B$1000,0),MATCH(data!AW$1,Haver_M!$B$1:$ZN$1,0)),"na")</f>
        <v>973916.83609991986</v>
      </c>
      <c r="AX127">
        <f>IF(ISNUMBER(INDEX(Haver_M!$B$1:$ZN$1000,MATCH(data!$A127,Haver_M!$B$1:$B$1000,0),MATCH(data!AX$1,Haver_M!$B$1:$ZN$1,0))),INDEX(Haver_M!$B$1:$ZN$1000,MATCH(data!$A127,Haver_M!$B$1:$B$1000,0),MATCH(data!AX$1,Haver_M!$B$1:$ZN$1,0)),"na")</f>
        <v>2547</v>
      </c>
      <c r="AY127">
        <f>IF(ISNUMBER(INDEX(Haver_M!$B$1:$ZN$1000,MATCH(data!$A127,Haver_M!$B$1:$B$1000,0),MATCH(data!AY$1,Haver_M!$B$1:$ZN$1,0))),INDEX(Haver_M!$B$1:$ZN$1000,MATCH(data!$A127,Haver_M!$B$1:$B$1000,0),MATCH(data!AY$1,Haver_M!$B$1:$ZN$1,0)),"na")</f>
        <v>1110</v>
      </c>
      <c r="AZ127">
        <f>IF(ISNUMBER(INDEX(Haver_M!$B$1:$ZN$1000,MATCH(data!$A127,Haver_M!$B$1:$B$1000,0),MATCH(data!AZ$1,Haver_M!$B$1:$ZN$1,0))),INDEX(Haver_M!$B$1:$ZN$1000,MATCH(data!$A127,Haver_M!$B$1:$B$1000,0),MATCH(data!AZ$1,Haver_M!$B$1:$ZN$1,0)),"na")</f>
        <v>54.4</v>
      </c>
      <c r="BA127">
        <f>IF(ISNUMBER(INDEX(Haver_M!$B$1:$ZN$1000,MATCH(data!$A127,Haver_M!$B$1:$B$1000,0),MATCH(data!BA$1,Haver_M!$B$1:$ZN$1,0))),INDEX(Haver_M!$B$1:$ZN$1000,MATCH(data!$A127,Haver_M!$B$1:$B$1000,0),MATCH(data!BA$1,Haver_M!$B$1:$ZN$1,0)),"na")</f>
        <v>43.951951367465263</v>
      </c>
      <c r="BB127" t="str">
        <f>IF(ISNUMBER(INDEX(Haver_M!$B$1:$ZN$1000,MATCH(data!$A127,Haver_M!$B$1:$B$1000,0),MATCH(data!BB$1,Haver_M!$B$1:$ZN$1,0))),INDEX(Haver_M!$B$1:$ZN$1000,MATCH(data!$A127,Haver_M!$B$1:$B$1000,0),MATCH(data!BB$1,Haver_M!$B$1:$ZN$1,0)),"")</f>
        <v/>
      </c>
    </row>
    <row r="128" spans="1:54" x14ac:dyDescent="0.25">
      <c r="A128" s="2">
        <v>40390</v>
      </c>
      <c r="B128" t="str">
        <f>IF(ISNUMBER(INDEX(Haver_Q!$B$1:$BD$1000,MATCH(data!$A128,Haver_Q!$B$1:$B$1000,0),MATCH(data!B$1,Haver_Q!$B$1:$BD$1,0))),100*INDEX(Haver_Q!$B$1:$BD$1000,MATCH(data!$A128,Haver_Q!$B$1:$B$1000,0),MATCH(data!B$1,Haver_Q!$B$1:$BD$1,0)),"na")</f>
        <v>na</v>
      </c>
      <c r="C128" t="str">
        <f>IF(ISNUMBER(INDEX(Haver_Q!$B$1:$BD$1000,MATCH(data!$A128,Haver_Q!$B$1:$B$1000,0),MATCH(data!C$1,Haver_Q!$B$1:$BD$1,0))),100*INDEX(Haver_Q!$B$1:$BD$1000,MATCH(data!$A128,Haver_Q!$B$1:$B$1000,0),MATCH(data!C$1,Haver_Q!$B$1:$BD$1,0)),"na")</f>
        <v>na</v>
      </c>
      <c r="D128" t="str">
        <f>IF(ISNUMBER(INDEX(Haver_Q!$B$1:$BD$1000,MATCH(data!$A128,Haver_Q!$B$1:$B$1000,0),MATCH(data!D$1,Haver_Q!$B$1:$BD$1,0))),100*INDEX(Haver_Q!$B$1:$BD$1000,MATCH(data!$A128,Haver_Q!$B$1:$B$1000,0),MATCH(data!D$1,Haver_Q!$B$1:$BD$1,0)),"na")</f>
        <v>na</v>
      </c>
      <c r="E128" t="str">
        <f>IF(ISNUMBER(INDEX(Haver_Q!$B$1:$BD$1000,MATCH(data!$A128,Haver_Q!$B$1:$B$1000,0),MATCH(data!E$1,Haver_Q!$B$1:$BD$1,0))),100*INDEX(Haver_Q!$B$1:$BD$1000,MATCH(data!$A128,Haver_Q!$B$1:$B$1000,0),MATCH(data!E$1,Haver_Q!$B$1:$BD$1,0)),"na")</f>
        <v>na</v>
      </c>
      <c r="F128" t="str">
        <f>IF(ISNUMBER(INDEX(Haver_Q!$B$1:$BD$1000,MATCH(data!$A128,Haver_Q!$B$1:$B$1000,0),MATCH(data!F$1,Haver_Q!$B$1:$BD$1,0))),100*INDEX(Haver_Q!$B$1:$BD$1000,MATCH(data!$A128,Haver_Q!$B$1:$B$1000,0),MATCH(data!F$1,Haver_Q!$B$1:$BD$1,0)),"na")</f>
        <v>na</v>
      </c>
      <c r="G128" t="str">
        <f>IF(ISNUMBER(INDEX(Haver_Q!$B$1:$BD$1000,MATCH(data!$A128,Haver_Q!$B$1:$B$1000,0),MATCH(data!G$1,Haver_Q!$B$1:$BD$1,0))),100*INDEX(Haver_Q!$B$1:$BD$1000,MATCH(data!$A128,Haver_Q!$B$1:$B$1000,0),MATCH(data!G$1,Haver_Q!$B$1:$BD$1,0)),"na")</f>
        <v>na</v>
      </c>
      <c r="H128" t="str">
        <f>IF(ISNUMBER(INDEX(Haver_Q!$B$1:$BD$1000,MATCH(data!$A128,Haver_Q!$B$1:$B$1000,0),MATCH(data!H$1,Haver_Q!$B$1:$BD$1,0))),100*INDEX(Haver_Q!$B$1:$BD$1000,MATCH(data!$A128,Haver_Q!$B$1:$B$1000,0),MATCH(data!H$1,Haver_Q!$B$1:$BD$1,0)),"na")</f>
        <v>na</v>
      </c>
      <c r="I128" s="3">
        <f>IF(ISNUMBER(Bloomberg_m!C144),Bloomberg_m!C144,"na")</f>
        <v>1910</v>
      </c>
      <c r="J128" s="3" t="str">
        <f>IF(ISNUMBER(Bloomberg_m!D144),Bloomberg_m!D144,"na")</f>
        <v>na</v>
      </c>
      <c r="K128" s="3" t="str">
        <f>IF(ISNUMBER(Bloomberg_m!E144),Bloomberg_m!E144,"na")</f>
        <v>na</v>
      </c>
      <c r="L128" s="3">
        <f>IF(ISNUMBER(Bloomberg_m!L144),Bloomberg_m!L144,"na")</f>
        <v>76.349999999999994</v>
      </c>
      <c r="M128">
        <f>IF(ISNUMBER(INDEX(Haver_M!$B$1:$ZN$1000,MATCH(data!$A128,Haver_M!$B$1:$B$1000,0),MATCH(data!M$1,Haver_M!$B$1:$ZN$1,0))),INDEX(Haver_M!$B$1:$ZN$1000,MATCH(data!$A128,Haver_M!$B$1:$B$1000,0),MATCH(data!M$1,Haver_M!$B$1:$ZN$1,0)),"na")</f>
        <v>4.5</v>
      </c>
      <c r="N128">
        <f>IF(ISNUMBER(INDEX(Haver_M!$B$1:$ZN$1000,MATCH(data!$A128,Haver_M!$B$1:$B$1000,0),MATCH(data!N$1,Haver_M!$B$1:$ZN$1,0))),INDEX(Haver_M!$B$1:$ZN$1000,MATCH(data!$A128,Haver_M!$B$1:$B$1000,0),MATCH(data!N$1,Haver_M!$B$1:$ZN$1,0)),"na")</f>
        <v>6.6839000000000004</v>
      </c>
      <c r="O128">
        <f>IF(ISNUMBER(INDEX(Haver_M!$B$1:$ZN$1000,MATCH(data!$A128,Haver_M!$B$1:$B$1000,0),MATCH(data!O$1,Haver_M!$B$1:$ZN$1,0))),INDEX(Haver_M!$B$1:$ZN$1000,MATCH(data!$A128,Haver_M!$B$1:$B$1000,0),MATCH(data!O$1,Haver_M!$B$1:$ZN$1,0)),"na")</f>
        <v>98.901439999999994</v>
      </c>
      <c r="P128">
        <f>IF(ISNUMBER(INDEX(Haver_M!$B$1:$ZN$1000,MATCH(data!$A128,Haver_M!$B$1:$B$1000,0),MATCH(data!P$1,Haver_M!$B$1:$ZN$1,0))),INDEX(Haver_M!$B$1:$ZN$1000,MATCH(data!$A128,Haver_M!$B$1:$B$1000,0),MATCH(data!P$1,Haver_M!$B$1:$ZN$1,0)),"na")</f>
        <v>73.354699999999994</v>
      </c>
      <c r="Q128">
        <f>IF(ISNUMBER(INDEX(Haver_M!$B$1:$ZN$1000,MATCH(data!$A128,Haver_M!$B$1:$B$1000,0),MATCH(data!Q$1,Haver_M!$B$1:$ZN$1,0))),INDEX(Haver_M!$B$1:$ZN$1000,MATCH(data!$A128,Haver_M!$B$1:$B$1000,0),MATCH(data!Q$1,Haver_M!$B$1:$ZN$1,0)),"na")</f>
        <v>77.155299999999997</v>
      </c>
      <c r="R128">
        <f>IF(ISNUMBER(INDEX(Haver_M!$B$1:$ZN$1000,MATCH(data!$A128,Haver_M!$B$1:$B$1000,0),MATCH(data!R$1,Haver_M!$B$1:$ZN$1,0))),INDEX(Haver_M!$B$1:$ZN$1000,MATCH(data!$A128,Haver_M!$B$1:$B$1000,0),MATCH(data!R$1,Haver_M!$B$1:$ZN$1,0)),"na")</f>
        <v>94.484200000000001</v>
      </c>
      <c r="S128">
        <f>IF(ISNUMBER(INDEX(Haver_M!$B$1:$ZN$1000,MATCH(data!$A128,Haver_M!$B$1:$B$1000,0),MATCH(data!S$1,Haver_M!$B$1:$ZN$1,0))),INDEX(Haver_M!$B$1:$ZN$1000,MATCH(data!$A128,Haver_M!$B$1:$B$1000,0),MATCH(data!S$1,Haver_M!$B$1:$ZN$1,0)),"na")</f>
        <v>98.673400000000001</v>
      </c>
      <c r="T128">
        <f>IF(ISNUMBER(INDEX(Haver_M!$B$1:$ZN$1000,MATCH(data!$A128,Haver_M!$B$1:$B$1000,0),MATCH(data!T$1,Haver_M!$B$1:$ZN$1,0))),INDEX(Haver_M!$B$1:$ZN$1000,MATCH(data!$A128,Haver_M!$B$1:$B$1000,0),MATCH(data!T$1,Haver_M!$B$1:$ZN$1,0)),"na")</f>
        <v>95.264399999999995</v>
      </c>
      <c r="U128">
        <f>IF(ISNUMBER(INDEX(Haver_M!$B$1:$ZN$1000,MATCH(data!$A128,Haver_M!$B$1:$B$1000,0),MATCH(data!U$1,Haver_M!$B$1:$ZN$1,0))),INDEX(Haver_M!$B$1:$ZN$1000,MATCH(data!$A128,Haver_M!$B$1:$B$1000,0),MATCH(data!U$1,Haver_M!$B$1:$ZN$1,0)),"na")</f>
        <v>94.118799999999993</v>
      </c>
      <c r="V128">
        <f>IF(ISNUMBER(INDEX(Haver_M!$B$1:$ZN$1000,MATCH(data!$A128,Haver_M!$B$1:$B$1000,0),MATCH(data!V$1,Haver_M!$B$1:$ZN$1,0))),INDEX(Haver_M!$B$1:$ZN$1000,MATCH(data!$A128,Haver_M!$B$1:$B$1000,0),MATCH(data!V$1,Haver_M!$B$1:$ZN$1,0)),"na")</f>
        <v>92.728999999999999</v>
      </c>
      <c r="W128">
        <f>IF(ISNUMBER(INDEX(Haver_M!$B$1:$ZN$1000,MATCH(data!$A128,Haver_M!$B$1:$B$1000,0),MATCH(data!W$1,Haver_M!$B$1:$ZN$1,0))),INDEX(Haver_M!$B$1:$ZN$1000,MATCH(data!$A128,Haver_M!$B$1:$B$1000,0),MATCH(data!W$1,Haver_M!$B$1:$ZN$1,0)),"na")</f>
        <v>5.38</v>
      </c>
      <c r="X128">
        <f>IF(ISNUMBER(INDEX(Haver_M!$B$1:$ZN$1000,MATCH(data!$A128,Haver_M!$B$1:$B$1000,0),MATCH(data!X$1,Haver_M!$B$1:$ZN$1,0))),INDEX(Haver_M!$B$1:$ZN$1000,MATCH(data!$A128,Haver_M!$B$1:$B$1000,0),MATCH(data!X$1,Haver_M!$B$1:$ZN$1,0)),"na")</f>
        <v>99.4</v>
      </c>
      <c r="Y128">
        <f>IF(ISNUMBER(INDEX(Haver_M!$B$1:$ZN$1000,MATCH(data!$A128,Haver_M!$B$1:$B$1000,0),MATCH(data!Y$1,Haver_M!$B$1:$ZN$1,0))),INDEX(Haver_M!$B$1:$ZN$1000,MATCH(data!$A128,Haver_M!$B$1:$B$1000,0),MATCH(data!Y$1,Haver_M!$B$1:$ZN$1,0)),"na")</f>
        <v>100.57</v>
      </c>
      <c r="Z128">
        <f>IF(ISNUMBER(INDEX(Haver_M!$B$1:$ZN$1000,MATCH(data!$A128,Haver_M!$B$1:$B$1000,0),MATCH(data!Z$1,Haver_M!$B$1:$ZN$1,0))),INDEX(Haver_M!$B$1:$ZN$1000,MATCH(data!$A128,Haver_M!$B$1:$B$1000,0),MATCH(data!Z$1,Haver_M!$B$1:$ZN$1,0)),"na")</f>
        <v>94.5047</v>
      </c>
      <c r="AA128">
        <f>IF(ISNUMBER(INDEX(Haver_M!$B$1:$ZN$1000,MATCH(data!$A128,Haver_M!$B$1:$B$1000,0),MATCH(data!AA$1,Haver_M!$B$1:$ZN$1,0))),INDEX(Haver_M!$B$1:$ZN$1000,MATCH(data!$A128,Haver_M!$B$1:$B$1000,0),MATCH(data!AA$1,Haver_M!$B$1:$ZN$1,0)),"na")</f>
        <v>93.090900000000005</v>
      </c>
      <c r="AB128">
        <f>IF(ISNUMBER(INDEX(Haver_M!$B$1:$ZN$1000,MATCH(data!$A128,Haver_M!$B$1:$B$1000,0),MATCH(data!AB$1,Haver_M!$B$1:$ZN$1,0))),INDEX(Haver_M!$B$1:$ZN$1000,MATCH(data!$A128,Haver_M!$B$1:$B$1000,0),MATCH(data!AB$1,Haver_M!$B$1:$ZN$1,0)),"na")</f>
        <v>24311.599999999999</v>
      </c>
      <c r="AC128">
        <f>IF(ISNUMBER(INDEX(Haver_M!$B$1:$ZN$1000,MATCH(data!$A128,Haver_M!$B$1:$B$1000,0),MATCH(data!AC$1,Haver_M!$B$1:$ZN$1,0))),INDEX(Haver_M!$B$1:$ZN$1000,MATCH(data!$A128,Haver_M!$B$1:$B$1000,0),MATCH(data!AC$1,Haver_M!$B$1:$ZN$1,0)),"na")</f>
        <v>24732.2</v>
      </c>
      <c r="AD128">
        <f>IF(ISNUMBER(INDEX(Haver_M!$B$1:$ZN$1000,MATCH(data!$A128,Haver_M!$B$1:$B$1000,0),MATCH(data!AD$1,Haver_M!$B$1:$ZN$1,0))),INDEX(Haver_M!$B$1:$ZN$1000,MATCH(data!$A128,Haver_M!$B$1:$B$1000,0),MATCH(data!AD$1,Haver_M!$B$1:$ZN$1,0)),"na")</f>
        <v>99.19</v>
      </c>
      <c r="AE128">
        <f>IF(ISNUMBER(INDEX(Haver_M!$B$1:$ZN$1000,MATCH(data!$A128,Haver_M!$B$1:$B$1000,0),MATCH(data!AE$1,Haver_M!$B$1:$ZN$1,0))),INDEX(Haver_M!$B$1:$ZN$1000,MATCH(data!$A128,Haver_M!$B$1:$B$1000,0),MATCH(data!AE$1,Haver_M!$B$1:$ZN$1,0)),"na")</f>
        <v>36.299999999999997</v>
      </c>
      <c r="AF128">
        <f>IF(ISNUMBER(INDEX(Haver_M!$B$1:$ZN$1000,MATCH(data!$A128,Haver_M!$B$1:$B$1000,0),MATCH(data!AF$1,Haver_M!$B$1:$ZN$1,0))),INDEX(Haver_M!$B$1:$ZN$1000,MATCH(data!$A128,Haver_M!$B$1:$B$1000,0),MATCH(data!AF$1,Haver_M!$B$1:$ZN$1,0)),"na")</f>
        <v>101.53</v>
      </c>
      <c r="AG128" t="str">
        <f>IF(ISNUMBER(INDEX(Haver_M!$B$1:$ZN$1000,MATCH(data!$A128,Haver_M!$B$1:$B$1000,0),MATCH(data!AG$1,Haver_M!$B$1:$ZN$1,0))),INDEX(Haver_M!$B$1:$ZN$1000,MATCH(data!$A128,Haver_M!$B$1:$B$1000,0),MATCH(data!AG$1,Haver_M!$B$1:$ZN$1,0)),"na")</f>
        <v>na</v>
      </c>
      <c r="AH128" t="str">
        <f>IF(ISNUMBER(INDEX(Haver_M!$B$1:$ZN$1000,MATCH(data!$A128,Haver_M!$B$1:$B$1000,0),MATCH(data!AH$1,Haver_M!$B$1:$ZN$1,0))),INDEX(Haver_M!$B$1:$ZN$1000,MATCH(data!$A128,Haver_M!$B$1:$B$1000,0),MATCH(data!AH$1,Haver_M!$B$1:$ZN$1,0)),"na")</f>
        <v>na</v>
      </c>
      <c r="AI128" t="str">
        <f>IF(ISNUMBER(INDEX(Haver_M!$B$1:$ZN$1000,MATCH(data!$A128,Haver_M!$B$1:$B$1000,0),MATCH(data!AI$1,Haver_M!$B$1:$ZN$1,0))),INDEX(Haver_M!$B$1:$ZN$1000,MATCH(data!$A128,Haver_M!$B$1:$B$1000,0),MATCH(data!AI$1,Haver_M!$B$1:$ZN$1,0)),"na")</f>
        <v>na</v>
      </c>
      <c r="AJ128" t="str">
        <f>IF(ISNUMBER(INDEX(Haver_M!$B$1:$ZN$1000,MATCH(data!$A128,Haver_M!$B$1:$B$1000,0),MATCH(data!AJ$1,Haver_M!$B$1:$ZN$1,0))),INDEX(Haver_M!$B$1:$ZN$1000,MATCH(data!$A128,Haver_M!$B$1:$B$1000,0),MATCH(data!AJ$1,Haver_M!$B$1:$ZN$1,0)),"na")</f>
        <v>na</v>
      </c>
      <c r="AK128" t="str">
        <f>IF(ISNUMBER(INDEX(Haver_M!$B$1:$ZN$1000,MATCH(data!$A128,Haver_M!$B$1:$B$1000,0),MATCH(data!AK$1,Haver_M!$B$1:$ZN$1,0))),INDEX(Haver_M!$B$1:$ZN$1000,MATCH(data!$A128,Haver_M!$B$1:$B$1000,0),MATCH(data!AK$1,Haver_M!$B$1:$ZN$1,0)),"na")</f>
        <v>na</v>
      </c>
      <c r="AL128" t="str">
        <f>IF(ISNUMBER(INDEX(Haver_M!$B$1:$ZN$1000,MATCH(data!$A128,Haver_M!$B$1:$B$1000,0),MATCH(data!AL$1,Haver_M!$B$1:$ZN$1,0))),INDEX(Haver_M!$B$1:$ZN$1000,MATCH(data!$A128,Haver_M!$B$1:$B$1000,0),MATCH(data!AL$1,Haver_M!$B$1:$ZN$1,0)),"na")</f>
        <v>na</v>
      </c>
      <c r="AM128" t="str">
        <f>IF(ISNUMBER(INDEX(Haver_M!$B$1:$ZN$1000,MATCH(data!$A128,Haver_M!$B$1:$B$1000,0),MATCH(data!AM$1,Haver_M!$B$1:$ZN$1,0))),INDEX(Haver_M!$B$1:$ZN$1000,MATCH(data!$A128,Haver_M!$B$1:$B$1000,0),MATCH(data!AM$1,Haver_M!$B$1:$ZN$1,0)),"na")</f>
        <v>na</v>
      </c>
      <c r="AN128" t="str">
        <f>IF(ISNUMBER(INDEX(Haver_M!$B$1:$ZN$1000,MATCH(data!$A128,Haver_M!$B$1:$B$1000,0),MATCH(data!AN$1,Haver_M!$B$1:$ZN$1,0))),INDEX(Haver_M!$B$1:$ZN$1000,MATCH(data!$A128,Haver_M!$B$1:$B$1000,0),MATCH(data!AN$1,Haver_M!$B$1:$ZN$1,0)),"na")</f>
        <v>na</v>
      </c>
      <c r="AO128" t="str">
        <f>IF(ISNUMBER(INDEX(Haver_M!$B$1:$ZN$1000,MATCH(data!$A128,Haver_M!$B$1:$B$1000,0),MATCH(data!AO$1,Haver_M!$B$1:$ZN$1,0))),INDEX(Haver_M!$B$1:$ZN$1000,MATCH(data!$A128,Haver_M!$B$1:$B$1000,0),MATCH(data!AO$1,Haver_M!$B$1:$ZN$1,0)),"na")</f>
        <v>na</v>
      </c>
      <c r="AP128" t="str">
        <f>IF(ISNUMBER(INDEX(Haver_M!$B$1:$ZN$1000,MATCH(data!$A128,Haver_M!$B$1:$B$1000,0),MATCH(data!AP$1,Haver_M!$B$1:$ZN$1,0))),INDEX(Haver_M!$B$1:$ZN$1000,MATCH(data!$A128,Haver_M!$B$1:$B$1000,0),MATCH(data!AP$1,Haver_M!$B$1:$ZN$1,0)),"na")</f>
        <v>na</v>
      </c>
      <c r="AQ128" t="str">
        <f>IF(ISNUMBER(INDEX(Haver_M!$B$1:$ZN$1000,MATCH(data!$A128,Haver_M!$B$1:$B$1000,0),MATCH(data!AQ$1,Haver_M!$B$1:$ZN$1,0))),INDEX(Haver_M!$B$1:$ZN$1000,MATCH(data!$A128,Haver_M!$B$1:$B$1000,0),MATCH(data!AQ$1,Haver_M!$B$1:$ZN$1,0)),"na")</f>
        <v>na</v>
      </c>
      <c r="AR128" t="str">
        <f>IF(ISNUMBER(INDEX(Haver_M!$B$1:$ZN$1000,MATCH(data!$A128,Haver_M!$B$1:$B$1000,0),MATCH(data!AR$1,Haver_M!$B$1:$ZN$1,0))),INDEX(Haver_M!$B$1:$ZN$1000,MATCH(data!$A128,Haver_M!$B$1:$B$1000,0),MATCH(data!AR$1,Haver_M!$B$1:$ZN$1,0)),"na")</f>
        <v>na</v>
      </c>
      <c r="AS128">
        <f>IF(ISNUMBER(INDEX(Haver_M!$B$1:$ZN$1000,MATCH(data!$A128,Haver_M!$B$1:$B$1000,0),MATCH(data!AS$1,Haver_M!$B$1:$ZN$1,0))),INDEX(Haver_M!$B$1:$ZN$1000,MATCH(data!$A128,Haver_M!$B$1:$B$1000,0),MATCH(data!AS$1,Haver_M!$B$1:$ZN$1,0)),"na")</f>
        <v>32119.360000000001</v>
      </c>
      <c r="AT128">
        <f>IF(ISNUMBER(INDEX(Haver_M!$B$1:$ZN$1000,MATCH(data!$A128,Haver_M!$B$1:$B$1000,0),MATCH(data!AT$1,Haver_M!$B$1:$ZN$1,0))),INDEX(Haver_M!$B$1:$ZN$1000,MATCH(data!$A128,Haver_M!$B$1:$B$1000,0),MATCH(data!AT$1,Haver_M!$B$1:$ZN$1,0)),"na")</f>
        <v>92.695999999999998</v>
      </c>
      <c r="AU128">
        <f>IF(ISNUMBER(INDEX(Haver_M!$B$1:$ZN$1000,MATCH(data!$A128,Haver_M!$B$1:$B$1000,0),MATCH(data!AU$1,Haver_M!$B$1:$ZN$1,0))),INDEX(Haver_M!$B$1:$ZN$1000,MATCH(data!$A128,Haver_M!$B$1:$B$1000,0),MATCH(data!AU$1,Haver_M!$B$1:$ZN$1,0)),"na")</f>
        <v>91.830731</v>
      </c>
      <c r="AV128">
        <f>IF(ISNUMBER(INDEX(Haver_M!$B$1:$ZN$1000,MATCH(data!$A128,Haver_M!$B$1:$B$1000,0),MATCH(data!AV$1,Haver_M!$B$1:$ZN$1,0))),INDEX(Haver_M!$B$1:$ZN$1000,MATCH(data!$A128,Haver_M!$B$1:$B$1000,0),MATCH(data!AV$1,Haver_M!$B$1:$ZN$1,0)),"na")</f>
        <v>88.9</v>
      </c>
      <c r="AW128">
        <f>IF(ISNUMBER(INDEX(Haver_M!$B$1:$ZN$1000,MATCH(data!$A128,Haver_M!$B$1:$B$1000,0),MATCH(data!AW$1,Haver_M!$B$1:$ZN$1,0))),INDEX(Haver_M!$B$1:$ZN$1000,MATCH(data!$A128,Haver_M!$B$1:$B$1000,0),MATCH(data!AW$1,Haver_M!$B$1:$ZN$1,0)),"na")</f>
        <v>1004448.4346402006</v>
      </c>
      <c r="AX128">
        <f>IF(ISNUMBER(INDEX(Haver_M!$B$1:$ZN$1000,MATCH(data!$A128,Haver_M!$B$1:$B$1000,0),MATCH(data!AX$1,Haver_M!$B$1:$ZN$1,0))),INDEX(Haver_M!$B$1:$ZN$1000,MATCH(data!$A128,Haver_M!$B$1:$B$1000,0),MATCH(data!AX$1,Haver_M!$B$1:$ZN$1,0)),"na")</f>
        <v>2592</v>
      </c>
      <c r="AY128">
        <f>IF(ISNUMBER(INDEX(Haver_M!$B$1:$ZN$1000,MATCH(data!$A128,Haver_M!$B$1:$B$1000,0),MATCH(data!AY$1,Haver_M!$B$1:$ZN$1,0))),INDEX(Haver_M!$B$1:$ZN$1000,MATCH(data!$A128,Haver_M!$B$1:$B$1000,0),MATCH(data!AY$1,Haver_M!$B$1:$ZN$1,0)),"na")</f>
        <v>1386</v>
      </c>
      <c r="AZ128">
        <f>IF(ISNUMBER(INDEX(Haver_M!$B$1:$ZN$1000,MATCH(data!$A128,Haver_M!$B$1:$B$1000,0),MATCH(data!AZ$1,Haver_M!$B$1:$ZN$1,0))),INDEX(Haver_M!$B$1:$ZN$1000,MATCH(data!$A128,Haver_M!$B$1:$B$1000,0),MATCH(data!AZ$1,Haver_M!$B$1:$ZN$1,0)),"na")</f>
        <v>55.8</v>
      </c>
      <c r="BA128">
        <f>IF(ISNUMBER(INDEX(Haver_M!$B$1:$ZN$1000,MATCH(data!$A128,Haver_M!$B$1:$B$1000,0),MATCH(data!BA$1,Haver_M!$B$1:$ZN$1,0))),INDEX(Haver_M!$B$1:$ZN$1000,MATCH(data!$A128,Haver_M!$B$1:$B$1000,0),MATCH(data!BA$1,Haver_M!$B$1:$ZN$1,0)),"na")</f>
        <v>89.130557761992875</v>
      </c>
      <c r="BB128" t="str">
        <f>IF(ISNUMBER(INDEX(Haver_M!$B$1:$ZN$1000,MATCH(data!$A128,Haver_M!$B$1:$B$1000,0),MATCH(data!BB$1,Haver_M!$B$1:$ZN$1,0))),INDEX(Haver_M!$B$1:$ZN$1000,MATCH(data!$A128,Haver_M!$B$1:$B$1000,0),MATCH(data!BB$1,Haver_M!$B$1:$ZN$1,0)),"")</f>
        <v/>
      </c>
    </row>
    <row r="129" spans="1:54" x14ac:dyDescent="0.25">
      <c r="A129" s="2">
        <v>40421</v>
      </c>
      <c r="B129" t="str">
        <f>IF(ISNUMBER(INDEX(Haver_Q!$B$1:$BD$1000,MATCH(data!$A129,Haver_Q!$B$1:$B$1000,0),MATCH(data!B$1,Haver_Q!$B$1:$BD$1,0))),100*INDEX(Haver_Q!$B$1:$BD$1000,MATCH(data!$A129,Haver_Q!$B$1:$B$1000,0),MATCH(data!B$1,Haver_Q!$B$1:$BD$1,0)),"na")</f>
        <v>na</v>
      </c>
      <c r="C129" t="str">
        <f>IF(ISNUMBER(INDEX(Haver_Q!$B$1:$BD$1000,MATCH(data!$A129,Haver_Q!$B$1:$B$1000,0),MATCH(data!C$1,Haver_Q!$B$1:$BD$1,0))),100*INDEX(Haver_Q!$B$1:$BD$1000,MATCH(data!$A129,Haver_Q!$B$1:$B$1000,0),MATCH(data!C$1,Haver_Q!$B$1:$BD$1,0)),"na")</f>
        <v>na</v>
      </c>
      <c r="D129" t="str">
        <f>IF(ISNUMBER(INDEX(Haver_Q!$B$1:$BD$1000,MATCH(data!$A129,Haver_Q!$B$1:$B$1000,0),MATCH(data!D$1,Haver_Q!$B$1:$BD$1,0))),100*INDEX(Haver_Q!$B$1:$BD$1000,MATCH(data!$A129,Haver_Q!$B$1:$B$1000,0),MATCH(data!D$1,Haver_Q!$B$1:$BD$1,0)),"na")</f>
        <v>na</v>
      </c>
      <c r="E129" t="str">
        <f>IF(ISNUMBER(INDEX(Haver_Q!$B$1:$BD$1000,MATCH(data!$A129,Haver_Q!$B$1:$B$1000,0),MATCH(data!E$1,Haver_Q!$B$1:$BD$1,0))),100*INDEX(Haver_Q!$B$1:$BD$1000,MATCH(data!$A129,Haver_Q!$B$1:$B$1000,0),MATCH(data!E$1,Haver_Q!$B$1:$BD$1,0)),"na")</f>
        <v>na</v>
      </c>
      <c r="F129" t="str">
        <f>IF(ISNUMBER(INDEX(Haver_Q!$B$1:$BD$1000,MATCH(data!$A129,Haver_Q!$B$1:$B$1000,0),MATCH(data!F$1,Haver_Q!$B$1:$BD$1,0))),100*INDEX(Haver_Q!$B$1:$BD$1000,MATCH(data!$A129,Haver_Q!$B$1:$B$1000,0),MATCH(data!F$1,Haver_Q!$B$1:$BD$1,0)),"na")</f>
        <v>na</v>
      </c>
      <c r="G129" t="str">
        <f>IF(ISNUMBER(INDEX(Haver_Q!$B$1:$BD$1000,MATCH(data!$A129,Haver_Q!$B$1:$B$1000,0),MATCH(data!G$1,Haver_Q!$B$1:$BD$1,0))),100*INDEX(Haver_Q!$B$1:$BD$1000,MATCH(data!$A129,Haver_Q!$B$1:$B$1000,0),MATCH(data!G$1,Haver_Q!$B$1:$BD$1,0)),"na")</f>
        <v>na</v>
      </c>
      <c r="H129" t="str">
        <f>IF(ISNUMBER(INDEX(Haver_Q!$B$1:$BD$1000,MATCH(data!$A129,Haver_Q!$B$1:$B$1000,0),MATCH(data!H$1,Haver_Q!$B$1:$BD$1,0))),100*INDEX(Haver_Q!$B$1:$BD$1000,MATCH(data!$A129,Haver_Q!$B$1:$B$1000,0),MATCH(data!H$1,Haver_Q!$B$1:$BD$1,0)),"na")</f>
        <v>na</v>
      </c>
      <c r="I129" s="3">
        <f>IF(ISNUMBER(Bloomberg_m!C145),Bloomberg_m!C145,"na")</f>
        <v>2432</v>
      </c>
      <c r="J129" s="3" t="str">
        <f>IF(ISNUMBER(Bloomberg_m!D145),Bloomberg_m!D145,"na")</f>
        <v>na</v>
      </c>
      <c r="K129" s="3" t="str">
        <f>IF(ISNUMBER(Bloomberg_m!E145),Bloomberg_m!E145,"na")</f>
        <v>na</v>
      </c>
      <c r="L129" s="3">
        <f>IF(ISNUMBER(Bloomberg_m!L145),Bloomberg_m!L145,"na")</f>
        <v>76.599999999999994</v>
      </c>
      <c r="M129">
        <f>IF(ISNUMBER(INDEX(Haver_M!$B$1:$ZN$1000,MATCH(data!$A129,Haver_M!$B$1:$B$1000,0),MATCH(data!M$1,Haver_M!$B$1:$ZN$1,0))),INDEX(Haver_M!$B$1:$ZN$1000,MATCH(data!$A129,Haver_M!$B$1:$B$1000,0),MATCH(data!M$1,Haver_M!$B$1:$ZN$1,0)),"na")</f>
        <v>4.5</v>
      </c>
      <c r="N129">
        <f>IF(ISNUMBER(INDEX(Haver_M!$B$1:$ZN$1000,MATCH(data!$A129,Haver_M!$B$1:$B$1000,0),MATCH(data!N$1,Haver_M!$B$1:$ZN$1,0))),INDEX(Haver_M!$B$1:$ZN$1000,MATCH(data!$A129,Haver_M!$B$1:$B$1000,0),MATCH(data!N$1,Haver_M!$B$1:$ZN$1,0)),"na")</f>
        <v>6.3391000000000002</v>
      </c>
      <c r="O129">
        <f>IF(ISNUMBER(INDEX(Haver_M!$B$1:$ZN$1000,MATCH(data!$A129,Haver_M!$B$1:$B$1000,0),MATCH(data!O$1,Haver_M!$B$1:$ZN$1,0))),INDEX(Haver_M!$B$1:$ZN$1000,MATCH(data!$A129,Haver_M!$B$1:$B$1000,0),MATCH(data!O$1,Haver_M!$B$1:$ZN$1,0)),"na")</f>
        <v>98.792599999999993</v>
      </c>
      <c r="P129">
        <f>IF(ISNUMBER(INDEX(Haver_M!$B$1:$ZN$1000,MATCH(data!$A129,Haver_M!$B$1:$B$1000,0),MATCH(data!P$1,Haver_M!$B$1:$ZN$1,0))),INDEX(Haver_M!$B$1:$ZN$1000,MATCH(data!$A129,Haver_M!$B$1:$B$1000,0),MATCH(data!P$1,Haver_M!$B$1:$ZN$1,0)),"na")</f>
        <v>73.593999999999994</v>
      </c>
      <c r="Q129">
        <f>IF(ISNUMBER(INDEX(Haver_M!$B$1:$ZN$1000,MATCH(data!$A129,Haver_M!$B$1:$B$1000,0),MATCH(data!Q$1,Haver_M!$B$1:$ZN$1,0))),INDEX(Haver_M!$B$1:$ZN$1000,MATCH(data!$A129,Haver_M!$B$1:$B$1000,0),MATCH(data!Q$1,Haver_M!$B$1:$ZN$1,0)),"na")</f>
        <v>77.325999999999993</v>
      </c>
      <c r="R129">
        <f>IF(ISNUMBER(INDEX(Haver_M!$B$1:$ZN$1000,MATCH(data!$A129,Haver_M!$B$1:$B$1000,0),MATCH(data!R$1,Haver_M!$B$1:$ZN$1,0))),INDEX(Haver_M!$B$1:$ZN$1000,MATCH(data!$A129,Haver_M!$B$1:$B$1000,0),MATCH(data!R$1,Haver_M!$B$1:$ZN$1,0)),"na")</f>
        <v>95.187700000000007</v>
      </c>
      <c r="S129">
        <f>IF(ISNUMBER(INDEX(Haver_M!$B$1:$ZN$1000,MATCH(data!$A129,Haver_M!$B$1:$B$1000,0),MATCH(data!S$1,Haver_M!$B$1:$ZN$1,0))),INDEX(Haver_M!$B$1:$ZN$1000,MATCH(data!$A129,Haver_M!$B$1:$B$1000,0),MATCH(data!S$1,Haver_M!$B$1:$ZN$1,0)),"na")</f>
        <v>99.175700000000006</v>
      </c>
      <c r="T129">
        <f>IF(ISNUMBER(INDEX(Haver_M!$B$1:$ZN$1000,MATCH(data!$A129,Haver_M!$B$1:$B$1000,0),MATCH(data!T$1,Haver_M!$B$1:$ZN$1,0))),INDEX(Haver_M!$B$1:$ZN$1000,MATCH(data!$A129,Haver_M!$B$1:$B$1000,0),MATCH(data!T$1,Haver_M!$B$1:$ZN$1,0)),"na")</f>
        <v>91.613</v>
      </c>
      <c r="U129">
        <f>IF(ISNUMBER(INDEX(Haver_M!$B$1:$ZN$1000,MATCH(data!$A129,Haver_M!$B$1:$B$1000,0),MATCH(data!U$1,Haver_M!$B$1:$ZN$1,0))),INDEX(Haver_M!$B$1:$ZN$1000,MATCH(data!$A129,Haver_M!$B$1:$B$1000,0),MATCH(data!U$1,Haver_M!$B$1:$ZN$1,0)),"na")</f>
        <v>92.785899999999998</v>
      </c>
      <c r="V129">
        <f>IF(ISNUMBER(INDEX(Haver_M!$B$1:$ZN$1000,MATCH(data!$A129,Haver_M!$B$1:$B$1000,0),MATCH(data!V$1,Haver_M!$B$1:$ZN$1,0))),INDEX(Haver_M!$B$1:$ZN$1000,MATCH(data!$A129,Haver_M!$B$1:$B$1000,0),MATCH(data!V$1,Haver_M!$B$1:$ZN$1,0)),"na")</f>
        <v>94.870599999999996</v>
      </c>
      <c r="W129">
        <f>IF(ISNUMBER(INDEX(Haver_M!$B$1:$ZN$1000,MATCH(data!$A129,Haver_M!$B$1:$B$1000,0),MATCH(data!W$1,Haver_M!$B$1:$ZN$1,0))),INDEX(Haver_M!$B$1:$ZN$1000,MATCH(data!$A129,Haver_M!$B$1:$B$1000,0),MATCH(data!W$1,Haver_M!$B$1:$ZN$1,0)),"na")</f>
        <v>5.0599999999999996</v>
      </c>
      <c r="X129">
        <f>IF(ISNUMBER(INDEX(Haver_M!$B$1:$ZN$1000,MATCH(data!$A129,Haver_M!$B$1:$B$1000,0),MATCH(data!X$1,Haver_M!$B$1:$ZN$1,0))),INDEX(Haver_M!$B$1:$ZN$1000,MATCH(data!$A129,Haver_M!$B$1:$B$1000,0),MATCH(data!X$1,Haver_M!$B$1:$ZN$1,0)),"na")</f>
        <v>99.45</v>
      </c>
      <c r="Y129">
        <f>IF(ISNUMBER(INDEX(Haver_M!$B$1:$ZN$1000,MATCH(data!$A129,Haver_M!$B$1:$B$1000,0),MATCH(data!Y$1,Haver_M!$B$1:$ZN$1,0))),INDEX(Haver_M!$B$1:$ZN$1000,MATCH(data!$A129,Haver_M!$B$1:$B$1000,0),MATCH(data!Y$1,Haver_M!$B$1:$ZN$1,0)),"na")</f>
        <v>100.63</v>
      </c>
      <c r="Z129">
        <f>IF(ISNUMBER(INDEX(Haver_M!$B$1:$ZN$1000,MATCH(data!$A129,Haver_M!$B$1:$B$1000,0),MATCH(data!Z$1,Haver_M!$B$1:$ZN$1,0))),INDEX(Haver_M!$B$1:$ZN$1000,MATCH(data!$A129,Haver_M!$B$1:$B$1000,0),MATCH(data!Z$1,Haver_M!$B$1:$ZN$1,0)),"na")</f>
        <v>95.391599999999997</v>
      </c>
      <c r="AA129">
        <f>IF(ISNUMBER(INDEX(Haver_M!$B$1:$ZN$1000,MATCH(data!$A129,Haver_M!$B$1:$B$1000,0),MATCH(data!AA$1,Haver_M!$B$1:$ZN$1,0))),INDEX(Haver_M!$B$1:$ZN$1000,MATCH(data!$A129,Haver_M!$B$1:$B$1000,0),MATCH(data!AA$1,Haver_M!$B$1:$ZN$1,0)),"na")</f>
        <v>93.854200000000006</v>
      </c>
      <c r="AB129">
        <f>IF(ISNUMBER(INDEX(Haver_M!$B$1:$ZN$1000,MATCH(data!$A129,Haver_M!$B$1:$B$1000,0),MATCH(data!AB$1,Haver_M!$B$1:$ZN$1,0))),INDEX(Haver_M!$B$1:$ZN$1000,MATCH(data!$A129,Haver_M!$B$1:$B$1000,0),MATCH(data!AB$1,Haver_M!$B$1:$ZN$1,0)),"na")</f>
        <v>25291.9</v>
      </c>
      <c r="AC129">
        <f>IF(ISNUMBER(INDEX(Haver_M!$B$1:$ZN$1000,MATCH(data!$A129,Haver_M!$B$1:$B$1000,0),MATCH(data!AC$1,Haver_M!$B$1:$ZN$1,0))),INDEX(Haver_M!$B$1:$ZN$1000,MATCH(data!$A129,Haver_M!$B$1:$B$1000,0),MATCH(data!AC$1,Haver_M!$B$1:$ZN$1,0)),"na")</f>
        <v>25494.3</v>
      </c>
      <c r="AD129">
        <f>IF(ISNUMBER(INDEX(Haver_M!$B$1:$ZN$1000,MATCH(data!$A129,Haver_M!$B$1:$B$1000,0),MATCH(data!AD$1,Haver_M!$B$1:$ZN$1,0))),INDEX(Haver_M!$B$1:$ZN$1000,MATCH(data!$A129,Haver_M!$B$1:$B$1000,0),MATCH(data!AD$1,Haver_M!$B$1:$ZN$1,0)),"na")</f>
        <v>99.22</v>
      </c>
      <c r="AE129">
        <f>IF(ISNUMBER(INDEX(Haver_M!$B$1:$ZN$1000,MATCH(data!$A129,Haver_M!$B$1:$B$1000,0),MATCH(data!AE$1,Haver_M!$B$1:$ZN$1,0))),INDEX(Haver_M!$B$1:$ZN$1000,MATCH(data!$A129,Haver_M!$B$1:$B$1000,0),MATCH(data!AE$1,Haver_M!$B$1:$ZN$1,0)),"na")</f>
        <v>36.700000000000003</v>
      </c>
      <c r="AF129">
        <f>IF(ISNUMBER(INDEX(Haver_M!$B$1:$ZN$1000,MATCH(data!$A129,Haver_M!$B$1:$B$1000,0),MATCH(data!AF$1,Haver_M!$B$1:$ZN$1,0))),INDEX(Haver_M!$B$1:$ZN$1000,MATCH(data!$A129,Haver_M!$B$1:$B$1000,0),MATCH(data!AF$1,Haver_M!$B$1:$ZN$1,0)),"na")</f>
        <v>101.7</v>
      </c>
      <c r="AG129" t="str">
        <f>IF(ISNUMBER(INDEX(Haver_M!$B$1:$ZN$1000,MATCH(data!$A129,Haver_M!$B$1:$B$1000,0),MATCH(data!AG$1,Haver_M!$B$1:$ZN$1,0))),INDEX(Haver_M!$B$1:$ZN$1000,MATCH(data!$A129,Haver_M!$B$1:$B$1000,0),MATCH(data!AG$1,Haver_M!$B$1:$ZN$1,0)),"na")</f>
        <v>na</v>
      </c>
      <c r="AH129" t="str">
        <f>IF(ISNUMBER(INDEX(Haver_M!$B$1:$ZN$1000,MATCH(data!$A129,Haver_M!$B$1:$B$1000,0),MATCH(data!AH$1,Haver_M!$B$1:$ZN$1,0))),INDEX(Haver_M!$B$1:$ZN$1000,MATCH(data!$A129,Haver_M!$B$1:$B$1000,0),MATCH(data!AH$1,Haver_M!$B$1:$ZN$1,0)),"na")</f>
        <v>na</v>
      </c>
      <c r="AI129" t="str">
        <f>IF(ISNUMBER(INDEX(Haver_M!$B$1:$ZN$1000,MATCH(data!$A129,Haver_M!$B$1:$B$1000,0),MATCH(data!AI$1,Haver_M!$B$1:$ZN$1,0))),INDEX(Haver_M!$B$1:$ZN$1000,MATCH(data!$A129,Haver_M!$B$1:$B$1000,0),MATCH(data!AI$1,Haver_M!$B$1:$ZN$1,0)),"na")</f>
        <v>na</v>
      </c>
      <c r="AJ129" t="str">
        <f>IF(ISNUMBER(INDEX(Haver_M!$B$1:$ZN$1000,MATCH(data!$A129,Haver_M!$B$1:$B$1000,0),MATCH(data!AJ$1,Haver_M!$B$1:$ZN$1,0))),INDEX(Haver_M!$B$1:$ZN$1000,MATCH(data!$A129,Haver_M!$B$1:$B$1000,0),MATCH(data!AJ$1,Haver_M!$B$1:$ZN$1,0)),"na")</f>
        <v>na</v>
      </c>
      <c r="AK129" t="str">
        <f>IF(ISNUMBER(INDEX(Haver_M!$B$1:$ZN$1000,MATCH(data!$A129,Haver_M!$B$1:$B$1000,0),MATCH(data!AK$1,Haver_M!$B$1:$ZN$1,0))),INDEX(Haver_M!$B$1:$ZN$1000,MATCH(data!$A129,Haver_M!$B$1:$B$1000,0),MATCH(data!AK$1,Haver_M!$B$1:$ZN$1,0)),"na")</f>
        <v>na</v>
      </c>
      <c r="AL129" t="str">
        <f>IF(ISNUMBER(INDEX(Haver_M!$B$1:$ZN$1000,MATCH(data!$A129,Haver_M!$B$1:$B$1000,0),MATCH(data!AL$1,Haver_M!$B$1:$ZN$1,0))),INDEX(Haver_M!$B$1:$ZN$1000,MATCH(data!$A129,Haver_M!$B$1:$B$1000,0),MATCH(data!AL$1,Haver_M!$B$1:$ZN$1,0)),"na")</f>
        <v>na</v>
      </c>
      <c r="AM129" t="str">
        <f>IF(ISNUMBER(INDEX(Haver_M!$B$1:$ZN$1000,MATCH(data!$A129,Haver_M!$B$1:$B$1000,0),MATCH(data!AM$1,Haver_M!$B$1:$ZN$1,0))),INDEX(Haver_M!$B$1:$ZN$1000,MATCH(data!$A129,Haver_M!$B$1:$B$1000,0),MATCH(data!AM$1,Haver_M!$B$1:$ZN$1,0)),"na")</f>
        <v>na</v>
      </c>
      <c r="AN129" t="str">
        <f>IF(ISNUMBER(INDEX(Haver_M!$B$1:$ZN$1000,MATCH(data!$A129,Haver_M!$B$1:$B$1000,0),MATCH(data!AN$1,Haver_M!$B$1:$ZN$1,0))),INDEX(Haver_M!$B$1:$ZN$1000,MATCH(data!$A129,Haver_M!$B$1:$B$1000,0),MATCH(data!AN$1,Haver_M!$B$1:$ZN$1,0)),"na")</f>
        <v>na</v>
      </c>
      <c r="AO129" t="str">
        <f>IF(ISNUMBER(INDEX(Haver_M!$B$1:$ZN$1000,MATCH(data!$A129,Haver_M!$B$1:$B$1000,0),MATCH(data!AO$1,Haver_M!$B$1:$ZN$1,0))),INDEX(Haver_M!$B$1:$ZN$1000,MATCH(data!$A129,Haver_M!$B$1:$B$1000,0),MATCH(data!AO$1,Haver_M!$B$1:$ZN$1,0)),"na")</f>
        <v>na</v>
      </c>
      <c r="AP129" t="str">
        <f>IF(ISNUMBER(INDEX(Haver_M!$B$1:$ZN$1000,MATCH(data!$A129,Haver_M!$B$1:$B$1000,0),MATCH(data!AP$1,Haver_M!$B$1:$ZN$1,0))),INDEX(Haver_M!$B$1:$ZN$1000,MATCH(data!$A129,Haver_M!$B$1:$B$1000,0),MATCH(data!AP$1,Haver_M!$B$1:$ZN$1,0)),"na")</f>
        <v>na</v>
      </c>
      <c r="AQ129" t="str">
        <f>IF(ISNUMBER(INDEX(Haver_M!$B$1:$ZN$1000,MATCH(data!$A129,Haver_M!$B$1:$B$1000,0),MATCH(data!AQ$1,Haver_M!$B$1:$ZN$1,0))),INDEX(Haver_M!$B$1:$ZN$1000,MATCH(data!$A129,Haver_M!$B$1:$B$1000,0),MATCH(data!AQ$1,Haver_M!$B$1:$ZN$1,0)),"na")</f>
        <v>na</v>
      </c>
      <c r="AR129" t="str">
        <f>IF(ISNUMBER(INDEX(Haver_M!$B$1:$ZN$1000,MATCH(data!$A129,Haver_M!$B$1:$B$1000,0),MATCH(data!AR$1,Haver_M!$B$1:$ZN$1,0))),INDEX(Haver_M!$B$1:$ZN$1000,MATCH(data!$A129,Haver_M!$B$1:$B$1000,0),MATCH(data!AR$1,Haver_M!$B$1:$ZN$1,0)),"na")</f>
        <v>na</v>
      </c>
      <c r="AS129">
        <f>IF(ISNUMBER(INDEX(Haver_M!$B$1:$ZN$1000,MATCH(data!$A129,Haver_M!$B$1:$B$1000,0),MATCH(data!AS$1,Haver_M!$B$1:$ZN$1,0))),INDEX(Haver_M!$B$1:$ZN$1000,MATCH(data!$A129,Haver_M!$B$1:$B$1000,0),MATCH(data!AS$1,Haver_M!$B$1:$ZN$1,0)),"na")</f>
        <v>32194.97</v>
      </c>
      <c r="AT129">
        <f>IF(ISNUMBER(INDEX(Haver_M!$B$1:$ZN$1000,MATCH(data!$A129,Haver_M!$B$1:$B$1000,0),MATCH(data!AT$1,Haver_M!$B$1:$ZN$1,0))),INDEX(Haver_M!$B$1:$ZN$1000,MATCH(data!$A129,Haver_M!$B$1:$B$1000,0),MATCH(data!AT$1,Haver_M!$B$1:$ZN$1,0)),"na")</f>
        <v>93.075000000000003</v>
      </c>
      <c r="AU129">
        <f>IF(ISNUMBER(INDEX(Haver_M!$B$1:$ZN$1000,MATCH(data!$A129,Haver_M!$B$1:$B$1000,0),MATCH(data!AU$1,Haver_M!$B$1:$ZN$1,0))),INDEX(Haver_M!$B$1:$ZN$1000,MATCH(data!$A129,Haver_M!$B$1:$B$1000,0),MATCH(data!AU$1,Haver_M!$B$1:$ZN$1,0)),"na")</f>
        <v>92.020546999999993</v>
      </c>
      <c r="AV129">
        <f>IF(ISNUMBER(INDEX(Haver_M!$B$1:$ZN$1000,MATCH(data!$A129,Haver_M!$B$1:$B$1000,0),MATCH(data!AV$1,Haver_M!$B$1:$ZN$1,0))),INDEX(Haver_M!$B$1:$ZN$1000,MATCH(data!$A129,Haver_M!$B$1:$B$1000,0),MATCH(data!AV$1,Haver_M!$B$1:$ZN$1,0)),"na")</f>
        <v>90</v>
      </c>
      <c r="AW129">
        <f>IF(ISNUMBER(INDEX(Haver_M!$B$1:$ZN$1000,MATCH(data!$A129,Haver_M!$B$1:$B$1000,0),MATCH(data!AW$1,Haver_M!$B$1:$ZN$1,0))),INDEX(Haver_M!$B$1:$ZN$1000,MATCH(data!$A129,Haver_M!$B$1:$B$1000,0),MATCH(data!AW$1,Haver_M!$B$1:$ZN$1,0)),"na")</f>
        <v>992418.07411092857</v>
      </c>
      <c r="AX129">
        <f>IF(ISNUMBER(INDEX(Haver_M!$B$1:$ZN$1000,MATCH(data!$A129,Haver_M!$B$1:$B$1000,0),MATCH(data!AX$1,Haver_M!$B$1:$ZN$1,0))),INDEX(Haver_M!$B$1:$ZN$1000,MATCH(data!$A129,Haver_M!$B$1:$B$1000,0),MATCH(data!AX$1,Haver_M!$B$1:$ZN$1,0)),"na")</f>
        <v>2574</v>
      </c>
      <c r="AY129">
        <f>IF(ISNUMBER(INDEX(Haver_M!$B$1:$ZN$1000,MATCH(data!$A129,Haver_M!$B$1:$B$1000,0),MATCH(data!AY$1,Haver_M!$B$1:$ZN$1,0))),INDEX(Haver_M!$B$1:$ZN$1000,MATCH(data!$A129,Haver_M!$B$1:$B$1000,0),MATCH(data!AY$1,Haver_M!$B$1:$ZN$1,0)),"na")</f>
        <v>1351</v>
      </c>
      <c r="AZ129">
        <f>IF(ISNUMBER(INDEX(Haver_M!$B$1:$ZN$1000,MATCH(data!$A129,Haver_M!$B$1:$B$1000,0),MATCH(data!AZ$1,Haver_M!$B$1:$ZN$1,0))),INDEX(Haver_M!$B$1:$ZN$1000,MATCH(data!$A129,Haver_M!$B$1:$B$1000,0),MATCH(data!AZ$1,Haver_M!$B$1:$ZN$1,0)),"na")</f>
        <v>53.9</v>
      </c>
      <c r="BA129">
        <f>IF(ISNUMBER(INDEX(Haver_M!$B$1:$ZN$1000,MATCH(data!$A129,Haver_M!$B$1:$B$1000,0),MATCH(data!BA$1,Haver_M!$B$1:$ZN$1,0))),INDEX(Haver_M!$B$1:$ZN$1000,MATCH(data!$A129,Haver_M!$B$1:$B$1000,0),MATCH(data!BA$1,Haver_M!$B$1:$ZN$1,0)),"na")</f>
        <v>63.518931589541907</v>
      </c>
      <c r="BB129" t="str">
        <f>IF(ISNUMBER(INDEX(Haver_M!$B$1:$ZN$1000,MATCH(data!$A129,Haver_M!$B$1:$B$1000,0),MATCH(data!BB$1,Haver_M!$B$1:$ZN$1,0))),INDEX(Haver_M!$B$1:$ZN$1000,MATCH(data!$A129,Haver_M!$B$1:$B$1000,0),MATCH(data!BB$1,Haver_M!$B$1:$ZN$1,0)),"")</f>
        <v/>
      </c>
    </row>
    <row r="130" spans="1:54" x14ac:dyDescent="0.25">
      <c r="A130" s="2">
        <v>40451</v>
      </c>
      <c r="B130">
        <f>IF(ISNUMBER(INDEX(Haver_Q!$B$1:$BD$1000,MATCH(data!$A130,Haver_Q!$B$1:$B$1000,0),MATCH(data!B$1,Haver_Q!$B$1:$BD$1,0))),100*INDEX(Haver_Q!$B$1:$BD$1000,MATCH(data!$A130,Haver_Q!$B$1:$B$1000,0),MATCH(data!B$1,Haver_Q!$B$1:$BD$1,0)),"na")</f>
        <v>3.7137366828362328</v>
      </c>
      <c r="C130">
        <f>IF(ISNUMBER(INDEX(Haver_Q!$B$1:$BD$1000,MATCH(data!$A130,Haver_Q!$B$1:$B$1000,0),MATCH(data!C$1,Haver_Q!$B$1:$BD$1,0))),100*INDEX(Haver_Q!$B$1:$BD$1000,MATCH(data!$A130,Haver_Q!$B$1:$B$1000,0),MATCH(data!C$1,Haver_Q!$B$1:$BD$1,0)),"na")</f>
        <v>2.5501259276506261</v>
      </c>
      <c r="D130">
        <f>IF(ISNUMBER(INDEX(Haver_Q!$B$1:$BD$1000,MATCH(data!$A130,Haver_Q!$B$1:$B$1000,0),MATCH(data!D$1,Haver_Q!$B$1:$BD$1,0))),100*INDEX(Haver_Q!$B$1:$BD$1000,MATCH(data!$A130,Haver_Q!$B$1:$B$1000,0),MATCH(data!D$1,Haver_Q!$B$1:$BD$1,0)),"na")</f>
        <v>1.4849495203240304</v>
      </c>
      <c r="E130">
        <f>IF(ISNUMBER(INDEX(Haver_Q!$B$1:$BD$1000,MATCH(data!$A130,Haver_Q!$B$1:$B$1000,0),MATCH(data!E$1,Haver_Q!$B$1:$BD$1,0))),100*INDEX(Haver_Q!$B$1:$BD$1000,MATCH(data!$A130,Haver_Q!$B$1:$B$1000,0),MATCH(data!E$1,Haver_Q!$B$1:$BD$1,0)),"na")</f>
        <v>-1.8785418439857704</v>
      </c>
      <c r="F130">
        <f>IF(ISNUMBER(INDEX(Haver_Q!$B$1:$BD$1000,MATCH(data!$A130,Haver_Q!$B$1:$B$1000,0),MATCH(data!F$1,Haver_Q!$B$1:$BD$1,0))),100*INDEX(Haver_Q!$B$1:$BD$1000,MATCH(data!$A130,Haver_Q!$B$1:$B$1000,0),MATCH(data!F$1,Haver_Q!$B$1:$BD$1,0)),"na")</f>
        <v>9.0466266745772508</v>
      </c>
      <c r="G130">
        <f>IF(ISNUMBER(INDEX(Haver_Q!$B$1:$BD$1000,MATCH(data!$A130,Haver_Q!$B$1:$B$1000,0),MATCH(data!G$1,Haver_Q!$B$1:$BD$1,0))),100*INDEX(Haver_Q!$B$1:$BD$1000,MATCH(data!$A130,Haver_Q!$B$1:$B$1000,0),MATCH(data!G$1,Haver_Q!$B$1:$BD$1,0)),"na")</f>
        <v>6.2437377248704351</v>
      </c>
      <c r="H130">
        <f>IF(ISNUMBER(INDEX(Haver_Q!$B$1:$BD$1000,MATCH(data!$A130,Haver_Q!$B$1:$B$1000,0),MATCH(data!H$1,Haver_Q!$B$1:$BD$1,0))),100*INDEX(Haver_Q!$B$1:$BD$1000,MATCH(data!$A130,Haver_Q!$B$1:$B$1000,0),MATCH(data!H$1,Haver_Q!$B$1:$BD$1,0)),"na")</f>
        <v>486.79329635956503</v>
      </c>
      <c r="I130" s="3">
        <f>IF(ISNUMBER(Bloomberg_m!C146),Bloomberg_m!C146,"na")</f>
        <v>2719</v>
      </c>
      <c r="J130" s="3" t="str">
        <f>IF(ISNUMBER(Bloomberg_m!D146),Bloomberg_m!D146,"na")</f>
        <v>na</v>
      </c>
      <c r="K130" s="3" t="str">
        <f>IF(ISNUMBER(Bloomberg_m!E146),Bloomberg_m!E146,"na")</f>
        <v>na</v>
      </c>
      <c r="L130" s="3">
        <f>IF(ISNUMBER(Bloomberg_m!L146),Bloomberg_m!L146,"na")</f>
        <v>75.290000000000006</v>
      </c>
      <c r="M130">
        <f>IF(ISNUMBER(INDEX(Haver_M!$B$1:$ZN$1000,MATCH(data!$A130,Haver_M!$B$1:$B$1000,0),MATCH(data!M$1,Haver_M!$B$1:$ZN$1,0))),INDEX(Haver_M!$B$1:$ZN$1000,MATCH(data!$A130,Haver_M!$B$1:$B$1000,0),MATCH(data!M$1,Haver_M!$B$1:$ZN$1,0)),"na")</f>
        <v>4.5</v>
      </c>
      <c r="N130">
        <f>IF(ISNUMBER(INDEX(Haver_M!$B$1:$ZN$1000,MATCH(data!$A130,Haver_M!$B$1:$B$1000,0),MATCH(data!N$1,Haver_M!$B$1:$ZN$1,0))),INDEX(Haver_M!$B$1:$ZN$1000,MATCH(data!$A130,Haver_M!$B$1:$B$1000,0),MATCH(data!N$1,Haver_M!$B$1:$ZN$1,0)),"na")</f>
        <v>6.2195999999999998</v>
      </c>
      <c r="O130">
        <f>IF(ISNUMBER(INDEX(Haver_M!$B$1:$ZN$1000,MATCH(data!$A130,Haver_M!$B$1:$B$1000,0),MATCH(data!O$1,Haver_M!$B$1:$ZN$1,0))),INDEX(Haver_M!$B$1:$ZN$1000,MATCH(data!$A130,Haver_M!$B$1:$B$1000,0),MATCH(data!O$1,Haver_M!$B$1:$ZN$1,0)),"na")</f>
        <v>98.227410000000006</v>
      </c>
      <c r="P130">
        <f>IF(ISNUMBER(INDEX(Haver_M!$B$1:$ZN$1000,MATCH(data!$A130,Haver_M!$B$1:$B$1000,0),MATCH(data!P$1,Haver_M!$B$1:$ZN$1,0))),INDEX(Haver_M!$B$1:$ZN$1000,MATCH(data!$A130,Haver_M!$B$1:$B$1000,0),MATCH(data!P$1,Haver_M!$B$1:$ZN$1,0)),"na")</f>
        <v>73.845500000000001</v>
      </c>
      <c r="Q130">
        <f>IF(ISNUMBER(INDEX(Haver_M!$B$1:$ZN$1000,MATCH(data!$A130,Haver_M!$B$1:$B$1000,0),MATCH(data!Q$1,Haver_M!$B$1:$ZN$1,0))),INDEX(Haver_M!$B$1:$ZN$1000,MATCH(data!$A130,Haver_M!$B$1:$B$1000,0),MATCH(data!Q$1,Haver_M!$B$1:$ZN$1,0)),"na")</f>
        <v>77.564700000000002</v>
      </c>
      <c r="R130">
        <f>IF(ISNUMBER(INDEX(Haver_M!$B$1:$ZN$1000,MATCH(data!$A130,Haver_M!$B$1:$B$1000,0),MATCH(data!R$1,Haver_M!$B$1:$ZN$1,0))),INDEX(Haver_M!$B$1:$ZN$1000,MATCH(data!$A130,Haver_M!$B$1:$B$1000,0),MATCH(data!R$1,Haver_M!$B$1:$ZN$1,0)),"na")</f>
        <v>94.719899999999996</v>
      </c>
      <c r="S130">
        <f>IF(ISNUMBER(INDEX(Haver_M!$B$1:$ZN$1000,MATCH(data!$A130,Haver_M!$B$1:$B$1000,0),MATCH(data!S$1,Haver_M!$B$1:$ZN$1,0))),INDEX(Haver_M!$B$1:$ZN$1000,MATCH(data!$A130,Haver_M!$B$1:$B$1000,0),MATCH(data!S$1,Haver_M!$B$1:$ZN$1,0)),"na")</f>
        <v>99.493700000000004</v>
      </c>
      <c r="T130">
        <f>IF(ISNUMBER(INDEX(Haver_M!$B$1:$ZN$1000,MATCH(data!$A130,Haver_M!$B$1:$B$1000,0),MATCH(data!T$1,Haver_M!$B$1:$ZN$1,0))),INDEX(Haver_M!$B$1:$ZN$1000,MATCH(data!$A130,Haver_M!$B$1:$B$1000,0),MATCH(data!T$1,Haver_M!$B$1:$ZN$1,0)),"na")</f>
        <v>93.328900000000004</v>
      </c>
      <c r="U130">
        <f>IF(ISNUMBER(INDEX(Haver_M!$B$1:$ZN$1000,MATCH(data!$A130,Haver_M!$B$1:$B$1000,0),MATCH(data!U$1,Haver_M!$B$1:$ZN$1,0))),INDEX(Haver_M!$B$1:$ZN$1000,MATCH(data!$A130,Haver_M!$B$1:$B$1000,0),MATCH(data!U$1,Haver_M!$B$1:$ZN$1,0)),"na")</f>
        <v>93.799199999999999</v>
      </c>
      <c r="V130">
        <f>IF(ISNUMBER(INDEX(Haver_M!$B$1:$ZN$1000,MATCH(data!$A130,Haver_M!$B$1:$B$1000,0),MATCH(data!V$1,Haver_M!$B$1:$ZN$1,0))),INDEX(Haver_M!$B$1:$ZN$1000,MATCH(data!$A130,Haver_M!$B$1:$B$1000,0),MATCH(data!V$1,Haver_M!$B$1:$ZN$1,0)),"na")</f>
        <v>93.523200000000003</v>
      </c>
      <c r="W130">
        <f>IF(ISNUMBER(INDEX(Haver_M!$B$1:$ZN$1000,MATCH(data!$A130,Haver_M!$B$1:$B$1000,0),MATCH(data!W$1,Haver_M!$B$1:$ZN$1,0))),INDEX(Haver_M!$B$1:$ZN$1000,MATCH(data!$A130,Haver_M!$B$1:$B$1000,0),MATCH(data!W$1,Haver_M!$B$1:$ZN$1,0)),"na")</f>
        <v>5.34</v>
      </c>
      <c r="X130">
        <f>IF(ISNUMBER(INDEX(Haver_M!$B$1:$ZN$1000,MATCH(data!$A130,Haver_M!$B$1:$B$1000,0),MATCH(data!X$1,Haver_M!$B$1:$ZN$1,0))),INDEX(Haver_M!$B$1:$ZN$1000,MATCH(data!$A130,Haver_M!$B$1:$B$1000,0),MATCH(data!X$1,Haver_M!$B$1:$ZN$1,0)),"na")</f>
        <v>99.06</v>
      </c>
      <c r="Y130">
        <f>IF(ISNUMBER(INDEX(Haver_M!$B$1:$ZN$1000,MATCH(data!$A130,Haver_M!$B$1:$B$1000,0),MATCH(data!Y$1,Haver_M!$B$1:$ZN$1,0))),INDEX(Haver_M!$B$1:$ZN$1000,MATCH(data!$A130,Haver_M!$B$1:$B$1000,0),MATCH(data!Y$1,Haver_M!$B$1:$ZN$1,0)),"na")</f>
        <v>100.73</v>
      </c>
      <c r="Z130">
        <f>IF(ISNUMBER(INDEX(Haver_M!$B$1:$ZN$1000,MATCH(data!$A130,Haver_M!$B$1:$B$1000,0),MATCH(data!Z$1,Haver_M!$B$1:$ZN$1,0))),INDEX(Haver_M!$B$1:$ZN$1000,MATCH(data!$A130,Haver_M!$B$1:$B$1000,0),MATCH(data!Z$1,Haver_M!$B$1:$ZN$1,0)),"na")</f>
        <v>94.697900000000004</v>
      </c>
      <c r="AA130">
        <f>IF(ISNUMBER(INDEX(Haver_M!$B$1:$ZN$1000,MATCH(data!$A130,Haver_M!$B$1:$B$1000,0),MATCH(data!AA$1,Haver_M!$B$1:$ZN$1,0))),INDEX(Haver_M!$B$1:$ZN$1000,MATCH(data!$A130,Haver_M!$B$1:$B$1000,0),MATCH(data!AA$1,Haver_M!$B$1:$ZN$1,0)),"na")</f>
        <v>93.938800000000001</v>
      </c>
      <c r="AB130">
        <f>IF(ISNUMBER(INDEX(Haver_M!$B$1:$ZN$1000,MATCH(data!$A130,Haver_M!$B$1:$B$1000,0),MATCH(data!AB$1,Haver_M!$B$1:$ZN$1,0))),INDEX(Haver_M!$B$1:$ZN$1000,MATCH(data!$A130,Haver_M!$B$1:$B$1000,0),MATCH(data!AB$1,Haver_M!$B$1:$ZN$1,0)),"na")</f>
        <v>25489</v>
      </c>
      <c r="AC130">
        <f>IF(ISNUMBER(INDEX(Haver_M!$B$1:$ZN$1000,MATCH(data!$A130,Haver_M!$B$1:$B$1000,0),MATCH(data!AC$1,Haver_M!$B$1:$ZN$1,0))),INDEX(Haver_M!$B$1:$ZN$1000,MATCH(data!$A130,Haver_M!$B$1:$B$1000,0),MATCH(data!AC$1,Haver_M!$B$1:$ZN$1,0)),"na")</f>
        <v>25363</v>
      </c>
      <c r="AD130">
        <f>IF(ISNUMBER(INDEX(Haver_M!$B$1:$ZN$1000,MATCH(data!$A130,Haver_M!$B$1:$B$1000,0),MATCH(data!AD$1,Haver_M!$B$1:$ZN$1,0))),INDEX(Haver_M!$B$1:$ZN$1000,MATCH(data!$A130,Haver_M!$B$1:$B$1000,0),MATCH(data!AD$1,Haver_M!$B$1:$ZN$1,0)),"na")</f>
        <v>99.24</v>
      </c>
      <c r="AE130">
        <f>IF(ISNUMBER(INDEX(Haver_M!$B$1:$ZN$1000,MATCH(data!$A130,Haver_M!$B$1:$B$1000,0),MATCH(data!AE$1,Haver_M!$B$1:$ZN$1,0))),INDEX(Haver_M!$B$1:$ZN$1000,MATCH(data!$A130,Haver_M!$B$1:$B$1000,0),MATCH(data!AE$1,Haver_M!$B$1:$ZN$1,0)),"na")</f>
        <v>37.9</v>
      </c>
      <c r="AF130">
        <f>IF(ISNUMBER(INDEX(Haver_M!$B$1:$ZN$1000,MATCH(data!$A130,Haver_M!$B$1:$B$1000,0),MATCH(data!AF$1,Haver_M!$B$1:$ZN$1,0))),INDEX(Haver_M!$B$1:$ZN$1000,MATCH(data!$A130,Haver_M!$B$1:$B$1000,0),MATCH(data!AF$1,Haver_M!$B$1:$ZN$1,0)),"na")</f>
        <v>101.8</v>
      </c>
      <c r="AG130" t="str">
        <f>IF(ISNUMBER(INDEX(Haver_M!$B$1:$ZN$1000,MATCH(data!$A130,Haver_M!$B$1:$B$1000,0),MATCH(data!AG$1,Haver_M!$B$1:$ZN$1,0))),INDEX(Haver_M!$B$1:$ZN$1000,MATCH(data!$A130,Haver_M!$B$1:$B$1000,0),MATCH(data!AG$1,Haver_M!$B$1:$ZN$1,0)),"na")</f>
        <v>na</v>
      </c>
      <c r="AH130" t="str">
        <f>IF(ISNUMBER(INDEX(Haver_M!$B$1:$ZN$1000,MATCH(data!$A130,Haver_M!$B$1:$B$1000,0),MATCH(data!AH$1,Haver_M!$B$1:$ZN$1,0))),INDEX(Haver_M!$B$1:$ZN$1000,MATCH(data!$A130,Haver_M!$B$1:$B$1000,0),MATCH(data!AH$1,Haver_M!$B$1:$ZN$1,0)),"na")</f>
        <v>na</v>
      </c>
      <c r="AI130" t="str">
        <f>IF(ISNUMBER(INDEX(Haver_M!$B$1:$ZN$1000,MATCH(data!$A130,Haver_M!$B$1:$B$1000,0),MATCH(data!AI$1,Haver_M!$B$1:$ZN$1,0))),INDEX(Haver_M!$B$1:$ZN$1000,MATCH(data!$A130,Haver_M!$B$1:$B$1000,0),MATCH(data!AI$1,Haver_M!$B$1:$ZN$1,0)),"na")</f>
        <v>na</v>
      </c>
      <c r="AJ130" t="str">
        <f>IF(ISNUMBER(INDEX(Haver_M!$B$1:$ZN$1000,MATCH(data!$A130,Haver_M!$B$1:$B$1000,0),MATCH(data!AJ$1,Haver_M!$B$1:$ZN$1,0))),INDEX(Haver_M!$B$1:$ZN$1000,MATCH(data!$A130,Haver_M!$B$1:$B$1000,0),MATCH(data!AJ$1,Haver_M!$B$1:$ZN$1,0)),"na")</f>
        <v>na</v>
      </c>
      <c r="AK130" t="str">
        <f>IF(ISNUMBER(INDEX(Haver_M!$B$1:$ZN$1000,MATCH(data!$A130,Haver_M!$B$1:$B$1000,0),MATCH(data!AK$1,Haver_M!$B$1:$ZN$1,0))),INDEX(Haver_M!$B$1:$ZN$1000,MATCH(data!$A130,Haver_M!$B$1:$B$1000,0),MATCH(data!AK$1,Haver_M!$B$1:$ZN$1,0)),"na")</f>
        <v>na</v>
      </c>
      <c r="AL130" t="str">
        <f>IF(ISNUMBER(INDEX(Haver_M!$B$1:$ZN$1000,MATCH(data!$A130,Haver_M!$B$1:$B$1000,0),MATCH(data!AL$1,Haver_M!$B$1:$ZN$1,0))),INDEX(Haver_M!$B$1:$ZN$1000,MATCH(data!$A130,Haver_M!$B$1:$B$1000,0),MATCH(data!AL$1,Haver_M!$B$1:$ZN$1,0)),"na")</f>
        <v>na</v>
      </c>
      <c r="AM130" t="str">
        <f>IF(ISNUMBER(INDEX(Haver_M!$B$1:$ZN$1000,MATCH(data!$A130,Haver_M!$B$1:$B$1000,0),MATCH(data!AM$1,Haver_M!$B$1:$ZN$1,0))),INDEX(Haver_M!$B$1:$ZN$1000,MATCH(data!$A130,Haver_M!$B$1:$B$1000,0),MATCH(data!AM$1,Haver_M!$B$1:$ZN$1,0)),"na")</f>
        <v>na</v>
      </c>
      <c r="AN130" t="str">
        <f>IF(ISNUMBER(INDEX(Haver_M!$B$1:$ZN$1000,MATCH(data!$A130,Haver_M!$B$1:$B$1000,0),MATCH(data!AN$1,Haver_M!$B$1:$ZN$1,0))),INDEX(Haver_M!$B$1:$ZN$1000,MATCH(data!$A130,Haver_M!$B$1:$B$1000,0),MATCH(data!AN$1,Haver_M!$B$1:$ZN$1,0)),"na")</f>
        <v>na</v>
      </c>
      <c r="AO130" t="str">
        <f>IF(ISNUMBER(INDEX(Haver_M!$B$1:$ZN$1000,MATCH(data!$A130,Haver_M!$B$1:$B$1000,0),MATCH(data!AO$1,Haver_M!$B$1:$ZN$1,0))),INDEX(Haver_M!$B$1:$ZN$1000,MATCH(data!$A130,Haver_M!$B$1:$B$1000,0),MATCH(data!AO$1,Haver_M!$B$1:$ZN$1,0)),"na")</f>
        <v>na</v>
      </c>
      <c r="AP130" t="str">
        <f>IF(ISNUMBER(INDEX(Haver_M!$B$1:$ZN$1000,MATCH(data!$A130,Haver_M!$B$1:$B$1000,0),MATCH(data!AP$1,Haver_M!$B$1:$ZN$1,0))),INDEX(Haver_M!$B$1:$ZN$1000,MATCH(data!$A130,Haver_M!$B$1:$B$1000,0),MATCH(data!AP$1,Haver_M!$B$1:$ZN$1,0)),"na")</f>
        <v>na</v>
      </c>
      <c r="AQ130" t="str">
        <f>IF(ISNUMBER(INDEX(Haver_M!$B$1:$ZN$1000,MATCH(data!$A130,Haver_M!$B$1:$B$1000,0),MATCH(data!AQ$1,Haver_M!$B$1:$ZN$1,0))),INDEX(Haver_M!$B$1:$ZN$1000,MATCH(data!$A130,Haver_M!$B$1:$B$1000,0),MATCH(data!AQ$1,Haver_M!$B$1:$ZN$1,0)),"na")</f>
        <v>na</v>
      </c>
      <c r="AR130" t="str">
        <f>IF(ISNUMBER(INDEX(Haver_M!$B$1:$ZN$1000,MATCH(data!$A130,Haver_M!$B$1:$B$1000,0),MATCH(data!AR$1,Haver_M!$B$1:$ZN$1,0))),INDEX(Haver_M!$B$1:$ZN$1000,MATCH(data!$A130,Haver_M!$B$1:$B$1000,0),MATCH(data!AR$1,Haver_M!$B$1:$ZN$1,0)),"na")</f>
        <v>na</v>
      </c>
      <c r="AS130">
        <f>IF(ISNUMBER(INDEX(Haver_M!$B$1:$ZN$1000,MATCH(data!$A130,Haver_M!$B$1:$B$1000,0),MATCH(data!AS$1,Haver_M!$B$1:$ZN$1,0))),INDEX(Haver_M!$B$1:$ZN$1000,MATCH(data!$A130,Haver_M!$B$1:$B$1000,0),MATCH(data!AS$1,Haver_M!$B$1:$ZN$1,0)),"na")</f>
        <v>32908.68</v>
      </c>
      <c r="AT130">
        <f>IF(ISNUMBER(INDEX(Haver_M!$B$1:$ZN$1000,MATCH(data!$A130,Haver_M!$B$1:$B$1000,0),MATCH(data!AT$1,Haver_M!$B$1:$ZN$1,0))),INDEX(Haver_M!$B$1:$ZN$1000,MATCH(data!$A130,Haver_M!$B$1:$B$1000,0),MATCH(data!AT$1,Haver_M!$B$1:$ZN$1,0)),"na")</f>
        <v>93.912000000000006</v>
      </c>
      <c r="AU130">
        <f>IF(ISNUMBER(INDEX(Haver_M!$B$1:$ZN$1000,MATCH(data!$A130,Haver_M!$B$1:$B$1000,0),MATCH(data!AU$1,Haver_M!$B$1:$ZN$1,0))),INDEX(Haver_M!$B$1:$ZN$1000,MATCH(data!$A130,Haver_M!$B$1:$B$1000,0),MATCH(data!AU$1,Haver_M!$B$1:$ZN$1,0)),"na")</f>
        <v>92.438681000000003</v>
      </c>
      <c r="AV130">
        <f>IF(ISNUMBER(INDEX(Haver_M!$B$1:$ZN$1000,MATCH(data!$A130,Haver_M!$B$1:$B$1000,0),MATCH(data!AV$1,Haver_M!$B$1:$ZN$1,0))),INDEX(Haver_M!$B$1:$ZN$1000,MATCH(data!$A130,Haver_M!$B$1:$B$1000,0),MATCH(data!AV$1,Haver_M!$B$1:$ZN$1,0)),"na")</f>
        <v>91.3</v>
      </c>
      <c r="AW130">
        <f>IF(ISNUMBER(INDEX(Haver_M!$B$1:$ZN$1000,MATCH(data!$A130,Haver_M!$B$1:$B$1000,0),MATCH(data!AW$1,Haver_M!$B$1:$ZN$1,0))),INDEX(Haver_M!$B$1:$ZN$1000,MATCH(data!$A130,Haver_M!$B$1:$B$1000,0),MATCH(data!AW$1,Haver_M!$B$1:$ZN$1,0)),"na")</f>
        <v>964755.12684236257</v>
      </c>
      <c r="AX130">
        <f>IF(ISNUMBER(INDEX(Haver_M!$B$1:$ZN$1000,MATCH(data!$A130,Haver_M!$B$1:$B$1000,0),MATCH(data!AX$1,Haver_M!$B$1:$ZN$1,0))),INDEX(Haver_M!$B$1:$ZN$1000,MATCH(data!$A130,Haver_M!$B$1:$B$1000,0),MATCH(data!AX$1,Haver_M!$B$1:$ZN$1,0)),"na")</f>
        <v>2564</v>
      </c>
      <c r="AY130">
        <f>IF(ISNUMBER(INDEX(Haver_M!$B$1:$ZN$1000,MATCH(data!$A130,Haver_M!$B$1:$B$1000,0),MATCH(data!AY$1,Haver_M!$B$1:$ZN$1,0))),INDEX(Haver_M!$B$1:$ZN$1000,MATCH(data!$A130,Haver_M!$B$1:$B$1000,0),MATCH(data!AY$1,Haver_M!$B$1:$ZN$1,0)),"na")</f>
        <v>1337</v>
      </c>
      <c r="AZ130">
        <f>IF(ISNUMBER(INDEX(Haver_M!$B$1:$ZN$1000,MATCH(data!$A130,Haver_M!$B$1:$B$1000,0),MATCH(data!AZ$1,Haver_M!$B$1:$ZN$1,0))),INDEX(Haver_M!$B$1:$ZN$1000,MATCH(data!$A130,Haver_M!$B$1:$B$1000,0),MATCH(data!AZ$1,Haver_M!$B$1:$ZN$1,0)),"na")</f>
        <v>53.8</v>
      </c>
      <c r="BA130">
        <f>IF(ISNUMBER(INDEX(Haver_M!$B$1:$ZN$1000,MATCH(data!$A130,Haver_M!$B$1:$B$1000,0),MATCH(data!BA$1,Haver_M!$B$1:$ZN$1,0))),INDEX(Haver_M!$B$1:$ZN$1000,MATCH(data!$A130,Haver_M!$B$1:$B$1000,0),MATCH(data!BA$1,Haver_M!$B$1:$ZN$1,0)),"na")</f>
        <v>55.50683893889186</v>
      </c>
      <c r="BB130" t="str">
        <f>IF(ISNUMBER(INDEX(Haver_M!$B$1:$ZN$1000,MATCH(data!$A130,Haver_M!$B$1:$B$1000,0),MATCH(data!BB$1,Haver_M!$B$1:$ZN$1,0))),INDEX(Haver_M!$B$1:$ZN$1000,MATCH(data!$A130,Haver_M!$B$1:$B$1000,0),MATCH(data!BB$1,Haver_M!$B$1:$ZN$1,0)),"")</f>
        <v/>
      </c>
    </row>
    <row r="131" spans="1:54" x14ac:dyDescent="0.25">
      <c r="A131" s="2">
        <v>40482</v>
      </c>
      <c r="B131" t="str">
        <f>IF(ISNUMBER(INDEX(Haver_Q!$B$1:$BD$1000,MATCH(data!$A131,Haver_Q!$B$1:$B$1000,0),MATCH(data!B$1,Haver_Q!$B$1:$BD$1,0))),100*INDEX(Haver_Q!$B$1:$BD$1000,MATCH(data!$A131,Haver_Q!$B$1:$B$1000,0),MATCH(data!B$1,Haver_Q!$B$1:$BD$1,0)),"na")</f>
        <v>na</v>
      </c>
      <c r="C131" t="str">
        <f>IF(ISNUMBER(INDEX(Haver_Q!$B$1:$BD$1000,MATCH(data!$A131,Haver_Q!$B$1:$B$1000,0),MATCH(data!C$1,Haver_Q!$B$1:$BD$1,0))),100*INDEX(Haver_Q!$B$1:$BD$1000,MATCH(data!$A131,Haver_Q!$B$1:$B$1000,0),MATCH(data!C$1,Haver_Q!$B$1:$BD$1,0)),"na")</f>
        <v>na</v>
      </c>
      <c r="D131" t="str">
        <f>IF(ISNUMBER(INDEX(Haver_Q!$B$1:$BD$1000,MATCH(data!$A131,Haver_Q!$B$1:$B$1000,0),MATCH(data!D$1,Haver_Q!$B$1:$BD$1,0))),100*INDEX(Haver_Q!$B$1:$BD$1000,MATCH(data!$A131,Haver_Q!$B$1:$B$1000,0),MATCH(data!D$1,Haver_Q!$B$1:$BD$1,0)),"na")</f>
        <v>na</v>
      </c>
      <c r="E131" t="str">
        <f>IF(ISNUMBER(INDEX(Haver_Q!$B$1:$BD$1000,MATCH(data!$A131,Haver_Q!$B$1:$B$1000,0),MATCH(data!E$1,Haver_Q!$B$1:$BD$1,0))),100*INDEX(Haver_Q!$B$1:$BD$1000,MATCH(data!$A131,Haver_Q!$B$1:$B$1000,0),MATCH(data!E$1,Haver_Q!$B$1:$BD$1,0)),"na")</f>
        <v>na</v>
      </c>
      <c r="F131" t="str">
        <f>IF(ISNUMBER(INDEX(Haver_Q!$B$1:$BD$1000,MATCH(data!$A131,Haver_Q!$B$1:$B$1000,0),MATCH(data!F$1,Haver_Q!$B$1:$BD$1,0))),100*INDEX(Haver_Q!$B$1:$BD$1000,MATCH(data!$A131,Haver_Q!$B$1:$B$1000,0),MATCH(data!F$1,Haver_Q!$B$1:$BD$1,0)),"na")</f>
        <v>na</v>
      </c>
      <c r="G131" t="str">
        <f>IF(ISNUMBER(INDEX(Haver_Q!$B$1:$BD$1000,MATCH(data!$A131,Haver_Q!$B$1:$B$1000,0),MATCH(data!G$1,Haver_Q!$B$1:$BD$1,0))),100*INDEX(Haver_Q!$B$1:$BD$1000,MATCH(data!$A131,Haver_Q!$B$1:$B$1000,0),MATCH(data!G$1,Haver_Q!$B$1:$BD$1,0)),"na")</f>
        <v>na</v>
      </c>
      <c r="H131" t="str">
        <f>IF(ISNUMBER(INDEX(Haver_Q!$B$1:$BD$1000,MATCH(data!$A131,Haver_Q!$B$1:$B$1000,0),MATCH(data!H$1,Haver_Q!$B$1:$BD$1,0))),100*INDEX(Haver_Q!$B$1:$BD$1000,MATCH(data!$A131,Haver_Q!$B$1:$B$1000,0),MATCH(data!H$1,Haver_Q!$B$1:$BD$1,0)),"na")</f>
        <v>na</v>
      </c>
      <c r="I131" s="3">
        <f>IF(ISNUMBER(Bloomberg_m!C147),Bloomberg_m!C147,"na")</f>
        <v>2693</v>
      </c>
      <c r="J131" s="3" t="str">
        <f>IF(ISNUMBER(Bloomberg_m!D147),Bloomberg_m!D147,"na")</f>
        <v>na</v>
      </c>
      <c r="K131" s="3" t="str">
        <f>IF(ISNUMBER(Bloomberg_m!E147),Bloomberg_m!E147,"na")</f>
        <v>na</v>
      </c>
      <c r="L131" s="3">
        <f>IF(ISNUMBER(Bloomberg_m!L147),Bloomberg_m!L147,"na")</f>
        <v>81.900000000000006</v>
      </c>
      <c r="M131">
        <f>IF(ISNUMBER(INDEX(Haver_M!$B$1:$ZN$1000,MATCH(data!$A131,Haver_M!$B$1:$B$1000,0),MATCH(data!M$1,Haver_M!$B$1:$ZN$1,0))),INDEX(Haver_M!$B$1:$ZN$1000,MATCH(data!$A131,Haver_M!$B$1:$B$1000,0),MATCH(data!M$1,Haver_M!$B$1:$ZN$1,0)),"na")</f>
        <v>4.5</v>
      </c>
      <c r="N131">
        <f>IF(ISNUMBER(INDEX(Haver_M!$B$1:$ZN$1000,MATCH(data!$A131,Haver_M!$B$1:$B$1000,0),MATCH(data!N$1,Haver_M!$B$1:$ZN$1,0))),INDEX(Haver_M!$B$1:$ZN$1000,MATCH(data!$A131,Haver_M!$B$1:$B$1000,0),MATCH(data!N$1,Haver_M!$B$1:$ZN$1,0)),"na")</f>
        <v>6.0968</v>
      </c>
      <c r="O131">
        <f>IF(ISNUMBER(INDEX(Haver_M!$B$1:$ZN$1000,MATCH(data!$A131,Haver_M!$B$1:$B$1000,0),MATCH(data!O$1,Haver_M!$B$1:$ZN$1,0))),INDEX(Haver_M!$B$1:$ZN$1000,MATCH(data!$A131,Haver_M!$B$1:$B$1000,0),MATCH(data!O$1,Haver_M!$B$1:$ZN$1,0)),"na")</f>
        <v>99.859800000000007</v>
      </c>
      <c r="P131">
        <f>IF(ISNUMBER(INDEX(Haver_M!$B$1:$ZN$1000,MATCH(data!$A131,Haver_M!$B$1:$B$1000,0),MATCH(data!P$1,Haver_M!$B$1:$ZN$1,0))),INDEX(Haver_M!$B$1:$ZN$1000,MATCH(data!$A131,Haver_M!$B$1:$B$1000,0),MATCH(data!P$1,Haver_M!$B$1:$ZN$1,0)),"na")</f>
        <v>74.194500000000005</v>
      </c>
      <c r="Q131">
        <f>IF(ISNUMBER(INDEX(Haver_M!$B$1:$ZN$1000,MATCH(data!$A131,Haver_M!$B$1:$B$1000,0),MATCH(data!Q$1,Haver_M!$B$1:$ZN$1,0))),INDEX(Haver_M!$B$1:$ZN$1000,MATCH(data!$A131,Haver_M!$B$1:$B$1000,0),MATCH(data!Q$1,Haver_M!$B$1:$ZN$1,0)),"na")</f>
        <v>77.732900000000001</v>
      </c>
      <c r="R131">
        <f>IF(ISNUMBER(INDEX(Haver_M!$B$1:$ZN$1000,MATCH(data!$A131,Haver_M!$B$1:$B$1000,0),MATCH(data!R$1,Haver_M!$B$1:$ZN$1,0))),INDEX(Haver_M!$B$1:$ZN$1000,MATCH(data!$A131,Haver_M!$B$1:$B$1000,0),MATCH(data!R$1,Haver_M!$B$1:$ZN$1,0)),"na")</f>
        <v>94.837400000000002</v>
      </c>
      <c r="S131">
        <f>IF(ISNUMBER(INDEX(Haver_M!$B$1:$ZN$1000,MATCH(data!$A131,Haver_M!$B$1:$B$1000,0),MATCH(data!S$1,Haver_M!$B$1:$ZN$1,0))),INDEX(Haver_M!$B$1:$ZN$1000,MATCH(data!$A131,Haver_M!$B$1:$B$1000,0),MATCH(data!S$1,Haver_M!$B$1:$ZN$1,0)),"na")</f>
        <v>97.915599999999998</v>
      </c>
      <c r="T131">
        <f>IF(ISNUMBER(INDEX(Haver_M!$B$1:$ZN$1000,MATCH(data!$A131,Haver_M!$B$1:$B$1000,0),MATCH(data!T$1,Haver_M!$B$1:$ZN$1,0))),INDEX(Haver_M!$B$1:$ZN$1000,MATCH(data!$A131,Haver_M!$B$1:$B$1000,0),MATCH(data!T$1,Haver_M!$B$1:$ZN$1,0)),"na")</f>
        <v>92.899900000000002</v>
      </c>
      <c r="U131">
        <f>IF(ISNUMBER(INDEX(Haver_M!$B$1:$ZN$1000,MATCH(data!$A131,Haver_M!$B$1:$B$1000,0),MATCH(data!U$1,Haver_M!$B$1:$ZN$1,0))),INDEX(Haver_M!$B$1:$ZN$1000,MATCH(data!$A131,Haver_M!$B$1:$B$1000,0),MATCH(data!U$1,Haver_M!$B$1:$ZN$1,0)),"na")</f>
        <v>94.4298</v>
      </c>
      <c r="V131">
        <f>IF(ISNUMBER(INDEX(Haver_M!$B$1:$ZN$1000,MATCH(data!$A131,Haver_M!$B$1:$B$1000,0),MATCH(data!V$1,Haver_M!$B$1:$ZN$1,0))),INDEX(Haver_M!$B$1:$ZN$1000,MATCH(data!$A131,Haver_M!$B$1:$B$1000,0),MATCH(data!V$1,Haver_M!$B$1:$ZN$1,0)),"na")</f>
        <v>93.105800000000002</v>
      </c>
      <c r="W131">
        <f>IF(ISNUMBER(INDEX(Haver_M!$B$1:$ZN$1000,MATCH(data!$A131,Haver_M!$B$1:$B$1000,0),MATCH(data!W$1,Haver_M!$B$1:$ZN$1,0))),INDEX(Haver_M!$B$1:$ZN$1000,MATCH(data!$A131,Haver_M!$B$1:$B$1000,0),MATCH(data!W$1,Haver_M!$B$1:$ZN$1,0)),"na")</f>
        <v>5.5</v>
      </c>
      <c r="X131">
        <f>IF(ISNUMBER(INDEX(Haver_M!$B$1:$ZN$1000,MATCH(data!$A131,Haver_M!$B$1:$B$1000,0),MATCH(data!X$1,Haver_M!$B$1:$ZN$1,0))),INDEX(Haver_M!$B$1:$ZN$1000,MATCH(data!$A131,Haver_M!$B$1:$B$1000,0),MATCH(data!X$1,Haver_M!$B$1:$ZN$1,0)),"na")</f>
        <v>98.51</v>
      </c>
      <c r="Y131">
        <f>IF(ISNUMBER(INDEX(Haver_M!$B$1:$ZN$1000,MATCH(data!$A131,Haver_M!$B$1:$B$1000,0),MATCH(data!Y$1,Haver_M!$B$1:$ZN$1,0))),INDEX(Haver_M!$B$1:$ZN$1000,MATCH(data!$A131,Haver_M!$B$1:$B$1000,0),MATCH(data!Y$1,Haver_M!$B$1:$ZN$1,0)),"na")</f>
        <v>100.85</v>
      </c>
      <c r="Z131">
        <f>IF(ISNUMBER(INDEX(Haver_M!$B$1:$ZN$1000,MATCH(data!$A131,Haver_M!$B$1:$B$1000,0),MATCH(data!Z$1,Haver_M!$B$1:$ZN$1,0))),INDEX(Haver_M!$B$1:$ZN$1000,MATCH(data!$A131,Haver_M!$B$1:$B$1000,0),MATCH(data!Z$1,Haver_M!$B$1:$ZN$1,0)),"na")</f>
        <v>94.800399999999996</v>
      </c>
      <c r="AA131">
        <f>IF(ISNUMBER(INDEX(Haver_M!$B$1:$ZN$1000,MATCH(data!$A131,Haver_M!$B$1:$B$1000,0),MATCH(data!AA$1,Haver_M!$B$1:$ZN$1,0))),INDEX(Haver_M!$B$1:$ZN$1000,MATCH(data!$A131,Haver_M!$B$1:$B$1000,0),MATCH(data!AA$1,Haver_M!$B$1:$ZN$1,0)),"na")</f>
        <v>94.040800000000004</v>
      </c>
      <c r="AB131">
        <f>IF(ISNUMBER(INDEX(Haver_M!$B$1:$ZN$1000,MATCH(data!$A131,Haver_M!$B$1:$B$1000,0),MATCH(data!AB$1,Haver_M!$B$1:$ZN$1,0))),INDEX(Haver_M!$B$1:$ZN$1000,MATCH(data!$A131,Haver_M!$B$1:$B$1000,0),MATCH(data!AB$1,Haver_M!$B$1:$ZN$1,0)),"na")</f>
        <v>25850.9</v>
      </c>
      <c r="AC131">
        <f>IF(ISNUMBER(INDEX(Haver_M!$B$1:$ZN$1000,MATCH(data!$A131,Haver_M!$B$1:$B$1000,0),MATCH(data!AC$1,Haver_M!$B$1:$ZN$1,0))),INDEX(Haver_M!$B$1:$ZN$1000,MATCH(data!$A131,Haver_M!$B$1:$B$1000,0),MATCH(data!AC$1,Haver_M!$B$1:$ZN$1,0)),"na")</f>
        <v>26416.799999999999</v>
      </c>
      <c r="AD131">
        <f>IF(ISNUMBER(INDEX(Haver_M!$B$1:$ZN$1000,MATCH(data!$A131,Haver_M!$B$1:$B$1000,0),MATCH(data!AD$1,Haver_M!$B$1:$ZN$1,0))),INDEX(Haver_M!$B$1:$ZN$1000,MATCH(data!$A131,Haver_M!$B$1:$B$1000,0),MATCH(data!AD$1,Haver_M!$B$1:$ZN$1,0)),"na")</f>
        <v>99.27</v>
      </c>
      <c r="AE131">
        <f>IF(ISNUMBER(INDEX(Haver_M!$B$1:$ZN$1000,MATCH(data!$A131,Haver_M!$B$1:$B$1000,0),MATCH(data!AE$1,Haver_M!$B$1:$ZN$1,0))),INDEX(Haver_M!$B$1:$ZN$1000,MATCH(data!$A131,Haver_M!$B$1:$B$1000,0),MATCH(data!AE$1,Haver_M!$B$1:$ZN$1,0)),"na")</f>
        <v>38.200000000000003</v>
      </c>
      <c r="AF131">
        <f>IF(ISNUMBER(INDEX(Haver_M!$B$1:$ZN$1000,MATCH(data!$A131,Haver_M!$B$1:$B$1000,0),MATCH(data!AF$1,Haver_M!$B$1:$ZN$1,0))),INDEX(Haver_M!$B$1:$ZN$1000,MATCH(data!$A131,Haver_M!$B$1:$B$1000,0),MATCH(data!AF$1,Haver_M!$B$1:$ZN$1,0)),"na")</f>
        <v>101.87</v>
      </c>
      <c r="AG131" t="str">
        <f>IF(ISNUMBER(INDEX(Haver_M!$B$1:$ZN$1000,MATCH(data!$A131,Haver_M!$B$1:$B$1000,0),MATCH(data!AG$1,Haver_M!$B$1:$ZN$1,0))),INDEX(Haver_M!$B$1:$ZN$1000,MATCH(data!$A131,Haver_M!$B$1:$B$1000,0),MATCH(data!AG$1,Haver_M!$B$1:$ZN$1,0)),"na")</f>
        <v>na</v>
      </c>
      <c r="AH131" t="str">
        <f>IF(ISNUMBER(INDEX(Haver_M!$B$1:$ZN$1000,MATCH(data!$A131,Haver_M!$B$1:$B$1000,0),MATCH(data!AH$1,Haver_M!$B$1:$ZN$1,0))),INDEX(Haver_M!$B$1:$ZN$1000,MATCH(data!$A131,Haver_M!$B$1:$B$1000,0),MATCH(data!AH$1,Haver_M!$B$1:$ZN$1,0)),"na")</f>
        <v>na</v>
      </c>
      <c r="AI131" t="str">
        <f>IF(ISNUMBER(INDEX(Haver_M!$B$1:$ZN$1000,MATCH(data!$A131,Haver_M!$B$1:$B$1000,0),MATCH(data!AI$1,Haver_M!$B$1:$ZN$1,0))),INDEX(Haver_M!$B$1:$ZN$1000,MATCH(data!$A131,Haver_M!$B$1:$B$1000,0),MATCH(data!AI$1,Haver_M!$B$1:$ZN$1,0)),"na")</f>
        <v>na</v>
      </c>
      <c r="AJ131" t="str">
        <f>IF(ISNUMBER(INDEX(Haver_M!$B$1:$ZN$1000,MATCH(data!$A131,Haver_M!$B$1:$B$1000,0),MATCH(data!AJ$1,Haver_M!$B$1:$ZN$1,0))),INDEX(Haver_M!$B$1:$ZN$1000,MATCH(data!$A131,Haver_M!$B$1:$B$1000,0),MATCH(data!AJ$1,Haver_M!$B$1:$ZN$1,0)),"na")</f>
        <v>na</v>
      </c>
      <c r="AK131" t="str">
        <f>IF(ISNUMBER(INDEX(Haver_M!$B$1:$ZN$1000,MATCH(data!$A131,Haver_M!$B$1:$B$1000,0),MATCH(data!AK$1,Haver_M!$B$1:$ZN$1,0))),INDEX(Haver_M!$B$1:$ZN$1000,MATCH(data!$A131,Haver_M!$B$1:$B$1000,0),MATCH(data!AK$1,Haver_M!$B$1:$ZN$1,0)),"na")</f>
        <v>na</v>
      </c>
      <c r="AL131" t="str">
        <f>IF(ISNUMBER(INDEX(Haver_M!$B$1:$ZN$1000,MATCH(data!$A131,Haver_M!$B$1:$B$1000,0),MATCH(data!AL$1,Haver_M!$B$1:$ZN$1,0))),INDEX(Haver_M!$B$1:$ZN$1000,MATCH(data!$A131,Haver_M!$B$1:$B$1000,0),MATCH(data!AL$1,Haver_M!$B$1:$ZN$1,0)),"na")</f>
        <v>na</v>
      </c>
      <c r="AM131" t="str">
        <f>IF(ISNUMBER(INDEX(Haver_M!$B$1:$ZN$1000,MATCH(data!$A131,Haver_M!$B$1:$B$1000,0),MATCH(data!AM$1,Haver_M!$B$1:$ZN$1,0))),INDEX(Haver_M!$B$1:$ZN$1000,MATCH(data!$A131,Haver_M!$B$1:$B$1000,0),MATCH(data!AM$1,Haver_M!$B$1:$ZN$1,0)),"na")</f>
        <v>na</v>
      </c>
      <c r="AN131" t="str">
        <f>IF(ISNUMBER(INDEX(Haver_M!$B$1:$ZN$1000,MATCH(data!$A131,Haver_M!$B$1:$B$1000,0),MATCH(data!AN$1,Haver_M!$B$1:$ZN$1,0))),INDEX(Haver_M!$B$1:$ZN$1000,MATCH(data!$A131,Haver_M!$B$1:$B$1000,0),MATCH(data!AN$1,Haver_M!$B$1:$ZN$1,0)),"na")</f>
        <v>na</v>
      </c>
      <c r="AO131" t="str">
        <f>IF(ISNUMBER(INDEX(Haver_M!$B$1:$ZN$1000,MATCH(data!$A131,Haver_M!$B$1:$B$1000,0),MATCH(data!AO$1,Haver_M!$B$1:$ZN$1,0))),INDEX(Haver_M!$B$1:$ZN$1000,MATCH(data!$A131,Haver_M!$B$1:$B$1000,0),MATCH(data!AO$1,Haver_M!$B$1:$ZN$1,0)),"na")</f>
        <v>na</v>
      </c>
      <c r="AP131" t="str">
        <f>IF(ISNUMBER(INDEX(Haver_M!$B$1:$ZN$1000,MATCH(data!$A131,Haver_M!$B$1:$B$1000,0),MATCH(data!AP$1,Haver_M!$B$1:$ZN$1,0))),INDEX(Haver_M!$B$1:$ZN$1000,MATCH(data!$A131,Haver_M!$B$1:$B$1000,0),MATCH(data!AP$1,Haver_M!$B$1:$ZN$1,0)),"na")</f>
        <v>na</v>
      </c>
      <c r="AQ131" t="str">
        <f>IF(ISNUMBER(INDEX(Haver_M!$B$1:$ZN$1000,MATCH(data!$A131,Haver_M!$B$1:$B$1000,0),MATCH(data!AQ$1,Haver_M!$B$1:$ZN$1,0))),INDEX(Haver_M!$B$1:$ZN$1000,MATCH(data!$A131,Haver_M!$B$1:$B$1000,0),MATCH(data!AQ$1,Haver_M!$B$1:$ZN$1,0)),"na")</f>
        <v>na</v>
      </c>
      <c r="AR131" t="str">
        <f>IF(ISNUMBER(INDEX(Haver_M!$B$1:$ZN$1000,MATCH(data!$A131,Haver_M!$B$1:$B$1000,0),MATCH(data!AR$1,Haver_M!$B$1:$ZN$1,0))),INDEX(Haver_M!$B$1:$ZN$1000,MATCH(data!$A131,Haver_M!$B$1:$B$1000,0),MATCH(data!AR$1,Haver_M!$B$1:$ZN$1,0)),"na")</f>
        <v>na</v>
      </c>
      <c r="AS131">
        <f>IF(ISNUMBER(INDEX(Haver_M!$B$1:$ZN$1000,MATCH(data!$A131,Haver_M!$B$1:$B$1000,0),MATCH(data!AS$1,Haver_M!$B$1:$ZN$1,0))),INDEX(Haver_M!$B$1:$ZN$1000,MATCH(data!$A131,Haver_M!$B$1:$B$1000,0),MATCH(data!AS$1,Haver_M!$B$1:$ZN$1,0)),"na")</f>
        <v>34745.72</v>
      </c>
      <c r="AT131">
        <f>IF(ISNUMBER(INDEX(Haver_M!$B$1:$ZN$1000,MATCH(data!$A131,Haver_M!$B$1:$B$1000,0),MATCH(data!AT$1,Haver_M!$B$1:$ZN$1,0))),INDEX(Haver_M!$B$1:$ZN$1000,MATCH(data!$A131,Haver_M!$B$1:$B$1000,0),MATCH(data!AT$1,Haver_M!$B$1:$ZN$1,0)),"na")</f>
        <v>93.587999999999994</v>
      </c>
      <c r="AU131">
        <f>IF(ISNUMBER(INDEX(Haver_M!$B$1:$ZN$1000,MATCH(data!$A131,Haver_M!$B$1:$B$1000,0),MATCH(data!AU$1,Haver_M!$B$1:$ZN$1,0))),INDEX(Haver_M!$B$1:$ZN$1000,MATCH(data!$A131,Haver_M!$B$1:$B$1000,0),MATCH(data!AU$1,Haver_M!$B$1:$ZN$1,0)),"na")</f>
        <v>92.444585000000004</v>
      </c>
      <c r="AV131">
        <f>IF(ISNUMBER(INDEX(Haver_M!$B$1:$ZN$1000,MATCH(data!$A131,Haver_M!$B$1:$B$1000,0),MATCH(data!AV$1,Haver_M!$B$1:$ZN$1,0))),INDEX(Haver_M!$B$1:$ZN$1000,MATCH(data!$A131,Haver_M!$B$1:$B$1000,0),MATCH(data!AV$1,Haver_M!$B$1:$ZN$1,0)),"na")</f>
        <v>92.4</v>
      </c>
      <c r="AW131">
        <f>IF(ISNUMBER(INDEX(Haver_M!$B$1:$ZN$1000,MATCH(data!$A131,Haver_M!$B$1:$B$1000,0),MATCH(data!AW$1,Haver_M!$B$1:$ZN$1,0))),INDEX(Haver_M!$B$1:$ZN$1000,MATCH(data!$A131,Haver_M!$B$1:$B$1000,0),MATCH(data!AW$1,Haver_M!$B$1:$ZN$1,0)),"na")</f>
        <v>974548.87111697556</v>
      </c>
      <c r="AX131">
        <f>IF(ISNUMBER(INDEX(Haver_M!$B$1:$ZN$1000,MATCH(data!$A131,Haver_M!$B$1:$B$1000,0),MATCH(data!AX$1,Haver_M!$B$1:$ZN$1,0))),INDEX(Haver_M!$B$1:$ZN$1000,MATCH(data!$A131,Haver_M!$B$1:$B$1000,0),MATCH(data!AX$1,Haver_M!$B$1:$ZN$1,0)),"na")</f>
        <v>2561</v>
      </c>
      <c r="AY131">
        <f>IF(ISNUMBER(INDEX(Haver_M!$B$1:$ZN$1000,MATCH(data!$A131,Haver_M!$B$1:$B$1000,0),MATCH(data!AY$1,Haver_M!$B$1:$ZN$1,0))),INDEX(Haver_M!$B$1:$ZN$1000,MATCH(data!$A131,Haver_M!$B$1:$B$1000,0),MATCH(data!AY$1,Haver_M!$B$1:$ZN$1,0)),"na")</f>
        <v>1377</v>
      </c>
      <c r="AZ131">
        <f>IF(ISNUMBER(INDEX(Haver_M!$B$1:$ZN$1000,MATCH(data!$A131,Haver_M!$B$1:$B$1000,0),MATCH(data!AZ$1,Haver_M!$B$1:$ZN$1,0))),INDEX(Haver_M!$B$1:$ZN$1000,MATCH(data!$A131,Haver_M!$B$1:$B$1000,0),MATCH(data!AZ$1,Haver_M!$B$1:$ZN$1,0)),"na")</f>
        <v>53.5</v>
      </c>
      <c r="BA131">
        <f>IF(ISNUMBER(INDEX(Haver_M!$B$1:$ZN$1000,MATCH(data!$A131,Haver_M!$B$1:$B$1000,0),MATCH(data!BA$1,Haver_M!$B$1:$ZN$1,0))),INDEX(Haver_M!$B$1:$ZN$1000,MATCH(data!$A131,Haver_M!$B$1:$B$1000,0),MATCH(data!BA$1,Haver_M!$B$1:$ZN$1,0)),"na")</f>
        <v>76.878769585062741</v>
      </c>
      <c r="BB131" t="str">
        <f>IF(ISNUMBER(INDEX(Haver_M!$B$1:$ZN$1000,MATCH(data!$A131,Haver_M!$B$1:$B$1000,0),MATCH(data!BB$1,Haver_M!$B$1:$ZN$1,0))),INDEX(Haver_M!$B$1:$ZN$1000,MATCH(data!$A131,Haver_M!$B$1:$B$1000,0),MATCH(data!BB$1,Haver_M!$B$1:$ZN$1,0)),"")</f>
        <v/>
      </c>
    </row>
    <row r="132" spans="1:54" x14ac:dyDescent="0.25">
      <c r="A132" s="2">
        <v>40512</v>
      </c>
      <c r="B132" t="str">
        <f>IF(ISNUMBER(INDEX(Haver_Q!$B$1:$BD$1000,MATCH(data!$A132,Haver_Q!$B$1:$B$1000,0),MATCH(data!B$1,Haver_Q!$B$1:$BD$1,0))),100*INDEX(Haver_Q!$B$1:$BD$1000,MATCH(data!$A132,Haver_Q!$B$1:$B$1000,0),MATCH(data!B$1,Haver_Q!$B$1:$BD$1,0)),"na")</f>
        <v>na</v>
      </c>
      <c r="C132" t="str">
        <f>IF(ISNUMBER(INDEX(Haver_Q!$B$1:$BD$1000,MATCH(data!$A132,Haver_Q!$B$1:$B$1000,0),MATCH(data!C$1,Haver_Q!$B$1:$BD$1,0))),100*INDEX(Haver_Q!$B$1:$BD$1000,MATCH(data!$A132,Haver_Q!$B$1:$B$1000,0),MATCH(data!C$1,Haver_Q!$B$1:$BD$1,0)),"na")</f>
        <v>na</v>
      </c>
      <c r="D132" t="str">
        <f>IF(ISNUMBER(INDEX(Haver_Q!$B$1:$BD$1000,MATCH(data!$A132,Haver_Q!$B$1:$B$1000,0),MATCH(data!D$1,Haver_Q!$B$1:$BD$1,0))),100*INDEX(Haver_Q!$B$1:$BD$1000,MATCH(data!$A132,Haver_Q!$B$1:$B$1000,0),MATCH(data!D$1,Haver_Q!$B$1:$BD$1,0)),"na")</f>
        <v>na</v>
      </c>
      <c r="E132" t="str">
        <f>IF(ISNUMBER(INDEX(Haver_Q!$B$1:$BD$1000,MATCH(data!$A132,Haver_Q!$B$1:$B$1000,0),MATCH(data!E$1,Haver_Q!$B$1:$BD$1,0))),100*INDEX(Haver_Q!$B$1:$BD$1000,MATCH(data!$A132,Haver_Q!$B$1:$B$1000,0),MATCH(data!E$1,Haver_Q!$B$1:$BD$1,0)),"na")</f>
        <v>na</v>
      </c>
      <c r="F132" t="str">
        <f>IF(ISNUMBER(INDEX(Haver_Q!$B$1:$BD$1000,MATCH(data!$A132,Haver_Q!$B$1:$B$1000,0),MATCH(data!F$1,Haver_Q!$B$1:$BD$1,0))),100*INDEX(Haver_Q!$B$1:$BD$1000,MATCH(data!$A132,Haver_Q!$B$1:$B$1000,0),MATCH(data!F$1,Haver_Q!$B$1:$BD$1,0)),"na")</f>
        <v>na</v>
      </c>
      <c r="G132" t="str">
        <f>IF(ISNUMBER(INDEX(Haver_Q!$B$1:$BD$1000,MATCH(data!$A132,Haver_Q!$B$1:$B$1000,0),MATCH(data!G$1,Haver_Q!$B$1:$BD$1,0))),100*INDEX(Haver_Q!$B$1:$BD$1000,MATCH(data!$A132,Haver_Q!$B$1:$B$1000,0),MATCH(data!G$1,Haver_Q!$B$1:$BD$1,0)),"na")</f>
        <v>na</v>
      </c>
      <c r="H132" t="str">
        <f>IF(ISNUMBER(INDEX(Haver_Q!$B$1:$BD$1000,MATCH(data!$A132,Haver_Q!$B$1:$B$1000,0),MATCH(data!H$1,Haver_Q!$B$1:$BD$1,0))),100*INDEX(Haver_Q!$B$1:$BD$1000,MATCH(data!$A132,Haver_Q!$B$1:$B$1000,0),MATCH(data!H$1,Haver_Q!$B$1:$BD$1,0)),"na")</f>
        <v>na</v>
      </c>
      <c r="I132" s="3">
        <f>IF(ISNUMBER(Bloomberg_m!C148),Bloomberg_m!C148,"na")</f>
        <v>2321</v>
      </c>
      <c r="J132" s="3" t="str">
        <f>IF(ISNUMBER(Bloomberg_m!D148),Bloomberg_m!D148,"na")</f>
        <v>na</v>
      </c>
      <c r="K132" s="3">
        <f>IF(ISNUMBER(Bloomberg_m!E148),Bloomberg_m!E148,"na")</f>
        <v>1202.68</v>
      </c>
      <c r="L132" s="3">
        <f>IF(ISNUMBER(Bloomberg_m!L148),Bloomberg_m!L148,"na")</f>
        <v>84.24</v>
      </c>
      <c r="M132">
        <f>IF(ISNUMBER(INDEX(Haver_M!$B$1:$ZN$1000,MATCH(data!$A132,Haver_M!$B$1:$B$1000,0),MATCH(data!M$1,Haver_M!$B$1:$ZN$1,0))),INDEX(Haver_M!$B$1:$ZN$1000,MATCH(data!$A132,Haver_M!$B$1:$B$1000,0),MATCH(data!M$1,Haver_M!$B$1:$ZN$1,0)),"na")</f>
        <v>4.5</v>
      </c>
      <c r="N132">
        <f>IF(ISNUMBER(INDEX(Haver_M!$B$1:$ZN$1000,MATCH(data!$A132,Haver_M!$B$1:$B$1000,0),MATCH(data!N$1,Haver_M!$B$1:$ZN$1,0))),INDEX(Haver_M!$B$1:$ZN$1000,MATCH(data!$A132,Haver_M!$B$1:$B$1000,0),MATCH(data!N$1,Haver_M!$B$1:$ZN$1,0)),"na")</f>
        <v>6.3446999999999996</v>
      </c>
      <c r="O132">
        <f>IF(ISNUMBER(INDEX(Haver_M!$B$1:$ZN$1000,MATCH(data!$A132,Haver_M!$B$1:$B$1000,0),MATCH(data!O$1,Haver_M!$B$1:$ZN$1,0))),INDEX(Haver_M!$B$1:$ZN$1000,MATCH(data!$A132,Haver_M!$B$1:$B$1000,0),MATCH(data!O$1,Haver_M!$B$1:$ZN$1,0)),"na")</f>
        <v>101.46657999999999</v>
      </c>
      <c r="P132">
        <f>IF(ISNUMBER(INDEX(Haver_M!$B$1:$ZN$1000,MATCH(data!$A132,Haver_M!$B$1:$B$1000,0),MATCH(data!P$1,Haver_M!$B$1:$ZN$1,0))),INDEX(Haver_M!$B$1:$ZN$1000,MATCH(data!$A132,Haver_M!$B$1:$B$1000,0),MATCH(data!P$1,Haver_M!$B$1:$ZN$1,0)),"na")</f>
        <v>74.410700000000006</v>
      </c>
      <c r="Q132">
        <f>IF(ISNUMBER(INDEX(Haver_M!$B$1:$ZN$1000,MATCH(data!$A132,Haver_M!$B$1:$B$1000,0),MATCH(data!Q$1,Haver_M!$B$1:$ZN$1,0))),INDEX(Haver_M!$B$1:$ZN$1000,MATCH(data!$A132,Haver_M!$B$1:$B$1000,0),MATCH(data!Q$1,Haver_M!$B$1:$ZN$1,0)),"na")</f>
        <v>77.989199999999997</v>
      </c>
      <c r="R132">
        <f>IF(ISNUMBER(INDEX(Haver_M!$B$1:$ZN$1000,MATCH(data!$A132,Haver_M!$B$1:$B$1000,0),MATCH(data!R$1,Haver_M!$B$1:$ZN$1,0))),INDEX(Haver_M!$B$1:$ZN$1000,MATCH(data!$A132,Haver_M!$B$1:$B$1000,0),MATCH(data!R$1,Haver_M!$B$1:$ZN$1,0)),"na")</f>
        <v>94.564499999999995</v>
      </c>
      <c r="S132">
        <f>IF(ISNUMBER(INDEX(Haver_M!$B$1:$ZN$1000,MATCH(data!$A132,Haver_M!$B$1:$B$1000,0),MATCH(data!S$1,Haver_M!$B$1:$ZN$1,0))),INDEX(Haver_M!$B$1:$ZN$1000,MATCH(data!$A132,Haver_M!$B$1:$B$1000,0),MATCH(data!S$1,Haver_M!$B$1:$ZN$1,0)),"na")</f>
        <v>97.553799999999995</v>
      </c>
      <c r="T132">
        <f>IF(ISNUMBER(INDEX(Haver_M!$B$1:$ZN$1000,MATCH(data!$A132,Haver_M!$B$1:$B$1000,0),MATCH(data!T$1,Haver_M!$B$1:$ZN$1,0))),INDEX(Haver_M!$B$1:$ZN$1000,MATCH(data!$A132,Haver_M!$B$1:$B$1000,0),MATCH(data!T$1,Haver_M!$B$1:$ZN$1,0)),"na")</f>
        <v>93.683700000000002</v>
      </c>
      <c r="U132">
        <f>IF(ISNUMBER(INDEX(Haver_M!$B$1:$ZN$1000,MATCH(data!$A132,Haver_M!$B$1:$B$1000,0),MATCH(data!U$1,Haver_M!$B$1:$ZN$1,0))),INDEX(Haver_M!$B$1:$ZN$1000,MATCH(data!$A132,Haver_M!$B$1:$B$1000,0),MATCH(data!U$1,Haver_M!$B$1:$ZN$1,0)),"na")</f>
        <v>93.468299999999999</v>
      </c>
      <c r="V132">
        <f>IF(ISNUMBER(INDEX(Haver_M!$B$1:$ZN$1000,MATCH(data!$A132,Haver_M!$B$1:$B$1000,0),MATCH(data!V$1,Haver_M!$B$1:$ZN$1,0))),INDEX(Haver_M!$B$1:$ZN$1000,MATCH(data!$A132,Haver_M!$B$1:$B$1000,0),MATCH(data!V$1,Haver_M!$B$1:$ZN$1,0)),"na")</f>
        <v>94.081999999999994</v>
      </c>
      <c r="W132">
        <f>IF(ISNUMBER(INDEX(Haver_M!$B$1:$ZN$1000,MATCH(data!$A132,Haver_M!$B$1:$B$1000,0),MATCH(data!W$1,Haver_M!$B$1:$ZN$1,0))),INDEX(Haver_M!$B$1:$ZN$1000,MATCH(data!$A132,Haver_M!$B$1:$B$1000,0),MATCH(data!W$1,Haver_M!$B$1:$ZN$1,0)),"na")</f>
        <v>5.42</v>
      </c>
      <c r="X132">
        <f>IF(ISNUMBER(INDEX(Haver_M!$B$1:$ZN$1000,MATCH(data!$A132,Haver_M!$B$1:$B$1000,0),MATCH(data!X$1,Haver_M!$B$1:$ZN$1,0))),INDEX(Haver_M!$B$1:$ZN$1000,MATCH(data!$A132,Haver_M!$B$1:$B$1000,0),MATCH(data!X$1,Haver_M!$B$1:$ZN$1,0)),"na")</f>
        <v>98.87</v>
      </c>
      <c r="Y132">
        <f>IF(ISNUMBER(INDEX(Haver_M!$B$1:$ZN$1000,MATCH(data!$A132,Haver_M!$B$1:$B$1000,0),MATCH(data!Y$1,Haver_M!$B$1:$ZN$1,0))),INDEX(Haver_M!$B$1:$ZN$1000,MATCH(data!$A132,Haver_M!$B$1:$B$1000,0),MATCH(data!Y$1,Haver_M!$B$1:$ZN$1,0)),"na")</f>
        <v>100.97</v>
      </c>
      <c r="Z132">
        <f>IF(ISNUMBER(INDEX(Haver_M!$B$1:$ZN$1000,MATCH(data!$A132,Haver_M!$B$1:$B$1000,0),MATCH(data!Z$1,Haver_M!$B$1:$ZN$1,0))),INDEX(Haver_M!$B$1:$ZN$1000,MATCH(data!$A132,Haver_M!$B$1:$B$1000,0),MATCH(data!Z$1,Haver_M!$B$1:$ZN$1,0)),"na")</f>
        <v>91.853700000000003</v>
      </c>
      <c r="AA132">
        <f>IF(ISNUMBER(INDEX(Haver_M!$B$1:$ZN$1000,MATCH(data!$A132,Haver_M!$B$1:$B$1000,0),MATCH(data!AA$1,Haver_M!$B$1:$ZN$1,0))),INDEX(Haver_M!$B$1:$ZN$1000,MATCH(data!$A132,Haver_M!$B$1:$B$1000,0),MATCH(data!AA$1,Haver_M!$B$1:$ZN$1,0)),"na")</f>
        <v>93.587299999999999</v>
      </c>
      <c r="AB132">
        <f>IF(ISNUMBER(INDEX(Haver_M!$B$1:$ZN$1000,MATCH(data!$A132,Haver_M!$B$1:$B$1000,0),MATCH(data!AB$1,Haver_M!$B$1:$ZN$1,0))),INDEX(Haver_M!$B$1:$ZN$1000,MATCH(data!$A132,Haver_M!$B$1:$B$1000,0),MATCH(data!AB$1,Haver_M!$B$1:$ZN$1,0)),"na")</f>
        <v>27029.4</v>
      </c>
      <c r="AC132">
        <f>IF(ISNUMBER(INDEX(Haver_M!$B$1:$ZN$1000,MATCH(data!$A132,Haver_M!$B$1:$B$1000,0),MATCH(data!AC$1,Haver_M!$B$1:$ZN$1,0))),INDEX(Haver_M!$B$1:$ZN$1000,MATCH(data!$A132,Haver_M!$B$1:$B$1000,0),MATCH(data!AC$1,Haver_M!$B$1:$ZN$1,0)),"na")</f>
        <v>26721.1</v>
      </c>
      <c r="AD132">
        <f>IF(ISNUMBER(INDEX(Haver_M!$B$1:$ZN$1000,MATCH(data!$A132,Haver_M!$B$1:$B$1000,0),MATCH(data!AD$1,Haver_M!$B$1:$ZN$1,0))),INDEX(Haver_M!$B$1:$ZN$1000,MATCH(data!$A132,Haver_M!$B$1:$B$1000,0),MATCH(data!AD$1,Haver_M!$B$1:$ZN$1,0)),"na")</f>
        <v>99.32</v>
      </c>
      <c r="AE132">
        <f>IF(ISNUMBER(INDEX(Haver_M!$B$1:$ZN$1000,MATCH(data!$A132,Haver_M!$B$1:$B$1000,0),MATCH(data!AE$1,Haver_M!$B$1:$ZN$1,0))),INDEX(Haver_M!$B$1:$ZN$1000,MATCH(data!$A132,Haver_M!$B$1:$B$1000,0),MATCH(data!AE$1,Haver_M!$B$1:$ZN$1,0)),"na")</f>
        <v>38.1</v>
      </c>
      <c r="AF132">
        <f>IF(ISNUMBER(INDEX(Haver_M!$B$1:$ZN$1000,MATCH(data!$A132,Haver_M!$B$1:$B$1000,0),MATCH(data!AF$1,Haver_M!$B$1:$ZN$1,0))),INDEX(Haver_M!$B$1:$ZN$1000,MATCH(data!$A132,Haver_M!$B$1:$B$1000,0),MATCH(data!AF$1,Haver_M!$B$1:$ZN$1,0)),"na")</f>
        <v>101.9</v>
      </c>
      <c r="AG132" t="str">
        <f>IF(ISNUMBER(INDEX(Haver_M!$B$1:$ZN$1000,MATCH(data!$A132,Haver_M!$B$1:$B$1000,0),MATCH(data!AG$1,Haver_M!$B$1:$ZN$1,0))),INDEX(Haver_M!$B$1:$ZN$1000,MATCH(data!$A132,Haver_M!$B$1:$B$1000,0),MATCH(data!AG$1,Haver_M!$B$1:$ZN$1,0)),"na")</f>
        <v>na</v>
      </c>
      <c r="AH132" t="str">
        <f>IF(ISNUMBER(INDEX(Haver_M!$B$1:$ZN$1000,MATCH(data!$A132,Haver_M!$B$1:$B$1000,0),MATCH(data!AH$1,Haver_M!$B$1:$ZN$1,0))),INDEX(Haver_M!$B$1:$ZN$1000,MATCH(data!$A132,Haver_M!$B$1:$B$1000,0),MATCH(data!AH$1,Haver_M!$B$1:$ZN$1,0)),"na")</f>
        <v>na</v>
      </c>
      <c r="AI132" t="str">
        <f>IF(ISNUMBER(INDEX(Haver_M!$B$1:$ZN$1000,MATCH(data!$A132,Haver_M!$B$1:$B$1000,0),MATCH(data!AI$1,Haver_M!$B$1:$ZN$1,0))),INDEX(Haver_M!$B$1:$ZN$1000,MATCH(data!$A132,Haver_M!$B$1:$B$1000,0),MATCH(data!AI$1,Haver_M!$B$1:$ZN$1,0)),"na")</f>
        <v>na</v>
      </c>
      <c r="AJ132" t="str">
        <f>IF(ISNUMBER(INDEX(Haver_M!$B$1:$ZN$1000,MATCH(data!$A132,Haver_M!$B$1:$B$1000,0),MATCH(data!AJ$1,Haver_M!$B$1:$ZN$1,0))),INDEX(Haver_M!$B$1:$ZN$1000,MATCH(data!$A132,Haver_M!$B$1:$B$1000,0),MATCH(data!AJ$1,Haver_M!$B$1:$ZN$1,0)),"na")</f>
        <v>na</v>
      </c>
      <c r="AK132" t="str">
        <f>IF(ISNUMBER(INDEX(Haver_M!$B$1:$ZN$1000,MATCH(data!$A132,Haver_M!$B$1:$B$1000,0),MATCH(data!AK$1,Haver_M!$B$1:$ZN$1,0))),INDEX(Haver_M!$B$1:$ZN$1000,MATCH(data!$A132,Haver_M!$B$1:$B$1000,0),MATCH(data!AK$1,Haver_M!$B$1:$ZN$1,0)),"na")</f>
        <v>na</v>
      </c>
      <c r="AL132" t="str">
        <f>IF(ISNUMBER(INDEX(Haver_M!$B$1:$ZN$1000,MATCH(data!$A132,Haver_M!$B$1:$B$1000,0),MATCH(data!AL$1,Haver_M!$B$1:$ZN$1,0))),INDEX(Haver_M!$B$1:$ZN$1000,MATCH(data!$A132,Haver_M!$B$1:$B$1000,0),MATCH(data!AL$1,Haver_M!$B$1:$ZN$1,0)),"na")</f>
        <v>na</v>
      </c>
      <c r="AM132" t="str">
        <f>IF(ISNUMBER(INDEX(Haver_M!$B$1:$ZN$1000,MATCH(data!$A132,Haver_M!$B$1:$B$1000,0),MATCH(data!AM$1,Haver_M!$B$1:$ZN$1,0))),INDEX(Haver_M!$B$1:$ZN$1000,MATCH(data!$A132,Haver_M!$B$1:$B$1000,0),MATCH(data!AM$1,Haver_M!$B$1:$ZN$1,0)),"na")</f>
        <v>na</v>
      </c>
      <c r="AN132" t="str">
        <f>IF(ISNUMBER(INDEX(Haver_M!$B$1:$ZN$1000,MATCH(data!$A132,Haver_M!$B$1:$B$1000,0),MATCH(data!AN$1,Haver_M!$B$1:$ZN$1,0))),INDEX(Haver_M!$B$1:$ZN$1000,MATCH(data!$A132,Haver_M!$B$1:$B$1000,0),MATCH(data!AN$1,Haver_M!$B$1:$ZN$1,0)),"na")</f>
        <v>na</v>
      </c>
      <c r="AO132" t="str">
        <f>IF(ISNUMBER(INDEX(Haver_M!$B$1:$ZN$1000,MATCH(data!$A132,Haver_M!$B$1:$B$1000,0),MATCH(data!AO$1,Haver_M!$B$1:$ZN$1,0))),INDEX(Haver_M!$B$1:$ZN$1000,MATCH(data!$A132,Haver_M!$B$1:$B$1000,0),MATCH(data!AO$1,Haver_M!$B$1:$ZN$1,0)),"na")</f>
        <v>na</v>
      </c>
      <c r="AP132" t="str">
        <f>IF(ISNUMBER(INDEX(Haver_M!$B$1:$ZN$1000,MATCH(data!$A132,Haver_M!$B$1:$B$1000,0),MATCH(data!AP$1,Haver_M!$B$1:$ZN$1,0))),INDEX(Haver_M!$B$1:$ZN$1000,MATCH(data!$A132,Haver_M!$B$1:$B$1000,0),MATCH(data!AP$1,Haver_M!$B$1:$ZN$1,0)),"na")</f>
        <v>na</v>
      </c>
      <c r="AQ132" t="str">
        <f>IF(ISNUMBER(INDEX(Haver_M!$B$1:$ZN$1000,MATCH(data!$A132,Haver_M!$B$1:$B$1000,0),MATCH(data!AQ$1,Haver_M!$B$1:$ZN$1,0))),INDEX(Haver_M!$B$1:$ZN$1000,MATCH(data!$A132,Haver_M!$B$1:$B$1000,0),MATCH(data!AQ$1,Haver_M!$B$1:$ZN$1,0)),"na")</f>
        <v>na</v>
      </c>
      <c r="AR132" t="str">
        <f>IF(ISNUMBER(INDEX(Haver_M!$B$1:$ZN$1000,MATCH(data!$A132,Haver_M!$B$1:$B$1000,0),MATCH(data!AR$1,Haver_M!$B$1:$ZN$1,0))),INDEX(Haver_M!$B$1:$ZN$1000,MATCH(data!$A132,Haver_M!$B$1:$B$1000,0),MATCH(data!AR$1,Haver_M!$B$1:$ZN$1,0)),"na")</f>
        <v>na</v>
      </c>
      <c r="AS132">
        <f>IF(ISNUMBER(INDEX(Haver_M!$B$1:$ZN$1000,MATCH(data!$A132,Haver_M!$B$1:$B$1000,0),MATCH(data!AS$1,Haver_M!$B$1:$ZN$1,0))),INDEX(Haver_M!$B$1:$ZN$1000,MATCH(data!$A132,Haver_M!$B$1:$B$1000,0),MATCH(data!AS$1,Haver_M!$B$1:$ZN$1,0)),"na")</f>
        <v>36383.050000000003</v>
      </c>
      <c r="AT132">
        <f>IF(ISNUMBER(INDEX(Haver_M!$B$1:$ZN$1000,MATCH(data!$A132,Haver_M!$B$1:$B$1000,0),MATCH(data!AT$1,Haver_M!$B$1:$ZN$1,0))),INDEX(Haver_M!$B$1:$ZN$1000,MATCH(data!$A132,Haver_M!$B$1:$B$1000,0),MATCH(data!AT$1,Haver_M!$B$1:$ZN$1,0)),"na")</f>
        <v>94.796000000000006</v>
      </c>
      <c r="AU132">
        <f>IF(ISNUMBER(INDEX(Haver_M!$B$1:$ZN$1000,MATCH(data!$A132,Haver_M!$B$1:$B$1000,0),MATCH(data!AU$1,Haver_M!$B$1:$ZN$1,0))),INDEX(Haver_M!$B$1:$ZN$1000,MATCH(data!$A132,Haver_M!$B$1:$B$1000,0),MATCH(data!AU$1,Haver_M!$B$1:$ZN$1,0)),"na")</f>
        <v>92.609531000000004</v>
      </c>
      <c r="AV132">
        <f>IF(ISNUMBER(INDEX(Haver_M!$B$1:$ZN$1000,MATCH(data!$A132,Haver_M!$B$1:$B$1000,0),MATCH(data!AV$1,Haver_M!$B$1:$ZN$1,0))),INDEX(Haver_M!$B$1:$ZN$1000,MATCH(data!$A132,Haver_M!$B$1:$B$1000,0),MATCH(data!AV$1,Haver_M!$B$1:$ZN$1,0)),"na")</f>
        <v>91.7</v>
      </c>
      <c r="AW132">
        <f>IF(ISNUMBER(INDEX(Haver_M!$B$1:$ZN$1000,MATCH(data!$A132,Haver_M!$B$1:$B$1000,0),MATCH(data!AW$1,Haver_M!$B$1:$ZN$1,0))),INDEX(Haver_M!$B$1:$ZN$1000,MATCH(data!$A132,Haver_M!$B$1:$B$1000,0),MATCH(data!AW$1,Haver_M!$B$1:$ZN$1,0)),"na")</f>
        <v>951748.75692641002</v>
      </c>
      <c r="AX132">
        <f>IF(ISNUMBER(INDEX(Haver_M!$B$1:$ZN$1000,MATCH(data!$A132,Haver_M!$B$1:$B$1000,0),MATCH(data!AX$1,Haver_M!$B$1:$ZN$1,0))),INDEX(Haver_M!$B$1:$ZN$1000,MATCH(data!$A132,Haver_M!$B$1:$B$1000,0),MATCH(data!AX$1,Haver_M!$B$1:$ZN$1,0)),"na")</f>
        <v>2535</v>
      </c>
      <c r="AY132">
        <f>IF(ISNUMBER(INDEX(Haver_M!$B$1:$ZN$1000,MATCH(data!$A132,Haver_M!$B$1:$B$1000,0),MATCH(data!AY$1,Haver_M!$B$1:$ZN$1,0))),INDEX(Haver_M!$B$1:$ZN$1000,MATCH(data!$A132,Haver_M!$B$1:$B$1000,0),MATCH(data!AY$1,Haver_M!$B$1:$ZN$1,0)),"na")</f>
        <v>1617</v>
      </c>
      <c r="AZ132">
        <f>IF(ISNUMBER(INDEX(Haver_M!$B$1:$ZN$1000,MATCH(data!$A132,Haver_M!$B$1:$B$1000,0),MATCH(data!AZ$1,Haver_M!$B$1:$ZN$1,0))),INDEX(Haver_M!$B$1:$ZN$1000,MATCH(data!$A132,Haver_M!$B$1:$B$1000,0),MATCH(data!AZ$1,Haver_M!$B$1:$ZN$1,0)),"na")</f>
        <v>54.8</v>
      </c>
      <c r="BA132">
        <f>IF(ISNUMBER(INDEX(Haver_M!$B$1:$ZN$1000,MATCH(data!$A132,Haver_M!$B$1:$B$1000,0),MATCH(data!BA$1,Haver_M!$B$1:$ZN$1,0))),INDEX(Haver_M!$B$1:$ZN$1000,MATCH(data!$A132,Haver_M!$B$1:$B$1000,0),MATCH(data!BA$1,Haver_M!$B$1:$ZN$1,0)),"na")</f>
        <v>50.909542580800505</v>
      </c>
      <c r="BB132" t="str">
        <f>IF(ISNUMBER(INDEX(Haver_M!$B$1:$ZN$1000,MATCH(data!$A132,Haver_M!$B$1:$B$1000,0),MATCH(data!BB$1,Haver_M!$B$1:$ZN$1,0))),INDEX(Haver_M!$B$1:$ZN$1000,MATCH(data!$A132,Haver_M!$B$1:$B$1000,0),MATCH(data!BB$1,Haver_M!$B$1:$ZN$1,0)),"")</f>
        <v/>
      </c>
    </row>
    <row r="133" spans="1:54" x14ac:dyDescent="0.25">
      <c r="A133" s="2">
        <v>40543</v>
      </c>
      <c r="B133">
        <f>IF(ISNUMBER(INDEX(Haver_Q!$B$1:$BD$1000,MATCH(data!$A133,Haver_Q!$B$1:$B$1000,0),MATCH(data!B$1,Haver_Q!$B$1:$BD$1,0))),100*INDEX(Haver_Q!$B$1:$BD$1000,MATCH(data!$A133,Haver_Q!$B$1:$B$1000,0),MATCH(data!B$1,Haver_Q!$B$1:$BD$1,0)),"na")</f>
        <v>3.3215808959496496</v>
      </c>
      <c r="C133">
        <f>IF(ISNUMBER(INDEX(Haver_Q!$B$1:$BD$1000,MATCH(data!$A133,Haver_Q!$B$1:$B$1000,0),MATCH(data!C$1,Haver_Q!$B$1:$BD$1,0))),100*INDEX(Haver_Q!$B$1:$BD$1000,MATCH(data!$A133,Haver_Q!$B$1:$B$1000,0),MATCH(data!C$1,Haver_Q!$B$1:$BD$1,0)),"na")</f>
        <v>-0.93587312516391075</v>
      </c>
      <c r="D133">
        <f>IF(ISNUMBER(INDEX(Haver_Q!$B$1:$BD$1000,MATCH(data!$A133,Haver_Q!$B$1:$B$1000,0),MATCH(data!D$1,Haver_Q!$B$1:$BD$1,0))),100*INDEX(Haver_Q!$B$1:$BD$1000,MATCH(data!$A133,Haver_Q!$B$1:$B$1000,0),MATCH(data!D$1,Haver_Q!$B$1:$BD$1,0)),"na")</f>
        <v>6.1124051673007829</v>
      </c>
      <c r="E133">
        <f>IF(ISNUMBER(INDEX(Haver_Q!$B$1:$BD$1000,MATCH(data!$A133,Haver_Q!$B$1:$B$1000,0),MATCH(data!E$1,Haver_Q!$B$1:$BD$1,0))),100*INDEX(Haver_Q!$B$1:$BD$1000,MATCH(data!$A133,Haver_Q!$B$1:$B$1000,0),MATCH(data!E$1,Haver_Q!$B$1:$BD$1,0)),"na")</f>
        <v>10.489396362134817</v>
      </c>
      <c r="F133">
        <f>IF(ISNUMBER(INDEX(Haver_Q!$B$1:$BD$1000,MATCH(data!$A133,Haver_Q!$B$1:$B$1000,0),MATCH(data!F$1,Haver_Q!$B$1:$BD$1,0))),100*INDEX(Haver_Q!$B$1:$BD$1000,MATCH(data!$A133,Haver_Q!$B$1:$B$1000,0),MATCH(data!F$1,Haver_Q!$B$1:$BD$1,0)),"na")</f>
        <v>9.8025364742661445</v>
      </c>
      <c r="G133">
        <f>IF(ISNUMBER(INDEX(Haver_Q!$B$1:$BD$1000,MATCH(data!$A133,Haver_Q!$B$1:$B$1000,0),MATCH(data!G$1,Haver_Q!$B$1:$BD$1,0))),100*INDEX(Haver_Q!$B$1:$BD$1000,MATCH(data!$A133,Haver_Q!$B$1:$B$1000,0),MATCH(data!G$1,Haver_Q!$B$1:$BD$1,0)),"na")</f>
        <v>5.2037154286068699</v>
      </c>
      <c r="H133">
        <f>IF(ISNUMBER(INDEX(Haver_Q!$B$1:$BD$1000,MATCH(data!$A133,Haver_Q!$B$1:$B$1000,0),MATCH(data!H$1,Haver_Q!$B$1:$BD$1,0))),100*INDEX(Haver_Q!$B$1:$BD$1000,MATCH(data!$A133,Haver_Q!$B$1:$B$1000,0),MATCH(data!H$1,Haver_Q!$B$1:$BD$1,0)),"na")</f>
        <v>483.24770606724729</v>
      </c>
      <c r="I133" s="3">
        <f>IF(ISNUMBER(Bloomberg_m!C149),Bloomberg_m!C149,"na")</f>
        <v>2031</v>
      </c>
      <c r="J133" s="3" t="str">
        <f>IF(ISNUMBER(Bloomberg_m!D149),Bloomberg_m!D149,"na")</f>
        <v>na</v>
      </c>
      <c r="K133" s="3">
        <f>IF(ISNUMBER(Bloomberg_m!E149),Bloomberg_m!E149,"na")</f>
        <v>1103.6600000000001</v>
      </c>
      <c r="L133" s="3">
        <f>IF(ISNUMBER(Bloomberg_m!L149),Bloomberg_m!L149,"na")</f>
        <v>89.15</v>
      </c>
      <c r="M133">
        <f>IF(ISNUMBER(INDEX(Haver_M!$B$1:$ZN$1000,MATCH(data!$A133,Haver_M!$B$1:$B$1000,0),MATCH(data!M$1,Haver_M!$B$1:$ZN$1,0))),INDEX(Haver_M!$B$1:$ZN$1000,MATCH(data!$A133,Haver_M!$B$1:$B$1000,0),MATCH(data!M$1,Haver_M!$B$1:$ZN$1,0)),"na")</f>
        <v>4.5</v>
      </c>
      <c r="N133">
        <f>IF(ISNUMBER(INDEX(Haver_M!$B$1:$ZN$1000,MATCH(data!$A133,Haver_M!$B$1:$B$1000,0),MATCH(data!N$1,Haver_M!$B$1:$ZN$1,0))),INDEX(Haver_M!$B$1:$ZN$1000,MATCH(data!$A133,Haver_M!$B$1:$B$1000,0),MATCH(data!N$1,Haver_M!$B$1:$ZN$1,0)),"na")</f>
        <v>7.1189999999999998</v>
      </c>
      <c r="O133">
        <f>IF(ISNUMBER(INDEX(Haver_M!$B$1:$ZN$1000,MATCH(data!$A133,Haver_M!$B$1:$B$1000,0),MATCH(data!O$1,Haver_M!$B$1:$ZN$1,0))),INDEX(Haver_M!$B$1:$ZN$1000,MATCH(data!$A133,Haver_M!$B$1:$B$1000,0),MATCH(data!O$1,Haver_M!$B$1:$ZN$1,0)),"na")</f>
        <v>101.50543999999999</v>
      </c>
      <c r="P133">
        <f>IF(ISNUMBER(INDEX(Haver_M!$B$1:$ZN$1000,MATCH(data!$A133,Haver_M!$B$1:$B$1000,0),MATCH(data!P$1,Haver_M!$B$1:$ZN$1,0))),INDEX(Haver_M!$B$1:$ZN$1000,MATCH(data!$A133,Haver_M!$B$1:$B$1000,0),MATCH(data!P$1,Haver_M!$B$1:$ZN$1,0)),"na")</f>
        <v>74.610799999999998</v>
      </c>
      <c r="Q133">
        <f>IF(ISNUMBER(INDEX(Haver_M!$B$1:$ZN$1000,MATCH(data!$A133,Haver_M!$B$1:$B$1000,0),MATCH(data!Q$1,Haver_M!$B$1:$ZN$1,0))),INDEX(Haver_M!$B$1:$ZN$1000,MATCH(data!$A133,Haver_M!$B$1:$B$1000,0),MATCH(data!Q$1,Haver_M!$B$1:$ZN$1,0)),"na")</f>
        <v>78.199299999999994</v>
      </c>
      <c r="R133">
        <f>IF(ISNUMBER(INDEX(Haver_M!$B$1:$ZN$1000,MATCH(data!$A133,Haver_M!$B$1:$B$1000,0),MATCH(data!R$1,Haver_M!$B$1:$ZN$1,0))),INDEX(Haver_M!$B$1:$ZN$1000,MATCH(data!$A133,Haver_M!$B$1:$B$1000,0),MATCH(data!R$1,Haver_M!$B$1:$ZN$1,0)),"na")</f>
        <v>95.621499999999997</v>
      </c>
      <c r="S133">
        <f>IF(ISNUMBER(INDEX(Haver_M!$B$1:$ZN$1000,MATCH(data!$A133,Haver_M!$B$1:$B$1000,0),MATCH(data!S$1,Haver_M!$B$1:$ZN$1,0))),INDEX(Haver_M!$B$1:$ZN$1000,MATCH(data!$A133,Haver_M!$B$1:$B$1000,0),MATCH(data!S$1,Haver_M!$B$1:$ZN$1,0)),"na")</f>
        <v>98.575900000000004</v>
      </c>
      <c r="T133">
        <f>IF(ISNUMBER(INDEX(Haver_M!$B$1:$ZN$1000,MATCH(data!$A133,Haver_M!$B$1:$B$1000,0),MATCH(data!T$1,Haver_M!$B$1:$ZN$1,0))),INDEX(Haver_M!$B$1:$ZN$1000,MATCH(data!$A133,Haver_M!$B$1:$B$1000,0),MATCH(data!T$1,Haver_M!$B$1:$ZN$1,0)),"na")</f>
        <v>94.498800000000003</v>
      </c>
      <c r="U133">
        <f>IF(ISNUMBER(INDEX(Haver_M!$B$1:$ZN$1000,MATCH(data!$A133,Haver_M!$B$1:$B$1000,0),MATCH(data!U$1,Haver_M!$B$1:$ZN$1,0))),INDEX(Haver_M!$B$1:$ZN$1000,MATCH(data!$A133,Haver_M!$B$1:$B$1000,0),MATCH(data!U$1,Haver_M!$B$1:$ZN$1,0)),"na")</f>
        <v>93.794899999999998</v>
      </c>
      <c r="V133">
        <f>IF(ISNUMBER(INDEX(Haver_M!$B$1:$ZN$1000,MATCH(data!$A133,Haver_M!$B$1:$B$1000,0),MATCH(data!V$1,Haver_M!$B$1:$ZN$1,0))),INDEX(Haver_M!$B$1:$ZN$1000,MATCH(data!$A133,Haver_M!$B$1:$B$1000,0),MATCH(data!V$1,Haver_M!$B$1:$ZN$1,0)),"na")</f>
        <v>94.476299999999995</v>
      </c>
      <c r="W133">
        <f>IF(ISNUMBER(INDEX(Haver_M!$B$1:$ZN$1000,MATCH(data!$A133,Haver_M!$B$1:$B$1000,0),MATCH(data!W$1,Haver_M!$B$1:$ZN$1,0))),INDEX(Haver_M!$B$1:$ZN$1000,MATCH(data!$A133,Haver_M!$B$1:$B$1000,0),MATCH(data!W$1,Haver_M!$B$1:$ZN$1,0)),"na")</f>
        <v>5.43</v>
      </c>
      <c r="X133">
        <f>IF(ISNUMBER(INDEX(Haver_M!$B$1:$ZN$1000,MATCH(data!$A133,Haver_M!$B$1:$B$1000,0),MATCH(data!X$1,Haver_M!$B$1:$ZN$1,0))),INDEX(Haver_M!$B$1:$ZN$1000,MATCH(data!$A133,Haver_M!$B$1:$B$1000,0),MATCH(data!X$1,Haver_M!$B$1:$ZN$1,0)),"na")</f>
        <v>98.52</v>
      </c>
      <c r="Y133">
        <f>IF(ISNUMBER(INDEX(Haver_M!$B$1:$ZN$1000,MATCH(data!$A133,Haver_M!$B$1:$B$1000,0),MATCH(data!Y$1,Haver_M!$B$1:$ZN$1,0))),INDEX(Haver_M!$B$1:$ZN$1000,MATCH(data!$A133,Haver_M!$B$1:$B$1000,0),MATCH(data!Y$1,Haver_M!$B$1:$ZN$1,0)),"na")</f>
        <v>101.08</v>
      </c>
      <c r="Z133">
        <f>IF(ISNUMBER(INDEX(Haver_M!$B$1:$ZN$1000,MATCH(data!$A133,Haver_M!$B$1:$B$1000,0),MATCH(data!Z$1,Haver_M!$B$1:$ZN$1,0))),INDEX(Haver_M!$B$1:$ZN$1000,MATCH(data!$A133,Haver_M!$B$1:$B$1000,0),MATCH(data!Z$1,Haver_M!$B$1:$ZN$1,0)),"na")</f>
        <v>94.801400000000001</v>
      </c>
      <c r="AA133">
        <f>IF(ISNUMBER(INDEX(Haver_M!$B$1:$ZN$1000,MATCH(data!$A133,Haver_M!$B$1:$B$1000,0),MATCH(data!AA$1,Haver_M!$B$1:$ZN$1,0))),INDEX(Haver_M!$B$1:$ZN$1000,MATCH(data!$A133,Haver_M!$B$1:$B$1000,0),MATCH(data!AA$1,Haver_M!$B$1:$ZN$1,0)),"na")</f>
        <v>93.159300000000002</v>
      </c>
      <c r="AB133">
        <f>IF(ISNUMBER(INDEX(Haver_M!$B$1:$ZN$1000,MATCH(data!$A133,Haver_M!$B$1:$B$1000,0),MATCH(data!AB$1,Haver_M!$B$1:$ZN$1,0))),INDEX(Haver_M!$B$1:$ZN$1000,MATCH(data!$A133,Haver_M!$B$1:$B$1000,0),MATCH(data!AB$1,Haver_M!$B$1:$ZN$1,0)),"na")</f>
        <v>27187</v>
      </c>
      <c r="AC133">
        <f>IF(ISNUMBER(INDEX(Haver_M!$B$1:$ZN$1000,MATCH(data!$A133,Haver_M!$B$1:$B$1000,0),MATCH(data!AC$1,Haver_M!$B$1:$ZN$1,0))),INDEX(Haver_M!$B$1:$ZN$1000,MATCH(data!$A133,Haver_M!$B$1:$B$1000,0),MATCH(data!AC$1,Haver_M!$B$1:$ZN$1,0)),"na")</f>
        <v>27332.7</v>
      </c>
      <c r="AD133">
        <f>IF(ISNUMBER(INDEX(Haver_M!$B$1:$ZN$1000,MATCH(data!$A133,Haver_M!$B$1:$B$1000,0),MATCH(data!AD$1,Haver_M!$B$1:$ZN$1,0))),INDEX(Haver_M!$B$1:$ZN$1000,MATCH(data!$A133,Haver_M!$B$1:$B$1000,0),MATCH(data!AD$1,Haver_M!$B$1:$ZN$1,0)),"na")</f>
        <v>99.38</v>
      </c>
      <c r="AE133">
        <f>IF(ISNUMBER(INDEX(Haver_M!$B$1:$ZN$1000,MATCH(data!$A133,Haver_M!$B$1:$B$1000,0),MATCH(data!AE$1,Haver_M!$B$1:$ZN$1,0))),INDEX(Haver_M!$B$1:$ZN$1000,MATCH(data!$A133,Haver_M!$B$1:$B$1000,0),MATCH(data!AE$1,Haver_M!$B$1:$ZN$1,0)),"na")</f>
        <v>38</v>
      </c>
      <c r="AF133">
        <f>IF(ISNUMBER(INDEX(Haver_M!$B$1:$ZN$1000,MATCH(data!$A133,Haver_M!$B$1:$B$1000,0),MATCH(data!AF$1,Haver_M!$B$1:$ZN$1,0))),INDEX(Haver_M!$B$1:$ZN$1000,MATCH(data!$A133,Haver_M!$B$1:$B$1000,0),MATCH(data!AF$1,Haver_M!$B$1:$ZN$1,0)),"na")</f>
        <v>101.89</v>
      </c>
      <c r="AG133" t="str">
        <f>IF(ISNUMBER(INDEX(Haver_M!$B$1:$ZN$1000,MATCH(data!$A133,Haver_M!$B$1:$B$1000,0),MATCH(data!AG$1,Haver_M!$B$1:$ZN$1,0))),INDEX(Haver_M!$B$1:$ZN$1000,MATCH(data!$A133,Haver_M!$B$1:$B$1000,0),MATCH(data!AG$1,Haver_M!$B$1:$ZN$1,0)),"na")</f>
        <v>na</v>
      </c>
      <c r="AH133" t="str">
        <f>IF(ISNUMBER(INDEX(Haver_M!$B$1:$ZN$1000,MATCH(data!$A133,Haver_M!$B$1:$B$1000,0),MATCH(data!AH$1,Haver_M!$B$1:$ZN$1,0))),INDEX(Haver_M!$B$1:$ZN$1000,MATCH(data!$A133,Haver_M!$B$1:$B$1000,0),MATCH(data!AH$1,Haver_M!$B$1:$ZN$1,0)),"na")</f>
        <v>na</v>
      </c>
      <c r="AI133" t="str">
        <f>IF(ISNUMBER(INDEX(Haver_M!$B$1:$ZN$1000,MATCH(data!$A133,Haver_M!$B$1:$B$1000,0),MATCH(data!AI$1,Haver_M!$B$1:$ZN$1,0))),INDEX(Haver_M!$B$1:$ZN$1000,MATCH(data!$A133,Haver_M!$B$1:$B$1000,0),MATCH(data!AI$1,Haver_M!$B$1:$ZN$1,0)),"na")</f>
        <v>na</v>
      </c>
      <c r="AJ133" t="str">
        <f>IF(ISNUMBER(INDEX(Haver_M!$B$1:$ZN$1000,MATCH(data!$A133,Haver_M!$B$1:$B$1000,0),MATCH(data!AJ$1,Haver_M!$B$1:$ZN$1,0))),INDEX(Haver_M!$B$1:$ZN$1000,MATCH(data!$A133,Haver_M!$B$1:$B$1000,0),MATCH(data!AJ$1,Haver_M!$B$1:$ZN$1,0)),"na")</f>
        <v>na</v>
      </c>
      <c r="AK133" t="str">
        <f>IF(ISNUMBER(INDEX(Haver_M!$B$1:$ZN$1000,MATCH(data!$A133,Haver_M!$B$1:$B$1000,0),MATCH(data!AK$1,Haver_M!$B$1:$ZN$1,0))),INDEX(Haver_M!$B$1:$ZN$1000,MATCH(data!$A133,Haver_M!$B$1:$B$1000,0),MATCH(data!AK$1,Haver_M!$B$1:$ZN$1,0)),"na")</f>
        <v>na</v>
      </c>
      <c r="AL133" t="str">
        <f>IF(ISNUMBER(INDEX(Haver_M!$B$1:$ZN$1000,MATCH(data!$A133,Haver_M!$B$1:$B$1000,0),MATCH(data!AL$1,Haver_M!$B$1:$ZN$1,0))),INDEX(Haver_M!$B$1:$ZN$1000,MATCH(data!$A133,Haver_M!$B$1:$B$1000,0),MATCH(data!AL$1,Haver_M!$B$1:$ZN$1,0)),"na")</f>
        <v>na</v>
      </c>
      <c r="AM133" t="str">
        <f>IF(ISNUMBER(INDEX(Haver_M!$B$1:$ZN$1000,MATCH(data!$A133,Haver_M!$B$1:$B$1000,0),MATCH(data!AM$1,Haver_M!$B$1:$ZN$1,0))),INDEX(Haver_M!$B$1:$ZN$1000,MATCH(data!$A133,Haver_M!$B$1:$B$1000,0),MATCH(data!AM$1,Haver_M!$B$1:$ZN$1,0)),"na")</f>
        <v>na</v>
      </c>
      <c r="AN133" t="str">
        <f>IF(ISNUMBER(INDEX(Haver_M!$B$1:$ZN$1000,MATCH(data!$A133,Haver_M!$B$1:$B$1000,0),MATCH(data!AN$1,Haver_M!$B$1:$ZN$1,0))),INDEX(Haver_M!$B$1:$ZN$1000,MATCH(data!$A133,Haver_M!$B$1:$B$1000,0),MATCH(data!AN$1,Haver_M!$B$1:$ZN$1,0)),"na")</f>
        <v>na</v>
      </c>
      <c r="AO133" t="str">
        <f>IF(ISNUMBER(INDEX(Haver_M!$B$1:$ZN$1000,MATCH(data!$A133,Haver_M!$B$1:$B$1000,0),MATCH(data!AO$1,Haver_M!$B$1:$ZN$1,0))),INDEX(Haver_M!$B$1:$ZN$1000,MATCH(data!$A133,Haver_M!$B$1:$B$1000,0),MATCH(data!AO$1,Haver_M!$B$1:$ZN$1,0)),"na")</f>
        <v>na</v>
      </c>
      <c r="AP133" t="str">
        <f>IF(ISNUMBER(INDEX(Haver_M!$B$1:$ZN$1000,MATCH(data!$A133,Haver_M!$B$1:$B$1000,0),MATCH(data!AP$1,Haver_M!$B$1:$ZN$1,0))),INDEX(Haver_M!$B$1:$ZN$1000,MATCH(data!$A133,Haver_M!$B$1:$B$1000,0),MATCH(data!AP$1,Haver_M!$B$1:$ZN$1,0)),"na")</f>
        <v>na</v>
      </c>
      <c r="AQ133" t="str">
        <f>IF(ISNUMBER(INDEX(Haver_M!$B$1:$ZN$1000,MATCH(data!$A133,Haver_M!$B$1:$B$1000,0),MATCH(data!AQ$1,Haver_M!$B$1:$ZN$1,0))),INDEX(Haver_M!$B$1:$ZN$1000,MATCH(data!$A133,Haver_M!$B$1:$B$1000,0),MATCH(data!AQ$1,Haver_M!$B$1:$ZN$1,0)),"na")</f>
        <v>na</v>
      </c>
      <c r="AR133" t="str">
        <f>IF(ISNUMBER(INDEX(Haver_M!$B$1:$ZN$1000,MATCH(data!$A133,Haver_M!$B$1:$B$1000,0),MATCH(data!AR$1,Haver_M!$B$1:$ZN$1,0))),INDEX(Haver_M!$B$1:$ZN$1000,MATCH(data!$A133,Haver_M!$B$1:$B$1000,0),MATCH(data!AR$1,Haver_M!$B$1:$ZN$1,0)),"na")</f>
        <v>na</v>
      </c>
      <c r="AS133">
        <f>IF(ISNUMBER(INDEX(Haver_M!$B$1:$ZN$1000,MATCH(data!$A133,Haver_M!$B$1:$B$1000,0),MATCH(data!AS$1,Haver_M!$B$1:$ZN$1,0))),INDEX(Haver_M!$B$1:$ZN$1000,MATCH(data!$A133,Haver_M!$B$1:$B$1000,0),MATCH(data!AS$1,Haver_M!$B$1:$ZN$1,0)),"na")</f>
        <v>37901.81</v>
      </c>
      <c r="AT133">
        <f>IF(ISNUMBER(INDEX(Haver_M!$B$1:$ZN$1000,MATCH(data!$A133,Haver_M!$B$1:$B$1000,0),MATCH(data!AT$1,Haver_M!$B$1:$ZN$1,0))),INDEX(Haver_M!$B$1:$ZN$1000,MATCH(data!$A133,Haver_M!$B$1:$B$1000,0),MATCH(data!AT$1,Haver_M!$B$1:$ZN$1,0)),"na")</f>
        <v>95.716999999999999</v>
      </c>
      <c r="AU133">
        <f>IF(ISNUMBER(INDEX(Haver_M!$B$1:$ZN$1000,MATCH(data!$A133,Haver_M!$B$1:$B$1000,0),MATCH(data!AU$1,Haver_M!$B$1:$ZN$1,0))),INDEX(Haver_M!$B$1:$ZN$1000,MATCH(data!$A133,Haver_M!$B$1:$B$1000,0),MATCH(data!AU$1,Haver_M!$B$1:$ZN$1,0)),"na")</f>
        <v>93.237080000000006</v>
      </c>
      <c r="AV133">
        <f>IF(ISNUMBER(INDEX(Haver_M!$B$1:$ZN$1000,MATCH(data!$A133,Haver_M!$B$1:$B$1000,0),MATCH(data!AV$1,Haver_M!$B$1:$ZN$1,0))),INDEX(Haver_M!$B$1:$ZN$1000,MATCH(data!$A133,Haver_M!$B$1:$B$1000,0),MATCH(data!AV$1,Haver_M!$B$1:$ZN$1,0)),"na")</f>
        <v>92.8</v>
      </c>
      <c r="AW133">
        <f>IF(ISNUMBER(INDEX(Haver_M!$B$1:$ZN$1000,MATCH(data!$A133,Haver_M!$B$1:$B$1000,0),MATCH(data!AW$1,Haver_M!$B$1:$ZN$1,0))),INDEX(Haver_M!$B$1:$ZN$1000,MATCH(data!$A133,Haver_M!$B$1:$B$1000,0),MATCH(data!AW$1,Haver_M!$B$1:$ZN$1,0)),"na")</f>
        <v>1018942.0187320523</v>
      </c>
      <c r="AX133">
        <f>IF(ISNUMBER(INDEX(Haver_M!$B$1:$ZN$1000,MATCH(data!$A133,Haver_M!$B$1:$B$1000,0),MATCH(data!AX$1,Haver_M!$B$1:$ZN$1,0))),INDEX(Haver_M!$B$1:$ZN$1000,MATCH(data!$A133,Haver_M!$B$1:$B$1000,0),MATCH(data!AX$1,Haver_M!$B$1:$ZN$1,0)),"na")</f>
        <v>2562</v>
      </c>
      <c r="AY133">
        <f>IF(ISNUMBER(INDEX(Haver_M!$B$1:$ZN$1000,MATCH(data!$A133,Haver_M!$B$1:$B$1000,0),MATCH(data!AY$1,Haver_M!$B$1:$ZN$1,0))),INDEX(Haver_M!$B$1:$ZN$1000,MATCH(data!$A133,Haver_M!$B$1:$B$1000,0),MATCH(data!AY$1,Haver_M!$B$1:$ZN$1,0)),"na")</f>
        <v>1501</v>
      </c>
      <c r="AZ133">
        <f>IF(ISNUMBER(INDEX(Haver_M!$B$1:$ZN$1000,MATCH(data!$A133,Haver_M!$B$1:$B$1000,0),MATCH(data!AZ$1,Haver_M!$B$1:$ZN$1,0))),INDEX(Haver_M!$B$1:$ZN$1000,MATCH(data!$A133,Haver_M!$B$1:$B$1000,0),MATCH(data!AZ$1,Haver_M!$B$1:$ZN$1,0)),"na")</f>
        <v>53.5</v>
      </c>
      <c r="BA133">
        <f>IF(ISNUMBER(INDEX(Haver_M!$B$1:$ZN$1000,MATCH(data!$A133,Haver_M!$B$1:$B$1000,0),MATCH(data!BA$1,Haver_M!$B$1:$ZN$1,0))),INDEX(Haver_M!$B$1:$ZN$1000,MATCH(data!$A133,Haver_M!$B$1:$B$1000,0),MATCH(data!BA$1,Haver_M!$B$1:$ZN$1,0)),"na")</f>
        <v>46.652942782092907</v>
      </c>
      <c r="BB133" t="str">
        <f>IF(ISNUMBER(INDEX(Haver_M!$B$1:$ZN$1000,MATCH(data!$A133,Haver_M!$B$1:$B$1000,0),MATCH(data!BB$1,Haver_M!$B$1:$ZN$1,0))),INDEX(Haver_M!$B$1:$ZN$1000,MATCH(data!$A133,Haver_M!$B$1:$B$1000,0),MATCH(data!BB$1,Haver_M!$B$1:$ZN$1,0)),"")</f>
        <v/>
      </c>
    </row>
    <row r="134" spans="1:54" x14ac:dyDescent="0.25">
      <c r="A134" s="2">
        <v>40574</v>
      </c>
      <c r="B134" t="str">
        <f>IF(ISNUMBER(INDEX(Haver_Q!$B$1:$BD$1000,MATCH(data!$A134,Haver_Q!$B$1:$B$1000,0),MATCH(data!B$1,Haver_Q!$B$1:$BD$1,0))),100*INDEX(Haver_Q!$B$1:$BD$1000,MATCH(data!$A134,Haver_Q!$B$1:$B$1000,0),MATCH(data!B$1,Haver_Q!$B$1:$BD$1,0)),"na")</f>
        <v>na</v>
      </c>
      <c r="C134" t="str">
        <f>IF(ISNUMBER(INDEX(Haver_Q!$B$1:$BD$1000,MATCH(data!$A134,Haver_Q!$B$1:$B$1000,0),MATCH(data!C$1,Haver_Q!$B$1:$BD$1,0))),100*INDEX(Haver_Q!$B$1:$BD$1000,MATCH(data!$A134,Haver_Q!$B$1:$B$1000,0),MATCH(data!C$1,Haver_Q!$B$1:$BD$1,0)),"na")</f>
        <v>na</v>
      </c>
      <c r="D134" t="str">
        <f>IF(ISNUMBER(INDEX(Haver_Q!$B$1:$BD$1000,MATCH(data!$A134,Haver_Q!$B$1:$B$1000,0),MATCH(data!D$1,Haver_Q!$B$1:$BD$1,0))),100*INDEX(Haver_Q!$B$1:$BD$1000,MATCH(data!$A134,Haver_Q!$B$1:$B$1000,0),MATCH(data!D$1,Haver_Q!$B$1:$BD$1,0)),"na")</f>
        <v>na</v>
      </c>
      <c r="E134" t="str">
        <f>IF(ISNUMBER(INDEX(Haver_Q!$B$1:$BD$1000,MATCH(data!$A134,Haver_Q!$B$1:$B$1000,0),MATCH(data!E$1,Haver_Q!$B$1:$BD$1,0))),100*INDEX(Haver_Q!$B$1:$BD$1000,MATCH(data!$A134,Haver_Q!$B$1:$B$1000,0),MATCH(data!E$1,Haver_Q!$B$1:$BD$1,0)),"na")</f>
        <v>na</v>
      </c>
      <c r="F134" t="str">
        <f>IF(ISNUMBER(INDEX(Haver_Q!$B$1:$BD$1000,MATCH(data!$A134,Haver_Q!$B$1:$B$1000,0),MATCH(data!F$1,Haver_Q!$B$1:$BD$1,0))),100*INDEX(Haver_Q!$B$1:$BD$1000,MATCH(data!$A134,Haver_Q!$B$1:$B$1000,0),MATCH(data!F$1,Haver_Q!$B$1:$BD$1,0)),"na")</f>
        <v>na</v>
      </c>
      <c r="G134" t="str">
        <f>IF(ISNUMBER(INDEX(Haver_Q!$B$1:$BD$1000,MATCH(data!$A134,Haver_Q!$B$1:$B$1000,0),MATCH(data!G$1,Haver_Q!$B$1:$BD$1,0))),100*INDEX(Haver_Q!$B$1:$BD$1000,MATCH(data!$A134,Haver_Q!$B$1:$B$1000,0),MATCH(data!G$1,Haver_Q!$B$1:$BD$1,0)),"na")</f>
        <v>na</v>
      </c>
      <c r="H134" t="str">
        <f>IF(ISNUMBER(INDEX(Haver_Q!$B$1:$BD$1000,MATCH(data!$A134,Haver_Q!$B$1:$B$1000,0),MATCH(data!H$1,Haver_Q!$B$1:$BD$1,0))),100*INDEX(Haver_Q!$B$1:$BD$1000,MATCH(data!$A134,Haver_Q!$B$1:$B$1000,0),MATCH(data!H$1,Haver_Q!$B$1:$BD$1,0)),"na")</f>
        <v>na</v>
      </c>
      <c r="I134" s="3">
        <f>IF(ISNUMBER(Bloomberg_m!C150),Bloomberg_m!C150,"na")</f>
        <v>1401</v>
      </c>
      <c r="J134" s="3" t="str">
        <f>IF(ISNUMBER(Bloomberg_m!D150),Bloomberg_m!D150,"na")</f>
        <v>na</v>
      </c>
      <c r="K134" s="3">
        <f>IF(ISNUMBER(Bloomberg_m!E150),Bloomberg_m!E150,"na")</f>
        <v>1112.82</v>
      </c>
      <c r="L134" s="3">
        <f>IF(ISNUMBER(Bloomberg_m!L150),Bloomberg_m!L150,"na")</f>
        <v>89.41</v>
      </c>
      <c r="M134">
        <f>IF(ISNUMBER(INDEX(Haver_M!$B$1:$ZN$1000,MATCH(data!$A134,Haver_M!$B$1:$B$1000,0),MATCH(data!M$1,Haver_M!$B$1:$ZN$1,0))),INDEX(Haver_M!$B$1:$ZN$1000,MATCH(data!$A134,Haver_M!$B$1:$B$1000,0),MATCH(data!M$1,Haver_M!$B$1:$ZN$1,0)),"na")</f>
        <v>4.5</v>
      </c>
      <c r="N134">
        <f>IF(ISNUMBER(INDEX(Haver_M!$B$1:$ZN$1000,MATCH(data!$A134,Haver_M!$B$1:$B$1000,0),MATCH(data!N$1,Haver_M!$B$1:$ZN$1,0))),INDEX(Haver_M!$B$1:$ZN$1000,MATCH(data!$A134,Haver_M!$B$1:$B$1000,0),MATCH(data!N$1,Haver_M!$B$1:$ZN$1,0)),"na")</f>
        <v>7.1790000000000003</v>
      </c>
      <c r="O134">
        <f>IF(ISNUMBER(INDEX(Haver_M!$B$1:$ZN$1000,MATCH(data!$A134,Haver_M!$B$1:$B$1000,0),MATCH(data!O$1,Haver_M!$B$1:$ZN$1,0))),INDEX(Haver_M!$B$1:$ZN$1000,MATCH(data!$A134,Haver_M!$B$1:$B$1000,0),MATCH(data!O$1,Haver_M!$B$1:$ZN$1,0)),"na")</f>
        <v>103.25234</v>
      </c>
      <c r="P134">
        <f>IF(ISNUMBER(INDEX(Haver_M!$B$1:$ZN$1000,MATCH(data!$A134,Haver_M!$B$1:$B$1000,0),MATCH(data!P$1,Haver_M!$B$1:$ZN$1,0))),INDEX(Haver_M!$B$1:$ZN$1000,MATCH(data!$A134,Haver_M!$B$1:$B$1000,0),MATCH(data!P$1,Haver_M!$B$1:$ZN$1,0)),"na")</f>
        <v>74.865300000000005</v>
      </c>
      <c r="Q134">
        <f>IF(ISNUMBER(INDEX(Haver_M!$B$1:$ZN$1000,MATCH(data!$A134,Haver_M!$B$1:$B$1000,0),MATCH(data!Q$1,Haver_M!$B$1:$ZN$1,0))),INDEX(Haver_M!$B$1:$ZN$1000,MATCH(data!$A134,Haver_M!$B$1:$B$1000,0),MATCH(data!Q$1,Haver_M!$B$1:$ZN$1,0)),"na")</f>
        <v>78.465999999999994</v>
      </c>
      <c r="R134">
        <f>IF(ISNUMBER(INDEX(Haver_M!$B$1:$ZN$1000,MATCH(data!$A134,Haver_M!$B$1:$B$1000,0),MATCH(data!R$1,Haver_M!$B$1:$ZN$1,0))),INDEX(Haver_M!$B$1:$ZN$1000,MATCH(data!$A134,Haver_M!$B$1:$B$1000,0),MATCH(data!R$1,Haver_M!$B$1:$ZN$1,0)),"na")</f>
        <v>95.526200000000003</v>
      </c>
      <c r="S134">
        <f>IF(ISNUMBER(INDEX(Haver_M!$B$1:$ZN$1000,MATCH(data!$A134,Haver_M!$B$1:$B$1000,0),MATCH(data!S$1,Haver_M!$B$1:$ZN$1,0))),INDEX(Haver_M!$B$1:$ZN$1000,MATCH(data!$A134,Haver_M!$B$1:$B$1000,0),MATCH(data!S$1,Haver_M!$B$1:$ZN$1,0)),"na")</f>
        <v>98.205600000000004</v>
      </c>
      <c r="T134">
        <f>IF(ISNUMBER(INDEX(Haver_M!$B$1:$ZN$1000,MATCH(data!$A134,Haver_M!$B$1:$B$1000,0),MATCH(data!T$1,Haver_M!$B$1:$ZN$1,0))),INDEX(Haver_M!$B$1:$ZN$1000,MATCH(data!$A134,Haver_M!$B$1:$B$1000,0),MATCH(data!T$1,Haver_M!$B$1:$ZN$1,0)),"na")</f>
        <v>95.727699999999999</v>
      </c>
      <c r="U134">
        <f>IF(ISNUMBER(INDEX(Haver_M!$B$1:$ZN$1000,MATCH(data!$A134,Haver_M!$B$1:$B$1000,0),MATCH(data!U$1,Haver_M!$B$1:$ZN$1,0))),INDEX(Haver_M!$B$1:$ZN$1000,MATCH(data!$A134,Haver_M!$B$1:$B$1000,0),MATCH(data!U$1,Haver_M!$B$1:$ZN$1,0)),"na")</f>
        <v>98.743600000000001</v>
      </c>
      <c r="V134">
        <f>IF(ISNUMBER(INDEX(Haver_M!$B$1:$ZN$1000,MATCH(data!$A134,Haver_M!$B$1:$B$1000,0),MATCH(data!V$1,Haver_M!$B$1:$ZN$1,0))),INDEX(Haver_M!$B$1:$ZN$1000,MATCH(data!$A134,Haver_M!$B$1:$B$1000,0),MATCH(data!V$1,Haver_M!$B$1:$ZN$1,0)),"na")</f>
        <v>93.971800000000002</v>
      </c>
      <c r="W134">
        <f>IF(ISNUMBER(INDEX(Haver_M!$B$1:$ZN$1000,MATCH(data!$A134,Haver_M!$B$1:$B$1000,0),MATCH(data!W$1,Haver_M!$B$1:$ZN$1,0))),INDEX(Haver_M!$B$1:$ZN$1000,MATCH(data!$A134,Haver_M!$B$1:$B$1000,0),MATCH(data!W$1,Haver_M!$B$1:$ZN$1,0)),"na")</f>
        <v>5.22</v>
      </c>
      <c r="X134">
        <f>IF(ISNUMBER(INDEX(Haver_M!$B$1:$ZN$1000,MATCH(data!$A134,Haver_M!$B$1:$B$1000,0),MATCH(data!X$1,Haver_M!$B$1:$ZN$1,0))),INDEX(Haver_M!$B$1:$ZN$1000,MATCH(data!$A134,Haver_M!$B$1:$B$1000,0),MATCH(data!X$1,Haver_M!$B$1:$ZN$1,0)),"na")</f>
        <v>100.26</v>
      </c>
      <c r="Y134">
        <f>IF(ISNUMBER(INDEX(Haver_M!$B$1:$ZN$1000,MATCH(data!$A134,Haver_M!$B$1:$B$1000,0),MATCH(data!Y$1,Haver_M!$B$1:$ZN$1,0))),INDEX(Haver_M!$B$1:$ZN$1000,MATCH(data!$A134,Haver_M!$B$1:$B$1000,0),MATCH(data!Y$1,Haver_M!$B$1:$ZN$1,0)),"na")</f>
        <v>101.17</v>
      </c>
      <c r="Z134">
        <f>IF(ISNUMBER(INDEX(Haver_M!$B$1:$ZN$1000,MATCH(data!$A134,Haver_M!$B$1:$B$1000,0),MATCH(data!Z$1,Haver_M!$B$1:$ZN$1,0))),INDEX(Haver_M!$B$1:$ZN$1000,MATCH(data!$A134,Haver_M!$B$1:$B$1000,0),MATCH(data!Z$1,Haver_M!$B$1:$ZN$1,0)),"na")</f>
        <v>96.457300000000004</v>
      </c>
      <c r="AA134">
        <f>IF(ISNUMBER(INDEX(Haver_M!$B$1:$ZN$1000,MATCH(data!$A134,Haver_M!$B$1:$B$1000,0),MATCH(data!AA$1,Haver_M!$B$1:$ZN$1,0))),INDEX(Haver_M!$B$1:$ZN$1000,MATCH(data!$A134,Haver_M!$B$1:$B$1000,0),MATCH(data!AA$1,Haver_M!$B$1:$ZN$1,0)),"na")</f>
        <v>94.514799999999994</v>
      </c>
      <c r="AB134">
        <f>IF(ISNUMBER(INDEX(Haver_M!$B$1:$ZN$1000,MATCH(data!$A134,Haver_M!$B$1:$B$1000,0),MATCH(data!AB$1,Haver_M!$B$1:$ZN$1,0))),INDEX(Haver_M!$B$1:$ZN$1000,MATCH(data!$A134,Haver_M!$B$1:$B$1000,0),MATCH(data!AB$1,Haver_M!$B$1:$ZN$1,0)),"na")</f>
        <v>29129.1</v>
      </c>
      <c r="AC134">
        <f>IF(ISNUMBER(INDEX(Haver_M!$B$1:$ZN$1000,MATCH(data!$A134,Haver_M!$B$1:$B$1000,0),MATCH(data!AC$1,Haver_M!$B$1:$ZN$1,0))),INDEX(Haver_M!$B$1:$ZN$1000,MATCH(data!$A134,Haver_M!$B$1:$B$1000,0),MATCH(data!AC$1,Haver_M!$B$1:$ZN$1,0)),"na")</f>
        <v>27874.7</v>
      </c>
      <c r="AD134">
        <f>IF(ISNUMBER(INDEX(Haver_M!$B$1:$ZN$1000,MATCH(data!$A134,Haver_M!$B$1:$B$1000,0),MATCH(data!AD$1,Haver_M!$B$1:$ZN$1,0))),INDEX(Haver_M!$B$1:$ZN$1000,MATCH(data!$A134,Haver_M!$B$1:$B$1000,0),MATCH(data!AD$1,Haver_M!$B$1:$ZN$1,0)),"na")</f>
        <v>99.46</v>
      </c>
      <c r="AE134">
        <f>IF(ISNUMBER(INDEX(Haver_M!$B$1:$ZN$1000,MATCH(data!$A134,Haver_M!$B$1:$B$1000,0),MATCH(data!AE$1,Haver_M!$B$1:$ZN$1,0))),INDEX(Haver_M!$B$1:$ZN$1000,MATCH(data!$A134,Haver_M!$B$1:$B$1000,0),MATCH(data!AE$1,Haver_M!$B$1:$ZN$1,0)),"na")</f>
        <v>38.1</v>
      </c>
      <c r="AF134">
        <f>IF(ISNUMBER(INDEX(Haver_M!$B$1:$ZN$1000,MATCH(data!$A134,Haver_M!$B$1:$B$1000,0),MATCH(data!AF$1,Haver_M!$B$1:$ZN$1,0))),INDEX(Haver_M!$B$1:$ZN$1000,MATCH(data!$A134,Haver_M!$B$1:$B$1000,0),MATCH(data!AF$1,Haver_M!$B$1:$ZN$1,0)),"na")</f>
        <v>101.84</v>
      </c>
      <c r="AG134" t="str">
        <f>IF(ISNUMBER(INDEX(Haver_M!$B$1:$ZN$1000,MATCH(data!$A134,Haver_M!$B$1:$B$1000,0),MATCH(data!AG$1,Haver_M!$B$1:$ZN$1,0))),INDEX(Haver_M!$B$1:$ZN$1000,MATCH(data!$A134,Haver_M!$B$1:$B$1000,0),MATCH(data!AG$1,Haver_M!$B$1:$ZN$1,0)),"na")</f>
        <v>na</v>
      </c>
      <c r="AH134" t="str">
        <f>IF(ISNUMBER(INDEX(Haver_M!$B$1:$ZN$1000,MATCH(data!$A134,Haver_M!$B$1:$B$1000,0),MATCH(data!AH$1,Haver_M!$B$1:$ZN$1,0))),INDEX(Haver_M!$B$1:$ZN$1000,MATCH(data!$A134,Haver_M!$B$1:$B$1000,0),MATCH(data!AH$1,Haver_M!$B$1:$ZN$1,0)),"na")</f>
        <v>na</v>
      </c>
      <c r="AI134" t="str">
        <f>IF(ISNUMBER(INDEX(Haver_M!$B$1:$ZN$1000,MATCH(data!$A134,Haver_M!$B$1:$B$1000,0),MATCH(data!AI$1,Haver_M!$B$1:$ZN$1,0))),INDEX(Haver_M!$B$1:$ZN$1000,MATCH(data!$A134,Haver_M!$B$1:$B$1000,0),MATCH(data!AI$1,Haver_M!$B$1:$ZN$1,0)),"na")</f>
        <v>na</v>
      </c>
      <c r="AJ134" t="str">
        <f>IF(ISNUMBER(INDEX(Haver_M!$B$1:$ZN$1000,MATCH(data!$A134,Haver_M!$B$1:$B$1000,0),MATCH(data!AJ$1,Haver_M!$B$1:$ZN$1,0))),INDEX(Haver_M!$B$1:$ZN$1000,MATCH(data!$A134,Haver_M!$B$1:$B$1000,0),MATCH(data!AJ$1,Haver_M!$B$1:$ZN$1,0)),"na")</f>
        <v>na</v>
      </c>
      <c r="AK134" t="str">
        <f>IF(ISNUMBER(INDEX(Haver_M!$B$1:$ZN$1000,MATCH(data!$A134,Haver_M!$B$1:$B$1000,0),MATCH(data!AK$1,Haver_M!$B$1:$ZN$1,0))),INDEX(Haver_M!$B$1:$ZN$1000,MATCH(data!$A134,Haver_M!$B$1:$B$1000,0),MATCH(data!AK$1,Haver_M!$B$1:$ZN$1,0)),"na")</f>
        <v>na</v>
      </c>
      <c r="AL134" t="str">
        <f>IF(ISNUMBER(INDEX(Haver_M!$B$1:$ZN$1000,MATCH(data!$A134,Haver_M!$B$1:$B$1000,0),MATCH(data!AL$1,Haver_M!$B$1:$ZN$1,0))),INDEX(Haver_M!$B$1:$ZN$1000,MATCH(data!$A134,Haver_M!$B$1:$B$1000,0),MATCH(data!AL$1,Haver_M!$B$1:$ZN$1,0)),"na")</f>
        <v>na</v>
      </c>
      <c r="AM134" t="str">
        <f>IF(ISNUMBER(INDEX(Haver_M!$B$1:$ZN$1000,MATCH(data!$A134,Haver_M!$B$1:$B$1000,0),MATCH(data!AM$1,Haver_M!$B$1:$ZN$1,0))),INDEX(Haver_M!$B$1:$ZN$1000,MATCH(data!$A134,Haver_M!$B$1:$B$1000,0),MATCH(data!AM$1,Haver_M!$B$1:$ZN$1,0)),"na")</f>
        <v>na</v>
      </c>
      <c r="AN134" t="str">
        <f>IF(ISNUMBER(INDEX(Haver_M!$B$1:$ZN$1000,MATCH(data!$A134,Haver_M!$B$1:$B$1000,0),MATCH(data!AN$1,Haver_M!$B$1:$ZN$1,0))),INDEX(Haver_M!$B$1:$ZN$1000,MATCH(data!$A134,Haver_M!$B$1:$B$1000,0),MATCH(data!AN$1,Haver_M!$B$1:$ZN$1,0)),"na")</f>
        <v>na</v>
      </c>
      <c r="AO134" t="str">
        <f>IF(ISNUMBER(INDEX(Haver_M!$B$1:$ZN$1000,MATCH(data!$A134,Haver_M!$B$1:$B$1000,0),MATCH(data!AO$1,Haver_M!$B$1:$ZN$1,0))),INDEX(Haver_M!$B$1:$ZN$1000,MATCH(data!$A134,Haver_M!$B$1:$B$1000,0),MATCH(data!AO$1,Haver_M!$B$1:$ZN$1,0)),"na")</f>
        <v>na</v>
      </c>
      <c r="AP134" t="str">
        <f>IF(ISNUMBER(INDEX(Haver_M!$B$1:$ZN$1000,MATCH(data!$A134,Haver_M!$B$1:$B$1000,0),MATCH(data!AP$1,Haver_M!$B$1:$ZN$1,0))),INDEX(Haver_M!$B$1:$ZN$1000,MATCH(data!$A134,Haver_M!$B$1:$B$1000,0),MATCH(data!AP$1,Haver_M!$B$1:$ZN$1,0)),"na")</f>
        <v>na</v>
      </c>
      <c r="AQ134" t="str">
        <f>IF(ISNUMBER(INDEX(Haver_M!$B$1:$ZN$1000,MATCH(data!$A134,Haver_M!$B$1:$B$1000,0),MATCH(data!AQ$1,Haver_M!$B$1:$ZN$1,0))),INDEX(Haver_M!$B$1:$ZN$1000,MATCH(data!$A134,Haver_M!$B$1:$B$1000,0),MATCH(data!AQ$1,Haver_M!$B$1:$ZN$1,0)),"na")</f>
        <v>na</v>
      </c>
      <c r="AR134" t="str">
        <f>IF(ISNUMBER(INDEX(Haver_M!$B$1:$ZN$1000,MATCH(data!$A134,Haver_M!$B$1:$B$1000,0),MATCH(data!AR$1,Haver_M!$B$1:$ZN$1,0))),INDEX(Haver_M!$B$1:$ZN$1000,MATCH(data!$A134,Haver_M!$B$1:$B$1000,0),MATCH(data!AR$1,Haver_M!$B$1:$ZN$1,0)),"na")</f>
        <v>na</v>
      </c>
      <c r="AS134">
        <f>IF(ISNUMBER(INDEX(Haver_M!$B$1:$ZN$1000,MATCH(data!$A134,Haver_M!$B$1:$B$1000,0),MATCH(data!AS$1,Haver_M!$B$1:$ZN$1,0))),INDEX(Haver_M!$B$1:$ZN$1000,MATCH(data!$A134,Haver_M!$B$1:$B$1000,0),MATCH(data!AS$1,Haver_M!$B$1:$ZN$1,0)),"na")</f>
        <v>37925.129999999997</v>
      </c>
      <c r="AT134">
        <f>IF(ISNUMBER(INDEX(Haver_M!$B$1:$ZN$1000,MATCH(data!$A134,Haver_M!$B$1:$B$1000,0),MATCH(data!AT$1,Haver_M!$B$1:$ZN$1,0))),INDEX(Haver_M!$B$1:$ZN$1000,MATCH(data!$A134,Haver_M!$B$1:$B$1000,0),MATCH(data!AT$1,Haver_M!$B$1:$ZN$1,0)),"na")</f>
        <v>92.763999999999996</v>
      </c>
      <c r="AU134">
        <f>IF(ISNUMBER(INDEX(Haver_M!$B$1:$ZN$1000,MATCH(data!$A134,Haver_M!$B$1:$B$1000,0),MATCH(data!AU$1,Haver_M!$B$1:$ZN$1,0))),INDEX(Haver_M!$B$1:$ZN$1000,MATCH(data!$A134,Haver_M!$B$1:$B$1000,0),MATCH(data!AU$1,Haver_M!$B$1:$ZN$1,0)),"na")</f>
        <v>93.402917000000002</v>
      </c>
      <c r="AV134">
        <f>IF(ISNUMBER(INDEX(Haver_M!$B$1:$ZN$1000,MATCH(data!$A134,Haver_M!$B$1:$B$1000,0),MATCH(data!AV$1,Haver_M!$B$1:$ZN$1,0))),INDEX(Haver_M!$B$1:$ZN$1000,MATCH(data!$A134,Haver_M!$B$1:$B$1000,0),MATCH(data!AV$1,Haver_M!$B$1:$ZN$1,0)),"na")</f>
        <v>97.3</v>
      </c>
      <c r="AW134">
        <f>IF(ISNUMBER(INDEX(Haver_M!$B$1:$ZN$1000,MATCH(data!$A134,Haver_M!$B$1:$B$1000,0),MATCH(data!AW$1,Haver_M!$B$1:$ZN$1,0))),INDEX(Haver_M!$B$1:$ZN$1000,MATCH(data!$A134,Haver_M!$B$1:$B$1000,0),MATCH(data!AW$1,Haver_M!$B$1:$ZN$1,0)),"na")</f>
        <v>961220.79867751314</v>
      </c>
      <c r="AX134">
        <f>IF(ISNUMBER(INDEX(Haver_M!$B$1:$ZN$1000,MATCH(data!$A134,Haver_M!$B$1:$B$1000,0),MATCH(data!AX$1,Haver_M!$B$1:$ZN$1,0))),INDEX(Haver_M!$B$1:$ZN$1000,MATCH(data!$A134,Haver_M!$B$1:$B$1000,0),MATCH(data!AX$1,Haver_M!$B$1:$ZN$1,0)),"na")</f>
        <v>2582</v>
      </c>
      <c r="AY134">
        <f>IF(ISNUMBER(INDEX(Haver_M!$B$1:$ZN$1000,MATCH(data!$A134,Haver_M!$B$1:$B$1000,0),MATCH(data!AY$1,Haver_M!$B$1:$ZN$1,0))),INDEX(Haver_M!$B$1:$ZN$1000,MATCH(data!$A134,Haver_M!$B$1:$B$1000,0),MATCH(data!AY$1,Haver_M!$B$1:$ZN$1,0)),"na")</f>
        <v>1444</v>
      </c>
      <c r="AZ134">
        <f>IF(ISNUMBER(INDEX(Haver_M!$B$1:$ZN$1000,MATCH(data!$A134,Haver_M!$B$1:$B$1000,0),MATCH(data!AZ$1,Haver_M!$B$1:$ZN$1,0))),INDEX(Haver_M!$B$1:$ZN$1000,MATCH(data!$A134,Haver_M!$B$1:$B$1000,0),MATCH(data!AZ$1,Haver_M!$B$1:$ZN$1,0)),"na")</f>
        <v>53.3</v>
      </c>
      <c r="BA134">
        <f>IF(ISNUMBER(INDEX(Haver_M!$B$1:$ZN$1000,MATCH(data!$A134,Haver_M!$B$1:$B$1000,0),MATCH(data!BA$1,Haver_M!$B$1:$ZN$1,0))),INDEX(Haver_M!$B$1:$ZN$1000,MATCH(data!$A134,Haver_M!$B$1:$B$1000,0),MATCH(data!BA$1,Haver_M!$B$1:$ZN$1,0)),"na")</f>
        <v>45.584038162720709</v>
      </c>
      <c r="BB134" t="str">
        <f>IF(ISNUMBER(INDEX(Haver_M!$B$1:$ZN$1000,MATCH(data!$A134,Haver_M!$B$1:$B$1000,0),MATCH(data!BB$1,Haver_M!$B$1:$ZN$1,0))),INDEX(Haver_M!$B$1:$ZN$1000,MATCH(data!$A134,Haver_M!$B$1:$B$1000,0),MATCH(data!BB$1,Haver_M!$B$1:$ZN$1,0)),"")</f>
        <v/>
      </c>
    </row>
    <row r="135" spans="1:54" x14ac:dyDescent="0.25">
      <c r="A135" s="2">
        <v>40602</v>
      </c>
      <c r="B135" t="str">
        <f>IF(ISNUMBER(INDEX(Haver_Q!$B$1:$BD$1000,MATCH(data!$A135,Haver_Q!$B$1:$B$1000,0),MATCH(data!B$1,Haver_Q!$B$1:$BD$1,0))),100*INDEX(Haver_Q!$B$1:$BD$1000,MATCH(data!$A135,Haver_Q!$B$1:$B$1000,0),MATCH(data!B$1,Haver_Q!$B$1:$BD$1,0)),"na")</f>
        <v>na</v>
      </c>
      <c r="C135" t="str">
        <f>IF(ISNUMBER(INDEX(Haver_Q!$B$1:$BD$1000,MATCH(data!$A135,Haver_Q!$B$1:$B$1000,0),MATCH(data!C$1,Haver_Q!$B$1:$BD$1,0))),100*INDEX(Haver_Q!$B$1:$BD$1000,MATCH(data!$A135,Haver_Q!$B$1:$B$1000,0),MATCH(data!C$1,Haver_Q!$B$1:$BD$1,0)),"na")</f>
        <v>na</v>
      </c>
      <c r="D135" t="str">
        <f>IF(ISNUMBER(INDEX(Haver_Q!$B$1:$BD$1000,MATCH(data!$A135,Haver_Q!$B$1:$B$1000,0),MATCH(data!D$1,Haver_Q!$B$1:$BD$1,0))),100*INDEX(Haver_Q!$B$1:$BD$1000,MATCH(data!$A135,Haver_Q!$B$1:$B$1000,0),MATCH(data!D$1,Haver_Q!$B$1:$BD$1,0)),"na")</f>
        <v>na</v>
      </c>
      <c r="E135" t="str">
        <f>IF(ISNUMBER(INDEX(Haver_Q!$B$1:$BD$1000,MATCH(data!$A135,Haver_Q!$B$1:$B$1000,0),MATCH(data!E$1,Haver_Q!$B$1:$BD$1,0))),100*INDEX(Haver_Q!$B$1:$BD$1000,MATCH(data!$A135,Haver_Q!$B$1:$B$1000,0),MATCH(data!E$1,Haver_Q!$B$1:$BD$1,0)),"na")</f>
        <v>na</v>
      </c>
      <c r="F135" t="str">
        <f>IF(ISNUMBER(INDEX(Haver_Q!$B$1:$BD$1000,MATCH(data!$A135,Haver_Q!$B$1:$B$1000,0),MATCH(data!F$1,Haver_Q!$B$1:$BD$1,0))),100*INDEX(Haver_Q!$B$1:$BD$1000,MATCH(data!$A135,Haver_Q!$B$1:$B$1000,0),MATCH(data!F$1,Haver_Q!$B$1:$BD$1,0)),"na")</f>
        <v>na</v>
      </c>
      <c r="G135" t="str">
        <f>IF(ISNUMBER(INDEX(Haver_Q!$B$1:$BD$1000,MATCH(data!$A135,Haver_Q!$B$1:$B$1000,0),MATCH(data!G$1,Haver_Q!$B$1:$BD$1,0))),100*INDEX(Haver_Q!$B$1:$BD$1000,MATCH(data!$A135,Haver_Q!$B$1:$B$1000,0),MATCH(data!G$1,Haver_Q!$B$1:$BD$1,0)),"na")</f>
        <v>na</v>
      </c>
      <c r="H135" t="str">
        <f>IF(ISNUMBER(INDEX(Haver_Q!$B$1:$BD$1000,MATCH(data!$A135,Haver_Q!$B$1:$B$1000,0),MATCH(data!H$1,Haver_Q!$B$1:$BD$1,0))),100*INDEX(Haver_Q!$B$1:$BD$1000,MATCH(data!$A135,Haver_Q!$B$1:$B$1000,0),MATCH(data!H$1,Haver_Q!$B$1:$BD$1,0)),"na")</f>
        <v>na</v>
      </c>
      <c r="I135" s="3">
        <f>IF(ISNUMBER(Bloomberg_m!C151),Bloomberg_m!C151,"na")</f>
        <v>1181</v>
      </c>
      <c r="J135" s="3" t="str">
        <f>IF(ISNUMBER(Bloomberg_m!D151),Bloomberg_m!D151,"na")</f>
        <v>na</v>
      </c>
      <c r="K135" s="3">
        <f>IF(ISNUMBER(Bloomberg_m!E151),Bloomberg_m!E151,"na")</f>
        <v>1062.77</v>
      </c>
      <c r="L135" s="3">
        <f>IF(ISNUMBER(Bloomberg_m!L151),Bloomberg_m!L151,"na")</f>
        <v>89.53</v>
      </c>
      <c r="M135">
        <f>IF(ISNUMBER(INDEX(Haver_M!$B$1:$ZN$1000,MATCH(data!$A135,Haver_M!$B$1:$B$1000,0),MATCH(data!M$1,Haver_M!$B$1:$ZN$1,0))),INDEX(Haver_M!$B$1:$ZN$1000,MATCH(data!$A135,Haver_M!$B$1:$B$1000,0),MATCH(data!M$1,Haver_M!$B$1:$ZN$1,0)),"na")</f>
        <v>4.5</v>
      </c>
      <c r="N135">
        <f>IF(ISNUMBER(INDEX(Haver_M!$B$1:$ZN$1000,MATCH(data!$A135,Haver_M!$B$1:$B$1000,0),MATCH(data!N$1,Haver_M!$B$1:$ZN$1,0))),INDEX(Haver_M!$B$1:$ZN$1000,MATCH(data!$A135,Haver_M!$B$1:$B$1000,0),MATCH(data!N$1,Haver_M!$B$1:$ZN$1,0)),"na")</f>
        <v>7.4442000000000004</v>
      </c>
      <c r="O135">
        <f>IF(ISNUMBER(INDEX(Haver_M!$B$1:$ZN$1000,MATCH(data!$A135,Haver_M!$B$1:$B$1000,0),MATCH(data!O$1,Haver_M!$B$1:$ZN$1,0))),INDEX(Haver_M!$B$1:$ZN$1000,MATCH(data!$A135,Haver_M!$B$1:$B$1000,0),MATCH(data!O$1,Haver_M!$B$1:$ZN$1,0)),"na")</f>
        <v>103.31417</v>
      </c>
      <c r="P135">
        <f>IF(ISNUMBER(INDEX(Haver_M!$B$1:$ZN$1000,MATCH(data!$A135,Haver_M!$B$1:$B$1000,0),MATCH(data!P$1,Haver_M!$B$1:$ZN$1,0))),INDEX(Haver_M!$B$1:$ZN$1000,MATCH(data!$A135,Haver_M!$B$1:$B$1000,0),MATCH(data!P$1,Haver_M!$B$1:$ZN$1,0)),"na")</f>
        <v>75.055199999999999</v>
      </c>
      <c r="Q135">
        <f>IF(ISNUMBER(INDEX(Haver_M!$B$1:$ZN$1000,MATCH(data!$A135,Haver_M!$B$1:$B$1000,0),MATCH(data!Q$1,Haver_M!$B$1:$ZN$1,0))),INDEX(Haver_M!$B$1:$ZN$1000,MATCH(data!$A135,Haver_M!$B$1:$B$1000,0),MATCH(data!Q$1,Haver_M!$B$1:$ZN$1,0)),"na")</f>
        <v>78.653199999999998</v>
      </c>
      <c r="R135">
        <f>IF(ISNUMBER(INDEX(Haver_M!$B$1:$ZN$1000,MATCH(data!$A135,Haver_M!$B$1:$B$1000,0),MATCH(data!R$1,Haver_M!$B$1:$ZN$1,0))),INDEX(Haver_M!$B$1:$ZN$1000,MATCH(data!$A135,Haver_M!$B$1:$B$1000,0),MATCH(data!R$1,Haver_M!$B$1:$ZN$1,0)),"na")</f>
        <v>95.361099999999993</v>
      </c>
      <c r="S135">
        <f>IF(ISNUMBER(INDEX(Haver_M!$B$1:$ZN$1000,MATCH(data!$A135,Haver_M!$B$1:$B$1000,0),MATCH(data!S$1,Haver_M!$B$1:$ZN$1,0))),INDEX(Haver_M!$B$1:$ZN$1000,MATCH(data!$A135,Haver_M!$B$1:$B$1000,0),MATCH(data!S$1,Haver_M!$B$1:$ZN$1,0)),"na")</f>
        <v>98.554199999999994</v>
      </c>
      <c r="T135">
        <f>IF(ISNUMBER(INDEX(Haver_M!$B$1:$ZN$1000,MATCH(data!$A135,Haver_M!$B$1:$B$1000,0),MATCH(data!T$1,Haver_M!$B$1:$ZN$1,0))),INDEX(Haver_M!$B$1:$ZN$1000,MATCH(data!$A135,Haver_M!$B$1:$B$1000,0),MATCH(data!T$1,Haver_M!$B$1:$ZN$1,0)),"na")</f>
        <v>96.318799999999996</v>
      </c>
      <c r="U135">
        <f>IF(ISNUMBER(INDEX(Haver_M!$B$1:$ZN$1000,MATCH(data!$A135,Haver_M!$B$1:$B$1000,0),MATCH(data!U$1,Haver_M!$B$1:$ZN$1,0))),INDEX(Haver_M!$B$1:$ZN$1000,MATCH(data!$A135,Haver_M!$B$1:$B$1000,0),MATCH(data!U$1,Haver_M!$B$1:$ZN$1,0)),"na")</f>
        <v>94.566500000000005</v>
      </c>
      <c r="V135">
        <f>IF(ISNUMBER(INDEX(Haver_M!$B$1:$ZN$1000,MATCH(data!$A135,Haver_M!$B$1:$B$1000,0),MATCH(data!V$1,Haver_M!$B$1:$ZN$1,0))),INDEX(Haver_M!$B$1:$ZN$1000,MATCH(data!$A135,Haver_M!$B$1:$B$1000,0),MATCH(data!V$1,Haver_M!$B$1:$ZN$1,0)),"na")</f>
        <v>94.565600000000003</v>
      </c>
      <c r="W135">
        <f>IF(ISNUMBER(INDEX(Haver_M!$B$1:$ZN$1000,MATCH(data!$A135,Haver_M!$B$1:$B$1000,0),MATCH(data!W$1,Haver_M!$B$1:$ZN$1,0))),INDEX(Haver_M!$B$1:$ZN$1000,MATCH(data!$A135,Haver_M!$B$1:$B$1000,0),MATCH(data!W$1,Haver_M!$B$1:$ZN$1,0)),"na")</f>
        <v>5.34</v>
      </c>
      <c r="X135">
        <f>IF(ISNUMBER(INDEX(Haver_M!$B$1:$ZN$1000,MATCH(data!$A135,Haver_M!$B$1:$B$1000,0),MATCH(data!X$1,Haver_M!$B$1:$ZN$1,0))),INDEX(Haver_M!$B$1:$ZN$1000,MATCH(data!$A135,Haver_M!$B$1:$B$1000,0),MATCH(data!X$1,Haver_M!$B$1:$ZN$1,0)),"na")</f>
        <v>99.28</v>
      </c>
      <c r="Y135">
        <f>IF(ISNUMBER(INDEX(Haver_M!$B$1:$ZN$1000,MATCH(data!$A135,Haver_M!$B$1:$B$1000,0),MATCH(data!Y$1,Haver_M!$B$1:$ZN$1,0))),INDEX(Haver_M!$B$1:$ZN$1000,MATCH(data!$A135,Haver_M!$B$1:$B$1000,0),MATCH(data!Y$1,Haver_M!$B$1:$ZN$1,0)),"na")</f>
        <v>101.22</v>
      </c>
      <c r="Z135">
        <f>IF(ISNUMBER(INDEX(Haver_M!$B$1:$ZN$1000,MATCH(data!$A135,Haver_M!$B$1:$B$1000,0),MATCH(data!Z$1,Haver_M!$B$1:$ZN$1,0))),INDEX(Haver_M!$B$1:$ZN$1000,MATCH(data!$A135,Haver_M!$B$1:$B$1000,0),MATCH(data!Z$1,Haver_M!$B$1:$ZN$1,0)),"na")</f>
        <v>93.293700000000001</v>
      </c>
      <c r="AA135">
        <f>IF(ISNUMBER(INDEX(Haver_M!$B$1:$ZN$1000,MATCH(data!$A135,Haver_M!$B$1:$B$1000,0),MATCH(data!AA$1,Haver_M!$B$1:$ZN$1,0))),INDEX(Haver_M!$B$1:$ZN$1000,MATCH(data!$A135,Haver_M!$B$1:$B$1000,0),MATCH(data!AA$1,Haver_M!$B$1:$ZN$1,0)),"na")</f>
        <v>93.162700000000001</v>
      </c>
      <c r="AB135">
        <f>IF(ISNUMBER(INDEX(Haver_M!$B$1:$ZN$1000,MATCH(data!$A135,Haver_M!$B$1:$B$1000,0),MATCH(data!AB$1,Haver_M!$B$1:$ZN$1,0))),INDEX(Haver_M!$B$1:$ZN$1000,MATCH(data!$A135,Haver_M!$B$1:$B$1000,0),MATCH(data!AB$1,Haver_M!$B$1:$ZN$1,0)),"na")</f>
        <v>27877.8</v>
      </c>
      <c r="AC135">
        <f>IF(ISNUMBER(INDEX(Haver_M!$B$1:$ZN$1000,MATCH(data!$A135,Haver_M!$B$1:$B$1000,0),MATCH(data!AC$1,Haver_M!$B$1:$ZN$1,0))),INDEX(Haver_M!$B$1:$ZN$1000,MATCH(data!$A135,Haver_M!$B$1:$B$1000,0),MATCH(data!AC$1,Haver_M!$B$1:$ZN$1,0)),"na")</f>
        <v>28250.3</v>
      </c>
      <c r="AD135">
        <f>IF(ISNUMBER(INDEX(Haver_M!$B$1:$ZN$1000,MATCH(data!$A135,Haver_M!$B$1:$B$1000,0),MATCH(data!AD$1,Haver_M!$B$1:$ZN$1,0))),INDEX(Haver_M!$B$1:$ZN$1000,MATCH(data!$A135,Haver_M!$B$1:$B$1000,0),MATCH(data!AD$1,Haver_M!$B$1:$ZN$1,0)),"na")</f>
        <v>99.55</v>
      </c>
      <c r="AE135">
        <f>IF(ISNUMBER(INDEX(Haver_M!$B$1:$ZN$1000,MATCH(data!$A135,Haver_M!$B$1:$B$1000,0),MATCH(data!AE$1,Haver_M!$B$1:$ZN$1,0))),INDEX(Haver_M!$B$1:$ZN$1000,MATCH(data!$A135,Haver_M!$B$1:$B$1000,0),MATCH(data!AE$1,Haver_M!$B$1:$ZN$1,0)),"na")</f>
        <v>38.799999999999997</v>
      </c>
      <c r="AF135">
        <f>IF(ISNUMBER(INDEX(Haver_M!$B$1:$ZN$1000,MATCH(data!$A135,Haver_M!$B$1:$B$1000,0),MATCH(data!AF$1,Haver_M!$B$1:$ZN$1,0))),INDEX(Haver_M!$B$1:$ZN$1000,MATCH(data!$A135,Haver_M!$B$1:$B$1000,0),MATCH(data!AF$1,Haver_M!$B$1:$ZN$1,0)),"na")</f>
        <v>101.75</v>
      </c>
      <c r="AG135" t="str">
        <f>IF(ISNUMBER(INDEX(Haver_M!$B$1:$ZN$1000,MATCH(data!$A135,Haver_M!$B$1:$B$1000,0),MATCH(data!AG$1,Haver_M!$B$1:$ZN$1,0))),INDEX(Haver_M!$B$1:$ZN$1000,MATCH(data!$A135,Haver_M!$B$1:$B$1000,0),MATCH(data!AG$1,Haver_M!$B$1:$ZN$1,0)),"na")</f>
        <v>na</v>
      </c>
      <c r="AH135" t="str">
        <f>IF(ISNUMBER(INDEX(Haver_M!$B$1:$ZN$1000,MATCH(data!$A135,Haver_M!$B$1:$B$1000,0),MATCH(data!AH$1,Haver_M!$B$1:$ZN$1,0))),INDEX(Haver_M!$B$1:$ZN$1000,MATCH(data!$A135,Haver_M!$B$1:$B$1000,0),MATCH(data!AH$1,Haver_M!$B$1:$ZN$1,0)),"na")</f>
        <v>na</v>
      </c>
      <c r="AI135" t="str">
        <f>IF(ISNUMBER(INDEX(Haver_M!$B$1:$ZN$1000,MATCH(data!$A135,Haver_M!$B$1:$B$1000,0),MATCH(data!AI$1,Haver_M!$B$1:$ZN$1,0))),INDEX(Haver_M!$B$1:$ZN$1000,MATCH(data!$A135,Haver_M!$B$1:$B$1000,0),MATCH(data!AI$1,Haver_M!$B$1:$ZN$1,0)),"na")</f>
        <v>na</v>
      </c>
      <c r="AJ135" t="str">
        <f>IF(ISNUMBER(INDEX(Haver_M!$B$1:$ZN$1000,MATCH(data!$A135,Haver_M!$B$1:$B$1000,0),MATCH(data!AJ$1,Haver_M!$B$1:$ZN$1,0))),INDEX(Haver_M!$B$1:$ZN$1000,MATCH(data!$A135,Haver_M!$B$1:$B$1000,0),MATCH(data!AJ$1,Haver_M!$B$1:$ZN$1,0)),"na")</f>
        <v>na</v>
      </c>
      <c r="AK135" t="str">
        <f>IF(ISNUMBER(INDEX(Haver_M!$B$1:$ZN$1000,MATCH(data!$A135,Haver_M!$B$1:$B$1000,0),MATCH(data!AK$1,Haver_M!$B$1:$ZN$1,0))),INDEX(Haver_M!$B$1:$ZN$1000,MATCH(data!$A135,Haver_M!$B$1:$B$1000,0),MATCH(data!AK$1,Haver_M!$B$1:$ZN$1,0)),"na")</f>
        <v>na</v>
      </c>
      <c r="AL135" t="str">
        <f>IF(ISNUMBER(INDEX(Haver_M!$B$1:$ZN$1000,MATCH(data!$A135,Haver_M!$B$1:$B$1000,0),MATCH(data!AL$1,Haver_M!$B$1:$ZN$1,0))),INDEX(Haver_M!$B$1:$ZN$1000,MATCH(data!$A135,Haver_M!$B$1:$B$1000,0),MATCH(data!AL$1,Haver_M!$B$1:$ZN$1,0)),"na")</f>
        <v>na</v>
      </c>
      <c r="AM135" t="str">
        <f>IF(ISNUMBER(INDEX(Haver_M!$B$1:$ZN$1000,MATCH(data!$A135,Haver_M!$B$1:$B$1000,0),MATCH(data!AM$1,Haver_M!$B$1:$ZN$1,0))),INDEX(Haver_M!$B$1:$ZN$1000,MATCH(data!$A135,Haver_M!$B$1:$B$1000,0),MATCH(data!AM$1,Haver_M!$B$1:$ZN$1,0)),"na")</f>
        <v>na</v>
      </c>
      <c r="AN135" t="str">
        <f>IF(ISNUMBER(INDEX(Haver_M!$B$1:$ZN$1000,MATCH(data!$A135,Haver_M!$B$1:$B$1000,0),MATCH(data!AN$1,Haver_M!$B$1:$ZN$1,0))),INDEX(Haver_M!$B$1:$ZN$1000,MATCH(data!$A135,Haver_M!$B$1:$B$1000,0),MATCH(data!AN$1,Haver_M!$B$1:$ZN$1,0)),"na")</f>
        <v>na</v>
      </c>
      <c r="AO135" t="str">
        <f>IF(ISNUMBER(INDEX(Haver_M!$B$1:$ZN$1000,MATCH(data!$A135,Haver_M!$B$1:$B$1000,0),MATCH(data!AO$1,Haver_M!$B$1:$ZN$1,0))),INDEX(Haver_M!$B$1:$ZN$1000,MATCH(data!$A135,Haver_M!$B$1:$B$1000,0),MATCH(data!AO$1,Haver_M!$B$1:$ZN$1,0)),"na")</f>
        <v>na</v>
      </c>
      <c r="AP135" t="str">
        <f>IF(ISNUMBER(INDEX(Haver_M!$B$1:$ZN$1000,MATCH(data!$A135,Haver_M!$B$1:$B$1000,0),MATCH(data!AP$1,Haver_M!$B$1:$ZN$1,0))),INDEX(Haver_M!$B$1:$ZN$1000,MATCH(data!$A135,Haver_M!$B$1:$B$1000,0),MATCH(data!AP$1,Haver_M!$B$1:$ZN$1,0)),"na")</f>
        <v>na</v>
      </c>
      <c r="AQ135" t="str">
        <f>IF(ISNUMBER(INDEX(Haver_M!$B$1:$ZN$1000,MATCH(data!$A135,Haver_M!$B$1:$B$1000,0),MATCH(data!AQ$1,Haver_M!$B$1:$ZN$1,0))),INDEX(Haver_M!$B$1:$ZN$1000,MATCH(data!$A135,Haver_M!$B$1:$B$1000,0),MATCH(data!AQ$1,Haver_M!$B$1:$ZN$1,0)),"na")</f>
        <v>na</v>
      </c>
      <c r="AR135" t="str">
        <f>IF(ISNUMBER(INDEX(Haver_M!$B$1:$ZN$1000,MATCH(data!$A135,Haver_M!$B$1:$B$1000,0),MATCH(data!AR$1,Haver_M!$B$1:$ZN$1,0))),INDEX(Haver_M!$B$1:$ZN$1000,MATCH(data!$A135,Haver_M!$B$1:$B$1000,0),MATCH(data!AR$1,Haver_M!$B$1:$ZN$1,0)),"na")</f>
        <v>na</v>
      </c>
      <c r="AS135">
        <f>IF(ISNUMBER(INDEX(Haver_M!$B$1:$ZN$1000,MATCH(data!$A135,Haver_M!$B$1:$B$1000,0),MATCH(data!AS$1,Haver_M!$B$1:$ZN$1,0))),INDEX(Haver_M!$B$1:$ZN$1000,MATCH(data!$A135,Haver_M!$B$1:$B$1000,0),MATCH(data!AS$1,Haver_M!$B$1:$ZN$1,0)),"na")</f>
        <v>37135.89</v>
      </c>
      <c r="AT135">
        <f>IF(ISNUMBER(INDEX(Haver_M!$B$1:$ZN$1000,MATCH(data!$A135,Haver_M!$B$1:$B$1000,0),MATCH(data!AT$1,Haver_M!$B$1:$ZN$1,0))),INDEX(Haver_M!$B$1:$ZN$1000,MATCH(data!$A135,Haver_M!$B$1:$B$1000,0),MATCH(data!AT$1,Haver_M!$B$1:$ZN$1,0)),"na")</f>
        <v>94.331999999999994</v>
      </c>
      <c r="AU135">
        <f>IF(ISNUMBER(INDEX(Haver_M!$B$1:$ZN$1000,MATCH(data!$A135,Haver_M!$B$1:$B$1000,0),MATCH(data!AU$1,Haver_M!$B$1:$ZN$1,0))),INDEX(Haver_M!$B$1:$ZN$1000,MATCH(data!$A135,Haver_M!$B$1:$B$1000,0),MATCH(data!AU$1,Haver_M!$B$1:$ZN$1,0)),"na")</f>
        <v>93.498520999999997</v>
      </c>
      <c r="AV135">
        <f>IF(ISNUMBER(INDEX(Haver_M!$B$1:$ZN$1000,MATCH(data!$A135,Haver_M!$B$1:$B$1000,0),MATCH(data!AV$1,Haver_M!$B$1:$ZN$1,0))),INDEX(Haver_M!$B$1:$ZN$1000,MATCH(data!$A135,Haver_M!$B$1:$B$1000,0),MATCH(data!AV$1,Haver_M!$B$1:$ZN$1,0)),"na")</f>
        <v>93.4</v>
      </c>
      <c r="AW135">
        <f>IF(ISNUMBER(INDEX(Haver_M!$B$1:$ZN$1000,MATCH(data!$A135,Haver_M!$B$1:$B$1000,0),MATCH(data!AW$1,Haver_M!$B$1:$ZN$1,0))),INDEX(Haver_M!$B$1:$ZN$1000,MATCH(data!$A135,Haver_M!$B$1:$B$1000,0),MATCH(data!AW$1,Haver_M!$B$1:$ZN$1,0)),"na")</f>
        <v>927494.72477388673</v>
      </c>
      <c r="AX135">
        <f>IF(ISNUMBER(INDEX(Haver_M!$B$1:$ZN$1000,MATCH(data!$A135,Haver_M!$B$1:$B$1000,0),MATCH(data!AX$1,Haver_M!$B$1:$ZN$1,0))),INDEX(Haver_M!$B$1:$ZN$1000,MATCH(data!$A135,Haver_M!$B$1:$B$1000,0),MATCH(data!AX$1,Haver_M!$B$1:$ZN$1,0)),"na")</f>
        <v>2546</v>
      </c>
      <c r="AY135">
        <f>IF(ISNUMBER(INDEX(Haver_M!$B$1:$ZN$1000,MATCH(data!$A135,Haver_M!$B$1:$B$1000,0),MATCH(data!AY$1,Haver_M!$B$1:$ZN$1,0))),INDEX(Haver_M!$B$1:$ZN$1000,MATCH(data!$A135,Haver_M!$B$1:$B$1000,0),MATCH(data!AY$1,Haver_M!$B$1:$ZN$1,0)),"na")</f>
        <v>1234</v>
      </c>
      <c r="AZ135">
        <f>IF(ISNUMBER(INDEX(Haver_M!$B$1:$ZN$1000,MATCH(data!$A135,Haver_M!$B$1:$B$1000,0),MATCH(data!AZ$1,Haver_M!$B$1:$ZN$1,0))),INDEX(Haver_M!$B$1:$ZN$1000,MATCH(data!$A135,Haver_M!$B$1:$B$1000,0),MATCH(data!AZ$1,Haver_M!$B$1:$ZN$1,0)),"na")</f>
        <v>54.1</v>
      </c>
      <c r="BA135">
        <f>IF(ISNUMBER(INDEX(Haver_M!$B$1:$ZN$1000,MATCH(data!$A135,Haver_M!$B$1:$B$1000,0),MATCH(data!BA$1,Haver_M!$B$1:$ZN$1,0))),INDEX(Haver_M!$B$1:$ZN$1000,MATCH(data!$A135,Haver_M!$B$1:$B$1000,0),MATCH(data!BA$1,Haver_M!$B$1:$ZN$1,0)),"na")</f>
        <v>57.237091913200999</v>
      </c>
      <c r="BB135" t="str">
        <f>IF(ISNUMBER(INDEX(Haver_M!$B$1:$ZN$1000,MATCH(data!$A135,Haver_M!$B$1:$B$1000,0),MATCH(data!BB$1,Haver_M!$B$1:$ZN$1,0))),INDEX(Haver_M!$B$1:$ZN$1000,MATCH(data!$A135,Haver_M!$B$1:$B$1000,0),MATCH(data!BB$1,Haver_M!$B$1:$ZN$1,0)),"")</f>
        <v/>
      </c>
    </row>
    <row r="136" spans="1:54" x14ac:dyDescent="0.25">
      <c r="A136" s="2">
        <v>40633</v>
      </c>
      <c r="B136">
        <f>IF(ISNUMBER(INDEX(Haver_Q!$B$1:$BD$1000,MATCH(data!$A136,Haver_Q!$B$1:$B$1000,0),MATCH(data!B$1,Haver_Q!$B$1:$BD$1,0))),100*INDEX(Haver_Q!$B$1:$BD$1000,MATCH(data!$A136,Haver_Q!$B$1:$B$1000,0),MATCH(data!B$1,Haver_Q!$B$1:$BD$1,0)),"na")</f>
        <v>3.1370090773496839</v>
      </c>
      <c r="C136">
        <f>IF(ISNUMBER(INDEX(Haver_Q!$B$1:$BD$1000,MATCH(data!$A136,Haver_Q!$B$1:$B$1000,0),MATCH(data!C$1,Haver_Q!$B$1:$BD$1,0))),100*INDEX(Haver_Q!$B$1:$BD$1000,MATCH(data!$A136,Haver_Q!$B$1:$B$1000,0),MATCH(data!C$1,Haver_Q!$B$1:$BD$1,0)),"na")</f>
        <v>2.5453284344581606</v>
      </c>
      <c r="D136">
        <f>IF(ISNUMBER(INDEX(Haver_Q!$B$1:$BD$1000,MATCH(data!$A136,Haver_Q!$B$1:$B$1000,0),MATCH(data!D$1,Haver_Q!$B$1:$BD$1,0))),100*INDEX(Haver_Q!$B$1:$BD$1000,MATCH(data!$A136,Haver_Q!$B$1:$B$1000,0),MATCH(data!D$1,Haver_Q!$B$1:$BD$1,0)),"na")</f>
        <v>4.9599070362615905E-2</v>
      </c>
      <c r="E136">
        <f>IF(ISNUMBER(INDEX(Haver_Q!$B$1:$BD$1000,MATCH(data!$A136,Haver_Q!$B$1:$B$1000,0),MATCH(data!E$1,Haver_Q!$B$1:$BD$1,0))),100*INDEX(Haver_Q!$B$1:$BD$1000,MATCH(data!$A136,Haver_Q!$B$1:$B$1000,0),MATCH(data!E$1,Haver_Q!$B$1:$BD$1,0)),"na")</f>
        <v>1.8502070656674086</v>
      </c>
      <c r="F136">
        <f>IF(ISNUMBER(INDEX(Haver_Q!$B$1:$BD$1000,MATCH(data!$A136,Haver_Q!$B$1:$B$1000,0),MATCH(data!F$1,Haver_Q!$B$1:$BD$1,0))),100*INDEX(Haver_Q!$B$1:$BD$1000,MATCH(data!$A136,Haver_Q!$B$1:$B$1000,0),MATCH(data!F$1,Haver_Q!$B$1:$BD$1,0)),"na")</f>
        <v>14.967780996008241</v>
      </c>
      <c r="G136">
        <f>IF(ISNUMBER(INDEX(Haver_Q!$B$1:$BD$1000,MATCH(data!$A136,Haver_Q!$B$1:$B$1000,0),MATCH(data!G$1,Haver_Q!$B$1:$BD$1,0))),100*INDEX(Haver_Q!$B$1:$BD$1000,MATCH(data!$A136,Haver_Q!$B$1:$B$1000,0),MATCH(data!G$1,Haver_Q!$B$1:$BD$1,0)),"na")</f>
        <v>8.4904975204276312</v>
      </c>
      <c r="H136">
        <f>IF(ISNUMBER(INDEX(Haver_Q!$B$1:$BD$1000,MATCH(data!$A136,Haver_Q!$B$1:$B$1000,0),MATCH(data!H$1,Haver_Q!$B$1:$BD$1,0))),100*INDEX(Haver_Q!$B$1:$BD$1000,MATCH(data!$A136,Haver_Q!$B$1:$B$1000,0),MATCH(data!H$1,Haver_Q!$B$1:$BD$1,0)),"na")</f>
        <v>414.25235881197818</v>
      </c>
      <c r="I136" s="3">
        <f>IF(ISNUMBER(Bloomberg_m!C152),Bloomberg_m!C152,"na")</f>
        <v>1493</v>
      </c>
      <c r="J136" s="3" t="str">
        <f>IF(ISNUMBER(Bloomberg_m!D152),Bloomberg_m!D152,"na")</f>
        <v>na</v>
      </c>
      <c r="K136" s="3">
        <f>IF(ISNUMBER(Bloomberg_m!E152),Bloomberg_m!E152,"na")</f>
        <v>999.1</v>
      </c>
      <c r="L136" s="3">
        <f>IF(ISNUMBER(Bloomberg_m!L152),Bloomberg_m!L152,"na")</f>
        <v>102.92</v>
      </c>
      <c r="M136">
        <f>IF(ISNUMBER(INDEX(Haver_M!$B$1:$ZN$1000,MATCH(data!$A136,Haver_M!$B$1:$B$1000,0),MATCH(data!M$1,Haver_M!$B$1:$ZN$1,0))),INDEX(Haver_M!$B$1:$ZN$1000,MATCH(data!$A136,Haver_M!$B$1:$B$1000,0),MATCH(data!M$1,Haver_M!$B$1:$ZN$1,0)),"na")</f>
        <v>4.5</v>
      </c>
      <c r="N136">
        <f>IF(ISNUMBER(INDEX(Haver_M!$B$1:$ZN$1000,MATCH(data!$A136,Haver_M!$B$1:$B$1000,0),MATCH(data!N$1,Haver_M!$B$1:$ZN$1,0))),INDEX(Haver_M!$B$1:$ZN$1000,MATCH(data!$A136,Haver_M!$B$1:$B$1000,0),MATCH(data!N$1,Haver_M!$B$1:$ZN$1,0)),"na")</f>
        <v>7.5552000000000001</v>
      </c>
      <c r="O136">
        <f>IF(ISNUMBER(INDEX(Haver_M!$B$1:$ZN$1000,MATCH(data!$A136,Haver_M!$B$1:$B$1000,0),MATCH(data!O$1,Haver_M!$B$1:$ZN$1,0))),INDEX(Haver_M!$B$1:$ZN$1000,MATCH(data!$A136,Haver_M!$B$1:$B$1000,0),MATCH(data!O$1,Haver_M!$B$1:$ZN$1,0)),"na")</f>
        <v>103.11157</v>
      </c>
      <c r="P136">
        <f>IF(ISNUMBER(INDEX(Haver_M!$B$1:$ZN$1000,MATCH(data!$A136,Haver_M!$B$1:$B$1000,0),MATCH(data!P$1,Haver_M!$B$1:$ZN$1,0))),INDEX(Haver_M!$B$1:$ZN$1000,MATCH(data!$A136,Haver_M!$B$1:$B$1000,0),MATCH(data!P$1,Haver_M!$B$1:$ZN$1,0)),"na")</f>
        <v>75.232399999999998</v>
      </c>
      <c r="Q136">
        <f>IF(ISNUMBER(INDEX(Haver_M!$B$1:$ZN$1000,MATCH(data!$A136,Haver_M!$B$1:$B$1000,0),MATCH(data!Q$1,Haver_M!$B$1:$ZN$1,0))),INDEX(Haver_M!$B$1:$ZN$1000,MATCH(data!$A136,Haver_M!$B$1:$B$1000,0),MATCH(data!Q$1,Haver_M!$B$1:$ZN$1,0)),"na")</f>
        <v>78.920199999999994</v>
      </c>
      <c r="R136">
        <f>IF(ISNUMBER(INDEX(Haver_M!$B$1:$ZN$1000,MATCH(data!$A136,Haver_M!$B$1:$B$1000,0),MATCH(data!R$1,Haver_M!$B$1:$ZN$1,0))),INDEX(Haver_M!$B$1:$ZN$1000,MATCH(data!$A136,Haver_M!$B$1:$B$1000,0),MATCH(data!R$1,Haver_M!$B$1:$ZN$1,0)),"na")</f>
        <v>95.6785</v>
      </c>
      <c r="S136">
        <f>IF(ISNUMBER(INDEX(Haver_M!$B$1:$ZN$1000,MATCH(data!$A136,Haver_M!$B$1:$B$1000,0),MATCH(data!S$1,Haver_M!$B$1:$ZN$1,0))),INDEX(Haver_M!$B$1:$ZN$1000,MATCH(data!$A136,Haver_M!$B$1:$B$1000,0),MATCH(data!S$1,Haver_M!$B$1:$ZN$1,0)),"na")</f>
        <v>99.531000000000006</v>
      </c>
      <c r="T136">
        <f>IF(ISNUMBER(INDEX(Haver_M!$B$1:$ZN$1000,MATCH(data!$A136,Haver_M!$B$1:$B$1000,0),MATCH(data!T$1,Haver_M!$B$1:$ZN$1,0))),INDEX(Haver_M!$B$1:$ZN$1000,MATCH(data!$A136,Haver_M!$B$1:$B$1000,0),MATCH(data!T$1,Haver_M!$B$1:$ZN$1,0)),"na")</f>
        <v>97.416600000000003</v>
      </c>
      <c r="U136">
        <f>IF(ISNUMBER(INDEX(Haver_M!$B$1:$ZN$1000,MATCH(data!$A136,Haver_M!$B$1:$B$1000,0),MATCH(data!U$1,Haver_M!$B$1:$ZN$1,0))),INDEX(Haver_M!$B$1:$ZN$1000,MATCH(data!$A136,Haver_M!$B$1:$B$1000,0),MATCH(data!U$1,Haver_M!$B$1:$ZN$1,0)),"na")</f>
        <v>91.96</v>
      </c>
      <c r="V136">
        <f>IF(ISNUMBER(INDEX(Haver_M!$B$1:$ZN$1000,MATCH(data!$A136,Haver_M!$B$1:$B$1000,0),MATCH(data!V$1,Haver_M!$B$1:$ZN$1,0))),INDEX(Haver_M!$B$1:$ZN$1000,MATCH(data!$A136,Haver_M!$B$1:$B$1000,0),MATCH(data!V$1,Haver_M!$B$1:$ZN$1,0)),"na")</f>
        <v>94.852699999999999</v>
      </c>
      <c r="W136">
        <f>IF(ISNUMBER(INDEX(Haver_M!$B$1:$ZN$1000,MATCH(data!$A136,Haver_M!$B$1:$B$1000,0),MATCH(data!W$1,Haver_M!$B$1:$ZN$1,0))),INDEX(Haver_M!$B$1:$ZN$1000,MATCH(data!$A136,Haver_M!$B$1:$B$1000,0),MATCH(data!W$1,Haver_M!$B$1:$ZN$1,0)),"na")</f>
        <v>5.12</v>
      </c>
      <c r="X136">
        <f>IF(ISNUMBER(INDEX(Haver_M!$B$1:$ZN$1000,MATCH(data!$A136,Haver_M!$B$1:$B$1000,0),MATCH(data!X$1,Haver_M!$B$1:$ZN$1,0))),INDEX(Haver_M!$B$1:$ZN$1000,MATCH(data!$A136,Haver_M!$B$1:$B$1000,0),MATCH(data!X$1,Haver_M!$B$1:$ZN$1,0)),"na")</f>
        <v>99.61</v>
      </c>
      <c r="Y136">
        <f>IF(ISNUMBER(INDEX(Haver_M!$B$1:$ZN$1000,MATCH(data!$A136,Haver_M!$B$1:$B$1000,0),MATCH(data!Y$1,Haver_M!$B$1:$ZN$1,0))),INDEX(Haver_M!$B$1:$ZN$1000,MATCH(data!$A136,Haver_M!$B$1:$B$1000,0),MATCH(data!Y$1,Haver_M!$B$1:$ZN$1,0)),"na")</f>
        <v>101.23</v>
      </c>
      <c r="Z136">
        <f>IF(ISNUMBER(INDEX(Haver_M!$B$1:$ZN$1000,MATCH(data!$A136,Haver_M!$B$1:$B$1000,0),MATCH(data!Z$1,Haver_M!$B$1:$ZN$1,0))),INDEX(Haver_M!$B$1:$ZN$1000,MATCH(data!$A136,Haver_M!$B$1:$B$1000,0),MATCH(data!Z$1,Haver_M!$B$1:$ZN$1,0)),"na")</f>
        <v>94.502300000000005</v>
      </c>
      <c r="AA136">
        <f>IF(ISNUMBER(INDEX(Haver_M!$B$1:$ZN$1000,MATCH(data!$A136,Haver_M!$B$1:$B$1000,0),MATCH(data!AA$1,Haver_M!$B$1:$ZN$1,0))),INDEX(Haver_M!$B$1:$ZN$1000,MATCH(data!$A136,Haver_M!$B$1:$B$1000,0),MATCH(data!AA$1,Haver_M!$B$1:$ZN$1,0)),"na")</f>
        <v>93.523700000000005</v>
      </c>
      <c r="AB136">
        <f>IF(ISNUMBER(INDEX(Haver_M!$B$1:$ZN$1000,MATCH(data!$A136,Haver_M!$B$1:$B$1000,0),MATCH(data!AB$1,Haver_M!$B$1:$ZN$1,0))),INDEX(Haver_M!$B$1:$ZN$1000,MATCH(data!$A136,Haver_M!$B$1:$B$1000,0),MATCH(data!AB$1,Haver_M!$B$1:$ZN$1,0)),"na")</f>
        <v>28884.1</v>
      </c>
      <c r="AC136">
        <f>IF(ISNUMBER(INDEX(Haver_M!$B$1:$ZN$1000,MATCH(data!$A136,Haver_M!$B$1:$B$1000,0),MATCH(data!AC$1,Haver_M!$B$1:$ZN$1,0))),INDEX(Haver_M!$B$1:$ZN$1000,MATCH(data!$A136,Haver_M!$B$1:$B$1000,0),MATCH(data!AC$1,Haver_M!$B$1:$ZN$1,0)),"na")</f>
        <v>28430.7</v>
      </c>
      <c r="AD136">
        <f>IF(ISNUMBER(INDEX(Haver_M!$B$1:$ZN$1000,MATCH(data!$A136,Haver_M!$B$1:$B$1000,0),MATCH(data!AD$1,Haver_M!$B$1:$ZN$1,0))),INDEX(Haver_M!$B$1:$ZN$1000,MATCH(data!$A136,Haver_M!$B$1:$B$1000,0),MATCH(data!AD$1,Haver_M!$B$1:$ZN$1,0)),"na")</f>
        <v>99.63</v>
      </c>
      <c r="AE136">
        <f>IF(ISNUMBER(INDEX(Haver_M!$B$1:$ZN$1000,MATCH(data!$A136,Haver_M!$B$1:$B$1000,0),MATCH(data!AE$1,Haver_M!$B$1:$ZN$1,0))),INDEX(Haver_M!$B$1:$ZN$1000,MATCH(data!$A136,Haver_M!$B$1:$B$1000,0),MATCH(data!AE$1,Haver_M!$B$1:$ZN$1,0)),"na")</f>
        <v>38.5</v>
      </c>
      <c r="AF136">
        <f>IF(ISNUMBER(INDEX(Haver_M!$B$1:$ZN$1000,MATCH(data!$A136,Haver_M!$B$1:$B$1000,0),MATCH(data!AF$1,Haver_M!$B$1:$ZN$1,0))),INDEX(Haver_M!$B$1:$ZN$1000,MATCH(data!$A136,Haver_M!$B$1:$B$1000,0),MATCH(data!AF$1,Haver_M!$B$1:$ZN$1,0)),"na")</f>
        <v>101.63</v>
      </c>
      <c r="AG136" t="str">
        <f>IF(ISNUMBER(INDEX(Haver_M!$B$1:$ZN$1000,MATCH(data!$A136,Haver_M!$B$1:$B$1000,0),MATCH(data!AG$1,Haver_M!$B$1:$ZN$1,0))),INDEX(Haver_M!$B$1:$ZN$1000,MATCH(data!$A136,Haver_M!$B$1:$B$1000,0),MATCH(data!AG$1,Haver_M!$B$1:$ZN$1,0)),"na")</f>
        <v>na</v>
      </c>
      <c r="AH136" t="str">
        <f>IF(ISNUMBER(INDEX(Haver_M!$B$1:$ZN$1000,MATCH(data!$A136,Haver_M!$B$1:$B$1000,0),MATCH(data!AH$1,Haver_M!$B$1:$ZN$1,0))),INDEX(Haver_M!$B$1:$ZN$1000,MATCH(data!$A136,Haver_M!$B$1:$B$1000,0),MATCH(data!AH$1,Haver_M!$B$1:$ZN$1,0)),"na")</f>
        <v>na</v>
      </c>
      <c r="AI136" t="str">
        <f>IF(ISNUMBER(INDEX(Haver_M!$B$1:$ZN$1000,MATCH(data!$A136,Haver_M!$B$1:$B$1000,0),MATCH(data!AI$1,Haver_M!$B$1:$ZN$1,0))),INDEX(Haver_M!$B$1:$ZN$1000,MATCH(data!$A136,Haver_M!$B$1:$B$1000,0),MATCH(data!AI$1,Haver_M!$B$1:$ZN$1,0)),"na")</f>
        <v>na</v>
      </c>
      <c r="AJ136" t="str">
        <f>IF(ISNUMBER(INDEX(Haver_M!$B$1:$ZN$1000,MATCH(data!$A136,Haver_M!$B$1:$B$1000,0),MATCH(data!AJ$1,Haver_M!$B$1:$ZN$1,0))),INDEX(Haver_M!$B$1:$ZN$1000,MATCH(data!$A136,Haver_M!$B$1:$B$1000,0),MATCH(data!AJ$1,Haver_M!$B$1:$ZN$1,0)),"na")</f>
        <v>na</v>
      </c>
      <c r="AK136" t="str">
        <f>IF(ISNUMBER(INDEX(Haver_M!$B$1:$ZN$1000,MATCH(data!$A136,Haver_M!$B$1:$B$1000,0),MATCH(data!AK$1,Haver_M!$B$1:$ZN$1,0))),INDEX(Haver_M!$B$1:$ZN$1000,MATCH(data!$A136,Haver_M!$B$1:$B$1000,0),MATCH(data!AK$1,Haver_M!$B$1:$ZN$1,0)),"na")</f>
        <v>na</v>
      </c>
      <c r="AL136" t="str">
        <f>IF(ISNUMBER(INDEX(Haver_M!$B$1:$ZN$1000,MATCH(data!$A136,Haver_M!$B$1:$B$1000,0),MATCH(data!AL$1,Haver_M!$B$1:$ZN$1,0))),INDEX(Haver_M!$B$1:$ZN$1000,MATCH(data!$A136,Haver_M!$B$1:$B$1000,0),MATCH(data!AL$1,Haver_M!$B$1:$ZN$1,0)),"na")</f>
        <v>na</v>
      </c>
      <c r="AM136" t="str">
        <f>IF(ISNUMBER(INDEX(Haver_M!$B$1:$ZN$1000,MATCH(data!$A136,Haver_M!$B$1:$B$1000,0),MATCH(data!AM$1,Haver_M!$B$1:$ZN$1,0))),INDEX(Haver_M!$B$1:$ZN$1000,MATCH(data!$A136,Haver_M!$B$1:$B$1000,0),MATCH(data!AM$1,Haver_M!$B$1:$ZN$1,0)),"na")</f>
        <v>na</v>
      </c>
      <c r="AN136" t="str">
        <f>IF(ISNUMBER(INDEX(Haver_M!$B$1:$ZN$1000,MATCH(data!$A136,Haver_M!$B$1:$B$1000,0),MATCH(data!AN$1,Haver_M!$B$1:$ZN$1,0))),INDEX(Haver_M!$B$1:$ZN$1000,MATCH(data!$A136,Haver_M!$B$1:$B$1000,0),MATCH(data!AN$1,Haver_M!$B$1:$ZN$1,0)),"na")</f>
        <v>na</v>
      </c>
      <c r="AO136" t="str">
        <f>IF(ISNUMBER(INDEX(Haver_M!$B$1:$ZN$1000,MATCH(data!$A136,Haver_M!$B$1:$B$1000,0),MATCH(data!AO$1,Haver_M!$B$1:$ZN$1,0))),INDEX(Haver_M!$B$1:$ZN$1000,MATCH(data!$A136,Haver_M!$B$1:$B$1000,0),MATCH(data!AO$1,Haver_M!$B$1:$ZN$1,0)),"na")</f>
        <v>na</v>
      </c>
      <c r="AP136" t="str">
        <f>IF(ISNUMBER(INDEX(Haver_M!$B$1:$ZN$1000,MATCH(data!$A136,Haver_M!$B$1:$B$1000,0),MATCH(data!AP$1,Haver_M!$B$1:$ZN$1,0))),INDEX(Haver_M!$B$1:$ZN$1000,MATCH(data!$A136,Haver_M!$B$1:$B$1000,0),MATCH(data!AP$1,Haver_M!$B$1:$ZN$1,0)),"na")</f>
        <v>na</v>
      </c>
      <c r="AQ136" t="str">
        <f>IF(ISNUMBER(INDEX(Haver_M!$B$1:$ZN$1000,MATCH(data!$A136,Haver_M!$B$1:$B$1000,0),MATCH(data!AQ$1,Haver_M!$B$1:$ZN$1,0))),INDEX(Haver_M!$B$1:$ZN$1000,MATCH(data!$A136,Haver_M!$B$1:$B$1000,0),MATCH(data!AQ$1,Haver_M!$B$1:$ZN$1,0)),"na")</f>
        <v>na</v>
      </c>
      <c r="AR136" t="str">
        <f>IF(ISNUMBER(INDEX(Haver_M!$B$1:$ZN$1000,MATCH(data!$A136,Haver_M!$B$1:$B$1000,0),MATCH(data!AR$1,Haver_M!$B$1:$ZN$1,0))),INDEX(Haver_M!$B$1:$ZN$1000,MATCH(data!$A136,Haver_M!$B$1:$B$1000,0),MATCH(data!AR$1,Haver_M!$B$1:$ZN$1,0)),"na")</f>
        <v>na</v>
      </c>
      <c r="AS136">
        <f>IF(ISNUMBER(INDEX(Haver_M!$B$1:$ZN$1000,MATCH(data!$A136,Haver_M!$B$1:$B$1000,0),MATCH(data!AS$1,Haver_M!$B$1:$ZN$1,0))),INDEX(Haver_M!$B$1:$ZN$1000,MATCH(data!$A136,Haver_M!$B$1:$B$1000,0),MATCH(data!AS$1,Haver_M!$B$1:$ZN$1,0)),"na")</f>
        <v>36483.919999999998</v>
      </c>
      <c r="AT136">
        <f>IF(ISNUMBER(INDEX(Haver_M!$B$1:$ZN$1000,MATCH(data!$A136,Haver_M!$B$1:$B$1000,0),MATCH(data!AT$1,Haver_M!$B$1:$ZN$1,0))),INDEX(Haver_M!$B$1:$ZN$1000,MATCH(data!$A136,Haver_M!$B$1:$B$1000,0),MATCH(data!AT$1,Haver_M!$B$1:$ZN$1,0)),"na")</f>
        <v>95.093999999999994</v>
      </c>
      <c r="AU136">
        <f>IF(ISNUMBER(INDEX(Haver_M!$B$1:$ZN$1000,MATCH(data!$A136,Haver_M!$B$1:$B$1000,0),MATCH(data!AU$1,Haver_M!$B$1:$ZN$1,0))),INDEX(Haver_M!$B$1:$ZN$1000,MATCH(data!$A136,Haver_M!$B$1:$B$1000,0),MATCH(data!AU$1,Haver_M!$B$1:$ZN$1,0)),"na")</f>
        <v>94.052532999999997</v>
      </c>
      <c r="AV136">
        <f>IF(ISNUMBER(INDEX(Haver_M!$B$1:$ZN$1000,MATCH(data!$A136,Haver_M!$B$1:$B$1000,0),MATCH(data!AV$1,Haver_M!$B$1:$ZN$1,0))),INDEX(Haver_M!$B$1:$ZN$1000,MATCH(data!$A136,Haver_M!$B$1:$B$1000,0),MATCH(data!AV$1,Haver_M!$B$1:$ZN$1,0)),"na")</f>
        <v>92.9</v>
      </c>
      <c r="AW136">
        <f>IF(ISNUMBER(INDEX(Haver_M!$B$1:$ZN$1000,MATCH(data!$A136,Haver_M!$B$1:$B$1000,0),MATCH(data!AW$1,Haver_M!$B$1:$ZN$1,0))),INDEX(Haver_M!$B$1:$ZN$1000,MATCH(data!$A136,Haver_M!$B$1:$B$1000,0),MATCH(data!AW$1,Haver_M!$B$1:$ZN$1,0)),"na")</f>
        <v>969555.15241624671</v>
      </c>
      <c r="AX136">
        <f>IF(ISNUMBER(INDEX(Haver_M!$B$1:$ZN$1000,MATCH(data!$A136,Haver_M!$B$1:$B$1000,0),MATCH(data!AX$1,Haver_M!$B$1:$ZN$1,0))),INDEX(Haver_M!$B$1:$ZN$1000,MATCH(data!$A136,Haver_M!$B$1:$B$1000,0),MATCH(data!AX$1,Haver_M!$B$1:$ZN$1,0)),"na")</f>
        <v>2571</v>
      </c>
      <c r="AY136">
        <f>IF(ISNUMBER(INDEX(Haver_M!$B$1:$ZN$1000,MATCH(data!$A136,Haver_M!$B$1:$B$1000,0),MATCH(data!AY$1,Haver_M!$B$1:$ZN$1,0))),INDEX(Haver_M!$B$1:$ZN$1000,MATCH(data!$A136,Haver_M!$B$1:$B$1000,0),MATCH(data!AY$1,Haver_M!$B$1:$ZN$1,0)),"na")</f>
        <v>1424</v>
      </c>
      <c r="AZ136">
        <f>IF(ISNUMBER(INDEX(Haver_M!$B$1:$ZN$1000,MATCH(data!$A136,Haver_M!$B$1:$B$1000,0),MATCH(data!AZ$1,Haver_M!$B$1:$ZN$1,0))),INDEX(Haver_M!$B$1:$ZN$1000,MATCH(data!$A136,Haver_M!$B$1:$B$1000,0),MATCH(data!AZ$1,Haver_M!$B$1:$ZN$1,0)),"na")</f>
        <v>53.7</v>
      </c>
      <c r="BA136">
        <f>IF(ISNUMBER(INDEX(Haver_M!$B$1:$ZN$1000,MATCH(data!$A136,Haver_M!$B$1:$B$1000,0),MATCH(data!BA$1,Haver_M!$B$1:$ZN$1,0))),INDEX(Haver_M!$B$1:$ZN$1000,MATCH(data!$A136,Haver_M!$B$1:$B$1000,0),MATCH(data!BA$1,Haver_M!$B$1:$ZN$1,0)),"na")</f>
        <v>85.532765259612944</v>
      </c>
      <c r="BB136" t="str">
        <f>IF(ISNUMBER(INDEX(Haver_M!$B$1:$ZN$1000,MATCH(data!$A136,Haver_M!$B$1:$B$1000,0),MATCH(data!BB$1,Haver_M!$B$1:$ZN$1,0))),INDEX(Haver_M!$B$1:$ZN$1000,MATCH(data!$A136,Haver_M!$B$1:$B$1000,0),MATCH(data!BB$1,Haver_M!$B$1:$ZN$1,0)),"")</f>
        <v/>
      </c>
    </row>
    <row r="137" spans="1:54" x14ac:dyDescent="0.25">
      <c r="A137" s="2">
        <v>40663</v>
      </c>
      <c r="B137" t="str">
        <f>IF(ISNUMBER(INDEX(Haver_Q!$B$1:$BD$1000,MATCH(data!$A137,Haver_Q!$B$1:$B$1000,0),MATCH(data!B$1,Haver_Q!$B$1:$BD$1,0))),100*INDEX(Haver_Q!$B$1:$BD$1000,MATCH(data!$A137,Haver_Q!$B$1:$B$1000,0),MATCH(data!B$1,Haver_Q!$B$1:$BD$1,0)),"na")</f>
        <v>na</v>
      </c>
      <c r="C137" t="str">
        <f>IF(ISNUMBER(INDEX(Haver_Q!$B$1:$BD$1000,MATCH(data!$A137,Haver_Q!$B$1:$B$1000,0),MATCH(data!C$1,Haver_Q!$B$1:$BD$1,0))),100*INDEX(Haver_Q!$B$1:$BD$1000,MATCH(data!$A137,Haver_Q!$B$1:$B$1000,0),MATCH(data!C$1,Haver_Q!$B$1:$BD$1,0)),"na")</f>
        <v>na</v>
      </c>
      <c r="D137" t="str">
        <f>IF(ISNUMBER(INDEX(Haver_Q!$B$1:$BD$1000,MATCH(data!$A137,Haver_Q!$B$1:$B$1000,0),MATCH(data!D$1,Haver_Q!$B$1:$BD$1,0))),100*INDEX(Haver_Q!$B$1:$BD$1000,MATCH(data!$A137,Haver_Q!$B$1:$B$1000,0),MATCH(data!D$1,Haver_Q!$B$1:$BD$1,0)),"na")</f>
        <v>na</v>
      </c>
      <c r="E137" t="str">
        <f>IF(ISNUMBER(INDEX(Haver_Q!$B$1:$BD$1000,MATCH(data!$A137,Haver_Q!$B$1:$B$1000,0),MATCH(data!E$1,Haver_Q!$B$1:$BD$1,0))),100*INDEX(Haver_Q!$B$1:$BD$1000,MATCH(data!$A137,Haver_Q!$B$1:$B$1000,0),MATCH(data!E$1,Haver_Q!$B$1:$BD$1,0)),"na")</f>
        <v>na</v>
      </c>
      <c r="F137" t="str">
        <f>IF(ISNUMBER(INDEX(Haver_Q!$B$1:$BD$1000,MATCH(data!$A137,Haver_Q!$B$1:$B$1000,0),MATCH(data!F$1,Haver_Q!$B$1:$BD$1,0))),100*INDEX(Haver_Q!$B$1:$BD$1000,MATCH(data!$A137,Haver_Q!$B$1:$B$1000,0),MATCH(data!F$1,Haver_Q!$B$1:$BD$1,0)),"na")</f>
        <v>na</v>
      </c>
      <c r="G137" t="str">
        <f>IF(ISNUMBER(INDEX(Haver_Q!$B$1:$BD$1000,MATCH(data!$A137,Haver_Q!$B$1:$B$1000,0),MATCH(data!G$1,Haver_Q!$B$1:$BD$1,0))),100*INDEX(Haver_Q!$B$1:$BD$1000,MATCH(data!$A137,Haver_Q!$B$1:$B$1000,0),MATCH(data!G$1,Haver_Q!$B$1:$BD$1,0)),"na")</f>
        <v>na</v>
      </c>
      <c r="H137" t="str">
        <f>IF(ISNUMBER(INDEX(Haver_Q!$B$1:$BD$1000,MATCH(data!$A137,Haver_Q!$B$1:$B$1000,0),MATCH(data!H$1,Haver_Q!$B$1:$BD$1,0))),100*INDEX(Haver_Q!$B$1:$BD$1000,MATCH(data!$A137,Haver_Q!$B$1:$B$1000,0),MATCH(data!H$1,Haver_Q!$B$1:$BD$1,0)),"na")</f>
        <v>na</v>
      </c>
      <c r="I137" s="3">
        <f>IF(ISNUMBER(Bloomberg_m!C153),Bloomberg_m!C153,"na")</f>
        <v>1343</v>
      </c>
      <c r="J137" s="3" t="str">
        <f>IF(ISNUMBER(Bloomberg_m!D153),Bloomberg_m!D153,"na")</f>
        <v>na</v>
      </c>
      <c r="K137" s="3">
        <f>IF(ISNUMBER(Bloomberg_m!E153),Bloomberg_m!E153,"na")</f>
        <v>1023.63</v>
      </c>
      <c r="L137" s="3">
        <f>IF(ISNUMBER(Bloomberg_m!L153),Bloomberg_m!L153,"na")</f>
        <v>109.96</v>
      </c>
      <c r="M137">
        <f>IF(ISNUMBER(INDEX(Haver_M!$B$1:$ZN$1000,MATCH(data!$A137,Haver_M!$B$1:$B$1000,0),MATCH(data!M$1,Haver_M!$B$1:$ZN$1,0))),INDEX(Haver_M!$B$1:$ZN$1000,MATCH(data!$A137,Haver_M!$B$1:$B$1000,0),MATCH(data!M$1,Haver_M!$B$1:$ZN$1,0)),"na")</f>
        <v>4.5</v>
      </c>
      <c r="N137">
        <f>IF(ISNUMBER(INDEX(Haver_M!$B$1:$ZN$1000,MATCH(data!$A137,Haver_M!$B$1:$B$1000,0),MATCH(data!N$1,Haver_M!$B$1:$ZN$1,0))),INDEX(Haver_M!$B$1:$ZN$1000,MATCH(data!$A137,Haver_M!$B$1:$B$1000,0),MATCH(data!N$1,Haver_M!$B$1:$ZN$1,0)),"na")</f>
        <v>7.3555999999999999</v>
      </c>
      <c r="O137">
        <f>IF(ISNUMBER(INDEX(Haver_M!$B$1:$ZN$1000,MATCH(data!$A137,Haver_M!$B$1:$B$1000,0),MATCH(data!O$1,Haver_M!$B$1:$ZN$1,0))),INDEX(Haver_M!$B$1:$ZN$1000,MATCH(data!$A137,Haver_M!$B$1:$B$1000,0),MATCH(data!O$1,Haver_M!$B$1:$ZN$1,0)),"na")</f>
        <v>104.40703999999999</v>
      </c>
      <c r="P137">
        <f>IF(ISNUMBER(INDEX(Haver_M!$B$1:$ZN$1000,MATCH(data!$A137,Haver_M!$B$1:$B$1000,0),MATCH(data!P$1,Haver_M!$B$1:$ZN$1,0))),INDEX(Haver_M!$B$1:$ZN$1000,MATCH(data!$A137,Haver_M!$B$1:$B$1000,0),MATCH(data!P$1,Haver_M!$B$1:$ZN$1,0)),"na")</f>
        <v>75.375799999999998</v>
      </c>
      <c r="Q137">
        <f>IF(ISNUMBER(INDEX(Haver_M!$B$1:$ZN$1000,MATCH(data!$A137,Haver_M!$B$1:$B$1000,0),MATCH(data!Q$1,Haver_M!$B$1:$ZN$1,0))),INDEX(Haver_M!$B$1:$ZN$1000,MATCH(data!$A137,Haver_M!$B$1:$B$1000,0),MATCH(data!Q$1,Haver_M!$B$1:$ZN$1,0)),"na")</f>
        <v>78.970399999999998</v>
      </c>
      <c r="R137">
        <f>IF(ISNUMBER(INDEX(Haver_M!$B$1:$ZN$1000,MATCH(data!$A137,Haver_M!$B$1:$B$1000,0),MATCH(data!R$1,Haver_M!$B$1:$ZN$1,0))),INDEX(Haver_M!$B$1:$ZN$1000,MATCH(data!$A137,Haver_M!$B$1:$B$1000,0),MATCH(data!R$1,Haver_M!$B$1:$ZN$1,0)),"na")</f>
        <v>96.148899999999998</v>
      </c>
      <c r="S137">
        <f>IF(ISNUMBER(INDEX(Haver_M!$B$1:$ZN$1000,MATCH(data!$A137,Haver_M!$B$1:$B$1000,0),MATCH(data!S$1,Haver_M!$B$1:$ZN$1,0))),INDEX(Haver_M!$B$1:$ZN$1000,MATCH(data!$A137,Haver_M!$B$1:$B$1000,0),MATCH(data!S$1,Haver_M!$B$1:$ZN$1,0)),"na")</f>
        <v>99.746700000000004</v>
      </c>
      <c r="T137">
        <f>IF(ISNUMBER(INDEX(Haver_M!$B$1:$ZN$1000,MATCH(data!$A137,Haver_M!$B$1:$B$1000,0),MATCH(data!T$1,Haver_M!$B$1:$ZN$1,0))),INDEX(Haver_M!$B$1:$ZN$1000,MATCH(data!$A137,Haver_M!$B$1:$B$1000,0),MATCH(data!T$1,Haver_M!$B$1:$ZN$1,0)),"na")</f>
        <v>97.959199999999996</v>
      </c>
      <c r="U137">
        <f>IF(ISNUMBER(INDEX(Haver_M!$B$1:$ZN$1000,MATCH(data!$A137,Haver_M!$B$1:$B$1000,0),MATCH(data!U$1,Haver_M!$B$1:$ZN$1,0))),INDEX(Haver_M!$B$1:$ZN$1000,MATCH(data!$A137,Haver_M!$B$1:$B$1000,0),MATCH(data!U$1,Haver_M!$B$1:$ZN$1,0)),"na")</f>
        <v>97.093000000000004</v>
      </c>
      <c r="V137">
        <f>IF(ISNUMBER(INDEX(Haver_M!$B$1:$ZN$1000,MATCH(data!$A137,Haver_M!$B$1:$B$1000,0),MATCH(data!V$1,Haver_M!$B$1:$ZN$1,0))),INDEX(Haver_M!$B$1:$ZN$1000,MATCH(data!$A137,Haver_M!$B$1:$B$1000,0),MATCH(data!V$1,Haver_M!$B$1:$ZN$1,0)),"na")</f>
        <v>94.375100000000003</v>
      </c>
      <c r="W137">
        <f>IF(ISNUMBER(INDEX(Haver_M!$B$1:$ZN$1000,MATCH(data!$A137,Haver_M!$B$1:$B$1000,0),MATCH(data!W$1,Haver_M!$B$1:$ZN$1,0))),INDEX(Haver_M!$B$1:$ZN$1000,MATCH(data!$A137,Haver_M!$B$1:$B$1000,0),MATCH(data!W$1,Haver_M!$B$1:$ZN$1,0)),"na")</f>
        <v>5.18</v>
      </c>
      <c r="X137">
        <f>IF(ISNUMBER(INDEX(Haver_M!$B$1:$ZN$1000,MATCH(data!$A137,Haver_M!$B$1:$B$1000,0),MATCH(data!X$1,Haver_M!$B$1:$ZN$1,0))),INDEX(Haver_M!$B$1:$ZN$1000,MATCH(data!$A137,Haver_M!$B$1:$B$1000,0),MATCH(data!X$1,Haver_M!$B$1:$ZN$1,0)),"na")</f>
        <v>98.98</v>
      </c>
      <c r="Y137">
        <f>IF(ISNUMBER(INDEX(Haver_M!$B$1:$ZN$1000,MATCH(data!$A137,Haver_M!$B$1:$B$1000,0),MATCH(data!Y$1,Haver_M!$B$1:$ZN$1,0))),INDEX(Haver_M!$B$1:$ZN$1000,MATCH(data!$A137,Haver_M!$B$1:$B$1000,0),MATCH(data!Y$1,Haver_M!$B$1:$ZN$1,0)),"na")</f>
        <v>101.19</v>
      </c>
      <c r="Z137">
        <f>IF(ISNUMBER(INDEX(Haver_M!$B$1:$ZN$1000,MATCH(data!$A137,Haver_M!$B$1:$B$1000,0),MATCH(data!Z$1,Haver_M!$B$1:$ZN$1,0))),INDEX(Haver_M!$B$1:$ZN$1000,MATCH(data!$A137,Haver_M!$B$1:$B$1000,0),MATCH(data!Z$1,Haver_M!$B$1:$ZN$1,0)),"na")</f>
        <v>95.33</v>
      </c>
      <c r="AA137">
        <f>IF(ISNUMBER(INDEX(Haver_M!$B$1:$ZN$1000,MATCH(data!$A137,Haver_M!$B$1:$B$1000,0),MATCH(data!AA$1,Haver_M!$B$1:$ZN$1,0))),INDEX(Haver_M!$B$1:$ZN$1000,MATCH(data!$A137,Haver_M!$B$1:$B$1000,0),MATCH(data!AA$1,Haver_M!$B$1:$ZN$1,0)),"na")</f>
        <v>91.472300000000004</v>
      </c>
      <c r="AB137">
        <f>IF(ISNUMBER(INDEX(Haver_M!$B$1:$ZN$1000,MATCH(data!$A137,Haver_M!$B$1:$B$1000,0),MATCH(data!AB$1,Haver_M!$B$1:$ZN$1,0))),INDEX(Haver_M!$B$1:$ZN$1000,MATCH(data!$A137,Haver_M!$B$1:$B$1000,0),MATCH(data!AB$1,Haver_M!$B$1:$ZN$1,0)),"na")</f>
        <v>28491.8</v>
      </c>
      <c r="AC137">
        <f>IF(ISNUMBER(INDEX(Haver_M!$B$1:$ZN$1000,MATCH(data!$A137,Haver_M!$B$1:$B$1000,0),MATCH(data!AC$1,Haver_M!$B$1:$ZN$1,0))),INDEX(Haver_M!$B$1:$ZN$1000,MATCH(data!$A137,Haver_M!$B$1:$B$1000,0),MATCH(data!AC$1,Haver_M!$B$1:$ZN$1,0)),"na")</f>
        <v>28304.9</v>
      </c>
      <c r="AD137">
        <f>IF(ISNUMBER(INDEX(Haver_M!$B$1:$ZN$1000,MATCH(data!$A137,Haver_M!$B$1:$B$1000,0),MATCH(data!AD$1,Haver_M!$B$1:$ZN$1,0))),INDEX(Haver_M!$B$1:$ZN$1000,MATCH(data!$A137,Haver_M!$B$1:$B$1000,0),MATCH(data!AD$1,Haver_M!$B$1:$ZN$1,0)),"na")</f>
        <v>99.71</v>
      </c>
      <c r="AE137">
        <f>IF(ISNUMBER(INDEX(Haver_M!$B$1:$ZN$1000,MATCH(data!$A137,Haver_M!$B$1:$B$1000,0),MATCH(data!AE$1,Haver_M!$B$1:$ZN$1,0))),INDEX(Haver_M!$B$1:$ZN$1000,MATCH(data!$A137,Haver_M!$B$1:$B$1000,0),MATCH(data!AE$1,Haver_M!$B$1:$ZN$1,0)),"na")</f>
        <v>37.6</v>
      </c>
      <c r="AF137">
        <f>IF(ISNUMBER(INDEX(Haver_M!$B$1:$ZN$1000,MATCH(data!$A137,Haver_M!$B$1:$B$1000,0),MATCH(data!AF$1,Haver_M!$B$1:$ZN$1,0))),INDEX(Haver_M!$B$1:$ZN$1000,MATCH(data!$A137,Haver_M!$B$1:$B$1000,0),MATCH(data!AF$1,Haver_M!$B$1:$ZN$1,0)),"na")</f>
        <v>101.49</v>
      </c>
      <c r="AG137">
        <f>IF(ISNUMBER(INDEX(Haver_M!$B$1:$ZN$1000,MATCH(data!$A137,Haver_M!$B$1:$B$1000,0),MATCH(data!AG$1,Haver_M!$B$1:$ZN$1,0))),INDEX(Haver_M!$B$1:$ZN$1000,MATCH(data!$A137,Haver_M!$B$1:$B$1000,0),MATCH(data!AG$1,Haver_M!$B$1:$ZN$1,0)),"na")</f>
        <v>56.251100000000001</v>
      </c>
      <c r="AH137">
        <f>IF(ISNUMBER(INDEX(Haver_M!$B$1:$ZN$1000,MATCH(data!$A137,Haver_M!$B$1:$B$1000,0),MATCH(data!AH$1,Haver_M!$B$1:$ZN$1,0))),INDEX(Haver_M!$B$1:$ZN$1000,MATCH(data!$A137,Haver_M!$B$1:$B$1000,0),MATCH(data!AH$1,Haver_M!$B$1:$ZN$1,0)),"na")</f>
        <v>56.521000000000001</v>
      </c>
      <c r="AI137">
        <f>IF(ISNUMBER(INDEX(Haver_M!$B$1:$ZN$1000,MATCH(data!$A137,Haver_M!$B$1:$B$1000,0),MATCH(data!AI$1,Haver_M!$B$1:$ZN$1,0))),INDEX(Haver_M!$B$1:$ZN$1000,MATCH(data!$A137,Haver_M!$B$1:$B$1000,0),MATCH(data!AI$1,Haver_M!$B$1:$ZN$1,0)),"na")</f>
        <v>59.252699999999997</v>
      </c>
      <c r="AJ137">
        <f>IF(ISNUMBER(INDEX(Haver_M!$B$1:$ZN$1000,MATCH(data!$A137,Haver_M!$B$1:$B$1000,0),MATCH(data!AJ$1,Haver_M!$B$1:$ZN$1,0))),INDEX(Haver_M!$B$1:$ZN$1000,MATCH(data!$A137,Haver_M!$B$1:$B$1000,0),MATCH(data!AJ$1,Haver_M!$B$1:$ZN$1,0)),"na")</f>
        <v>56.713799999999999</v>
      </c>
      <c r="AK137">
        <f>IF(ISNUMBER(INDEX(Haver_M!$B$1:$ZN$1000,MATCH(data!$A137,Haver_M!$B$1:$B$1000,0),MATCH(data!AK$1,Haver_M!$B$1:$ZN$1,0))),INDEX(Haver_M!$B$1:$ZN$1000,MATCH(data!$A137,Haver_M!$B$1:$B$1000,0),MATCH(data!AK$1,Haver_M!$B$1:$ZN$1,0)),"na")</f>
        <v>46.800899999999999</v>
      </c>
      <c r="AL137">
        <f>IF(ISNUMBER(INDEX(Haver_M!$B$1:$ZN$1000,MATCH(data!$A137,Haver_M!$B$1:$B$1000,0),MATCH(data!AL$1,Haver_M!$B$1:$ZN$1,0))),INDEX(Haver_M!$B$1:$ZN$1000,MATCH(data!$A137,Haver_M!$B$1:$B$1000,0),MATCH(data!AL$1,Haver_M!$B$1:$ZN$1,0)),"na")</f>
        <v>50.224400000000003</v>
      </c>
      <c r="AM137">
        <f>IF(ISNUMBER(INDEX(Haver_M!$B$1:$ZN$1000,MATCH(data!$A137,Haver_M!$B$1:$B$1000,0),MATCH(data!AM$1,Haver_M!$B$1:$ZN$1,0))),INDEX(Haver_M!$B$1:$ZN$1000,MATCH(data!$A137,Haver_M!$B$1:$B$1000,0),MATCH(data!AM$1,Haver_M!$B$1:$ZN$1,0)),"na")</f>
        <v>67.532700000000006</v>
      </c>
      <c r="AN137">
        <f>IF(ISNUMBER(INDEX(Haver_M!$B$1:$ZN$1000,MATCH(data!$A137,Haver_M!$B$1:$B$1000,0),MATCH(data!AN$1,Haver_M!$B$1:$ZN$1,0))),INDEX(Haver_M!$B$1:$ZN$1000,MATCH(data!$A137,Haver_M!$B$1:$B$1000,0),MATCH(data!AN$1,Haver_M!$B$1:$ZN$1,0)),"na")</f>
        <v>55.9908</v>
      </c>
      <c r="AO137">
        <f>IF(ISNUMBER(INDEX(Haver_M!$B$1:$ZN$1000,MATCH(data!$A137,Haver_M!$B$1:$B$1000,0),MATCH(data!AO$1,Haver_M!$B$1:$ZN$1,0))),INDEX(Haver_M!$B$1:$ZN$1000,MATCH(data!$A137,Haver_M!$B$1:$B$1000,0),MATCH(data!AO$1,Haver_M!$B$1:$ZN$1,0)),"na")</f>
        <v>50.224400000000003</v>
      </c>
      <c r="AP137">
        <f>IF(ISNUMBER(INDEX(Haver_M!$B$1:$ZN$1000,MATCH(data!$A137,Haver_M!$B$1:$B$1000,0),MATCH(data!AP$1,Haver_M!$B$1:$ZN$1,0))),INDEX(Haver_M!$B$1:$ZN$1000,MATCH(data!$A137,Haver_M!$B$1:$B$1000,0),MATCH(data!AP$1,Haver_M!$B$1:$ZN$1,0)),"na")</f>
        <v>57.068300000000001</v>
      </c>
      <c r="AQ137">
        <f>IF(ISNUMBER(INDEX(Haver_M!$B$1:$ZN$1000,MATCH(data!$A137,Haver_M!$B$1:$B$1000,0),MATCH(data!AQ$1,Haver_M!$B$1:$ZN$1,0))),INDEX(Haver_M!$B$1:$ZN$1000,MATCH(data!$A137,Haver_M!$B$1:$B$1000,0),MATCH(data!AQ$1,Haver_M!$B$1:$ZN$1,0)),"na")</f>
        <v>57.298499999999997</v>
      </c>
      <c r="AR137">
        <f>IF(ISNUMBER(INDEX(Haver_M!$B$1:$ZN$1000,MATCH(data!$A137,Haver_M!$B$1:$B$1000,0),MATCH(data!AR$1,Haver_M!$B$1:$ZN$1,0))),INDEX(Haver_M!$B$1:$ZN$1000,MATCH(data!$A137,Haver_M!$B$1:$B$1000,0),MATCH(data!AR$1,Haver_M!$B$1:$ZN$1,0)),"na")</f>
        <v>54.174900000000001</v>
      </c>
      <c r="AS137">
        <f>IF(ISNUMBER(INDEX(Haver_M!$B$1:$ZN$1000,MATCH(data!$A137,Haver_M!$B$1:$B$1000,0),MATCH(data!AS$1,Haver_M!$B$1:$ZN$1,0))),INDEX(Haver_M!$B$1:$ZN$1000,MATCH(data!$A137,Haver_M!$B$1:$B$1000,0),MATCH(data!AS$1,Haver_M!$B$1:$ZN$1,0)),"na")</f>
        <v>37183.629999999997</v>
      </c>
      <c r="AT137">
        <f>IF(ISNUMBER(INDEX(Haver_M!$B$1:$ZN$1000,MATCH(data!$A137,Haver_M!$B$1:$B$1000,0),MATCH(data!AT$1,Haver_M!$B$1:$ZN$1,0))),INDEX(Haver_M!$B$1:$ZN$1000,MATCH(data!$A137,Haver_M!$B$1:$B$1000,0),MATCH(data!AT$1,Haver_M!$B$1:$ZN$1,0)),"na")</f>
        <v>95.366</v>
      </c>
      <c r="AU137">
        <f>IF(ISNUMBER(INDEX(Haver_M!$B$1:$ZN$1000,MATCH(data!$A137,Haver_M!$B$1:$B$1000,0),MATCH(data!AU$1,Haver_M!$B$1:$ZN$1,0))),INDEX(Haver_M!$B$1:$ZN$1000,MATCH(data!$A137,Haver_M!$B$1:$B$1000,0),MATCH(data!AU$1,Haver_M!$B$1:$ZN$1,0)),"na")</f>
        <v>93.595827</v>
      </c>
      <c r="AV137">
        <f>IF(ISNUMBER(INDEX(Haver_M!$B$1:$ZN$1000,MATCH(data!$A137,Haver_M!$B$1:$B$1000,0),MATCH(data!AV$1,Haver_M!$B$1:$ZN$1,0))),INDEX(Haver_M!$B$1:$ZN$1000,MATCH(data!$A137,Haver_M!$B$1:$B$1000,0),MATCH(data!AV$1,Haver_M!$B$1:$ZN$1,0)),"na")</f>
        <v>94.9</v>
      </c>
      <c r="AW137">
        <f>IF(ISNUMBER(INDEX(Haver_M!$B$1:$ZN$1000,MATCH(data!$A137,Haver_M!$B$1:$B$1000,0),MATCH(data!AW$1,Haver_M!$B$1:$ZN$1,0))),INDEX(Haver_M!$B$1:$ZN$1000,MATCH(data!$A137,Haver_M!$B$1:$B$1000,0),MATCH(data!AW$1,Haver_M!$B$1:$ZN$1,0)),"na")</f>
        <v>1033910.955986084</v>
      </c>
      <c r="AX137">
        <f>IF(ISNUMBER(INDEX(Haver_M!$B$1:$ZN$1000,MATCH(data!$A137,Haver_M!$B$1:$B$1000,0),MATCH(data!AX$1,Haver_M!$B$1:$ZN$1,0))),INDEX(Haver_M!$B$1:$ZN$1000,MATCH(data!$A137,Haver_M!$B$1:$B$1000,0),MATCH(data!AX$1,Haver_M!$B$1:$ZN$1,0)),"na")</f>
        <v>2568</v>
      </c>
      <c r="AY137">
        <f>IF(ISNUMBER(INDEX(Haver_M!$B$1:$ZN$1000,MATCH(data!$A137,Haver_M!$B$1:$B$1000,0),MATCH(data!AY$1,Haver_M!$B$1:$ZN$1,0))),INDEX(Haver_M!$B$1:$ZN$1000,MATCH(data!$A137,Haver_M!$B$1:$B$1000,0),MATCH(data!AY$1,Haver_M!$B$1:$ZN$1,0)),"na")</f>
        <v>1223</v>
      </c>
      <c r="AZ137">
        <f>IF(ISNUMBER(INDEX(Haver_M!$B$1:$ZN$1000,MATCH(data!$A137,Haver_M!$B$1:$B$1000,0),MATCH(data!AZ$1,Haver_M!$B$1:$ZN$1,0))),INDEX(Haver_M!$B$1:$ZN$1000,MATCH(data!$A137,Haver_M!$B$1:$B$1000,0),MATCH(data!AZ$1,Haver_M!$B$1:$ZN$1,0)),"na")</f>
        <v>53.3</v>
      </c>
      <c r="BA137">
        <f>IF(ISNUMBER(INDEX(Haver_M!$B$1:$ZN$1000,MATCH(data!$A137,Haver_M!$B$1:$B$1000,0),MATCH(data!BA$1,Haver_M!$B$1:$ZN$1,0))),INDEX(Haver_M!$B$1:$ZN$1000,MATCH(data!$A137,Haver_M!$B$1:$B$1000,0),MATCH(data!BA$1,Haver_M!$B$1:$ZN$1,0)),"na")</f>
        <v>62.086769639674564</v>
      </c>
      <c r="BB137" t="str">
        <f>IF(ISNUMBER(INDEX(Haver_M!$B$1:$ZN$1000,MATCH(data!$A137,Haver_M!$B$1:$B$1000,0),MATCH(data!BB$1,Haver_M!$B$1:$ZN$1,0))),INDEX(Haver_M!$B$1:$ZN$1000,MATCH(data!$A137,Haver_M!$B$1:$B$1000,0),MATCH(data!BB$1,Haver_M!$B$1:$ZN$1,0)),"")</f>
        <v/>
      </c>
    </row>
    <row r="138" spans="1:54" x14ac:dyDescent="0.25">
      <c r="A138" s="2">
        <v>40694</v>
      </c>
      <c r="B138" t="str">
        <f>IF(ISNUMBER(INDEX(Haver_Q!$B$1:$BD$1000,MATCH(data!$A138,Haver_Q!$B$1:$B$1000,0),MATCH(data!B$1,Haver_Q!$B$1:$BD$1,0))),100*INDEX(Haver_Q!$B$1:$BD$1000,MATCH(data!$A138,Haver_Q!$B$1:$B$1000,0),MATCH(data!B$1,Haver_Q!$B$1:$BD$1,0)),"na")</f>
        <v>na</v>
      </c>
      <c r="C138" t="str">
        <f>IF(ISNUMBER(INDEX(Haver_Q!$B$1:$BD$1000,MATCH(data!$A138,Haver_Q!$B$1:$B$1000,0),MATCH(data!C$1,Haver_Q!$B$1:$BD$1,0))),100*INDEX(Haver_Q!$B$1:$BD$1000,MATCH(data!$A138,Haver_Q!$B$1:$B$1000,0),MATCH(data!C$1,Haver_Q!$B$1:$BD$1,0)),"na")</f>
        <v>na</v>
      </c>
      <c r="D138" t="str">
        <f>IF(ISNUMBER(INDEX(Haver_Q!$B$1:$BD$1000,MATCH(data!$A138,Haver_Q!$B$1:$B$1000,0),MATCH(data!D$1,Haver_Q!$B$1:$BD$1,0))),100*INDEX(Haver_Q!$B$1:$BD$1000,MATCH(data!$A138,Haver_Q!$B$1:$B$1000,0),MATCH(data!D$1,Haver_Q!$B$1:$BD$1,0)),"na")</f>
        <v>na</v>
      </c>
      <c r="E138" t="str">
        <f>IF(ISNUMBER(INDEX(Haver_Q!$B$1:$BD$1000,MATCH(data!$A138,Haver_Q!$B$1:$B$1000,0),MATCH(data!E$1,Haver_Q!$B$1:$BD$1,0))),100*INDEX(Haver_Q!$B$1:$BD$1000,MATCH(data!$A138,Haver_Q!$B$1:$B$1000,0),MATCH(data!E$1,Haver_Q!$B$1:$BD$1,0)),"na")</f>
        <v>na</v>
      </c>
      <c r="F138" t="str">
        <f>IF(ISNUMBER(INDEX(Haver_Q!$B$1:$BD$1000,MATCH(data!$A138,Haver_Q!$B$1:$B$1000,0),MATCH(data!F$1,Haver_Q!$B$1:$BD$1,0))),100*INDEX(Haver_Q!$B$1:$BD$1000,MATCH(data!$A138,Haver_Q!$B$1:$B$1000,0),MATCH(data!F$1,Haver_Q!$B$1:$BD$1,0)),"na")</f>
        <v>na</v>
      </c>
      <c r="G138" t="str">
        <f>IF(ISNUMBER(INDEX(Haver_Q!$B$1:$BD$1000,MATCH(data!$A138,Haver_Q!$B$1:$B$1000,0),MATCH(data!G$1,Haver_Q!$B$1:$BD$1,0))),100*INDEX(Haver_Q!$B$1:$BD$1000,MATCH(data!$A138,Haver_Q!$B$1:$B$1000,0),MATCH(data!G$1,Haver_Q!$B$1:$BD$1,0)),"na")</f>
        <v>na</v>
      </c>
      <c r="H138" t="str">
        <f>IF(ISNUMBER(INDEX(Haver_Q!$B$1:$BD$1000,MATCH(data!$A138,Haver_Q!$B$1:$B$1000,0),MATCH(data!H$1,Haver_Q!$B$1:$BD$1,0))),100*INDEX(Haver_Q!$B$1:$BD$1000,MATCH(data!$A138,Haver_Q!$B$1:$B$1000,0),MATCH(data!H$1,Haver_Q!$B$1:$BD$1,0)),"na")</f>
        <v>na</v>
      </c>
      <c r="I138" s="3">
        <f>IF(ISNUMBER(Bloomberg_m!C154),Bloomberg_m!C154,"na")</f>
        <v>1352</v>
      </c>
      <c r="J138" s="3" t="str">
        <f>IF(ISNUMBER(Bloomberg_m!D154),Bloomberg_m!D154,"na")</f>
        <v>na</v>
      </c>
      <c r="K138" s="3">
        <f>IF(ISNUMBER(Bloomberg_m!E154),Bloomberg_m!E154,"na")</f>
        <v>1072.48</v>
      </c>
      <c r="L138" s="3">
        <f>IF(ISNUMBER(Bloomberg_m!L154),Bloomberg_m!L154,"na")</f>
        <v>101.28</v>
      </c>
      <c r="M138">
        <f>IF(ISNUMBER(INDEX(Haver_M!$B$1:$ZN$1000,MATCH(data!$A138,Haver_M!$B$1:$B$1000,0),MATCH(data!M$1,Haver_M!$B$1:$ZN$1,0))),INDEX(Haver_M!$B$1:$ZN$1000,MATCH(data!$A138,Haver_M!$B$1:$B$1000,0),MATCH(data!M$1,Haver_M!$B$1:$ZN$1,0)),"na")</f>
        <v>4.5</v>
      </c>
      <c r="N138">
        <f>IF(ISNUMBER(INDEX(Haver_M!$B$1:$ZN$1000,MATCH(data!$A138,Haver_M!$B$1:$B$1000,0),MATCH(data!N$1,Haver_M!$B$1:$ZN$1,0))),INDEX(Haver_M!$B$1:$ZN$1000,MATCH(data!$A138,Haver_M!$B$1:$B$1000,0),MATCH(data!N$1,Haver_M!$B$1:$ZN$1,0)),"na")</f>
        <v>7.1105999999999998</v>
      </c>
      <c r="O138">
        <f>IF(ISNUMBER(INDEX(Haver_M!$B$1:$ZN$1000,MATCH(data!$A138,Haver_M!$B$1:$B$1000,0),MATCH(data!O$1,Haver_M!$B$1:$ZN$1,0))),INDEX(Haver_M!$B$1:$ZN$1000,MATCH(data!$A138,Haver_M!$B$1:$B$1000,0),MATCH(data!O$1,Haver_M!$B$1:$ZN$1,0)),"na")</f>
        <v>103.78578</v>
      </c>
      <c r="P138">
        <f>IF(ISNUMBER(INDEX(Haver_M!$B$1:$ZN$1000,MATCH(data!$A138,Haver_M!$B$1:$B$1000,0),MATCH(data!P$1,Haver_M!$B$1:$ZN$1,0))),INDEX(Haver_M!$B$1:$ZN$1000,MATCH(data!$A138,Haver_M!$B$1:$B$1000,0),MATCH(data!P$1,Haver_M!$B$1:$ZN$1,0)),"na")</f>
        <v>75.470699999999994</v>
      </c>
      <c r="Q138">
        <f>IF(ISNUMBER(INDEX(Haver_M!$B$1:$ZN$1000,MATCH(data!$A138,Haver_M!$B$1:$B$1000,0),MATCH(data!Q$1,Haver_M!$B$1:$ZN$1,0))),INDEX(Haver_M!$B$1:$ZN$1000,MATCH(data!$A138,Haver_M!$B$1:$B$1000,0),MATCH(data!Q$1,Haver_M!$B$1:$ZN$1,0)),"na")</f>
        <v>79.193200000000004</v>
      </c>
      <c r="R138">
        <f>IF(ISNUMBER(INDEX(Haver_M!$B$1:$ZN$1000,MATCH(data!$A138,Haver_M!$B$1:$B$1000,0),MATCH(data!R$1,Haver_M!$B$1:$ZN$1,0))),INDEX(Haver_M!$B$1:$ZN$1000,MATCH(data!$A138,Haver_M!$B$1:$B$1000,0),MATCH(data!R$1,Haver_M!$B$1:$ZN$1,0)),"na")</f>
        <v>96.962299999999999</v>
      </c>
      <c r="S138">
        <f>IF(ISNUMBER(INDEX(Haver_M!$B$1:$ZN$1000,MATCH(data!$A138,Haver_M!$B$1:$B$1000,0),MATCH(data!S$1,Haver_M!$B$1:$ZN$1,0))),INDEX(Haver_M!$B$1:$ZN$1000,MATCH(data!$A138,Haver_M!$B$1:$B$1000,0),MATCH(data!S$1,Haver_M!$B$1:$ZN$1,0)),"na")</f>
        <v>99.367599999999996</v>
      </c>
      <c r="T138">
        <f>IF(ISNUMBER(INDEX(Haver_M!$B$1:$ZN$1000,MATCH(data!$A138,Haver_M!$B$1:$B$1000,0),MATCH(data!T$1,Haver_M!$B$1:$ZN$1,0))),INDEX(Haver_M!$B$1:$ZN$1000,MATCH(data!$A138,Haver_M!$B$1:$B$1000,0),MATCH(data!T$1,Haver_M!$B$1:$ZN$1,0)),"na")</f>
        <v>97.209400000000002</v>
      </c>
      <c r="U138">
        <f>IF(ISNUMBER(INDEX(Haver_M!$B$1:$ZN$1000,MATCH(data!$A138,Haver_M!$B$1:$B$1000,0),MATCH(data!U$1,Haver_M!$B$1:$ZN$1,0))),INDEX(Haver_M!$B$1:$ZN$1000,MATCH(data!$A138,Haver_M!$B$1:$B$1000,0),MATCH(data!U$1,Haver_M!$B$1:$ZN$1,0)),"na")</f>
        <v>97.258099999999999</v>
      </c>
      <c r="V138">
        <f>IF(ISNUMBER(INDEX(Haver_M!$B$1:$ZN$1000,MATCH(data!$A138,Haver_M!$B$1:$B$1000,0),MATCH(data!V$1,Haver_M!$B$1:$ZN$1,0))),INDEX(Haver_M!$B$1:$ZN$1000,MATCH(data!$A138,Haver_M!$B$1:$B$1000,0),MATCH(data!V$1,Haver_M!$B$1:$ZN$1,0)),"na")</f>
        <v>95.421999999999997</v>
      </c>
      <c r="W138">
        <f>IF(ISNUMBER(INDEX(Haver_M!$B$1:$ZN$1000,MATCH(data!$A138,Haver_M!$B$1:$B$1000,0),MATCH(data!W$1,Haver_M!$B$1:$ZN$1,0))),INDEX(Haver_M!$B$1:$ZN$1000,MATCH(data!$A138,Haver_M!$B$1:$B$1000,0),MATCH(data!W$1,Haver_M!$B$1:$ZN$1,0)),"na")</f>
        <v>5.35</v>
      </c>
      <c r="X138">
        <f>IF(ISNUMBER(INDEX(Haver_M!$B$1:$ZN$1000,MATCH(data!$A138,Haver_M!$B$1:$B$1000,0),MATCH(data!X$1,Haver_M!$B$1:$ZN$1,0))),INDEX(Haver_M!$B$1:$ZN$1000,MATCH(data!$A138,Haver_M!$B$1:$B$1000,0),MATCH(data!X$1,Haver_M!$B$1:$ZN$1,0)),"na")</f>
        <v>99.41</v>
      </c>
      <c r="Y138">
        <f>IF(ISNUMBER(INDEX(Haver_M!$B$1:$ZN$1000,MATCH(data!$A138,Haver_M!$B$1:$B$1000,0),MATCH(data!Y$1,Haver_M!$B$1:$ZN$1,0))),INDEX(Haver_M!$B$1:$ZN$1000,MATCH(data!$A138,Haver_M!$B$1:$B$1000,0),MATCH(data!Y$1,Haver_M!$B$1:$ZN$1,0)),"na")</f>
        <v>101.1</v>
      </c>
      <c r="Z138">
        <f>IF(ISNUMBER(INDEX(Haver_M!$B$1:$ZN$1000,MATCH(data!$A138,Haver_M!$B$1:$B$1000,0),MATCH(data!Z$1,Haver_M!$B$1:$ZN$1,0))),INDEX(Haver_M!$B$1:$ZN$1000,MATCH(data!$A138,Haver_M!$B$1:$B$1000,0),MATCH(data!Z$1,Haver_M!$B$1:$ZN$1,0)),"na")</f>
        <v>95.507900000000006</v>
      </c>
      <c r="AA138">
        <f>IF(ISNUMBER(INDEX(Haver_M!$B$1:$ZN$1000,MATCH(data!$A138,Haver_M!$B$1:$B$1000,0),MATCH(data!AA$1,Haver_M!$B$1:$ZN$1,0))),INDEX(Haver_M!$B$1:$ZN$1000,MATCH(data!$A138,Haver_M!$B$1:$B$1000,0),MATCH(data!AA$1,Haver_M!$B$1:$ZN$1,0)),"na")</f>
        <v>92.837999999999994</v>
      </c>
      <c r="AB138">
        <f>IF(ISNUMBER(INDEX(Haver_M!$B$1:$ZN$1000,MATCH(data!$A138,Haver_M!$B$1:$B$1000,0),MATCH(data!AB$1,Haver_M!$B$1:$ZN$1,0))),INDEX(Haver_M!$B$1:$ZN$1000,MATCH(data!$A138,Haver_M!$B$1:$B$1000,0),MATCH(data!AB$1,Haver_M!$B$1:$ZN$1,0)),"na")</f>
        <v>29418.3</v>
      </c>
      <c r="AC138">
        <f>IF(ISNUMBER(INDEX(Haver_M!$B$1:$ZN$1000,MATCH(data!$A138,Haver_M!$B$1:$B$1000,0),MATCH(data!AC$1,Haver_M!$B$1:$ZN$1,0))),INDEX(Haver_M!$B$1:$ZN$1000,MATCH(data!$A138,Haver_M!$B$1:$B$1000,0),MATCH(data!AC$1,Haver_M!$B$1:$ZN$1,0)),"na")</f>
        <v>29354.7</v>
      </c>
      <c r="AD138">
        <f>IF(ISNUMBER(INDEX(Haver_M!$B$1:$ZN$1000,MATCH(data!$A138,Haver_M!$B$1:$B$1000,0),MATCH(data!AD$1,Haver_M!$B$1:$ZN$1,0))),INDEX(Haver_M!$B$1:$ZN$1000,MATCH(data!$A138,Haver_M!$B$1:$B$1000,0),MATCH(data!AD$1,Haver_M!$B$1:$ZN$1,0)),"na")</f>
        <v>99.79</v>
      </c>
      <c r="AE138">
        <f>IF(ISNUMBER(INDEX(Haver_M!$B$1:$ZN$1000,MATCH(data!$A138,Haver_M!$B$1:$B$1000,0),MATCH(data!AE$1,Haver_M!$B$1:$ZN$1,0))),INDEX(Haver_M!$B$1:$ZN$1000,MATCH(data!$A138,Haver_M!$B$1:$B$1000,0),MATCH(data!AE$1,Haver_M!$B$1:$ZN$1,0)),"na")</f>
        <v>37.700000000000003</v>
      </c>
      <c r="AF138">
        <f>IF(ISNUMBER(INDEX(Haver_M!$B$1:$ZN$1000,MATCH(data!$A138,Haver_M!$B$1:$B$1000,0),MATCH(data!AF$1,Haver_M!$B$1:$ZN$1,0))),INDEX(Haver_M!$B$1:$ZN$1000,MATCH(data!$A138,Haver_M!$B$1:$B$1000,0),MATCH(data!AF$1,Haver_M!$B$1:$ZN$1,0)),"na")</f>
        <v>101.35</v>
      </c>
      <c r="AG138">
        <f>IF(ISNUMBER(INDEX(Haver_M!$B$1:$ZN$1000,MATCH(data!$A138,Haver_M!$B$1:$B$1000,0),MATCH(data!AG$1,Haver_M!$B$1:$ZN$1,0))),INDEX(Haver_M!$B$1:$ZN$1000,MATCH(data!$A138,Haver_M!$B$1:$B$1000,0),MATCH(data!AG$1,Haver_M!$B$1:$ZN$1,0)),"na")</f>
        <v>54.552500000000002</v>
      </c>
      <c r="AH138">
        <f>IF(ISNUMBER(INDEX(Haver_M!$B$1:$ZN$1000,MATCH(data!$A138,Haver_M!$B$1:$B$1000,0),MATCH(data!AH$1,Haver_M!$B$1:$ZN$1,0))),INDEX(Haver_M!$B$1:$ZN$1000,MATCH(data!$A138,Haver_M!$B$1:$B$1000,0),MATCH(data!AH$1,Haver_M!$B$1:$ZN$1,0)),"na")</f>
        <v>57.455300000000001</v>
      </c>
      <c r="AI138">
        <f>IF(ISNUMBER(INDEX(Haver_M!$B$1:$ZN$1000,MATCH(data!$A138,Haver_M!$B$1:$B$1000,0),MATCH(data!AI$1,Haver_M!$B$1:$ZN$1,0))),INDEX(Haver_M!$B$1:$ZN$1000,MATCH(data!$A138,Haver_M!$B$1:$B$1000,0),MATCH(data!AI$1,Haver_M!$B$1:$ZN$1,0)),"na")</f>
        <v>56.394100000000002</v>
      </c>
      <c r="AJ138">
        <f>IF(ISNUMBER(INDEX(Haver_M!$B$1:$ZN$1000,MATCH(data!$A138,Haver_M!$B$1:$B$1000,0),MATCH(data!AJ$1,Haver_M!$B$1:$ZN$1,0))),INDEX(Haver_M!$B$1:$ZN$1000,MATCH(data!$A138,Haver_M!$B$1:$B$1000,0),MATCH(data!AJ$1,Haver_M!$B$1:$ZN$1,0)),"na")</f>
        <v>53.74</v>
      </c>
      <c r="AK138">
        <f>IF(ISNUMBER(INDEX(Haver_M!$B$1:$ZN$1000,MATCH(data!$A138,Haver_M!$B$1:$B$1000,0),MATCH(data!AK$1,Haver_M!$B$1:$ZN$1,0))),INDEX(Haver_M!$B$1:$ZN$1000,MATCH(data!$A138,Haver_M!$B$1:$B$1000,0),MATCH(data!AK$1,Haver_M!$B$1:$ZN$1,0)),"na")</f>
        <v>49.47</v>
      </c>
      <c r="AL138">
        <f>IF(ISNUMBER(INDEX(Haver_M!$B$1:$ZN$1000,MATCH(data!$A138,Haver_M!$B$1:$B$1000,0),MATCH(data!AL$1,Haver_M!$B$1:$ZN$1,0))),INDEX(Haver_M!$B$1:$ZN$1000,MATCH(data!$A138,Haver_M!$B$1:$B$1000,0),MATCH(data!AL$1,Haver_M!$B$1:$ZN$1,0)),"na")</f>
        <v>49.429200000000002</v>
      </c>
      <c r="AM138">
        <f>IF(ISNUMBER(INDEX(Haver_M!$B$1:$ZN$1000,MATCH(data!$A138,Haver_M!$B$1:$B$1000,0),MATCH(data!AM$1,Haver_M!$B$1:$ZN$1,0))),INDEX(Haver_M!$B$1:$ZN$1000,MATCH(data!$A138,Haver_M!$B$1:$B$1000,0),MATCH(data!AM$1,Haver_M!$B$1:$ZN$1,0)),"na")</f>
        <v>58.466200000000001</v>
      </c>
      <c r="AN138">
        <f>IF(ISNUMBER(INDEX(Haver_M!$B$1:$ZN$1000,MATCH(data!$A138,Haver_M!$B$1:$B$1000,0),MATCH(data!AN$1,Haver_M!$B$1:$ZN$1,0))),INDEX(Haver_M!$B$1:$ZN$1000,MATCH(data!$A138,Haver_M!$B$1:$B$1000,0),MATCH(data!AN$1,Haver_M!$B$1:$ZN$1,0)),"na")</f>
        <v>55.165900000000001</v>
      </c>
      <c r="AO138">
        <f>IF(ISNUMBER(INDEX(Haver_M!$B$1:$ZN$1000,MATCH(data!$A138,Haver_M!$B$1:$B$1000,0),MATCH(data!AO$1,Haver_M!$B$1:$ZN$1,0))),INDEX(Haver_M!$B$1:$ZN$1000,MATCH(data!$A138,Haver_M!$B$1:$B$1000,0),MATCH(data!AO$1,Haver_M!$B$1:$ZN$1,0)),"na")</f>
        <v>49.429200000000002</v>
      </c>
      <c r="AP138">
        <f>IF(ISNUMBER(INDEX(Haver_M!$B$1:$ZN$1000,MATCH(data!$A138,Haver_M!$B$1:$B$1000,0),MATCH(data!AP$1,Haver_M!$B$1:$ZN$1,0))),INDEX(Haver_M!$B$1:$ZN$1000,MATCH(data!$A138,Haver_M!$B$1:$B$1000,0),MATCH(data!AP$1,Haver_M!$B$1:$ZN$1,0)),"na")</f>
        <v>56.117100000000001</v>
      </c>
      <c r="AQ138">
        <f>IF(ISNUMBER(INDEX(Haver_M!$B$1:$ZN$1000,MATCH(data!$A138,Haver_M!$B$1:$B$1000,0),MATCH(data!AQ$1,Haver_M!$B$1:$ZN$1,0))),INDEX(Haver_M!$B$1:$ZN$1000,MATCH(data!$A138,Haver_M!$B$1:$B$1000,0),MATCH(data!AQ$1,Haver_M!$B$1:$ZN$1,0)),"na")</f>
        <v>56.720100000000002</v>
      </c>
      <c r="AR138">
        <f>IF(ISNUMBER(INDEX(Haver_M!$B$1:$ZN$1000,MATCH(data!$A138,Haver_M!$B$1:$B$1000,0),MATCH(data!AR$1,Haver_M!$B$1:$ZN$1,0))),INDEX(Haver_M!$B$1:$ZN$1000,MATCH(data!$A138,Haver_M!$B$1:$B$1000,0),MATCH(data!AR$1,Haver_M!$B$1:$ZN$1,0)),"na")</f>
        <v>49.707599999999999</v>
      </c>
      <c r="AS138">
        <f>IF(ISNUMBER(INDEX(Haver_M!$B$1:$ZN$1000,MATCH(data!$A138,Haver_M!$B$1:$B$1000,0),MATCH(data!AS$1,Haver_M!$B$1:$ZN$1,0))),INDEX(Haver_M!$B$1:$ZN$1000,MATCH(data!$A138,Haver_M!$B$1:$B$1000,0),MATCH(data!AS$1,Haver_M!$B$1:$ZN$1,0)),"na")</f>
        <v>35467.57</v>
      </c>
      <c r="AT138">
        <f>IF(ISNUMBER(INDEX(Haver_M!$B$1:$ZN$1000,MATCH(data!$A138,Haver_M!$B$1:$B$1000,0),MATCH(data!AT$1,Haver_M!$B$1:$ZN$1,0))),INDEX(Haver_M!$B$1:$ZN$1000,MATCH(data!$A138,Haver_M!$B$1:$B$1000,0),MATCH(data!AT$1,Haver_M!$B$1:$ZN$1,0)),"na")</f>
        <v>95.631</v>
      </c>
      <c r="AU138">
        <f>IF(ISNUMBER(INDEX(Haver_M!$B$1:$ZN$1000,MATCH(data!$A138,Haver_M!$B$1:$B$1000,0),MATCH(data!AU$1,Haver_M!$B$1:$ZN$1,0))),INDEX(Haver_M!$B$1:$ZN$1000,MATCH(data!$A138,Haver_M!$B$1:$B$1000,0),MATCH(data!AU$1,Haver_M!$B$1:$ZN$1,0)),"na")</f>
        <v>94.506471000000005</v>
      </c>
      <c r="AV138">
        <f>IF(ISNUMBER(INDEX(Haver_M!$B$1:$ZN$1000,MATCH(data!$A138,Haver_M!$B$1:$B$1000,0),MATCH(data!AV$1,Haver_M!$B$1:$ZN$1,0))),INDEX(Haver_M!$B$1:$ZN$1000,MATCH(data!$A138,Haver_M!$B$1:$B$1000,0),MATCH(data!AV$1,Haver_M!$B$1:$ZN$1,0)),"na")</f>
        <v>96.9</v>
      </c>
      <c r="AW138">
        <f>IF(ISNUMBER(INDEX(Haver_M!$B$1:$ZN$1000,MATCH(data!$A138,Haver_M!$B$1:$B$1000,0),MATCH(data!AW$1,Haver_M!$B$1:$ZN$1,0))),INDEX(Haver_M!$B$1:$ZN$1000,MATCH(data!$A138,Haver_M!$B$1:$B$1000,0),MATCH(data!AW$1,Haver_M!$B$1:$ZN$1,0)),"na")</f>
        <v>979045.51500930323</v>
      </c>
      <c r="AX138">
        <f>IF(ISNUMBER(INDEX(Haver_M!$B$1:$ZN$1000,MATCH(data!$A138,Haver_M!$B$1:$B$1000,0),MATCH(data!AX$1,Haver_M!$B$1:$ZN$1,0))),INDEX(Haver_M!$B$1:$ZN$1000,MATCH(data!$A138,Haver_M!$B$1:$B$1000,0),MATCH(data!AX$1,Haver_M!$B$1:$ZN$1,0)),"na")</f>
        <v>2557</v>
      </c>
      <c r="AY138">
        <f>IF(ISNUMBER(INDEX(Haver_M!$B$1:$ZN$1000,MATCH(data!$A138,Haver_M!$B$1:$B$1000,0),MATCH(data!AY$1,Haver_M!$B$1:$ZN$1,0))),INDEX(Haver_M!$B$1:$ZN$1000,MATCH(data!$A138,Haver_M!$B$1:$B$1000,0),MATCH(data!AY$1,Haver_M!$B$1:$ZN$1,0)),"na")</f>
        <v>1368</v>
      </c>
      <c r="AZ138">
        <f>IF(ISNUMBER(INDEX(Haver_M!$B$1:$ZN$1000,MATCH(data!$A138,Haver_M!$B$1:$B$1000,0),MATCH(data!AZ$1,Haver_M!$B$1:$ZN$1,0))),INDEX(Haver_M!$B$1:$ZN$1000,MATCH(data!$A138,Haver_M!$B$1:$B$1000,0),MATCH(data!AZ$1,Haver_M!$B$1:$ZN$1,0)),"na")</f>
        <v>54.6</v>
      </c>
      <c r="BA138">
        <f>IF(ISNUMBER(INDEX(Haver_M!$B$1:$ZN$1000,MATCH(data!$A138,Haver_M!$B$1:$B$1000,0),MATCH(data!BA$1,Haver_M!$B$1:$ZN$1,0))),INDEX(Haver_M!$B$1:$ZN$1000,MATCH(data!$A138,Haver_M!$B$1:$B$1000,0),MATCH(data!BA$1,Haver_M!$B$1:$ZN$1,0)),"na")</f>
        <v>44.460990644478485</v>
      </c>
      <c r="BB138" t="str">
        <f>IF(ISNUMBER(INDEX(Haver_M!$B$1:$ZN$1000,MATCH(data!$A138,Haver_M!$B$1:$B$1000,0),MATCH(data!BB$1,Haver_M!$B$1:$ZN$1,0))),INDEX(Haver_M!$B$1:$ZN$1000,MATCH(data!$A138,Haver_M!$B$1:$B$1000,0),MATCH(data!BB$1,Haver_M!$B$1:$ZN$1,0)),"")</f>
        <v/>
      </c>
    </row>
    <row r="139" spans="1:54" x14ac:dyDescent="0.25">
      <c r="A139" s="2">
        <v>40724</v>
      </c>
      <c r="B139">
        <f>IF(ISNUMBER(INDEX(Haver_Q!$B$1:$BD$1000,MATCH(data!$A139,Haver_Q!$B$1:$B$1000,0),MATCH(data!B$1,Haver_Q!$B$1:$BD$1,0))),100*INDEX(Haver_Q!$B$1:$BD$1000,MATCH(data!$A139,Haver_Q!$B$1:$B$1000,0),MATCH(data!B$1,Haver_Q!$B$1:$BD$1,0)),"na")</f>
        <v>1.9767200005266883</v>
      </c>
      <c r="C139">
        <f>IF(ISNUMBER(INDEX(Haver_Q!$B$1:$BD$1000,MATCH(data!$A139,Haver_Q!$B$1:$B$1000,0),MATCH(data!C$1,Haver_Q!$B$1:$BD$1,0))),100*INDEX(Haver_Q!$B$1:$BD$1000,MATCH(data!$A139,Haver_Q!$B$1:$B$1000,0),MATCH(data!C$1,Haver_Q!$B$1:$BD$1,0)),"na")</f>
        <v>3.0609592545110642</v>
      </c>
      <c r="D139">
        <f>IF(ISNUMBER(INDEX(Haver_Q!$B$1:$BD$1000,MATCH(data!$A139,Haver_Q!$B$1:$B$1000,0),MATCH(data!D$1,Haver_Q!$B$1:$BD$1,0))),100*INDEX(Haver_Q!$B$1:$BD$1000,MATCH(data!$A139,Haver_Q!$B$1:$B$1000,0),MATCH(data!D$1,Haver_Q!$B$1:$BD$1,0)),"na")</f>
        <v>6.2182958809168243</v>
      </c>
      <c r="E139">
        <f>IF(ISNUMBER(INDEX(Haver_Q!$B$1:$BD$1000,MATCH(data!$A139,Haver_Q!$B$1:$B$1000,0),MATCH(data!E$1,Haver_Q!$B$1:$BD$1,0))),100*INDEX(Haver_Q!$B$1:$BD$1000,MATCH(data!$A139,Haver_Q!$B$1:$B$1000,0),MATCH(data!E$1,Haver_Q!$B$1:$BD$1,0)),"na")</f>
        <v>19.866619182776923</v>
      </c>
      <c r="F139">
        <f>IF(ISNUMBER(INDEX(Haver_Q!$B$1:$BD$1000,MATCH(data!$A139,Haver_Q!$B$1:$B$1000,0),MATCH(data!F$1,Haver_Q!$B$1:$BD$1,0))),100*INDEX(Haver_Q!$B$1:$BD$1000,MATCH(data!$A139,Haver_Q!$B$1:$B$1000,0),MATCH(data!F$1,Haver_Q!$B$1:$BD$1,0)),"na")</f>
        <v>-1.7623300894490934</v>
      </c>
      <c r="G139">
        <f>IF(ISNUMBER(INDEX(Haver_Q!$B$1:$BD$1000,MATCH(data!$A139,Haver_Q!$B$1:$B$1000,0),MATCH(data!G$1,Haver_Q!$B$1:$BD$1,0))),100*INDEX(Haver_Q!$B$1:$BD$1000,MATCH(data!$A139,Haver_Q!$B$1:$B$1000,0),MATCH(data!G$1,Haver_Q!$B$1:$BD$1,0)),"na")</f>
        <v>0.18053157585071755</v>
      </c>
      <c r="H139">
        <f>IF(ISNUMBER(INDEX(Haver_Q!$B$1:$BD$1000,MATCH(data!$A139,Haver_Q!$B$1:$B$1000,0),MATCH(data!H$1,Haver_Q!$B$1:$BD$1,0))),100*INDEX(Haver_Q!$B$1:$BD$1000,MATCH(data!$A139,Haver_Q!$B$1:$B$1000,0),MATCH(data!H$1,Haver_Q!$B$1:$BD$1,0)),"na")</f>
        <v>325.39486140839841</v>
      </c>
      <c r="I139" s="3">
        <f>IF(ISNUMBER(Bloomberg_m!C155),Bloomberg_m!C155,"na")</f>
        <v>1433</v>
      </c>
      <c r="J139" s="3">
        <f>IF(ISNUMBER(Bloomberg_m!D155),Bloomberg_m!D155,"na")</f>
        <v>1599.44</v>
      </c>
      <c r="K139" s="3">
        <f>IF(ISNUMBER(Bloomberg_m!E155),Bloomberg_m!E155,"na")</f>
        <v>1039.4100000000001</v>
      </c>
      <c r="L139" s="3">
        <f>IF(ISNUMBER(Bloomberg_m!L155),Bloomberg_m!L155,"na")</f>
        <v>96.25</v>
      </c>
      <c r="M139">
        <f>IF(ISNUMBER(INDEX(Haver_M!$B$1:$ZN$1000,MATCH(data!$A139,Haver_M!$B$1:$B$1000,0),MATCH(data!M$1,Haver_M!$B$1:$ZN$1,0))),INDEX(Haver_M!$B$1:$ZN$1000,MATCH(data!$A139,Haver_M!$B$1:$B$1000,0),MATCH(data!M$1,Haver_M!$B$1:$ZN$1,0)),"na")</f>
        <v>4.5</v>
      </c>
      <c r="N139">
        <f>IF(ISNUMBER(INDEX(Haver_M!$B$1:$ZN$1000,MATCH(data!$A139,Haver_M!$B$1:$B$1000,0),MATCH(data!N$1,Haver_M!$B$1:$ZN$1,0))),INDEX(Haver_M!$B$1:$ZN$1000,MATCH(data!$A139,Haver_M!$B$1:$B$1000,0),MATCH(data!N$1,Haver_M!$B$1:$ZN$1,0)),"na")</f>
        <v>6.9493</v>
      </c>
      <c r="O139">
        <f>IF(ISNUMBER(INDEX(Haver_M!$B$1:$ZN$1000,MATCH(data!$A139,Haver_M!$B$1:$B$1000,0),MATCH(data!O$1,Haver_M!$B$1:$ZN$1,0))),INDEX(Haver_M!$B$1:$ZN$1000,MATCH(data!$A139,Haver_M!$B$1:$B$1000,0),MATCH(data!O$1,Haver_M!$B$1:$ZN$1,0)),"na")</f>
        <v>102.19238</v>
      </c>
      <c r="P139">
        <f>IF(ISNUMBER(INDEX(Haver_M!$B$1:$ZN$1000,MATCH(data!$A139,Haver_M!$B$1:$B$1000,0),MATCH(data!P$1,Haver_M!$B$1:$ZN$1,0))),INDEX(Haver_M!$B$1:$ZN$1000,MATCH(data!$A139,Haver_M!$B$1:$B$1000,0),MATCH(data!P$1,Haver_M!$B$1:$ZN$1,0)),"na")</f>
        <v>75.611699999999999</v>
      </c>
      <c r="Q139">
        <f>IF(ISNUMBER(INDEX(Haver_M!$B$1:$ZN$1000,MATCH(data!$A139,Haver_M!$B$1:$B$1000,0),MATCH(data!Q$1,Haver_M!$B$1:$ZN$1,0))),INDEX(Haver_M!$B$1:$ZN$1000,MATCH(data!$A139,Haver_M!$B$1:$B$1000,0),MATCH(data!Q$1,Haver_M!$B$1:$ZN$1,0)),"na")</f>
        <v>79.407899999999998</v>
      </c>
      <c r="R139">
        <f>IF(ISNUMBER(INDEX(Haver_M!$B$1:$ZN$1000,MATCH(data!$A139,Haver_M!$B$1:$B$1000,0),MATCH(data!R$1,Haver_M!$B$1:$ZN$1,0))),INDEX(Haver_M!$B$1:$ZN$1000,MATCH(data!$A139,Haver_M!$B$1:$B$1000,0),MATCH(data!R$1,Haver_M!$B$1:$ZN$1,0)),"na")</f>
        <v>97.878500000000003</v>
      </c>
      <c r="S139">
        <f>IF(ISNUMBER(INDEX(Haver_M!$B$1:$ZN$1000,MATCH(data!$A139,Haver_M!$B$1:$B$1000,0),MATCH(data!S$1,Haver_M!$B$1:$ZN$1,0))),INDEX(Haver_M!$B$1:$ZN$1000,MATCH(data!$A139,Haver_M!$B$1:$B$1000,0),MATCH(data!S$1,Haver_M!$B$1:$ZN$1,0)),"na")</f>
        <v>99.739400000000003</v>
      </c>
      <c r="T139">
        <f>IF(ISNUMBER(INDEX(Haver_M!$B$1:$ZN$1000,MATCH(data!$A139,Haver_M!$B$1:$B$1000,0),MATCH(data!T$1,Haver_M!$B$1:$ZN$1,0))),INDEX(Haver_M!$B$1:$ZN$1000,MATCH(data!$A139,Haver_M!$B$1:$B$1000,0),MATCH(data!T$1,Haver_M!$B$1:$ZN$1,0)),"na")</f>
        <v>97.929500000000004</v>
      </c>
      <c r="U139">
        <f>IF(ISNUMBER(INDEX(Haver_M!$B$1:$ZN$1000,MATCH(data!$A139,Haver_M!$B$1:$B$1000,0),MATCH(data!U$1,Haver_M!$B$1:$ZN$1,0))),INDEX(Haver_M!$B$1:$ZN$1000,MATCH(data!$A139,Haver_M!$B$1:$B$1000,0),MATCH(data!U$1,Haver_M!$B$1:$ZN$1,0)),"na")</f>
        <v>103.1896</v>
      </c>
      <c r="V139">
        <f>IF(ISNUMBER(INDEX(Haver_M!$B$1:$ZN$1000,MATCH(data!$A139,Haver_M!$B$1:$B$1000,0),MATCH(data!V$1,Haver_M!$B$1:$ZN$1,0))),INDEX(Haver_M!$B$1:$ZN$1000,MATCH(data!$A139,Haver_M!$B$1:$B$1000,0),MATCH(data!V$1,Haver_M!$B$1:$ZN$1,0)),"na")</f>
        <v>94.977900000000005</v>
      </c>
      <c r="W139">
        <f>IF(ISNUMBER(INDEX(Haver_M!$B$1:$ZN$1000,MATCH(data!$A139,Haver_M!$B$1:$B$1000,0),MATCH(data!W$1,Haver_M!$B$1:$ZN$1,0))),INDEX(Haver_M!$B$1:$ZN$1000,MATCH(data!$A139,Haver_M!$B$1:$B$1000,0),MATCH(data!W$1,Haver_M!$B$1:$ZN$1,0)),"na")</f>
        <v>5.51</v>
      </c>
      <c r="X139">
        <f>IF(ISNUMBER(INDEX(Haver_M!$B$1:$ZN$1000,MATCH(data!$A139,Haver_M!$B$1:$B$1000,0),MATCH(data!X$1,Haver_M!$B$1:$ZN$1,0))),INDEX(Haver_M!$B$1:$ZN$1000,MATCH(data!$A139,Haver_M!$B$1:$B$1000,0),MATCH(data!X$1,Haver_M!$B$1:$ZN$1,0)),"na")</f>
        <v>99.39</v>
      </c>
      <c r="Y139">
        <f>IF(ISNUMBER(INDEX(Haver_M!$B$1:$ZN$1000,MATCH(data!$A139,Haver_M!$B$1:$B$1000,0),MATCH(data!Y$1,Haver_M!$B$1:$ZN$1,0))),INDEX(Haver_M!$B$1:$ZN$1000,MATCH(data!$A139,Haver_M!$B$1:$B$1000,0),MATCH(data!Y$1,Haver_M!$B$1:$ZN$1,0)),"na")</f>
        <v>100.95</v>
      </c>
      <c r="Z139">
        <f>IF(ISNUMBER(INDEX(Haver_M!$B$1:$ZN$1000,MATCH(data!$A139,Haver_M!$B$1:$B$1000,0),MATCH(data!Z$1,Haver_M!$B$1:$ZN$1,0))),INDEX(Haver_M!$B$1:$ZN$1000,MATCH(data!$A139,Haver_M!$B$1:$B$1000,0),MATCH(data!Z$1,Haver_M!$B$1:$ZN$1,0)),"na")</f>
        <v>95.555400000000006</v>
      </c>
      <c r="AA139">
        <f>IF(ISNUMBER(INDEX(Haver_M!$B$1:$ZN$1000,MATCH(data!$A139,Haver_M!$B$1:$B$1000,0),MATCH(data!AA$1,Haver_M!$B$1:$ZN$1,0))),INDEX(Haver_M!$B$1:$ZN$1000,MATCH(data!$A139,Haver_M!$B$1:$B$1000,0),MATCH(data!AA$1,Haver_M!$B$1:$ZN$1,0)),"na")</f>
        <v>93.912899999999993</v>
      </c>
      <c r="AB139">
        <f>IF(ISNUMBER(INDEX(Haver_M!$B$1:$ZN$1000,MATCH(data!$A139,Haver_M!$B$1:$B$1000,0),MATCH(data!AB$1,Haver_M!$B$1:$ZN$1,0))),INDEX(Haver_M!$B$1:$ZN$1000,MATCH(data!$A139,Haver_M!$B$1:$B$1000,0),MATCH(data!AB$1,Haver_M!$B$1:$ZN$1,0)),"na")</f>
        <v>29507.599999999999</v>
      </c>
      <c r="AC139">
        <f>IF(ISNUMBER(INDEX(Haver_M!$B$1:$ZN$1000,MATCH(data!$A139,Haver_M!$B$1:$B$1000,0),MATCH(data!AC$1,Haver_M!$B$1:$ZN$1,0))),INDEX(Haver_M!$B$1:$ZN$1000,MATCH(data!$A139,Haver_M!$B$1:$B$1000,0),MATCH(data!AC$1,Haver_M!$B$1:$ZN$1,0)),"na")</f>
        <v>30199.4</v>
      </c>
      <c r="AD139">
        <f>IF(ISNUMBER(INDEX(Haver_M!$B$1:$ZN$1000,MATCH(data!$A139,Haver_M!$B$1:$B$1000,0),MATCH(data!AD$1,Haver_M!$B$1:$ZN$1,0))),INDEX(Haver_M!$B$1:$ZN$1000,MATCH(data!$A139,Haver_M!$B$1:$B$1000,0),MATCH(data!AD$1,Haver_M!$B$1:$ZN$1,0)),"na")</f>
        <v>99.86</v>
      </c>
      <c r="AE139">
        <f>IF(ISNUMBER(INDEX(Haver_M!$B$1:$ZN$1000,MATCH(data!$A139,Haver_M!$B$1:$B$1000,0),MATCH(data!AE$1,Haver_M!$B$1:$ZN$1,0))),INDEX(Haver_M!$B$1:$ZN$1000,MATCH(data!$A139,Haver_M!$B$1:$B$1000,0),MATCH(data!AE$1,Haver_M!$B$1:$ZN$1,0)),"na")</f>
        <v>38.5</v>
      </c>
      <c r="AF139">
        <f>IF(ISNUMBER(INDEX(Haver_M!$B$1:$ZN$1000,MATCH(data!$A139,Haver_M!$B$1:$B$1000,0),MATCH(data!AF$1,Haver_M!$B$1:$ZN$1,0))),INDEX(Haver_M!$B$1:$ZN$1000,MATCH(data!$A139,Haver_M!$B$1:$B$1000,0),MATCH(data!AF$1,Haver_M!$B$1:$ZN$1,0)),"na")</f>
        <v>101.2</v>
      </c>
      <c r="AG139">
        <f>IF(ISNUMBER(INDEX(Haver_M!$B$1:$ZN$1000,MATCH(data!$A139,Haver_M!$B$1:$B$1000,0),MATCH(data!AG$1,Haver_M!$B$1:$ZN$1,0))),INDEX(Haver_M!$B$1:$ZN$1000,MATCH(data!$A139,Haver_M!$B$1:$B$1000,0),MATCH(data!AG$1,Haver_M!$B$1:$ZN$1,0)),"na")</f>
        <v>55.315100000000001</v>
      </c>
      <c r="AH139">
        <f>IF(ISNUMBER(INDEX(Haver_M!$B$1:$ZN$1000,MATCH(data!$A139,Haver_M!$B$1:$B$1000,0),MATCH(data!AH$1,Haver_M!$B$1:$ZN$1,0))),INDEX(Haver_M!$B$1:$ZN$1000,MATCH(data!$A139,Haver_M!$B$1:$B$1000,0),MATCH(data!AH$1,Haver_M!$B$1:$ZN$1,0)),"na")</f>
        <v>58.052399999999999</v>
      </c>
      <c r="AI139">
        <f>IF(ISNUMBER(INDEX(Haver_M!$B$1:$ZN$1000,MATCH(data!$A139,Haver_M!$B$1:$B$1000,0),MATCH(data!AI$1,Haver_M!$B$1:$ZN$1,0))),INDEX(Haver_M!$B$1:$ZN$1000,MATCH(data!$A139,Haver_M!$B$1:$B$1000,0),MATCH(data!AI$1,Haver_M!$B$1:$ZN$1,0)),"na")</f>
        <v>57.9617</v>
      </c>
      <c r="AJ139">
        <f>IF(ISNUMBER(INDEX(Haver_M!$B$1:$ZN$1000,MATCH(data!$A139,Haver_M!$B$1:$B$1000,0),MATCH(data!AJ$1,Haver_M!$B$1:$ZN$1,0))),INDEX(Haver_M!$B$1:$ZN$1000,MATCH(data!$A139,Haver_M!$B$1:$B$1000,0),MATCH(data!AJ$1,Haver_M!$B$1:$ZN$1,0)),"na")</f>
        <v>54.878700000000002</v>
      </c>
      <c r="AK139">
        <f>IF(ISNUMBER(INDEX(Haver_M!$B$1:$ZN$1000,MATCH(data!$A139,Haver_M!$B$1:$B$1000,0),MATCH(data!AK$1,Haver_M!$B$1:$ZN$1,0))),INDEX(Haver_M!$B$1:$ZN$1000,MATCH(data!$A139,Haver_M!$B$1:$B$1000,0),MATCH(data!AK$1,Haver_M!$B$1:$ZN$1,0)),"na")</f>
        <v>50.5274</v>
      </c>
      <c r="AL139">
        <f>IF(ISNUMBER(INDEX(Haver_M!$B$1:$ZN$1000,MATCH(data!$A139,Haver_M!$B$1:$B$1000,0),MATCH(data!AL$1,Haver_M!$B$1:$ZN$1,0))),INDEX(Haver_M!$B$1:$ZN$1000,MATCH(data!$A139,Haver_M!$B$1:$B$1000,0),MATCH(data!AL$1,Haver_M!$B$1:$ZN$1,0)),"na")</f>
        <v>50.168399999999998</v>
      </c>
      <c r="AM139">
        <f>IF(ISNUMBER(INDEX(Haver_M!$B$1:$ZN$1000,MATCH(data!$A139,Haver_M!$B$1:$B$1000,0),MATCH(data!AM$1,Haver_M!$B$1:$ZN$1,0))),INDEX(Haver_M!$B$1:$ZN$1000,MATCH(data!$A139,Haver_M!$B$1:$B$1000,0),MATCH(data!AM$1,Haver_M!$B$1:$ZN$1,0)),"na")</f>
        <v>57.395699999999998</v>
      </c>
      <c r="AN139">
        <f>IF(ISNUMBER(INDEX(Haver_M!$B$1:$ZN$1000,MATCH(data!$A139,Haver_M!$B$1:$B$1000,0),MATCH(data!AN$1,Haver_M!$B$1:$ZN$1,0))),INDEX(Haver_M!$B$1:$ZN$1000,MATCH(data!$A139,Haver_M!$B$1:$B$1000,0),MATCH(data!AN$1,Haver_M!$B$1:$ZN$1,0)),"na")</f>
        <v>54.839599999999997</v>
      </c>
      <c r="AO139">
        <f>IF(ISNUMBER(INDEX(Haver_M!$B$1:$ZN$1000,MATCH(data!$A139,Haver_M!$B$1:$B$1000,0),MATCH(data!AO$1,Haver_M!$B$1:$ZN$1,0))),INDEX(Haver_M!$B$1:$ZN$1000,MATCH(data!$A139,Haver_M!$B$1:$B$1000,0),MATCH(data!AO$1,Haver_M!$B$1:$ZN$1,0)),"na")</f>
        <v>50.168399999999998</v>
      </c>
      <c r="AP139">
        <f>IF(ISNUMBER(INDEX(Haver_M!$B$1:$ZN$1000,MATCH(data!$A139,Haver_M!$B$1:$B$1000,0),MATCH(data!AP$1,Haver_M!$B$1:$ZN$1,0))),INDEX(Haver_M!$B$1:$ZN$1000,MATCH(data!$A139,Haver_M!$B$1:$B$1000,0),MATCH(data!AP$1,Haver_M!$B$1:$ZN$1,0)),"na")</f>
        <v>54.484200000000001</v>
      </c>
      <c r="AQ139">
        <f>IF(ISNUMBER(INDEX(Haver_M!$B$1:$ZN$1000,MATCH(data!$A139,Haver_M!$B$1:$B$1000,0),MATCH(data!AQ$1,Haver_M!$B$1:$ZN$1,0))),INDEX(Haver_M!$B$1:$ZN$1000,MATCH(data!$A139,Haver_M!$B$1:$B$1000,0),MATCH(data!AQ$1,Haver_M!$B$1:$ZN$1,0)),"na")</f>
        <v>53.853099999999998</v>
      </c>
      <c r="AR139">
        <f>IF(ISNUMBER(INDEX(Haver_M!$B$1:$ZN$1000,MATCH(data!$A139,Haver_M!$B$1:$B$1000,0),MATCH(data!AR$1,Haver_M!$B$1:$ZN$1,0))),INDEX(Haver_M!$B$1:$ZN$1000,MATCH(data!$A139,Haver_M!$B$1:$B$1000,0),MATCH(data!AR$1,Haver_M!$B$1:$ZN$1,0)),"na")</f>
        <v>50.518900000000002</v>
      </c>
      <c r="AS139">
        <f>IF(ISNUMBER(INDEX(Haver_M!$B$1:$ZN$1000,MATCH(data!$A139,Haver_M!$B$1:$B$1000,0),MATCH(data!AS$1,Haver_M!$B$1:$ZN$1,0))),INDEX(Haver_M!$B$1:$ZN$1000,MATCH(data!$A139,Haver_M!$B$1:$B$1000,0),MATCH(data!AS$1,Haver_M!$B$1:$ZN$1,0)),"na")</f>
        <v>35363.35</v>
      </c>
      <c r="AT139">
        <f>IF(ISNUMBER(INDEX(Haver_M!$B$1:$ZN$1000,MATCH(data!$A139,Haver_M!$B$1:$B$1000,0),MATCH(data!AT$1,Haver_M!$B$1:$ZN$1,0))),INDEX(Haver_M!$B$1:$ZN$1000,MATCH(data!$A139,Haver_M!$B$1:$B$1000,0),MATCH(data!AT$1,Haver_M!$B$1:$ZN$1,0)),"na")</f>
        <v>95.813000000000002</v>
      </c>
      <c r="AU139">
        <f>IF(ISNUMBER(INDEX(Haver_M!$B$1:$ZN$1000,MATCH(data!$A139,Haver_M!$B$1:$B$1000,0),MATCH(data!AU$1,Haver_M!$B$1:$ZN$1,0))),INDEX(Haver_M!$B$1:$ZN$1000,MATCH(data!$A139,Haver_M!$B$1:$B$1000,0),MATCH(data!AU$1,Haver_M!$B$1:$ZN$1,0)),"na")</f>
        <v>95.085528999999994</v>
      </c>
      <c r="AV139">
        <f>IF(ISNUMBER(INDEX(Haver_M!$B$1:$ZN$1000,MATCH(data!$A139,Haver_M!$B$1:$B$1000,0),MATCH(data!AV$1,Haver_M!$B$1:$ZN$1,0))),INDEX(Haver_M!$B$1:$ZN$1000,MATCH(data!$A139,Haver_M!$B$1:$B$1000,0),MATCH(data!AV$1,Haver_M!$B$1:$ZN$1,0)),"na")</f>
        <v>101.2</v>
      </c>
      <c r="AW139">
        <f>IF(ISNUMBER(INDEX(Haver_M!$B$1:$ZN$1000,MATCH(data!$A139,Haver_M!$B$1:$B$1000,0),MATCH(data!AW$1,Haver_M!$B$1:$ZN$1,0))),INDEX(Haver_M!$B$1:$ZN$1000,MATCH(data!$A139,Haver_M!$B$1:$B$1000,0),MATCH(data!AW$1,Haver_M!$B$1:$ZN$1,0)),"na")</f>
        <v>986772.58648334723</v>
      </c>
      <c r="AX139">
        <f>IF(ISNUMBER(INDEX(Haver_M!$B$1:$ZN$1000,MATCH(data!$A139,Haver_M!$B$1:$B$1000,0),MATCH(data!AX$1,Haver_M!$B$1:$ZN$1,0))),INDEX(Haver_M!$B$1:$ZN$1000,MATCH(data!$A139,Haver_M!$B$1:$B$1000,0),MATCH(data!AX$1,Haver_M!$B$1:$ZN$1,0)),"na")</f>
        <v>2555</v>
      </c>
      <c r="AY139">
        <f>IF(ISNUMBER(INDEX(Haver_M!$B$1:$ZN$1000,MATCH(data!$A139,Haver_M!$B$1:$B$1000,0),MATCH(data!AY$1,Haver_M!$B$1:$ZN$1,0))),INDEX(Haver_M!$B$1:$ZN$1000,MATCH(data!$A139,Haver_M!$B$1:$B$1000,0),MATCH(data!AY$1,Haver_M!$B$1:$ZN$1,0)),"na")</f>
        <v>1425</v>
      </c>
      <c r="AZ139">
        <f>IF(ISNUMBER(INDEX(Haver_M!$B$1:$ZN$1000,MATCH(data!$A139,Haver_M!$B$1:$B$1000,0),MATCH(data!AZ$1,Haver_M!$B$1:$ZN$1,0))),INDEX(Haver_M!$B$1:$ZN$1000,MATCH(data!$A139,Haver_M!$B$1:$B$1000,0),MATCH(data!AZ$1,Haver_M!$B$1:$ZN$1,0)),"na")</f>
        <v>54</v>
      </c>
      <c r="BA139">
        <f>IF(ISNUMBER(INDEX(Haver_M!$B$1:$ZN$1000,MATCH(data!$A139,Haver_M!$B$1:$B$1000,0),MATCH(data!BA$1,Haver_M!$B$1:$ZN$1,0))),INDEX(Haver_M!$B$1:$ZN$1000,MATCH(data!$A139,Haver_M!$B$1:$B$1000,0),MATCH(data!BA$1,Haver_M!$B$1:$ZN$1,0)),"na")</f>
        <v>66.077498679104124</v>
      </c>
      <c r="BB139" t="str">
        <f>IF(ISNUMBER(INDEX(Haver_M!$B$1:$ZN$1000,MATCH(data!$A139,Haver_M!$B$1:$B$1000,0),MATCH(data!BB$1,Haver_M!$B$1:$ZN$1,0))),INDEX(Haver_M!$B$1:$ZN$1000,MATCH(data!$A139,Haver_M!$B$1:$B$1000,0),MATCH(data!BB$1,Haver_M!$B$1:$ZN$1,0)),"")</f>
        <v/>
      </c>
    </row>
    <row r="140" spans="1:54" x14ac:dyDescent="0.25">
      <c r="A140" s="2">
        <v>40755</v>
      </c>
      <c r="B140" t="str">
        <f>IF(ISNUMBER(INDEX(Haver_Q!$B$1:$BD$1000,MATCH(data!$A140,Haver_Q!$B$1:$B$1000,0),MATCH(data!B$1,Haver_Q!$B$1:$BD$1,0))),100*INDEX(Haver_Q!$B$1:$BD$1000,MATCH(data!$A140,Haver_Q!$B$1:$B$1000,0),MATCH(data!B$1,Haver_Q!$B$1:$BD$1,0)),"na")</f>
        <v>na</v>
      </c>
      <c r="C140" t="str">
        <f>IF(ISNUMBER(INDEX(Haver_Q!$B$1:$BD$1000,MATCH(data!$A140,Haver_Q!$B$1:$B$1000,0),MATCH(data!C$1,Haver_Q!$B$1:$BD$1,0))),100*INDEX(Haver_Q!$B$1:$BD$1000,MATCH(data!$A140,Haver_Q!$B$1:$B$1000,0),MATCH(data!C$1,Haver_Q!$B$1:$BD$1,0)),"na")</f>
        <v>na</v>
      </c>
      <c r="D140" t="str">
        <f>IF(ISNUMBER(INDEX(Haver_Q!$B$1:$BD$1000,MATCH(data!$A140,Haver_Q!$B$1:$B$1000,0),MATCH(data!D$1,Haver_Q!$B$1:$BD$1,0))),100*INDEX(Haver_Q!$B$1:$BD$1000,MATCH(data!$A140,Haver_Q!$B$1:$B$1000,0),MATCH(data!D$1,Haver_Q!$B$1:$BD$1,0)),"na")</f>
        <v>na</v>
      </c>
      <c r="E140" t="str">
        <f>IF(ISNUMBER(INDEX(Haver_Q!$B$1:$BD$1000,MATCH(data!$A140,Haver_Q!$B$1:$B$1000,0),MATCH(data!E$1,Haver_Q!$B$1:$BD$1,0))),100*INDEX(Haver_Q!$B$1:$BD$1000,MATCH(data!$A140,Haver_Q!$B$1:$B$1000,0),MATCH(data!E$1,Haver_Q!$B$1:$BD$1,0)),"na")</f>
        <v>na</v>
      </c>
      <c r="F140" t="str">
        <f>IF(ISNUMBER(INDEX(Haver_Q!$B$1:$BD$1000,MATCH(data!$A140,Haver_Q!$B$1:$B$1000,0),MATCH(data!F$1,Haver_Q!$B$1:$BD$1,0))),100*INDEX(Haver_Q!$B$1:$BD$1000,MATCH(data!$A140,Haver_Q!$B$1:$B$1000,0),MATCH(data!F$1,Haver_Q!$B$1:$BD$1,0)),"na")</f>
        <v>na</v>
      </c>
      <c r="G140" t="str">
        <f>IF(ISNUMBER(INDEX(Haver_Q!$B$1:$BD$1000,MATCH(data!$A140,Haver_Q!$B$1:$B$1000,0),MATCH(data!G$1,Haver_Q!$B$1:$BD$1,0))),100*INDEX(Haver_Q!$B$1:$BD$1000,MATCH(data!$A140,Haver_Q!$B$1:$B$1000,0),MATCH(data!G$1,Haver_Q!$B$1:$BD$1,0)),"na")</f>
        <v>na</v>
      </c>
      <c r="H140" t="str">
        <f>IF(ISNUMBER(INDEX(Haver_Q!$B$1:$BD$1000,MATCH(data!$A140,Haver_Q!$B$1:$B$1000,0),MATCH(data!H$1,Haver_Q!$B$1:$BD$1,0))),100*INDEX(Haver_Q!$B$1:$BD$1000,MATCH(data!$A140,Haver_Q!$B$1:$B$1000,0),MATCH(data!H$1,Haver_Q!$B$1:$BD$1,0)),"na")</f>
        <v>na</v>
      </c>
      <c r="I140" s="3">
        <f>IF(ISNUMBER(Bloomberg_m!C156),Bloomberg_m!C156,"na")</f>
        <v>1366</v>
      </c>
      <c r="J140" s="3">
        <f>IF(ISNUMBER(Bloomberg_m!D156),Bloomberg_m!D156,"na")</f>
        <v>1611.89</v>
      </c>
      <c r="K140" s="3">
        <f>IF(ISNUMBER(Bloomberg_m!E156),Bloomberg_m!E156,"na")</f>
        <v>1020.14</v>
      </c>
      <c r="L140" s="3">
        <f>IF(ISNUMBER(Bloomberg_m!L156),Bloomberg_m!L156,"na")</f>
        <v>97.31</v>
      </c>
      <c r="M140">
        <f>IF(ISNUMBER(INDEX(Haver_M!$B$1:$ZN$1000,MATCH(data!$A140,Haver_M!$B$1:$B$1000,0),MATCH(data!M$1,Haver_M!$B$1:$ZN$1,0))),INDEX(Haver_M!$B$1:$ZN$1000,MATCH(data!$A140,Haver_M!$B$1:$B$1000,0),MATCH(data!M$1,Haver_M!$B$1:$ZN$1,0)),"na")</f>
        <v>4.5</v>
      </c>
      <c r="N140">
        <f>IF(ISNUMBER(INDEX(Haver_M!$B$1:$ZN$1000,MATCH(data!$A140,Haver_M!$B$1:$B$1000,0),MATCH(data!N$1,Haver_M!$B$1:$ZN$1,0))),INDEX(Haver_M!$B$1:$ZN$1000,MATCH(data!$A140,Haver_M!$B$1:$B$1000,0),MATCH(data!N$1,Haver_M!$B$1:$ZN$1,0)),"na")</f>
        <v>6.8364000000000003</v>
      </c>
      <c r="O140">
        <f>IF(ISNUMBER(INDEX(Haver_M!$B$1:$ZN$1000,MATCH(data!$A140,Haver_M!$B$1:$B$1000,0),MATCH(data!O$1,Haver_M!$B$1:$ZN$1,0))),INDEX(Haver_M!$B$1:$ZN$1000,MATCH(data!$A140,Haver_M!$B$1:$B$1000,0),MATCH(data!O$1,Haver_M!$B$1:$ZN$1,0)),"na")</f>
        <v>103.35239</v>
      </c>
      <c r="P140">
        <f>IF(ISNUMBER(INDEX(Haver_M!$B$1:$ZN$1000,MATCH(data!$A140,Haver_M!$B$1:$B$1000,0),MATCH(data!P$1,Haver_M!$B$1:$ZN$1,0))),INDEX(Haver_M!$B$1:$ZN$1000,MATCH(data!$A140,Haver_M!$B$1:$B$1000,0),MATCH(data!P$1,Haver_M!$B$1:$ZN$1,0)),"na")</f>
        <v>75.964600000000004</v>
      </c>
      <c r="Q140">
        <f>IF(ISNUMBER(INDEX(Haver_M!$B$1:$ZN$1000,MATCH(data!$A140,Haver_M!$B$1:$B$1000,0),MATCH(data!Q$1,Haver_M!$B$1:$ZN$1,0))),INDEX(Haver_M!$B$1:$ZN$1000,MATCH(data!$A140,Haver_M!$B$1:$B$1000,0),MATCH(data!Q$1,Haver_M!$B$1:$ZN$1,0)),"na")</f>
        <v>79.622900000000001</v>
      </c>
      <c r="R140">
        <f>IF(ISNUMBER(INDEX(Haver_M!$B$1:$ZN$1000,MATCH(data!$A140,Haver_M!$B$1:$B$1000,0),MATCH(data!R$1,Haver_M!$B$1:$ZN$1,0))),INDEX(Haver_M!$B$1:$ZN$1000,MATCH(data!$A140,Haver_M!$B$1:$B$1000,0),MATCH(data!R$1,Haver_M!$B$1:$ZN$1,0)),"na")</f>
        <v>97.835599999999999</v>
      </c>
      <c r="S140">
        <f>IF(ISNUMBER(INDEX(Haver_M!$B$1:$ZN$1000,MATCH(data!$A140,Haver_M!$B$1:$B$1000,0),MATCH(data!S$1,Haver_M!$B$1:$ZN$1,0))),INDEX(Haver_M!$B$1:$ZN$1000,MATCH(data!$A140,Haver_M!$B$1:$B$1000,0),MATCH(data!S$1,Haver_M!$B$1:$ZN$1,0)),"na")</f>
        <v>99.568200000000004</v>
      </c>
      <c r="T140">
        <f>IF(ISNUMBER(INDEX(Haver_M!$B$1:$ZN$1000,MATCH(data!$A140,Haver_M!$B$1:$B$1000,0),MATCH(data!T$1,Haver_M!$B$1:$ZN$1,0))),INDEX(Haver_M!$B$1:$ZN$1000,MATCH(data!$A140,Haver_M!$B$1:$B$1000,0),MATCH(data!T$1,Haver_M!$B$1:$ZN$1,0)),"na")</f>
        <v>97.393900000000002</v>
      </c>
      <c r="U140">
        <f>IF(ISNUMBER(INDEX(Haver_M!$B$1:$ZN$1000,MATCH(data!$A140,Haver_M!$B$1:$B$1000,0),MATCH(data!U$1,Haver_M!$B$1:$ZN$1,0))),INDEX(Haver_M!$B$1:$ZN$1000,MATCH(data!$A140,Haver_M!$B$1:$B$1000,0),MATCH(data!U$1,Haver_M!$B$1:$ZN$1,0)),"na")</f>
        <v>99.070899999999995</v>
      </c>
      <c r="V140">
        <f>IF(ISNUMBER(INDEX(Haver_M!$B$1:$ZN$1000,MATCH(data!$A140,Haver_M!$B$1:$B$1000,0),MATCH(data!V$1,Haver_M!$B$1:$ZN$1,0))),INDEX(Haver_M!$B$1:$ZN$1000,MATCH(data!$A140,Haver_M!$B$1:$B$1000,0),MATCH(data!V$1,Haver_M!$B$1:$ZN$1,0)),"na")</f>
        <v>96.0197</v>
      </c>
      <c r="W140">
        <f>IF(ISNUMBER(INDEX(Haver_M!$B$1:$ZN$1000,MATCH(data!$A140,Haver_M!$B$1:$B$1000,0),MATCH(data!W$1,Haver_M!$B$1:$ZN$1,0))),INDEX(Haver_M!$B$1:$ZN$1000,MATCH(data!$A140,Haver_M!$B$1:$B$1000,0),MATCH(data!W$1,Haver_M!$B$1:$ZN$1,0)),"na")</f>
        <v>5.32</v>
      </c>
      <c r="X140">
        <f>IF(ISNUMBER(INDEX(Haver_M!$B$1:$ZN$1000,MATCH(data!$A140,Haver_M!$B$1:$B$1000,0),MATCH(data!X$1,Haver_M!$B$1:$ZN$1,0))),INDEX(Haver_M!$B$1:$ZN$1000,MATCH(data!$A140,Haver_M!$B$1:$B$1000,0),MATCH(data!X$1,Haver_M!$B$1:$ZN$1,0)),"na")</f>
        <v>99.28</v>
      </c>
      <c r="Y140">
        <f>IF(ISNUMBER(INDEX(Haver_M!$B$1:$ZN$1000,MATCH(data!$A140,Haver_M!$B$1:$B$1000,0),MATCH(data!Y$1,Haver_M!$B$1:$ZN$1,0))),INDEX(Haver_M!$B$1:$ZN$1000,MATCH(data!$A140,Haver_M!$B$1:$B$1000,0),MATCH(data!Y$1,Haver_M!$B$1:$ZN$1,0)),"na")</f>
        <v>100.76</v>
      </c>
      <c r="Z140">
        <f>IF(ISNUMBER(INDEX(Haver_M!$B$1:$ZN$1000,MATCH(data!$A140,Haver_M!$B$1:$B$1000,0),MATCH(data!Z$1,Haver_M!$B$1:$ZN$1,0))),INDEX(Haver_M!$B$1:$ZN$1000,MATCH(data!$A140,Haver_M!$B$1:$B$1000,0),MATCH(data!Z$1,Haver_M!$B$1:$ZN$1,0)),"na")</f>
        <v>94.862099999999998</v>
      </c>
      <c r="AA140">
        <f>IF(ISNUMBER(INDEX(Haver_M!$B$1:$ZN$1000,MATCH(data!$A140,Haver_M!$B$1:$B$1000,0),MATCH(data!AA$1,Haver_M!$B$1:$ZN$1,0))),INDEX(Haver_M!$B$1:$ZN$1000,MATCH(data!$A140,Haver_M!$B$1:$B$1000,0),MATCH(data!AA$1,Haver_M!$B$1:$ZN$1,0)),"na")</f>
        <v>92.294200000000004</v>
      </c>
      <c r="AB140">
        <f>IF(ISNUMBER(INDEX(Haver_M!$B$1:$ZN$1000,MATCH(data!$A140,Haver_M!$B$1:$B$1000,0),MATCH(data!AB$1,Haver_M!$B$1:$ZN$1,0))),INDEX(Haver_M!$B$1:$ZN$1000,MATCH(data!$A140,Haver_M!$B$1:$B$1000,0),MATCH(data!AB$1,Haver_M!$B$1:$ZN$1,0)),"na")</f>
        <v>29310.400000000001</v>
      </c>
      <c r="AC140">
        <f>IF(ISNUMBER(INDEX(Haver_M!$B$1:$ZN$1000,MATCH(data!$A140,Haver_M!$B$1:$B$1000,0),MATCH(data!AC$1,Haver_M!$B$1:$ZN$1,0))),INDEX(Haver_M!$B$1:$ZN$1000,MATCH(data!$A140,Haver_M!$B$1:$B$1000,0),MATCH(data!AC$1,Haver_M!$B$1:$ZN$1,0)),"na")</f>
        <v>30009.8</v>
      </c>
      <c r="AD140">
        <f>IF(ISNUMBER(INDEX(Haver_M!$B$1:$ZN$1000,MATCH(data!$A140,Haver_M!$B$1:$B$1000,0),MATCH(data!AD$1,Haver_M!$B$1:$ZN$1,0))),INDEX(Haver_M!$B$1:$ZN$1000,MATCH(data!$A140,Haver_M!$B$1:$B$1000,0),MATCH(data!AD$1,Haver_M!$B$1:$ZN$1,0)),"na")</f>
        <v>99.92</v>
      </c>
      <c r="AE140">
        <f>IF(ISNUMBER(INDEX(Haver_M!$B$1:$ZN$1000,MATCH(data!$A140,Haver_M!$B$1:$B$1000,0),MATCH(data!AE$1,Haver_M!$B$1:$ZN$1,0))),INDEX(Haver_M!$B$1:$ZN$1000,MATCH(data!$A140,Haver_M!$B$1:$B$1000,0),MATCH(data!AE$1,Haver_M!$B$1:$ZN$1,0)),"na")</f>
        <v>38.9</v>
      </c>
      <c r="AF140">
        <f>IF(ISNUMBER(INDEX(Haver_M!$B$1:$ZN$1000,MATCH(data!$A140,Haver_M!$B$1:$B$1000,0),MATCH(data!AF$1,Haver_M!$B$1:$ZN$1,0))),INDEX(Haver_M!$B$1:$ZN$1000,MATCH(data!$A140,Haver_M!$B$1:$B$1000,0),MATCH(data!AF$1,Haver_M!$B$1:$ZN$1,0)),"na")</f>
        <v>101.05</v>
      </c>
      <c r="AG140">
        <f>IF(ISNUMBER(INDEX(Haver_M!$B$1:$ZN$1000,MATCH(data!$A140,Haver_M!$B$1:$B$1000,0),MATCH(data!AG$1,Haver_M!$B$1:$ZN$1,0))),INDEX(Haver_M!$B$1:$ZN$1000,MATCH(data!$A140,Haver_M!$B$1:$B$1000,0),MATCH(data!AG$1,Haver_M!$B$1:$ZN$1,0)),"na")</f>
        <v>54.7331</v>
      </c>
      <c r="AH140">
        <f>IF(ISNUMBER(INDEX(Haver_M!$B$1:$ZN$1000,MATCH(data!$A140,Haver_M!$B$1:$B$1000,0),MATCH(data!AH$1,Haver_M!$B$1:$ZN$1,0))),INDEX(Haver_M!$B$1:$ZN$1000,MATCH(data!$A140,Haver_M!$B$1:$B$1000,0),MATCH(data!AH$1,Haver_M!$B$1:$ZN$1,0)),"na")</f>
        <v>55.9985</v>
      </c>
      <c r="AI140">
        <f>IF(ISNUMBER(INDEX(Haver_M!$B$1:$ZN$1000,MATCH(data!$A140,Haver_M!$B$1:$B$1000,0),MATCH(data!AI$1,Haver_M!$B$1:$ZN$1,0))),INDEX(Haver_M!$B$1:$ZN$1000,MATCH(data!$A140,Haver_M!$B$1:$B$1000,0),MATCH(data!AI$1,Haver_M!$B$1:$ZN$1,0)),"na")</f>
        <v>56.870800000000003</v>
      </c>
      <c r="AJ140">
        <f>IF(ISNUMBER(INDEX(Haver_M!$B$1:$ZN$1000,MATCH(data!$A140,Haver_M!$B$1:$B$1000,0),MATCH(data!AJ$1,Haver_M!$B$1:$ZN$1,0))),INDEX(Haver_M!$B$1:$ZN$1000,MATCH(data!$A140,Haver_M!$B$1:$B$1000,0),MATCH(data!AJ$1,Haver_M!$B$1:$ZN$1,0)),"na")</f>
        <v>53.595500000000001</v>
      </c>
      <c r="AK140">
        <f>IF(ISNUMBER(INDEX(Haver_M!$B$1:$ZN$1000,MATCH(data!$A140,Haver_M!$B$1:$B$1000,0),MATCH(data!AK$1,Haver_M!$B$1:$ZN$1,0))),INDEX(Haver_M!$B$1:$ZN$1000,MATCH(data!$A140,Haver_M!$B$1:$B$1000,0),MATCH(data!AK$1,Haver_M!$B$1:$ZN$1,0)),"na")</f>
        <v>48.738900000000001</v>
      </c>
      <c r="AL140">
        <f>IF(ISNUMBER(INDEX(Haver_M!$B$1:$ZN$1000,MATCH(data!$A140,Haver_M!$B$1:$B$1000,0),MATCH(data!AL$1,Haver_M!$B$1:$ZN$1,0))),INDEX(Haver_M!$B$1:$ZN$1000,MATCH(data!$A140,Haver_M!$B$1:$B$1000,0),MATCH(data!AL$1,Haver_M!$B$1:$ZN$1,0)),"na")</f>
        <v>52.6402</v>
      </c>
      <c r="AM140">
        <f>IF(ISNUMBER(INDEX(Haver_M!$B$1:$ZN$1000,MATCH(data!$A140,Haver_M!$B$1:$B$1000,0),MATCH(data!AM$1,Haver_M!$B$1:$ZN$1,0))),INDEX(Haver_M!$B$1:$ZN$1000,MATCH(data!$A140,Haver_M!$B$1:$B$1000,0),MATCH(data!AM$1,Haver_M!$B$1:$ZN$1,0)),"na")</f>
        <v>57.235199999999999</v>
      </c>
      <c r="AN140">
        <f>IF(ISNUMBER(INDEX(Haver_M!$B$1:$ZN$1000,MATCH(data!$A140,Haver_M!$B$1:$B$1000,0),MATCH(data!AN$1,Haver_M!$B$1:$ZN$1,0))),INDEX(Haver_M!$B$1:$ZN$1000,MATCH(data!$A140,Haver_M!$B$1:$B$1000,0),MATCH(data!AN$1,Haver_M!$B$1:$ZN$1,0)),"na")</f>
        <v>55.749200000000002</v>
      </c>
      <c r="AO140">
        <f>IF(ISNUMBER(INDEX(Haver_M!$B$1:$ZN$1000,MATCH(data!$A140,Haver_M!$B$1:$B$1000,0),MATCH(data!AO$1,Haver_M!$B$1:$ZN$1,0))),INDEX(Haver_M!$B$1:$ZN$1000,MATCH(data!$A140,Haver_M!$B$1:$B$1000,0),MATCH(data!AO$1,Haver_M!$B$1:$ZN$1,0)),"na")</f>
        <v>52.6402</v>
      </c>
      <c r="AP140">
        <f>IF(ISNUMBER(INDEX(Haver_M!$B$1:$ZN$1000,MATCH(data!$A140,Haver_M!$B$1:$B$1000,0),MATCH(data!AP$1,Haver_M!$B$1:$ZN$1,0))),INDEX(Haver_M!$B$1:$ZN$1000,MATCH(data!$A140,Haver_M!$B$1:$B$1000,0),MATCH(data!AP$1,Haver_M!$B$1:$ZN$1,0)),"na")</f>
        <v>52.134</v>
      </c>
      <c r="AQ140">
        <f>IF(ISNUMBER(INDEX(Haver_M!$B$1:$ZN$1000,MATCH(data!$A140,Haver_M!$B$1:$B$1000,0),MATCH(data!AQ$1,Haver_M!$B$1:$ZN$1,0))),INDEX(Haver_M!$B$1:$ZN$1000,MATCH(data!$A140,Haver_M!$B$1:$B$1000,0),MATCH(data!AQ$1,Haver_M!$B$1:$ZN$1,0)),"na")</f>
        <v>56.000399999999999</v>
      </c>
      <c r="AR140">
        <f>IF(ISNUMBER(INDEX(Haver_M!$B$1:$ZN$1000,MATCH(data!$A140,Haver_M!$B$1:$B$1000,0),MATCH(data!AR$1,Haver_M!$B$1:$ZN$1,0))),INDEX(Haver_M!$B$1:$ZN$1000,MATCH(data!$A140,Haver_M!$B$1:$B$1000,0),MATCH(data!AR$1,Haver_M!$B$1:$ZN$1,0)),"na")</f>
        <v>50.009599999999999</v>
      </c>
      <c r="AS140">
        <f>IF(ISNUMBER(INDEX(Haver_M!$B$1:$ZN$1000,MATCH(data!$A140,Haver_M!$B$1:$B$1000,0),MATCH(data!AS$1,Haver_M!$B$1:$ZN$1,0))),INDEX(Haver_M!$B$1:$ZN$1000,MATCH(data!$A140,Haver_M!$B$1:$B$1000,0),MATCH(data!AS$1,Haver_M!$B$1:$ZN$1,0)),"na")</f>
        <v>36070.25</v>
      </c>
      <c r="AT140">
        <f>IF(ISNUMBER(INDEX(Haver_M!$B$1:$ZN$1000,MATCH(data!$A140,Haver_M!$B$1:$B$1000,0),MATCH(data!AT$1,Haver_M!$B$1:$ZN$1,0))),INDEX(Haver_M!$B$1:$ZN$1000,MATCH(data!$A140,Haver_M!$B$1:$B$1000,0),MATCH(data!AT$1,Haver_M!$B$1:$ZN$1,0)),"na")</f>
        <v>96.460999999999999</v>
      </c>
      <c r="AU140">
        <f>IF(ISNUMBER(INDEX(Haver_M!$B$1:$ZN$1000,MATCH(data!$A140,Haver_M!$B$1:$B$1000,0),MATCH(data!AU$1,Haver_M!$B$1:$ZN$1,0))),INDEX(Haver_M!$B$1:$ZN$1000,MATCH(data!$A140,Haver_M!$B$1:$B$1000,0),MATCH(data!AU$1,Haver_M!$B$1:$ZN$1,0)),"na")</f>
        <v>95.494906</v>
      </c>
      <c r="AV140">
        <f>IF(ISNUMBER(INDEX(Haver_M!$B$1:$ZN$1000,MATCH(data!$A140,Haver_M!$B$1:$B$1000,0),MATCH(data!AV$1,Haver_M!$B$1:$ZN$1,0))),INDEX(Haver_M!$B$1:$ZN$1000,MATCH(data!$A140,Haver_M!$B$1:$B$1000,0),MATCH(data!AV$1,Haver_M!$B$1:$ZN$1,0)),"na")</f>
        <v>98.8</v>
      </c>
      <c r="AW140">
        <f>IF(ISNUMBER(INDEX(Haver_M!$B$1:$ZN$1000,MATCH(data!$A140,Haver_M!$B$1:$B$1000,0),MATCH(data!AW$1,Haver_M!$B$1:$ZN$1,0))),INDEX(Haver_M!$B$1:$ZN$1000,MATCH(data!$A140,Haver_M!$B$1:$B$1000,0),MATCH(data!AW$1,Haver_M!$B$1:$ZN$1,0)),"na")</f>
        <v>986251.05608078558</v>
      </c>
      <c r="AX140">
        <f>IF(ISNUMBER(INDEX(Haver_M!$B$1:$ZN$1000,MATCH(data!$A140,Haver_M!$B$1:$B$1000,0),MATCH(data!AX$1,Haver_M!$B$1:$ZN$1,0))),INDEX(Haver_M!$B$1:$ZN$1000,MATCH(data!$A140,Haver_M!$B$1:$B$1000,0),MATCH(data!AX$1,Haver_M!$B$1:$ZN$1,0)),"na")</f>
        <v>2556</v>
      </c>
      <c r="AY140">
        <f>IF(ISNUMBER(INDEX(Haver_M!$B$1:$ZN$1000,MATCH(data!$A140,Haver_M!$B$1:$B$1000,0),MATCH(data!AY$1,Haver_M!$B$1:$ZN$1,0))),INDEX(Haver_M!$B$1:$ZN$1000,MATCH(data!$A140,Haver_M!$B$1:$B$1000,0),MATCH(data!AY$1,Haver_M!$B$1:$ZN$1,0)),"na")</f>
        <v>1223</v>
      </c>
      <c r="AZ140">
        <f>IF(ISNUMBER(INDEX(Haver_M!$B$1:$ZN$1000,MATCH(data!$A140,Haver_M!$B$1:$B$1000,0),MATCH(data!AZ$1,Haver_M!$B$1:$ZN$1,0))),INDEX(Haver_M!$B$1:$ZN$1000,MATCH(data!$A140,Haver_M!$B$1:$B$1000,0),MATCH(data!AZ$1,Haver_M!$B$1:$ZN$1,0)),"na")</f>
        <v>53.5</v>
      </c>
      <c r="BA140">
        <f>IF(ISNUMBER(INDEX(Haver_M!$B$1:$ZN$1000,MATCH(data!$A140,Haver_M!$B$1:$B$1000,0),MATCH(data!BA$1,Haver_M!$B$1:$ZN$1,0))),INDEX(Haver_M!$B$1:$ZN$1000,MATCH(data!$A140,Haver_M!$B$1:$B$1000,0),MATCH(data!BA$1,Haver_M!$B$1:$ZN$1,0)),"na")</f>
        <v>85.261067531781478</v>
      </c>
      <c r="BB140" t="str">
        <f>IF(ISNUMBER(INDEX(Haver_M!$B$1:$ZN$1000,MATCH(data!$A140,Haver_M!$B$1:$B$1000,0),MATCH(data!BB$1,Haver_M!$B$1:$ZN$1,0))),INDEX(Haver_M!$B$1:$ZN$1000,MATCH(data!$A140,Haver_M!$B$1:$B$1000,0),MATCH(data!BB$1,Haver_M!$B$1:$ZN$1,0)),"")</f>
        <v/>
      </c>
    </row>
    <row r="141" spans="1:54" x14ac:dyDescent="0.25">
      <c r="A141" s="2">
        <v>40786</v>
      </c>
      <c r="B141" t="str">
        <f>IF(ISNUMBER(INDEX(Haver_Q!$B$1:$BD$1000,MATCH(data!$A141,Haver_Q!$B$1:$B$1000,0),MATCH(data!B$1,Haver_Q!$B$1:$BD$1,0))),100*INDEX(Haver_Q!$B$1:$BD$1000,MATCH(data!$A141,Haver_Q!$B$1:$B$1000,0),MATCH(data!B$1,Haver_Q!$B$1:$BD$1,0)),"na")</f>
        <v>na</v>
      </c>
      <c r="C141" t="str">
        <f>IF(ISNUMBER(INDEX(Haver_Q!$B$1:$BD$1000,MATCH(data!$A141,Haver_Q!$B$1:$B$1000,0),MATCH(data!C$1,Haver_Q!$B$1:$BD$1,0))),100*INDEX(Haver_Q!$B$1:$BD$1000,MATCH(data!$A141,Haver_Q!$B$1:$B$1000,0),MATCH(data!C$1,Haver_Q!$B$1:$BD$1,0)),"na")</f>
        <v>na</v>
      </c>
      <c r="D141" t="str">
        <f>IF(ISNUMBER(INDEX(Haver_Q!$B$1:$BD$1000,MATCH(data!$A141,Haver_Q!$B$1:$B$1000,0),MATCH(data!D$1,Haver_Q!$B$1:$BD$1,0))),100*INDEX(Haver_Q!$B$1:$BD$1000,MATCH(data!$A141,Haver_Q!$B$1:$B$1000,0),MATCH(data!D$1,Haver_Q!$B$1:$BD$1,0)),"na")</f>
        <v>na</v>
      </c>
      <c r="E141" t="str">
        <f>IF(ISNUMBER(INDEX(Haver_Q!$B$1:$BD$1000,MATCH(data!$A141,Haver_Q!$B$1:$B$1000,0),MATCH(data!E$1,Haver_Q!$B$1:$BD$1,0))),100*INDEX(Haver_Q!$B$1:$BD$1000,MATCH(data!$A141,Haver_Q!$B$1:$B$1000,0),MATCH(data!E$1,Haver_Q!$B$1:$BD$1,0)),"na")</f>
        <v>na</v>
      </c>
      <c r="F141" t="str">
        <f>IF(ISNUMBER(INDEX(Haver_Q!$B$1:$BD$1000,MATCH(data!$A141,Haver_Q!$B$1:$B$1000,0),MATCH(data!F$1,Haver_Q!$B$1:$BD$1,0))),100*INDEX(Haver_Q!$B$1:$BD$1000,MATCH(data!$A141,Haver_Q!$B$1:$B$1000,0),MATCH(data!F$1,Haver_Q!$B$1:$BD$1,0)),"na")</f>
        <v>na</v>
      </c>
      <c r="G141" t="str">
        <f>IF(ISNUMBER(INDEX(Haver_Q!$B$1:$BD$1000,MATCH(data!$A141,Haver_Q!$B$1:$B$1000,0),MATCH(data!G$1,Haver_Q!$B$1:$BD$1,0))),100*INDEX(Haver_Q!$B$1:$BD$1000,MATCH(data!$A141,Haver_Q!$B$1:$B$1000,0),MATCH(data!G$1,Haver_Q!$B$1:$BD$1,0)),"na")</f>
        <v>na</v>
      </c>
      <c r="H141" t="str">
        <f>IF(ISNUMBER(INDEX(Haver_Q!$B$1:$BD$1000,MATCH(data!$A141,Haver_Q!$B$1:$B$1000,0),MATCH(data!H$1,Haver_Q!$B$1:$BD$1,0))),100*INDEX(Haver_Q!$B$1:$BD$1000,MATCH(data!$A141,Haver_Q!$B$1:$B$1000,0),MATCH(data!H$1,Haver_Q!$B$1:$BD$1,0)),"na")</f>
        <v>na</v>
      </c>
      <c r="I141" s="3">
        <f>IF(ISNUMBER(Bloomberg_m!C157),Bloomberg_m!C157,"na")</f>
        <v>1387</v>
      </c>
      <c r="J141" s="3">
        <f>IF(ISNUMBER(Bloomberg_m!D157),Bloomberg_m!D157,"na")</f>
        <v>1703.82</v>
      </c>
      <c r="K141" s="3">
        <f>IF(ISNUMBER(Bloomberg_m!E157),Bloomberg_m!E157,"na")</f>
        <v>1045.19</v>
      </c>
      <c r="L141" s="3">
        <f>IF(ISNUMBER(Bloomberg_m!L157),Bloomberg_m!L157,"na")</f>
        <v>86.32</v>
      </c>
      <c r="M141">
        <f>IF(ISNUMBER(INDEX(Haver_M!$B$1:$ZN$1000,MATCH(data!$A141,Haver_M!$B$1:$B$1000,0),MATCH(data!M$1,Haver_M!$B$1:$ZN$1,0))),INDEX(Haver_M!$B$1:$ZN$1000,MATCH(data!$A141,Haver_M!$B$1:$B$1000,0),MATCH(data!M$1,Haver_M!$B$1:$ZN$1,0)),"na")</f>
        <v>4.5</v>
      </c>
      <c r="N141">
        <f>IF(ISNUMBER(INDEX(Haver_M!$B$1:$ZN$1000,MATCH(data!$A141,Haver_M!$B$1:$B$1000,0),MATCH(data!N$1,Haver_M!$B$1:$ZN$1,0))),INDEX(Haver_M!$B$1:$ZN$1000,MATCH(data!$A141,Haver_M!$B$1:$B$1000,0),MATCH(data!N$1,Haver_M!$B$1:$ZN$1,0)),"na")</f>
        <v>6.1391</v>
      </c>
      <c r="O141">
        <f>IF(ISNUMBER(INDEX(Haver_M!$B$1:$ZN$1000,MATCH(data!$A141,Haver_M!$B$1:$B$1000,0),MATCH(data!O$1,Haver_M!$B$1:$ZN$1,0))),INDEX(Haver_M!$B$1:$ZN$1000,MATCH(data!$A141,Haver_M!$B$1:$B$1000,0),MATCH(data!O$1,Haver_M!$B$1:$ZN$1,0)),"na")</f>
        <v>98.348259999999996</v>
      </c>
      <c r="P141">
        <f>IF(ISNUMBER(INDEX(Haver_M!$B$1:$ZN$1000,MATCH(data!$A141,Haver_M!$B$1:$B$1000,0),MATCH(data!P$1,Haver_M!$B$1:$ZN$1,0))),INDEX(Haver_M!$B$1:$ZN$1000,MATCH(data!$A141,Haver_M!$B$1:$B$1000,0),MATCH(data!P$1,Haver_M!$B$1:$ZN$1,0)),"na")</f>
        <v>76.120900000000006</v>
      </c>
      <c r="Q141">
        <f>IF(ISNUMBER(INDEX(Haver_M!$B$1:$ZN$1000,MATCH(data!$A141,Haver_M!$B$1:$B$1000,0),MATCH(data!Q$1,Haver_M!$B$1:$ZN$1,0))),INDEX(Haver_M!$B$1:$ZN$1000,MATCH(data!$A141,Haver_M!$B$1:$B$1000,0),MATCH(data!Q$1,Haver_M!$B$1:$ZN$1,0)),"na")</f>
        <v>79.808999999999997</v>
      </c>
      <c r="R141">
        <f>IF(ISNUMBER(INDEX(Haver_M!$B$1:$ZN$1000,MATCH(data!$A141,Haver_M!$B$1:$B$1000,0),MATCH(data!R$1,Haver_M!$B$1:$ZN$1,0))),INDEX(Haver_M!$B$1:$ZN$1000,MATCH(data!$A141,Haver_M!$B$1:$B$1000,0),MATCH(data!R$1,Haver_M!$B$1:$ZN$1,0)),"na")</f>
        <v>97.751099999999994</v>
      </c>
      <c r="S141">
        <f>IF(ISNUMBER(INDEX(Haver_M!$B$1:$ZN$1000,MATCH(data!$A141,Haver_M!$B$1:$B$1000,0),MATCH(data!S$1,Haver_M!$B$1:$ZN$1,0))),INDEX(Haver_M!$B$1:$ZN$1000,MATCH(data!$A141,Haver_M!$B$1:$B$1000,0),MATCH(data!S$1,Haver_M!$B$1:$ZN$1,0)),"na")</f>
        <v>99.696899999999999</v>
      </c>
      <c r="T141">
        <f>IF(ISNUMBER(INDEX(Haver_M!$B$1:$ZN$1000,MATCH(data!$A141,Haver_M!$B$1:$B$1000,0),MATCH(data!T$1,Haver_M!$B$1:$ZN$1,0))),INDEX(Haver_M!$B$1:$ZN$1000,MATCH(data!$A141,Haver_M!$B$1:$B$1000,0),MATCH(data!T$1,Haver_M!$B$1:$ZN$1,0)),"na")</f>
        <v>97.521299999999997</v>
      </c>
      <c r="U141">
        <f>IF(ISNUMBER(INDEX(Haver_M!$B$1:$ZN$1000,MATCH(data!$A141,Haver_M!$B$1:$B$1000,0),MATCH(data!U$1,Haver_M!$B$1:$ZN$1,0))),INDEX(Haver_M!$B$1:$ZN$1000,MATCH(data!$A141,Haver_M!$B$1:$B$1000,0),MATCH(data!U$1,Haver_M!$B$1:$ZN$1,0)),"na")</f>
        <v>100.3201</v>
      </c>
      <c r="V141">
        <f>IF(ISNUMBER(INDEX(Haver_M!$B$1:$ZN$1000,MATCH(data!$A141,Haver_M!$B$1:$B$1000,0),MATCH(data!V$1,Haver_M!$B$1:$ZN$1,0))),INDEX(Haver_M!$B$1:$ZN$1000,MATCH(data!$A141,Haver_M!$B$1:$B$1000,0),MATCH(data!V$1,Haver_M!$B$1:$ZN$1,0)),"na")</f>
        <v>95.644199999999998</v>
      </c>
      <c r="W141">
        <f>IF(ISNUMBER(INDEX(Haver_M!$B$1:$ZN$1000,MATCH(data!$A141,Haver_M!$B$1:$B$1000,0),MATCH(data!W$1,Haver_M!$B$1:$ZN$1,0))),INDEX(Haver_M!$B$1:$ZN$1000,MATCH(data!$A141,Haver_M!$B$1:$B$1000,0),MATCH(data!W$1,Haver_M!$B$1:$ZN$1,0)),"na")</f>
        <v>5.4</v>
      </c>
      <c r="X141">
        <f>IF(ISNUMBER(INDEX(Haver_M!$B$1:$ZN$1000,MATCH(data!$A141,Haver_M!$B$1:$B$1000,0),MATCH(data!X$1,Haver_M!$B$1:$ZN$1,0))),INDEX(Haver_M!$B$1:$ZN$1000,MATCH(data!$A141,Haver_M!$B$1:$B$1000,0),MATCH(data!X$1,Haver_M!$B$1:$ZN$1,0)),"na")</f>
        <v>100.66</v>
      </c>
      <c r="Y141">
        <f>IF(ISNUMBER(INDEX(Haver_M!$B$1:$ZN$1000,MATCH(data!$A141,Haver_M!$B$1:$B$1000,0),MATCH(data!Y$1,Haver_M!$B$1:$ZN$1,0))),INDEX(Haver_M!$B$1:$ZN$1000,MATCH(data!$A141,Haver_M!$B$1:$B$1000,0),MATCH(data!Y$1,Haver_M!$B$1:$ZN$1,0)),"na")</f>
        <v>100.55</v>
      </c>
      <c r="Z141">
        <f>IF(ISNUMBER(INDEX(Haver_M!$B$1:$ZN$1000,MATCH(data!$A141,Haver_M!$B$1:$B$1000,0),MATCH(data!Z$1,Haver_M!$B$1:$ZN$1,0))),INDEX(Haver_M!$B$1:$ZN$1000,MATCH(data!$A141,Haver_M!$B$1:$B$1000,0),MATCH(data!Z$1,Haver_M!$B$1:$ZN$1,0)),"na")</f>
        <v>95.461399999999998</v>
      </c>
      <c r="AA141">
        <f>IF(ISNUMBER(INDEX(Haver_M!$B$1:$ZN$1000,MATCH(data!$A141,Haver_M!$B$1:$B$1000,0),MATCH(data!AA$1,Haver_M!$B$1:$ZN$1,0))),INDEX(Haver_M!$B$1:$ZN$1000,MATCH(data!$A141,Haver_M!$B$1:$B$1000,0),MATCH(data!AA$1,Haver_M!$B$1:$ZN$1,0)),"na")</f>
        <v>96.832099999999997</v>
      </c>
      <c r="AB141">
        <f>IF(ISNUMBER(INDEX(Haver_M!$B$1:$ZN$1000,MATCH(data!$A141,Haver_M!$B$1:$B$1000,0),MATCH(data!AB$1,Haver_M!$B$1:$ZN$1,0))),INDEX(Haver_M!$B$1:$ZN$1000,MATCH(data!$A141,Haver_M!$B$1:$B$1000,0),MATCH(data!AB$1,Haver_M!$B$1:$ZN$1,0)),"na")</f>
        <v>29048</v>
      </c>
      <c r="AC141">
        <f>IF(ISNUMBER(INDEX(Haver_M!$B$1:$ZN$1000,MATCH(data!$A141,Haver_M!$B$1:$B$1000,0),MATCH(data!AC$1,Haver_M!$B$1:$ZN$1,0))),INDEX(Haver_M!$B$1:$ZN$1000,MATCH(data!$A141,Haver_M!$B$1:$B$1000,0),MATCH(data!AC$1,Haver_M!$B$1:$ZN$1,0)),"na")</f>
        <v>29257.5</v>
      </c>
      <c r="AD141">
        <f>IF(ISNUMBER(INDEX(Haver_M!$B$1:$ZN$1000,MATCH(data!$A141,Haver_M!$B$1:$B$1000,0),MATCH(data!AD$1,Haver_M!$B$1:$ZN$1,0))),INDEX(Haver_M!$B$1:$ZN$1000,MATCH(data!$A141,Haver_M!$B$1:$B$1000,0),MATCH(data!AD$1,Haver_M!$B$1:$ZN$1,0)),"na")</f>
        <v>99.99</v>
      </c>
      <c r="AE141">
        <f>IF(ISNUMBER(INDEX(Haver_M!$B$1:$ZN$1000,MATCH(data!$A141,Haver_M!$B$1:$B$1000,0),MATCH(data!AE$1,Haver_M!$B$1:$ZN$1,0))),INDEX(Haver_M!$B$1:$ZN$1000,MATCH(data!$A141,Haver_M!$B$1:$B$1000,0),MATCH(data!AE$1,Haver_M!$B$1:$ZN$1,0)),"na")</f>
        <v>38.4</v>
      </c>
      <c r="AF141">
        <f>IF(ISNUMBER(INDEX(Haver_M!$B$1:$ZN$1000,MATCH(data!$A141,Haver_M!$B$1:$B$1000,0),MATCH(data!AF$1,Haver_M!$B$1:$ZN$1,0))),INDEX(Haver_M!$B$1:$ZN$1000,MATCH(data!$A141,Haver_M!$B$1:$B$1000,0),MATCH(data!AF$1,Haver_M!$B$1:$ZN$1,0)),"na")</f>
        <v>100.89</v>
      </c>
      <c r="AG141">
        <f>IF(ISNUMBER(INDEX(Haver_M!$B$1:$ZN$1000,MATCH(data!$A141,Haver_M!$B$1:$B$1000,0),MATCH(data!AG$1,Haver_M!$B$1:$ZN$1,0))),INDEX(Haver_M!$B$1:$ZN$1000,MATCH(data!$A141,Haver_M!$B$1:$B$1000,0),MATCH(data!AG$1,Haver_M!$B$1:$ZN$1,0)),"na")</f>
        <v>51.741999999999997</v>
      </c>
      <c r="AH141">
        <f>IF(ISNUMBER(INDEX(Haver_M!$B$1:$ZN$1000,MATCH(data!$A141,Haver_M!$B$1:$B$1000,0),MATCH(data!AH$1,Haver_M!$B$1:$ZN$1,0))),INDEX(Haver_M!$B$1:$ZN$1000,MATCH(data!$A141,Haver_M!$B$1:$B$1000,0),MATCH(data!AH$1,Haver_M!$B$1:$ZN$1,0)),"na")</f>
        <v>52.434100000000001</v>
      </c>
      <c r="AI141">
        <f>IF(ISNUMBER(INDEX(Haver_M!$B$1:$ZN$1000,MATCH(data!$A141,Haver_M!$B$1:$B$1000,0),MATCH(data!AI$1,Haver_M!$B$1:$ZN$1,0))),INDEX(Haver_M!$B$1:$ZN$1000,MATCH(data!$A141,Haver_M!$B$1:$B$1000,0),MATCH(data!AI$1,Haver_M!$B$1:$ZN$1,0)),"na")</f>
        <v>53.327199999999998</v>
      </c>
      <c r="AJ141">
        <f>IF(ISNUMBER(INDEX(Haver_M!$B$1:$ZN$1000,MATCH(data!$A141,Haver_M!$B$1:$B$1000,0),MATCH(data!AJ$1,Haver_M!$B$1:$ZN$1,0))),INDEX(Haver_M!$B$1:$ZN$1000,MATCH(data!$A141,Haver_M!$B$1:$B$1000,0),MATCH(data!AJ$1,Haver_M!$B$1:$ZN$1,0)),"na")</f>
        <v>50.267099999999999</v>
      </c>
      <c r="AK141">
        <f>IF(ISNUMBER(INDEX(Haver_M!$B$1:$ZN$1000,MATCH(data!$A141,Haver_M!$B$1:$B$1000,0),MATCH(data!AK$1,Haver_M!$B$1:$ZN$1,0))),INDEX(Haver_M!$B$1:$ZN$1000,MATCH(data!$A141,Haver_M!$B$1:$B$1000,0),MATCH(data!AK$1,Haver_M!$B$1:$ZN$1,0)),"na")</f>
        <v>49.7151</v>
      </c>
      <c r="AL141">
        <f>IF(ISNUMBER(INDEX(Haver_M!$B$1:$ZN$1000,MATCH(data!$A141,Haver_M!$B$1:$B$1000,0),MATCH(data!AL$1,Haver_M!$B$1:$ZN$1,0))),INDEX(Haver_M!$B$1:$ZN$1000,MATCH(data!$A141,Haver_M!$B$1:$B$1000,0),MATCH(data!AL$1,Haver_M!$B$1:$ZN$1,0)),"na")</f>
        <v>50.392000000000003</v>
      </c>
      <c r="AM141">
        <f>IF(ISNUMBER(INDEX(Haver_M!$B$1:$ZN$1000,MATCH(data!$A141,Haver_M!$B$1:$B$1000,0),MATCH(data!AM$1,Haver_M!$B$1:$ZN$1,0))),INDEX(Haver_M!$B$1:$ZN$1000,MATCH(data!$A141,Haver_M!$B$1:$B$1000,0),MATCH(data!AM$1,Haver_M!$B$1:$ZN$1,0)),"na")</f>
        <v>58.105400000000003</v>
      </c>
      <c r="AN141">
        <f>IF(ISNUMBER(INDEX(Haver_M!$B$1:$ZN$1000,MATCH(data!$A141,Haver_M!$B$1:$B$1000,0),MATCH(data!AN$1,Haver_M!$B$1:$ZN$1,0))),INDEX(Haver_M!$B$1:$ZN$1000,MATCH(data!$A141,Haver_M!$B$1:$B$1000,0),MATCH(data!AN$1,Haver_M!$B$1:$ZN$1,0)),"na")</f>
        <v>52.575099999999999</v>
      </c>
      <c r="AO141">
        <f>IF(ISNUMBER(INDEX(Haver_M!$B$1:$ZN$1000,MATCH(data!$A141,Haver_M!$B$1:$B$1000,0),MATCH(data!AO$1,Haver_M!$B$1:$ZN$1,0))),INDEX(Haver_M!$B$1:$ZN$1000,MATCH(data!$A141,Haver_M!$B$1:$B$1000,0),MATCH(data!AO$1,Haver_M!$B$1:$ZN$1,0)),"na")</f>
        <v>50.392000000000003</v>
      </c>
      <c r="AP141">
        <f>IF(ISNUMBER(INDEX(Haver_M!$B$1:$ZN$1000,MATCH(data!$A141,Haver_M!$B$1:$B$1000,0),MATCH(data!AP$1,Haver_M!$B$1:$ZN$1,0))),INDEX(Haver_M!$B$1:$ZN$1000,MATCH(data!$A141,Haver_M!$B$1:$B$1000,0),MATCH(data!AP$1,Haver_M!$B$1:$ZN$1,0)),"na")</f>
        <v>49.240900000000003</v>
      </c>
      <c r="AQ141">
        <f>IF(ISNUMBER(INDEX(Haver_M!$B$1:$ZN$1000,MATCH(data!$A141,Haver_M!$B$1:$B$1000,0),MATCH(data!AQ$1,Haver_M!$B$1:$ZN$1,0))),INDEX(Haver_M!$B$1:$ZN$1000,MATCH(data!$A141,Haver_M!$B$1:$B$1000,0),MATCH(data!AQ$1,Haver_M!$B$1:$ZN$1,0)),"na")</f>
        <v>53.639800000000001</v>
      </c>
      <c r="AR141">
        <f>IF(ISNUMBER(INDEX(Haver_M!$B$1:$ZN$1000,MATCH(data!$A141,Haver_M!$B$1:$B$1000,0),MATCH(data!AR$1,Haver_M!$B$1:$ZN$1,0))),INDEX(Haver_M!$B$1:$ZN$1000,MATCH(data!$A141,Haver_M!$B$1:$B$1000,0),MATCH(data!AR$1,Haver_M!$B$1:$ZN$1,0)),"na")</f>
        <v>49.676600000000001</v>
      </c>
      <c r="AS141">
        <f>IF(ISNUMBER(INDEX(Haver_M!$B$1:$ZN$1000,MATCH(data!$A141,Haver_M!$B$1:$B$1000,0),MATCH(data!AS$1,Haver_M!$B$1:$ZN$1,0))),INDEX(Haver_M!$B$1:$ZN$1000,MATCH(data!$A141,Haver_M!$B$1:$B$1000,0),MATCH(data!AS$1,Haver_M!$B$1:$ZN$1,0)),"na")</f>
        <v>33928.19</v>
      </c>
      <c r="AT141">
        <f>IF(ISNUMBER(INDEX(Haver_M!$B$1:$ZN$1000,MATCH(data!$A141,Haver_M!$B$1:$B$1000,0),MATCH(data!AT$1,Haver_M!$B$1:$ZN$1,0))),INDEX(Haver_M!$B$1:$ZN$1000,MATCH(data!$A141,Haver_M!$B$1:$B$1000,0),MATCH(data!AT$1,Haver_M!$B$1:$ZN$1,0)),"na")</f>
        <v>97.063999999999993</v>
      </c>
      <c r="AU141">
        <f>IF(ISNUMBER(INDEX(Haver_M!$B$1:$ZN$1000,MATCH(data!$A141,Haver_M!$B$1:$B$1000,0),MATCH(data!AU$1,Haver_M!$B$1:$ZN$1,0))),INDEX(Haver_M!$B$1:$ZN$1000,MATCH(data!$A141,Haver_M!$B$1:$B$1000,0),MATCH(data!AU$1,Haver_M!$B$1:$ZN$1,0)),"na")</f>
        <v>96.086048000000005</v>
      </c>
      <c r="AV141">
        <f>IF(ISNUMBER(INDEX(Haver_M!$B$1:$ZN$1000,MATCH(data!$A141,Haver_M!$B$1:$B$1000,0),MATCH(data!AV$1,Haver_M!$B$1:$ZN$1,0))),INDEX(Haver_M!$B$1:$ZN$1000,MATCH(data!$A141,Haver_M!$B$1:$B$1000,0),MATCH(data!AV$1,Haver_M!$B$1:$ZN$1,0)),"na")</f>
        <v>100.3</v>
      </c>
      <c r="AW141">
        <f>IF(ISNUMBER(INDEX(Haver_M!$B$1:$ZN$1000,MATCH(data!$A141,Haver_M!$B$1:$B$1000,0),MATCH(data!AW$1,Haver_M!$B$1:$ZN$1,0))),INDEX(Haver_M!$B$1:$ZN$1000,MATCH(data!$A141,Haver_M!$B$1:$B$1000,0),MATCH(data!AW$1,Haver_M!$B$1:$ZN$1,0)),"na")</f>
        <v>979365.78699480509</v>
      </c>
      <c r="AX141">
        <f>IF(ISNUMBER(INDEX(Haver_M!$B$1:$ZN$1000,MATCH(data!$A141,Haver_M!$B$1:$B$1000,0),MATCH(data!AX$1,Haver_M!$B$1:$ZN$1,0))),INDEX(Haver_M!$B$1:$ZN$1000,MATCH(data!$A141,Haver_M!$B$1:$B$1000,0),MATCH(data!AX$1,Haver_M!$B$1:$ZN$1,0)),"na")</f>
        <v>2563</v>
      </c>
      <c r="AY141">
        <f>IF(ISNUMBER(INDEX(Haver_M!$B$1:$ZN$1000,MATCH(data!$A141,Haver_M!$B$1:$B$1000,0),MATCH(data!AY$1,Haver_M!$B$1:$ZN$1,0))),INDEX(Haver_M!$B$1:$ZN$1000,MATCH(data!$A141,Haver_M!$B$1:$B$1000,0),MATCH(data!AY$1,Haver_M!$B$1:$ZN$1,0)),"na")</f>
        <v>1439</v>
      </c>
      <c r="AZ141">
        <f>IF(ISNUMBER(INDEX(Haver_M!$B$1:$ZN$1000,MATCH(data!$A141,Haver_M!$B$1:$B$1000,0),MATCH(data!AZ$1,Haver_M!$B$1:$ZN$1,0))),INDEX(Haver_M!$B$1:$ZN$1000,MATCH(data!$A141,Haver_M!$B$1:$B$1000,0),MATCH(data!AZ$1,Haver_M!$B$1:$ZN$1,0)),"na")</f>
        <v>53.4</v>
      </c>
      <c r="BA141">
        <f>IF(ISNUMBER(INDEX(Haver_M!$B$1:$ZN$1000,MATCH(data!$A141,Haver_M!$B$1:$B$1000,0),MATCH(data!BA$1,Haver_M!$B$1:$ZN$1,0))),INDEX(Haver_M!$B$1:$ZN$1000,MATCH(data!$A141,Haver_M!$B$1:$B$1000,0),MATCH(data!BA$1,Haver_M!$B$1:$ZN$1,0)),"na")</f>
        <v>103.44681286657746</v>
      </c>
      <c r="BB141" t="str">
        <f>IF(ISNUMBER(INDEX(Haver_M!$B$1:$ZN$1000,MATCH(data!$A141,Haver_M!$B$1:$B$1000,0),MATCH(data!BB$1,Haver_M!$B$1:$ZN$1,0))),INDEX(Haver_M!$B$1:$ZN$1000,MATCH(data!$A141,Haver_M!$B$1:$B$1000,0),MATCH(data!BB$1,Haver_M!$B$1:$ZN$1,0)),"")</f>
        <v/>
      </c>
    </row>
    <row r="142" spans="1:54" x14ac:dyDescent="0.25">
      <c r="A142" s="2">
        <v>40816</v>
      </c>
      <c r="B142">
        <f>IF(ISNUMBER(INDEX(Haver_Q!$B$1:$BD$1000,MATCH(data!$A142,Haver_Q!$B$1:$B$1000,0),MATCH(data!B$1,Haver_Q!$B$1:$BD$1,0))),100*INDEX(Haver_Q!$B$1:$BD$1000,MATCH(data!$A142,Haver_Q!$B$1:$B$1000,0),MATCH(data!B$1,Haver_Q!$B$1:$BD$1,0)),"na")</f>
        <v>7.9265095597188751</v>
      </c>
      <c r="C142">
        <f>IF(ISNUMBER(INDEX(Haver_Q!$B$1:$BD$1000,MATCH(data!$A142,Haver_Q!$B$1:$B$1000,0),MATCH(data!C$1,Haver_Q!$B$1:$BD$1,0))),100*INDEX(Haver_Q!$B$1:$BD$1000,MATCH(data!$A142,Haver_Q!$B$1:$B$1000,0),MATCH(data!C$1,Haver_Q!$B$1:$BD$1,0)),"na")</f>
        <v>8.1852507947546282</v>
      </c>
      <c r="D142">
        <f>IF(ISNUMBER(INDEX(Haver_Q!$B$1:$BD$1000,MATCH(data!$A142,Haver_Q!$B$1:$B$1000,0),MATCH(data!D$1,Haver_Q!$B$1:$BD$1,0))),100*INDEX(Haver_Q!$B$1:$BD$1000,MATCH(data!$A142,Haver_Q!$B$1:$B$1000,0),MATCH(data!D$1,Haver_Q!$B$1:$BD$1,0)),"na")</f>
        <v>5.2447762565865252</v>
      </c>
      <c r="E142">
        <f>IF(ISNUMBER(INDEX(Haver_Q!$B$1:$BD$1000,MATCH(data!$A142,Haver_Q!$B$1:$B$1000,0),MATCH(data!E$1,Haver_Q!$B$1:$BD$1,0))),100*INDEX(Haver_Q!$B$1:$BD$1000,MATCH(data!$A142,Haver_Q!$B$1:$B$1000,0),MATCH(data!E$1,Haver_Q!$B$1:$BD$1,0)),"na")</f>
        <v>10.143899522609857</v>
      </c>
      <c r="F142">
        <f>IF(ISNUMBER(INDEX(Haver_Q!$B$1:$BD$1000,MATCH(data!$A142,Haver_Q!$B$1:$B$1000,0),MATCH(data!F$1,Haver_Q!$B$1:$BD$1,0))),100*INDEX(Haver_Q!$B$1:$BD$1000,MATCH(data!$A142,Haver_Q!$B$1:$B$1000,0),MATCH(data!F$1,Haver_Q!$B$1:$BD$1,0)),"na")</f>
        <v>2.9565221149584486</v>
      </c>
      <c r="G142">
        <f>IF(ISNUMBER(INDEX(Haver_Q!$B$1:$BD$1000,MATCH(data!$A142,Haver_Q!$B$1:$B$1000,0),MATCH(data!G$1,Haver_Q!$B$1:$BD$1,0))),100*INDEX(Haver_Q!$B$1:$BD$1000,MATCH(data!$A142,Haver_Q!$B$1:$B$1000,0),MATCH(data!G$1,Haver_Q!$B$1:$BD$1,0)),"na")</f>
        <v>9.9003922488651206</v>
      </c>
      <c r="H142">
        <f>IF(ISNUMBER(INDEX(Haver_Q!$B$1:$BD$1000,MATCH(data!$A142,Haver_Q!$B$1:$B$1000,0),MATCH(data!H$1,Haver_Q!$B$1:$BD$1,0))),100*INDEX(Haver_Q!$B$1:$BD$1000,MATCH(data!$A142,Haver_Q!$B$1:$B$1000,0),MATCH(data!H$1,Haver_Q!$B$1:$BD$1,0)),"na")</f>
        <v>329.96466764784708</v>
      </c>
      <c r="I142" s="3">
        <f>IF(ISNUMBER(Bloomberg_m!C158),Bloomberg_m!C158,"na")</f>
        <v>1840</v>
      </c>
      <c r="J142" s="3">
        <f>IF(ISNUMBER(Bloomberg_m!D158),Bloomberg_m!D158,"na")</f>
        <v>1653.65</v>
      </c>
      <c r="K142" s="3">
        <f>IF(ISNUMBER(Bloomberg_m!E158),Bloomberg_m!E158,"na")</f>
        <v>1016.76</v>
      </c>
      <c r="L142" s="3">
        <f>IF(ISNUMBER(Bloomberg_m!L158),Bloomberg_m!L158,"na")</f>
        <v>85.58</v>
      </c>
      <c r="M142">
        <f>IF(ISNUMBER(INDEX(Haver_M!$B$1:$ZN$1000,MATCH(data!$A142,Haver_M!$B$1:$B$1000,0),MATCH(data!M$1,Haver_M!$B$1:$ZN$1,0))),INDEX(Haver_M!$B$1:$ZN$1000,MATCH(data!$A142,Haver_M!$B$1:$B$1000,0),MATCH(data!M$1,Haver_M!$B$1:$ZN$1,0)),"na")</f>
        <v>4.5</v>
      </c>
      <c r="N142">
        <f>IF(ISNUMBER(INDEX(Haver_M!$B$1:$ZN$1000,MATCH(data!$A142,Haver_M!$B$1:$B$1000,0),MATCH(data!N$1,Haver_M!$B$1:$ZN$1,0))),INDEX(Haver_M!$B$1:$ZN$1000,MATCH(data!$A142,Haver_M!$B$1:$B$1000,0),MATCH(data!N$1,Haver_M!$B$1:$ZN$1,0)),"na")</f>
        <v>6.2332999999999998</v>
      </c>
      <c r="O142">
        <f>IF(ISNUMBER(INDEX(Haver_M!$B$1:$ZN$1000,MATCH(data!$A142,Haver_M!$B$1:$B$1000,0),MATCH(data!O$1,Haver_M!$B$1:$ZN$1,0))),INDEX(Haver_M!$B$1:$ZN$1000,MATCH(data!$A142,Haver_M!$B$1:$B$1000,0),MATCH(data!O$1,Haver_M!$B$1:$ZN$1,0)),"na")</f>
        <v>93.184489999999997</v>
      </c>
      <c r="P142">
        <f>IF(ISNUMBER(INDEX(Haver_M!$B$1:$ZN$1000,MATCH(data!$A142,Haver_M!$B$1:$B$1000,0),MATCH(data!P$1,Haver_M!$B$1:$ZN$1,0))),INDEX(Haver_M!$B$1:$ZN$1000,MATCH(data!$A142,Haver_M!$B$1:$B$1000,0),MATCH(data!P$1,Haver_M!$B$1:$ZN$1,0)),"na")</f>
        <v>76.189599999999999</v>
      </c>
      <c r="Q142">
        <f>IF(ISNUMBER(INDEX(Haver_M!$B$1:$ZN$1000,MATCH(data!$A142,Haver_M!$B$1:$B$1000,0),MATCH(data!Q$1,Haver_M!$B$1:$ZN$1,0))),INDEX(Haver_M!$B$1:$ZN$1000,MATCH(data!$A142,Haver_M!$B$1:$B$1000,0),MATCH(data!Q$1,Haver_M!$B$1:$ZN$1,0)),"na")</f>
        <v>79.988299999999995</v>
      </c>
      <c r="R142">
        <f>IF(ISNUMBER(INDEX(Haver_M!$B$1:$ZN$1000,MATCH(data!$A142,Haver_M!$B$1:$B$1000,0),MATCH(data!R$1,Haver_M!$B$1:$ZN$1,0))),INDEX(Haver_M!$B$1:$ZN$1000,MATCH(data!$A142,Haver_M!$B$1:$B$1000,0),MATCH(data!R$1,Haver_M!$B$1:$ZN$1,0)),"na")</f>
        <v>97.186300000000003</v>
      </c>
      <c r="S142">
        <f>IF(ISNUMBER(INDEX(Haver_M!$B$1:$ZN$1000,MATCH(data!$A142,Haver_M!$B$1:$B$1000,0),MATCH(data!S$1,Haver_M!$B$1:$ZN$1,0))),INDEX(Haver_M!$B$1:$ZN$1000,MATCH(data!$A142,Haver_M!$B$1:$B$1000,0),MATCH(data!S$1,Haver_M!$B$1:$ZN$1,0)),"na")</f>
        <v>97.929699999999997</v>
      </c>
      <c r="T142">
        <f>IF(ISNUMBER(INDEX(Haver_M!$B$1:$ZN$1000,MATCH(data!$A142,Haver_M!$B$1:$B$1000,0),MATCH(data!T$1,Haver_M!$B$1:$ZN$1,0))),INDEX(Haver_M!$B$1:$ZN$1000,MATCH(data!$A142,Haver_M!$B$1:$B$1000,0),MATCH(data!T$1,Haver_M!$B$1:$ZN$1,0)),"na")</f>
        <v>97.837500000000006</v>
      </c>
      <c r="U142">
        <f>IF(ISNUMBER(INDEX(Haver_M!$B$1:$ZN$1000,MATCH(data!$A142,Haver_M!$B$1:$B$1000,0),MATCH(data!U$1,Haver_M!$B$1:$ZN$1,0))),INDEX(Haver_M!$B$1:$ZN$1000,MATCH(data!$A142,Haver_M!$B$1:$B$1000,0),MATCH(data!U$1,Haver_M!$B$1:$ZN$1,0)),"na")</f>
        <v>99.367999999999995</v>
      </c>
      <c r="V142">
        <f>IF(ISNUMBER(INDEX(Haver_M!$B$1:$ZN$1000,MATCH(data!$A142,Haver_M!$B$1:$B$1000,0),MATCH(data!V$1,Haver_M!$B$1:$ZN$1,0))),INDEX(Haver_M!$B$1:$ZN$1000,MATCH(data!$A142,Haver_M!$B$1:$B$1000,0),MATCH(data!V$1,Haver_M!$B$1:$ZN$1,0)),"na")</f>
        <v>96.203699999999998</v>
      </c>
      <c r="W142">
        <f>IF(ISNUMBER(INDEX(Haver_M!$B$1:$ZN$1000,MATCH(data!$A142,Haver_M!$B$1:$B$1000,0),MATCH(data!W$1,Haver_M!$B$1:$ZN$1,0))),INDEX(Haver_M!$B$1:$ZN$1000,MATCH(data!$A142,Haver_M!$B$1:$B$1000,0),MATCH(data!W$1,Haver_M!$B$1:$ZN$1,0)),"na")</f>
        <v>5.31</v>
      </c>
      <c r="X142">
        <f>IF(ISNUMBER(INDEX(Haver_M!$B$1:$ZN$1000,MATCH(data!$A142,Haver_M!$B$1:$B$1000,0),MATCH(data!X$1,Haver_M!$B$1:$ZN$1,0))),INDEX(Haver_M!$B$1:$ZN$1000,MATCH(data!$A142,Haver_M!$B$1:$B$1000,0),MATCH(data!X$1,Haver_M!$B$1:$ZN$1,0)),"na")</f>
        <v>100.5</v>
      </c>
      <c r="Y142">
        <f>IF(ISNUMBER(INDEX(Haver_M!$B$1:$ZN$1000,MATCH(data!$A142,Haver_M!$B$1:$B$1000,0),MATCH(data!Y$1,Haver_M!$B$1:$ZN$1,0))),INDEX(Haver_M!$B$1:$ZN$1000,MATCH(data!$A142,Haver_M!$B$1:$B$1000,0),MATCH(data!Y$1,Haver_M!$B$1:$ZN$1,0)),"na")</f>
        <v>100.36</v>
      </c>
      <c r="Z142">
        <f>IF(ISNUMBER(INDEX(Haver_M!$B$1:$ZN$1000,MATCH(data!$A142,Haver_M!$B$1:$B$1000,0),MATCH(data!Z$1,Haver_M!$B$1:$ZN$1,0))),INDEX(Haver_M!$B$1:$ZN$1000,MATCH(data!$A142,Haver_M!$B$1:$B$1000,0),MATCH(data!Z$1,Haver_M!$B$1:$ZN$1,0)),"na")</f>
        <v>96.504900000000006</v>
      </c>
      <c r="AA142">
        <f>IF(ISNUMBER(INDEX(Haver_M!$B$1:$ZN$1000,MATCH(data!$A142,Haver_M!$B$1:$B$1000,0),MATCH(data!AA$1,Haver_M!$B$1:$ZN$1,0))),INDEX(Haver_M!$B$1:$ZN$1000,MATCH(data!$A142,Haver_M!$B$1:$B$1000,0),MATCH(data!AA$1,Haver_M!$B$1:$ZN$1,0)),"na")</f>
        <v>99.906499999999994</v>
      </c>
      <c r="AB142">
        <f>IF(ISNUMBER(INDEX(Haver_M!$B$1:$ZN$1000,MATCH(data!$A142,Haver_M!$B$1:$B$1000,0),MATCH(data!AB$1,Haver_M!$B$1:$ZN$1,0))),INDEX(Haver_M!$B$1:$ZN$1000,MATCH(data!$A142,Haver_M!$B$1:$B$1000,0),MATCH(data!AB$1,Haver_M!$B$1:$ZN$1,0)),"na")</f>
        <v>29106.7</v>
      </c>
      <c r="AC142">
        <f>IF(ISNUMBER(INDEX(Haver_M!$B$1:$ZN$1000,MATCH(data!$A142,Haver_M!$B$1:$B$1000,0),MATCH(data!AC$1,Haver_M!$B$1:$ZN$1,0))),INDEX(Haver_M!$B$1:$ZN$1000,MATCH(data!$A142,Haver_M!$B$1:$B$1000,0),MATCH(data!AC$1,Haver_M!$B$1:$ZN$1,0)),"na")</f>
        <v>30157.599999999999</v>
      </c>
      <c r="AD142">
        <f>IF(ISNUMBER(INDEX(Haver_M!$B$1:$ZN$1000,MATCH(data!$A142,Haver_M!$B$1:$B$1000,0),MATCH(data!AD$1,Haver_M!$B$1:$ZN$1,0))),INDEX(Haver_M!$B$1:$ZN$1000,MATCH(data!$A142,Haver_M!$B$1:$B$1000,0),MATCH(data!AD$1,Haver_M!$B$1:$ZN$1,0)),"na")</f>
        <v>100.06</v>
      </c>
      <c r="AE142">
        <f>IF(ISNUMBER(INDEX(Haver_M!$B$1:$ZN$1000,MATCH(data!$A142,Haver_M!$B$1:$B$1000,0),MATCH(data!AE$1,Haver_M!$B$1:$ZN$1,0))),INDEX(Haver_M!$B$1:$ZN$1000,MATCH(data!$A142,Haver_M!$B$1:$B$1000,0),MATCH(data!AE$1,Haver_M!$B$1:$ZN$1,0)),"na")</f>
        <v>38.1</v>
      </c>
      <c r="AF142">
        <f>IF(ISNUMBER(INDEX(Haver_M!$B$1:$ZN$1000,MATCH(data!$A142,Haver_M!$B$1:$B$1000,0),MATCH(data!AF$1,Haver_M!$B$1:$ZN$1,0))),INDEX(Haver_M!$B$1:$ZN$1000,MATCH(data!$A142,Haver_M!$B$1:$B$1000,0),MATCH(data!AF$1,Haver_M!$B$1:$ZN$1,0)),"na")</f>
        <v>100.76</v>
      </c>
      <c r="AG142">
        <f>IF(ISNUMBER(INDEX(Haver_M!$B$1:$ZN$1000,MATCH(data!$A142,Haver_M!$B$1:$B$1000,0),MATCH(data!AG$1,Haver_M!$B$1:$ZN$1,0))),INDEX(Haver_M!$B$1:$ZN$1000,MATCH(data!$A142,Haver_M!$B$1:$B$1000,0),MATCH(data!AG$1,Haver_M!$B$1:$ZN$1,0)),"na")</f>
        <v>53.033200000000001</v>
      </c>
      <c r="AH142">
        <f>IF(ISNUMBER(INDEX(Haver_M!$B$1:$ZN$1000,MATCH(data!$A142,Haver_M!$B$1:$B$1000,0),MATCH(data!AH$1,Haver_M!$B$1:$ZN$1,0))),INDEX(Haver_M!$B$1:$ZN$1000,MATCH(data!$A142,Haver_M!$B$1:$B$1000,0),MATCH(data!AH$1,Haver_M!$B$1:$ZN$1,0)),"na")</f>
        <v>54.545900000000003</v>
      </c>
      <c r="AI142">
        <f>IF(ISNUMBER(INDEX(Haver_M!$B$1:$ZN$1000,MATCH(data!$A142,Haver_M!$B$1:$B$1000,0),MATCH(data!AI$1,Haver_M!$B$1:$ZN$1,0))),INDEX(Haver_M!$B$1:$ZN$1000,MATCH(data!$A142,Haver_M!$B$1:$B$1000,0),MATCH(data!AI$1,Haver_M!$B$1:$ZN$1,0)),"na")</f>
        <v>55.04</v>
      </c>
      <c r="AJ142">
        <f>IF(ISNUMBER(INDEX(Haver_M!$B$1:$ZN$1000,MATCH(data!$A142,Haver_M!$B$1:$B$1000,0),MATCH(data!AJ$1,Haver_M!$B$1:$ZN$1,0))),INDEX(Haver_M!$B$1:$ZN$1000,MATCH(data!$A142,Haver_M!$B$1:$B$1000,0),MATCH(data!AJ$1,Haver_M!$B$1:$ZN$1,0)),"na")</f>
        <v>50.4514</v>
      </c>
      <c r="AK142">
        <f>IF(ISNUMBER(INDEX(Haver_M!$B$1:$ZN$1000,MATCH(data!$A142,Haver_M!$B$1:$B$1000,0),MATCH(data!AK$1,Haver_M!$B$1:$ZN$1,0))),INDEX(Haver_M!$B$1:$ZN$1000,MATCH(data!$A142,Haver_M!$B$1:$B$1000,0),MATCH(data!AK$1,Haver_M!$B$1:$ZN$1,0)),"na")</f>
        <v>48.195399999999999</v>
      </c>
      <c r="AL142">
        <f>IF(ISNUMBER(INDEX(Haver_M!$B$1:$ZN$1000,MATCH(data!$A142,Haver_M!$B$1:$B$1000,0),MATCH(data!AL$1,Haver_M!$B$1:$ZN$1,0))),INDEX(Haver_M!$B$1:$ZN$1000,MATCH(data!$A142,Haver_M!$B$1:$B$1000,0),MATCH(data!AL$1,Haver_M!$B$1:$ZN$1,0)),"na")</f>
        <v>50.237200000000001</v>
      </c>
      <c r="AM142">
        <f>IF(ISNUMBER(INDEX(Haver_M!$B$1:$ZN$1000,MATCH(data!$A142,Haver_M!$B$1:$B$1000,0),MATCH(data!AM$1,Haver_M!$B$1:$ZN$1,0))),INDEX(Haver_M!$B$1:$ZN$1000,MATCH(data!$A142,Haver_M!$B$1:$B$1000,0),MATCH(data!AM$1,Haver_M!$B$1:$ZN$1,0)),"na")</f>
        <v>62.676099999999998</v>
      </c>
      <c r="AN142">
        <f>IF(ISNUMBER(INDEX(Haver_M!$B$1:$ZN$1000,MATCH(data!$A142,Haver_M!$B$1:$B$1000,0),MATCH(data!AN$1,Haver_M!$B$1:$ZN$1,0))),INDEX(Haver_M!$B$1:$ZN$1000,MATCH(data!$A142,Haver_M!$B$1:$B$1000,0),MATCH(data!AN$1,Haver_M!$B$1:$ZN$1,0)),"na")</f>
        <v>54.5002</v>
      </c>
      <c r="AO142">
        <f>IF(ISNUMBER(INDEX(Haver_M!$B$1:$ZN$1000,MATCH(data!$A142,Haver_M!$B$1:$B$1000,0),MATCH(data!AO$1,Haver_M!$B$1:$ZN$1,0))),INDEX(Haver_M!$B$1:$ZN$1000,MATCH(data!$A142,Haver_M!$B$1:$B$1000,0),MATCH(data!AO$1,Haver_M!$B$1:$ZN$1,0)),"na")</f>
        <v>50.237200000000001</v>
      </c>
      <c r="AP142">
        <f>IF(ISNUMBER(INDEX(Haver_M!$B$1:$ZN$1000,MATCH(data!$A142,Haver_M!$B$1:$B$1000,0),MATCH(data!AP$1,Haver_M!$B$1:$ZN$1,0))),INDEX(Haver_M!$B$1:$ZN$1000,MATCH(data!$A142,Haver_M!$B$1:$B$1000,0),MATCH(data!AP$1,Haver_M!$B$1:$ZN$1,0)),"na")</f>
        <v>52.489100000000001</v>
      </c>
      <c r="AQ142">
        <f>IF(ISNUMBER(INDEX(Haver_M!$B$1:$ZN$1000,MATCH(data!$A142,Haver_M!$B$1:$B$1000,0),MATCH(data!AQ$1,Haver_M!$B$1:$ZN$1,0))),INDEX(Haver_M!$B$1:$ZN$1000,MATCH(data!$A142,Haver_M!$B$1:$B$1000,0),MATCH(data!AQ$1,Haver_M!$B$1:$ZN$1,0)),"na")</f>
        <v>55.729399999999998</v>
      </c>
      <c r="AR142">
        <f>IF(ISNUMBER(INDEX(Haver_M!$B$1:$ZN$1000,MATCH(data!$A142,Haver_M!$B$1:$B$1000,0),MATCH(data!AR$1,Haver_M!$B$1:$ZN$1,0))),INDEX(Haver_M!$B$1:$ZN$1000,MATCH(data!$A142,Haver_M!$B$1:$B$1000,0),MATCH(data!AR$1,Haver_M!$B$1:$ZN$1,0)),"na")</f>
        <v>49.379399999999997</v>
      </c>
      <c r="AS142">
        <f>IF(ISNUMBER(INDEX(Haver_M!$B$1:$ZN$1000,MATCH(data!$A142,Haver_M!$B$1:$B$1000,0),MATCH(data!AS$1,Haver_M!$B$1:$ZN$1,0))),INDEX(Haver_M!$B$1:$ZN$1000,MATCH(data!$A142,Haver_M!$B$1:$B$1000,0),MATCH(data!AS$1,Haver_M!$B$1:$ZN$1,0)),"na")</f>
        <v>34122.879999999997</v>
      </c>
      <c r="AT142">
        <f>IF(ISNUMBER(INDEX(Haver_M!$B$1:$ZN$1000,MATCH(data!$A142,Haver_M!$B$1:$B$1000,0),MATCH(data!AT$1,Haver_M!$B$1:$ZN$1,0))),INDEX(Haver_M!$B$1:$ZN$1000,MATCH(data!$A142,Haver_M!$B$1:$B$1000,0),MATCH(data!AT$1,Haver_M!$B$1:$ZN$1,0)),"na")</f>
        <v>97.644000000000005</v>
      </c>
      <c r="AU142">
        <f>IF(ISNUMBER(INDEX(Haver_M!$B$1:$ZN$1000,MATCH(data!$A142,Haver_M!$B$1:$B$1000,0),MATCH(data!AU$1,Haver_M!$B$1:$ZN$1,0))),INDEX(Haver_M!$B$1:$ZN$1000,MATCH(data!$A142,Haver_M!$B$1:$B$1000,0),MATCH(data!AU$1,Haver_M!$B$1:$ZN$1,0)),"na")</f>
        <v>96.186543</v>
      </c>
      <c r="AV142">
        <f>IF(ISNUMBER(INDEX(Haver_M!$B$1:$ZN$1000,MATCH(data!$A142,Haver_M!$B$1:$B$1000,0),MATCH(data!AV$1,Haver_M!$B$1:$ZN$1,0))),INDEX(Haver_M!$B$1:$ZN$1000,MATCH(data!$A142,Haver_M!$B$1:$B$1000,0),MATCH(data!AV$1,Haver_M!$B$1:$ZN$1,0)),"na")</f>
        <v>99.2</v>
      </c>
      <c r="AW142">
        <f>IF(ISNUMBER(INDEX(Haver_M!$B$1:$ZN$1000,MATCH(data!$A142,Haver_M!$B$1:$B$1000,0),MATCH(data!AW$1,Haver_M!$B$1:$ZN$1,0))),INDEX(Haver_M!$B$1:$ZN$1000,MATCH(data!$A142,Haver_M!$B$1:$B$1000,0),MATCH(data!AW$1,Haver_M!$B$1:$ZN$1,0)),"na")</f>
        <v>994897.17107402312</v>
      </c>
      <c r="AX142">
        <f>IF(ISNUMBER(INDEX(Haver_M!$B$1:$ZN$1000,MATCH(data!$A142,Haver_M!$B$1:$B$1000,0),MATCH(data!AX$1,Haver_M!$B$1:$ZN$1,0))),INDEX(Haver_M!$B$1:$ZN$1000,MATCH(data!$A142,Haver_M!$B$1:$B$1000,0),MATCH(data!AX$1,Haver_M!$B$1:$ZN$1,0)),"na")</f>
        <v>2488</v>
      </c>
      <c r="AY142">
        <f>IF(ISNUMBER(INDEX(Haver_M!$B$1:$ZN$1000,MATCH(data!$A142,Haver_M!$B$1:$B$1000,0),MATCH(data!AY$1,Haver_M!$B$1:$ZN$1,0))),INDEX(Haver_M!$B$1:$ZN$1000,MATCH(data!$A142,Haver_M!$B$1:$B$1000,0),MATCH(data!AY$1,Haver_M!$B$1:$ZN$1,0)),"na")</f>
        <v>1242</v>
      </c>
      <c r="AZ142">
        <f>IF(ISNUMBER(INDEX(Haver_M!$B$1:$ZN$1000,MATCH(data!$A142,Haver_M!$B$1:$B$1000,0),MATCH(data!AZ$1,Haver_M!$B$1:$ZN$1,0))),INDEX(Haver_M!$B$1:$ZN$1000,MATCH(data!$A142,Haver_M!$B$1:$B$1000,0),MATCH(data!AZ$1,Haver_M!$B$1:$ZN$1,0)),"na")</f>
        <v>53.1</v>
      </c>
      <c r="BA142">
        <f>IF(ISNUMBER(INDEX(Haver_M!$B$1:$ZN$1000,MATCH(data!$A142,Haver_M!$B$1:$B$1000,0),MATCH(data!BA$1,Haver_M!$B$1:$ZN$1,0))),INDEX(Haver_M!$B$1:$ZN$1000,MATCH(data!$A142,Haver_M!$B$1:$B$1000,0),MATCH(data!BA$1,Haver_M!$B$1:$ZN$1,0)),"na")</f>
        <v>78.71412343976256</v>
      </c>
      <c r="BB142" t="str">
        <f>IF(ISNUMBER(INDEX(Haver_M!$B$1:$ZN$1000,MATCH(data!$A142,Haver_M!$B$1:$B$1000,0),MATCH(data!BB$1,Haver_M!$B$1:$ZN$1,0))),INDEX(Haver_M!$B$1:$ZN$1000,MATCH(data!$A142,Haver_M!$B$1:$B$1000,0),MATCH(data!BB$1,Haver_M!$B$1:$ZN$1,0)),"")</f>
        <v/>
      </c>
    </row>
    <row r="143" spans="1:54" x14ac:dyDescent="0.25">
      <c r="A143" s="2">
        <v>40847</v>
      </c>
      <c r="B143" t="str">
        <f>IF(ISNUMBER(INDEX(Haver_Q!$B$1:$BD$1000,MATCH(data!$A143,Haver_Q!$B$1:$B$1000,0),MATCH(data!B$1,Haver_Q!$B$1:$BD$1,0))),100*INDEX(Haver_Q!$B$1:$BD$1000,MATCH(data!$A143,Haver_Q!$B$1:$B$1000,0),MATCH(data!B$1,Haver_Q!$B$1:$BD$1,0)),"na")</f>
        <v>na</v>
      </c>
      <c r="C143" t="str">
        <f>IF(ISNUMBER(INDEX(Haver_Q!$B$1:$BD$1000,MATCH(data!$A143,Haver_Q!$B$1:$B$1000,0),MATCH(data!C$1,Haver_Q!$B$1:$BD$1,0))),100*INDEX(Haver_Q!$B$1:$BD$1000,MATCH(data!$A143,Haver_Q!$B$1:$B$1000,0),MATCH(data!C$1,Haver_Q!$B$1:$BD$1,0)),"na")</f>
        <v>na</v>
      </c>
      <c r="D143" t="str">
        <f>IF(ISNUMBER(INDEX(Haver_Q!$B$1:$BD$1000,MATCH(data!$A143,Haver_Q!$B$1:$B$1000,0),MATCH(data!D$1,Haver_Q!$B$1:$BD$1,0))),100*INDEX(Haver_Q!$B$1:$BD$1000,MATCH(data!$A143,Haver_Q!$B$1:$B$1000,0),MATCH(data!D$1,Haver_Q!$B$1:$BD$1,0)),"na")</f>
        <v>na</v>
      </c>
      <c r="E143" t="str">
        <f>IF(ISNUMBER(INDEX(Haver_Q!$B$1:$BD$1000,MATCH(data!$A143,Haver_Q!$B$1:$B$1000,0),MATCH(data!E$1,Haver_Q!$B$1:$BD$1,0))),100*INDEX(Haver_Q!$B$1:$BD$1000,MATCH(data!$A143,Haver_Q!$B$1:$B$1000,0),MATCH(data!E$1,Haver_Q!$B$1:$BD$1,0)),"na")</f>
        <v>na</v>
      </c>
      <c r="F143" t="str">
        <f>IF(ISNUMBER(INDEX(Haver_Q!$B$1:$BD$1000,MATCH(data!$A143,Haver_Q!$B$1:$B$1000,0),MATCH(data!F$1,Haver_Q!$B$1:$BD$1,0))),100*INDEX(Haver_Q!$B$1:$BD$1000,MATCH(data!$A143,Haver_Q!$B$1:$B$1000,0),MATCH(data!F$1,Haver_Q!$B$1:$BD$1,0)),"na")</f>
        <v>na</v>
      </c>
      <c r="G143" t="str">
        <f>IF(ISNUMBER(INDEX(Haver_Q!$B$1:$BD$1000,MATCH(data!$A143,Haver_Q!$B$1:$B$1000,0),MATCH(data!G$1,Haver_Q!$B$1:$BD$1,0))),100*INDEX(Haver_Q!$B$1:$BD$1000,MATCH(data!$A143,Haver_Q!$B$1:$B$1000,0),MATCH(data!G$1,Haver_Q!$B$1:$BD$1,0)),"na")</f>
        <v>na</v>
      </c>
      <c r="H143" t="str">
        <f>IF(ISNUMBER(INDEX(Haver_Q!$B$1:$BD$1000,MATCH(data!$A143,Haver_Q!$B$1:$B$1000,0),MATCH(data!H$1,Haver_Q!$B$1:$BD$1,0))),100*INDEX(Haver_Q!$B$1:$BD$1000,MATCH(data!$A143,Haver_Q!$B$1:$B$1000,0),MATCH(data!H$1,Haver_Q!$B$1:$BD$1,0)),"na")</f>
        <v>na</v>
      </c>
      <c r="I143" s="3">
        <f>IF(ISNUMBER(Bloomberg_m!C159),Bloomberg_m!C159,"na")</f>
        <v>2072</v>
      </c>
      <c r="J143" s="3">
        <f>IF(ISNUMBER(Bloomberg_m!D159),Bloomberg_m!D159,"na")</f>
        <v>1487.56</v>
      </c>
      <c r="K143" s="3">
        <f>IF(ISNUMBER(Bloomberg_m!E159),Bloomberg_m!E159,"na")</f>
        <v>939.77</v>
      </c>
      <c r="L143" s="3">
        <f>IF(ISNUMBER(Bloomberg_m!L159),Bloomberg_m!L159,"na")</f>
        <v>86.41</v>
      </c>
      <c r="M143">
        <f>IF(ISNUMBER(INDEX(Haver_M!$B$1:$ZN$1000,MATCH(data!$A143,Haver_M!$B$1:$B$1000,0),MATCH(data!M$1,Haver_M!$B$1:$ZN$1,0))),INDEX(Haver_M!$B$1:$ZN$1000,MATCH(data!$A143,Haver_M!$B$1:$B$1000,0),MATCH(data!M$1,Haver_M!$B$1:$ZN$1,0)),"na")</f>
        <v>4.5</v>
      </c>
      <c r="N143">
        <f>IF(ISNUMBER(INDEX(Haver_M!$B$1:$ZN$1000,MATCH(data!$A143,Haver_M!$B$1:$B$1000,0),MATCH(data!N$1,Haver_M!$B$1:$ZN$1,0))),INDEX(Haver_M!$B$1:$ZN$1000,MATCH(data!$A143,Haver_M!$B$1:$B$1000,0),MATCH(data!N$1,Haver_M!$B$1:$ZN$1,0)),"na")</f>
        <v>6.3552999999999997</v>
      </c>
      <c r="O143">
        <f>IF(ISNUMBER(INDEX(Haver_M!$B$1:$ZN$1000,MATCH(data!$A143,Haver_M!$B$1:$B$1000,0),MATCH(data!O$1,Haver_M!$B$1:$ZN$1,0))),INDEX(Haver_M!$B$1:$ZN$1000,MATCH(data!$A143,Haver_M!$B$1:$B$1000,0),MATCH(data!O$1,Haver_M!$B$1:$ZN$1,0)),"na")</f>
        <v>91.371420000000001</v>
      </c>
      <c r="P143">
        <f>IF(ISNUMBER(INDEX(Haver_M!$B$1:$ZN$1000,MATCH(data!$A143,Haver_M!$B$1:$B$1000,0),MATCH(data!P$1,Haver_M!$B$1:$ZN$1,0))),INDEX(Haver_M!$B$1:$ZN$1000,MATCH(data!$A143,Haver_M!$B$1:$B$1000,0),MATCH(data!P$1,Haver_M!$B$1:$ZN$1,0)),"na")</f>
        <v>76.569900000000004</v>
      </c>
      <c r="Q143">
        <f>IF(ISNUMBER(INDEX(Haver_M!$B$1:$ZN$1000,MATCH(data!$A143,Haver_M!$B$1:$B$1000,0),MATCH(data!Q$1,Haver_M!$B$1:$ZN$1,0))),INDEX(Haver_M!$B$1:$ZN$1000,MATCH(data!$A143,Haver_M!$B$1:$B$1000,0),MATCH(data!Q$1,Haver_M!$B$1:$ZN$1,0)),"na")</f>
        <v>80.214299999999994</v>
      </c>
      <c r="R143">
        <f>IF(ISNUMBER(INDEX(Haver_M!$B$1:$ZN$1000,MATCH(data!$A143,Haver_M!$B$1:$B$1000,0),MATCH(data!R$1,Haver_M!$B$1:$ZN$1,0))),INDEX(Haver_M!$B$1:$ZN$1000,MATCH(data!$A143,Haver_M!$B$1:$B$1000,0),MATCH(data!R$1,Haver_M!$B$1:$ZN$1,0)),"na")</f>
        <v>99.094399999999993</v>
      </c>
      <c r="S143">
        <f>IF(ISNUMBER(INDEX(Haver_M!$B$1:$ZN$1000,MATCH(data!$A143,Haver_M!$B$1:$B$1000,0),MATCH(data!S$1,Haver_M!$B$1:$ZN$1,0))),INDEX(Haver_M!$B$1:$ZN$1000,MATCH(data!$A143,Haver_M!$B$1:$B$1000,0),MATCH(data!S$1,Haver_M!$B$1:$ZN$1,0)),"na")</f>
        <v>101.12690000000001</v>
      </c>
      <c r="T143">
        <f>IF(ISNUMBER(INDEX(Haver_M!$B$1:$ZN$1000,MATCH(data!$A143,Haver_M!$B$1:$B$1000,0),MATCH(data!T$1,Haver_M!$B$1:$ZN$1,0))),INDEX(Haver_M!$B$1:$ZN$1000,MATCH(data!$A143,Haver_M!$B$1:$B$1000,0),MATCH(data!T$1,Haver_M!$B$1:$ZN$1,0)),"na")</f>
        <v>97.518699999999995</v>
      </c>
      <c r="U143">
        <f>IF(ISNUMBER(INDEX(Haver_M!$B$1:$ZN$1000,MATCH(data!$A143,Haver_M!$B$1:$B$1000,0),MATCH(data!U$1,Haver_M!$B$1:$ZN$1,0))),INDEX(Haver_M!$B$1:$ZN$1000,MATCH(data!$A143,Haver_M!$B$1:$B$1000,0),MATCH(data!U$1,Haver_M!$B$1:$ZN$1,0)),"na")</f>
        <v>101.2516</v>
      </c>
      <c r="V143">
        <f>IF(ISNUMBER(INDEX(Haver_M!$B$1:$ZN$1000,MATCH(data!$A143,Haver_M!$B$1:$B$1000,0),MATCH(data!V$1,Haver_M!$B$1:$ZN$1,0))),INDEX(Haver_M!$B$1:$ZN$1000,MATCH(data!$A143,Haver_M!$B$1:$B$1000,0),MATCH(data!V$1,Haver_M!$B$1:$ZN$1,0)),"na")</f>
        <v>97.110500000000002</v>
      </c>
      <c r="W143">
        <f>IF(ISNUMBER(INDEX(Haver_M!$B$1:$ZN$1000,MATCH(data!$A143,Haver_M!$B$1:$B$1000,0),MATCH(data!W$1,Haver_M!$B$1:$ZN$1,0))),INDEX(Haver_M!$B$1:$ZN$1000,MATCH(data!$A143,Haver_M!$B$1:$B$1000,0),MATCH(data!W$1,Haver_M!$B$1:$ZN$1,0)),"na")</f>
        <v>4.83</v>
      </c>
      <c r="X143">
        <f>IF(ISNUMBER(INDEX(Haver_M!$B$1:$ZN$1000,MATCH(data!$A143,Haver_M!$B$1:$B$1000,0),MATCH(data!X$1,Haver_M!$B$1:$ZN$1,0))),INDEX(Haver_M!$B$1:$ZN$1000,MATCH(data!$A143,Haver_M!$B$1:$B$1000,0),MATCH(data!X$1,Haver_M!$B$1:$ZN$1,0)),"na")</f>
        <v>100.6</v>
      </c>
      <c r="Y143">
        <f>IF(ISNUMBER(INDEX(Haver_M!$B$1:$ZN$1000,MATCH(data!$A143,Haver_M!$B$1:$B$1000,0),MATCH(data!Y$1,Haver_M!$B$1:$ZN$1,0))),INDEX(Haver_M!$B$1:$ZN$1000,MATCH(data!$A143,Haver_M!$B$1:$B$1000,0),MATCH(data!Y$1,Haver_M!$B$1:$ZN$1,0)),"na")</f>
        <v>100.25</v>
      </c>
      <c r="Z143">
        <f>IF(ISNUMBER(INDEX(Haver_M!$B$1:$ZN$1000,MATCH(data!$A143,Haver_M!$B$1:$B$1000,0),MATCH(data!Z$1,Haver_M!$B$1:$ZN$1,0))),INDEX(Haver_M!$B$1:$ZN$1000,MATCH(data!$A143,Haver_M!$B$1:$B$1000,0),MATCH(data!Z$1,Haver_M!$B$1:$ZN$1,0)),"na")</f>
        <v>96.94</v>
      </c>
      <c r="AA143">
        <f>IF(ISNUMBER(INDEX(Haver_M!$B$1:$ZN$1000,MATCH(data!$A143,Haver_M!$B$1:$B$1000,0),MATCH(data!AA$1,Haver_M!$B$1:$ZN$1,0))),INDEX(Haver_M!$B$1:$ZN$1000,MATCH(data!$A143,Haver_M!$B$1:$B$1000,0),MATCH(data!AA$1,Haver_M!$B$1:$ZN$1,0)),"na")</f>
        <v>98.325199999999995</v>
      </c>
      <c r="AB143">
        <f>IF(ISNUMBER(INDEX(Haver_M!$B$1:$ZN$1000,MATCH(data!$A143,Haver_M!$B$1:$B$1000,0),MATCH(data!AB$1,Haver_M!$B$1:$ZN$1,0))),INDEX(Haver_M!$B$1:$ZN$1000,MATCH(data!$A143,Haver_M!$B$1:$B$1000,0),MATCH(data!AB$1,Haver_M!$B$1:$ZN$1,0)),"na")</f>
        <v>29228.5</v>
      </c>
      <c r="AC143">
        <f>IF(ISNUMBER(INDEX(Haver_M!$B$1:$ZN$1000,MATCH(data!$A143,Haver_M!$B$1:$B$1000,0),MATCH(data!AC$1,Haver_M!$B$1:$ZN$1,0))),INDEX(Haver_M!$B$1:$ZN$1000,MATCH(data!$A143,Haver_M!$B$1:$B$1000,0),MATCH(data!AC$1,Haver_M!$B$1:$ZN$1,0)),"na")</f>
        <v>29451.5</v>
      </c>
      <c r="AD143">
        <f>IF(ISNUMBER(INDEX(Haver_M!$B$1:$ZN$1000,MATCH(data!$A143,Haver_M!$B$1:$B$1000,0),MATCH(data!AD$1,Haver_M!$B$1:$ZN$1,0))),INDEX(Haver_M!$B$1:$ZN$1000,MATCH(data!$A143,Haver_M!$B$1:$B$1000,0),MATCH(data!AD$1,Haver_M!$B$1:$ZN$1,0)),"na")</f>
        <v>100.14</v>
      </c>
      <c r="AE143">
        <f>IF(ISNUMBER(INDEX(Haver_M!$B$1:$ZN$1000,MATCH(data!$A143,Haver_M!$B$1:$B$1000,0),MATCH(data!AE$1,Haver_M!$B$1:$ZN$1,0))),INDEX(Haver_M!$B$1:$ZN$1000,MATCH(data!$A143,Haver_M!$B$1:$B$1000,0),MATCH(data!AE$1,Haver_M!$B$1:$ZN$1,0)),"na")</f>
        <v>38.4</v>
      </c>
      <c r="AF143">
        <f>IF(ISNUMBER(INDEX(Haver_M!$B$1:$ZN$1000,MATCH(data!$A143,Haver_M!$B$1:$B$1000,0),MATCH(data!AF$1,Haver_M!$B$1:$ZN$1,0))),INDEX(Haver_M!$B$1:$ZN$1000,MATCH(data!$A143,Haver_M!$B$1:$B$1000,0),MATCH(data!AF$1,Haver_M!$B$1:$ZN$1,0)),"na")</f>
        <v>100.66</v>
      </c>
      <c r="AG143">
        <f>IF(ISNUMBER(INDEX(Haver_M!$B$1:$ZN$1000,MATCH(data!$A143,Haver_M!$B$1:$B$1000,0),MATCH(data!AG$1,Haver_M!$B$1:$ZN$1,0))),INDEX(Haver_M!$B$1:$ZN$1000,MATCH(data!$A143,Haver_M!$B$1:$B$1000,0),MATCH(data!AG$1,Haver_M!$B$1:$ZN$1,0)),"na")</f>
        <v>54.6616</v>
      </c>
      <c r="AH143">
        <f>IF(ISNUMBER(INDEX(Haver_M!$B$1:$ZN$1000,MATCH(data!$A143,Haver_M!$B$1:$B$1000,0),MATCH(data!AH$1,Haver_M!$B$1:$ZN$1,0))),INDEX(Haver_M!$B$1:$ZN$1000,MATCH(data!$A143,Haver_M!$B$1:$B$1000,0),MATCH(data!AH$1,Haver_M!$B$1:$ZN$1,0)),"na")</f>
        <v>56.704099999999997</v>
      </c>
      <c r="AI143">
        <f>IF(ISNUMBER(INDEX(Haver_M!$B$1:$ZN$1000,MATCH(data!$A143,Haver_M!$B$1:$B$1000,0),MATCH(data!AI$1,Haver_M!$B$1:$ZN$1,0))),INDEX(Haver_M!$B$1:$ZN$1000,MATCH(data!$A143,Haver_M!$B$1:$B$1000,0),MATCH(data!AI$1,Haver_M!$B$1:$ZN$1,0)),"na")</f>
        <v>56.820700000000002</v>
      </c>
      <c r="AJ143">
        <f>IF(ISNUMBER(INDEX(Haver_M!$B$1:$ZN$1000,MATCH(data!$A143,Haver_M!$B$1:$B$1000,0),MATCH(data!AJ$1,Haver_M!$B$1:$ZN$1,0))),INDEX(Haver_M!$B$1:$ZN$1000,MATCH(data!$A143,Haver_M!$B$1:$B$1000,0),MATCH(data!AJ$1,Haver_M!$B$1:$ZN$1,0)),"na")</f>
        <v>52.630200000000002</v>
      </c>
      <c r="AK143">
        <f>IF(ISNUMBER(INDEX(Haver_M!$B$1:$ZN$1000,MATCH(data!$A143,Haver_M!$B$1:$B$1000,0),MATCH(data!AK$1,Haver_M!$B$1:$ZN$1,0))),INDEX(Haver_M!$B$1:$ZN$1000,MATCH(data!$A143,Haver_M!$B$1:$B$1000,0),MATCH(data!AK$1,Haver_M!$B$1:$ZN$1,0)),"na")</f>
        <v>48.372900000000001</v>
      </c>
      <c r="AL143">
        <f>IF(ISNUMBER(INDEX(Haver_M!$B$1:$ZN$1000,MATCH(data!$A143,Haver_M!$B$1:$B$1000,0),MATCH(data!AL$1,Haver_M!$B$1:$ZN$1,0))),INDEX(Haver_M!$B$1:$ZN$1000,MATCH(data!$A143,Haver_M!$B$1:$B$1000,0),MATCH(data!AL$1,Haver_M!$B$1:$ZN$1,0)),"na")</f>
        <v>51.692500000000003</v>
      </c>
      <c r="AM143">
        <f>IF(ISNUMBER(INDEX(Haver_M!$B$1:$ZN$1000,MATCH(data!$A143,Haver_M!$B$1:$B$1000,0),MATCH(data!AM$1,Haver_M!$B$1:$ZN$1,0))),INDEX(Haver_M!$B$1:$ZN$1000,MATCH(data!$A143,Haver_M!$B$1:$B$1000,0),MATCH(data!AM$1,Haver_M!$B$1:$ZN$1,0)),"na")</f>
        <v>72.3583</v>
      </c>
      <c r="AN143">
        <f>IF(ISNUMBER(INDEX(Haver_M!$B$1:$ZN$1000,MATCH(data!$A143,Haver_M!$B$1:$B$1000,0),MATCH(data!AN$1,Haver_M!$B$1:$ZN$1,0))),INDEX(Haver_M!$B$1:$ZN$1000,MATCH(data!$A143,Haver_M!$B$1:$B$1000,0),MATCH(data!AN$1,Haver_M!$B$1:$ZN$1,0)),"na")</f>
        <v>55.301000000000002</v>
      </c>
      <c r="AO143">
        <f>IF(ISNUMBER(INDEX(Haver_M!$B$1:$ZN$1000,MATCH(data!$A143,Haver_M!$B$1:$B$1000,0),MATCH(data!AO$1,Haver_M!$B$1:$ZN$1,0))),INDEX(Haver_M!$B$1:$ZN$1000,MATCH(data!$A143,Haver_M!$B$1:$B$1000,0),MATCH(data!AO$1,Haver_M!$B$1:$ZN$1,0)),"na")</f>
        <v>51.692500000000003</v>
      </c>
      <c r="AP143">
        <f>IF(ISNUMBER(INDEX(Haver_M!$B$1:$ZN$1000,MATCH(data!$A143,Haver_M!$B$1:$B$1000,0),MATCH(data!AP$1,Haver_M!$B$1:$ZN$1,0))),INDEX(Haver_M!$B$1:$ZN$1000,MATCH(data!$A143,Haver_M!$B$1:$B$1000,0),MATCH(data!AP$1,Haver_M!$B$1:$ZN$1,0)),"na")</f>
        <v>51.937100000000001</v>
      </c>
      <c r="AQ143">
        <f>IF(ISNUMBER(INDEX(Haver_M!$B$1:$ZN$1000,MATCH(data!$A143,Haver_M!$B$1:$B$1000,0),MATCH(data!AQ$1,Haver_M!$B$1:$ZN$1,0))),INDEX(Haver_M!$B$1:$ZN$1000,MATCH(data!$A143,Haver_M!$B$1:$B$1000,0),MATCH(data!AQ$1,Haver_M!$B$1:$ZN$1,0)),"na")</f>
        <v>59.362699999999997</v>
      </c>
      <c r="AR143">
        <f>IF(ISNUMBER(INDEX(Haver_M!$B$1:$ZN$1000,MATCH(data!$A143,Haver_M!$B$1:$B$1000,0),MATCH(data!AR$1,Haver_M!$B$1:$ZN$1,0))),INDEX(Haver_M!$B$1:$ZN$1000,MATCH(data!$A143,Haver_M!$B$1:$B$1000,0),MATCH(data!AR$1,Haver_M!$B$1:$ZN$1,0)),"na")</f>
        <v>52.037399999999998</v>
      </c>
      <c r="AS143">
        <f>IF(ISNUMBER(INDEX(Haver_M!$B$1:$ZN$1000,MATCH(data!$A143,Haver_M!$B$1:$B$1000,0),MATCH(data!AS$1,Haver_M!$B$1:$ZN$1,0))),INDEX(Haver_M!$B$1:$ZN$1000,MATCH(data!$A143,Haver_M!$B$1:$B$1000,0),MATCH(data!AS$1,Haver_M!$B$1:$ZN$1,0)),"na")</f>
        <v>34550.71</v>
      </c>
      <c r="AT143">
        <f>IF(ISNUMBER(INDEX(Haver_M!$B$1:$ZN$1000,MATCH(data!$A143,Haver_M!$B$1:$B$1000,0),MATCH(data!AT$1,Haver_M!$B$1:$ZN$1,0))),INDEX(Haver_M!$B$1:$ZN$1000,MATCH(data!$A143,Haver_M!$B$1:$B$1000,0),MATCH(data!AT$1,Haver_M!$B$1:$ZN$1,0)),"na")</f>
        <v>97.480999999999995</v>
      </c>
      <c r="AU143">
        <f>IF(ISNUMBER(INDEX(Haver_M!$B$1:$ZN$1000,MATCH(data!$A143,Haver_M!$B$1:$B$1000,0),MATCH(data!AU$1,Haver_M!$B$1:$ZN$1,0))),INDEX(Haver_M!$B$1:$ZN$1000,MATCH(data!$A143,Haver_M!$B$1:$B$1000,0),MATCH(data!AU$1,Haver_M!$B$1:$ZN$1,0)),"na")</f>
        <v>96.224998999999997</v>
      </c>
      <c r="AV143">
        <f>IF(ISNUMBER(INDEX(Haver_M!$B$1:$ZN$1000,MATCH(data!$A143,Haver_M!$B$1:$B$1000,0),MATCH(data!AV$1,Haver_M!$B$1:$ZN$1,0))),INDEX(Haver_M!$B$1:$ZN$1000,MATCH(data!$A143,Haver_M!$B$1:$B$1000,0),MATCH(data!AV$1,Haver_M!$B$1:$ZN$1,0)),"na")</f>
        <v>100.5</v>
      </c>
      <c r="AW143">
        <f>IF(ISNUMBER(INDEX(Haver_M!$B$1:$ZN$1000,MATCH(data!$A143,Haver_M!$B$1:$B$1000,0),MATCH(data!AW$1,Haver_M!$B$1:$ZN$1,0))),INDEX(Haver_M!$B$1:$ZN$1000,MATCH(data!$A143,Haver_M!$B$1:$B$1000,0),MATCH(data!AW$1,Haver_M!$B$1:$ZN$1,0)),"na")</f>
        <v>961602.22315612668</v>
      </c>
      <c r="AX143">
        <f>IF(ISNUMBER(INDEX(Haver_M!$B$1:$ZN$1000,MATCH(data!$A143,Haver_M!$B$1:$B$1000,0),MATCH(data!AX$1,Haver_M!$B$1:$ZN$1,0))),INDEX(Haver_M!$B$1:$ZN$1000,MATCH(data!$A143,Haver_M!$B$1:$B$1000,0),MATCH(data!AX$1,Haver_M!$B$1:$ZN$1,0)),"na")</f>
        <v>2545</v>
      </c>
      <c r="AY143">
        <f>IF(ISNUMBER(INDEX(Haver_M!$B$1:$ZN$1000,MATCH(data!$A143,Haver_M!$B$1:$B$1000,0),MATCH(data!AY$1,Haver_M!$B$1:$ZN$1,0))),INDEX(Haver_M!$B$1:$ZN$1000,MATCH(data!$A143,Haver_M!$B$1:$B$1000,0),MATCH(data!AY$1,Haver_M!$B$1:$ZN$1,0)),"na")</f>
        <v>1375</v>
      </c>
      <c r="AZ143">
        <f>IF(ISNUMBER(INDEX(Haver_M!$B$1:$ZN$1000,MATCH(data!$A143,Haver_M!$B$1:$B$1000,0),MATCH(data!AZ$1,Haver_M!$B$1:$ZN$1,0))),INDEX(Haver_M!$B$1:$ZN$1000,MATCH(data!$A143,Haver_M!$B$1:$B$1000,0),MATCH(data!AZ$1,Haver_M!$B$1:$ZN$1,0)),"na")</f>
        <v>53.1</v>
      </c>
      <c r="BA143">
        <f>IF(ISNUMBER(INDEX(Haver_M!$B$1:$ZN$1000,MATCH(data!$A143,Haver_M!$B$1:$B$1000,0),MATCH(data!BA$1,Haver_M!$B$1:$ZN$1,0))),INDEX(Haver_M!$B$1:$ZN$1000,MATCH(data!$A143,Haver_M!$B$1:$B$1000,0),MATCH(data!BA$1,Haver_M!$B$1:$ZN$1,0)),"na")</f>
        <v>44.420548418464278</v>
      </c>
      <c r="BB143" t="str">
        <f>IF(ISNUMBER(INDEX(Haver_M!$B$1:$ZN$1000,MATCH(data!$A143,Haver_M!$B$1:$B$1000,0),MATCH(data!BB$1,Haver_M!$B$1:$ZN$1,0))),INDEX(Haver_M!$B$1:$ZN$1000,MATCH(data!$A143,Haver_M!$B$1:$B$1000,0),MATCH(data!BB$1,Haver_M!$B$1:$ZN$1,0)),"")</f>
        <v/>
      </c>
    </row>
    <row r="144" spans="1:54" x14ac:dyDescent="0.25">
      <c r="A144" s="2">
        <v>40877</v>
      </c>
      <c r="B144" t="str">
        <f>IF(ISNUMBER(INDEX(Haver_Q!$B$1:$BD$1000,MATCH(data!$A144,Haver_Q!$B$1:$B$1000,0),MATCH(data!B$1,Haver_Q!$B$1:$BD$1,0))),100*INDEX(Haver_Q!$B$1:$BD$1000,MATCH(data!$A144,Haver_Q!$B$1:$B$1000,0),MATCH(data!B$1,Haver_Q!$B$1:$BD$1,0)),"na")</f>
        <v>na</v>
      </c>
      <c r="C144" t="str">
        <f>IF(ISNUMBER(INDEX(Haver_Q!$B$1:$BD$1000,MATCH(data!$A144,Haver_Q!$B$1:$B$1000,0),MATCH(data!C$1,Haver_Q!$B$1:$BD$1,0))),100*INDEX(Haver_Q!$B$1:$BD$1000,MATCH(data!$A144,Haver_Q!$B$1:$B$1000,0),MATCH(data!C$1,Haver_Q!$B$1:$BD$1,0)),"na")</f>
        <v>na</v>
      </c>
      <c r="D144" t="str">
        <f>IF(ISNUMBER(INDEX(Haver_Q!$B$1:$BD$1000,MATCH(data!$A144,Haver_Q!$B$1:$B$1000,0),MATCH(data!D$1,Haver_Q!$B$1:$BD$1,0))),100*INDEX(Haver_Q!$B$1:$BD$1000,MATCH(data!$A144,Haver_Q!$B$1:$B$1000,0),MATCH(data!D$1,Haver_Q!$B$1:$BD$1,0)),"na")</f>
        <v>na</v>
      </c>
      <c r="E144" t="str">
        <f>IF(ISNUMBER(INDEX(Haver_Q!$B$1:$BD$1000,MATCH(data!$A144,Haver_Q!$B$1:$B$1000,0),MATCH(data!E$1,Haver_Q!$B$1:$BD$1,0))),100*INDEX(Haver_Q!$B$1:$BD$1000,MATCH(data!$A144,Haver_Q!$B$1:$B$1000,0),MATCH(data!E$1,Haver_Q!$B$1:$BD$1,0)),"na")</f>
        <v>na</v>
      </c>
      <c r="F144" t="str">
        <f>IF(ISNUMBER(INDEX(Haver_Q!$B$1:$BD$1000,MATCH(data!$A144,Haver_Q!$B$1:$B$1000,0),MATCH(data!F$1,Haver_Q!$B$1:$BD$1,0))),100*INDEX(Haver_Q!$B$1:$BD$1000,MATCH(data!$A144,Haver_Q!$B$1:$B$1000,0),MATCH(data!F$1,Haver_Q!$B$1:$BD$1,0)),"na")</f>
        <v>na</v>
      </c>
      <c r="G144" t="str">
        <f>IF(ISNUMBER(INDEX(Haver_Q!$B$1:$BD$1000,MATCH(data!$A144,Haver_Q!$B$1:$B$1000,0),MATCH(data!G$1,Haver_Q!$B$1:$BD$1,0))),100*INDEX(Haver_Q!$B$1:$BD$1000,MATCH(data!$A144,Haver_Q!$B$1:$B$1000,0),MATCH(data!G$1,Haver_Q!$B$1:$BD$1,0)),"na")</f>
        <v>na</v>
      </c>
      <c r="H144" t="str">
        <f>IF(ISNUMBER(INDEX(Haver_Q!$B$1:$BD$1000,MATCH(data!$A144,Haver_Q!$B$1:$B$1000,0),MATCH(data!H$1,Haver_Q!$B$1:$BD$1,0))),100*INDEX(Haver_Q!$B$1:$BD$1000,MATCH(data!$A144,Haver_Q!$B$1:$B$1000,0),MATCH(data!H$1,Haver_Q!$B$1:$BD$1,0)),"na")</f>
        <v>na</v>
      </c>
      <c r="I144" s="3">
        <f>IF(ISNUMBER(Bloomberg_m!C160),Bloomberg_m!C160,"na")</f>
        <v>1835</v>
      </c>
      <c r="J144" s="3">
        <f>IF(ISNUMBER(Bloomberg_m!D160),Bloomberg_m!D160,"na")</f>
        <v>1365.08</v>
      </c>
      <c r="K144" s="3">
        <f>IF(ISNUMBER(Bloomberg_m!E160),Bloomberg_m!E160,"na")</f>
        <v>895.51</v>
      </c>
      <c r="L144" s="3">
        <f>IF(ISNUMBER(Bloomberg_m!L160),Bloomberg_m!L160,"na")</f>
        <v>97.12</v>
      </c>
      <c r="M144">
        <f>IF(ISNUMBER(INDEX(Haver_M!$B$1:$ZN$1000,MATCH(data!$A144,Haver_M!$B$1:$B$1000,0),MATCH(data!M$1,Haver_M!$B$1:$ZN$1,0))),INDEX(Haver_M!$B$1:$ZN$1000,MATCH(data!$A144,Haver_M!$B$1:$B$1000,0),MATCH(data!M$1,Haver_M!$B$1:$ZN$1,0)),"na")</f>
        <v>4.5</v>
      </c>
      <c r="N144">
        <f>IF(ISNUMBER(INDEX(Haver_M!$B$1:$ZN$1000,MATCH(data!$A144,Haver_M!$B$1:$B$1000,0),MATCH(data!N$1,Haver_M!$B$1:$ZN$1,0))),INDEX(Haver_M!$B$1:$ZN$1000,MATCH(data!$A144,Haver_M!$B$1:$B$1000,0),MATCH(data!N$1,Haver_M!$B$1:$ZN$1,0)),"na")</f>
        <v>6.34</v>
      </c>
      <c r="O144">
        <f>IF(ISNUMBER(INDEX(Haver_M!$B$1:$ZN$1000,MATCH(data!$A144,Haver_M!$B$1:$B$1000,0),MATCH(data!O$1,Haver_M!$B$1:$ZN$1,0))),INDEX(Haver_M!$B$1:$ZN$1000,MATCH(data!$A144,Haver_M!$B$1:$B$1000,0),MATCH(data!O$1,Haver_M!$B$1:$ZN$1,0)),"na")</f>
        <v>90.832409999999996</v>
      </c>
      <c r="P144">
        <f>IF(ISNUMBER(INDEX(Haver_M!$B$1:$ZN$1000,MATCH(data!$A144,Haver_M!$B$1:$B$1000,0),MATCH(data!P$1,Haver_M!$B$1:$ZN$1,0))),INDEX(Haver_M!$B$1:$ZN$1000,MATCH(data!$A144,Haver_M!$B$1:$B$1000,0),MATCH(data!P$1,Haver_M!$B$1:$ZN$1,0)),"na")</f>
        <v>76.995199999999997</v>
      </c>
      <c r="Q144">
        <f>IF(ISNUMBER(INDEX(Haver_M!$B$1:$ZN$1000,MATCH(data!$A144,Haver_M!$B$1:$B$1000,0),MATCH(data!Q$1,Haver_M!$B$1:$ZN$1,0))),INDEX(Haver_M!$B$1:$ZN$1000,MATCH(data!$A144,Haver_M!$B$1:$B$1000,0),MATCH(data!Q$1,Haver_M!$B$1:$ZN$1,0)),"na")</f>
        <v>80.548699999999997</v>
      </c>
      <c r="R144">
        <f>IF(ISNUMBER(INDEX(Haver_M!$B$1:$ZN$1000,MATCH(data!$A144,Haver_M!$B$1:$B$1000,0),MATCH(data!R$1,Haver_M!$B$1:$ZN$1,0))),INDEX(Haver_M!$B$1:$ZN$1000,MATCH(data!$A144,Haver_M!$B$1:$B$1000,0),MATCH(data!R$1,Haver_M!$B$1:$ZN$1,0)),"na")</f>
        <v>99.790099999999995</v>
      </c>
      <c r="S144">
        <f>IF(ISNUMBER(INDEX(Haver_M!$B$1:$ZN$1000,MATCH(data!$A144,Haver_M!$B$1:$B$1000,0),MATCH(data!S$1,Haver_M!$B$1:$ZN$1,0))),INDEX(Haver_M!$B$1:$ZN$1000,MATCH(data!$A144,Haver_M!$B$1:$B$1000,0),MATCH(data!S$1,Haver_M!$B$1:$ZN$1,0)),"na")</f>
        <v>100.78879999999999</v>
      </c>
      <c r="T144">
        <f>IF(ISNUMBER(INDEX(Haver_M!$B$1:$ZN$1000,MATCH(data!$A144,Haver_M!$B$1:$B$1000,0),MATCH(data!T$1,Haver_M!$B$1:$ZN$1,0))),INDEX(Haver_M!$B$1:$ZN$1000,MATCH(data!$A144,Haver_M!$B$1:$B$1000,0),MATCH(data!T$1,Haver_M!$B$1:$ZN$1,0)),"na")</f>
        <v>97.429599999999994</v>
      </c>
      <c r="U144">
        <f>IF(ISNUMBER(INDEX(Haver_M!$B$1:$ZN$1000,MATCH(data!$A144,Haver_M!$B$1:$B$1000,0),MATCH(data!U$1,Haver_M!$B$1:$ZN$1,0))),INDEX(Haver_M!$B$1:$ZN$1000,MATCH(data!$A144,Haver_M!$B$1:$B$1000,0),MATCH(data!U$1,Haver_M!$B$1:$ZN$1,0)),"na")</f>
        <v>103.11579999999999</v>
      </c>
      <c r="V144">
        <f>IF(ISNUMBER(INDEX(Haver_M!$B$1:$ZN$1000,MATCH(data!$A144,Haver_M!$B$1:$B$1000,0),MATCH(data!V$1,Haver_M!$B$1:$ZN$1,0))),INDEX(Haver_M!$B$1:$ZN$1000,MATCH(data!$A144,Haver_M!$B$1:$B$1000,0),MATCH(data!V$1,Haver_M!$B$1:$ZN$1,0)),"na")</f>
        <v>98.072400000000002</v>
      </c>
      <c r="W144">
        <f>IF(ISNUMBER(INDEX(Haver_M!$B$1:$ZN$1000,MATCH(data!$A144,Haver_M!$B$1:$B$1000,0),MATCH(data!W$1,Haver_M!$B$1:$ZN$1,0))),INDEX(Haver_M!$B$1:$ZN$1000,MATCH(data!$A144,Haver_M!$B$1:$B$1000,0),MATCH(data!W$1,Haver_M!$B$1:$ZN$1,0)),"na")</f>
        <v>5.08</v>
      </c>
      <c r="X144">
        <f>IF(ISNUMBER(INDEX(Haver_M!$B$1:$ZN$1000,MATCH(data!$A144,Haver_M!$B$1:$B$1000,0),MATCH(data!X$1,Haver_M!$B$1:$ZN$1,0))),INDEX(Haver_M!$B$1:$ZN$1000,MATCH(data!$A144,Haver_M!$B$1:$B$1000,0),MATCH(data!X$1,Haver_M!$B$1:$ZN$1,0)),"na")</f>
        <v>100.25</v>
      </c>
      <c r="Y144">
        <f>IF(ISNUMBER(INDEX(Haver_M!$B$1:$ZN$1000,MATCH(data!$A144,Haver_M!$B$1:$B$1000,0),MATCH(data!Y$1,Haver_M!$B$1:$ZN$1,0))),INDEX(Haver_M!$B$1:$ZN$1000,MATCH(data!$A144,Haver_M!$B$1:$B$1000,0),MATCH(data!Y$1,Haver_M!$B$1:$ZN$1,0)),"na")</f>
        <v>100.21</v>
      </c>
      <c r="Z144">
        <f>IF(ISNUMBER(INDEX(Haver_M!$B$1:$ZN$1000,MATCH(data!$A144,Haver_M!$B$1:$B$1000,0),MATCH(data!Z$1,Haver_M!$B$1:$ZN$1,0))),INDEX(Haver_M!$B$1:$ZN$1000,MATCH(data!$A144,Haver_M!$B$1:$B$1000,0),MATCH(data!Z$1,Haver_M!$B$1:$ZN$1,0)),"na")</f>
        <v>96.622500000000002</v>
      </c>
      <c r="AA144">
        <f>IF(ISNUMBER(INDEX(Haver_M!$B$1:$ZN$1000,MATCH(data!$A144,Haver_M!$B$1:$B$1000,0),MATCH(data!AA$1,Haver_M!$B$1:$ZN$1,0))),INDEX(Haver_M!$B$1:$ZN$1000,MATCH(data!$A144,Haver_M!$B$1:$B$1000,0),MATCH(data!AA$1,Haver_M!$B$1:$ZN$1,0)),"na")</f>
        <v>99.475099999999998</v>
      </c>
      <c r="AB144">
        <f>IF(ISNUMBER(INDEX(Haver_M!$B$1:$ZN$1000,MATCH(data!$A144,Haver_M!$B$1:$B$1000,0),MATCH(data!AB$1,Haver_M!$B$1:$ZN$1,0))),INDEX(Haver_M!$B$1:$ZN$1000,MATCH(data!$A144,Haver_M!$B$1:$B$1000,0),MATCH(data!AB$1,Haver_M!$B$1:$ZN$1,0)),"na")</f>
        <v>29702.1</v>
      </c>
      <c r="AC144">
        <f>IF(ISNUMBER(INDEX(Haver_M!$B$1:$ZN$1000,MATCH(data!$A144,Haver_M!$B$1:$B$1000,0),MATCH(data!AC$1,Haver_M!$B$1:$ZN$1,0))),INDEX(Haver_M!$B$1:$ZN$1000,MATCH(data!$A144,Haver_M!$B$1:$B$1000,0),MATCH(data!AC$1,Haver_M!$B$1:$ZN$1,0)),"na")</f>
        <v>29867.5</v>
      </c>
      <c r="AD144">
        <f>IF(ISNUMBER(INDEX(Haver_M!$B$1:$ZN$1000,MATCH(data!$A144,Haver_M!$B$1:$B$1000,0),MATCH(data!AD$1,Haver_M!$B$1:$ZN$1,0))),INDEX(Haver_M!$B$1:$ZN$1000,MATCH(data!$A144,Haver_M!$B$1:$B$1000,0),MATCH(data!AD$1,Haver_M!$B$1:$ZN$1,0)),"na")</f>
        <v>100.22</v>
      </c>
      <c r="AE144">
        <f>IF(ISNUMBER(INDEX(Haver_M!$B$1:$ZN$1000,MATCH(data!$A144,Haver_M!$B$1:$B$1000,0),MATCH(data!AE$1,Haver_M!$B$1:$ZN$1,0))),INDEX(Haver_M!$B$1:$ZN$1000,MATCH(data!$A144,Haver_M!$B$1:$B$1000,0),MATCH(data!AE$1,Haver_M!$B$1:$ZN$1,0)),"na")</f>
        <v>38.299999999999997</v>
      </c>
      <c r="AF144">
        <f>IF(ISNUMBER(INDEX(Haver_M!$B$1:$ZN$1000,MATCH(data!$A144,Haver_M!$B$1:$B$1000,0),MATCH(data!AF$1,Haver_M!$B$1:$ZN$1,0))),INDEX(Haver_M!$B$1:$ZN$1000,MATCH(data!$A144,Haver_M!$B$1:$B$1000,0),MATCH(data!AF$1,Haver_M!$B$1:$ZN$1,0)),"na")</f>
        <v>100.59</v>
      </c>
      <c r="AG144">
        <f>IF(ISNUMBER(INDEX(Haver_M!$B$1:$ZN$1000,MATCH(data!$A144,Haver_M!$B$1:$B$1000,0),MATCH(data!AG$1,Haver_M!$B$1:$ZN$1,0))),INDEX(Haver_M!$B$1:$ZN$1000,MATCH(data!$A144,Haver_M!$B$1:$B$1000,0),MATCH(data!AG$1,Haver_M!$B$1:$ZN$1,0)),"na")</f>
        <v>53.737499999999997</v>
      </c>
      <c r="AH144">
        <f>IF(ISNUMBER(INDEX(Haver_M!$B$1:$ZN$1000,MATCH(data!$A144,Haver_M!$B$1:$B$1000,0),MATCH(data!AH$1,Haver_M!$B$1:$ZN$1,0))),INDEX(Haver_M!$B$1:$ZN$1000,MATCH(data!$A144,Haver_M!$B$1:$B$1000,0),MATCH(data!AH$1,Haver_M!$B$1:$ZN$1,0)),"na")</f>
        <v>55.7727</v>
      </c>
      <c r="AI144">
        <f>IF(ISNUMBER(INDEX(Haver_M!$B$1:$ZN$1000,MATCH(data!$A144,Haver_M!$B$1:$B$1000,0),MATCH(data!AI$1,Haver_M!$B$1:$ZN$1,0))),INDEX(Haver_M!$B$1:$ZN$1000,MATCH(data!$A144,Haver_M!$B$1:$B$1000,0),MATCH(data!AI$1,Haver_M!$B$1:$ZN$1,0)),"na")</f>
        <v>55.585900000000002</v>
      </c>
      <c r="AJ144">
        <f>IF(ISNUMBER(INDEX(Haver_M!$B$1:$ZN$1000,MATCH(data!$A144,Haver_M!$B$1:$B$1000,0),MATCH(data!AJ$1,Haver_M!$B$1:$ZN$1,0))),INDEX(Haver_M!$B$1:$ZN$1000,MATCH(data!$A144,Haver_M!$B$1:$B$1000,0),MATCH(data!AJ$1,Haver_M!$B$1:$ZN$1,0)),"na")</f>
        <v>52.116900000000001</v>
      </c>
      <c r="AK144">
        <f>IF(ISNUMBER(INDEX(Haver_M!$B$1:$ZN$1000,MATCH(data!$A144,Haver_M!$B$1:$B$1000,0),MATCH(data!AK$1,Haver_M!$B$1:$ZN$1,0))),INDEX(Haver_M!$B$1:$ZN$1000,MATCH(data!$A144,Haver_M!$B$1:$B$1000,0),MATCH(data!AK$1,Haver_M!$B$1:$ZN$1,0)),"na")</f>
        <v>48.418100000000003</v>
      </c>
      <c r="AL144">
        <f>IF(ISNUMBER(INDEX(Haver_M!$B$1:$ZN$1000,MATCH(data!$A144,Haver_M!$B$1:$B$1000,0),MATCH(data!AL$1,Haver_M!$B$1:$ZN$1,0))),INDEX(Haver_M!$B$1:$ZN$1000,MATCH(data!$A144,Haver_M!$B$1:$B$1000,0),MATCH(data!AL$1,Haver_M!$B$1:$ZN$1,0)),"na")</f>
        <v>49.578600000000002</v>
      </c>
      <c r="AM144">
        <f>IF(ISNUMBER(INDEX(Haver_M!$B$1:$ZN$1000,MATCH(data!$A144,Haver_M!$B$1:$B$1000,0),MATCH(data!AM$1,Haver_M!$B$1:$ZN$1,0))),INDEX(Haver_M!$B$1:$ZN$1000,MATCH(data!$A144,Haver_M!$B$1:$B$1000,0),MATCH(data!AM$1,Haver_M!$B$1:$ZN$1,0)),"na")</f>
        <v>67.167299999999997</v>
      </c>
      <c r="AN144">
        <f>IF(ISNUMBER(INDEX(Haver_M!$B$1:$ZN$1000,MATCH(data!$A144,Haver_M!$B$1:$B$1000,0),MATCH(data!AN$1,Haver_M!$B$1:$ZN$1,0))),INDEX(Haver_M!$B$1:$ZN$1000,MATCH(data!$A144,Haver_M!$B$1:$B$1000,0),MATCH(data!AN$1,Haver_M!$B$1:$ZN$1,0)),"na")</f>
        <v>54.847900000000003</v>
      </c>
      <c r="AO144">
        <f>IF(ISNUMBER(INDEX(Haver_M!$B$1:$ZN$1000,MATCH(data!$A144,Haver_M!$B$1:$B$1000,0),MATCH(data!AO$1,Haver_M!$B$1:$ZN$1,0))),INDEX(Haver_M!$B$1:$ZN$1000,MATCH(data!$A144,Haver_M!$B$1:$B$1000,0),MATCH(data!AO$1,Haver_M!$B$1:$ZN$1,0)),"na")</f>
        <v>49.578600000000002</v>
      </c>
      <c r="AP144">
        <f>IF(ISNUMBER(INDEX(Haver_M!$B$1:$ZN$1000,MATCH(data!$A144,Haver_M!$B$1:$B$1000,0),MATCH(data!AP$1,Haver_M!$B$1:$ZN$1,0))),INDEX(Haver_M!$B$1:$ZN$1000,MATCH(data!$A144,Haver_M!$B$1:$B$1000,0),MATCH(data!AP$1,Haver_M!$B$1:$ZN$1,0)),"na")</f>
        <v>49.353099999999998</v>
      </c>
      <c r="AQ144">
        <f>IF(ISNUMBER(INDEX(Haver_M!$B$1:$ZN$1000,MATCH(data!$A144,Haver_M!$B$1:$B$1000,0),MATCH(data!AQ$1,Haver_M!$B$1:$ZN$1,0))),INDEX(Haver_M!$B$1:$ZN$1000,MATCH(data!$A144,Haver_M!$B$1:$B$1000,0),MATCH(data!AQ$1,Haver_M!$B$1:$ZN$1,0)),"na")</f>
        <v>58.198300000000003</v>
      </c>
      <c r="AR144">
        <f>IF(ISNUMBER(INDEX(Haver_M!$B$1:$ZN$1000,MATCH(data!$A144,Haver_M!$B$1:$B$1000,0),MATCH(data!AR$1,Haver_M!$B$1:$ZN$1,0))),INDEX(Haver_M!$B$1:$ZN$1000,MATCH(data!$A144,Haver_M!$B$1:$B$1000,0),MATCH(data!AR$1,Haver_M!$B$1:$ZN$1,0)),"na")</f>
        <v>51.177700000000002</v>
      </c>
      <c r="AS144">
        <f>IF(ISNUMBER(INDEX(Haver_M!$B$1:$ZN$1000,MATCH(data!$A144,Haver_M!$B$1:$B$1000,0),MATCH(data!AS$1,Haver_M!$B$1:$ZN$1,0))),INDEX(Haver_M!$B$1:$ZN$1000,MATCH(data!$A144,Haver_M!$B$1:$B$1000,0),MATCH(data!AS$1,Haver_M!$B$1:$ZN$1,0)),"na")</f>
        <v>36345.82</v>
      </c>
      <c r="AT144">
        <f>IF(ISNUMBER(INDEX(Haver_M!$B$1:$ZN$1000,MATCH(data!$A144,Haver_M!$B$1:$B$1000,0),MATCH(data!AT$1,Haver_M!$B$1:$ZN$1,0))),INDEX(Haver_M!$B$1:$ZN$1000,MATCH(data!$A144,Haver_M!$B$1:$B$1000,0),MATCH(data!AT$1,Haver_M!$B$1:$ZN$1,0)),"na")</f>
        <v>97.043999999999997</v>
      </c>
      <c r="AU144">
        <f>IF(ISNUMBER(INDEX(Haver_M!$B$1:$ZN$1000,MATCH(data!$A144,Haver_M!$B$1:$B$1000,0),MATCH(data!AU$1,Haver_M!$B$1:$ZN$1,0))),INDEX(Haver_M!$B$1:$ZN$1000,MATCH(data!$A144,Haver_M!$B$1:$B$1000,0),MATCH(data!AU$1,Haver_M!$B$1:$ZN$1,0)),"na")</f>
        <v>97.128788999999998</v>
      </c>
      <c r="AV144">
        <f>IF(ISNUMBER(INDEX(Haver_M!$B$1:$ZN$1000,MATCH(data!$A144,Haver_M!$B$1:$B$1000,0),MATCH(data!AV$1,Haver_M!$B$1:$ZN$1,0))),INDEX(Haver_M!$B$1:$ZN$1000,MATCH(data!$A144,Haver_M!$B$1:$B$1000,0),MATCH(data!AV$1,Haver_M!$B$1:$ZN$1,0)),"na")</f>
        <v>102.7</v>
      </c>
      <c r="AW144">
        <f>IF(ISNUMBER(INDEX(Haver_M!$B$1:$ZN$1000,MATCH(data!$A144,Haver_M!$B$1:$B$1000,0),MATCH(data!AW$1,Haver_M!$B$1:$ZN$1,0))),INDEX(Haver_M!$B$1:$ZN$1000,MATCH(data!$A144,Haver_M!$B$1:$B$1000,0),MATCH(data!AW$1,Haver_M!$B$1:$ZN$1,0)),"na")</f>
        <v>1001616.373749795</v>
      </c>
      <c r="AX144">
        <f>IF(ISNUMBER(INDEX(Haver_M!$B$1:$ZN$1000,MATCH(data!$A144,Haver_M!$B$1:$B$1000,0),MATCH(data!AX$1,Haver_M!$B$1:$ZN$1,0))),INDEX(Haver_M!$B$1:$ZN$1000,MATCH(data!$A144,Haver_M!$B$1:$B$1000,0),MATCH(data!AX$1,Haver_M!$B$1:$ZN$1,0)),"na")</f>
        <v>2545</v>
      </c>
      <c r="AY144">
        <f>IF(ISNUMBER(INDEX(Haver_M!$B$1:$ZN$1000,MATCH(data!$A144,Haver_M!$B$1:$B$1000,0),MATCH(data!AY$1,Haver_M!$B$1:$ZN$1,0))),INDEX(Haver_M!$B$1:$ZN$1000,MATCH(data!$A144,Haver_M!$B$1:$B$1000,0),MATCH(data!AY$1,Haver_M!$B$1:$ZN$1,0)),"na")</f>
        <v>1362</v>
      </c>
      <c r="AZ144">
        <f>IF(ISNUMBER(INDEX(Haver_M!$B$1:$ZN$1000,MATCH(data!$A144,Haver_M!$B$1:$B$1000,0),MATCH(data!AZ$1,Haver_M!$B$1:$ZN$1,0))),INDEX(Haver_M!$B$1:$ZN$1000,MATCH(data!$A144,Haver_M!$B$1:$B$1000,0),MATCH(data!AZ$1,Haver_M!$B$1:$ZN$1,0)),"na")</f>
        <v>53.8</v>
      </c>
      <c r="BA144">
        <f>IF(ISNUMBER(INDEX(Haver_M!$B$1:$ZN$1000,MATCH(data!$A144,Haver_M!$B$1:$B$1000,0),MATCH(data!BA$1,Haver_M!$B$1:$ZN$1,0))),INDEX(Haver_M!$B$1:$ZN$1000,MATCH(data!$A144,Haver_M!$B$1:$B$1000,0),MATCH(data!BA$1,Haver_M!$B$1:$ZN$1,0)),"na")</f>
        <v>89.352944739986825</v>
      </c>
      <c r="BB144" t="str">
        <f>IF(ISNUMBER(INDEX(Haver_M!$B$1:$ZN$1000,MATCH(data!$A144,Haver_M!$B$1:$B$1000,0),MATCH(data!BB$1,Haver_M!$B$1:$ZN$1,0))),INDEX(Haver_M!$B$1:$ZN$1000,MATCH(data!$A144,Haver_M!$B$1:$B$1000,0),MATCH(data!BB$1,Haver_M!$B$1:$ZN$1,0)),"")</f>
        <v/>
      </c>
    </row>
    <row r="145" spans="1:54" x14ac:dyDescent="0.25">
      <c r="A145" s="2">
        <v>40908</v>
      </c>
      <c r="B145">
        <f>IF(ISNUMBER(INDEX(Haver_Q!$B$1:$BD$1000,MATCH(data!$A145,Haver_Q!$B$1:$B$1000,0),MATCH(data!B$1,Haver_Q!$B$1:$BD$1,0))),100*INDEX(Haver_Q!$B$1:$BD$1000,MATCH(data!$A145,Haver_Q!$B$1:$B$1000,0),MATCH(data!B$1,Haver_Q!$B$1:$BD$1,0)),"na")</f>
        <v>2.8673964862774293</v>
      </c>
      <c r="C145">
        <f>IF(ISNUMBER(INDEX(Haver_Q!$B$1:$BD$1000,MATCH(data!$A145,Haver_Q!$B$1:$B$1000,0),MATCH(data!C$1,Haver_Q!$B$1:$BD$1,0))),100*INDEX(Haver_Q!$B$1:$BD$1000,MATCH(data!$A145,Haver_Q!$B$1:$B$1000,0),MATCH(data!C$1,Haver_Q!$B$1:$BD$1,0)),"na")</f>
        <v>3.8525543143446583</v>
      </c>
      <c r="D145">
        <f>IF(ISNUMBER(INDEX(Haver_Q!$B$1:$BD$1000,MATCH(data!$A145,Haver_Q!$B$1:$B$1000,0),MATCH(data!D$1,Haver_Q!$B$1:$BD$1,0))),100*INDEX(Haver_Q!$B$1:$BD$1000,MATCH(data!$A145,Haver_Q!$B$1:$B$1000,0),MATCH(data!D$1,Haver_Q!$B$1:$BD$1,0)),"na")</f>
        <v>0.14357134107725322</v>
      </c>
      <c r="E145">
        <f>IF(ISNUMBER(INDEX(Haver_Q!$B$1:$BD$1000,MATCH(data!$A145,Haver_Q!$B$1:$B$1000,0),MATCH(data!E$1,Haver_Q!$B$1:$BD$1,0))),100*INDEX(Haver_Q!$B$1:$BD$1000,MATCH(data!$A145,Haver_Q!$B$1:$B$1000,0),MATCH(data!E$1,Haver_Q!$B$1:$BD$1,0)),"na")</f>
        <v>10.942960149389712</v>
      </c>
      <c r="F145">
        <f>IF(ISNUMBER(INDEX(Haver_Q!$B$1:$BD$1000,MATCH(data!$A145,Haver_Q!$B$1:$B$1000,0),MATCH(data!F$1,Haver_Q!$B$1:$BD$1,0))),100*INDEX(Haver_Q!$B$1:$BD$1000,MATCH(data!$A145,Haver_Q!$B$1:$B$1000,0),MATCH(data!F$1,Haver_Q!$B$1:$BD$1,0)),"na")</f>
        <v>-0.33865047481841382</v>
      </c>
      <c r="G145">
        <f>IF(ISNUMBER(INDEX(Haver_Q!$B$1:$BD$1000,MATCH(data!$A145,Haver_Q!$B$1:$B$1000,0),MATCH(data!G$1,Haver_Q!$B$1:$BD$1,0))),100*INDEX(Haver_Q!$B$1:$BD$1000,MATCH(data!$A145,Haver_Q!$B$1:$B$1000,0),MATCH(data!G$1,Haver_Q!$B$1:$BD$1,0)),"na")</f>
        <v>-3.627402310590766</v>
      </c>
      <c r="H145">
        <f>IF(ISNUMBER(INDEX(Haver_Q!$B$1:$BD$1000,MATCH(data!$A145,Haver_Q!$B$1:$B$1000,0),MATCH(data!H$1,Haver_Q!$B$1:$BD$1,0))),100*INDEX(Haver_Q!$B$1:$BD$1000,MATCH(data!$A145,Haver_Q!$B$1:$B$1000,0),MATCH(data!H$1,Haver_Q!$B$1:$BD$1,0)),"na")</f>
        <v>343.00128047765315</v>
      </c>
      <c r="I145" s="3">
        <f>IF(ISNUMBER(Bloomberg_m!C161),Bloomberg_m!C161,"na")</f>
        <v>1869</v>
      </c>
      <c r="J145" s="3">
        <f>IF(ISNUMBER(Bloomberg_m!D161),Bloomberg_m!D161,"na")</f>
        <v>1215.69</v>
      </c>
      <c r="K145" s="3">
        <f>IF(ISNUMBER(Bloomberg_m!E161),Bloomberg_m!E161,"na")</f>
        <v>876.34</v>
      </c>
      <c r="L145" s="3">
        <f>IF(ISNUMBER(Bloomberg_m!L161),Bloomberg_m!L161,"na")</f>
        <v>98.56</v>
      </c>
      <c r="M145">
        <f>IF(ISNUMBER(INDEX(Haver_M!$B$1:$ZN$1000,MATCH(data!$A145,Haver_M!$B$1:$B$1000,0),MATCH(data!M$1,Haver_M!$B$1:$ZN$1,0))),INDEX(Haver_M!$B$1:$ZN$1000,MATCH(data!$A145,Haver_M!$B$1:$B$1000,0),MATCH(data!M$1,Haver_M!$B$1:$ZN$1,0)),"na")</f>
        <v>4.5</v>
      </c>
      <c r="N145">
        <f>IF(ISNUMBER(INDEX(Haver_M!$B$1:$ZN$1000,MATCH(data!$A145,Haver_M!$B$1:$B$1000,0),MATCH(data!N$1,Haver_M!$B$1:$ZN$1,0))),INDEX(Haver_M!$B$1:$ZN$1000,MATCH(data!$A145,Haver_M!$B$1:$B$1000,0),MATCH(data!N$1,Haver_M!$B$1:$ZN$1,0)),"na")</f>
        <v>6.4465000000000003</v>
      </c>
      <c r="O145">
        <f>IF(ISNUMBER(INDEX(Haver_M!$B$1:$ZN$1000,MATCH(data!$A145,Haver_M!$B$1:$B$1000,0),MATCH(data!O$1,Haver_M!$B$1:$ZN$1,0))),INDEX(Haver_M!$B$1:$ZN$1000,MATCH(data!$A145,Haver_M!$B$1:$B$1000,0),MATCH(data!O$1,Haver_M!$B$1:$ZN$1,0)),"na")</f>
        <v>91.307100000000005</v>
      </c>
      <c r="P145">
        <f>IF(ISNUMBER(INDEX(Haver_M!$B$1:$ZN$1000,MATCH(data!$A145,Haver_M!$B$1:$B$1000,0),MATCH(data!P$1,Haver_M!$B$1:$ZN$1,0))),INDEX(Haver_M!$B$1:$ZN$1000,MATCH(data!$A145,Haver_M!$B$1:$B$1000,0),MATCH(data!P$1,Haver_M!$B$1:$ZN$1,0)),"na")</f>
        <v>77.468900000000005</v>
      </c>
      <c r="Q145">
        <f>IF(ISNUMBER(INDEX(Haver_M!$B$1:$ZN$1000,MATCH(data!$A145,Haver_M!$B$1:$B$1000,0),MATCH(data!Q$1,Haver_M!$B$1:$ZN$1,0))),INDEX(Haver_M!$B$1:$ZN$1000,MATCH(data!$A145,Haver_M!$B$1:$B$1000,0),MATCH(data!Q$1,Haver_M!$B$1:$ZN$1,0)),"na")</f>
        <v>80.820800000000006</v>
      </c>
      <c r="R145">
        <f>IF(ISNUMBER(INDEX(Haver_M!$B$1:$ZN$1000,MATCH(data!$A145,Haver_M!$B$1:$B$1000,0),MATCH(data!R$1,Haver_M!$B$1:$ZN$1,0))),INDEX(Haver_M!$B$1:$ZN$1000,MATCH(data!$A145,Haver_M!$B$1:$B$1000,0),MATCH(data!R$1,Haver_M!$B$1:$ZN$1,0)),"na")</f>
        <v>100.2423</v>
      </c>
      <c r="S145">
        <f>IF(ISNUMBER(INDEX(Haver_M!$B$1:$ZN$1000,MATCH(data!$A145,Haver_M!$B$1:$B$1000,0),MATCH(data!S$1,Haver_M!$B$1:$ZN$1,0))),INDEX(Haver_M!$B$1:$ZN$1000,MATCH(data!$A145,Haver_M!$B$1:$B$1000,0),MATCH(data!S$1,Haver_M!$B$1:$ZN$1,0)),"na")</f>
        <v>100.523</v>
      </c>
      <c r="T145">
        <f>IF(ISNUMBER(INDEX(Haver_M!$B$1:$ZN$1000,MATCH(data!$A145,Haver_M!$B$1:$B$1000,0),MATCH(data!T$1,Haver_M!$B$1:$ZN$1,0))),INDEX(Haver_M!$B$1:$ZN$1000,MATCH(data!$A145,Haver_M!$B$1:$B$1000,0),MATCH(data!T$1,Haver_M!$B$1:$ZN$1,0)),"na")</f>
        <v>99.953400000000002</v>
      </c>
      <c r="U145">
        <f>IF(ISNUMBER(INDEX(Haver_M!$B$1:$ZN$1000,MATCH(data!$A145,Haver_M!$B$1:$B$1000,0),MATCH(data!U$1,Haver_M!$B$1:$ZN$1,0))),INDEX(Haver_M!$B$1:$ZN$1000,MATCH(data!$A145,Haver_M!$B$1:$B$1000,0),MATCH(data!U$1,Haver_M!$B$1:$ZN$1,0)),"na")</f>
        <v>102.60599999999999</v>
      </c>
      <c r="V145">
        <f>IF(ISNUMBER(INDEX(Haver_M!$B$1:$ZN$1000,MATCH(data!$A145,Haver_M!$B$1:$B$1000,0),MATCH(data!V$1,Haver_M!$B$1:$ZN$1,0))),INDEX(Haver_M!$B$1:$ZN$1000,MATCH(data!$A145,Haver_M!$B$1:$B$1000,0),MATCH(data!V$1,Haver_M!$B$1:$ZN$1,0)),"na")</f>
        <v>98.351500000000001</v>
      </c>
      <c r="W145">
        <f>IF(ISNUMBER(INDEX(Haver_M!$B$1:$ZN$1000,MATCH(data!$A145,Haver_M!$B$1:$B$1000,0),MATCH(data!W$1,Haver_M!$B$1:$ZN$1,0))),INDEX(Haver_M!$B$1:$ZN$1000,MATCH(data!$A145,Haver_M!$B$1:$B$1000,0),MATCH(data!W$1,Haver_M!$B$1:$ZN$1,0)),"na")</f>
        <v>5.03</v>
      </c>
      <c r="X145">
        <f>IF(ISNUMBER(INDEX(Haver_M!$B$1:$ZN$1000,MATCH(data!$A145,Haver_M!$B$1:$B$1000,0),MATCH(data!X$1,Haver_M!$B$1:$ZN$1,0))),INDEX(Haver_M!$B$1:$ZN$1000,MATCH(data!$A145,Haver_M!$B$1:$B$1000,0),MATCH(data!X$1,Haver_M!$B$1:$ZN$1,0)),"na")</f>
        <v>100.3</v>
      </c>
      <c r="Y145">
        <f>IF(ISNUMBER(INDEX(Haver_M!$B$1:$ZN$1000,MATCH(data!$A145,Haver_M!$B$1:$B$1000,0),MATCH(data!Y$1,Haver_M!$B$1:$ZN$1,0))),INDEX(Haver_M!$B$1:$ZN$1000,MATCH(data!$A145,Haver_M!$B$1:$B$1000,0),MATCH(data!Y$1,Haver_M!$B$1:$ZN$1,0)),"na")</f>
        <v>100.23</v>
      </c>
      <c r="Z145">
        <f>IF(ISNUMBER(INDEX(Haver_M!$B$1:$ZN$1000,MATCH(data!$A145,Haver_M!$B$1:$B$1000,0),MATCH(data!Z$1,Haver_M!$B$1:$ZN$1,0))),INDEX(Haver_M!$B$1:$ZN$1000,MATCH(data!$A145,Haver_M!$B$1:$B$1000,0),MATCH(data!Z$1,Haver_M!$B$1:$ZN$1,0)),"na")</f>
        <v>98.309700000000007</v>
      </c>
      <c r="AA145">
        <f>IF(ISNUMBER(INDEX(Haver_M!$B$1:$ZN$1000,MATCH(data!$A145,Haver_M!$B$1:$B$1000,0),MATCH(data!AA$1,Haver_M!$B$1:$ZN$1,0))),INDEX(Haver_M!$B$1:$ZN$1000,MATCH(data!$A145,Haver_M!$B$1:$B$1000,0),MATCH(data!AA$1,Haver_M!$B$1:$ZN$1,0)),"na")</f>
        <v>101.6268</v>
      </c>
      <c r="AB145">
        <f>IF(ISNUMBER(INDEX(Haver_M!$B$1:$ZN$1000,MATCH(data!$A145,Haver_M!$B$1:$B$1000,0),MATCH(data!AB$1,Haver_M!$B$1:$ZN$1,0))),INDEX(Haver_M!$B$1:$ZN$1000,MATCH(data!$A145,Haver_M!$B$1:$B$1000,0),MATCH(data!AB$1,Haver_M!$B$1:$ZN$1,0)),"na")</f>
        <v>30161.4</v>
      </c>
      <c r="AC145">
        <f>IF(ISNUMBER(INDEX(Haver_M!$B$1:$ZN$1000,MATCH(data!$A145,Haver_M!$B$1:$B$1000,0),MATCH(data!AC$1,Haver_M!$B$1:$ZN$1,0))),INDEX(Haver_M!$B$1:$ZN$1000,MATCH(data!$A145,Haver_M!$B$1:$B$1000,0),MATCH(data!AC$1,Haver_M!$B$1:$ZN$1,0)),"na")</f>
        <v>30243.4</v>
      </c>
      <c r="AD145">
        <f>IF(ISNUMBER(INDEX(Haver_M!$B$1:$ZN$1000,MATCH(data!$A145,Haver_M!$B$1:$B$1000,0),MATCH(data!AD$1,Haver_M!$B$1:$ZN$1,0))),INDEX(Haver_M!$B$1:$ZN$1000,MATCH(data!$A145,Haver_M!$B$1:$B$1000,0),MATCH(data!AD$1,Haver_M!$B$1:$ZN$1,0)),"na")</f>
        <v>100.28</v>
      </c>
      <c r="AE145">
        <f>IF(ISNUMBER(INDEX(Haver_M!$B$1:$ZN$1000,MATCH(data!$A145,Haver_M!$B$1:$B$1000,0),MATCH(data!AE$1,Haver_M!$B$1:$ZN$1,0))),INDEX(Haver_M!$B$1:$ZN$1000,MATCH(data!$A145,Haver_M!$B$1:$B$1000,0),MATCH(data!AE$1,Haver_M!$B$1:$ZN$1,0)),"na")</f>
        <v>37.6</v>
      </c>
      <c r="AF145">
        <f>IF(ISNUMBER(INDEX(Haver_M!$B$1:$ZN$1000,MATCH(data!$A145,Haver_M!$B$1:$B$1000,0),MATCH(data!AF$1,Haver_M!$B$1:$ZN$1,0))),INDEX(Haver_M!$B$1:$ZN$1000,MATCH(data!$A145,Haver_M!$B$1:$B$1000,0),MATCH(data!AF$1,Haver_M!$B$1:$ZN$1,0)),"na")</f>
        <v>100.54</v>
      </c>
      <c r="AG145">
        <f>IF(ISNUMBER(INDEX(Haver_M!$B$1:$ZN$1000,MATCH(data!$A145,Haver_M!$B$1:$B$1000,0),MATCH(data!AG$1,Haver_M!$B$1:$ZN$1,0))),INDEX(Haver_M!$B$1:$ZN$1000,MATCH(data!$A145,Haver_M!$B$1:$B$1000,0),MATCH(data!AG$1,Haver_M!$B$1:$ZN$1,0)),"na")</f>
        <v>53.140500000000003</v>
      </c>
      <c r="AH145">
        <f>IF(ISNUMBER(INDEX(Haver_M!$B$1:$ZN$1000,MATCH(data!$A145,Haver_M!$B$1:$B$1000,0),MATCH(data!AH$1,Haver_M!$B$1:$ZN$1,0))),INDEX(Haver_M!$B$1:$ZN$1000,MATCH(data!$A145,Haver_M!$B$1:$B$1000,0),MATCH(data!AH$1,Haver_M!$B$1:$ZN$1,0)),"na")</f>
        <v>54.931800000000003</v>
      </c>
      <c r="AI145">
        <f>IF(ISNUMBER(INDEX(Haver_M!$B$1:$ZN$1000,MATCH(data!$A145,Haver_M!$B$1:$B$1000,0),MATCH(data!AI$1,Haver_M!$B$1:$ZN$1,0))),INDEX(Haver_M!$B$1:$ZN$1000,MATCH(data!$A145,Haver_M!$B$1:$B$1000,0),MATCH(data!AI$1,Haver_M!$B$1:$ZN$1,0)),"na")</f>
        <v>55.325800000000001</v>
      </c>
      <c r="AJ145">
        <f>IF(ISNUMBER(INDEX(Haver_M!$B$1:$ZN$1000,MATCH(data!$A145,Haver_M!$B$1:$B$1000,0),MATCH(data!AJ$1,Haver_M!$B$1:$ZN$1,0))),INDEX(Haver_M!$B$1:$ZN$1000,MATCH(data!$A145,Haver_M!$B$1:$B$1000,0),MATCH(data!AJ$1,Haver_M!$B$1:$ZN$1,0)),"na")</f>
        <v>51.430999999999997</v>
      </c>
      <c r="AK145">
        <f>IF(ISNUMBER(INDEX(Haver_M!$B$1:$ZN$1000,MATCH(data!$A145,Haver_M!$B$1:$B$1000,0),MATCH(data!AK$1,Haver_M!$B$1:$ZN$1,0))),INDEX(Haver_M!$B$1:$ZN$1000,MATCH(data!$A145,Haver_M!$B$1:$B$1000,0),MATCH(data!AK$1,Haver_M!$B$1:$ZN$1,0)),"na")</f>
        <v>49.532899999999998</v>
      </c>
      <c r="AL145">
        <f>IF(ISNUMBER(INDEX(Haver_M!$B$1:$ZN$1000,MATCH(data!$A145,Haver_M!$B$1:$B$1000,0),MATCH(data!AL$1,Haver_M!$B$1:$ZN$1,0))),INDEX(Haver_M!$B$1:$ZN$1000,MATCH(data!$A145,Haver_M!$B$1:$B$1000,0),MATCH(data!AL$1,Haver_M!$B$1:$ZN$1,0)),"na")</f>
        <v>49.535800000000002</v>
      </c>
      <c r="AM145">
        <f>IF(ISNUMBER(INDEX(Haver_M!$B$1:$ZN$1000,MATCH(data!$A145,Haver_M!$B$1:$B$1000,0),MATCH(data!AM$1,Haver_M!$B$1:$ZN$1,0))),INDEX(Haver_M!$B$1:$ZN$1000,MATCH(data!$A145,Haver_M!$B$1:$B$1000,0),MATCH(data!AM$1,Haver_M!$B$1:$ZN$1,0)),"na")</f>
        <v>62.287500000000001</v>
      </c>
      <c r="AN145">
        <f>IF(ISNUMBER(INDEX(Haver_M!$B$1:$ZN$1000,MATCH(data!$A145,Haver_M!$B$1:$B$1000,0),MATCH(data!AN$1,Haver_M!$B$1:$ZN$1,0))),INDEX(Haver_M!$B$1:$ZN$1000,MATCH(data!$A145,Haver_M!$B$1:$B$1000,0),MATCH(data!AN$1,Haver_M!$B$1:$ZN$1,0)),"na")</f>
        <v>52.9968</v>
      </c>
      <c r="AO145">
        <f>IF(ISNUMBER(INDEX(Haver_M!$B$1:$ZN$1000,MATCH(data!$A145,Haver_M!$B$1:$B$1000,0),MATCH(data!AO$1,Haver_M!$B$1:$ZN$1,0))),INDEX(Haver_M!$B$1:$ZN$1000,MATCH(data!$A145,Haver_M!$B$1:$B$1000,0),MATCH(data!AO$1,Haver_M!$B$1:$ZN$1,0)),"na")</f>
        <v>49.535800000000002</v>
      </c>
      <c r="AP145">
        <f>IF(ISNUMBER(INDEX(Haver_M!$B$1:$ZN$1000,MATCH(data!$A145,Haver_M!$B$1:$B$1000,0),MATCH(data!AP$1,Haver_M!$B$1:$ZN$1,0))),INDEX(Haver_M!$B$1:$ZN$1000,MATCH(data!$A145,Haver_M!$B$1:$B$1000,0),MATCH(data!AP$1,Haver_M!$B$1:$ZN$1,0)),"na")</f>
        <v>52.240900000000003</v>
      </c>
      <c r="AQ145">
        <f>IF(ISNUMBER(INDEX(Haver_M!$B$1:$ZN$1000,MATCH(data!$A145,Haver_M!$B$1:$B$1000,0),MATCH(data!AQ$1,Haver_M!$B$1:$ZN$1,0))),INDEX(Haver_M!$B$1:$ZN$1000,MATCH(data!$A145,Haver_M!$B$1:$B$1000,0),MATCH(data!AQ$1,Haver_M!$B$1:$ZN$1,0)),"na")</f>
        <v>55.5471</v>
      </c>
      <c r="AR145">
        <f>IF(ISNUMBER(INDEX(Haver_M!$B$1:$ZN$1000,MATCH(data!$A145,Haver_M!$B$1:$B$1000,0),MATCH(data!AR$1,Haver_M!$B$1:$ZN$1,0))),INDEX(Haver_M!$B$1:$ZN$1000,MATCH(data!$A145,Haver_M!$B$1:$B$1000,0),MATCH(data!AR$1,Haver_M!$B$1:$ZN$1,0)),"na")</f>
        <v>50.166499999999999</v>
      </c>
      <c r="AS145">
        <f>IF(ISNUMBER(INDEX(Haver_M!$B$1:$ZN$1000,MATCH(data!$A145,Haver_M!$B$1:$B$1000,0),MATCH(data!AS$1,Haver_M!$B$1:$ZN$1,0))),INDEX(Haver_M!$B$1:$ZN$1000,MATCH(data!$A145,Haver_M!$B$1:$B$1000,0),MATCH(data!AS$1,Haver_M!$B$1:$ZN$1,0)),"na")</f>
        <v>36702.269999999997</v>
      </c>
      <c r="AT145">
        <f>IF(ISNUMBER(INDEX(Haver_M!$B$1:$ZN$1000,MATCH(data!$A145,Haver_M!$B$1:$B$1000,0),MATCH(data!AT$1,Haver_M!$B$1:$ZN$1,0))),INDEX(Haver_M!$B$1:$ZN$1000,MATCH(data!$A145,Haver_M!$B$1:$B$1000,0),MATCH(data!AT$1,Haver_M!$B$1:$ZN$1,0)),"na")</f>
        <v>98.480999999999995</v>
      </c>
      <c r="AU145">
        <f>IF(ISNUMBER(INDEX(Haver_M!$B$1:$ZN$1000,MATCH(data!$A145,Haver_M!$B$1:$B$1000,0),MATCH(data!AU$1,Haver_M!$B$1:$ZN$1,0))),INDEX(Haver_M!$B$1:$ZN$1000,MATCH(data!$A145,Haver_M!$B$1:$B$1000,0),MATCH(data!AU$1,Haver_M!$B$1:$ZN$1,0)),"na")</f>
        <v>96.816799000000003</v>
      </c>
      <c r="AV145">
        <f>IF(ISNUMBER(INDEX(Haver_M!$B$1:$ZN$1000,MATCH(data!$A145,Haver_M!$B$1:$B$1000,0),MATCH(data!AV$1,Haver_M!$B$1:$ZN$1,0))),INDEX(Haver_M!$B$1:$ZN$1000,MATCH(data!$A145,Haver_M!$B$1:$B$1000,0),MATCH(data!AV$1,Haver_M!$B$1:$ZN$1,0)),"na")</f>
        <v>104.3</v>
      </c>
      <c r="AW145">
        <f>IF(ISNUMBER(INDEX(Haver_M!$B$1:$ZN$1000,MATCH(data!$A145,Haver_M!$B$1:$B$1000,0),MATCH(data!AW$1,Haver_M!$B$1:$ZN$1,0))),INDEX(Haver_M!$B$1:$ZN$1000,MATCH(data!$A145,Haver_M!$B$1:$B$1000,0),MATCH(data!AW$1,Haver_M!$B$1:$ZN$1,0)),"na")</f>
        <v>1063759.1354570994</v>
      </c>
      <c r="AX145">
        <f>IF(ISNUMBER(INDEX(Haver_M!$B$1:$ZN$1000,MATCH(data!$A145,Haver_M!$B$1:$B$1000,0),MATCH(data!AX$1,Haver_M!$B$1:$ZN$1,0))),INDEX(Haver_M!$B$1:$ZN$1000,MATCH(data!$A145,Haver_M!$B$1:$B$1000,0),MATCH(data!AX$1,Haver_M!$B$1:$ZN$1,0)),"na")</f>
        <v>2544</v>
      </c>
      <c r="AY145">
        <f>IF(ISNUMBER(INDEX(Haver_M!$B$1:$ZN$1000,MATCH(data!$A145,Haver_M!$B$1:$B$1000,0),MATCH(data!AY$1,Haver_M!$B$1:$ZN$1,0))),INDEX(Haver_M!$B$1:$ZN$1000,MATCH(data!$A145,Haver_M!$B$1:$B$1000,0),MATCH(data!AY$1,Haver_M!$B$1:$ZN$1,0)),"na")</f>
        <v>1281</v>
      </c>
      <c r="AZ145">
        <f>IF(ISNUMBER(INDEX(Haver_M!$B$1:$ZN$1000,MATCH(data!$A145,Haver_M!$B$1:$B$1000,0),MATCH(data!AZ$1,Haver_M!$B$1:$ZN$1,0))),INDEX(Haver_M!$B$1:$ZN$1000,MATCH(data!$A145,Haver_M!$B$1:$B$1000,0),MATCH(data!AZ$1,Haver_M!$B$1:$ZN$1,0)),"na")</f>
        <v>54.2</v>
      </c>
      <c r="BA145">
        <f>IF(ISNUMBER(INDEX(Haver_M!$B$1:$ZN$1000,MATCH(data!$A145,Haver_M!$B$1:$B$1000,0),MATCH(data!BA$1,Haver_M!$B$1:$ZN$1,0))),INDEX(Haver_M!$B$1:$ZN$1000,MATCH(data!$A145,Haver_M!$B$1:$B$1000,0),MATCH(data!BA$1,Haver_M!$B$1:$ZN$1,0)),"na")</f>
        <v>49.9267302428918</v>
      </c>
      <c r="BB145" t="str">
        <f>IF(ISNUMBER(INDEX(Haver_M!$B$1:$ZN$1000,MATCH(data!$A145,Haver_M!$B$1:$B$1000,0),MATCH(data!BB$1,Haver_M!$B$1:$ZN$1,0))),INDEX(Haver_M!$B$1:$ZN$1000,MATCH(data!$A145,Haver_M!$B$1:$B$1000,0),MATCH(data!BB$1,Haver_M!$B$1:$ZN$1,0)),"")</f>
        <v/>
      </c>
    </row>
    <row r="146" spans="1:54" x14ac:dyDescent="0.25">
      <c r="A146" s="2">
        <v>40939</v>
      </c>
      <c r="B146" t="str">
        <f>IF(ISNUMBER(INDEX(Haver_Q!$B$1:$BD$1000,MATCH(data!$A146,Haver_Q!$B$1:$B$1000,0),MATCH(data!B$1,Haver_Q!$B$1:$BD$1,0))),100*INDEX(Haver_Q!$B$1:$BD$1000,MATCH(data!$A146,Haver_Q!$B$1:$B$1000,0),MATCH(data!B$1,Haver_Q!$B$1:$BD$1,0)),"na")</f>
        <v>na</v>
      </c>
      <c r="C146" t="str">
        <f>IF(ISNUMBER(INDEX(Haver_Q!$B$1:$BD$1000,MATCH(data!$A146,Haver_Q!$B$1:$B$1000,0),MATCH(data!C$1,Haver_Q!$B$1:$BD$1,0))),100*INDEX(Haver_Q!$B$1:$BD$1000,MATCH(data!$A146,Haver_Q!$B$1:$B$1000,0),MATCH(data!C$1,Haver_Q!$B$1:$BD$1,0)),"na")</f>
        <v>na</v>
      </c>
      <c r="D146" t="str">
        <f>IF(ISNUMBER(INDEX(Haver_Q!$B$1:$BD$1000,MATCH(data!$A146,Haver_Q!$B$1:$B$1000,0),MATCH(data!D$1,Haver_Q!$B$1:$BD$1,0))),100*INDEX(Haver_Q!$B$1:$BD$1000,MATCH(data!$A146,Haver_Q!$B$1:$B$1000,0),MATCH(data!D$1,Haver_Q!$B$1:$BD$1,0)),"na")</f>
        <v>na</v>
      </c>
      <c r="E146" t="str">
        <f>IF(ISNUMBER(INDEX(Haver_Q!$B$1:$BD$1000,MATCH(data!$A146,Haver_Q!$B$1:$B$1000,0),MATCH(data!E$1,Haver_Q!$B$1:$BD$1,0))),100*INDEX(Haver_Q!$B$1:$BD$1000,MATCH(data!$A146,Haver_Q!$B$1:$B$1000,0),MATCH(data!E$1,Haver_Q!$B$1:$BD$1,0)),"na")</f>
        <v>na</v>
      </c>
      <c r="F146" t="str">
        <f>IF(ISNUMBER(INDEX(Haver_Q!$B$1:$BD$1000,MATCH(data!$A146,Haver_Q!$B$1:$B$1000,0),MATCH(data!F$1,Haver_Q!$B$1:$BD$1,0))),100*INDEX(Haver_Q!$B$1:$BD$1000,MATCH(data!$A146,Haver_Q!$B$1:$B$1000,0),MATCH(data!F$1,Haver_Q!$B$1:$BD$1,0)),"na")</f>
        <v>na</v>
      </c>
      <c r="G146" t="str">
        <f>IF(ISNUMBER(INDEX(Haver_Q!$B$1:$BD$1000,MATCH(data!$A146,Haver_Q!$B$1:$B$1000,0),MATCH(data!G$1,Haver_Q!$B$1:$BD$1,0))),100*INDEX(Haver_Q!$B$1:$BD$1000,MATCH(data!$A146,Haver_Q!$B$1:$B$1000,0),MATCH(data!G$1,Haver_Q!$B$1:$BD$1,0)),"na")</f>
        <v>na</v>
      </c>
      <c r="H146" t="str">
        <f>IF(ISNUMBER(INDEX(Haver_Q!$B$1:$BD$1000,MATCH(data!$A146,Haver_Q!$B$1:$B$1000,0),MATCH(data!H$1,Haver_Q!$B$1:$BD$1,0))),100*INDEX(Haver_Q!$B$1:$BD$1000,MATCH(data!$A146,Haver_Q!$B$1:$B$1000,0),MATCH(data!H$1,Haver_Q!$B$1:$BD$1,0)),"na")</f>
        <v>na</v>
      </c>
      <c r="I146" s="3">
        <f>IF(ISNUMBER(Bloomberg_m!C162),Bloomberg_m!C162,"na")</f>
        <v>1039</v>
      </c>
      <c r="J146" s="3">
        <f>IF(ISNUMBER(Bloomberg_m!D162),Bloomberg_m!D162,"na")</f>
        <v>1495.43</v>
      </c>
      <c r="K146" s="3">
        <f>IF(ISNUMBER(Bloomberg_m!E162),Bloomberg_m!E162,"na")</f>
        <v>979.64</v>
      </c>
      <c r="L146" s="3">
        <f>IF(ISNUMBER(Bloomberg_m!L162),Bloomberg_m!L162,"na")</f>
        <v>100.29</v>
      </c>
      <c r="M146">
        <f>IF(ISNUMBER(INDEX(Haver_M!$B$1:$ZN$1000,MATCH(data!$A146,Haver_M!$B$1:$B$1000,0),MATCH(data!M$1,Haver_M!$B$1:$ZN$1,0))),INDEX(Haver_M!$B$1:$ZN$1000,MATCH(data!$A146,Haver_M!$B$1:$B$1000,0),MATCH(data!M$1,Haver_M!$B$1:$ZN$1,0)),"na")</f>
        <v>4.5</v>
      </c>
      <c r="N146">
        <f>IF(ISNUMBER(INDEX(Haver_M!$B$1:$ZN$1000,MATCH(data!$A146,Haver_M!$B$1:$B$1000,0),MATCH(data!N$1,Haver_M!$B$1:$ZN$1,0))),INDEX(Haver_M!$B$1:$ZN$1000,MATCH(data!$A146,Haver_M!$B$1:$B$1000,0),MATCH(data!N$1,Haver_M!$B$1:$ZN$1,0)),"na")</f>
        <v>6.2023000000000001</v>
      </c>
      <c r="O146">
        <f>IF(ISNUMBER(INDEX(Haver_M!$B$1:$ZN$1000,MATCH(data!$A146,Haver_M!$B$1:$B$1000,0),MATCH(data!O$1,Haver_M!$B$1:$ZN$1,0))),INDEX(Haver_M!$B$1:$ZN$1000,MATCH(data!$A146,Haver_M!$B$1:$B$1000,0),MATCH(data!O$1,Haver_M!$B$1:$ZN$1,0)),"na")</f>
        <v>94.198989999999995</v>
      </c>
      <c r="P146">
        <f>IF(ISNUMBER(INDEX(Haver_M!$B$1:$ZN$1000,MATCH(data!$A146,Haver_M!$B$1:$B$1000,0),MATCH(data!P$1,Haver_M!$B$1:$ZN$1,0))),INDEX(Haver_M!$B$1:$ZN$1000,MATCH(data!$A146,Haver_M!$B$1:$B$1000,0),MATCH(data!P$1,Haver_M!$B$1:$ZN$1,0)),"na")</f>
        <v>77.890699999999995</v>
      </c>
      <c r="Q146">
        <f>IF(ISNUMBER(INDEX(Haver_M!$B$1:$ZN$1000,MATCH(data!$A146,Haver_M!$B$1:$B$1000,0),MATCH(data!Q$1,Haver_M!$B$1:$ZN$1,0))),INDEX(Haver_M!$B$1:$ZN$1000,MATCH(data!$A146,Haver_M!$B$1:$B$1000,0),MATCH(data!Q$1,Haver_M!$B$1:$ZN$1,0)),"na")</f>
        <v>81.096999999999994</v>
      </c>
      <c r="R146">
        <f>IF(ISNUMBER(INDEX(Haver_M!$B$1:$ZN$1000,MATCH(data!$A146,Haver_M!$B$1:$B$1000,0),MATCH(data!R$1,Haver_M!$B$1:$ZN$1,0))),INDEX(Haver_M!$B$1:$ZN$1000,MATCH(data!$A146,Haver_M!$B$1:$B$1000,0),MATCH(data!R$1,Haver_M!$B$1:$ZN$1,0)),"na")</f>
        <v>99.274199999999993</v>
      </c>
      <c r="S146">
        <f>IF(ISNUMBER(INDEX(Haver_M!$B$1:$ZN$1000,MATCH(data!$A146,Haver_M!$B$1:$B$1000,0),MATCH(data!S$1,Haver_M!$B$1:$ZN$1,0))),INDEX(Haver_M!$B$1:$ZN$1000,MATCH(data!$A146,Haver_M!$B$1:$B$1000,0),MATCH(data!S$1,Haver_M!$B$1:$ZN$1,0)),"na")</f>
        <v>98.197999999999993</v>
      </c>
      <c r="T146">
        <f>IF(ISNUMBER(INDEX(Haver_M!$B$1:$ZN$1000,MATCH(data!$A146,Haver_M!$B$1:$B$1000,0),MATCH(data!T$1,Haver_M!$B$1:$ZN$1,0))),INDEX(Haver_M!$B$1:$ZN$1000,MATCH(data!$A146,Haver_M!$B$1:$B$1000,0),MATCH(data!T$1,Haver_M!$B$1:$ZN$1,0)),"na")</f>
        <v>97.682500000000005</v>
      </c>
      <c r="U146">
        <f>IF(ISNUMBER(INDEX(Haver_M!$B$1:$ZN$1000,MATCH(data!$A146,Haver_M!$B$1:$B$1000,0),MATCH(data!U$1,Haver_M!$B$1:$ZN$1,0))),INDEX(Haver_M!$B$1:$ZN$1000,MATCH(data!$A146,Haver_M!$B$1:$B$1000,0),MATCH(data!U$1,Haver_M!$B$1:$ZN$1,0)),"na")</f>
        <v>101.8951</v>
      </c>
      <c r="V146">
        <f>IF(ISNUMBER(INDEX(Haver_M!$B$1:$ZN$1000,MATCH(data!$A146,Haver_M!$B$1:$B$1000,0),MATCH(data!V$1,Haver_M!$B$1:$ZN$1,0))),INDEX(Haver_M!$B$1:$ZN$1000,MATCH(data!$A146,Haver_M!$B$1:$B$1000,0),MATCH(data!V$1,Haver_M!$B$1:$ZN$1,0)),"na")</f>
        <v>98.980599999999995</v>
      </c>
      <c r="W146">
        <f>IF(ISNUMBER(INDEX(Haver_M!$B$1:$ZN$1000,MATCH(data!$A146,Haver_M!$B$1:$B$1000,0),MATCH(data!W$1,Haver_M!$B$1:$ZN$1,0))),INDEX(Haver_M!$B$1:$ZN$1000,MATCH(data!$A146,Haver_M!$B$1:$B$1000,0),MATCH(data!W$1,Haver_M!$B$1:$ZN$1,0)),"na")</f>
        <v>4.7</v>
      </c>
      <c r="X146">
        <f>IF(ISNUMBER(INDEX(Haver_M!$B$1:$ZN$1000,MATCH(data!$A146,Haver_M!$B$1:$B$1000,0),MATCH(data!X$1,Haver_M!$B$1:$ZN$1,0))),INDEX(Haver_M!$B$1:$ZN$1000,MATCH(data!$A146,Haver_M!$B$1:$B$1000,0),MATCH(data!X$1,Haver_M!$B$1:$ZN$1,0)),"na")</f>
        <v>100.31</v>
      </c>
      <c r="Y146">
        <f>IF(ISNUMBER(INDEX(Haver_M!$B$1:$ZN$1000,MATCH(data!$A146,Haver_M!$B$1:$B$1000,0),MATCH(data!Y$1,Haver_M!$B$1:$ZN$1,0))),INDEX(Haver_M!$B$1:$ZN$1000,MATCH(data!$A146,Haver_M!$B$1:$B$1000,0),MATCH(data!Y$1,Haver_M!$B$1:$ZN$1,0)),"na")</f>
        <v>100.29</v>
      </c>
      <c r="Z146">
        <f>IF(ISNUMBER(INDEX(Haver_M!$B$1:$ZN$1000,MATCH(data!$A146,Haver_M!$B$1:$B$1000,0),MATCH(data!Z$1,Haver_M!$B$1:$ZN$1,0))),INDEX(Haver_M!$B$1:$ZN$1000,MATCH(data!$A146,Haver_M!$B$1:$B$1000,0),MATCH(data!Z$1,Haver_M!$B$1:$ZN$1,0)),"na")</f>
        <v>98.555800000000005</v>
      </c>
      <c r="AA146">
        <f>IF(ISNUMBER(INDEX(Haver_M!$B$1:$ZN$1000,MATCH(data!$A146,Haver_M!$B$1:$B$1000,0),MATCH(data!AA$1,Haver_M!$B$1:$ZN$1,0))),INDEX(Haver_M!$B$1:$ZN$1000,MATCH(data!$A146,Haver_M!$B$1:$B$1000,0),MATCH(data!AA$1,Haver_M!$B$1:$ZN$1,0)),"na")</f>
        <v>102.93729999999999</v>
      </c>
      <c r="AB146">
        <f>IF(ISNUMBER(INDEX(Haver_M!$B$1:$ZN$1000,MATCH(data!$A146,Haver_M!$B$1:$B$1000,0),MATCH(data!AB$1,Haver_M!$B$1:$ZN$1,0))),INDEX(Haver_M!$B$1:$ZN$1000,MATCH(data!$A146,Haver_M!$B$1:$B$1000,0),MATCH(data!AB$1,Haver_M!$B$1:$ZN$1,0)),"na")</f>
        <v>30977.3</v>
      </c>
      <c r="AC146">
        <f>IF(ISNUMBER(INDEX(Haver_M!$B$1:$ZN$1000,MATCH(data!$A146,Haver_M!$B$1:$B$1000,0),MATCH(data!AC$1,Haver_M!$B$1:$ZN$1,0))),INDEX(Haver_M!$B$1:$ZN$1000,MATCH(data!$A146,Haver_M!$B$1:$B$1000,0),MATCH(data!AC$1,Haver_M!$B$1:$ZN$1,0)),"na")</f>
        <v>30412.9</v>
      </c>
      <c r="AD146">
        <f>IF(ISNUMBER(INDEX(Haver_M!$B$1:$ZN$1000,MATCH(data!$A146,Haver_M!$B$1:$B$1000,0),MATCH(data!AD$1,Haver_M!$B$1:$ZN$1,0))),INDEX(Haver_M!$B$1:$ZN$1000,MATCH(data!$A146,Haver_M!$B$1:$B$1000,0),MATCH(data!AD$1,Haver_M!$B$1:$ZN$1,0)),"na")</f>
        <v>100.33</v>
      </c>
      <c r="AE146">
        <f>IF(ISNUMBER(INDEX(Haver_M!$B$1:$ZN$1000,MATCH(data!$A146,Haver_M!$B$1:$B$1000,0),MATCH(data!AE$1,Haver_M!$B$1:$ZN$1,0))),INDEX(Haver_M!$B$1:$ZN$1000,MATCH(data!$A146,Haver_M!$B$1:$B$1000,0),MATCH(data!AE$1,Haver_M!$B$1:$ZN$1,0)),"na")</f>
        <v>39.1</v>
      </c>
      <c r="AF146">
        <f>IF(ISNUMBER(INDEX(Haver_M!$B$1:$ZN$1000,MATCH(data!$A146,Haver_M!$B$1:$B$1000,0),MATCH(data!AF$1,Haver_M!$B$1:$ZN$1,0))),INDEX(Haver_M!$B$1:$ZN$1000,MATCH(data!$A146,Haver_M!$B$1:$B$1000,0),MATCH(data!AF$1,Haver_M!$B$1:$ZN$1,0)),"na")</f>
        <v>100.5</v>
      </c>
      <c r="AG146">
        <f>IF(ISNUMBER(INDEX(Haver_M!$B$1:$ZN$1000,MATCH(data!$A146,Haver_M!$B$1:$B$1000,0),MATCH(data!AG$1,Haver_M!$B$1:$ZN$1,0))),INDEX(Haver_M!$B$1:$ZN$1000,MATCH(data!$A146,Haver_M!$B$1:$B$1000,0),MATCH(data!AG$1,Haver_M!$B$1:$ZN$1,0)),"na")</f>
        <v>52.182499999999997</v>
      </c>
      <c r="AH146">
        <f>IF(ISNUMBER(INDEX(Haver_M!$B$1:$ZN$1000,MATCH(data!$A146,Haver_M!$B$1:$B$1000,0),MATCH(data!AH$1,Haver_M!$B$1:$ZN$1,0))),INDEX(Haver_M!$B$1:$ZN$1000,MATCH(data!$A146,Haver_M!$B$1:$B$1000,0),MATCH(data!AH$1,Haver_M!$B$1:$ZN$1,0)),"na")</f>
        <v>53.141100000000002</v>
      </c>
      <c r="AI146">
        <f>IF(ISNUMBER(INDEX(Haver_M!$B$1:$ZN$1000,MATCH(data!$A146,Haver_M!$B$1:$B$1000,0),MATCH(data!AI$1,Haver_M!$B$1:$ZN$1,0))),INDEX(Haver_M!$B$1:$ZN$1000,MATCH(data!$A146,Haver_M!$B$1:$B$1000,0),MATCH(data!AI$1,Haver_M!$B$1:$ZN$1,0)),"na")</f>
        <v>54.288899999999998</v>
      </c>
      <c r="AJ146">
        <f>IF(ISNUMBER(INDEX(Haver_M!$B$1:$ZN$1000,MATCH(data!$A146,Haver_M!$B$1:$B$1000,0),MATCH(data!AJ$1,Haver_M!$B$1:$ZN$1,0))),INDEX(Haver_M!$B$1:$ZN$1000,MATCH(data!$A146,Haver_M!$B$1:$B$1000,0),MATCH(data!AJ$1,Haver_M!$B$1:$ZN$1,0)),"na")</f>
        <v>50.073</v>
      </c>
      <c r="AK146">
        <f>IF(ISNUMBER(INDEX(Haver_M!$B$1:$ZN$1000,MATCH(data!$A146,Haver_M!$B$1:$B$1000,0),MATCH(data!AK$1,Haver_M!$B$1:$ZN$1,0))),INDEX(Haver_M!$B$1:$ZN$1000,MATCH(data!$A146,Haver_M!$B$1:$B$1000,0),MATCH(data!AK$1,Haver_M!$B$1:$ZN$1,0)),"na")</f>
        <v>48.397599999999997</v>
      </c>
      <c r="AL146">
        <f>IF(ISNUMBER(INDEX(Haver_M!$B$1:$ZN$1000,MATCH(data!$A146,Haver_M!$B$1:$B$1000,0),MATCH(data!AL$1,Haver_M!$B$1:$ZN$1,0))),INDEX(Haver_M!$B$1:$ZN$1000,MATCH(data!$A146,Haver_M!$B$1:$B$1000,0),MATCH(data!AL$1,Haver_M!$B$1:$ZN$1,0)),"na")</f>
        <v>48.556199999999997</v>
      </c>
      <c r="AM146">
        <f>IF(ISNUMBER(INDEX(Haver_M!$B$1:$ZN$1000,MATCH(data!$A146,Haver_M!$B$1:$B$1000,0),MATCH(data!AM$1,Haver_M!$B$1:$ZN$1,0))),INDEX(Haver_M!$B$1:$ZN$1000,MATCH(data!$A146,Haver_M!$B$1:$B$1000,0),MATCH(data!AM$1,Haver_M!$B$1:$ZN$1,0)),"na")</f>
        <v>61.863199999999999</v>
      </c>
      <c r="AN146">
        <f>IF(ISNUMBER(INDEX(Haver_M!$B$1:$ZN$1000,MATCH(data!$A146,Haver_M!$B$1:$B$1000,0),MATCH(data!AN$1,Haver_M!$B$1:$ZN$1,0))),INDEX(Haver_M!$B$1:$ZN$1000,MATCH(data!$A146,Haver_M!$B$1:$B$1000,0),MATCH(data!AN$1,Haver_M!$B$1:$ZN$1,0)),"na")</f>
        <v>53.533200000000001</v>
      </c>
      <c r="AO146">
        <f>IF(ISNUMBER(INDEX(Haver_M!$B$1:$ZN$1000,MATCH(data!$A146,Haver_M!$B$1:$B$1000,0),MATCH(data!AO$1,Haver_M!$B$1:$ZN$1,0))),INDEX(Haver_M!$B$1:$ZN$1000,MATCH(data!$A146,Haver_M!$B$1:$B$1000,0),MATCH(data!AO$1,Haver_M!$B$1:$ZN$1,0)),"na")</f>
        <v>48.556199999999997</v>
      </c>
      <c r="AP146">
        <f>IF(ISNUMBER(INDEX(Haver_M!$B$1:$ZN$1000,MATCH(data!$A146,Haver_M!$B$1:$B$1000,0),MATCH(data!AP$1,Haver_M!$B$1:$ZN$1,0))),INDEX(Haver_M!$B$1:$ZN$1000,MATCH(data!$A146,Haver_M!$B$1:$B$1000,0),MATCH(data!AP$1,Haver_M!$B$1:$ZN$1,0)),"na")</f>
        <v>51.053899999999999</v>
      </c>
      <c r="AQ146">
        <f>IF(ISNUMBER(INDEX(Haver_M!$B$1:$ZN$1000,MATCH(data!$A146,Haver_M!$B$1:$B$1000,0),MATCH(data!AQ$1,Haver_M!$B$1:$ZN$1,0))),INDEX(Haver_M!$B$1:$ZN$1000,MATCH(data!$A146,Haver_M!$B$1:$B$1000,0),MATCH(data!AQ$1,Haver_M!$B$1:$ZN$1,0)),"na")</f>
        <v>53.3249</v>
      </c>
      <c r="AR146">
        <f>IF(ISNUMBER(INDEX(Haver_M!$B$1:$ZN$1000,MATCH(data!$A146,Haver_M!$B$1:$B$1000,0),MATCH(data!AR$1,Haver_M!$B$1:$ZN$1,0))),INDEX(Haver_M!$B$1:$ZN$1000,MATCH(data!$A146,Haver_M!$B$1:$B$1000,0),MATCH(data!AR$1,Haver_M!$B$1:$ZN$1,0)),"na")</f>
        <v>49.672600000000003</v>
      </c>
      <c r="AS146">
        <f>IF(ISNUMBER(INDEX(Haver_M!$B$1:$ZN$1000,MATCH(data!$A146,Haver_M!$B$1:$B$1000,0),MATCH(data!AS$1,Haver_M!$B$1:$ZN$1,0))),INDEX(Haver_M!$B$1:$ZN$1000,MATCH(data!$A146,Haver_M!$B$1:$B$1000,0),MATCH(data!AS$1,Haver_M!$B$1:$ZN$1,0)),"na")</f>
        <v>37160.11</v>
      </c>
      <c r="AT146">
        <f>IF(ISNUMBER(INDEX(Haver_M!$B$1:$ZN$1000,MATCH(data!$A146,Haver_M!$B$1:$B$1000,0),MATCH(data!AT$1,Haver_M!$B$1:$ZN$1,0))),INDEX(Haver_M!$B$1:$ZN$1000,MATCH(data!$A146,Haver_M!$B$1:$B$1000,0),MATCH(data!AT$1,Haver_M!$B$1:$ZN$1,0)),"na")</f>
        <v>98.478999999999999</v>
      </c>
      <c r="AU146">
        <f>IF(ISNUMBER(INDEX(Haver_M!$B$1:$ZN$1000,MATCH(data!$A146,Haver_M!$B$1:$B$1000,0),MATCH(data!AU$1,Haver_M!$B$1:$ZN$1,0))),INDEX(Haver_M!$B$1:$ZN$1000,MATCH(data!$A146,Haver_M!$B$1:$B$1000,0),MATCH(data!AU$1,Haver_M!$B$1:$ZN$1,0)),"na")</f>
        <v>97.305284</v>
      </c>
      <c r="AV146">
        <f>IF(ISNUMBER(INDEX(Haver_M!$B$1:$ZN$1000,MATCH(data!$A146,Haver_M!$B$1:$B$1000,0),MATCH(data!AV$1,Haver_M!$B$1:$ZN$1,0))),INDEX(Haver_M!$B$1:$ZN$1000,MATCH(data!$A146,Haver_M!$B$1:$B$1000,0),MATCH(data!AV$1,Haver_M!$B$1:$ZN$1,0)),"na")</f>
        <v>103</v>
      </c>
      <c r="AW146">
        <f>IF(ISNUMBER(INDEX(Haver_M!$B$1:$ZN$1000,MATCH(data!$A146,Haver_M!$B$1:$B$1000,0),MATCH(data!AW$1,Haver_M!$B$1:$ZN$1,0))),INDEX(Haver_M!$B$1:$ZN$1000,MATCH(data!$A146,Haver_M!$B$1:$B$1000,0),MATCH(data!AW$1,Haver_M!$B$1:$ZN$1,0)),"na")</f>
        <v>982165.3480965643</v>
      </c>
      <c r="AX146">
        <f>IF(ISNUMBER(INDEX(Haver_M!$B$1:$ZN$1000,MATCH(data!$A146,Haver_M!$B$1:$B$1000,0),MATCH(data!AX$1,Haver_M!$B$1:$ZN$1,0))),INDEX(Haver_M!$B$1:$ZN$1000,MATCH(data!$A146,Haver_M!$B$1:$B$1000,0),MATCH(data!AX$1,Haver_M!$B$1:$ZN$1,0)),"na")</f>
        <v>2518</v>
      </c>
      <c r="AY146">
        <f>IF(ISNUMBER(INDEX(Haver_M!$B$1:$ZN$1000,MATCH(data!$A146,Haver_M!$B$1:$B$1000,0),MATCH(data!AY$1,Haver_M!$B$1:$ZN$1,0))),INDEX(Haver_M!$B$1:$ZN$1000,MATCH(data!$A146,Haver_M!$B$1:$B$1000,0),MATCH(data!AY$1,Haver_M!$B$1:$ZN$1,0)),"na")</f>
        <v>1191</v>
      </c>
      <c r="AZ146">
        <f>IF(ISNUMBER(INDEX(Haver_M!$B$1:$ZN$1000,MATCH(data!$A146,Haver_M!$B$1:$B$1000,0),MATCH(data!AZ$1,Haver_M!$B$1:$ZN$1,0))),INDEX(Haver_M!$B$1:$ZN$1000,MATCH(data!$A146,Haver_M!$B$1:$B$1000,0),MATCH(data!AZ$1,Haver_M!$B$1:$ZN$1,0)),"na")</f>
        <v>54.8</v>
      </c>
      <c r="BA146">
        <f>IF(ISNUMBER(INDEX(Haver_M!$B$1:$ZN$1000,MATCH(data!$A146,Haver_M!$B$1:$B$1000,0),MATCH(data!BA$1,Haver_M!$B$1:$ZN$1,0))),INDEX(Haver_M!$B$1:$ZN$1000,MATCH(data!$A146,Haver_M!$B$1:$B$1000,0),MATCH(data!BA$1,Haver_M!$B$1:$ZN$1,0)),"na")</f>
        <v>54.289175805595136</v>
      </c>
      <c r="BB146" t="str">
        <f>IF(ISNUMBER(INDEX(Haver_M!$B$1:$ZN$1000,MATCH(data!$A146,Haver_M!$B$1:$B$1000,0),MATCH(data!BB$1,Haver_M!$B$1:$ZN$1,0))),INDEX(Haver_M!$B$1:$ZN$1000,MATCH(data!$A146,Haver_M!$B$1:$B$1000,0),MATCH(data!BB$1,Haver_M!$B$1:$ZN$1,0)),"")</f>
        <v/>
      </c>
    </row>
    <row r="147" spans="1:54" x14ac:dyDescent="0.25">
      <c r="A147" s="2">
        <v>40968</v>
      </c>
      <c r="B147" t="str">
        <f>IF(ISNUMBER(INDEX(Haver_Q!$B$1:$BD$1000,MATCH(data!$A147,Haver_Q!$B$1:$B$1000,0),MATCH(data!B$1,Haver_Q!$B$1:$BD$1,0))),100*INDEX(Haver_Q!$B$1:$BD$1000,MATCH(data!$A147,Haver_Q!$B$1:$B$1000,0),MATCH(data!B$1,Haver_Q!$B$1:$BD$1,0)),"na")</f>
        <v>na</v>
      </c>
      <c r="C147" t="str">
        <f>IF(ISNUMBER(INDEX(Haver_Q!$B$1:$BD$1000,MATCH(data!$A147,Haver_Q!$B$1:$B$1000,0),MATCH(data!C$1,Haver_Q!$B$1:$BD$1,0))),100*INDEX(Haver_Q!$B$1:$BD$1000,MATCH(data!$A147,Haver_Q!$B$1:$B$1000,0),MATCH(data!C$1,Haver_Q!$B$1:$BD$1,0)),"na")</f>
        <v>na</v>
      </c>
      <c r="D147" t="str">
        <f>IF(ISNUMBER(INDEX(Haver_Q!$B$1:$BD$1000,MATCH(data!$A147,Haver_Q!$B$1:$B$1000,0),MATCH(data!D$1,Haver_Q!$B$1:$BD$1,0))),100*INDEX(Haver_Q!$B$1:$BD$1000,MATCH(data!$A147,Haver_Q!$B$1:$B$1000,0),MATCH(data!D$1,Haver_Q!$B$1:$BD$1,0)),"na")</f>
        <v>na</v>
      </c>
      <c r="E147" t="str">
        <f>IF(ISNUMBER(INDEX(Haver_Q!$B$1:$BD$1000,MATCH(data!$A147,Haver_Q!$B$1:$B$1000,0),MATCH(data!E$1,Haver_Q!$B$1:$BD$1,0))),100*INDEX(Haver_Q!$B$1:$BD$1000,MATCH(data!$A147,Haver_Q!$B$1:$B$1000,0),MATCH(data!E$1,Haver_Q!$B$1:$BD$1,0)),"na")</f>
        <v>na</v>
      </c>
      <c r="F147" t="str">
        <f>IF(ISNUMBER(INDEX(Haver_Q!$B$1:$BD$1000,MATCH(data!$A147,Haver_Q!$B$1:$B$1000,0),MATCH(data!F$1,Haver_Q!$B$1:$BD$1,0))),100*INDEX(Haver_Q!$B$1:$BD$1000,MATCH(data!$A147,Haver_Q!$B$1:$B$1000,0),MATCH(data!F$1,Haver_Q!$B$1:$BD$1,0)),"na")</f>
        <v>na</v>
      </c>
      <c r="G147" t="str">
        <f>IF(ISNUMBER(INDEX(Haver_Q!$B$1:$BD$1000,MATCH(data!$A147,Haver_Q!$B$1:$B$1000,0),MATCH(data!G$1,Haver_Q!$B$1:$BD$1,0))),100*INDEX(Haver_Q!$B$1:$BD$1000,MATCH(data!$A147,Haver_Q!$B$1:$B$1000,0),MATCH(data!G$1,Haver_Q!$B$1:$BD$1,0)),"na")</f>
        <v>na</v>
      </c>
      <c r="H147" t="str">
        <f>IF(ISNUMBER(INDEX(Haver_Q!$B$1:$BD$1000,MATCH(data!$A147,Haver_Q!$B$1:$B$1000,0),MATCH(data!H$1,Haver_Q!$B$1:$BD$1,0))),100*INDEX(Haver_Q!$B$1:$BD$1000,MATCH(data!$A147,Haver_Q!$B$1:$B$1000,0),MATCH(data!H$1,Haver_Q!$B$1:$BD$1,0)),"na")</f>
        <v>na</v>
      </c>
      <c r="I147" s="3">
        <f>IF(ISNUMBER(Bloomberg_m!C163),Bloomberg_m!C163,"na")</f>
        <v>703</v>
      </c>
      <c r="J147" s="3">
        <f>IF(ISNUMBER(Bloomberg_m!D163),Bloomberg_m!D163,"na")</f>
        <v>1460.67</v>
      </c>
      <c r="K147" s="3">
        <f>IF(ISNUMBER(Bloomberg_m!E163),Bloomberg_m!E163,"na")</f>
        <v>965.59</v>
      </c>
      <c r="L147" s="3">
        <f>IF(ISNUMBER(Bloomberg_m!L163),Bloomberg_m!L163,"na")</f>
        <v>102.21</v>
      </c>
      <c r="M147">
        <f>IF(ISNUMBER(INDEX(Haver_M!$B$1:$ZN$1000,MATCH(data!$A147,Haver_M!$B$1:$B$1000,0),MATCH(data!M$1,Haver_M!$B$1:$ZN$1,0))),INDEX(Haver_M!$B$1:$ZN$1000,MATCH(data!$A147,Haver_M!$B$1:$B$1000,0),MATCH(data!M$1,Haver_M!$B$1:$ZN$1,0)),"na")</f>
        <v>4.5</v>
      </c>
      <c r="N147">
        <f>IF(ISNUMBER(INDEX(Haver_M!$B$1:$ZN$1000,MATCH(data!$A147,Haver_M!$B$1:$B$1000,0),MATCH(data!N$1,Haver_M!$B$1:$ZN$1,0))),INDEX(Haver_M!$B$1:$ZN$1000,MATCH(data!$A147,Haver_M!$B$1:$B$1000,0),MATCH(data!N$1,Haver_M!$B$1:$ZN$1,0)),"na")</f>
        <v>6.2275999999999998</v>
      </c>
      <c r="O147">
        <f>IF(ISNUMBER(INDEX(Haver_M!$B$1:$ZN$1000,MATCH(data!$A147,Haver_M!$B$1:$B$1000,0),MATCH(data!O$1,Haver_M!$B$1:$ZN$1,0))),INDEX(Haver_M!$B$1:$ZN$1000,MATCH(data!$A147,Haver_M!$B$1:$B$1000,0),MATCH(data!O$1,Haver_M!$B$1:$ZN$1,0)),"na")</f>
        <v>97.981999999999999</v>
      </c>
      <c r="P147">
        <f>IF(ISNUMBER(INDEX(Haver_M!$B$1:$ZN$1000,MATCH(data!$A147,Haver_M!$B$1:$B$1000,0),MATCH(data!P$1,Haver_M!$B$1:$ZN$1,0))),INDEX(Haver_M!$B$1:$ZN$1000,MATCH(data!$A147,Haver_M!$B$1:$B$1000,0),MATCH(data!P$1,Haver_M!$B$1:$ZN$1,0)),"na")</f>
        <v>77.944400000000002</v>
      </c>
      <c r="Q147">
        <f>IF(ISNUMBER(INDEX(Haver_M!$B$1:$ZN$1000,MATCH(data!$A147,Haver_M!$B$1:$B$1000,0),MATCH(data!Q$1,Haver_M!$B$1:$ZN$1,0))),INDEX(Haver_M!$B$1:$ZN$1000,MATCH(data!$A147,Haver_M!$B$1:$B$1000,0),MATCH(data!Q$1,Haver_M!$B$1:$ZN$1,0)),"na")</f>
        <v>81.293099999999995</v>
      </c>
      <c r="R147">
        <f>IF(ISNUMBER(INDEX(Haver_M!$B$1:$ZN$1000,MATCH(data!$A147,Haver_M!$B$1:$B$1000,0),MATCH(data!R$1,Haver_M!$B$1:$ZN$1,0))),INDEX(Haver_M!$B$1:$ZN$1000,MATCH(data!$A147,Haver_M!$B$1:$B$1000,0),MATCH(data!R$1,Haver_M!$B$1:$ZN$1,0)),"na")</f>
        <v>99.416200000000003</v>
      </c>
      <c r="S147">
        <f>IF(ISNUMBER(INDEX(Haver_M!$B$1:$ZN$1000,MATCH(data!$A147,Haver_M!$B$1:$B$1000,0),MATCH(data!S$1,Haver_M!$B$1:$ZN$1,0))),INDEX(Haver_M!$B$1:$ZN$1000,MATCH(data!$A147,Haver_M!$B$1:$B$1000,0),MATCH(data!S$1,Haver_M!$B$1:$ZN$1,0)),"na")</f>
        <v>99.665000000000006</v>
      </c>
      <c r="T147">
        <f>IF(ISNUMBER(INDEX(Haver_M!$B$1:$ZN$1000,MATCH(data!$A147,Haver_M!$B$1:$B$1000,0),MATCH(data!T$1,Haver_M!$B$1:$ZN$1,0))),INDEX(Haver_M!$B$1:$ZN$1000,MATCH(data!$A147,Haver_M!$B$1:$B$1000,0),MATCH(data!T$1,Haver_M!$B$1:$ZN$1,0)),"na")</f>
        <v>98.830299999999994</v>
      </c>
      <c r="U147">
        <f>IF(ISNUMBER(INDEX(Haver_M!$B$1:$ZN$1000,MATCH(data!$A147,Haver_M!$B$1:$B$1000,0),MATCH(data!U$1,Haver_M!$B$1:$ZN$1,0))),INDEX(Haver_M!$B$1:$ZN$1000,MATCH(data!$A147,Haver_M!$B$1:$B$1000,0),MATCH(data!U$1,Haver_M!$B$1:$ZN$1,0)),"na")</f>
        <v>100.1298</v>
      </c>
      <c r="V147">
        <f>IF(ISNUMBER(INDEX(Haver_M!$B$1:$ZN$1000,MATCH(data!$A147,Haver_M!$B$1:$B$1000,0),MATCH(data!V$1,Haver_M!$B$1:$ZN$1,0))),INDEX(Haver_M!$B$1:$ZN$1000,MATCH(data!$A147,Haver_M!$B$1:$B$1000,0),MATCH(data!V$1,Haver_M!$B$1:$ZN$1,0)),"na")</f>
        <v>99.104799999999997</v>
      </c>
      <c r="W147">
        <f>IF(ISNUMBER(INDEX(Haver_M!$B$1:$ZN$1000,MATCH(data!$A147,Haver_M!$B$1:$B$1000,0),MATCH(data!W$1,Haver_M!$B$1:$ZN$1,0))),INDEX(Haver_M!$B$1:$ZN$1000,MATCH(data!$A147,Haver_M!$B$1:$B$1000,0),MATCH(data!W$1,Haver_M!$B$1:$ZN$1,0)),"na")</f>
        <v>5.36</v>
      </c>
      <c r="X147">
        <f>IF(ISNUMBER(INDEX(Haver_M!$B$1:$ZN$1000,MATCH(data!$A147,Haver_M!$B$1:$B$1000,0),MATCH(data!X$1,Haver_M!$B$1:$ZN$1,0))),INDEX(Haver_M!$B$1:$ZN$1000,MATCH(data!$A147,Haver_M!$B$1:$B$1000,0),MATCH(data!X$1,Haver_M!$B$1:$ZN$1,0)),"na")</f>
        <v>100.41</v>
      </c>
      <c r="Y147">
        <f>IF(ISNUMBER(INDEX(Haver_M!$B$1:$ZN$1000,MATCH(data!$A147,Haver_M!$B$1:$B$1000,0),MATCH(data!Y$1,Haver_M!$B$1:$ZN$1,0))),INDEX(Haver_M!$B$1:$ZN$1000,MATCH(data!$A147,Haver_M!$B$1:$B$1000,0),MATCH(data!Y$1,Haver_M!$B$1:$ZN$1,0)),"na")</f>
        <v>100.34</v>
      </c>
      <c r="Z147">
        <f>IF(ISNUMBER(INDEX(Haver_M!$B$1:$ZN$1000,MATCH(data!$A147,Haver_M!$B$1:$B$1000,0),MATCH(data!Z$1,Haver_M!$B$1:$ZN$1,0))),INDEX(Haver_M!$B$1:$ZN$1000,MATCH(data!$A147,Haver_M!$B$1:$B$1000,0),MATCH(data!Z$1,Haver_M!$B$1:$ZN$1,0)),"na")</f>
        <v>99.141999999999996</v>
      </c>
      <c r="AA147">
        <f>IF(ISNUMBER(INDEX(Haver_M!$B$1:$ZN$1000,MATCH(data!$A147,Haver_M!$B$1:$B$1000,0),MATCH(data!AA$1,Haver_M!$B$1:$ZN$1,0))),INDEX(Haver_M!$B$1:$ZN$1000,MATCH(data!$A147,Haver_M!$B$1:$B$1000,0),MATCH(data!AA$1,Haver_M!$B$1:$ZN$1,0)),"na")</f>
        <v>101.2218</v>
      </c>
      <c r="AB147">
        <f>IF(ISNUMBER(INDEX(Haver_M!$B$1:$ZN$1000,MATCH(data!$A147,Haver_M!$B$1:$B$1000,0),MATCH(data!AB$1,Haver_M!$B$1:$ZN$1,0))),INDEX(Haver_M!$B$1:$ZN$1000,MATCH(data!$A147,Haver_M!$B$1:$B$1000,0),MATCH(data!AB$1,Haver_M!$B$1:$ZN$1,0)),"na")</f>
        <v>31198.400000000001</v>
      </c>
      <c r="AC147">
        <f>IF(ISNUMBER(INDEX(Haver_M!$B$1:$ZN$1000,MATCH(data!$A147,Haver_M!$B$1:$B$1000,0),MATCH(data!AC$1,Haver_M!$B$1:$ZN$1,0))),INDEX(Haver_M!$B$1:$ZN$1000,MATCH(data!$A147,Haver_M!$B$1:$B$1000,0),MATCH(data!AC$1,Haver_M!$B$1:$ZN$1,0)),"na")</f>
        <v>31313.200000000001</v>
      </c>
      <c r="AD147">
        <f>IF(ISNUMBER(INDEX(Haver_M!$B$1:$ZN$1000,MATCH(data!$A147,Haver_M!$B$1:$B$1000,0),MATCH(data!AD$1,Haver_M!$B$1:$ZN$1,0))),INDEX(Haver_M!$B$1:$ZN$1000,MATCH(data!$A147,Haver_M!$B$1:$B$1000,0),MATCH(data!AD$1,Haver_M!$B$1:$ZN$1,0)),"na")</f>
        <v>100.36</v>
      </c>
      <c r="AE147">
        <f>IF(ISNUMBER(INDEX(Haver_M!$B$1:$ZN$1000,MATCH(data!$A147,Haver_M!$B$1:$B$1000,0),MATCH(data!AE$1,Haver_M!$B$1:$ZN$1,0))),INDEX(Haver_M!$B$1:$ZN$1000,MATCH(data!$A147,Haver_M!$B$1:$B$1000,0),MATCH(data!AE$1,Haver_M!$B$1:$ZN$1,0)),"na")</f>
        <v>39.5</v>
      </c>
      <c r="AF147">
        <f>IF(ISNUMBER(INDEX(Haver_M!$B$1:$ZN$1000,MATCH(data!$A147,Haver_M!$B$1:$B$1000,0),MATCH(data!AF$1,Haver_M!$B$1:$ZN$1,0))),INDEX(Haver_M!$B$1:$ZN$1000,MATCH(data!$A147,Haver_M!$B$1:$B$1000,0),MATCH(data!AF$1,Haver_M!$B$1:$ZN$1,0)),"na")</f>
        <v>100.46</v>
      </c>
      <c r="AG147">
        <f>IF(ISNUMBER(INDEX(Haver_M!$B$1:$ZN$1000,MATCH(data!$A147,Haver_M!$B$1:$B$1000,0),MATCH(data!AG$1,Haver_M!$B$1:$ZN$1,0))),INDEX(Haver_M!$B$1:$ZN$1000,MATCH(data!$A147,Haver_M!$B$1:$B$1000,0),MATCH(data!AG$1,Haver_M!$B$1:$ZN$1,0)),"na")</f>
        <v>53.665300000000002</v>
      </c>
      <c r="AH147">
        <f>IF(ISNUMBER(INDEX(Haver_M!$B$1:$ZN$1000,MATCH(data!$A147,Haver_M!$B$1:$B$1000,0),MATCH(data!AH$1,Haver_M!$B$1:$ZN$1,0))),INDEX(Haver_M!$B$1:$ZN$1000,MATCH(data!$A147,Haver_M!$B$1:$B$1000,0),MATCH(data!AH$1,Haver_M!$B$1:$ZN$1,0)),"na")</f>
        <v>55.233800000000002</v>
      </c>
      <c r="AI147">
        <f>IF(ISNUMBER(INDEX(Haver_M!$B$1:$ZN$1000,MATCH(data!$A147,Haver_M!$B$1:$B$1000,0),MATCH(data!AI$1,Haver_M!$B$1:$ZN$1,0))),INDEX(Haver_M!$B$1:$ZN$1000,MATCH(data!$A147,Haver_M!$B$1:$B$1000,0),MATCH(data!AI$1,Haver_M!$B$1:$ZN$1,0)),"na")</f>
        <v>55.713900000000002</v>
      </c>
      <c r="AJ147">
        <f>IF(ISNUMBER(INDEX(Haver_M!$B$1:$ZN$1000,MATCH(data!$A147,Haver_M!$B$1:$B$1000,0),MATCH(data!AJ$1,Haver_M!$B$1:$ZN$1,0))),INDEX(Haver_M!$B$1:$ZN$1000,MATCH(data!$A147,Haver_M!$B$1:$B$1000,0),MATCH(data!AJ$1,Haver_M!$B$1:$ZN$1,0)),"na")</f>
        <v>51.588299999999997</v>
      </c>
      <c r="AK147">
        <f>IF(ISNUMBER(INDEX(Haver_M!$B$1:$ZN$1000,MATCH(data!$A147,Haver_M!$B$1:$B$1000,0),MATCH(data!AK$1,Haver_M!$B$1:$ZN$1,0))),INDEX(Haver_M!$B$1:$ZN$1000,MATCH(data!$A147,Haver_M!$B$1:$B$1000,0),MATCH(data!AK$1,Haver_M!$B$1:$ZN$1,0)),"na")</f>
        <v>47.933999999999997</v>
      </c>
      <c r="AL147">
        <f>IF(ISNUMBER(INDEX(Haver_M!$B$1:$ZN$1000,MATCH(data!$A147,Haver_M!$B$1:$B$1000,0),MATCH(data!AL$1,Haver_M!$B$1:$ZN$1,0))),INDEX(Haver_M!$B$1:$ZN$1000,MATCH(data!$A147,Haver_M!$B$1:$B$1000,0),MATCH(data!AL$1,Haver_M!$B$1:$ZN$1,0)),"na")</f>
        <v>50.151200000000003</v>
      </c>
      <c r="AM147">
        <f>IF(ISNUMBER(INDEX(Haver_M!$B$1:$ZN$1000,MATCH(data!$A147,Haver_M!$B$1:$B$1000,0),MATCH(data!AM$1,Haver_M!$B$1:$ZN$1,0))),INDEX(Haver_M!$B$1:$ZN$1000,MATCH(data!$A147,Haver_M!$B$1:$B$1000,0),MATCH(data!AM$1,Haver_M!$B$1:$ZN$1,0)),"na")</f>
        <v>65.058099999999996</v>
      </c>
      <c r="AN147">
        <f>IF(ISNUMBER(INDEX(Haver_M!$B$1:$ZN$1000,MATCH(data!$A147,Haver_M!$B$1:$B$1000,0),MATCH(data!AN$1,Haver_M!$B$1:$ZN$1,0))),INDEX(Haver_M!$B$1:$ZN$1000,MATCH(data!$A147,Haver_M!$B$1:$B$1000,0),MATCH(data!AN$1,Haver_M!$B$1:$ZN$1,0)),"na")</f>
        <v>55.848599999999998</v>
      </c>
      <c r="AO147">
        <f>IF(ISNUMBER(INDEX(Haver_M!$B$1:$ZN$1000,MATCH(data!$A147,Haver_M!$B$1:$B$1000,0),MATCH(data!AO$1,Haver_M!$B$1:$ZN$1,0))),INDEX(Haver_M!$B$1:$ZN$1000,MATCH(data!$A147,Haver_M!$B$1:$B$1000,0),MATCH(data!AO$1,Haver_M!$B$1:$ZN$1,0)),"na")</f>
        <v>50.151200000000003</v>
      </c>
      <c r="AP147">
        <f>IF(ISNUMBER(INDEX(Haver_M!$B$1:$ZN$1000,MATCH(data!$A147,Haver_M!$B$1:$B$1000,0),MATCH(data!AP$1,Haver_M!$B$1:$ZN$1,0))),INDEX(Haver_M!$B$1:$ZN$1000,MATCH(data!$A147,Haver_M!$B$1:$B$1000,0),MATCH(data!AP$1,Haver_M!$B$1:$ZN$1,0)),"na")</f>
        <v>50.8765</v>
      </c>
      <c r="AQ147">
        <f>IF(ISNUMBER(INDEX(Haver_M!$B$1:$ZN$1000,MATCH(data!$A147,Haver_M!$B$1:$B$1000,0),MATCH(data!AQ$1,Haver_M!$B$1:$ZN$1,0))),INDEX(Haver_M!$B$1:$ZN$1000,MATCH(data!$A147,Haver_M!$B$1:$B$1000,0),MATCH(data!AQ$1,Haver_M!$B$1:$ZN$1,0)),"na")</f>
        <v>55.141199999999998</v>
      </c>
      <c r="AR147">
        <f>IF(ISNUMBER(INDEX(Haver_M!$B$1:$ZN$1000,MATCH(data!$A147,Haver_M!$B$1:$B$1000,0),MATCH(data!AR$1,Haver_M!$B$1:$ZN$1,0))),INDEX(Haver_M!$B$1:$ZN$1000,MATCH(data!$A147,Haver_M!$B$1:$B$1000,0),MATCH(data!AR$1,Haver_M!$B$1:$ZN$1,0)),"na")</f>
        <v>49.054499999999997</v>
      </c>
      <c r="AS147">
        <f>IF(ISNUMBER(INDEX(Haver_M!$B$1:$ZN$1000,MATCH(data!$A147,Haver_M!$B$1:$B$1000,0),MATCH(data!AS$1,Haver_M!$B$1:$ZN$1,0))),INDEX(Haver_M!$B$1:$ZN$1000,MATCH(data!$A147,Haver_M!$B$1:$B$1000,0),MATCH(data!AS$1,Haver_M!$B$1:$ZN$1,0)),"na")</f>
        <v>37990.07</v>
      </c>
      <c r="AT147">
        <f>IF(ISNUMBER(INDEX(Haver_M!$B$1:$ZN$1000,MATCH(data!$A147,Haver_M!$B$1:$B$1000,0),MATCH(data!AT$1,Haver_M!$B$1:$ZN$1,0))),INDEX(Haver_M!$B$1:$ZN$1000,MATCH(data!$A147,Haver_M!$B$1:$B$1000,0),MATCH(data!AT$1,Haver_M!$B$1:$ZN$1,0)),"na")</f>
        <v>97.858999999999995</v>
      </c>
      <c r="AU147">
        <f>IF(ISNUMBER(INDEX(Haver_M!$B$1:$ZN$1000,MATCH(data!$A147,Haver_M!$B$1:$B$1000,0),MATCH(data!AU$1,Haver_M!$B$1:$ZN$1,0))),INDEX(Haver_M!$B$1:$ZN$1000,MATCH(data!$A147,Haver_M!$B$1:$B$1000,0),MATCH(data!AU$1,Haver_M!$B$1:$ZN$1,0)),"na")</f>
        <v>97.607303000000002</v>
      </c>
      <c r="AV147">
        <f>IF(ISNUMBER(INDEX(Haver_M!$B$1:$ZN$1000,MATCH(data!$A147,Haver_M!$B$1:$B$1000,0),MATCH(data!AV$1,Haver_M!$B$1:$ZN$1,0))),INDEX(Haver_M!$B$1:$ZN$1000,MATCH(data!$A147,Haver_M!$B$1:$B$1000,0),MATCH(data!AV$1,Haver_M!$B$1:$ZN$1,0)),"na")</f>
        <v>102.5</v>
      </c>
      <c r="AW147">
        <f>IF(ISNUMBER(INDEX(Haver_M!$B$1:$ZN$1000,MATCH(data!$A147,Haver_M!$B$1:$B$1000,0),MATCH(data!AW$1,Haver_M!$B$1:$ZN$1,0))),INDEX(Haver_M!$B$1:$ZN$1000,MATCH(data!$A147,Haver_M!$B$1:$B$1000,0),MATCH(data!AW$1,Haver_M!$B$1:$ZN$1,0)),"na")</f>
        <v>1054308.9715877392</v>
      </c>
      <c r="AX147">
        <f>IF(ISNUMBER(INDEX(Haver_M!$B$1:$ZN$1000,MATCH(data!$A147,Haver_M!$B$1:$B$1000,0),MATCH(data!AX$1,Haver_M!$B$1:$ZN$1,0))),INDEX(Haver_M!$B$1:$ZN$1000,MATCH(data!$A147,Haver_M!$B$1:$B$1000,0),MATCH(data!AX$1,Haver_M!$B$1:$ZN$1,0)),"na")</f>
        <v>2538</v>
      </c>
      <c r="AY147">
        <f>IF(ISNUMBER(INDEX(Haver_M!$B$1:$ZN$1000,MATCH(data!$A147,Haver_M!$B$1:$B$1000,0),MATCH(data!AY$1,Haver_M!$B$1:$ZN$1,0))),INDEX(Haver_M!$B$1:$ZN$1000,MATCH(data!$A147,Haver_M!$B$1:$B$1000,0),MATCH(data!AY$1,Haver_M!$B$1:$ZN$1,0)),"na")</f>
        <v>1229</v>
      </c>
      <c r="AZ147">
        <f>IF(ISNUMBER(INDEX(Haver_M!$B$1:$ZN$1000,MATCH(data!$A147,Haver_M!$B$1:$B$1000,0),MATCH(data!AZ$1,Haver_M!$B$1:$ZN$1,0))),INDEX(Haver_M!$B$1:$ZN$1000,MATCH(data!$A147,Haver_M!$B$1:$B$1000,0),MATCH(data!AZ$1,Haver_M!$B$1:$ZN$1,0)),"na")</f>
        <v>57.1</v>
      </c>
      <c r="BA147">
        <f>IF(ISNUMBER(INDEX(Haver_M!$B$1:$ZN$1000,MATCH(data!$A147,Haver_M!$B$1:$B$1000,0),MATCH(data!BA$1,Haver_M!$B$1:$ZN$1,0))),INDEX(Haver_M!$B$1:$ZN$1000,MATCH(data!$A147,Haver_M!$B$1:$B$1000,0),MATCH(data!BA$1,Haver_M!$B$1:$ZN$1,0)),"na")</f>
        <v>74.493383610927026</v>
      </c>
      <c r="BB147" t="str">
        <f>IF(ISNUMBER(INDEX(Haver_M!$B$1:$ZN$1000,MATCH(data!$A147,Haver_M!$B$1:$B$1000,0),MATCH(data!BB$1,Haver_M!$B$1:$ZN$1,0))),INDEX(Haver_M!$B$1:$ZN$1000,MATCH(data!$A147,Haver_M!$B$1:$B$1000,0),MATCH(data!BB$1,Haver_M!$B$1:$ZN$1,0)),"")</f>
        <v/>
      </c>
    </row>
    <row r="148" spans="1:54" x14ac:dyDescent="0.25">
      <c r="A148" s="2">
        <v>40999</v>
      </c>
      <c r="B148">
        <f>IF(ISNUMBER(INDEX(Haver_Q!$B$1:$BD$1000,MATCH(data!$A148,Haver_Q!$B$1:$B$1000,0),MATCH(data!B$1,Haver_Q!$B$1:$BD$1,0))),100*INDEX(Haver_Q!$B$1:$BD$1000,MATCH(data!$A148,Haver_Q!$B$1:$B$1000,0),MATCH(data!B$1,Haver_Q!$B$1:$BD$1,0)),"na")</f>
        <v>2.5417326295588794</v>
      </c>
      <c r="C148">
        <f>IF(ISNUMBER(INDEX(Haver_Q!$B$1:$BD$1000,MATCH(data!$A148,Haver_Q!$B$1:$B$1000,0),MATCH(data!C$1,Haver_Q!$B$1:$BD$1,0))),100*INDEX(Haver_Q!$B$1:$BD$1000,MATCH(data!$A148,Haver_Q!$B$1:$B$1000,0),MATCH(data!C$1,Haver_Q!$B$1:$BD$1,0)),"na")</f>
        <v>4.7593903290287676</v>
      </c>
      <c r="D148">
        <f>IF(ISNUMBER(INDEX(Haver_Q!$B$1:$BD$1000,MATCH(data!$A148,Haver_Q!$B$1:$B$1000,0),MATCH(data!D$1,Haver_Q!$B$1:$BD$1,0))),100*INDEX(Haver_Q!$B$1:$BD$1000,MATCH(data!$A148,Haver_Q!$B$1:$B$1000,0),MATCH(data!D$1,Haver_Q!$B$1:$BD$1,0)),"na")</f>
        <v>3.7930466830252696</v>
      </c>
      <c r="E148">
        <f>IF(ISNUMBER(INDEX(Haver_Q!$B$1:$BD$1000,MATCH(data!$A148,Haver_Q!$B$1:$B$1000,0),MATCH(data!E$1,Haver_Q!$B$1:$BD$1,0))),100*INDEX(Haver_Q!$B$1:$BD$1000,MATCH(data!$A148,Haver_Q!$B$1:$B$1000,0),MATCH(data!E$1,Haver_Q!$B$1:$BD$1,0)),"na")</f>
        <v>-0.53246944965028575</v>
      </c>
      <c r="F148">
        <f>IF(ISNUMBER(INDEX(Haver_Q!$B$1:$BD$1000,MATCH(data!$A148,Haver_Q!$B$1:$B$1000,0),MATCH(data!F$1,Haver_Q!$B$1:$BD$1,0))),100*INDEX(Haver_Q!$B$1:$BD$1000,MATCH(data!$A148,Haver_Q!$B$1:$B$1000,0),MATCH(data!F$1,Haver_Q!$B$1:$BD$1,0)),"na")</f>
        <v>26.688914269807618</v>
      </c>
      <c r="G148">
        <f>IF(ISNUMBER(INDEX(Haver_Q!$B$1:$BD$1000,MATCH(data!$A148,Haver_Q!$B$1:$B$1000,0),MATCH(data!G$1,Haver_Q!$B$1:$BD$1,0))),100*INDEX(Haver_Q!$B$1:$BD$1000,MATCH(data!$A148,Haver_Q!$B$1:$B$1000,0),MATCH(data!G$1,Haver_Q!$B$1:$BD$1,0)),"na")</f>
        <v>12.116863054303796</v>
      </c>
      <c r="H148">
        <f>IF(ISNUMBER(INDEX(Haver_Q!$B$1:$BD$1000,MATCH(data!$A148,Haver_Q!$B$1:$B$1000,0),MATCH(data!H$1,Haver_Q!$B$1:$BD$1,0))),100*INDEX(Haver_Q!$B$1:$BD$1000,MATCH(data!$A148,Haver_Q!$B$1:$B$1000,0),MATCH(data!H$1,Haver_Q!$B$1:$BD$1,0)),"na")</f>
        <v>424.83498788164871</v>
      </c>
      <c r="I148" s="3">
        <f>IF(ISNUMBER(Bloomberg_m!C164),Bloomberg_m!C164,"na")</f>
        <v>859</v>
      </c>
      <c r="J148" s="3">
        <f>IF(ISNUMBER(Bloomberg_m!D164),Bloomberg_m!D164,"na")</f>
        <v>2051.34</v>
      </c>
      <c r="K148" s="3">
        <f>IF(ISNUMBER(Bloomberg_m!E164),Bloomberg_m!E164,"na")</f>
        <v>1227.0899999999999</v>
      </c>
      <c r="L148" s="3">
        <f>IF(ISNUMBER(Bloomberg_m!L164),Bloomberg_m!L164,"na")</f>
        <v>106.15</v>
      </c>
      <c r="M148">
        <f>IF(ISNUMBER(INDEX(Haver_M!$B$1:$ZN$1000,MATCH(data!$A148,Haver_M!$B$1:$B$1000,0),MATCH(data!M$1,Haver_M!$B$1:$ZN$1,0))),INDEX(Haver_M!$B$1:$ZN$1000,MATCH(data!$A148,Haver_M!$B$1:$B$1000,0),MATCH(data!M$1,Haver_M!$B$1:$ZN$1,0)),"na")</f>
        <v>4.5</v>
      </c>
      <c r="N148">
        <f>IF(ISNUMBER(INDEX(Haver_M!$B$1:$ZN$1000,MATCH(data!$A148,Haver_M!$B$1:$B$1000,0),MATCH(data!N$1,Haver_M!$B$1:$ZN$1,0))),INDEX(Haver_M!$B$1:$ZN$1000,MATCH(data!$A148,Haver_M!$B$1:$B$1000,0),MATCH(data!N$1,Haver_M!$B$1:$ZN$1,0)),"na")</f>
        <v>6.2765000000000004</v>
      </c>
      <c r="O148">
        <f>IF(ISNUMBER(INDEX(Haver_M!$B$1:$ZN$1000,MATCH(data!$A148,Haver_M!$B$1:$B$1000,0),MATCH(data!O$1,Haver_M!$B$1:$ZN$1,0))),INDEX(Haver_M!$B$1:$ZN$1000,MATCH(data!$A148,Haver_M!$B$1:$B$1000,0),MATCH(data!O$1,Haver_M!$B$1:$ZN$1,0)),"na")</f>
        <v>98.282780000000002</v>
      </c>
      <c r="P148">
        <f>IF(ISNUMBER(INDEX(Haver_M!$B$1:$ZN$1000,MATCH(data!$A148,Haver_M!$B$1:$B$1000,0),MATCH(data!P$1,Haver_M!$B$1:$ZN$1,0))),INDEX(Haver_M!$B$1:$ZN$1000,MATCH(data!$A148,Haver_M!$B$1:$B$1000,0),MATCH(data!P$1,Haver_M!$B$1:$ZN$1,0)),"na")</f>
        <v>78.004000000000005</v>
      </c>
      <c r="Q148">
        <f>IF(ISNUMBER(INDEX(Haver_M!$B$1:$ZN$1000,MATCH(data!$A148,Haver_M!$B$1:$B$1000,0),MATCH(data!Q$1,Haver_M!$B$1:$ZN$1,0))),INDEX(Haver_M!$B$1:$ZN$1000,MATCH(data!$A148,Haver_M!$B$1:$B$1000,0),MATCH(data!Q$1,Haver_M!$B$1:$ZN$1,0)),"na")</f>
        <v>81.492099999999994</v>
      </c>
      <c r="R148">
        <f>IF(ISNUMBER(INDEX(Haver_M!$B$1:$ZN$1000,MATCH(data!$A148,Haver_M!$B$1:$B$1000,0),MATCH(data!R$1,Haver_M!$B$1:$ZN$1,0))),INDEX(Haver_M!$B$1:$ZN$1000,MATCH(data!$A148,Haver_M!$B$1:$B$1000,0),MATCH(data!R$1,Haver_M!$B$1:$ZN$1,0)),"na")</f>
        <v>99.593199999999996</v>
      </c>
      <c r="S148">
        <f>IF(ISNUMBER(INDEX(Haver_M!$B$1:$ZN$1000,MATCH(data!$A148,Haver_M!$B$1:$B$1000,0),MATCH(data!S$1,Haver_M!$B$1:$ZN$1,0))),INDEX(Haver_M!$B$1:$ZN$1000,MATCH(data!$A148,Haver_M!$B$1:$B$1000,0),MATCH(data!S$1,Haver_M!$B$1:$ZN$1,0)),"na")</f>
        <v>100.1657</v>
      </c>
      <c r="T148">
        <f>IF(ISNUMBER(INDEX(Haver_M!$B$1:$ZN$1000,MATCH(data!$A148,Haver_M!$B$1:$B$1000,0),MATCH(data!T$1,Haver_M!$B$1:$ZN$1,0))),INDEX(Haver_M!$B$1:$ZN$1000,MATCH(data!$A148,Haver_M!$B$1:$B$1000,0),MATCH(data!T$1,Haver_M!$B$1:$ZN$1,0)),"na")</f>
        <v>98.640100000000004</v>
      </c>
      <c r="U148">
        <f>IF(ISNUMBER(INDEX(Haver_M!$B$1:$ZN$1000,MATCH(data!$A148,Haver_M!$B$1:$B$1000,0),MATCH(data!U$1,Haver_M!$B$1:$ZN$1,0))),INDEX(Haver_M!$B$1:$ZN$1000,MATCH(data!$A148,Haver_M!$B$1:$B$1000,0),MATCH(data!U$1,Haver_M!$B$1:$ZN$1,0)),"na")</f>
        <v>99.525599999999997</v>
      </c>
      <c r="V148">
        <f>IF(ISNUMBER(INDEX(Haver_M!$B$1:$ZN$1000,MATCH(data!$A148,Haver_M!$B$1:$B$1000,0),MATCH(data!V$1,Haver_M!$B$1:$ZN$1,0))),INDEX(Haver_M!$B$1:$ZN$1000,MATCH(data!$A148,Haver_M!$B$1:$B$1000,0),MATCH(data!V$1,Haver_M!$B$1:$ZN$1,0)),"na")</f>
        <v>99.068399999999997</v>
      </c>
      <c r="W148">
        <f>IF(ISNUMBER(INDEX(Haver_M!$B$1:$ZN$1000,MATCH(data!$A148,Haver_M!$B$1:$B$1000,0),MATCH(data!W$1,Haver_M!$B$1:$ZN$1,0))),INDEX(Haver_M!$B$1:$ZN$1000,MATCH(data!$A148,Haver_M!$B$1:$B$1000,0),MATCH(data!W$1,Haver_M!$B$1:$ZN$1,0)),"na")</f>
        <v>5.14</v>
      </c>
      <c r="X148">
        <f>IF(ISNUMBER(INDEX(Haver_M!$B$1:$ZN$1000,MATCH(data!$A148,Haver_M!$B$1:$B$1000,0),MATCH(data!X$1,Haver_M!$B$1:$ZN$1,0))),INDEX(Haver_M!$B$1:$ZN$1000,MATCH(data!$A148,Haver_M!$B$1:$B$1000,0),MATCH(data!X$1,Haver_M!$B$1:$ZN$1,0)),"na")</f>
        <v>100.39</v>
      </c>
      <c r="Y148">
        <f>IF(ISNUMBER(INDEX(Haver_M!$B$1:$ZN$1000,MATCH(data!$A148,Haver_M!$B$1:$B$1000,0),MATCH(data!Y$1,Haver_M!$B$1:$ZN$1,0))),INDEX(Haver_M!$B$1:$ZN$1000,MATCH(data!$A148,Haver_M!$B$1:$B$1000,0),MATCH(data!Y$1,Haver_M!$B$1:$ZN$1,0)),"na")</f>
        <v>100.34</v>
      </c>
      <c r="Z148">
        <f>IF(ISNUMBER(INDEX(Haver_M!$B$1:$ZN$1000,MATCH(data!$A148,Haver_M!$B$1:$B$1000,0),MATCH(data!Z$1,Haver_M!$B$1:$ZN$1,0))),INDEX(Haver_M!$B$1:$ZN$1000,MATCH(data!$A148,Haver_M!$B$1:$B$1000,0),MATCH(data!Z$1,Haver_M!$B$1:$ZN$1,0)),"na")</f>
        <v>99.633099999999999</v>
      </c>
      <c r="AA148">
        <f>IF(ISNUMBER(INDEX(Haver_M!$B$1:$ZN$1000,MATCH(data!$A148,Haver_M!$B$1:$B$1000,0),MATCH(data!AA$1,Haver_M!$B$1:$ZN$1,0))),INDEX(Haver_M!$B$1:$ZN$1000,MATCH(data!$A148,Haver_M!$B$1:$B$1000,0),MATCH(data!AA$1,Haver_M!$B$1:$ZN$1,0)),"na")</f>
        <v>100.4708</v>
      </c>
      <c r="AB148">
        <f>IF(ISNUMBER(INDEX(Haver_M!$B$1:$ZN$1000,MATCH(data!$A148,Haver_M!$B$1:$B$1000,0),MATCH(data!AB$1,Haver_M!$B$1:$ZN$1,0))),INDEX(Haver_M!$B$1:$ZN$1000,MATCH(data!$A148,Haver_M!$B$1:$B$1000,0),MATCH(data!AB$1,Haver_M!$B$1:$ZN$1,0)),"na")</f>
        <v>31275.4</v>
      </c>
      <c r="AC148">
        <f>IF(ISNUMBER(INDEX(Haver_M!$B$1:$ZN$1000,MATCH(data!$A148,Haver_M!$B$1:$B$1000,0),MATCH(data!AC$1,Haver_M!$B$1:$ZN$1,0))),INDEX(Haver_M!$B$1:$ZN$1000,MATCH(data!$A148,Haver_M!$B$1:$B$1000,0),MATCH(data!AC$1,Haver_M!$B$1:$ZN$1,0)),"na")</f>
        <v>30456.799999999999</v>
      </c>
      <c r="AD148">
        <f>IF(ISNUMBER(INDEX(Haver_M!$B$1:$ZN$1000,MATCH(data!$A148,Haver_M!$B$1:$B$1000,0),MATCH(data!AD$1,Haver_M!$B$1:$ZN$1,0))),INDEX(Haver_M!$B$1:$ZN$1000,MATCH(data!$A148,Haver_M!$B$1:$B$1000,0),MATCH(data!AD$1,Haver_M!$B$1:$ZN$1,0)),"na")</f>
        <v>100.39</v>
      </c>
      <c r="AE148">
        <f>IF(ISNUMBER(INDEX(Haver_M!$B$1:$ZN$1000,MATCH(data!$A148,Haver_M!$B$1:$B$1000,0),MATCH(data!AE$1,Haver_M!$B$1:$ZN$1,0))),INDEX(Haver_M!$B$1:$ZN$1000,MATCH(data!$A148,Haver_M!$B$1:$B$1000,0),MATCH(data!AE$1,Haver_M!$B$1:$ZN$1,0)),"na")</f>
        <v>39.1</v>
      </c>
      <c r="AF148">
        <f>IF(ISNUMBER(INDEX(Haver_M!$B$1:$ZN$1000,MATCH(data!$A148,Haver_M!$B$1:$B$1000,0),MATCH(data!AF$1,Haver_M!$B$1:$ZN$1,0))),INDEX(Haver_M!$B$1:$ZN$1000,MATCH(data!$A148,Haver_M!$B$1:$B$1000,0),MATCH(data!AF$1,Haver_M!$B$1:$ZN$1,0)),"na")</f>
        <v>100.4</v>
      </c>
      <c r="AG148">
        <f>IF(ISNUMBER(INDEX(Haver_M!$B$1:$ZN$1000,MATCH(data!$A148,Haver_M!$B$1:$B$1000,0),MATCH(data!AG$1,Haver_M!$B$1:$ZN$1,0))),INDEX(Haver_M!$B$1:$ZN$1000,MATCH(data!$A148,Haver_M!$B$1:$B$1000,0),MATCH(data!AG$1,Haver_M!$B$1:$ZN$1,0)),"na")</f>
        <v>53.852699999999999</v>
      </c>
      <c r="AH148">
        <f>IF(ISNUMBER(INDEX(Haver_M!$B$1:$ZN$1000,MATCH(data!$A148,Haver_M!$B$1:$B$1000,0),MATCH(data!AH$1,Haver_M!$B$1:$ZN$1,0))),INDEX(Haver_M!$B$1:$ZN$1000,MATCH(data!$A148,Haver_M!$B$1:$B$1000,0),MATCH(data!AH$1,Haver_M!$B$1:$ZN$1,0)),"na")</f>
        <v>56.296500000000002</v>
      </c>
      <c r="AI148">
        <f>IF(ISNUMBER(INDEX(Haver_M!$B$1:$ZN$1000,MATCH(data!$A148,Haver_M!$B$1:$B$1000,0),MATCH(data!AI$1,Haver_M!$B$1:$ZN$1,0))),INDEX(Haver_M!$B$1:$ZN$1000,MATCH(data!$A148,Haver_M!$B$1:$B$1000,0),MATCH(data!AI$1,Haver_M!$B$1:$ZN$1,0)),"na")</f>
        <v>55.353999999999999</v>
      </c>
      <c r="AJ148">
        <f>IF(ISNUMBER(INDEX(Haver_M!$B$1:$ZN$1000,MATCH(data!$A148,Haver_M!$B$1:$B$1000,0),MATCH(data!AJ$1,Haver_M!$B$1:$ZN$1,0))),INDEX(Haver_M!$B$1:$ZN$1000,MATCH(data!$A148,Haver_M!$B$1:$B$1000,0),MATCH(data!AJ$1,Haver_M!$B$1:$ZN$1,0)),"na")</f>
        <v>51.992800000000003</v>
      </c>
      <c r="AK148">
        <f>IF(ISNUMBER(INDEX(Haver_M!$B$1:$ZN$1000,MATCH(data!$A148,Haver_M!$B$1:$B$1000,0),MATCH(data!AK$1,Haver_M!$B$1:$ZN$1,0))),INDEX(Haver_M!$B$1:$ZN$1000,MATCH(data!$A148,Haver_M!$B$1:$B$1000,0),MATCH(data!AK$1,Haver_M!$B$1:$ZN$1,0)),"na")</f>
        <v>48.291499999999999</v>
      </c>
      <c r="AL148">
        <f>IF(ISNUMBER(INDEX(Haver_M!$B$1:$ZN$1000,MATCH(data!$A148,Haver_M!$B$1:$B$1000,0),MATCH(data!AL$1,Haver_M!$B$1:$ZN$1,0))),INDEX(Haver_M!$B$1:$ZN$1000,MATCH(data!$A148,Haver_M!$B$1:$B$1000,0),MATCH(data!AL$1,Haver_M!$B$1:$ZN$1,0)),"na")</f>
        <v>50.1753</v>
      </c>
      <c r="AM148">
        <f>IF(ISNUMBER(INDEX(Haver_M!$B$1:$ZN$1000,MATCH(data!$A148,Haver_M!$B$1:$B$1000,0),MATCH(data!AM$1,Haver_M!$B$1:$ZN$1,0))),INDEX(Haver_M!$B$1:$ZN$1000,MATCH(data!$A148,Haver_M!$B$1:$B$1000,0),MATCH(data!AM$1,Haver_M!$B$1:$ZN$1,0)),"na")</f>
        <v>60.499899999999997</v>
      </c>
      <c r="AN148">
        <f>IF(ISNUMBER(INDEX(Haver_M!$B$1:$ZN$1000,MATCH(data!$A148,Haver_M!$B$1:$B$1000,0),MATCH(data!AN$1,Haver_M!$B$1:$ZN$1,0))),INDEX(Haver_M!$B$1:$ZN$1000,MATCH(data!$A148,Haver_M!$B$1:$B$1000,0),MATCH(data!AN$1,Haver_M!$B$1:$ZN$1,0)),"na")</f>
        <v>54.861699999999999</v>
      </c>
      <c r="AO148">
        <f>IF(ISNUMBER(INDEX(Haver_M!$B$1:$ZN$1000,MATCH(data!$A148,Haver_M!$B$1:$B$1000,0),MATCH(data!AO$1,Haver_M!$B$1:$ZN$1,0))),INDEX(Haver_M!$B$1:$ZN$1000,MATCH(data!$A148,Haver_M!$B$1:$B$1000,0),MATCH(data!AO$1,Haver_M!$B$1:$ZN$1,0)),"na")</f>
        <v>50.1753</v>
      </c>
      <c r="AP148">
        <f>IF(ISNUMBER(INDEX(Haver_M!$B$1:$ZN$1000,MATCH(data!$A148,Haver_M!$B$1:$B$1000,0),MATCH(data!AP$1,Haver_M!$B$1:$ZN$1,0))),INDEX(Haver_M!$B$1:$ZN$1000,MATCH(data!$A148,Haver_M!$B$1:$B$1000,0),MATCH(data!AP$1,Haver_M!$B$1:$ZN$1,0)),"na")</f>
        <v>52.030900000000003</v>
      </c>
      <c r="AQ148">
        <f>IF(ISNUMBER(INDEX(Haver_M!$B$1:$ZN$1000,MATCH(data!$A148,Haver_M!$B$1:$B$1000,0),MATCH(data!AQ$1,Haver_M!$B$1:$ZN$1,0))),INDEX(Haver_M!$B$1:$ZN$1000,MATCH(data!$A148,Haver_M!$B$1:$B$1000,0),MATCH(data!AQ$1,Haver_M!$B$1:$ZN$1,0)),"na")</f>
        <v>53.180900000000001</v>
      </c>
      <c r="AR148">
        <f>IF(ISNUMBER(INDEX(Haver_M!$B$1:$ZN$1000,MATCH(data!$A148,Haver_M!$B$1:$B$1000,0),MATCH(data!AR$1,Haver_M!$B$1:$ZN$1,0))),INDEX(Haver_M!$B$1:$ZN$1000,MATCH(data!$A148,Haver_M!$B$1:$B$1000,0),MATCH(data!AR$1,Haver_M!$B$1:$ZN$1,0)),"na")</f>
        <v>48.199300000000001</v>
      </c>
      <c r="AS148">
        <f>IF(ISNUMBER(INDEX(Haver_M!$B$1:$ZN$1000,MATCH(data!$A148,Haver_M!$B$1:$B$1000,0),MATCH(data!AS$1,Haver_M!$B$1:$ZN$1,0))),INDEX(Haver_M!$B$1:$ZN$1000,MATCH(data!$A148,Haver_M!$B$1:$B$1000,0),MATCH(data!AS$1,Haver_M!$B$1:$ZN$1,0)),"na")</f>
        <v>38264.67</v>
      </c>
      <c r="AT148">
        <f>IF(ISNUMBER(INDEX(Haver_M!$B$1:$ZN$1000,MATCH(data!$A148,Haver_M!$B$1:$B$1000,0),MATCH(data!AT$1,Haver_M!$B$1:$ZN$1,0))),INDEX(Haver_M!$B$1:$ZN$1000,MATCH(data!$A148,Haver_M!$B$1:$B$1000,0),MATCH(data!AT$1,Haver_M!$B$1:$ZN$1,0)),"na")</f>
        <v>97.774000000000001</v>
      </c>
      <c r="AU148">
        <f>IF(ISNUMBER(INDEX(Haver_M!$B$1:$ZN$1000,MATCH(data!$A148,Haver_M!$B$1:$B$1000,0),MATCH(data!AU$1,Haver_M!$B$1:$ZN$1,0))),INDEX(Haver_M!$B$1:$ZN$1000,MATCH(data!$A148,Haver_M!$B$1:$B$1000,0),MATCH(data!AU$1,Haver_M!$B$1:$ZN$1,0)),"na")</f>
        <v>97.916488000000001</v>
      </c>
      <c r="AV148">
        <f>IF(ISNUMBER(INDEX(Haver_M!$B$1:$ZN$1000,MATCH(data!$A148,Haver_M!$B$1:$B$1000,0),MATCH(data!AV$1,Haver_M!$B$1:$ZN$1,0))),INDEX(Haver_M!$B$1:$ZN$1000,MATCH(data!$A148,Haver_M!$B$1:$B$1000,0),MATCH(data!AV$1,Haver_M!$B$1:$ZN$1,0)),"na")</f>
        <v>102.6</v>
      </c>
      <c r="AW148">
        <f>IF(ISNUMBER(INDEX(Haver_M!$B$1:$ZN$1000,MATCH(data!$A148,Haver_M!$B$1:$B$1000,0),MATCH(data!AW$1,Haver_M!$B$1:$ZN$1,0))),INDEX(Haver_M!$B$1:$ZN$1000,MATCH(data!$A148,Haver_M!$B$1:$B$1000,0),MATCH(data!AW$1,Haver_M!$B$1:$ZN$1,0)),"na")</f>
        <v>1049659.1474169441</v>
      </c>
      <c r="AX148">
        <f>IF(ISNUMBER(INDEX(Haver_M!$B$1:$ZN$1000,MATCH(data!$A148,Haver_M!$B$1:$B$1000,0),MATCH(data!AX$1,Haver_M!$B$1:$ZN$1,0))),INDEX(Haver_M!$B$1:$ZN$1000,MATCH(data!$A148,Haver_M!$B$1:$B$1000,0),MATCH(data!AX$1,Haver_M!$B$1:$ZN$1,0)),"na")</f>
        <v>2553</v>
      </c>
      <c r="AY148">
        <f>IF(ISNUMBER(INDEX(Haver_M!$B$1:$ZN$1000,MATCH(data!$A148,Haver_M!$B$1:$B$1000,0),MATCH(data!AY$1,Haver_M!$B$1:$ZN$1,0))),INDEX(Haver_M!$B$1:$ZN$1000,MATCH(data!$A148,Haver_M!$B$1:$B$1000,0),MATCH(data!AY$1,Haver_M!$B$1:$ZN$1,0)),"na")</f>
        <v>1284</v>
      </c>
      <c r="AZ148">
        <f>IF(ISNUMBER(INDEX(Haver_M!$B$1:$ZN$1000,MATCH(data!$A148,Haver_M!$B$1:$B$1000,0),MATCH(data!AZ$1,Haver_M!$B$1:$ZN$1,0))),INDEX(Haver_M!$B$1:$ZN$1000,MATCH(data!$A148,Haver_M!$B$1:$B$1000,0),MATCH(data!AZ$1,Haver_M!$B$1:$ZN$1,0)),"na")</f>
        <v>52.7</v>
      </c>
      <c r="BA148">
        <f>IF(ISNUMBER(INDEX(Haver_M!$B$1:$ZN$1000,MATCH(data!$A148,Haver_M!$B$1:$B$1000,0),MATCH(data!BA$1,Haver_M!$B$1:$ZN$1,0))),INDEX(Haver_M!$B$1:$ZN$1000,MATCH(data!$A148,Haver_M!$B$1:$B$1000,0),MATCH(data!BA$1,Haver_M!$B$1:$ZN$1,0)),"na")</f>
        <v>57.327573910872871</v>
      </c>
      <c r="BB148" t="str">
        <f>IF(ISNUMBER(INDEX(Haver_M!$B$1:$ZN$1000,MATCH(data!$A148,Haver_M!$B$1:$B$1000,0),MATCH(data!BB$1,Haver_M!$B$1:$ZN$1,0))),INDEX(Haver_M!$B$1:$ZN$1000,MATCH(data!$A148,Haver_M!$B$1:$B$1000,0),MATCH(data!BB$1,Haver_M!$B$1:$ZN$1,0)),"")</f>
        <v/>
      </c>
    </row>
    <row r="149" spans="1:54" x14ac:dyDescent="0.25">
      <c r="A149" s="2">
        <v>41029</v>
      </c>
      <c r="B149" t="str">
        <f>IF(ISNUMBER(INDEX(Haver_Q!$B$1:$BD$1000,MATCH(data!$A149,Haver_Q!$B$1:$B$1000,0),MATCH(data!B$1,Haver_Q!$B$1:$BD$1,0))),100*INDEX(Haver_Q!$B$1:$BD$1000,MATCH(data!$A149,Haver_Q!$B$1:$B$1000,0),MATCH(data!B$1,Haver_Q!$B$1:$BD$1,0)),"na")</f>
        <v>na</v>
      </c>
      <c r="C149" t="str">
        <f>IF(ISNUMBER(INDEX(Haver_Q!$B$1:$BD$1000,MATCH(data!$A149,Haver_Q!$B$1:$B$1000,0),MATCH(data!C$1,Haver_Q!$B$1:$BD$1,0))),100*INDEX(Haver_Q!$B$1:$BD$1000,MATCH(data!$A149,Haver_Q!$B$1:$B$1000,0),MATCH(data!C$1,Haver_Q!$B$1:$BD$1,0)),"na")</f>
        <v>na</v>
      </c>
      <c r="D149" t="str">
        <f>IF(ISNUMBER(INDEX(Haver_Q!$B$1:$BD$1000,MATCH(data!$A149,Haver_Q!$B$1:$B$1000,0),MATCH(data!D$1,Haver_Q!$B$1:$BD$1,0))),100*INDEX(Haver_Q!$B$1:$BD$1000,MATCH(data!$A149,Haver_Q!$B$1:$B$1000,0),MATCH(data!D$1,Haver_Q!$B$1:$BD$1,0)),"na")</f>
        <v>na</v>
      </c>
      <c r="E149" t="str">
        <f>IF(ISNUMBER(INDEX(Haver_Q!$B$1:$BD$1000,MATCH(data!$A149,Haver_Q!$B$1:$B$1000,0),MATCH(data!E$1,Haver_Q!$B$1:$BD$1,0))),100*INDEX(Haver_Q!$B$1:$BD$1000,MATCH(data!$A149,Haver_Q!$B$1:$B$1000,0),MATCH(data!E$1,Haver_Q!$B$1:$BD$1,0)),"na")</f>
        <v>na</v>
      </c>
      <c r="F149" t="str">
        <f>IF(ISNUMBER(INDEX(Haver_Q!$B$1:$BD$1000,MATCH(data!$A149,Haver_Q!$B$1:$B$1000,0),MATCH(data!F$1,Haver_Q!$B$1:$BD$1,0))),100*INDEX(Haver_Q!$B$1:$BD$1000,MATCH(data!$A149,Haver_Q!$B$1:$B$1000,0),MATCH(data!F$1,Haver_Q!$B$1:$BD$1,0)),"na")</f>
        <v>na</v>
      </c>
      <c r="G149" t="str">
        <f>IF(ISNUMBER(INDEX(Haver_Q!$B$1:$BD$1000,MATCH(data!$A149,Haver_Q!$B$1:$B$1000,0),MATCH(data!G$1,Haver_Q!$B$1:$BD$1,0))),100*INDEX(Haver_Q!$B$1:$BD$1000,MATCH(data!$A149,Haver_Q!$B$1:$B$1000,0),MATCH(data!G$1,Haver_Q!$B$1:$BD$1,0)),"na")</f>
        <v>na</v>
      </c>
      <c r="H149" t="str">
        <f>IF(ISNUMBER(INDEX(Haver_Q!$B$1:$BD$1000,MATCH(data!$A149,Haver_Q!$B$1:$B$1000,0),MATCH(data!H$1,Haver_Q!$B$1:$BD$1,0))),100*INDEX(Haver_Q!$B$1:$BD$1000,MATCH(data!$A149,Haver_Q!$B$1:$B$1000,0),MATCH(data!H$1,Haver_Q!$B$1:$BD$1,0)),"na")</f>
        <v>na</v>
      </c>
      <c r="I149" s="3">
        <f>IF(ISNUMBER(Bloomberg_m!C165),Bloomberg_m!C165,"na")</f>
        <v>1021</v>
      </c>
      <c r="J149" s="3">
        <f>IF(ISNUMBER(Bloomberg_m!D165),Bloomberg_m!D165,"na")</f>
        <v>2411.67</v>
      </c>
      <c r="K149" s="3">
        <f>IF(ISNUMBER(Bloomberg_m!E165),Bloomberg_m!E165,"na")</f>
        <v>1426.54</v>
      </c>
      <c r="L149" s="3">
        <f>IF(ISNUMBER(Bloomberg_m!L165),Bloomberg_m!L165,"na")</f>
        <v>103.28</v>
      </c>
      <c r="M149">
        <f>IF(ISNUMBER(INDEX(Haver_M!$B$1:$ZN$1000,MATCH(data!$A149,Haver_M!$B$1:$B$1000,0),MATCH(data!M$1,Haver_M!$B$1:$ZN$1,0))),INDEX(Haver_M!$B$1:$ZN$1000,MATCH(data!$A149,Haver_M!$B$1:$B$1000,0),MATCH(data!M$1,Haver_M!$B$1:$ZN$1,0)),"na")</f>
        <v>4.5</v>
      </c>
      <c r="N149">
        <f>IF(ISNUMBER(INDEX(Haver_M!$B$1:$ZN$1000,MATCH(data!$A149,Haver_M!$B$1:$B$1000,0),MATCH(data!N$1,Haver_M!$B$1:$ZN$1,0))),INDEX(Haver_M!$B$1:$ZN$1000,MATCH(data!$A149,Haver_M!$B$1:$B$1000,0),MATCH(data!N$1,Haver_M!$B$1:$ZN$1,0)),"na")</f>
        <v>6.1630000000000003</v>
      </c>
      <c r="O149">
        <f>IF(ISNUMBER(INDEX(Haver_M!$B$1:$ZN$1000,MATCH(data!$A149,Haver_M!$B$1:$B$1000,0),MATCH(data!O$1,Haver_M!$B$1:$ZN$1,0))),INDEX(Haver_M!$B$1:$ZN$1000,MATCH(data!$A149,Haver_M!$B$1:$B$1000,0),MATCH(data!O$1,Haver_M!$B$1:$ZN$1,0)),"na")</f>
        <v>95.557239999999993</v>
      </c>
      <c r="P149">
        <f>IF(ISNUMBER(INDEX(Haver_M!$B$1:$ZN$1000,MATCH(data!$A149,Haver_M!$B$1:$B$1000,0),MATCH(data!P$1,Haver_M!$B$1:$ZN$1,0))),INDEX(Haver_M!$B$1:$ZN$1000,MATCH(data!$A149,Haver_M!$B$1:$B$1000,0),MATCH(data!P$1,Haver_M!$B$1:$ZN$1,0)),"na")</f>
        <v>77.971100000000007</v>
      </c>
      <c r="Q149">
        <f>IF(ISNUMBER(INDEX(Haver_M!$B$1:$ZN$1000,MATCH(data!$A149,Haver_M!$B$1:$B$1000,0),MATCH(data!Q$1,Haver_M!$B$1:$ZN$1,0))),INDEX(Haver_M!$B$1:$ZN$1000,MATCH(data!$A149,Haver_M!$B$1:$B$1000,0),MATCH(data!Q$1,Haver_M!$B$1:$ZN$1,0)),"na")</f>
        <v>81.6892</v>
      </c>
      <c r="R149">
        <f>IF(ISNUMBER(INDEX(Haver_M!$B$1:$ZN$1000,MATCH(data!$A149,Haver_M!$B$1:$B$1000,0),MATCH(data!R$1,Haver_M!$B$1:$ZN$1,0))),INDEX(Haver_M!$B$1:$ZN$1000,MATCH(data!$A149,Haver_M!$B$1:$B$1000,0),MATCH(data!R$1,Haver_M!$B$1:$ZN$1,0)),"na")</f>
        <v>100.2132</v>
      </c>
      <c r="S149">
        <f>IF(ISNUMBER(INDEX(Haver_M!$B$1:$ZN$1000,MATCH(data!$A149,Haver_M!$B$1:$B$1000,0),MATCH(data!S$1,Haver_M!$B$1:$ZN$1,0))),INDEX(Haver_M!$B$1:$ZN$1000,MATCH(data!$A149,Haver_M!$B$1:$B$1000,0),MATCH(data!S$1,Haver_M!$B$1:$ZN$1,0)),"na")</f>
        <v>100.08969999999999</v>
      </c>
      <c r="T149">
        <f>IF(ISNUMBER(INDEX(Haver_M!$B$1:$ZN$1000,MATCH(data!$A149,Haver_M!$B$1:$B$1000,0),MATCH(data!T$1,Haver_M!$B$1:$ZN$1,0))),INDEX(Haver_M!$B$1:$ZN$1000,MATCH(data!$A149,Haver_M!$B$1:$B$1000,0),MATCH(data!T$1,Haver_M!$B$1:$ZN$1,0)),"na")</f>
        <v>99.159899999999993</v>
      </c>
      <c r="U149">
        <f>IF(ISNUMBER(INDEX(Haver_M!$B$1:$ZN$1000,MATCH(data!$A149,Haver_M!$B$1:$B$1000,0),MATCH(data!U$1,Haver_M!$B$1:$ZN$1,0))),INDEX(Haver_M!$B$1:$ZN$1000,MATCH(data!$A149,Haver_M!$B$1:$B$1000,0),MATCH(data!U$1,Haver_M!$B$1:$ZN$1,0)),"na")</f>
        <v>101.8081</v>
      </c>
      <c r="V149">
        <f>IF(ISNUMBER(INDEX(Haver_M!$B$1:$ZN$1000,MATCH(data!$A149,Haver_M!$B$1:$B$1000,0),MATCH(data!V$1,Haver_M!$B$1:$ZN$1,0))),INDEX(Haver_M!$B$1:$ZN$1000,MATCH(data!$A149,Haver_M!$B$1:$B$1000,0),MATCH(data!V$1,Haver_M!$B$1:$ZN$1,0)),"na")</f>
        <v>99.975899999999996</v>
      </c>
      <c r="W149">
        <f>IF(ISNUMBER(INDEX(Haver_M!$B$1:$ZN$1000,MATCH(data!$A149,Haver_M!$B$1:$B$1000,0),MATCH(data!W$1,Haver_M!$B$1:$ZN$1,0))),INDEX(Haver_M!$B$1:$ZN$1000,MATCH(data!$A149,Haver_M!$B$1:$B$1000,0),MATCH(data!W$1,Haver_M!$B$1:$ZN$1,0)),"na")</f>
        <v>4.9400000000000004</v>
      </c>
      <c r="X149">
        <f>IF(ISNUMBER(INDEX(Haver_M!$B$1:$ZN$1000,MATCH(data!$A149,Haver_M!$B$1:$B$1000,0),MATCH(data!X$1,Haver_M!$B$1:$ZN$1,0))),INDEX(Haver_M!$B$1:$ZN$1000,MATCH(data!$A149,Haver_M!$B$1:$B$1000,0),MATCH(data!X$1,Haver_M!$B$1:$ZN$1,0)),"na")</f>
        <v>100.44</v>
      </c>
      <c r="Y149">
        <f>IF(ISNUMBER(INDEX(Haver_M!$B$1:$ZN$1000,MATCH(data!$A149,Haver_M!$B$1:$B$1000,0),MATCH(data!Y$1,Haver_M!$B$1:$ZN$1,0))),INDEX(Haver_M!$B$1:$ZN$1000,MATCH(data!$A149,Haver_M!$B$1:$B$1000,0),MATCH(data!Y$1,Haver_M!$B$1:$ZN$1,0)),"na")</f>
        <v>100.28</v>
      </c>
      <c r="Z149">
        <f>IF(ISNUMBER(INDEX(Haver_M!$B$1:$ZN$1000,MATCH(data!$A149,Haver_M!$B$1:$B$1000,0),MATCH(data!Z$1,Haver_M!$B$1:$ZN$1,0))),INDEX(Haver_M!$B$1:$ZN$1000,MATCH(data!$A149,Haver_M!$B$1:$B$1000,0),MATCH(data!Z$1,Haver_M!$B$1:$ZN$1,0)),"na")</f>
        <v>99.397199999999998</v>
      </c>
      <c r="AA149">
        <f>IF(ISNUMBER(INDEX(Haver_M!$B$1:$ZN$1000,MATCH(data!$A149,Haver_M!$B$1:$B$1000,0),MATCH(data!AA$1,Haver_M!$B$1:$ZN$1,0))),INDEX(Haver_M!$B$1:$ZN$1000,MATCH(data!$A149,Haver_M!$B$1:$B$1000,0),MATCH(data!AA$1,Haver_M!$B$1:$ZN$1,0)),"na")</f>
        <v>98.923299999999998</v>
      </c>
      <c r="AB149">
        <f>IF(ISNUMBER(INDEX(Haver_M!$B$1:$ZN$1000,MATCH(data!$A149,Haver_M!$B$1:$B$1000,0),MATCH(data!AB$1,Haver_M!$B$1:$ZN$1,0))),INDEX(Haver_M!$B$1:$ZN$1000,MATCH(data!$A149,Haver_M!$B$1:$B$1000,0),MATCH(data!AB$1,Haver_M!$B$1:$ZN$1,0)),"na")</f>
        <v>31418.6</v>
      </c>
      <c r="AC149">
        <f>IF(ISNUMBER(INDEX(Haver_M!$B$1:$ZN$1000,MATCH(data!$A149,Haver_M!$B$1:$B$1000,0),MATCH(data!AC$1,Haver_M!$B$1:$ZN$1,0))),INDEX(Haver_M!$B$1:$ZN$1000,MATCH(data!$A149,Haver_M!$B$1:$B$1000,0),MATCH(data!AC$1,Haver_M!$B$1:$ZN$1,0)),"na")</f>
        <v>31479.7</v>
      </c>
      <c r="AD149">
        <f>IF(ISNUMBER(INDEX(Haver_M!$B$1:$ZN$1000,MATCH(data!$A149,Haver_M!$B$1:$B$1000,0),MATCH(data!AD$1,Haver_M!$B$1:$ZN$1,0))),INDEX(Haver_M!$B$1:$ZN$1000,MATCH(data!$A149,Haver_M!$B$1:$B$1000,0),MATCH(data!AD$1,Haver_M!$B$1:$ZN$1,0)),"na")</f>
        <v>100.4</v>
      </c>
      <c r="AE149">
        <f>IF(ISNUMBER(INDEX(Haver_M!$B$1:$ZN$1000,MATCH(data!$A149,Haver_M!$B$1:$B$1000,0),MATCH(data!AE$1,Haver_M!$B$1:$ZN$1,0))),INDEX(Haver_M!$B$1:$ZN$1000,MATCH(data!$A149,Haver_M!$B$1:$B$1000,0),MATCH(data!AE$1,Haver_M!$B$1:$ZN$1,0)),"na")</f>
        <v>40.200000000000003</v>
      </c>
      <c r="AF149">
        <f>IF(ISNUMBER(INDEX(Haver_M!$B$1:$ZN$1000,MATCH(data!$A149,Haver_M!$B$1:$B$1000,0),MATCH(data!AF$1,Haver_M!$B$1:$ZN$1,0))),INDEX(Haver_M!$B$1:$ZN$1000,MATCH(data!$A149,Haver_M!$B$1:$B$1000,0),MATCH(data!AF$1,Haver_M!$B$1:$ZN$1,0)),"na")</f>
        <v>100.34</v>
      </c>
      <c r="AG149">
        <f>IF(ISNUMBER(INDEX(Haver_M!$B$1:$ZN$1000,MATCH(data!$A149,Haver_M!$B$1:$B$1000,0),MATCH(data!AG$1,Haver_M!$B$1:$ZN$1,0))),INDEX(Haver_M!$B$1:$ZN$1000,MATCH(data!$A149,Haver_M!$B$1:$B$1000,0),MATCH(data!AG$1,Haver_M!$B$1:$ZN$1,0)),"na")</f>
        <v>56.278799999999997</v>
      </c>
      <c r="AH149">
        <f>IF(ISNUMBER(INDEX(Haver_M!$B$1:$ZN$1000,MATCH(data!$A149,Haver_M!$B$1:$B$1000,0),MATCH(data!AH$1,Haver_M!$B$1:$ZN$1,0))),INDEX(Haver_M!$B$1:$ZN$1000,MATCH(data!$A149,Haver_M!$B$1:$B$1000,0),MATCH(data!AH$1,Haver_M!$B$1:$ZN$1,0)),"na")</f>
        <v>59.417000000000002</v>
      </c>
      <c r="AI149">
        <f>IF(ISNUMBER(INDEX(Haver_M!$B$1:$ZN$1000,MATCH(data!$A149,Haver_M!$B$1:$B$1000,0),MATCH(data!AI$1,Haver_M!$B$1:$ZN$1,0))),INDEX(Haver_M!$B$1:$ZN$1000,MATCH(data!$A149,Haver_M!$B$1:$B$1000,0),MATCH(data!AI$1,Haver_M!$B$1:$ZN$1,0)),"na")</f>
        <v>58.756599999999999</v>
      </c>
      <c r="AJ149">
        <f>IF(ISNUMBER(INDEX(Haver_M!$B$1:$ZN$1000,MATCH(data!$A149,Haver_M!$B$1:$B$1000,0),MATCH(data!AJ$1,Haver_M!$B$1:$ZN$1,0))),INDEX(Haver_M!$B$1:$ZN$1000,MATCH(data!$A149,Haver_M!$B$1:$B$1000,0),MATCH(data!AJ$1,Haver_M!$B$1:$ZN$1,0)),"na")</f>
        <v>54.220500000000001</v>
      </c>
      <c r="AK149">
        <f>IF(ISNUMBER(INDEX(Haver_M!$B$1:$ZN$1000,MATCH(data!$A149,Haver_M!$B$1:$B$1000,0),MATCH(data!AK$1,Haver_M!$B$1:$ZN$1,0))),INDEX(Haver_M!$B$1:$ZN$1000,MATCH(data!$A149,Haver_M!$B$1:$B$1000,0),MATCH(data!AK$1,Haver_M!$B$1:$ZN$1,0)),"na")</f>
        <v>49.523600000000002</v>
      </c>
      <c r="AL149">
        <f>IF(ISNUMBER(INDEX(Haver_M!$B$1:$ZN$1000,MATCH(data!$A149,Haver_M!$B$1:$B$1000,0),MATCH(data!AL$1,Haver_M!$B$1:$ZN$1,0))),INDEX(Haver_M!$B$1:$ZN$1000,MATCH(data!$A149,Haver_M!$B$1:$B$1000,0),MATCH(data!AL$1,Haver_M!$B$1:$ZN$1,0)),"na")</f>
        <v>53.8202</v>
      </c>
      <c r="AM149">
        <f>IF(ISNUMBER(INDEX(Haver_M!$B$1:$ZN$1000,MATCH(data!$A149,Haver_M!$B$1:$B$1000,0),MATCH(data!AM$1,Haver_M!$B$1:$ZN$1,0))),INDEX(Haver_M!$B$1:$ZN$1000,MATCH(data!$A149,Haver_M!$B$1:$B$1000,0),MATCH(data!AM$1,Haver_M!$B$1:$ZN$1,0)),"na")</f>
        <v>61.847200000000001</v>
      </c>
      <c r="AN149">
        <f>IF(ISNUMBER(INDEX(Haver_M!$B$1:$ZN$1000,MATCH(data!$A149,Haver_M!$B$1:$B$1000,0),MATCH(data!AN$1,Haver_M!$B$1:$ZN$1,0))),INDEX(Haver_M!$B$1:$ZN$1000,MATCH(data!$A149,Haver_M!$B$1:$B$1000,0),MATCH(data!AN$1,Haver_M!$B$1:$ZN$1,0)),"na")</f>
        <v>58.733199999999997</v>
      </c>
      <c r="AO149">
        <f>IF(ISNUMBER(INDEX(Haver_M!$B$1:$ZN$1000,MATCH(data!$A149,Haver_M!$B$1:$B$1000,0),MATCH(data!AO$1,Haver_M!$B$1:$ZN$1,0))),INDEX(Haver_M!$B$1:$ZN$1000,MATCH(data!$A149,Haver_M!$B$1:$B$1000,0),MATCH(data!AO$1,Haver_M!$B$1:$ZN$1,0)),"na")</f>
        <v>53.8202</v>
      </c>
      <c r="AP149">
        <f>IF(ISNUMBER(INDEX(Haver_M!$B$1:$ZN$1000,MATCH(data!$A149,Haver_M!$B$1:$B$1000,0),MATCH(data!AP$1,Haver_M!$B$1:$ZN$1,0))),INDEX(Haver_M!$B$1:$ZN$1000,MATCH(data!$A149,Haver_M!$B$1:$B$1000,0),MATCH(data!AP$1,Haver_M!$B$1:$ZN$1,0)),"na")</f>
        <v>54.914000000000001</v>
      </c>
      <c r="AQ149">
        <f>IF(ISNUMBER(INDEX(Haver_M!$B$1:$ZN$1000,MATCH(data!$A149,Haver_M!$B$1:$B$1000,0),MATCH(data!AQ$1,Haver_M!$B$1:$ZN$1,0))),INDEX(Haver_M!$B$1:$ZN$1000,MATCH(data!$A149,Haver_M!$B$1:$B$1000,0),MATCH(data!AQ$1,Haver_M!$B$1:$ZN$1,0)),"na")</f>
        <v>52.338500000000003</v>
      </c>
      <c r="AR149">
        <f>IF(ISNUMBER(INDEX(Haver_M!$B$1:$ZN$1000,MATCH(data!$A149,Haver_M!$B$1:$B$1000,0),MATCH(data!AR$1,Haver_M!$B$1:$ZN$1,0))),INDEX(Haver_M!$B$1:$ZN$1000,MATCH(data!$A149,Haver_M!$B$1:$B$1000,0),MATCH(data!AR$1,Haver_M!$B$1:$ZN$1,0)),"na")</f>
        <v>46.9848</v>
      </c>
      <c r="AS149">
        <f>IF(ISNUMBER(INDEX(Haver_M!$B$1:$ZN$1000,MATCH(data!$A149,Haver_M!$B$1:$B$1000,0),MATCH(data!AS$1,Haver_M!$B$1:$ZN$1,0))),INDEX(Haver_M!$B$1:$ZN$1000,MATCH(data!$A149,Haver_M!$B$1:$B$1000,0),MATCH(data!AS$1,Haver_M!$B$1:$ZN$1,0)),"na")</f>
        <v>39301.39</v>
      </c>
      <c r="AT149">
        <f>IF(ISNUMBER(INDEX(Haver_M!$B$1:$ZN$1000,MATCH(data!$A149,Haver_M!$B$1:$B$1000,0),MATCH(data!AT$1,Haver_M!$B$1:$ZN$1,0))),INDEX(Haver_M!$B$1:$ZN$1000,MATCH(data!$A149,Haver_M!$B$1:$B$1000,0),MATCH(data!AT$1,Haver_M!$B$1:$ZN$1,0)),"na")</f>
        <v>98.08</v>
      </c>
      <c r="AU149">
        <f>IF(ISNUMBER(INDEX(Haver_M!$B$1:$ZN$1000,MATCH(data!$A149,Haver_M!$B$1:$B$1000,0),MATCH(data!AU$1,Haver_M!$B$1:$ZN$1,0))),INDEX(Haver_M!$B$1:$ZN$1000,MATCH(data!$A149,Haver_M!$B$1:$B$1000,0),MATCH(data!AU$1,Haver_M!$B$1:$ZN$1,0)),"na")</f>
        <v>98.348198999999994</v>
      </c>
      <c r="AV149">
        <f>IF(ISNUMBER(INDEX(Haver_M!$B$1:$ZN$1000,MATCH(data!$A149,Haver_M!$B$1:$B$1000,0),MATCH(data!AV$1,Haver_M!$B$1:$ZN$1,0))),INDEX(Haver_M!$B$1:$ZN$1000,MATCH(data!$A149,Haver_M!$B$1:$B$1000,0),MATCH(data!AV$1,Haver_M!$B$1:$ZN$1,0)),"na")</f>
        <v>104.2</v>
      </c>
      <c r="AW149">
        <f>IF(ISNUMBER(INDEX(Haver_M!$B$1:$ZN$1000,MATCH(data!$A149,Haver_M!$B$1:$B$1000,0),MATCH(data!AW$1,Haver_M!$B$1:$ZN$1,0))),INDEX(Haver_M!$B$1:$ZN$1000,MATCH(data!$A149,Haver_M!$B$1:$B$1000,0),MATCH(data!AW$1,Haver_M!$B$1:$ZN$1,0)),"na")</f>
        <v>1036969.8093362309</v>
      </c>
      <c r="AX149">
        <f>IF(ISNUMBER(INDEX(Haver_M!$B$1:$ZN$1000,MATCH(data!$A149,Haver_M!$B$1:$B$1000,0),MATCH(data!AX$1,Haver_M!$B$1:$ZN$1,0))),INDEX(Haver_M!$B$1:$ZN$1000,MATCH(data!$A149,Haver_M!$B$1:$B$1000,0),MATCH(data!AX$1,Haver_M!$B$1:$ZN$1,0)),"na")</f>
        <v>2542</v>
      </c>
      <c r="AY149">
        <f>IF(ISNUMBER(INDEX(Haver_M!$B$1:$ZN$1000,MATCH(data!$A149,Haver_M!$B$1:$B$1000,0),MATCH(data!AY$1,Haver_M!$B$1:$ZN$1,0))),INDEX(Haver_M!$B$1:$ZN$1000,MATCH(data!$A149,Haver_M!$B$1:$B$1000,0),MATCH(data!AY$1,Haver_M!$B$1:$ZN$1,0)),"na")</f>
        <v>1243</v>
      </c>
      <c r="AZ149">
        <f>IF(ISNUMBER(INDEX(Haver_M!$B$1:$ZN$1000,MATCH(data!$A149,Haver_M!$B$1:$B$1000,0),MATCH(data!AZ$1,Haver_M!$B$1:$ZN$1,0))),INDEX(Haver_M!$B$1:$ZN$1000,MATCH(data!$A149,Haver_M!$B$1:$B$1000,0),MATCH(data!AZ$1,Haver_M!$B$1:$ZN$1,0)),"na")</f>
        <v>54</v>
      </c>
      <c r="BA149">
        <f>IF(ISNUMBER(INDEX(Haver_M!$B$1:$ZN$1000,MATCH(data!$A149,Haver_M!$B$1:$B$1000,0),MATCH(data!BA$1,Haver_M!$B$1:$ZN$1,0))),INDEX(Haver_M!$B$1:$ZN$1000,MATCH(data!$A149,Haver_M!$B$1:$B$1000,0),MATCH(data!BA$1,Haver_M!$B$1:$ZN$1,0)),"na")</f>
        <v>44.821637236766598</v>
      </c>
      <c r="BB149" t="str">
        <f>IF(ISNUMBER(INDEX(Haver_M!$B$1:$ZN$1000,MATCH(data!$A149,Haver_M!$B$1:$B$1000,0),MATCH(data!BB$1,Haver_M!$B$1:$ZN$1,0))),INDEX(Haver_M!$B$1:$ZN$1000,MATCH(data!$A149,Haver_M!$B$1:$B$1000,0),MATCH(data!BB$1,Haver_M!$B$1:$ZN$1,0)),"")</f>
        <v/>
      </c>
    </row>
    <row r="150" spans="1:54" x14ac:dyDescent="0.25">
      <c r="A150" s="2">
        <v>41060</v>
      </c>
      <c r="B150" t="str">
        <f>IF(ISNUMBER(INDEX(Haver_Q!$B$1:$BD$1000,MATCH(data!$A150,Haver_Q!$B$1:$B$1000,0),MATCH(data!B$1,Haver_Q!$B$1:$BD$1,0))),100*INDEX(Haver_Q!$B$1:$BD$1000,MATCH(data!$A150,Haver_Q!$B$1:$B$1000,0),MATCH(data!B$1,Haver_Q!$B$1:$BD$1,0)),"na")</f>
        <v>na</v>
      </c>
      <c r="C150" t="str">
        <f>IF(ISNUMBER(INDEX(Haver_Q!$B$1:$BD$1000,MATCH(data!$A150,Haver_Q!$B$1:$B$1000,0),MATCH(data!C$1,Haver_Q!$B$1:$BD$1,0))),100*INDEX(Haver_Q!$B$1:$BD$1000,MATCH(data!$A150,Haver_Q!$B$1:$B$1000,0),MATCH(data!C$1,Haver_Q!$B$1:$BD$1,0)),"na")</f>
        <v>na</v>
      </c>
      <c r="D150" t="str">
        <f>IF(ISNUMBER(INDEX(Haver_Q!$B$1:$BD$1000,MATCH(data!$A150,Haver_Q!$B$1:$B$1000,0),MATCH(data!D$1,Haver_Q!$B$1:$BD$1,0))),100*INDEX(Haver_Q!$B$1:$BD$1000,MATCH(data!$A150,Haver_Q!$B$1:$B$1000,0),MATCH(data!D$1,Haver_Q!$B$1:$BD$1,0)),"na")</f>
        <v>na</v>
      </c>
      <c r="E150" t="str">
        <f>IF(ISNUMBER(INDEX(Haver_Q!$B$1:$BD$1000,MATCH(data!$A150,Haver_Q!$B$1:$B$1000,0),MATCH(data!E$1,Haver_Q!$B$1:$BD$1,0))),100*INDEX(Haver_Q!$B$1:$BD$1000,MATCH(data!$A150,Haver_Q!$B$1:$B$1000,0),MATCH(data!E$1,Haver_Q!$B$1:$BD$1,0)),"na")</f>
        <v>na</v>
      </c>
      <c r="F150" t="str">
        <f>IF(ISNUMBER(INDEX(Haver_Q!$B$1:$BD$1000,MATCH(data!$A150,Haver_Q!$B$1:$B$1000,0),MATCH(data!F$1,Haver_Q!$B$1:$BD$1,0))),100*INDEX(Haver_Q!$B$1:$BD$1000,MATCH(data!$A150,Haver_Q!$B$1:$B$1000,0),MATCH(data!F$1,Haver_Q!$B$1:$BD$1,0)),"na")</f>
        <v>na</v>
      </c>
      <c r="G150" t="str">
        <f>IF(ISNUMBER(INDEX(Haver_Q!$B$1:$BD$1000,MATCH(data!$A150,Haver_Q!$B$1:$B$1000,0),MATCH(data!G$1,Haver_Q!$B$1:$BD$1,0))),100*INDEX(Haver_Q!$B$1:$BD$1000,MATCH(data!$A150,Haver_Q!$B$1:$B$1000,0),MATCH(data!G$1,Haver_Q!$B$1:$BD$1,0)),"na")</f>
        <v>na</v>
      </c>
      <c r="H150" t="str">
        <f>IF(ISNUMBER(INDEX(Haver_Q!$B$1:$BD$1000,MATCH(data!$A150,Haver_Q!$B$1:$B$1000,0),MATCH(data!H$1,Haver_Q!$B$1:$BD$1,0))),100*INDEX(Haver_Q!$B$1:$BD$1000,MATCH(data!$A150,Haver_Q!$B$1:$B$1000,0),MATCH(data!H$1,Haver_Q!$B$1:$BD$1,0)),"na")</f>
        <v>na</v>
      </c>
      <c r="I150" s="3">
        <f>IF(ISNUMBER(Bloomberg_m!C166),Bloomberg_m!C166,"na")</f>
        <v>1101</v>
      </c>
      <c r="J150" s="3">
        <f>IF(ISNUMBER(Bloomberg_m!D166),Bloomberg_m!D166,"na")</f>
        <v>2609.48</v>
      </c>
      <c r="K150" s="3">
        <f>IF(ISNUMBER(Bloomberg_m!E166),Bloomberg_m!E166,"na")</f>
        <v>1450.27</v>
      </c>
      <c r="L150" s="3">
        <f>IF(ISNUMBER(Bloomberg_m!L166),Bloomberg_m!L166,"na")</f>
        <v>94.68</v>
      </c>
      <c r="M150">
        <f>IF(ISNUMBER(INDEX(Haver_M!$B$1:$ZN$1000,MATCH(data!$A150,Haver_M!$B$1:$B$1000,0),MATCH(data!M$1,Haver_M!$B$1:$ZN$1,0))),INDEX(Haver_M!$B$1:$ZN$1000,MATCH(data!$A150,Haver_M!$B$1:$B$1000,0),MATCH(data!M$1,Haver_M!$B$1:$ZN$1,0)),"na")</f>
        <v>4.5</v>
      </c>
      <c r="N150">
        <f>IF(ISNUMBER(INDEX(Haver_M!$B$1:$ZN$1000,MATCH(data!$A150,Haver_M!$B$1:$B$1000,0),MATCH(data!N$1,Haver_M!$B$1:$ZN$1,0))),INDEX(Haver_M!$B$1:$ZN$1000,MATCH(data!$A150,Haver_M!$B$1:$B$1000,0),MATCH(data!N$1,Haver_M!$B$1:$ZN$1,0)),"na")</f>
        <v>6.1387999999999998</v>
      </c>
      <c r="O150">
        <f>IF(ISNUMBER(INDEX(Haver_M!$B$1:$ZN$1000,MATCH(data!$A150,Haver_M!$B$1:$B$1000,0),MATCH(data!O$1,Haver_M!$B$1:$ZN$1,0))),INDEX(Haver_M!$B$1:$ZN$1000,MATCH(data!$A150,Haver_M!$B$1:$B$1000,0),MATCH(data!O$1,Haver_M!$B$1:$ZN$1,0)),"na")</f>
        <v>92.066299999999998</v>
      </c>
      <c r="P150">
        <f>IF(ISNUMBER(INDEX(Haver_M!$B$1:$ZN$1000,MATCH(data!$A150,Haver_M!$B$1:$B$1000,0),MATCH(data!P$1,Haver_M!$B$1:$ZN$1,0))),INDEX(Haver_M!$B$1:$ZN$1000,MATCH(data!$A150,Haver_M!$B$1:$B$1000,0),MATCH(data!P$1,Haver_M!$B$1:$ZN$1,0)),"na")</f>
        <v>78.375799999999998</v>
      </c>
      <c r="Q150">
        <f>IF(ISNUMBER(INDEX(Haver_M!$B$1:$ZN$1000,MATCH(data!$A150,Haver_M!$B$1:$B$1000,0),MATCH(data!Q$1,Haver_M!$B$1:$ZN$1,0))),INDEX(Haver_M!$B$1:$ZN$1000,MATCH(data!$A150,Haver_M!$B$1:$B$1000,0),MATCH(data!Q$1,Haver_M!$B$1:$ZN$1,0)),"na")</f>
        <v>81.953299999999999</v>
      </c>
      <c r="R150">
        <f>IF(ISNUMBER(INDEX(Haver_M!$B$1:$ZN$1000,MATCH(data!$A150,Haver_M!$B$1:$B$1000,0),MATCH(data!R$1,Haver_M!$B$1:$ZN$1,0))),INDEX(Haver_M!$B$1:$ZN$1000,MATCH(data!$A150,Haver_M!$B$1:$B$1000,0),MATCH(data!R$1,Haver_M!$B$1:$ZN$1,0)),"na")</f>
        <v>99.974100000000007</v>
      </c>
      <c r="S150">
        <f>IF(ISNUMBER(INDEX(Haver_M!$B$1:$ZN$1000,MATCH(data!$A150,Haver_M!$B$1:$B$1000,0),MATCH(data!S$1,Haver_M!$B$1:$ZN$1,0))),INDEX(Haver_M!$B$1:$ZN$1000,MATCH(data!$A150,Haver_M!$B$1:$B$1000,0),MATCH(data!S$1,Haver_M!$B$1:$ZN$1,0)),"na")</f>
        <v>100.55029999999999</v>
      </c>
      <c r="T150">
        <f>IF(ISNUMBER(INDEX(Haver_M!$B$1:$ZN$1000,MATCH(data!$A150,Haver_M!$B$1:$B$1000,0),MATCH(data!T$1,Haver_M!$B$1:$ZN$1,0))),INDEX(Haver_M!$B$1:$ZN$1000,MATCH(data!$A150,Haver_M!$B$1:$B$1000,0),MATCH(data!T$1,Haver_M!$B$1:$ZN$1,0)),"na")</f>
        <v>99.688599999999994</v>
      </c>
      <c r="U150">
        <f>IF(ISNUMBER(INDEX(Haver_M!$B$1:$ZN$1000,MATCH(data!$A150,Haver_M!$B$1:$B$1000,0),MATCH(data!U$1,Haver_M!$B$1:$ZN$1,0))),INDEX(Haver_M!$B$1:$ZN$1000,MATCH(data!$A150,Haver_M!$B$1:$B$1000,0),MATCH(data!U$1,Haver_M!$B$1:$ZN$1,0)),"na")</f>
        <v>101.44280000000001</v>
      </c>
      <c r="V150">
        <f>IF(ISNUMBER(INDEX(Haver_M!$B$1:$ZN$1000,MATCH(data!$A150,Haver_M!$B$1:$B$1000,0),MATCH(data!V$1,Haver_M!$B$1:$ZN$1,0))),INDEX(Haver_M!$B$1:$ZN$1000,MATCH(data!$A150,Haver_M!$B$1:$B$1000,0),MATCH(data!V$1,Haver_M!$B$1:$ZN$1,0)),"na")</f>
        <v>99.29</v>
      </c>
      <c r="W150">
        <f>IF(ISNUMBER(INDEX(Haver_M!$B$1:$ZN$1000,MATCH(data!$A150,Haver_M!$B$1:$B$1000,0),MATCH(data!W$1,Haver_M!$B$1:$ZN$1,0))),INDEX(Haver_M!$B$1:$ZN$1000,MATCH(data!$A150,Haver_M!$B$1:$B$1000,0),MATCH(data!W$1,Haver_M!$B$1:$ZN$1,0)),"na")</f>
        <v>4.91</v>
      </c>
      <c r="X150">
        <f>IF(ISNUMBER(INDEX(Haver_M!$B$1:$ZN$1000,MATCH(data!$A150,Haver_M!$B$1:$B$1000,0),MATCH(data!X$1,Haver_M!$B$1:$ZN$1,0))),INDEX(Haver_M!$B$1:$ZN$1000,MATCH(data!$A150,Haver_M!$B$1:$B$1000,0),MATCH(data!X$1,Haver_M!$B$1:$ZN$1,0)),"na")</f>
        <v>100.23</v>
      </c>
      <c r="Y150">
        <f>IF(ISNUMBER(INDEX(Haver_M!$B$1:$ZN$1000,MATCH(data!$A150,Haver_M!$B$1:$B$1000,0),MATCH(data!Y$1,Haver_M!$B$1:$ZN$1,0))),INDEX(Haver_M!$B$1:$ZN$1000,MATCH(data!$A150,Haver_M!$B$1:$B$1000,0),MATCH(data!Y$1,Haver_M!$B$1:$ZN$1,0)),"na")</f>
        <v>100.21</v>
      </c>
      <c r="Z150">
        <f>IF(ISNUMBER(INDEX(Haver_M!$B$1:$ZN$1000,MATCH(data!$A150,Haver_M!$B$1:$B$1000,0),MATCH(data!Z$1,Haver_M!$B$1:$ZN$1,0))),INDEX(Haver_M!$B$1:$ZN$1000,MATCH(data!$A150,Haver_M!$B$1:$B$1000,0),MATCH(data!Z$1,Haver_M!$B$1:$ZN$1,0)),"na")</f>
        <v>99.558800000000005</v>
      </c>
      <c r="AA150">
        <f>IF(ISNUMBER(INDEX(Haver_M!$B$1:$ZN$1000,MATCH(data!$A150,Haver_M!$B$1:$B$1000,0),MATCH(data!AA$1,Haver_M!$B$1:$ZN$1,0))),INDEX(Haver_M!$B$1:$ZN$1000,MATCH(data!$A150,Haver_M!$B$1:$B$1000,0),MATCH(data!AA$1,Haver_M!$B$1:$ZN$1,0)),"na")</f>
        <v>101.1841</v>
      </c>
      <c r="AB150">
        <f>IF(ISNUMBER(INDEX(Haver_M!$B$1:$ZN$1000,MATCH(data!$A150,Haver_M!$B$1:$B$1000,0),MATCH(data!AB$1,Haver_M!$B$1:$ZN$1,0))),INDEX(Haver_M!$B$1:$ZN$1000,MATCH(data!$A150,Haver_M!$B$1:$B$1000,0),MATCH(data!AB$1,Haver_M!$B$1:$ZN$1,0)),"na")</f>
        <v>31008.3</v>
      </c>
      <c r="AC150">
        <f>IF(ISNUMBER(INDEX(Haver_M!$B$1:$ZN$1000,MATCH(data!$A150,Haver_M!$B$1:$B$1000,0),MATCH(data!AC$1,Haver_M!$B$1:$ZN$1,0))),INDEX(Haver_M!$B$1:$ZN$1000,MATCH(data!$A150,Haver_M!$B$1:$B$1000,0),MATCH(data!AC$1,Haver_M!$B$1:$ZN$1,0)),"na")</f>
        <v>31142.400000000001</v>
      </c>
      <c r="AD150">
        <f>IF(ISNUMBER(INDEX(Haver_M!$B$1:$ZN$1000,MATCH(data!$A150,Haver_M!$B$1:$B$1000,0),MATCH(data!AD$1,Haver_M!$B$1:$ZN$1,0))),INDEX(Haver_M!$B$1:$ZN$1000,MATCH(data!$A150,Haver_M!$B$1:$B$1000,0),MATCH(data!AD$1,Haver_M!$B$1:$ZN$1,0)),"na")</f>
        <v>100.42</v>
      </c>
      <c r="AE150">
        <f>IF(ISNUMBER(INDEX(Haver_M!$B$1:$ZN$1000,MATCH(data!$A150,Haver_M!$B$1:$B$1000,0),MATCH(data!AE$1,Haver_M!$B$1:$ZN$1,0))),INDEX(Haver_M!$B$1:$ZN$1000,MATCH(data!$A150,Haver_M!$B$1:$B$1000,0),MATCH(data!AE$1,Haver_M!$B$1:$ZN$1,0)),"na")</f>
        <v>40</v>
      </c>
      <c r="AF150">
        <f>IF(ISNUMBER(INDEX(Haver_M!$B$1:$ZN$1000,MATCH(data!$A150,Haver_M!$B$1:$B$1000,0),MATCH(data!AF$1,Haver_M!$B$1:$ZN$1,0))),INDEX(Haver_M!$B$1:$ZN$1000,MATCH(data!$A150,Haver_M!$B$1:$B$1000,0),MATCH(data!AF$1,Haver_M!$B$1:$ZN$1,0)),"na")</f>
        <v>100.3</v>
      </c>
      <c r="AG150">
        <f>IF(ISNUMBER(INDEX(Haver_M!$B$1:$ZN$1000,MATCH(data!$A150,Haver_M!$B$1:$B$1000,0),MATCH(data!AG$1,Haver_M!$B$1:$ZN$1,0))),INDEX(Haver_M!$B$1:$ZN$1000,MATCH(data!$A150,Haver_M!$B$1:$B$1000,0),MATCH(data!AG$1,Haver_M!$B$1:$ZN$1,0)),"na")</f>
        <v>55.229799999999997</v>
      </c>
      <c r="AH150">
        <f>IF(ISNUMBER(INDEX(Haver_M!$B$1:$ZN$1000,MATCH(data!$A150,Haver_M!$B$1:$B$1000,0),MATCH(data!AH$1,Haver_M!$B$1:$ZN$1,0))),INDEX(Haver_M!$B$1:$ZN$1000,MATCH(data!$A150,Haver_M!$B$1:$B$1000,0),MATCH(data!AH$1,Haver_M!$B$1:$ZN$1,0)),"na")</f>
        <v>55.980200000000004</v>
      </c>
      <c r="AI150">
        <f>IF(ISNUMBER(INDEX(Haver_M!$B$1:$ZN$1000,MATCH(data!$A150,Haver_M!$B$1:$B$1000,0),MATCH(data!AI$1,Haver_M!$B$1:$ZN$1,0))),INDEX(Haver_M!$B$1:$ZN$1000,MATCH(data!$A150,Haver_M!$B$1:$B$1000,0),MATCH(data!AI$1,Haver_M!$B$1:$ZN$1,0)),"na")</f>
        <v>59.0184</v>
      </c>
      <c r="AJ150">
        <f>IF(ISNUMBER(INDEX(Haver_M!$B$1:$ZN$1000,MATCH(data!$A150,Haver_M!$B$1:$B$1000,0),MATCH(data!AJ$1,Haver_M!$B$1:$ZN$1,0))),INDEX(Haver_M!$B$1:$ZN$1000,MATCH(data!$A150,Haver_M!$B$1:$B$1000,0),MATCH(data!AJ$1,Haver_M!$B$1:$ZN$1,0)),"na")</f>
        <v>53.195300000000003</v>
      </c>
      <c r="AK150">
        <f>IF(ISNUMBER(INDEX(Haver_M!$B$1:$ZN$1000,MATCH(data!$A150,Haver_M!$B$1:$B$1000,0),MATCH(data!AK$1,Haver_M!$B$1:$ZN$1,0))),INDEX(Haver_M!$B$1:$ZN$1000,MATCH(data!$A150,Haver_M!$B$1:$B$1000,0),MATCH(data!AK$1,Haver_M!$B$1:$ZN$1,0)),"na")</f>
        <v>47.689700000000002</v>
      </c>
      <c r="AL150">
        <f>IF(ISNUMBER(INDEX(Haver_M!$B$1:$ZN$1000,MATCH(data!$A150,Haver_M!$B$1:$B$1000,0),MATCH(data!AL$1,Haver_M!$B$1:$ZN$1,0))),INDEX(Haver_M!$B$1:$ZN$1000,MATCH(data!$A150,Haver_M!$B$1:$B$1000,0),MATCH(data!AL$1,Haver_M!$B$1:$ZN$1,0)),"na")</f>
        <v>50.436500000000002</v>
      </c>
      <c r="AM150">
        <f>IF(ISNUMBER(INDEX(Haver_M!$B$1:$ZN$1000,MATCH(data!$A150,Haver_M!$B$1:$B$1000,0),MATCH(data!AM$1,Haver_M!$B$1:$ZN$1,0))),INDEX(Haver_M!$B$1:$ZN$1000,MATCH(data!$A150,Haver_M!$B$1:$B$1000,0),MATCH(data!AM$1,Haver_M!$B$1:$ZN$1,0)),"na")</f>
        <v>60.7988</v>
      </c>
      <c r="AN150">
        <f>IF(ISNUMBER(INDEX(Haver_M!$B$1:$ZN$1000,MATCH(data!$A150,Haver_M!$B$1:$B$1000,0),MATCH(data!AN$1,Haver_M!$B$1:$ZN$1,0))),INDEX(Haver_M!$B$1:$ZN$1000,MATCH(data!$A150,Haver_M!$B$1:$B$1000,0),MATCH(data!AN$1,Haver_M!$B$1:$ZN$1,0)),"na")</f>
        <v>58.101599999999998</v>
      </c>
      <c r="AO150">
        <f>IF(ISNUMBER(INDEX(Haver_M!$B$1:$ZN$1000,MATCH(data!$A150,Haver_M!$B$1:$B$1000,0),MATCH(data!AO$1,Haver_M!$B$1:$ZN$1,0))),INDEX(Haver_M!$B$1:$ZN$1000,MATCH(data!$A150,Haver_M!$B$1:$B$1000,0),MATCH(data!AO$1,Haver_M!$B$1:$ZN$1,0)),"na")</f>
        <v>50.436500000000002</v>
      </c>
      <c r="AP150">
        <f>IF(ISNUMBER(INDEX(Haver_M!$B$1:$ZN$1000,MATCH(data!$A150,Haver_M!$B$1:$B$1000,0),MATCH(data!AP$1,Haver_M!$B$1:$ZN$1,0))),INDEX(Haver_M!$B$1:$ZN$1000,MATCH(data!$A150,Haver_M!$B$1:$B$1000,0),MATCH(data!AP$1,Haver_M!$B$1:$ZN$1,0)),"na")</f>
        <v>50.747700000000002</v>
      </c>
      <c r="AQ150">
        <f>IF(ISNUMBER(INDEX(Haver_M!$B$1:$ZN$1000,MATCH(data!$A150,Haver_M!$B$1:$B$1000,0),MATCH(data!AQ$1,Haver_M!$B$1:$ZN$1,0))),INDEX(Haver_M!$B$1:$ZN$1000,MATCH(data!$A150,Haver_M!$B$1:$B$1000,0),MATCH(data!AQ$1,Haver_M!$B$1:$ZN$1,0)),"na")</f>
        <v>52.529200000000003</v>
      </c>
      <c r="AR150">
        <f>IF(ISNUMBER(INDEX(Haver_M!$B$1:$ZN$1000,MATCH(data!$A150,Haver_M!$B$1:$B$1000,0),MATCH(data!AR$1,Haver_M!$B$1:$ZN$1,0))),INDEX(Haver_M!$B$1:$ZN$1000,MATCH(data!$A150,Haver_M!$B$1:$B$1000,0),MATCH(data!AR$1,Haver_M!$B$1:$ZN$1,0)),"na")</f>
        <v>47.273499999999999</v>
      </c>
      <c r="AS150">
        <f>IF(ISNUMBER(INDEX(Haver_M!$B$1:$ZN$1000,MATCH(data!$A150,Haver_M!$B$1:$B$1000,0),MATCH(data!AS$1,Haver_M!$B$1:$ZN$1,0))),INDEX(Haver_M!$B$1:$ZN$1000,MATCH(data!$A150,Haver_M!$B$1:$B$1000,0),MATCH(data!AS$1,Haver_M!$B$1:$ZN$1,0)),"na")</f>
        <v>38278.949999999997</v>
      </c>
      <c r="AT150">
        <f>IF(ISNUMBER(INDEX(Haver_M!$B$1:$ZN$1000,MATCH(data!$A150,Haver_M!$B$1:$B$1000,0),MATCH(data!AT$1,Haver_M!$B$1:$ZN$1,0))),INDEX(Haver_M!$B$1:$ZN$1000,MATCH(data!$A150,Haver_M!$B$1:$B$1000,0),MATCH(data!AT$1,Haver_M!$B$1:$ZN$1,0)),"na")</f>
        <v>97.137</v>
      </c>
      <c r="AU150">
        <f>IF(ISNUMBER(INDEX(Haver_M!$B$1:$ZN$1000,MATCH(data!$A150,Haver_M!$B$1:$B$1000,0),MATCH(data!AU$1,Haver_M!$B$1:$ZN$1,0))),INDEX(Haver_M!$B$1:$ZN$1000,MATCH(data!$A150,Haver_M!$B$1:$B$1000,0),MATCH(data!AU$1,Haver_M!$B$1:$ZN$1,0)),"na")</f>
        <v>97.795581999999996</v>
      </c>
      <c r="AV150">
        <f>IF(ISNUMBER(INDEX(Haver_M!$B$1:$ZN$1000,MATCH(data!$A150,Haver_M!$B$1:$B$1000,0),MATCH(data!AV$1,Haver_M!$B$1:$ZN$1,0))),INDEX(Haver_M!$B$1:$ZN$1000,MATCH(data!$A150,Haver_M!$B$1:$B$1000,0),MATCH(data!AV$1,Haver_M!$B$1:$ZN$1,0)),"na")</f>
        <v>103.5</v>
      </c>
      <c r="AW150">
        <f>IF(ISNUMBER(INDEX(Haver_M!$B$1:$ZN$1000,MATCH(data!$A150,Haver_M!$B$1:$B$1000,0),MATCH(data!AW$1,Haver_M!$B$1:$ZN$1,0))),INDEX(Haver_M!$B$1:$ZN$1000,MATCH(data!$A150,Haver_M!$B$1:$B$1000,0),MATCH(data!AW$1,Haver_M!$B$1:$ZN$1,0)),"na")</f>
        <v>1050543.2110324623</v>
      </c>
      <c r="AX150">
        <f>IF(ISNUMBER(INDEX(Haver_M!$B$1:$ZN$1000,MATCH(data!$A150,Haver_M!$B$1:$B$1000,0),MATCH(data!AX$1,Haver_M!$B$1:$ZN$1,0))),INDEX(Haver_M!$B$1:$ZN$1000,MATCH(data!$A150,Haver_M!$B$1:$B$1000,0),MATCH(data!AX$1,Haver_M!$B$1:$ZN$1,0)),"na")</f>
        <v>2547</v>
      </c>
      <c r="AY150">
        <f>IF(ISNUMBER(INDEX(Haver_M!$B$1:$ZN$1000,MATCH(data!$A150,Haver_M!$B$1:$B$1000,0),MATCH(data!AY$1,Haver_M!$B$1:$ZN$1,0))),INDEX(Haver_M!$B$1:$ZN$1000,MATCH(data!$A150,Haver_M!$B$1:$B$1000,0),MATCH(data!AY$1,Haver_M!$B$1:$ZN$1,0)),"na")</f>
        <v>1198</v>
      </c>
      <c r="AZ150">
        <f>IF(ISNUMBER(INDEX(Haver_M!$B$1:$ZN$1000,MATCH(data!$A150,Haver_M!$B$1:$B$1000,0),MATCH(data!AZ$1,Haver_M!$B$1:$ZN$1,0))),INDEX(Haver_M!$B$1:$ZN$1000,MATCH(data!$A150,Haver_M!$B$1:$B$1000,0),MATCH(data!AZ$1,Haver_M!$B$1:$ZN$1,0)),"na")</f>
        <v>53.6</v>
      </c>
      <c r="BA150">
        <f>IF(ISNUMBER(INDEX(Haver_M!$B$1:$ZN$1000,MATCH(data!$A150,Haver_M!$B$1:$B$1000,0),MATCH(data!BA$1,Haver_M!$B$1:$ZN$1,0))),INDEX(Haver_M!$B$1:$ZN$1000,MATCH(data!$A150,Haver_M!$B$1:$B$1000,0),MATCH(data!BA$1,Haver_M!$B$1:$ZN$1,0)),"na")</f>
        <v>77.013609573569624</v>
      </c>
      <c r="BB150" t="str">
        <f>IF(ISNUMBER(INDEX(Haver_M!$B$1:$ZN$1000,MATCH(data!$A150,Haver_M!$B$1:$B$1000,0),MATCH(data!BB$1,Haver_M!$B$1:$ZN$1,0))),INDEX(Haver_M!$B$1:$ZN$1000,MATCH(data!$A150,Haver_M!$B$1:$B$1000,0),MATCH(data!BB$1,Haver_M!$B$1:$ZN$1,0)),"")</f>
        <v/>
      </c>
    </row>
    <row r="151" spans="1:54" x14ac:dyDescent="0.25">
      <c r="A151" s="2">
        <v>41090</v>
      </c>
      <c r="B151">
        <f>IF(ISNUMBER(INDEX(Haver_Q!$B$1:$BD$1000,MATCH(data!$A151,Haver_Q!$B$1:$B$1000,0),MATCH(data!B$1,Haver_Q!$B$1:$BD$1,0))),100*INDEX(Haver_Q!$B$1:$BD$1000,MATCH(data!$A151,Haver_Q!$B$1:$B$1000,0),MATCH(data!B$1,Haver_Q!$B$1:$BD$1,0)),"na")</f>
        <v>3.3829161769292959</v>
      </c>
      <c r="C151">
        <f>IF(ISNUMBER(INDEX(Haver_Q!$B$1:$BD$1000,MATCH(data!$A151,Haver_Q!$B$1:$B$1000,0),MATCH(data!C$1,Haver_Q!$B$1:$BD$1,0))),100*INDEX(Haver_Q!$B$1:$BD$1000,MATCH(data!$A151,Haver_Q!$B$1:$B$1000,0),MATCH(data!C$1,Haver_Q!$B$1:$BD$1,0)),"na")</f>
        <v>3.4155632185271845</v>
      </c>
      <c r="D151">
        <f>IF(ISNUMBER(INDEX(Haver_Q!$B$1:$BD$1000,MATCH(data!$A151,Haver_Q!$B$1:$B$1000,0),MATCH(data!D$1,Haver_Q!$B$1:$BD$1,0))),100*INDEX(Haver_Q!$B$1:$BD$1000,MATCH(data!$A151,Haver_Q!$B$1:$B$1000,0),MATCH(data!D$1,Haver_Q!$B$1:$BD$1,0)),"na")</f>
        <v>-0.86970467679933217</v>
      </c>
      <c r="E151">
        <f>IF(ISNUMBER(INDEX(Haver_Q!$B$1:$BD$1000,MATCH(data!$A151,Haver_Q!$B$1:$B$1000,0),MATCH(data!E$1,Haver_Q!$B$1:$BD$1,0))),100*INDEX(Haver_Q!$B$1:$BD$1000,MATCH(data!$A151,Haver_Q!$B$1:$B$1000,0),MATCH(data!E$1,Haver_Q!$B$1:$BD$1,0)),"na")</f>
        <v>3.7169479927540383</v>
      </c>
      <c r="F151">
        <f>IF(ISNUMBER(INDEX(Haver_Q!$B$1:$BD$1000,MATCH(data!$A151,Haver_Q!$B$1:$B$1000,0),MATCH(data!F$1,Haver_Q!$B$1:$BD$1,0))),100*INDEX(Haver_Q!$B$1:$BD$1000,MATCH(data!$A151,Haver_Q!$B$1:$B$1000,0),MATCH(data!F$1,Haver_Q!$B$1:$BD$1,0)),"na")</f>
        <v>4.8176511818201373</v>
      </c>
      <c r="G151">
        <f>IF(ISNUMBER(INDEX(Haver_Q!$B$1:$BD$1000,MATCH(data!$A151,Haver_Q!$B$1:$B$1000,0),MATCH(data!G$1,Haver_Q!$B$1:$BD$1,0))),100*INDEX(Haver_Q!$B$1:$BD$1000,MATCH(data!$A151,Haver_Q!$B$1:$B$1000,0),MATCH(data!G$1,Haver_Q!$B$1:$BD$1,0)),"na")</f>
        <v>4.8807403508591696</v>
      </c>
      <c r="H151">
        <f>IF(ISNUMBER(INDEX(Haver_Q!$B$1:$BD$1000,MATCH(data!$A151,Haver_Q!$B$1:$B$1000,0),MATCH(data!H$1,Haver_Q!$B$1:$BD$1,0))),100*INDEX(Haver_Q!$B$1:$BD$1000,MATCH(data!$A151,Haver_Q!$B$1:$B$1000,0),MATCH(data!H$1,Haver_Q!$B$1:$BD$1,0)),"na")</f>
        <v>231.73451083879263</v>
      </c>
      <c r="I151" s="3">
        <f>IF(ISNUMBER(Bloomberg_m!C167),Bloomberg_m!C167,"na")</f>
        <v>937</v>
      </c>
      <c r="J151" s="3">
        <f>IF(ISNUMBER(Bloomberg_m!D167),Bloomberg_m!D167,"na")</f>
        <v>2526.37</v>
      </c>
      <c r="K151" s="3">
        <f>IF(ISNUMBER(Bloomberg_m!E167),Bloomberg_m!E167,"na")</f>
        <v>1427.61</v>
      </c>
      <c r="L151" s="3">
        <f>IF(ISNUMBER(Bloomberg_m!L167),Bloomberg_m!L167,"na")</f>
        <v>82.36</v>
      </c>
      <c r="M151">
        <f>IF(ISNUMBER(INDEX(Haver_M!$B$1:$ZN$1000,MATCH(data!$A151,Haver_M!$B$1:$B$1000,0),MATCH(data!M$1,Haver_M!$B$1:$ZN$1,0))),INDEX(Haver_M!$B$1:$ZN$1000,MATCH(data!$A151,Haver_M!$B$1:$B$1000,0),MATCH(data!M$1,Haver_M!$B$1:$ZN$1,0)),"na")</f>
        <v>4.5</v>
      </c>
      <c r="N151">
        <f>IF(ISNUMBER(INDEX(Haver_M!$B$1:$ZN$1000,MATCH(data!$A151,Haver_M!$B$1:$B$1000,0),MATCH(data!N$1,Haver_M!$B$1:$ZN$1,0))),INDEX(Haver_M!$B$1:$ZN$1000,MATCH(data!$A151,Haver_M!$B$1:$B$1000,0),MATCH(data!N$1,Haver_M!$B$1:$ZN$1,0)),"na")</f>
        <v>5.9120999999999997</v>
      </c>
      <c r="O151">
        <f>IF(ISNUMBER(INDEX(Haver_M!$B$1:$ZN$1000,MATCH(data!$A151,Haver_M!$B$1:$B$1000,0),MATCH(data!O$1,Haver_M!$B$1:$ZN$1,0))),INDEX(Haver_M!$B$1:$ZN$1000,MATCH(data!$A151,Haver_M!$B$1:$B$1000,0),MATCH(data!O$1,Haver_M!$B$1:$ZN$1,0)),"na")</f>
        <v>91.22345</v>
      </c>
      <c r="P151">
        <f>IF(ISNUMBER(INDEX(Haver_M!$B$1:$ZN$1000,MATCH(data!$A151,Haver_M!$B$1:$B$1000,0),MATCH(data!P$1,Haver_M!$B$1:$ZN$1,0))),INDEX(Haver_M!$B$1:$ZN$1000,MATCH(data!$A151,Haver_M!$B$1:$B$1000,0),MATCH(data!P$1,Haver_M!$B$1:$ZN$1,0)),"na")</f>
        <v>78.883200000000002</v>
      </c>
      <c r="Q151">
        <f>IF(ISNUMBER(INDEX(Haver_M!$B$1:$ZN$1000,MATCH(data!$A151,Haver_M!$B$1:$B$1000,0),MATCH(data!Q$1,Haver_M!$B$1:$ZN$1,0))),INDEX(Haver_M!$B$1:$ZN$1000,MATCH(data!$A151,Haver_M!$B$1:$B$1000,0),MATCH(data!Q$1,Haver_M!$B$1:$ZN$1,0)),"na")</f>
        <v>82.188400000000001</v>
      </c>
      <c r="R151">
        <f>IF(ISNUMBER(INDEX(Haver_M!$B$1:$ZN$1000,MATCH(data!$A151,Haver_M!$B$1:$B$1000,0),MATCH(data!R$1,Haver_M!$B$1:$ZN$1,0))),INDEX(Haver_M!$B$1:$ZN$1000,MATCH(data!$A151,Haver_M!$B$1:$B$1000,0),MATCH(data!R$1,Haver_M!$B$1:$ZN$1,0)),"na")</f>
        <v>100.497</v>
      </c>
      <c r="S151">
        <f>IF(ISNUMBER(INDEX(Haver_M!$B$1:$ZN$1000,MATCH(data!$A151,Haver_M!$B$1:$B$1000,0),MATCH(data!S$1,Haver_M!$B$1:$ZN$1,0))),INDEX(Haver_M!$B$1:$ZN$1000,MATCH(data!$A151,Haver_M!$B$1:$B$1000,0),MATCH(data!S$1,Haver_M!$B$1:$ZN$1,0)),"na")</f>
        <v>100.7376</v>
      </c>
      <c r="T151">
        <f>IF(ISNUMBER(INDEX(Haver_M!$B$1:$ZN$1000,MATCH(data!$A151,Haver_M!$B$1:$B$1000,0),MATCH(data!T$1,Haver_M!$B$1:$ZN$1,0))),INDEX(Haver_M!$B$1:$ZN$1000,MATCH(data!$A151,Haver_M!$B$1:$B$1000,0),MATCH(data!T$1,Haver_M!$B$1:$ZN$1,0)),"na")</f>
        <v>100.03360000000001</v>
      </c>
      <c r="U151">
        <f>IF(ISNUMBER(INDEX(Haver_M!$B$1:$ZN$1000,MATCH(data!$A151,Haver_M!$B$1:$B$1000,0),MATCH(data!U$1,Haver_M!$B$1:$ZN$1,0))),INDEX(Haver_M!$B$1:$ZN$1000,MATCH(data!$A151,Haver_M!$B$1:$B$1000,0),MATCH(data!U$1,Haver_M!$B$1:$ZN$1,0)),"na")</f>
        <v>101.12860000000001</v>
      </c>
      <c r="V151">
        <f>IF(ISNUMBER(INDEX(Haver_M!$B$1:$ZN$1000,MATCH(data!$A151,Haver_M!$B$1:$B$1000,0),MATCH(data!V$1,Haver_M!$B$1:$ZN$1,0))),INDEX(Haver_M!$B$1:$ZN$1000,MATCH(data!$A151,Haver_M!$B$1:$B$1000,0),MATCH(data!V$1,Haver_M!$B$1:$ZN$1,0)),"na")</f>
        <v>100.4325</v>
      </c>
      <c r="W151">
        <f>IF(ISNUMBER(INDEX(Haver_M!$B$1:$ZN$1000,MATCH(data!$A151,Haver_M!$B$1:$B$1000,0),MATCH(data!W$1,Haver_M!$B$1:$ZN$1,0))),INDEX(Haver_M!$B$1:$ZN$1000,MATCH(data!$A151,Haver_M!$B$1:$B$1000,0),MATCH(data!W$1,Haver_M!$B$1:$ZN$1,0)),"na")</f>
        <v>4.8499999999999996</v>
      </c>
      <c r="X151">
        <f>IF(ISNUMBER(INDEX(Haver_M!$B$1:$ZN$1000,MATCH(data!$A151,Haver_M!$B$1:$B$1000,0),MATCH(data!X$1,Haver_M!$B$1:$ZN$1,0))),INDEX(Haver_M!$B$1:$ZN$1000,MATCH(data!$A151,Haver_M!$B$1:$B$1000,0),MATCH(data!X$1,Haver_M!$B$1:$ZN$1,0)),"na")</f>
        <v>100.25</v>
      </c>
      <c r="Y151">
        <f>IF(ISNUMBER(INDEX(Haver_M!$B$1:$ZN$1000,MATCH(data!$A151,Haver_M!$B$1:$B$1000,0),MATCH(data!Y$1,Haver_M!$B$1:$ZN$1,0))),INDEX(Haver_M!$B$1:$ZN$1000,MATCH(data!$A151,Haver_M!$B$1:$B$1000,0),MATCH(data!Y$1,Haver_M!$B$1:$ZN$1,0)),"na")</f>
        <v>100.15</v>
      </c>
      <c r="Z151">
        <f>IF(ISNUMBER(INDEX(Haver_M!$B$1:$ZN$1000,MATCH(data!$A151,Haver_M!$B$1:$B$1000,0),MATCH(data!Z$1,Haver_M!$B$1:$ZN$1,0))),INDEX(Haver_M!$B$1:$ZN$1000,MATCH(data!$A151,Haver_M!$B$1:$B$1000,0),MATCH(data!Z$1,Haver_M!$B$1:$ZN$1,0)),"na")</f>
        <v>99.558499999999995</v>
      </c>
      <c r="AA151">
        <f>IF(ISNUMBER(INDEX(Haver_M!$B$1:$ZN$1000,MATCH(data!$A151,Haver_M!$B$1:$B$1000,0),MATCH(data!AA$1,Haver_M!$B$1:$ZN$1,0))),INDEX(Haver_M!$B$1:$ZN$1000,MATCH(data!$A151,Haver_M!$B$1:$B$1000,0),MATCH(data!AA$1,Haver_M!$B$1:$ZN$1,0)),"na")</f>
        <v>103.2098</v>
      </c>
      <c r="AB151">
        <f>IF(ISNUMBER(INDEX(Haver_M!$B$1:$ZN$1000,MATCH(data!$A151,Haver_M!$B$1:$B$1000,0),MATCH(data!AB$1,Haver_M!$B$1:$ZN$1,0))),INDEX(Haver_M!$B$1:$ZN$1000,MATCH(data!$A151,Haver_M!$B$1:$B$1000,0),MATCH(data!AB$1,Haver_M!$B$1:$ZN$1,0)),"na")</f>
        <v>29985.4</v>
      </c>
      <c r="AC151">
        <f>IF(ISNUMBER(INDEX(Haver_M!$B$1:$ZN$1000,MATCH(data!$A151,Haver_M!$B$1:$B$1000,0),MATCH(data!AC$1,Haver_M!$B$1:$ZN$1,0))),INDEX(Haver_M!$B$1:$ZN$1000,MATCH(data!$A151,Haver_M!$B$1:$B$1000,0),MATCH(data!AC$1,Haver_M!$B$1:$ZN$1,0)),"na")</f>
        <v>29902.1</v>
      </c>
      <c r="AD151">
        <f>IF(ISNUMBER(INDEX(Haver_M!$B$1:$ZN$1000,MATCH(data!$A151,Haver_M!$B$1:$B$1000,0),MATCH(data!AD$1,Haver_M!$B$1:$ZN$1,0))),INDEX(Haver_M!$B$1:$ZN$1000,MATCH(data!$A151,Haver_M!$B$1:$B$1000,0),MATCH(data!AD$1,Haver_M!$B$1:$ZN$1,0)),"na")</f>
        <v>100.42</v>
      </c>
      <c r="AE151">
        <f>IF(ISNUMBER(INDEX(Haver_M!$B$1:$ZN$1000,MATCH(data!$A151,Haver_M!$B$1:$B$1000,0),MATCH(data!AE$1,Haver_M!$B$1:$ZN$1,0))),INDEX(Haver_M!$B$1:$ZN$1000,MATCH(data!$A151,Haver_M!$B$1:$B$1000,0),MATCH(data!AE$1,Haver_M!$B$1:$ZN$1,0)),"na")</f>
        <v>39.299999999999997</v>
      </c>
      <c r="AF151">
        <f>IF(ISNUMBER(INDEX(Haver_M!$B$1:$ZN$1000,MATCH(data!$A151,Haver_M!$B$1:$B$1000,0),MATCH(data!AF$1,Haver_M!$B$1:$ZN$1,0))),INDEX(Haver_M!$B$1:$ZN$1000,MATCH(data!$A151,Haver_M!$B$1:$B$1000,0),MATCH(data!AF$1,Haver_M!$B$1:$ZN$1,0)),"na")</f>
        <v>100.31</v>
      </c>
      <c r="AG151">
        <f>IF(ISNUMBER(INDEX(Haver_M!$B$1:$ZN$1000,MATCH(data!$A151,Haver_M!$B$1:$B$1000,0),MATCH(data!AG$1,Haver_M!$B$1:$ZN$1,0))),INDEX(Haver_M!$B$1:$ZN$1000,MATCH(data!$A151,Haver_M!$B$1:$B$1000,0),MATCH(data!AG$1,Haver_M!$B$1:$ZN$1,0)),"na")</f>
        <v>55.916499999999999</v>
      </c>
      <c r="AH151">
        <f>IF(ISNUMBER(INDEX(Haver_M!$B$1:$ZN$1000,MATCH(data!$A151,Haver_M!$B$1:$B$1000,0),MATCH(data!AH$1,Haver_M!$B$1:$ZN$1,0))),INDEX(Haver_M!$B$1:$ZN$1000,MATCH(data!$A151,Haver_M!$B$1:$B$1000,0),MATCH(data!AH$1,Haver_M!$B$1:$ZN$1,0)),"na")</f>
        <v>57.854700000000001</v>
      </c>
      <c r="AI151">
        <f>IF(ISNUMBER(INDEX(Haver_M!$B$1:$ZN$1000,MATCH(data!$A151,Haver_M!$B$1:$B$1000,0),MATCH(data!AI$1,Haver_M!$B$1:$ZN$1,0))),INDEX(Haver_M!$B$1:$ZN$1000,MATCH(data!$A151,Haver_M!$B$1:$B$1000,0),MATCH(data!AI$1,Haver_M!$B$1:$ZN$1,0)),"na")</f>
        <v>58.516800000000003</v>
      </c>
      <c r="AJ151">
        <f>IF(ISNUMBER(INDEX(Haver_M!$B$1:$ZN$1000,MATCH(data!$A151,Haver_M!$B$1:$B$1000,0),MATCH(data!AJ$1,Haver_M!$B$1:$ZN$1,0))),INDEX(Haver_M!$B$1:$ZN$1000,MATCH(data!$A151,Haver_M!$B$1:$B$1000,0),MATCH(data!AJ$1,Haver_M!$B$1:$ZN$1,0)),"na")</f>
        <v>54.572299999999998</v>
      </c>
      <c r="AK151">
        <f>IF(ISNUMBER(INDEX(Haver_M!$B$1:$ZN$1000,MATCH(data!$A151,Haver_M!$B$1:$B$1000,0),MATCH(data!AK$1,Haver_M!$B$1:$ZN$1,0))),INDEX(Haver_M!$B$1:$ZN$1000,MATCH(data!$A151,Haver_M!$B$1:$B$1000,0),MATCH(data!AK$1,Haver_M!$B$1:$ZN$1,0)),"na")</f>
        <v>48.783200000000001</v>
      </c>
      <c r="AL151">
        <f>IF(ISNUMBER(INDEX(Haver_M!$B$1:$ZN$1000,MATCH(data!$A151,Haver_M!$B$1:$B$1000,0),MATCH(data!AL$1,Haver_M!$B$1:$ZN$1,0))),INDEX(Haver_M!$B$1:$ZN$1000,MATCH(data!$A151,Haver_M!$B$1:$B$1000,0),MATCH(data!AL$1,Haver_M!$B$1:$ZN$1,0)),"na")</f>
        <v>53.008499999999998</v>
      </c>
      <c r="AM151">
        <f>IF(ISNUMBER(INDEX(Haver_M!$B$1:$ZN$1000,MATCH(data!$A151,Haver_M!$B$1:$B$1000,0),MATCH(data!AM$1,Haver_M!$B$1:$ZN$1,0))),INDEX(Haver_M!$B$1:$ZN$1000,MATCH(data!$A151,Haver_M!$B$1:$B$1000,0),MATCH(data!AM$1,Haver_M!$B$1:$ZN$1,0)),"na")</f>
        <v>64.109200000000001</v>
      </c>
      <c r="AN151">
        <f>IF(ISNUMBER(INDEX(Haver_M!$B$1:$ZN$1000,MATCH(data!$A151,Haver_M!$B$1:$B$1000,0),MATCH(data!AN$1,Haver_M!$B$1:$ZN$1,0))),INDEX(Haver_M!$B$1:$ZN$1000,MATCH(data!$A151,Haver_M!$B$1:$B$1000,0),MATCH(data!AN$1,Haver_M!$B$1:$ZN$1,0)),"na")</f>
        <v>59.151899999999998</v>
      </c>
      <c r="AO151">
        <f>IF(ISNUMBER(INDEX(Haver_M!$B$1:$ZN$1000,MATCH(data!$A151,Haver_M!$B$1:$B$1000,0),MATCH(data!AO$1,Haver_M!$B$1:$ZN$1,0))),INDEX(Haver_M!$B$1:$ZN$1000,MATCH(data!$A151,Haver_M!$B$1:$B$1000,0),MATCH(data!AO$1,Haver_M!$B$1:$ZN$1,0)),"na")</f>
        <v>53.008499999999998</v>
      </c>
      <c r="AP151">
        <f>IF(ISNUMBER(INDEX(Haver_M!$B$1:$ZN$1000,MATCH(data!$A151,Haver_M!$B$1:$B$1000,0),MATCH(data!AP$1,Haver_M!$B$1:$ZN$1,0))),INDEX(Haver_M!$B$1:$ZN$1000,MATCH(data!$A151,Haver_M!$B$1:$B$1000,0),MATCH(data!AP$1,Haver_M!$B$1:$ZN$1,0)),"na")</f>
        <v>51.331699999999998</v>
      </c>
      <c r="AQ151">
        <f>IF(ISNUMBER(INDEX(Haver_M!$B$1:$ZN$1000,MATCH(data!$A151,Haver_M!$B$1:$B$1000,0),MATCH(data!AQ$1,Haver_M!$B$1:$ZN$1,0))),INDEX(Haver_M!$B$1:$ZN$1000,MATCH(data!$A151,Haver_M!$B$1:$B$1000,0),MATCH(data!AQ$1,Haver_M!$B$1:$ZN$1,0)),"na")</f>
        <v>54.119300000000003</v>
      </c>
      <c r="AR151">
        <f>IF(ISNUMBER(INDEX(Haver_M!$B$1:$ZN$1000,MATCH(data!$A151,Haver_M!$B$1:$B$1000,0),MATCH(data!AR$1,Haver_M!$B$1:$ZN$1,0))),INDEX(Haver_M!$B$1:$ZN$1000,MATCH(data!$A151,Haver_M!$B$1:$B$1000,0),MATCH(data!AR$1,Haver_M!$B$1:$ZN$1,0)),"na")</f>
        <v>47.404800000000002</v>
      </c>
      <c r="AS151">
        <f>IF(ISNUMBER(INDEX(Haver_M!$B$1:$ZN$1000,MATCH(data!$A151,Haver_M!$B$1:$B$1000,0),MATCH(data!AS$1,Haver_M!$B$1:$ZN$1,0))),INDEX(Haver_M!$B$1:$ZN$1000,MATCH(data!$A151,Haver_M!$B$1:$B$1000,0),MATCH(data!AS$1,Haver_M!$B$1:$ZN$1,0)),"na")</f>
        <v>38140.03</v>
      </c>
      <c r="AT151">
        <f>IF(ISNUMBER(INDEX(Haver_M!$B$1:$ZN$1000,MATCH(data!$A151,Haver_M!$B$1:$B$1000,0),MATCH(data!AT$1,Haver_M!$B$1:$ZN$1,0))),INDEX(Haver_M!$B$1:$ZN$1000,MATCH(data!$A151,Haver_M!$B$1:$B$1000,0),MATCH(data!AT$1,Haver_M!$B$1:$ZN$1,0)),"na")</f>
        <v>98.147999999999996</v>
      </c>
      <c r="AU151">
        <f>IF(ISNUMBER(INDEX(Haver_M!$B$1:$ZN$1000,MATCH(data!$A151,Haver_M!$B$1:$B$1000,0),MATCH(data!AU$1,Haver_M!$B$1:$ZN$1,0))),INDEX(Haver_M!$B$1:$ZN$1000,MATCH(data!$A151,Haver_M!$B$1:$B$1000,0),MATCH(data!AU$1,Haver_M!$B$1:$ZN$1,0)),"na")</f>
        <v>98.684561000000002</v>
      </c>
      <c r="AV151">
        <f>IF(ISNUMBER(INDEX(Haver_M!$B$1:$ZN$1000,MATCH(data!$A151,Haver_M!$B$1:$B$1000,0),MATCH(data!AV$1,Haver_M!$B$1:$ZN$1,0))),INDEX(Haver_M!$B$1:$ZN$1000,MATCH(data!$A151,Haver_M!$B$1:$B$1000,0),MATCH(data!AV$1,Haver_M!$B$1:$ZN$1,0)),"na")</f>
        <v>102.6</v>
      </c>
      <c r="AW151">
        <f>IF(ISNUMBER(INDEX(Haver_M!$B$1:$ZN$1000,MATCH(data!$A151,Haver_M!$B$1:$B$1000,0),MATCH(data!AW$1,Haver_M!$B$1:$ZN$1,0))),INDEX(Haver_M!$B$1:$ZN$1000,MATCH(data!$A151,Haver_M!$B$1:$B$1000,0),MATCH(data!AW$1,Haver_M!$B$1:$ZN$1,0)),"na")</f>
        <v>1057427.6009438185</v>
      </c>
      <c r="AX151">
        <f>IF(ISNUMBER(INDEX(Haver_M!$B$1:$ZN$1000,MATCH(data!$A151,Haver_M!$B$1:$B$1000,0),MATCH(data!AX$1,Haver_M!$B$1:$ZN$1,0))),INDEX(Haver_M!$B$1:$ZN$1000,MATCH(data!$A151,Haver_M!$B$1:$B$1000,0),MATCH(data!AX$1,Haver_M!$B$1:$ZN$1,0)),"na")</f>
        <v>2554</v>
      </c>
      <c r="AY151">
        <f>IF(ISNUMBER(INDEX(Haver_M!$B$1:$ZN$1000,MATCH(data!$A151,Haver_M!$B$1:$B$1000,0),MATCH(data!AY$1,Haver_M!$B$1:$ZN$1,0))),INDEX(Haver_M!$B$1:$ZN$1000,MATCH(data!$A151,Haver_M!$B$1:$B$1000,0),MATCH(data!AY$1,Haver_M!$B$1:$ZN$1,0)),"na")</f>
        <v>1201</v>
      </c>
      <c r="AZ151">
        <f>IF(ISNUMBER(INDEX(Haver_M!$B$1:$ZN$1000,MATCH(data!$A151,Haver_M!$B$1:$B$1000,0),MATCH(data!AZ$1,Haver_M!$B$1:$ZN$1,0))),INDEX(Haver_M!$B$1:$ZN$1000,MATCH(data!$A151,Haver_M!$B$1:$B$1000,0),MATCH(data!AZ$1,Haver_M!$B$1:$ZN$1,0)),"na")</f>
        <v>55.5</v>
      </c>
      <c r="BA151">
        <f>IF(ISNUMBER(INDEX(Haver_M!$B$1:$ZN$1000,MATCH(data!$A151,Haver_M!$B$1:$B$1000,0),MATCH(data!BA$1,Haver_M!$B$1:$ZN$1,0))),INDEX(Haver_M!$B$1:$ZN$1000,MATCH(data!$A151,Haver_M!$B$1:$B$1000,0),MATCH(data!BA$1,Haver_M!$B$1:$ZN$1,0)),"na")</f>
        <v>62.531434884128352</v>
      </c>
      <c r="BB151" t="str">
        <f>IF(ISNUMBER(INDEX(Haver_M!$B$1:$ZN$1000,MATCH(data!$A151,Haver_M!$B$1:$B$1000,0),MATCH(data!BB$1,Haver_M!$B$1:$ZN$1,0))),INDEX(Haver_M!$B$1:$ZN$1000,MATCH(data!$A151,Haver_M!$B$1:$B$1000,0),MATCH(data!BB$1,Haver_M!$B$1:$ZN$1,0)),"")</f>
        <v/>
      </c>
    </row>
    <row r="152" spans="1:54" x14ac:dyDescent="0.25">
      <c r="A152" s="2">
        <v>41121</v>
      </c>
      <c r="B152" t="str">
        <f>IF(ISNUMBER(INDEX(Haver_Q!$B$1:$BD$1000,MATCH(data!$A152,Haver_Q!$B$1:$B$1000,0),MATCH(data!B$1,Haver_Q!$B$1:$BD$1,0))),100*INDEX(Haver_Q!$B$1:$BD$1000,MATCH(data!$A152,Haver_Q!$B$1:$B$1000,0),MATCH(data!B$1,Haver_Q!$B$1:$BD$1,0)),"na")</f>
        <v>na</v>
      </c>
      <c r="C152" t="str">
        <f>IF(ISNUMBER(INDEX(Haver_Q!$B$1:$BD$1000,MATCH(data!$A152,Haver_Q!$B$1:$B$1000,0),MATCH(data!C$1,Haver_Q!$B$1:$BD$1,0))),100*INDEX(Haver_Q!$B$1:$BD$1000,MATCH(data!$A152,Haver_Q!$B$1:$B$1000,0),MATCH(data!C$1,Haver_Q!$B$1:$BD$1,0)),"na")</f>
        <v>na</v>
      </c>
      <c r="D152" t="str">
        <f>IF(ISNUMBER(INDEX(Haver_Q!$B$1:$BD$1000,MATCH(data!$A152,Haver_Q!$B$1:$B$1000,0),MATCH(data!D$1,Haver_Q!$B$1:$BD$1,0))),100*INDEX(Haver_Q!$B$1:$BD$1000,MATCH(data!$A152,Haver_Q!$B$1:$B$1000,0),MATCH(data!D$1,Haver_Q!$B$1:$BD$1,0)),"na")</f>
        <v>na</v>
      </c>
      <c r="E152" t="str">
        <f>IF(ISNUMBER(INDEX(Haver_Q!$B$1:$BD$1000,MATCH(data!$A152,Haver_Q!$B$1:$B$1000,0),MATCH(data!E$1,Haver_Q!$B$1:$BD$1,0))),100*INDEX(Haver_Q!$B$1:$BD$1000,MATCH(data!$A152,Haver_Q!$B$1:$B$1000,0),MATCH(data!E$1,Haver_Q!$B$1:$BD$1,0)),"na")</f>
        <v>na</v>
      </c>
      <c r="F152" t="str">
        <f>IF(ISNUMBER(INDEX(Haver_Q!$B$1:$BD$1000,MATCH(data!$A152,Haver_Q!$B$1:$B$1000,0),MATCH(data!F$1,Haver_Q!$B$1:$BD$1,0))),100*INDEX(Haver_Q!$B$1:$BD$1000,MATCH(data!$A152,Haver_Q!$B$1:$B$1000,0),MATCH(data!F$1,Haver_Q!$B$1:$BD$1,0)),"na")</f>
        <v>na</v>
      </c>
      <c r="G152" t="str">
        <f>IF(ISNUMBER(INDEX(Haver_Q!$B$1:$BD$1000,MATCH(data!$A152,Haver_Q!$B$1:$B$1000,0),MATCH(data!G$1,Haver_Q!$B$1:$BD$1,0))),100*INDEX(Haver_Q!$B$1:$BD$1000,MATCH(data!$A152,Haver_Q!$B$1:$B$1000,0),MATCH(data!G$1,Haver_Q!$B$1:$BD$1,0)),"na")</f>
        <v>na</v>
      </c>
      <c r="H152" t="str">
        <f>IF(ISNUMBER(INDEX(Haver_Q!$B$1:$BD$1000,MATCH(data!$A152,Haver_Q!$B$1:$B$1000,0),MATCH(data!H$1,Haver_Q!$B$1:$BD$1,0))),100*INDEX(Haver_Q!$B$1:$BD$1000,MATCH(data!$A152,Haver_Q!$B$1:$B$1000,0),MATCH(data!H$1,Haver_Q!$B$1:$BD$1,0)),"na")</f>
        <v>na</v>
      </c>
      <c r="I152" s="3">
        <f>IF(ISNUMBER(Bloomberg_m!C168),Bloomberg_m!C168,"na")</f>
        <v>1056</v>
      </c>
      <c r="J152" s="3">
        <f>IF(ISNUMBER(Bloomberg_m!D168),Bloomberg_m!D168,"na")</f>
        <v>2592.67</v>
      </c>
      <c r="K152" s="3">
        <f>IF(ISNUMBER(Bloomberg_m!E168),Bloomberg_m!E168,"na")</f>
        <v>1362.25</v>
      </c>
      <c r="L152" s="3">
        <f>IF(ISNUMBER(Bloomberg_m!L168),Bloomberg_m!L168,"na")</f>
        <v>87.9</v>
      </c>
      <c r="M152">
        <f>IF(ISNUMBER(INDEX(Haver_M!$B$1:$ZN$1000,MATCH(data!$A152,Haver_M!$B$1:$B$1000,0),MATCH(data!M$1,Haver_M!$B$1:$ZN$1,0))),INDEX(Haver_M!$B$1:$ZN$1000,MATCH(data!$A152,Haver_M!$B$1:$B$1000,0),MATCH(data!M$1,Haver_M!$B$1:$ZN$1,0)),"na")</f>
        <v>4.5</v>
      </c>
      <c r="N152">
        <f>IF(ISNUMBER(INDEX(Haver_M!$B$1:$ZN$1000,MATCH(data!$A152,Haver_M!$B$1:$B$1000,0),MATCH(data!N$1,Haver_M!$B$1:$ZN$1,0))),INDEX(Haver_M!$B$1:$ZN$1000,MATCH(data!$A152,Haver_M!$B$1:$B$1000,0),MATCH(data!N$1,Haver_M!$B$1:$ZN$1,0)),"na")</f>
        <v>5.2957000000000001</v>
      </c>
      <c r="O152">
        <f>IF(ISNUMBER(INDEX(Haver_M!$B$1:$ZN$1000,MATCH(data!$A152,Haver_M!$B$1:$B$1000,0),MATCH(data!O$1,Haver_M!$B$1:$ZN$1,0))),INDEX(Haver_M!$B$1:$ZN$1000,MATCH(data!$A152,Haver_M!$B$1:$B$1000,0),MATCH(data!O$1,Haver_M!$B$1:$ZN$1,0)),"na")</f>
        <v>95.590969999999999</v>
      </c>
      <c r="P152">
        <f>IF(ISNUMBER(INDEX(Haver_M!$B$1:$ZN$1000,MATCH(data!$A152,Haver_M!$B$1:$B$1000,0),MATCH(data!P$1,Haver_M!$B$1:$ZN$1,0))),INDEX(Haver_M!$B$1:$ZN$1000,MATCH(data!$A152,Haver_M!$B$1:$B$1000,0),MATCH(data!P$1,Haver_M!$B$1:$ZN$1,0)),"na")</f>
        <v>79.331000000000003</v>
      </c>
      <c r="Q152">
        <f>IF(ISNUMBER(INDEX(Haver_M!$B$1:$ZN$1000,MATCH(data!$A152,Haver_M!$B$1:$B$1000,0),MATCH(data!Q$1,Haver_M!$B$1:$ZN$1,0))),INDEX(Haver_M!$B$1:$ZN$1000,MATCH(data!$A152,Haver_M!$B$1:$B$1000,0),MATCH(data!Q$1,Haver_M!$B$1:$ZN$1,0)),"na")</f>
        <v>82.488900000000001</v>
      </c>
      <c r="R152">
        <f>IF(ISNUMBER(INDEX(Haver_M!$B$1:$ZN$1000,MATCH(data!$A152,Haver_M!$B$1:$B$1000,0),MATCH(data!R$1,Haver_M!$B$1:$ZN$1,0))),INDEX(Haver_M!$B$1:$ZN$1000,MATCH(data!$A152,Haver_M!$B$1:$B$1000,0),MATCH(data!R$1,Haver_M!$B$1:$ZN$1,0)),"na")</f>
        <v>101.9635</v>
      </c>
      <c r="S152">
        <f>IF(ISNUMBER(INDEX(Haver_M!$B$1:$ZN$1000,MATCH(data!$A152,Haver_M!$B$1:$B$1000,0),MATCH(data!S$1,Haver_M!$B$1:$ZN$1,0))),INDEX(Haver_M!$B$1:$ZN$1000,MATCH(data!$A152,Haver_M!$B$1:$B$1000,0),MATCH(data!S$1,Haver_M!$B$1:$ZN$1,0)),"na")</f>
        <v>100.74509999999999</v>
      </c>
      <c r="T152">
        <f>IF(ISNUMBER(INDEX(Haver_M!$B$1:$ZN$1000,MATCH(data!$A152,Haver_M!$B$1:$B$1000,0),MATCH(data!T$1,Haver_M!$B$1:$ZN$1,0))),INDEX(Haver_M!$B$1:$ZN$1000,MATCH(data!$A152,Haver_M!$B$1:$B$1000,0),MATCH(data!T$1,Haver_M!$B$1:$ZN$1,0)),"na")</f>
        <v>99.910600000000002</v>
      </c>
      <c r="U152">
        <f>IF(ISNUMBER(INDEX(Haver_M!$B$1:$ZN$1000,MATCH(data!$A152,Haver_M!$B$1:$B$1000,0),MATCH(data!U$1,Haver_M!$B$1:$ZN$1,0))),INDEX(Haver_M!$B$1:$ZN$1000,MATCH(data!$A152,Haver_M!$B$1:$B$1000,0),MATCH(data!U$1,Haver_M!$B$1:$ZN$1,0)),"na")</f>
        <v>106.2889</v>
      </c>
      <c r="V152">
        <f>IF(ISNUMBER(INDEX(Haver_M!$B$1:$ZN$1000,MATCH(data!$A152,Haver_M!$B$1:$B$1000,0),MATCH(data!V$1,Haver_M!$B$1:$ZN$1,0))),INDEX(Haver_M!$B$1:$ZN$1000,MATCH(data!$A152,Haver_M!$B$1:$B$1000,0),MATCH(data!V$1,Haver_M!$B$1:$ZN$1,0)),"na")</f>
        <v>100.1246</v>
      </c>
      <c r="W152">
        <f>IF(ISNUMBER(INDEX(Haver_M!$B$1:$ZN$1000,MATCH(data!$A152,Haver_M!$B$1:$B$1000,0),MATCH(data!W$1,Haver_M!$B$1:$ZN$1,0))),INDEX(Haver_M!$B$1:$ZN$1000,MATCH(data!$A152,Haver_M!$B$1:$B$1000,0),MATCH(data!W$1,Haver_M!$B$1:$ZN$1,0)),"na")</f>
        <v>4.74</v>
      </c>
      <c r="X152">
        <f>IF(ISNUMBER(INDEX(Haver_M!$B$1:$ZN$1000,MATCH(data!$A152,Haver_M!$B$1:$B$1000,0),MATCH(data!X$1,Haver_M!$B$1:$ZN$1,0))),INDEX(Haver_M!$B$1:$ZN$1000,MATCH(data!$A152,Haver_M!$B$1:$B$1000,0),MATCH(data!X$1,Haver_M!$B$1:$ZN$1,0)),"na")</f>
        <v>100.17</v>
      </c>
      <c r="Y152">
        <f>IF(ISNUMBER(INDEX(Haver_M!$B$1:$ZN$1000,MATCH(data!$A152,Haver_M!$B$1:$B$1000,0),MATCH(data!Y$1,Haver_M!$B$1:$ZN$1,0))),INDEX(Haver_M!$B$1:$ZN$1000,MATCH(data!$A152,Haver_M!$B$1:$B$1000,0),MATCH(data!Y$1,Haver_M!$B$1:$ZN$1,0)),"na")</f>
        <v>100.13</v>
      </c>
      <c r="Z152">
        <f>IF(ISNUMBER(INDEX(Haver_M!$B$1:$ZN$1000,MATCH(data!$A152,Haver_M!$B$1:$B$1000,0),MATCH(data!Z$1,Haver_M!$B$1:$ZN$1,0))),INDEX(Haver_M!$B$1:$ZN$1000,MATCH(data!$A152,Haver_M!$B$1:$B$1000,0),MATCH(data!Z$1,Haver_M!$B$1:$ZN$1,0)),"na")</f>
        <v>98.799199999999999</v>
      </c>
      <c r="AA152">
        <f>IF(ISNUMBER(INDEX(Haver_M!$B$1:$ZN$1000,MATCH(data!$A152,Haver_M!$B$1:$B$1000,0),MATCH(data!AA$1,Haver_M!$B$1:$ZN$1,0))),INDEX(Haver_M!$B$1:$ZN$1000,MATCH(data!$A152,Haver_M!$B$1:$B$1000,0),MATCH(data!AA$1,Haver_M!$B$1:$ZN$1,0)),"na")</f>
        <v>101.1628</v>
      </c>
      <c r="AB152">
        <f>IF(ISNUMBER(INDEX(Haver_M!$B$1:$ZN$1000,MATCH(data!$A152,Haver_M!$B$1:$B$1000,0),MATCH(data!AB$1,Haver_M!$B$1:$ZN$1,0))),INDEX(Haver_M!$B$1:$ZN$1000,MATCH(data!$A152,Haver_M!$B$1:$B$1000,0),MATCH(data!AB$1,Haver_M!$B$1:$ZN$1,0)),"na")</f>
        <v>30306.799999999999</v>
      </c>
      <c r="AC152">
        <f>IF(ISNUMBER(INDEX(Haver_M!$B$1:$ZN$1000,MATCH(data!$A152,Haver_M!$B$1:$B$1000,0),MATCH(data!AC$1,Haver_M!$B$1:$ZN$1,0))),INDEX(Haver_M!$B$1:$ZN$1000,MATCH(data!$A152,Haver_M!$B$1:$B$1000,0),MATCH(data!AC$1,Haver_M!$B$1:$ZN$1,0)),"na")</f>
        <v>30449.599999999999</v>
      </c>
      <c r="AD152">
        <f>IF(ISNUMBER(INDEX(Haver_M!$B$1:$ZN$1000,MATCH(data!$A152,Haver_M!$B$1:$B$1000,0),MATCH(data!AD$1,Haver_M!$B$1:$ZN$1,0))),INDEX(Haver_M!$B$1:$ZN$1000,MATCH(data!$A152,Haver_M!$B$1:$B$1000,0),MATCH(data!AD$1,Haver_M!$B$1:$ZN$1,0)),"na")</f>
        <v>100.42</v>
      </c>
      <c r="AE152">
        <f>IF(ISNUMBER(INDEX(Haver_M!$B$1:$ZN$1000,MATCH(data!$A152,Haver_M!$B$1:$B$1000,0),MATCH(data!AE$1,Haver_M!$B$1:$ZN$1,0))),INDEX(Haver_M!$B$1:$ZN$1000,MATCH(data!$A152,Haver_M!$B$1:$B$1000,0),MATCH(data!AE$1,Haver_M!$B$1:$ZN$1,0)),"na")</f>
        <v>40.299999999999997</v>
      </c>
      <c r="AF152">
        <f>IF(ISNUMBER(INDEX(Haver_M!$B$1:$ZN$1000,MATCH(data!$A152,Haver_M!$B$1:$B$1000,0),MATCH(data!AF$1,Haver_M!$B$1:$ZN$1,0))),INDEX(Haver_M!$B$1:$ZN$1000,MATCH(data!$A152,Haver_M!$B$1:$B$1000,0),MATCH(data!AF$1,Haver_M!$B$1:$ZN$1,0)),"na")</f>
        <v>100.37</v>
      </c>
      <c r="AG152">
        <f>IF(ISNUMBER(INDEX(Haver_M!$B$1:$ZN$1000,MATCH(data!$A152,Haver_M!$B$1:$B$1000,0),MATCH(data!AG$1,Haver_M!$B$1:$ZN$1,0))),INDEX(Haver_M!$B$1:$ZN$1000,MATCH(data!$A152,Haver_M!$B$1:$B$1000,0),MATCH(data!AG$1,Haver_M!$B$1:$ZN$1,0)),"na")</f>
        <v>55.243400000000001</v>
      </c>
      <c r="AH152">
        <f>IF(ISNUMBER(INDEX(Haver_M!$B$1:$ZN$1000,MATCH(data!$A152,Haver_M!$B$1:$B$1000,0),MATCH(data!AH$1,Haver_M!$B$1:$ZN$1,0))),INDEX(Haver_M!$B$1:$ZN$1000,MATCH(data!$A152,Haver_M!$B$1:$B$1000,0),MATCH(data!AH$1,Haver_M!$B$1:$ZN$1,0)),"na")</f>
        <v>56.778700000000001</v>
      </c>
      <c r="AI152">
        <f>IF(ISNUMBER(INDEX(Haver_M!$B$1:$ZN$1000,MATCH(data!$A152,Haver_M!$B$1:$B$1000,0),MATCH(data!AI$1,Haver_M!$B$1:$ZN$1,0))),INDEX(Haver_M!$B$1:$ZN$1000,MATCH(data!$A152,Haver_M!$B$1:$B$1000,0),MATCH(data!AI$1,Haver_M!$B$1:$ZN$1,0)),"na")</f>
        <v>58.037599999999998</v>
      </c>
      <c r="AJ152">
        <f>IF(ISNUMBER(INDEX(Haver_M!$B$1:$ZN$1000,MATCH(data!$A152,Haver_M!$B$1:$B$1000,0),MATCH(data!AJ$1,Haver_M!$B$1:$ZN$1,0))),INDEX(Haver_M!$B$1:$ZN$1000,MATCH(data!$A152,Haver_M!$B$1:$B$1000,0),MATCH(data!AJ$1,Haver_M!$B$1:$ZN$1,0)),"na")</f>
        <v>54.891599999999997</v>
      </c>
      <c r="AK152">
        <f>IF(ISNUMBER(INDEX(Haver_M!$B$1:$ZN$1000,MATCH(data!$A152,Haver_M!$B$1:$B$1000,0),MATCH(data!AK$1,Haver_M!$B$1:$ZN$1,0))),INDEX(Haver_M!$B$1:$ZN$1000,MATCH(data!$A152,Haver_M!$B$1:$B$1000,0),MATCH(data!AK$1,Haver_M!$B$1:$ZN$1,0)),"na")</f>
        <v>48.617600000000003</v>
      </c>
      <c r="AL152">
        <f>IF(ISNUMBER(INDEX(Haver_M!$B$1:$ZN$1000,MATCH(data!$A152,Haver_M!$B$1:$B$1000,0),MATCH(data!AL$1,Haver_M!$B$1:$ZN$1,0))),INDEX(Haver_M!$B$1:$ZN$1000,MATCH(data!$A152,Haver_M!$B$1:$B$1000,0),MATCH(data!AL$1,Haver_M!$B$1:$ZN$1,0)),"na")</f>
        <v>49.517299999999999</v>
      </c>
      <c r="AM152">
        <f>IF(ISNUMBER(INDEX(Haver_M!$B$1:$ZN$1000,MATCH(data!$A152,Haver_M!$B$1:$B$1000,0),MATCH(data!AM$1,Haver_M!$B$1:$ZN$1,0))),INDEX(Haver_M!$B$1:$ZN$1000,MATCH(data!$A152,Haver_M!$B$1:$B$1000,0),MATCH(data!AM$1,Haver_M!$B$1:$ZN$1,0)),"na")</f>
        <v>58.027000000000001</v>
      </c>
      <c r="AN152">
        <f>IF(ISNUMBER(INDEX(Haver_M!$B$1:$ZN$1000,MATCH(data!$A152,Haver_M!$B$1:$B$1000,0),MATCH(data!AN$1,Haver_M!$B$1:$ZN$1,0))),INDEX(Haver_M!$B$1:$ZN$1000,MATCH(data!$A152,Haver_M!$B$1:$B$1000,0),MATCH(data!AN$1,Haver_M!$B$1:$ZN$1,0)),"na")</f>
        <v>57.545900000000003</v>
      </c>
      <c r="AO152">
        <f>IF(ISNUMBER(INDEX(Haver_M!$B$1:$ZN$1000,MATCH(data!$A152,Haver_M!$B$1:$B$1000,0),MATCH(data!AO$1,Haver_M!$B$1:$ZN$1,0))),INDEX(Haver_M!$B$1:$ZN$1000,MATCH(data!$A152,Haver_M!$B$1:$B$1000,0),MATCH(data!AO$1,Haver_M!$B$1:$ZN$1,0)),"na")</f>
        <v>49.517299999999999</v>
      </c>
      <c r="AP152">
        <f>IF(ISNUMBER(INDEX(Haver_M!$B$1:$ZN$1000,MATCH(data!$A152,Haver_M!$B$1:$B$1000,0),MATCH(data!AP$1,Haver_M!$B$1:$ZN$1,0))),INDEX(Haver_M!$B$1:$ZN$1000,MATCH(data!$A152,Haver_M!$B$1:$B$1000,0),MATCH(data!AP$1,Haver_M!$B$1:$ZN$1,0)),"na")</f>
        <v>50.322600000000001</v>
      </c>
      <c r="AQ152">
        <f>IF(ISNUMBER(INDEX(Haver_M!$B$1:$ZN$1000,MATCH(data!$A152,Haver_M!$B$1:$B$1000,0),MATCH(data!AQ$1,Haver_M!$B$1:$ZN$1,0))),INDEX(Haver_M!$B$1:$ZN$1000,MATCH(data!$A152,Haver_M!$B$1:$B$1000,0),MATCH(data!AQ$1,Haver_M!$B$1:$ZN$1,0)),"na")</f>
        <v>53.308799999999998</v>
      </c>
      <c r="AR152">
        <f>IF(ISNUMBER(INDEX(Haver_M!$B$1:$ZN$1000,MATCH(data!$A152,Haver_M!$B$1:$B$1000,0),MATCH(data!AR$1,Haver_M!$B$1:$ZN$1,0))),INDEX(Haver_M!$B$1:$ZN$1000,MATCH(data!$A152,Haver_M!$B$1:$B$1000,0),MATCH(data!AR$1,Haver_M!$B$1:$ZN$1,0)),"na")</f>
        <v>48.9955</v>
      </c>
      <c r="AS152">
        <f>IF(ISNUMBER(INDEX(Haver_M!$B$1:$ZN$1000,MATCH(data!$A152,Haver_M!$B$1:$B$1000,0),MATCH(data!AS$1,Haver_M!$B$1:$ZN$1,0))),INDEX(Haver_M!$B$1:$ZN$1000,MATCH(data!$A152,Haver_M!$B$1:$B$1000,0),MATCH(data!AS$1,Haver_M!$B$1:$ZN$1,0)),"na")</f>
        <v>40583.42</v>
      </c>
      <c r="AT152">
        <f>IF(ISNUMBER(INDEX(Haver_M!$B$1:$ZN$1000,MATCH(data!$A152,Haver_M!$B$1:$B$1000,0),MATCH(data!AT$1,Haver_M!$B$1:$ZN$1,0))),INDEX(Haver_M!$B$1:$ZN$1000,MATCH(data!$A152,Haver_M!$B$1:$B$1000,0),MATCH(data!AT$1,Haver_M!$B$1:$ZN$1,0)),"na")</f>
        <v>98.438000000000002</v>
      </c>
      <c r="AU152">
        <f>IF(ISNUMBER(INDEX(Haver_M!$B$1:$ZN$1000,MATCH(data!$A152,Haver_M!$B$1:$B$1000,0),MATCH(data!AU$1,Haver_M!$B$1:$ZN$1,0))),INDEX(Haver_M!$B$1:$ZN$1000,MATCH(data!$A152,Haver_M!$B$1:$B$1000,0),MATCH(data!AU$1,Haver_M!$B$1:$ZN$1,0)),"na")</f>
        <v>99.141352999999995</v>
      </c>
      <c r="AV152">
        <f>IF(ISNUMBER(INDEX(Haver_M!$B$1:$ZN$1000,MATCH(data!$A152,Haver_M!$B$1:$B$1000,0),MATCH(data!AV$1,Haver_M!$B$1:$ZN$1,0))),INDEX(Haver_M!$B$1:$ZN$1000,MATCH(data!$A152,Haver_M!$B$1:$B$1000,0),MATCH(data!AV$1,Haver_M!$B$1:$ZN$1,0)),"na")</f>
        <v>106.1</v>
      </c>
      <c r="AW152">
        <f>IF(ISNUMBER(INDEX(Haver_M!$B$1:$ZN$1000,MATCH(data!$A152,Haver_M!$B$1:$B$1000,0),MATCH(data!AW$1,Haver_M!$B$1:$ZN$1,0))),INDEX(Haver_M!$B$1:$ZN$1000,MATCH(data!$A152,Haver_M!$B$1:$B$1000,0),MATCH(data!AW$1,Haver_M!$B$1:$ZN$1,0)),"na")</f>
        <v>1061127.0695920771</v>
      </c>
      <c r="AX152">
        <f>IF(ISNUMBER(INDEX(Haver_M!$B$1:$ZN$1000,MATCH(data!$A152,Haver_M!$B$1:$B$1000,0),MATCH(data!AX$1,Haver_M!$B$1:$ZN$1,0))),INDEX(Haver_M!$B$1:$ZN$1000,MATCH(data!$A152,Haver_M!$B$1:$B$1000,0),MATCH(data!AX$1,Haver_M!$B$1:$ZN$1,0)),"na")</f>
        <v>2551</v>
      </c>
      <c r="AY152">
        <f>IF(ISNUMBER(INDEX(Haver_M!$B$1:$ZN$1000,MATCH(data!$A152,Haver_M!$B$1:$B$1000,0),MATCH(data!AY$1,Haver_M!$B$1:$ZN$1,0))),INDEX(Haver_M!$B$1:$ZN$1000,MATCH(data!$A152,Haver_M!$B$1:$B$1000,0),MATCH(data!AY$1,Haver_M!$B$1:$ZN$1,0)),"na")</f>
        <v>1122</v>
      </c>
      <c r="AZ152">
        <f>IF(ISNUMBER(INDEX(Haver_M!$B$1:$ZN$1000,MATCH(data!$A152,Haver_M!$B$1:$B$1000,0),MATCH(data!AZ$1,Haver_M!$B$1:$ZN$1,0))),INDEX(Haver_M!$B$1:$ZN$1000,MATCH(data!$A152,Haver_M!$B$1:$B$1000,0),MATCH(data!AZ$1,Haver_M!$B$1:$ZN$1,0)),"na")</f>
        <v>53.6</v>
      </c>
      <c r="BA152">
        <f>IF(ISNUMBER(INDEX(Haver_M!$B$1:$ZN$1000,MATCH(data!$A152,Haver_M!$B$1:$B$1000,0),MATCH(data!BA$1,Haver_M!$B$1:$ZN$1,0))),INDEX(Haver_M!$B$1:$ZN$1000,MATCH(data!$A152,Haver_M!$B$1:$B$1000,0),MATCH(data!BA$1,Haver_M!$B$1:$ZN$1,0)),"na")</f>
        <v>51.581417797023441</v>
      </c>
      <c r="BB152" t="str">
        <f>IF(ISNUMBER(INDEX(Haver_M!$B$1:$ZN$1000,MATCH(data!$A152,Haver_M!$B$1:$B$1000,0),MATCH(data!BB$1,Haver_M!$B$1:$ZN$1,0))),INDEX(Haver_M!$B$1:$ZN$1000,MATCH(data!$A152,Haver_M!$B$1:$B$1000,0),MATCH(data!BB$1,Haver_M!$B$1:$ZN$1,0)),"")</f>
        <v/>
      </c>
    </row>
    <row r="153" spans="1:54" x14ac:dyDescent="0.25">
      <c r="A153" s="2">
        <v>41152</v>
      </c>
      <c r="B153" t="str">
        <f>IF(ISNUMBER(INDEX(Haver_Q!$B$1:$BD$1000,MATCH(data!$A153,Haver_Q!$B$1:$B$1000,0),MATCH(data!B$1,Haver_Q!$B$1:$BD$1,0))),100*INDEX(Haver_Q!$B$1:$BD$1000,MATCH(data!$A153,Haver_Q!$B$1:$B$1000,0),MATCH(data!B$1,Haver_Q!$B$1:$BD$1,0)),"na")</f>
        <v>na</v>
      </c>
      <c r="C153" t="str">
        <f>IF(ISNUMBER(INDEX(Haver_Q!$B$1:$BD$1000,MATCH(data!$A153,Haver_Q!$B$1:$B$1000,0),MATCH(data!C$1,Haver_Q!$B$1:$BD$1,0))),100*INDEX(Haver_Q!$B$1:$BD$1000,MATCH(data!$A153,Haver_Q!$B$1:$B$1000,0),MATCH(data!C$1,Haver_Q!$B$1:$BD$1,0)),"na")</f>
        <v>na</v>
      </c>
      <c r="D153" t="str">
        <f>IF(ISNUMBER(INDEX(Haver_Q!$B$1:$BD$1000,MATCH(data!$A153,Haver_Q!$B$1:$B$1000,0),MATCH(data!D$1,Haver_Q!$B$1:$BD$1,0))),100*INDEX(Haver_Q!$B$1:$BD$1000,MATCH(data!$A153,Haver_Q!$B$1:$B$1000,0),MATCH(data!D$1,Haver_Q!$B$1:$BD$1,0)),"na")</f>
        <v>na</v>
      </c>
      <c r="E153" t="str">
        <f>IF(ISNUMBER(INDEX(Haver_Q!$B$1:$BD$1000,MATCH(data!$A153,Haver_Q!$B$1:$B$1000,0),MATCH(data!E$1,Haver_Q!$B$1:$BD$1,0))),100*INDEX(Haver_Q!$B$1:$BD$1000,MATCH(data!$A153,Haver_Q!$B$1:$B$1000,0),MATCH(data!E$1,Haver_Q!$B$1:$BD$1,0)),"na")</f>
        <v>na</v>
      </c>
      <c r="F153" t="str">
        <f>IF(ISNUMBER(INDEX(Haver_Q!$B$1:$BD$1000,MATCH(data!$A153,Haver_Q!$B$1:$B$1000,0),MATCH(data!F$1,Haver_Q!$B$1:$BD$1,0))),100*INDEX(Haver_Q!$B$1:$BD$1000,MATCH(data!$A153,Haver_Q!$B$1:$B$1000,0),MATCH(data!F$1,Haver_Q!$B$1:$BD$1,0)),"na")</f>
        <v>na</v>
      </c>
      <c r="G153" t="str">
        <f>IF(ISNUMBER(INDEX(Haver_Q!$B$1:$BD$1000,MATCH(data!$A153,Haver_Q!$B$1:$B$1000,0),MATCH(data!G$1,Haver_Q!$B$1:$BD$1,0))),100*INDEX(Haver_Q!$B$1:$BD$1000,MATCH(data!$A153,Haver_Q!$B$1:$B$1000,0),MATCH(data!G$1,Haver_Q!$B$1:$BD$1,0)),"na")</f>
        <v>na</v>
      </c>
      <c r="H153" t="str">
        <f>IF(ISNUMBER(INDEX(Haver_Q!$B$1:$BD$1000,MATCH(data!$A153,Haver_Q!$B$1:$B$1000,0),MATCH(data!H$1,Haver_Q!$B$1:$BD$1,0))),100*INDEX(Haver_Q!$B$1:$BD$1000,MATCH(data!$A153,Haver_Q!$B$1:$B$1000,0),MATCH(data!H$1,Haver_Q!$B$1:$BD$1,0)),"na")</f>
        <v>na</v>
      </c>
      <c r="I153" s="3">
        <f>IF(ISNUMBER(Bloomberg_m!C169),Bloomberg_m!C169,"na")</f>
        <v>761</v>
      </c>
      <c r="J153" s="3">
        <f>IF(ISNUMBER(Bloomberg_m!D169),Bloomberg_m!D169,"na")</f>
        <v>2532.84</v>
      </c>
      <c r="K153" s="3">
        <f>IF(ISNUMBER(Bloomberg_m!E169),Bloomberg_m!E169,"na")</f>
        <v>1346.28</v>
      </c>
      <c r="L153" s="3">
        <f>IF(ISNUMBER(Bloomberg_m!L169),Bloomberg_m!L169,"na")</f>
        <v>94.11</v>
      </c>
      <c r="M153">
        <f>IF(ISNUMBER(INDEX(Haver_M!$B$1:$ZN$1000,MATCH(data!$A153,Haver_M!$B$1:$B$1000,0),MATCH(data!M$1,Haver_M!$B$1:$ZN$1,0))),INDEX(Haver_M!$B$1:$ZN$1000,MATCH(data!$A153,Haver_M!$B$1:$B$1000,0),MATCH(data!M$1,Haver_M!$B$1:$ZN$1,0)),"na")</f>
        <v>4.5</v>
      </c>
      <c r="N153">
        <f>IF(ISNUMBER(INDEX(Haver_M!$B$1:$ZN$1000,MATCH(data!$A153,Haver_M!$B$1:$B$1000,0),MATCH(data!N$1,Haver_M!$B$1:$ZN$1,0))),INDEX(Haver_M!$B$1:$ZN$1000,MATCH(data!$A153,Haver_M!$B$1:$B$1000,0),MATCH(data!N$1,Haver_M!$B$1:$ZN$1,0)),"na")</f>
        <v>5.3803000000000001</v>
      </c>
      <c r="O153">
        <f>IF(ISNUMBER(INDEX(Haver_M!$B$1:$ZN$1000,MATCH(data!$A153,Haver_M!$B$1:$B$1000,0),MATCH(data!O$1,Haver_M!$B$1:$ZN$1,0))),INDEX(Haver_M!$B$1:$ZN$1000,MATCH(data!$A153,Haver_M!$B$1:$B$1000,0),MATCH(data!O$1,Haver_M!$B$1:$ZN$1,0)),"na")</f>
        <v>96.391379999999998</v>
      </c>
      <c r="P153">
        <f>IF(ISNUMBER(INDEX(Haver_M!$B$1:$ZN$1000,MATCH(data!$A153,Haver_M!$B$1:$B$1000,0),MATCH(data!P$1,Haver_M!$B$1:$ZN$1,0))),INDEX(Haver_M!$B$1:$ZN$1000,MATCH(data!$A153,Haver_M!$B$1:$B$1000,0),MATCH(data!P$1,Haver_M!$B$1:$ZN$1,0)),"na")</f>
        <v>79.600899999999996</v>
      </c>
      <c r="Q153">
        <f>IF(ISNUMBER(INDEX(Haver_M!$B$1:$ZN$1000,MATCH(data!$A153,Haver_M!$B$1:$B$1000,0),MATCH(data!Q$1,Haver_M!$B$1:$ZN$1,0))),INDEX(Haver_M!$B$1:$ZN$1000,MATCH(data!$A153,Haver_M!$B$1:$B$1000,0),MATCH(data!Q$1,Haver_M!$B$1:$ZN$1,0)),"na")</f>
        <v>82.754900000000006</v>
      </c>
      <c r="R153">
        <f>IF(ISNUMBER(INDEX(Haver_M!$B$1:$ZN$1000,MATCH(data!$A153,Haver_M!$B$1:$B$1000,0),MATCH(data!R$1,Haver_M!$B$1:$ZN$1,0))),INDEX(Haver_M!$B$1:$ZN$1000,MATCH(data!$A153,Haver_M!$B$1:$B$1000,0),MATCH(data!R$1,Haver_M!$B$1:$ZN$1,0)),"na")</f>
        <v>100.2449</v>
      </c>
      <c r="S153">
        <f>IF(ISNUMBER(INDEX(Haver_M!$B$1:$ZN$1000,MATCH(data!$A153,Haver_M!$B$1:$B$1000,0),MATCH(data!S$1,Haver_M!$B$1:$ZN$1,0))),INDEX(Haver_M!$B$1:$ZN$1000,MATCH(data!$A153,Haver_M!$B$1:$B$1000,0),MATCH(data!S$1,Haver_M!$B$1:$ZN$1,0)),"na")</f>
        <v>100.64530000000001</v>
      </c>
      <c r="T153">
        <f>IF(ISNUMBER(INDEX(Haver_M!$B$1:$ZN$1000,MATCH(data!$A153,Haver_M!$B$1:$B$1000,0),MATCH(data!T$1,Haver_M!$B$1:$ZN$1,0))),INDEX(Haver_M!$B$1:$ZN$1000,MATCH(data!$A153,Haver_M!$B$1:$B$1000,0),MATCH(data!T$1,Haver_M!$B$1:$ZN$1,0)),"na")</f>
        <v>99.274000000000001</v>
      </c>
      <c r="U153">
        <f>IF(ISNUMBER(INDEX(Haver_M!$B$1:$ZN$1000,MATCH(data!$A153,Haver_M!$B$1:$B$1000,0),MATCH(data!U$1,Haver_M!$B$1:$ZN$1,0))),INDEX(Haver_M!$B$1:$ZN$1000,MATCH(data!$A153,Haver_M!$B$1:$B$1000,0),MATCH(data!U$1,Haver_M!$B$1:$ZN$1,0)),"na")</f>
        <v>102.11020000000001</v>
      </c>
      <c r="V153">
        <f>IF(ISNUMBER(INDEX(Haver_M!$B$1:$ZN$1000,MATCH(data!$A153,Haver_M!$B$1:$B$1000,0),MATCH(data!V$1,Haver_M!$B$1:$ZN$1,0))),INDEX(Haver_M!$B$1:$ZN$1000,MATCH(data!$A153,Haver_M!$B$1:$B$1000,0),MATCH(data!V$1,Haver_M!$B$1:$ZN$1,0)),"na")</f>
        <v>99.157799999999995</v>
      </c>
      <c r="W153">
        <f>IF(ISNUMBER(INDEX(Haver_M!$B$1:$ZN$1000,MATCH(data!$A153,Haver_M!$B$1:$B$1000,0),MATCH(data!W$1,Haver_M!$B$1:$ZN$1,0))),INDEX(Haver_M!$B$1:$ZN$1000,MATCH(data!$A153,Haver_M!$B$1:$B$1000,0),MATCH(data!W$1,Haver_M!$B$1:$ZN$1,0)),"na")</f>
        <v>4.99</v>
      </c>
      <c r="X153">
        <f>IF(ISNUMBER(INDEX(Haver_M!$B$1:$ZN$1000,MATCH(data!$A153,Haver_M!$B$1:$B$1000,0),MATCH(data!X$1,Haver_M!$B$1:$ZN$1,0))),INDEX(Haver_M!$B$1:$ZN$1000,MATCH(data!$A153,Haver_M!$B$1:$B$1000,0),MATCH(data!X$1,Haver_M!$B$1:$ZN$1,0)),"na")</f>
        <v>99.6</v>
      </c>
      <c r="Y153">
        <f>IF(ISNUMBER(INDEX(Haver_M!$B$1:$ZN$1000,MATCH(data!$A153,Haver_M!$B$1:$B$1000,0),MATCH(data!Y$1,Haver_M!$B$1:$ZN$1,0))),INDEX(Haver_M!$B$1:$ZN$1000,MATCH(data!$A153,Haver_M!$B$1:$B$1000,0),MATCH(data!Y$1,Haver_M!$B$1:$ZN$1,0)),"na")</f>
        <v>100.15</v>
      </c>
      <c r="Z153">
        <f>IF(ISNUMBER(INDEX(Haver_M!$B$1:$ZN$1000,MATCH(data!$A153,Haver_M!$B$1:$B$1000,0),MATCH(data!Z$1,Haver_M!$B$1:$ZN$1,0))),INDEX(Haver_M!$B$1:$ZN$1000,MATCH(data!$A153,Haver_M!$B$1:$B$1000,0),MATCH(data!Z$1,Haver_M!$B$1:$ZN$1,0)),"na")</f>
        <v>100.08629999999999</v>
      </c>
      <c r="AA153">
        <f>IF(ISNUMBER(INDEX(Haver_M!$B$1:$ZN$1000,MATCH(data!$A153,Haver_M!$B$1:$B$1000,0),MATCH(data!AA$1,Haver_M!$B$1:$ZN$1,0))),INDEX(Haver_M!$B$1:$ZN$1000,MATCH(data!$A153,Haver_M!$B$1:$B$1000,0),MATCH(data!AA$1,Haver_M!$B$1:$ZN$1,0)),"na")</f>
        <v>101.2647</v>
      </c>
      <c r="AB153">
        <f>IF(ISNUMBER(INDEX(Haver_M!$B$1:$ZN$1000,MATCH(data!$A153,Haver_M!$B$1:$B$1000,0),MATCH(data!AB$1,Haver_M!$B$1:$ZN$1,0))),INDEX(Haver_M!$B$1:$ZN$1000,MATCH(data!$A153,Haver_M!$B$1:$B$1000,0),MATCH(data!AB$1,Haver_M!$B$1:$ZN$1,0)),"na")</f>
        <v>30479.5</v>
      </c>
      <c r="AC153">
        <f>IF(ISNUMBER(INDEX(Haver_M!$B$1:$ZN$1000,MATCH(data!$A153,Haver_M!$B$1:$B$1000,0),MATCH(data!AC$1,Haver_M!$B$1:$ZN$1,0))),INDEX(Haver_M!$B$1:$ZN$1000,MATCH(data!$A153,Haver_M!$B$1:$B$1000,0),MATCH(data!AC$1,Haver_M!$B$1:$ZN$1,0)),"na")</f>
        <v>30137.7</v>
      </c>
      <c r="AD153">
        <f>IF(ISNUMBER(INDEX(Haver_M!$B$1:$ZN$1000,MATCH(data!$A153,Haver_M!$B$1:$B$1000,0),MATCH(data!AD$1,Haver_M!$B$1:$ZN$1,0))),INDEX(Haver_M!$B$1:$ZN$1000,MATCH(data!$A153,Haver_M!$B$1:$B$1000,0),MATCH(data!AD$1,Haver_M!$B$1:$ZN$1,0)),"na")</f>
        <v>100.4</v>
      </c>
      <c r="AE153">
        <f>IF(ISNUMBER(INDEX(Haver_M!$B$1:$ZN$1000,MATCH(data!$A153,Haver_M!$B$1:$B$1000,0),MATCH(data!AE$1,Haver_M!$B$1:$ZN$1,0))),INDEX(Haver_M!$B$1:$ZN$1000,MATCH(data!$A153,Haver_M!$B$1:$B$1000,0),MATCH(data!AE$1,Haver_M!$B$1:$ZN$1,0)),"na")</f>
        <v>40.4</v>
      </c>
      <c r="AF153">
        <f>IF(ISNUMBER(INDEX(Haver_M!$B$1:$ZN$1000,MATCH(data!$A153,Haver_M!$B$1:$B$1000,0),MATCH(data!AF$1,Haver_M!$B$1:$ZN$1,0))),INDEX(Haver_M!$B$1:$ZN$1000,MATCH(data!$A153,Haver_M!$B$1:$B$1000,0),MATCH(data!AF$1,Haver_M!$B$1:$ZN$1,0)),"na")</f>
        <v>100.48</v>
      </c>
      <c r="AG153">
        <f>IF(ISNUMBER(INDEX(Haver_M!$B$1:$ZN$1000,MATCH(data!$A153,Haver_M!$B$1:$B$1000,0),MATCH(data!AG$1,Haver_M!$B$1:$ZN$1,0))),INDEX(Haver_M!$B$1:$ZN$1000,MATCH(data!$A153,Haver_M!$B$1:$B$1000,0),MATCH(data!AG$1,Haver_M!$B$1:$ZN$1,0)),"na")</f>
        <v>55.069400000000002</v>
      </c>
      <c r="AH153">
        <f>IF(ISNUMBER(INDEX(Haver_M!$B$1:$ZN$1000,MATCH(data!$A153,Haver_M!$B$1:$B$1000,0),MATCH(data!AH$1,Haver_M!$B$1:$ZN$1,0))),INDEX(Haver_M!$B$1:$ZN$1000,MATCH(data!$A153,Haver_M!$B$1:$B$1000,0),MATCH(data!AH$1,Haver_M!$B$1:$ZN$1,0)),"na")</f>
        <v>56.740099999999998</v>
      </c>
      <c r="AI153">
        <f>IF(ISNUMBER(INDEX(Haver_M!$B$1:$ZN$1000,MATCH(data!$A153,Haver_M!$B$1:$B$1000,0),MATCH(data!AI$1,Haver_M!$B$1:$ZN$1,0))),INDEX(Haver_M!$B$1:$ZN$1000,MATCH(data!$A153,Haver_M!$B$1:$B$1000,0),MATCH(data!AI$1,Haver_M!$B$1:$ZN$1,0)),"na")</f>
        <v>58.492899999999999</v>
      </c>
      <c r="AJ153">
        <f>IF(ISNUMBER(INDEX(Haver_M!$B$1:$ZN$1000,MATCH(data!$A153,Haver_M!$B$1:$B$1000,0),MATCH(data!AJ$1,Haver_M!$B$1:$ZN$1,0))),INDEX(Haver_M!$B$1:$ZN$1000,MATCH(data!$A153,Haver_M!$B$1:$B$1000,0),MATCH(data!AJ$1,Haver_M!$B$1:$ZN$1,0)),"na")</f>
        <v>52.973700000000001</v>
      </c>
      <c r="AK153">
        <f>IF(ISNUMBER(INDEX(Haver_M!$B$1:$ZN$1000,MATCH(data!$A153,Haver_M!$B$1:$B$1000,0),MATCH(data!AK$1,Haver_M!$B$1:$ZN$1,0))),INDEX(Haver_M!$B$1:$ZN$1000,MATCH(data!$A153,Haver_M!$B$1:$B$1000,0),MATCH(data!AK$1,Haver_M!$B$1:$ZN$1,0)),"na")</f>
        <v>49.065399999999997</v>
      </c>
      <c r="AL153">
        <f>IF(ISNUMBER(INDEX(Haver_M!$B$1:$ZN$1000,MATCH(data!$A153,Haver_M!$B$1:$B$1000,0),MATCH(data!AL$1,Haver_M!$B$1:$ZN$1,0))),INDEX(Haver_M!$B$1:$ZN$1000,MATCH(data!$A153,Haver_M!$B$1:$B$1000,0),MATCH(data!AL$1,Haver_M!$B$1:$ZN$1,0)),"na")</f>
        <v>51.015999999999998</v>
      </c>
      <c r="AM153">
        <f>IF(ISNUMBER(INDEX(Haver_M!$B$1:$ZN$1000,MATCH(data!$A153,Haver_M!$B$1:$B$1000,0),MATCH(data!AM$1,Haver_M!$B$1:$ZN$1,0))),INDEX(Haver_M!$B$1:$ZN$1000,MATCH(data!$A153,Haver_M!$B$1:$B$1000,0),MATCH(data!AM$1,Haver_M!$B$1:$ZN$1,0)),"na")</f>
        <v>56.216000000000001</v>
      </c>
      <c r="AN153">
        <f>IF(ISNUMBER(INDEX(Haver_M!$B$1:$ZN$1000,MATCH(data!$A153,Haver_M!$B$1:$B$1000,0),MATCH(data!AN$1,Haver_M!$B$1:$ZN$1,0))),INDEX(Haver_M!$B$1:$ZN$1000,MATCH(data!$A153,Haver_M!$B$1:$B$1000,0),MATCH(data!AN$1,Haver_M!$B$1:$ZN$1,0)),"na")</f>
        <v>58.5184</v>
      </c>
      <c r="AO153">
        <f>IF(ISNUMBER(INDEX(Haver_M!$B$1:$ZN$1000,MATCH(data!$A153,Haver_M!$B$1:$B$1000,0),MATCH(data!AO$1,Haver_M!$B$1:$ZN$1,0))),INDEX(Haver_M!$B$1:$ZN$1000,MATCH(data!$A153,Haver_M!$B$1:$B$1000,0),MATCH(data!AO$1,Haver_M!$B$1:$ZN$1,0)),"na")</f>
        <v>51.015999999999998</v>
      </c>
      <c r="AP153">
        <f>IF(ISNUMBER(INDEX(Haver_M!$B$1:$ZN$1000,MATCH(data!$A153,Haver_M!$B$1:$B$1000,0),MATCH(data!AP$1,Haver_M!$B$1:$ZN$1,0))),INDEX(Haver_M!$B$1:$ZN$1000,MATCH(data!$A153,Haver_M!$B$1:$B$1000,0),MATCH(data!AP$1,Haver_M!$B$1:$ZN$1,0)),"na")</f>
        <v>50.387</v>
      </c>
      <c r="AQ153">
        <f>IF(ISNUMBER(INDEX(Haver_M!$B$1:$ZN$1000,MATCH(data!$A153,Haver_M!$B$1:$B$1000,0),MATCH(data!AQ$1,Haver_M!$B$1:$ZN$1,0))),INDEX(Haver_M!$B$1:$ZN$1000,MATCH(data!$A153,Haver_M!$B$1:$B$1000,0),MATCH(data!AQ$1,Haver_M!$B$1:$ZN$1,0)),"na")</f>
        <v>50.910600000000002</v>
      </c>
      <c r="AR153">
        <f>IF(ISNUMBER(INDEX(Haver_M!$B$1:$ZN$1000,MATCH(data!$A153,Haver_M!$B$1:$B$1000,0),MATCH(data!AR$1,Haver_M!$B$1:$ZN$1,0))),INDEX(Haver_M!$B$1:$ZN$1000,MATCH(data!$A153,Haver_M!$B$1:$B$1000,0),MATCH(data!AR$1,Haver_M!$B$1:$ZN$1,0)),"na")</f>
        <v>48.225700000000003</v>
      </c>
      <c r="AS153">
        <f>IF(ISNUMBER(INDEX(Haver_M!$B$1:$ZN$1000,MATCH(data!$A153,Haver_M!$B$1:$B$1000,0),MATCH(data!AS$1,Haver_M!$B$1:$ZN$1,0))),INDEX(Haver_M!$B$1:$ZN$1000,MATCH(data!$A153,Haver_M!$B$1:$B$1000,0),MATCH(data!AS$1,Haver_M!$B$1:$ZN$1,0)),"na")</f>
        <v>40429.49</v>
      </c>
      <c r="AT153">
        <f>IF(ISNUMBER(INDEX(Haver_M!$B$1:$ZN$1000,MATCH(data!$A153,Haver_M!$B$1:$B$1000,0),MATCH(data!AT$1,Haver_M!$B$1:$ZN$1,0))),INDEX(Haver_M!$B$1:$ZN$1000,MATCH(data!$A153,Haver_M!$B$1:$B$1000,0),MATCH(data!AT$1,Haver_M!$B$1:$ZN$1,0)),"na")</f>
        <v>98.45</v>
      </c>
      <c r="AU153">
        <f>IF(ISNUMBER(INDEX(Haver_M!$B$1:$ZN$1000,MATCH(data!$A153,Haver_M!$B$1:$B$1000,0),MATCH(data!AU$1,Haver_M!$B$1:$ZN$1,0))),INDEX(Haver_M!$B$1:$ZN$1000,MATCH(data!$A153,Haver_M!$B$1:$B$1000,0),MATCH(data!AU$1,Haver_M!$B$1:$ZN$1,0)),"na")</f>
        <v>98.656233999999998</v>
      </c>
      <c r="AV153">
        <f>IF(ISNUMBER(INDEX(Haver_M!$B$1:$ZN$1000,MATCH(data!$A153,Haver_M!$B$1:$B$1000,0),MATCH(data!AV$1,Haver_M!$B$1:$ZN$1,0))),INDEX(Haver_M!$B$1:$ZN$1000,MATCH(data!$A153,Haver_M!$B$1:$B$1000,0),MATCH(data!AV$1,Haver_M!$B$1:$ZN$1,0)),"na")</f>
        <v>103.1</v>
      </c>
      <c r="AW153">
        <f>IF(ISNUMBER(INDEX(Haver_M!$B$1:$ZN$1000,MATCH(data!$A153,Haver_M!$B$1:$B$1000,0),MATCH(data!AW$1,Haver_M!$B$1:$ZN$1,0))),INDEX(Haver_M!$B$1:$ZN$1000,MATCH(data!$A153,Haver_M!$B$1:$B$1000,0),MATCH(data!AW$1,Haver_M!$B$1:$ZN$1,0)),"na")</f>
        <v>1022220.4279410488</v>
      </c>
      <c r="AX153">
        <f>IF(ISNUMBER(INDEX(Haver_M!$B$1:$ZN$1000,MATCH(data!$A153,Haver_M!$B$1:$B$1000,0),MATCH(data!AX$1,Haver_M!$B$1:$ZN$1,0))),INDEX(Haver_M!$B$1:$ZN$1000,MATCH(data!$A153,Haver_M!$B$1:$B$1000,0),MATCH(data!AX$1,Haver_M!$B$1:$ZN$1,0)),"na")</f>
        <v>2558</v>
      </c>
      <c r="AY153">
        <f>IF(ISNUMBER(INDEX(Haver_M!$B$1:$ZN$1000,MATCH(data!$A153,Haver_M!$B$1:$B$1000,0),MATCH(data!AY$1,Haver_M!$B$1:$ZN$1,0))),INDEX(Haver_M!$B$1:$ZN$1000,MATCH(data!$A153,Haver_M!$B$1:$B$1000,0),MATCH(data!AY$1,Haver_M!$B$1:$ZN$1,0)),"na")</f>
        <v>1346</v>
      </c>
      <c r="AZ153">
        <f>IF(ISNUMBER(INDEX(Haver_M!$B$1:$ZN$1000,MATCH(data!$A153,Haver_M!$B$1:$B$1000,0),MATCH(data!AZ$1,Haver_M!$B$1:$ZN$1,0))),INDEX(Haver_M!$B$1:$ZN$1000,MATCH(data!$A153,Haver_M!$B$1:$B$1000,0),MATCH(data!AZ$1,Haver_M!$B$1:$ZN$1,0)),"na")</f>
        <v>54.4</v>
      </c>
      <c r="BA153">
        <f>IF(ISNUMBER(INDEX(Haver_M!$B$1:$ZN$1000,MATCH(data!$A153,Haver_M!$B$1:$B$1000,0),MATCH(data!BA$1,Haver_M!$B$1:$ZN$1,0))),INDEX(Haver_M!$B$1:$ZN$1000,MATCH(data!$A153,Haver_M!$B$1:$B$1000,0),MATCH(data!BA$1,Haver_M!$B$1:$ZN$1,0)),"na")</f>
        <v>45.615398348904918</v>
      </c>
      <c r="BB153" t="str">
        <f>IF(ISNUMBER(INDEX(Haver_M!$B$1:$ZN$1000,MATCH(data!$A153,Haver_M!$B$1:$B$1000,0),MATCH(data!BB$1,Haver_M!$B$1:$ZN$1,0))),INDEX(Haver_M!$B$1:$ZN$1000,MATCH(data!$A153,Haver_M!$B$1:$B$1000,0),MATCH(data!BB$1,Haver_M!$B$1:$ZN$1,0)),"")</f>
        <v/>
      </c>
    </row>
    <row r="154" spans="1:54" x14ac:dyDescent="0.25">
      <c r="A154" s="2">
        <v>41182</v>
      </c>
      <c r="B154">
        <f>IF(ISNUMBER(INDEX(Haver_Q!$B$1:$BD$1000,MATCH(data!$A154,Haver_Q!$B$1:$B$1000,0),MATCH(data!B$1,Haver_Q!$B$1:$BD$1,0))),100*INDEX(Haver_Q!$B$1:$BD$1000,MATCH(data!$A154,Haver_Q!$B$1:$B$1000,0),MATCH(data!B$1,Haver_Q!$B$1:$BD$1,0)),"na")</f>
        <v>2.4767382204295751</v>
      </c>
      <c r="C154">
        <f>IF(ISNUMBER(INDEX(Haver_Q!$B$1:$BD$1000,MATCH(data!$A154,Haver_Q!$B$1:$B$1000,0),MATCH(data!C$1,Haver_Q!$B$1:$BD$1,0))),100*INDEX(Haver_Q!$B$1:$BD$1000,MATCH(data!$A154,Haver_Q!$B$1:$B$1000,0),MATCH(data!C$1,Haver_Q!$B$1:$BD$1,0)),"na")</f>
        <v>-3.1565535922231325</v>
      </c>
      <c r="D154">
        <f>IF(ISNUMBER(INDEX(Haver_Q!$B$1:$BD$1000,MATCH(data!$A154,Haver_Q!$B$1:$B$1000,0),MATCH(data!D$1,Haver_Q!$B$1:$BD$1,0))),100*INDEX(Haver_Q!$B$1:$BD$1000,MATCH(data!$A154,Haver_Q!$B$1:$B$1000,0),MATCH(data!D$1,Haver_Q!$B$1:$BD$1,0)),"na")</f>
        <v>1.7273764723860996</v>
      </c>
      <c r="E154">
        <f>IF(ISNUMBER(INDEX(Haver_Q!$B$1:$BD$1000,MATCH(data!$A154,Haver_Q!$B$1:$B$1000,0),MATCH(data!E$1,Haver_Q!$B$1:$BD$1,0))),100*INDEX(Haver_Q!$B$1:$BD$1000,MATCH(data!$A154,Haver_Q!$B$1:$B$1000,0),MATCH(data!E$1,Haver_Q!$B$1:$BD$1,0)),"na")</f>
        <v>5.4744082024474006</v>
      </c>
      <c r="F154">
        <f>IF(ISNUMBER(INDEX(Haver_Q!$B$1:$BD$1000,MATCH(data!$A154,Haver_Q!$B$1:$B$1000,0),MATCH(data!F$1,Haver_Q!$B$1:$BD$1,0))),100*INDEX(Haver_Q!$B$1:$BD$1000,MATCH(data!$A154,Haver_Q!$B$1:$B$1000,0),MATCH(data!F$1,Haver_Q!$B$1:$BD$1,0)),"na")</f>
        <v>-6.3328945866614639</v>
      </c>
      <c r="G154">
        <f>IF(ISNUMBER(INDEX(Haver_Q!$B$1:$BD$1000,MATCH(data!$A154,Haver_Q!$B$1:$B$1000,0),MATCH(data!G$1,Haver_Q!$B$1:$BD$1,0))),100*INDEX(Haver_Q!$B$1:$BD$1000,MATCH(data!$A154,Haver_Q!$B$1:$B$1000,0),MATCH(data!G$1,Haver_Q!$B$1:$BD$1,0)),"na")</f>
        <v>-2.1642061003359747</v>
      </c>
      <c r="H154">
        <f>IF(ISNUMBER(INDEX(Haver_Q!$B$1:$BD$1000,MATCH(data!$A154,Haver_Q!$B$1:$B$1000,0),MATCH(data!H$1,Haver_Q!$B$1:$BD$1,0))),100*INDEX(Haver_Q!$B$1:$BD$1000,MATCH(data!$A154,Haver_Q!$B$1:$B$1000,0),MATCH(data!H$1,Haver_Q!$B$1:$BD$1,0)),"na")</f>
        <v>293.52427218452914</v>
      </c>
      <c r="I154" s="3">
        <f>IF(ISNUMBER(Bloomberg_m!C170),Bloomberg_m!C170,"na")</f>
        <v>707</v>
      </c>
      <c r="J154" s="3">
        <f>IF(ISNUMBER(Bloomberg_m!D170),Bloomberg_m!D170,"na")</f>
        <v>2251.1799999999998</v>
      </c>
      <c r="K154" s="3">
        <f>IF(ISNUMBER(Bloomberg_m!E170),Bloomberg_m!E170,"na")</f>
        <v>1265.1300000000001</v>
      </c>
      <c r="L154" s="3">
        <f>IF(ISNUMBER(Bloomberg_m!L170),Bloomberg_m!L170,"na")</f>
        <v>94.51</v>
      </c>
      <c r="M154">
        <f>IF(ISNUMBER(INDEX(Haver_M!$B$1:$ZN$1000,MATCH(data!$A154,Haver_M!$B$1:$B$1000,0),MATCH(data!M$1,Haver_M!$B$1:$ZN$1,0))),INDEX(Haver_M!$B$1:$ZN$1000,MATCH(data!$A154,Haver_M!$B$1:$B$1000,0),MATCH(data!M$1,Haver_M!$B$1:$ZN$1,0)),"na")</f>
        <v>4.5</v>
      </c>
      <c r="N154">
        <f>IF(ISNUMBER(INDEX(Haver_M!$B$1:$ZN$1000,MATCH(data!$A154,Haver_M!$B$1:$B$1000,0),MATCH(data!N$1,Haver_M!$B$1:$ZN$1,0))),INDEX(Haver_M!$B$1:$ZN$1000,MATCH(data!$A154,Haver_M!$B$1:$B$1000,0),MATCH(data!N$1,Haver_M!$B$1:$ZN$1,0)),"na")</f>
        <v>5.4633000000000003</v>
      </c>
      <c r="O154">
        <f>IF(ISNUMBER(INDEX(Haver_M!$B$1:$ZN$1000,MATCH(data!$A154,Haver_M!$B$1:$B$1000,0),MATCH(data!O$1,Haver_M!$B$1:$ZN$1,0))),INDEX(Haver_M!$B$1:$ZN$1000,MATCH(data!$A154,Haver_M!$B$1:$B$1000,0),MATCH(data!O$1,Haver_M!$B$1:$ZN$1,0)),"na")</f>
        <v>97.533940000000001</v>
      </c>
      <c r="P154">
        <f>IF(ISNUMBER(INDEX(Haver_M!$B$1:$ZN$1000,MATCH(data!$A154,Haver_M!$B$1:$B$1000,0),MATCH(data!P$1,Haver_M!$B$1:$ZN$1,0))),INDEX(Haver_M!$B$1:$ZN$1000,MATCH(data!$A154,Haver_M!$B$1:$B$1000,0),MATCH(data!P$1,Haver_M!$B$1:$ZN$1,0)),"na")</f>
        <v>79.837000000000003</v>
      </c>
      <c r="Q154">
        <f>IF(ISNUMBER(INDEX(Haver_M!$B$1:$ZN$1000,MATCH(data!$A154,Haver_M!$B$1:$B$1000,0),MATCH(data!Q$1,Haver_M!$B$1:$ZN$1,0))),INDEX(Haver_M!$B$1:$ZN$1000,MATCH(data!$A154,Haver_M!$B$1:$B$1000,0),MATCH(data!Q$1,Haver_M!$B$1:$ZN$1,0)),"na")</f>
        <v>82.865200000000002</v>
      </c>
      <c r="R154">
        <f>IF(ISNUMBER(INDEX(Haver_M!$B$1:$ZN$1000,MATCH(data!$A154,Haver_M!$B$1:$B$1000,0),MATCH(data!R$1,Haver_M!$B$1:$ZN$1,0))),INDEX(Haver_M!$B$1:$ZN$1000,MATCH(data!$A154,Haver_M!$B$1:$B$1000,0),MATCH(data!R$1,Haver_M!$B$1:$ZN$1,0)),"na")</f>
        <v>101.0063</v>
      </c>
      <c r="S154">
        <f>IF(ISNUMBER(INDEX(Haver_M!$B$1:$ZN$1000,MATCH(data!$A154,Haver_M!$B$1:$B$1000,0),MATCH(data!S$1,Haver_M!$B$1:$ZN$1,0))),INDEX(Haver_M!$B$1:$ZN$1000,MATCH(data!$A154,Haver_M!$B$1:$B$1000,0),MATCH(data!S$1,Haver_M!$B$1:$ZN$1,0)),"na")</f>
        <v>100.3334</v>
      </c>
      <c r="T154">
        <f>IF(ISNUMBER(INDEX(Haver_M!$B$1:$ZN$1000,MATCH(data!$A154,Haver_M!$B$1:$B$1000,0),MATCH(data!T$1,Haver_M!$B$1:$ZN$1,0))),INDEX(Haver_M!$B$1:$ZN$1000,MATCH(data!$A154,Haver_M!$B$1:$B$1000,0),MATCH(data!T$1,Haver_M!$B$1:$ZN$1,0)),"na")</f>
        <v>99.396299999999997</v>
      </c>
      <c r="U154">
        <f>IF(ISNUMBER(INDEX(Haver_M!$B$1:$ZN$1000,MATCH(data!$A154,Haver_M!$B$1:$B$1000,0),MATCH(data!U$1,Haver_M!$B$1:$ZN$1,0))),INDEX(Haver_M!$B$1:$ZN$1000,MATCH(data!$A154,Haver_M!$B$1:$B$1000,0),MATCH(data!U$1,Haver_M!$B$1:$ZN$1,0)),"na")</f>
        <v>103.60890000000001</v>
      </c>
      <c r="V154">
        <f>IF(ISNUMBER(INDEX(Haver_M!$B$1:$ZN$1000,MATCH(data!$A154,Haver_M!$B$1:$B$1000,0),MATCH(data!V$1,Haver_M!$B$1:$ZN$1,0))),INDEX(Haver_M!$B$1:$ZN$1000,MATCH(data!$A154,Haver_M!$B$1:$B$1000,0),MATCH(data!V$1,Haver_M!$B$1:$ZN$1,0)),"na")</f>
        <v>100.7894</v>
      </c>
      <c r="W154">
        <f>IF(ISNUMBER(INDEX(Haver_M!$B$1:$ZN$1000,MATCH(data!$A154,Haver_M!$B$1:$B$1000,0),MATCH(data!W$1,Haver_M!$B$1:$ZN$1,0))),INDEX(Haver_M!$B$1:$ZN$1000,MATCH(data!$A154,Haver_M!$B$1:$B$1000,0),MATCH(data!W$1,Haver_M!$B$1:$ZN$1,0)),"na")</f>
        <v>4.6500000000000004</v>
      </c>
      <c r="X154">
        <f>IF(ISNUMBER(INDEX(Haver_M!$B$1:$ZN$1000,MATCH(data!$A154,Haver_M!$B$1:$B$1000,0),MATCH(data!X$1,Haver_M!$B$1:$ZN$1,0))),INDEX(Haver_M!$B$1:$ZN$1000,MATCH(data!$A154,Haver_M!$B$1:$B$1000,0),MATCH(data!X$1,Haver_M!$B$1:$ZN$1,0)),"na")</f>
        <v>99.68</v>
      </c>
      <c r="Y154">
        <f>IF(ISNUMBER(INDEX(Haver_M!$B$1:$ZN$1000,MATCH(data!$A154,Haver_M!$B$1:$B$1000,0),MATCH(data!Y$1,Haver_M!$B$1:$ZN$1,0))),INDEX(Haver_M!$B$1:$ZN$1000,MATCH(data!$A154,Haver_M!$B$1:$B$1000,0),MATCH(data!Y$1,Haver_M!$B$1:$ZN$1,0)),"na")</f>
        <v>100.2</v>
      </c>
      <c r="Z154">
        <f>IF(ISNUMBER(INDEX(Haver_M!$B$1:$ZN$1000,MATCH(data!$A154,Haver_M!$B$1:$B$1000,0),MATCH(data!Z$1,Haver_M!$B$1:$ZN$1,0))),INDEX(Haver_M!$B$1:$ZN$1000,MATCH(data!$A154,Haver_M!$B$1:$B$1000,0),MATCH(data!Z$1,Haver_M!$B$1:$ZN$1,0)),"na")</f>
        <v>101.4449</v>
      </c>
      <c r="AA154">
        <f>IF(ISNUMBER(INDEX(Haver_M!$B$1:$ZN$1000,MATCH(data!$A154,Haver_M!$B$1:$B$1000,0),MATCH(data!AA$1,Haver_M!$B$1:$ZN$1,0))),INDEX(Haver_M!$B$1:$ZN$1000,MATCH(data!$A154,Haver_M!$B$1:$B$1000,0),MATCH(data!AA$1,Haver_M!$B$1:$ZN$1,0)),"na")</f>
        <v>104.2941</v>
      </c>
      <c r="AB154">
        <f>IF(ISNUMBER(INDEX(Haver_M!$B$1:$ZN$1000,MATCH(data!$A154,Haver_M!$B$1:$B$1000,0),MATCH(data!AB$1,Haver_M!$B$1:$ZN$1,0))),INDEX(Haver_M!$B$1:$ZN$1000,MATCH(data!$A154,Haver_M!$B$1:$B$1000,0),MATCH(data!AB$1,Haver_M!$B$1:$ZN$1,0)),"na")</f>
        <v>30497.4</v>
      </c>
      <c r="AC154">
        <f>IF(ISNUMBER(INDEX(Haver_M!$B$1:$ZN$1000,MATCH(data!$A154,Haver_M!$B$1:$B$1000,0),MATCH(data!AC$1,Haver_M!$B$1:$ZN$1,0))),INDEX(Haver_M!$B$1:$ZN$1000,MATCH(data!$A154,Haver_M!$B$1:$B$1000,0),MATCH(data!AC$1,Haver_M!$B$1:$ZN$1,0)),"na")</f>
        <v>30671.200000000001</v>
      </c>
      <c r="AD154">
        <f>IF(ISNUMBER(INDEX(Haver_M!$B$1:$ZN$1000,MATCH(data!$A154,Haver_M!$B$1:$B$1000,0),MATCH(data!AD$1,Haver_M!$B$1:$ZN$1,0))),INDEX(Haver_M!$B$1:$ZN$1000,MATCH(data!$A154,Haver_M!$B$1:$B$1000,0),MATCH(data!AD$1,Haver_M!$B$1:$ZN$1,0)),"na")</f>
        <v>100.38</v>
      </c>
      <c r="AE154">
        <f>IF(ISNUMBER(INDEX(Haver_M!$B$1:$ZN$1000,MATCH(data!$A154,Haver_M!$B$1:$B$1000,0),MATCH(data!AE$1,Haver_M!$B$1:$ZN$1,0))),INDEX(Haver_M!$B$1:$ZN$1000,MATCH(data!$A154,Haver_M!$B$1:$B$1000,0),MATCH(data!AE$1,Haver_M!$B$1:$ZN$1,0)),"na")</f>
        <v>39</v>
      </c>
      <c r="AF154">
        <f>IF(ISNUMBER(INDEX(Haver_M!$B$1:$ZN$1000,MATCH(data!$A154,Haver_M!$B$1:$B$1000,0),MATCH(data!AF$1,Haver_M!$B$1:$ZN$1,0))),INDEX(Haver_M!$B$1:$ZN$1000,MATCH(data!$A154,Haver_M!$B$1:$B$1000,0),MATCH(data!AF$1,Haver_M!$B$1:$ZN$1,0)),"na")</f>
        <v>100.63</v>
      </c>
      <c r="AG154">
        <f>IF(ISNUMBER(INDEX(Haver_M!$B$1:$ZN$1000,MATCH(data!$A154,Haver_M!$B$1:$B$1000,0),MATCH(data!AG$1,Haver_M!$B$1:$ZN$1,0))),INDEX(Haver_M!$B$1:$ZN$1000,MATCH(data!$A154,Haver_M!$B$1:$B$1000,0),MATCH(data!AG$1,Haver_M!$B$1:$ZN$1,0)),"na")</f>
        <v>54.444000000000003</v>
      </c>
      <c r="AH154">
        <f>IF(ISNUMBER(INDEX(Haver_M!$B$1:$ZN$1000,MATCH(data!$A154,Haver_M!$B$1:$B$1000,0),MATCH(data!AH$1,Haver_M!$B$1:$ZN$1,0))),INDEX(Haver_M!$B$1:$ZN$1000,MATCH(data!$A154,Haver_M!$B$1:$B$1000,0),MATCH(data!AH$1,Haver_M!$B$1:$ZN$1,0)),"na")</f>
        <v>57.325000000000003</v>
      </c>
      <c r="AI154">
        <f>IF(ISNUMBER(INDEX(Haver_M!$B$1:$ZN$1000,MATCH(data!$A154,Haver_M!$B$1:$B$1000,0),MATCH(data!AI$1,Haver_M!$B$1:$ZN$1,0))),INDEX(Haver_M!$B$1:$ZN$1000,MATCH(data!$A154,Haver_M!$B$1:$B$1000,0),MATCH(data!AI$1,Haver_M!$B$1:$ZN$1,0)),"na")</f>
        <v>56.762799999999999</v>
      </c>
      <c r="AJ154">
        <f>IF(ISNUMBER(INDEX(Haver_M!$B$1:$ZN$1000,MATCH(data!$A154,Haver_M!$B$1:$B$1000,0),MATCH(data!AJ$1,Haver_M!$B$1:$ZN$1,0))),INDEX(Haver_M!$B$1:$ZN$1000,MATCH(data!$A154,Haver_M!$B$1:$B$1000,0),MATCH(data!AJ$1,Haver_M!$B$1:$ZN$1,0)),"na")</f>
        <v>53.071100000000001</v>
      </c>
      <c r="AK154">
        <f>IF(ISNUMBER(INDEX(Haver_M!$B$1:$ZN$1000,MATCH(data!$A154,Haver_M!$B$1:$B$1000,0),MATCH(data!AK$1,Haver_M!$B$1:$ZN$1,0))),INDEX(Haver_M!$B$1:$ZN$1000,MATCH(data!$A154,Haver_M!$B$1:$B$1000,0),MATCH(data!AK$1,Haver_M!$B$1:$ZN$1,0)),"na")</f>
        <v>50</v>
      </c>
      <c r="AL154">
        <f>IF(ISNUMBER(INDEX(Haver_M!$B$1:$ZN$1000,MATCH(data!$A154,Haver_M!$B$1:$B$1000,0),MATCH(data!AL$1,Haver_M!$B$1:$ZN$1,0))),INDEX(Haver_M!$B$1:$ZN$1000,MATCH(data!$A154,Haver_M!$B$1:$B$1000,0),MATCH(data!AL$1,Haver_M!$B$1:$ZN$1,0)),"na")</f>
        <v>49.697000000000003</v>
      </c>
      <c r="AM154">
        <f>IF(ISNUMBER(INDEX(Haver_M!$B$1:$ZN$1000,MATCH(data!$A154,Haver_M!$B$1:$B$1000,0),MATCH(data!AM$1,Haver_M!$B$1:$ZN$1,0))),INDEX(Haver_M!$B$1:$ZN$1000,MATCH(data!$A154,Haver_M!$B$1:$B$1000,0),MATCH(data!AM$1,Haver_M!$B$1:$ZN$1,0)),"na")</f>
        <v>58.945700000000002</v>
      </c>
      <c r="AN154">
        <f>IF(ISNUMBER(INDEX(Haver_M!$B$1:$ZN$1000,MATCH(data!$A154,Haver_M!$B$1:$B$1000,0),MATCH(data!AN$1,Haver_M!$B$1:$ZN$1,0))),INDEX(Haver_M!$B$1:$ZN$1000,MATCH(data!$A154,Haver_M!$B$1:$B$1000,0),MATCH(data!AN$1,Haver_M!$B$1:$ZN$1,0)),"na")</f>
        <v>55.88</v>
      </c>
      <c r="AO154">
        <f>IF(ISNUMBER(INDEX(Haver_M!$B$1:$ZN$1000,MATCH(data!$A154,Haver_M!$B$1:$B$1000,0),MATCH(data!AO$1,Haver_M!$B$1:$ZN$1,0))),INDEX(Haver_M!$B$1:$ZN$1000,MATCH(data!$A154,Haver_M!$B$1:$B$1000,0),MATCH(data!AO$1,Haver_M!$B$1:$ZN$1,0)),"na")</f>
        <v>49.697000000000003</v>
      </c>
      <c r="AP154">
        <f>IF(ISNUMBER(INDEX(Haver_M!$B$1:$ZN$1000,MATCH(data!$A154,Haver_M!$B$1:$B$1000,0),MATCH(data!AP$1,Haver_M!$B$1:$ZN$1,0))),INDEX(Haver_M!$B$1:$ZN$1000,MATCH(data!$A154,Haver_M!$B$1:$B$1000,0),MATCH(data!AP$1,Haver_M!$B$1:$ZN$1,0)),"na")</f>
        <v>52.592100000000002</v>
      </c>
      <c r="AQ154">
        <f>IF(ISNUMBER(INDEX(Haver_M!$B$1:$ZN$1000,MATCH(data!$A154,Haver_M!$B$1:$B$1000,0),MATCH(data!AQ$1,Haver_M!$B$1:$ZN$1,0))),INDEX(Haver_M!$B$1:$ZN$1000,MATCH(data!$A154,Haver_M!$B$1:$B$1000,0),MATCH(data!AQ$1,Haver_M!$B$1:$ZN$1,0)),"na")</f>
        <v>53.1633</v>
      </c>
      <c r="AR154">
        <f>IF(ISNUMBER(INDEX(Haver_M!$B$1:$ZN$1000,MATCH(data!$A154,Haver_M!$B$1:$B$1000,0),MATCH(data!AR$1,Haver_M!$B$1:$ZN$1,0))),INDEX(Haver_M!$B$1:$ZN$1000,MATCH(data!$A154,Haver_M!$B$1:$B$1000,0),MATCH(data!AR$1,Haver_M!$B$1:$ZN$1,0)),"na")</f>
        <v>45.736400000000003</v>
      </c>
      <c r="AS154">
        <f>IF(ISNUMBER(INDEX(Haver_M!$B$1:$ZN$1000,MATCH(data!$A154,Haver_M!$B$1:$B$1000,0),MATCH(data!AS$1,Haver_M!$B$1:$ZN$1,0))),INDEX(Haver_M!$B$1:$ZN$1000,MATCH(data!$A154,Haver_M!$B$1:$B$1000,0),MATCH(data!AS$1,Haver_M!$B$1:$ZN$1,0)),"na")</f>
        <v>40312.129999999997</v>
      </c>
      <c r="AT154">
        <f>IF(ISNUMBER(INDEX(Haver_M!$B$1:$ZN$1000,MATCH(data!$A154,Haver_M!$B$1:$B$1000,0),MATCH(data!AT$1,Haver_M!$B$1:$ZN$1,0))),INDEX(Haver_M!$B$1:$ZN$1000,MATCH(data!$A154,Haver_M!$B$1:$B$1000,0),MATCH(data!AT$1,Haver_M!$B$1:$ZN$1,0)),"na")</f>
        <v>98.968000000000004</v>
      </c>
      <c r="AU154">
        <f>IF(ISNUMBER(INDEX(Haver_M!$B$1:$ZN$1000,MATCH(data!$A154,Haver_M!$B$1:$B$1000,0),MATCH(data!AU$1,Haver_M!$B$1:$ZN$1,0))),INDEX(Haver_M!$B$1:$ZN$1000,MATCH(data!$A154,Haver_M!$B$1:$B$1000,0),MATCH(data!AU$1,Haver_M!$B$1:$ZN$1,0)),"na")</f>
        <v>98.96284</v>
      </c>
      <c r="AV154">
        <f>IF(ISNUMBER(INDEX(Haver_M!$B$1:$ZN$1000,MATCH(data!$A154,Haver_M!$B$1:$B$1000,0),MATCH(data!AV$1,Haver_M!$B$1:$ZN$1,0))),INDEX(Haver_M!$B$1:$ZN$1000,MATCH(data!$A154,Haver_M!$B$1:$B$1000,0),MATCH(data!AV$1,Haver_M!$B$1:$ZN$1,0)),"na")</f>
        <v>105.1</v>
      </c>
      <c r="AW154">
        <f>IF(ISNUMBER(INDEX(Haver_M!$B$1:$ZN$1000,MATCH(data!$A154,Haver_M!$B$1:$B$1000,0),MATCH(data!AW$1,Haver_M!$B$1:$ZN$1,0))),INDEX(Haver_M!$B$1:$ZN$1000,MATCH(data!$A154,Haver_M!$B$1:$B$1000,0),MATCH(data!AW$1,Haver_M!$B$1:$ZN$1,0)),"na")</f>
        <v>1086847.6485289615</v>
      </c>
      <c r="AX154">
        <f>IF(ISNUMBER(INDEX(Haver_M!$B$1:$ZN$1000,MATCH(data!$A154,Haver_M!$B$1:$B$1000,0),MATCH(data!AX$1,Haver_M!$B$1:$ZN$1,0))),INDEX(Haver_M!$B$1:$ZN$1000,MATCH(data!$A154,Haver_M!$B$1:$B$1000,0),MATCH(data!AX$1,Haver_M!$B$1:$ZN$1,0)),"na")</f>
        <v>2550</v>
      </c>
      <c r="AY154">
        <f>IF(ISNUMBER(INDEX(Haver_M!$B$1:$ZN$1000,MATCH(data!$A154,Haver_M!$B$1:$B$1000,0),MATCH(data!AY$1,Haver_M!$B$1:$ZN$1,0))),INDEX(Haver_M!$B$1:$ZN$1000,MATCH(data!$A154,Haver_M!$B$1:$B$1000,0),MATCH(data!AY$1,Haver_M!$B$1:$ZN$1,0)),"na")</f>
        <v>1339</v>
      </c>
      <c r="AZ154">
        <f>IF(ISNUMBER(INDEX(Haver_M!$B$1:$ZN$1000,MATCH(data!$A154,Haver_M!$B$1:$B$1000,0),MATCH(data!AZ$1,Haver_M!$B$1:$ZN$1,0))),INDEX(Haver_M!$B$1:$ZN$1000,MATCH(data!$A154,Haver_M!$B$1:$B$1000,0),MATCH(data!AZ$1,Haver_M!$B$1:$ZN$1,0)),"na")</f>
        <v>52</v>
      </c>
      <c r="BA154">
        <f>IF(ISNUMBER(INDEX(Haver_M!$B$1:$ZN$1000,MATCH(data!$A154,Haver_M!$B$1:$B$1000,0),MATCH(data!BA$1,Haver_M!$B$1:$ZN$1,0))),INDEX(Haver_M!$B$1:$ZN$1000,MATCH(data!$A154,Haver_M!$B$1:$B$1000,0),MATCH(data!BA$1,Haver_M!$B$1:$ZN$1,0)),"na")</f>
        <v>47.251304692702909</v>
      </c>
      <c r="BB154" t="str">
        <f>IF(ISNUMBER(INDEX(Haver_M!$B$1:$ZN$1000,MATCH(data!$A154,Haver_M!$B$1:$B$1000,0),MATCH(data!BB$1,Haver_M!$B$1:$ZN$1,0))),INDEX(Haver_M!$B$1:$ZN$1000,MATCH(data!$A154,Haver_M!$B$1:$B$1000,0),MATCH(data!BB$1,Haver_M!$B$1:$ZN$1,0)),"")</f>
        <v/>
      </c>
    </row>
    <row r="155" spans="1:54" x14ac:dyDescent="0.25">
      <c r="A155" s="2">
        <v>41213</v>
      </c>
      <c r="B155" t="str">
        <f>IF(ISNUMBER(INDEX(Haver_Q!$B$1:$BD$1000,MATCH(data!$A155,Haver_Q!$B$1:$B$1000,0),MATCH(data!B$1,Haver_Q!$B$1:$BD$1,0))),100*INDEX(Haver_Q!$B$1:$BD$1000,MATCH(data!$A155,Haver_Q!$B$1:$B$1000,0),MATCH(data!B$1,Haver_Q!$B$1:$BD$1,0)),"na")</f>
        <v>na</v>
      </c>
      <c r="C155" t="str">
        <f>IF(ISNUMBER(INDEX(Haver_Q!$B$1:$BD$1000,MATCH(data!$A155,Haver_Q!$B$1:$B$1000,0),MATCH(data!C$1,Haver_Q!$B$1:$BD$1,0))),100*INDEX(Haver_Q!$B$1:$BD$1000,MATCH(data!$A155,Haver_Q!$B$1:$B$1000,0),MATCH(data!C$1,Haver_Q!$B$1:$BD$1,0)),"na")</f>
        <v>na</v>
      </c>
      <c r="D155" t="str">
        <f>IF(ISNUMBER(INDEX(Haver_Q!$B$1:$BD$1000,MATCH(data!$A155,Haver_Q!$B$1:$B$1000,0),MATCH(data!D$1,Haver_Q!$B$1:$BD$1,0))),100*INDEX(Haver_Q!$B$1:$BD$1000,MATCH(data!$A155,Haver_Q!$B$1:$B$1000,0),MATCH(data!D$1,Haver_Q!$B$1:$BD$1,0)),"na")</f>
        <v>na</v>
      </c>
      <c r="E155" t="str">
        <f>IF(ISNUMBER(INDEX(Haver_Q!$B$1:$BD$1000,MATCH(data!$A155,Haver_Q!$B$1:$B$1000,0),MATCH(data!E$1,Haver_Q!$B$1:$BD$1,0))),100*INDEX(Haver_Q!$B$1:$BD$1000,MATCH(data!$A155,Haver_Q!$B$1:$B$1000,0),MATCH(data!E$1,Haver_Q!$B$1:$BD$1,0)),"na")</f>
        <v>na</v>
      </c>
      <c r="F155" t="str">
        <f>IF(ISNUMBER(INDEX(Haver_Q!$B$1:$BD$1000,MATCH(data!$A155,Haver_Q!$B$1:$B$1000,0),MATCH(data!F$1,Haver_Q!$B$1:$BD$1,0))),100*INDEX(Haver_Q!$B$1:$BD$1000,MATCH(data!$A155,Haver_Q!$B$1:$B$1000,0),MATCH(data!F$1,Haver_Q!$B$1:$BD$1,0)),"na")</f>
        <v>na</v>
      </c>
      <c r="G155" t="str">
        <f>IF(ISNUMBER(INDEX(Haver_Q!$B$1:$BD$1000,MATCH(data!$A155,Haver_Q!$B$1:$B$1000,0),MATCH(data!G$1,Haver_Q!$B$1:$BD$1,0))),100*INDEX(Haver_Q!$B$1:$BD$1000,MATCH(data!$A155,Haver_Q!$B$1:$B$1000,0),MATCH(data!G$1,Haver_Q!$B$1:$BD$1,0)),"na")</f>
        <v>na</v>
      </c>
      <c r="H155" t="str">
        <f>IF(ISNUMBER(INDEX(Haver_Q!$B$1:$BD$1000,MATCH(data!$A155,Haver_Q!$B$1:$B$1000,0),MATCH(data!H$1,Haver_Q!$B$1:$BD$1,0))),100*INDEX(Haver_Q!$B$1:$BD$1000,MATCH(data!$A155,Haver_Q!$B$1:$B$1000,0),MATCH(data!H$1,Haver_Q!$B$1:$BD$1,0)),"na")</f>
        <v>na</v>
      </c>
      <c r="I155" s="3">
        <f>IF(ISNUMBER(Bloomberg_m!C171),Bloomberg_m!C171,"na")</f>
        <v>952</v>
      </c>
      <c r="J155" s="3">
        <f>IF(ISNUMBER(Bloomberg_m!D171),Bloomberg_m!D171,"na")</f>
        <v>2094.16</v>
      </c>
      <c r="K155" s="3">
        <f>IF(ISNUMBER(Bloomberg_m!E171),Bloomberg_m!E171,"na")</f>
        <v>1202.6300000000001</v>
      </c>
      <c r="L155" s="3">
        <f>IF(ISNUMBER(Bloomberg_m!L171),Bloomberg_m!L171,"na")</f>
        <v>89.52</v>
      </c>
      <c r="M155">
        <f>IF(ISNUMBER(INDEX(Haver_M!$B$1:$ZN$1000,MATCH(data!$A155,Haver_M!$B$1:$B$1000,0),MATCH(data!M$1,Haver_M!$B$1:$ZN$1,0))),INDEX(Haver_M!$B$1:$ZN$1000,MATCH(data!$A155,Haver_M!$B$1:$B$1000,0),MATCH(data!M$1,Haver_M!$B$1:$ZN$1,0)),"na")</f>
        <v>4.5</v>
      </c>
      <c r="N155">
        <f>IF(ISNUMBER(INDEX(Haver_M!$B$1:$ZN$1000,MATCH(data!$A155,Haver_M!$B$1:$B$1000,0),MATCH(data!N$1,Haver_M!$B$1:$ZN$1,0))),INDEX(Haver_M!$B$1:$ZN$1000,MATCH(data!$A155,Haver_M!$B$1:$B$1000,0),MATCH(data!N$1,Haver_M!$B$1:$ZN$1,0)),"na")</f>
        <v>5.3407999999999998</v>
      </c>
      <c r="O155">
        <f>IF(ISNUMBER(INDEX(Haver_M!$B$1:$ZN$1000,MATCH(data!$A155,Haver_M!$B$1:$B$1000,0),MATCH(data!O$1,Haver_M!$B$1:$ZN$1,0))),INDEX(Haver_M!$B$1:$ZN$1000,MATCH(data!$A155,Haver_M!$B$1:$B$1000,0),MATCH(data!O$1,Haver_M!$B$1:$ZN$1,0)),"na")</f>
        <v>97.778409999999994</v>
      </c>
      <c r="P155">
        <f>IF(ISNUMBER(INDEX(Haver_M!$B$1:$ZN$1000,MATCH(data!$A155,Haver_M!$B$1:$B$1000,0),MATCH(data!P$1,Haver_M!$B$1:$ZN$1,0))),INDEX(Haver_M!$B$1:$ZN$1000,MATCH(data!$A155,Haver_M!$B$1:$B$1000,0),MATCH(data!P$1,Haver_M!$B$1:$ZN$1,0)),"na")</f>
        <v>80.085499999999996</v>
      </c>
      <c r="Q155">
        <f>IF(ISNUMBER(INDEX(Haver_M!$B$1:$ZN$1000,MATCH(data!$A155,Haver_M!$B$1:$B$1000,0),MATCH(data!Q$1,Haver_M!$B$1:$ZN$1,0))),INDEX(Haver_M!$B$1:$ZN$1000,MATCH(data!$A155,Haver_M!$B$1:$B$1000,0),MATCH(data!Q$1,Haver_M!$B$1:$ZN$1,0)),"na")</f>
        <v>83.071399999999997</v>
      </c>
      <c r="R155">
        <f>IF(ISNUMBER(INDEX(Haver_M!$B$1:$ZN$1000,MATCH(data!$A155,Haver_M!$B$1:$B$1000,0),MATCH(data!R$1,Haver_M!$B$1:$ZN$1,0))),INDEX(Haver_M!$B$1:$ZN$1000,MATCH(data!$A155,Haver_M!$B$1:$B$1000,0),MATCH(data!R$1,Haver_M!$B$1:$ZN$1,0)),"na")</f>
        <v>99.854200000000006</v>
      </c>
      <c r="S155">
        <f>IF(ISNUMBER(INDEX(Haver_M!$B$1:$ZN$1000,MATCH(data!$A155,Haver_M!$B$1:$B$1000,0),MATCH(data!S$1,Haver_M!$B$1:$ZN$1,0))),INDEX(Haver_M!$B$1:$ZN$1000,MATCH(data!$A155,Haver_M!$B$1:$B$1000,0),MATCH(data!S$1,Haver_M!$B$1:$ZN$1,0)),"na")</f>
        <v>100.3154</v>
      </c>
      <c r="T155">
        <f>IF(ISNUMBER(INDEX(Haver_M!$B$1:$ZN$1000,MATCH(data!$A155,Haver_M!$B$1:$B$1000,0),MATCH(data!T$1,Haver_M!$B$1:$ZN$1,0))),INDEX(Haver_M!$B$1:$ZN$1000,MATCH(data!$A155,Haver_M!$B$1:$B$1000,0),MATCH(data!T$1,Haver_M!$B$1:$ZN$1,0)),"na")</f>
        <v>99.978200000000001</v>
      </c>
      <c r="U155">
        <f>IF(ISNUMBER(INDEX(Haver_M!$B$1:$ZN$1000,MATCH(data!$A155,Haver_M!$B$1:$B$1000,0),MATCH(data!U$1,Haver_M!$B$1:$ZN$1,0))),INDEX(Haver_M!$B$1:$ZN$1000,MATCH(data!$A155,Haver_M!$B$1:$B$1000,0),MATCH(data!U$1,Haver_M!$B$1:$ZN$1,0)),"na")</f>
        <v>101.71080000000001</v>
      </c>
      <c r="V155">
        <f>IF(ISNUMBER(INDEX(Haver_M!$B$1:$ZN$1000,MATCH(data!$A155,Haver_M!$B$1:$B$1000,0),MATCH(data!V$1,Haver_M!$B$1:$ZN$1,0))),INDEX(Haver_M!$B$1:$ZN$1000,MATCH(data!$A155,Haver_M!$B$1:$B$1000,0),MATCH(data!V$1,Haver_M!$B$1:$ZN$1,0)),"na")</f>
        <v>98.357299999999995</v>
      </c>
      <c r="W155">
        <f>IF(ISNUMBER(INDEX(Haver_M!$B$1:$ZN$1000,MATCH(data!$A155,Haver_M!$B$1:$B$1000,0),MATCH(data!W$1,Haver_M!$B$1:$ZN$1,0))),INDEX(Haver_M!$B$1:$ZN$1000,MATCH(data!$A155,Haver_M!$B$1:$B$1000,0),MATCH(data!W$1,Haver_M!$B$1:$ZN$1,0)),"na")</f>
        <v>4.8899999999999997</v>
      </c>
      <c r="X155">
        <f>IF(ISNUMBER(INDEX(Haver_M!$B$1:$ZN$1000,MATCH(data!$A155,Haver_M!$B$1:$B$1000,0),MATCH(data!X$1,Haver_M!$B$1:$ZN$1,0))),INDEX(Haver_M!$B$1:$ZN$1000,MATCH(data!$A155,Haver_M!$B$1:$B$1000,0),MATCH(data!X$1,Haver_M!$B$1:$ZN$1,0)),"na")</f>
        <v>98.28</v>
      </c>
      <c r="Y155">
        <f>IF(ISNUMBER(INDEX(Haver_M!$B$1:$ZN$1000,MATCH(data!$A155,Haver_M!$B$1:$B$1000,0),MATCH(data!Y$1,Haver_M!$B$1:$ZN$1,0))),INDEX(Haver_M!$B$1:$ZN$1000,MATCH(data!$A155,Haver_M!$B$1:$B$1000,0),MATCH(data!Y$1,Haver_M!$B$1:$ZN$1,0)),"na")</f>
        <v>100.27</v>
      </c>
      <c r="Z155">
        <f>IF(ISNUMBER(INDEX(Haver_M!$B$1:$ZN$1000,MATCH(data!$A155,Haver_M!$B$1:$B$1000,0),MATCH(data!Z$1,Haver_M!$B$1:$ZN$1,0))),INDEX(Haver_M!$B$1:$ZN$1000,MATCH(data!$A155,Haver_M!$B$1:$B$1000,0),MATCH(data!Z$1,Haver_M!$B$1:$ZN$1,0)),"na")</f>
        <v>101.14100000000001</v>
      </c>
      <c r="AA155">
        <f>IF(ISNUMBER(INDEX(Haver_M!$B$1:$ZN$1000,MATCH(data!$A155,Haver_M!$B$1:$B$1000,0),MATCH(data!AA$1,Haver_M!$B$1:$ZN$1,0))),INDEX(Haver_M!$B$1:$ZN$1000,MATCH(data!$A155,Haver_M!$B$1:$B$1000,0),MATCH(data!AA$1,Haver_M!$B$1:$ZN$1,0)),"na")</f>
        <v>100.6344</v>
      </c>
      <c r="AB155">
        <f>IF(ISNUMBER(INDEX(Haver_M!$B$1:$ZN$1000,MATCH(data!$A155,Haver_M!$B$1:$B$1000,0),MATCH(data!AB$1,Haver_M!$B$1:$ZN$1,0))),INDEX(Haver_M!$B$1:$ZN$1000,MATCH(data!$A155,Haver_M!$B$1:$B$1000,0),MATCH(data!AB$1,Haver_M!$B$1:$ZN$1,0)),"na")</f>
        <v>30627.5</v>
      </c>
      <c r="AC155">
        <f>IF(ISNUMBER(INDEX(Haver_M!$B$1:$ZN$1000,MATCH(data!$A155,Haver_M!$B$1:$B$1000,0),MATCH(data!AC$1,Haver_M!$B$1:$ZN$1,0))),INDEX(Haver_M!$B$1:$ZN$1000,MATCH(data!$A155,Haver_M!$B$1:$B$1000,0),MATCH(data!AC$1,Haver_M!$B$1:$ZN$1,0)),"na")</f>
        <v>31787.1</v>
      </c>
      <c r="AD155">
        <f>IF(ISNUMBER(INDEX(Haver_M!$B$1:$ZN$1000,MATCH(data!$A155,Haver_M!$B$1:$B$1000,0),MATCH(data!AD$1,Haver_M!$B$1:$ZN$1,0))),INDEX(Haver_M!$B$1:$ZN$1000,MATCH(data!$A155,Haver_M!$B$1:$B$1000,0),MATCH(data!AD$1,Haver_M!$B$1:$ZN$1,0)),"na")</f>
        <v>100.33</v>
      </c>
      <c r="AE155">
        <f>IF(ISNUMBER(INDEX(Haver_M!$B$1:$ZN$1000,MATCH(data!$A155,Haver_M!$B$1:$B$1000,0),MATCH(data!AE$1,Haver_M!$B$1:$ZN$1,0))),INDEX(Haver_M!$B$1:$ZN$1000,MATCH(data!$A155,Haver_M!$B$1:$B$1000,0),MATCH(data!AE$1,Haver_M!$B$1:$ZN$1,0)),"na")</f>
        <v>40.1</v>
      </c>
      <c r="AF155">
        <f>IF(ISNUMBER(INDEX(Haver_M!$B$1:$ZN$1000,MATCH(data!$A155,Haver_M!$B$1:$B$1000,0),MATCH(data!AF$1,Haver_M!$B$1:$ZN$1,0))),INDEX(Haver_M!$B$1:$ZN$1000,MATCH(data!$A155,Haver_M!$B$1:$B$1000,0),MATCH(data!AF$1,Haver_M!$B$1:$ZN$1,0)),"na")</f>
        <v>100.8</v>
      </c>
      <c r="AG155">
        <f>IF(ISNUMBER(INDEX(Haver_M!$B$1:$ZN$1000,MATCH(data!$A155,Haver_M!$B$1:$B$1000,0),MATCH(data!AG$1,Haver_M!$B$1:$ZN$1,0))),INDEX(Haver_M!$B$1:$ZN$1000,MATCH(data!$A155,Haver_M!$B$1:$B$1000,0),MATCH(data!AG$1,Haver_M!$B$1:$ZN$1,0)),"na")</f>
        <v>55.503</v>
      </c>
      <c r="AH155">
        <f>IF(ISNUMBER(INDEX(Haver_M!$B$1:$ZN$1000,MATCH(data!$A155,Haver_M!$B$1:$B$1000,0),MATCH(data!AH$1,Haver_M!$B$1:$ZN$1,0))),INDEX(Haver_M!$B$1:$ZN$1000,MATCH(data!$A155,Haver_M!$B$1:$B$1000,0),MATCH(data!AH$1,Haver_M!$B$1:$ZN$1,0)),"na")</f>
        <v>56.997</v>
      </c>
      <c r="AI155">
        <f>IF(ISNUMBER(INDEX(Haver_M!$B$1:$ZN$1000,MATCH(data!$A155,Haver_M!$B$1:$B$1000,0),MATCH(data!AI$1,Haver_M!$B$1:$ZN$1,0))),INDEX(Haver_M!$B$1:$ZN$1000,MATCH(data!$A155,Haver_M!$B$1:$B$1000,0),MATCH(data!AI$1,Haver_M!$B$1:$ZN$1,0)),"na")</f>
        <v>58.9786</v>
      </c>
      <c r="AJ155">
        <f>IF(ISNUMBER(INDEX(Haver_M!$B$1:$ZN$1000,MATCH(data!$A155,Haver_M!$B$1:$B$1000,0),MATCH(data!AJ$1,Haver_M!$B$1:$ZN$1,0))),INDEX(Haver_M!$B$1:$ZN$1000,MATCH(data!$A155,Haver_M!$B$1:$B$1000,0),MATCH(data!AJ$1,Haver_M!$B$1:$ZN$1,0)),"na")</f>
        <v>53.780799999999999</v>
      </c>
      <c r="AK155">
        <f>IF(ISNUMBER(INDEX(Haver_M!$B$1:$ZN$1000,MATCH(data!$A155,Haver_M!$B$1:$B$1000,0),MATCH(data!AK$1,Haver_M!$B$1:$ZN$1,0))),INDEX(Haver_M!$B$1:$ZN$1000,MATCH(data!$A155,Haver_M!$B$1:$B$1000,0),MATCH(data!AK$1,Haver_M!$B$1:$ZN$1,0)),"na")</f>
        <v>49.520800000000001</v>
      </c>
      <c r="AL155">
        <f>IF(ISNUMBER(INDEX(Haver_M!$B$1:$ZN$1000,MATCH(data!$A155,Haver_M!$B$1:$B$1000,0),MATCH(data!AL$1,Haver_M!$B$1:$ZN$1,0))),INDEX(Haver_M!$B$1:$ZN$1000,MATCH(data!$A155,Haver_M!$B$1:$B$1000,0),MATCH(data!AL$1,Haver_M!$B$1:$ZN$1,0)),"na")</f>
        <v>52.321300000000001</v>
      </c>
      <c r="AM155">
        <f>IF(ISNUMBER(INDEX(Haver_M!$B$1:$ZN$1000,MATCH(data!$A155,Haver_M!$B$1:$B$1000,0),MATCH(data!AM$1,Haver_M!$B$1:$ZN$1,0))),INDEX(Haver_M!$B$1:$ZN$1000,MATCH(data!$A155,Haver_M!$B$1:$B$1000,0),MATCH(data!AM$1,Haver_M!$B$1:$ZN$1,0)),"na")</f>
        <v>54.845599999999997</v>
      </c>
      <c r="AN155">
        <f>IF(ISNUMBER(INDEX(Haver_M!$B$1:$ZN$1000,MATCH(data!$A155,Haver_M!$B$1:$B$1000,0),MATCH(data!AN$1,Haver_M!$B$1:$ZN$1,0))),INDEX(Haver_M!$B$1:$ZN$1000,MATCH(data!$A155,Haver_M!$B$1:$B$1000,0),MATCH(data!AN$1,Haver_M!$B$1:$ZN$1,0)),"na")</f>
        <v>58.433500000000002</v>
      </c>
      <c r="AO155">
        <f>IF(ISNUMBER(INDEX(Haver_M!$B$1:$ZN$1000,MATCH(data!$A155,Haver_M!$B$1:$B$1000,0),MATCH(data!AO$1,Haver_M!$B$1:$ZN$1,0))),INDEX(Haver_M!$B$1:$ZN$1000,MATCH(data!$A155,Haver_M!$B$1:$B$1000,0),MATCH(data!AO$1,Haver_M!$B$1:$ZN$1,0)),"na")</f>
        <v>52.321300000000001</v>
      </c>
      <c r="AP155">
        <f>IF(ISNUMBER(INDEX(Haver_M!$B$1:$ZN$1000,MATCH(data!$A155,Haver_M!$B$1:$B$1000,0),MATCH(data!AP$1,Haver_M!$B$1:$ZN$1,0))),INDEX(Haver_M!$B$1:$ZN$1000,MATCH(data!$A155,Haver_M!$B$1:$B$1000,0),MATCH(data!AP$1,Haver_M!$B$1:$ZN$1,0)),"na")</f>
        <v>52.642400000000002</v>
      </c>
      <c r="AQ155">
        <f>IF(ISNUMBER(INDEX(Haver_M!$B$1:$ZN$1000,MATCH(data!$A155,Haver_M!$B$1:$B$1000,0),MATCH(data!AQ$1,Haver_M!$B$1:$ZN$1,0))),INDEX(Haver_M!$B$1:$ZN$1000,MATCH(data!$A155,Haver_M!$B$1:$B$1000,0),MATCH(data!AQ$1,Haver_M!$B$1:$ZN$1,0)),"na")</f>
        <v>52.265500000000003</v>
      </c>
      <c r="AR155">
        <f>IF(ISNUMBER(INDEX(Haver_M!$B$1:$ZN$1000,MATCH(data!$A155,Haver_M!$B$1:$B$1000,0),MATCH(data!AR$1,Haver_M!$B$1:$ZN$1,0))),INDEX(Haver_M!$B$1:$ZN$1000,MATCH(data!$A155,Haver_M!$B$1:$B$1000,0),MATCH(data!AR$1,Haver_M!$B$1:$ZN$1,0)),"na")</f>
        <v>48.028100000000002</v>
      </c>
      <c r="AS155">
        <f>IF(ISNUMBER(INDEX(Haver_M!$B$1:$ZN$1000,MATCH(data!$A155,Haver_M!$B$1:$B$1000,0),MATCH(data!AS$1,Haver_M!$B$1:$ZN$1,0))),INDEX(Haver_M!$B$1:$ZN$1000,MATCH(data!$A155,Haver_M!$B$1:$B$1000,0),MATCH(data!AS$1,Haver_M!$B$1:$ZN$1,0)),"na")</f>
        <v>41832.730000000003</v>
      </c>
      <c r="AT155">
        <f>IF(ISNUMBER(INDEX(Haver_M!$B$1:$ZN$1000,MATCH(data!$A155,Haver_M!$B$1:$B$1000,0),MATCH(data!AT$1,Haver_M!$B$1:$ZN$1,0))),INDEX(Haver_M!$B$1:$ZN$1000,MATCH(data!$A155,Haver_M!$B$1:$B$1000,0),MATCH(data!AT$1,Haver_M!$B$1:$ZN$1,0)),"na")</f>
        <v>99.02</v>
      </c>
      <c r="AU155">
        <f>IF(ISNUMBER(INDEX(Haver_M!$B$1:$ZN$1000,MATCH(data!$A155,Haver_M!$B$1:$B$1000,0),MATCH(data!AU$1,Haver_M!$B$1:$ZN$1,0))),INDEX(Haver_M!$B$1:$ZN$1000,MATCH(data!$A155,Haver_M!$B$1:$B$1000,0),MATCH(data!AU$1,Haver_M!$B$1:$ZN$1,0)),"na")</f>
        <v>98.978438999999995</v>
      </c>
      <c r="AV155">
        <f>IF(ISNUMBER(INDEX(Haver_M!$B$1:$ZN$1000,MATCH(data!$A155,Haver_M!$B$1:$B$1000,0),MATCH(data!AV$1,Haver_M!$B$1:$ZN$1,0))),INDEX(Haver_M!$B$1:$ZN$1000,MATCH(data!$A155,Haver_M!$B$1:$B$1000,0),MATCH(data!AV$1,Haver_M!$B$1:$ZN$1,0)),"na")</f>
        <v>103.9</v>
      </c>
      <c r="AW155">
        <f>IF(ISNUMBER(INDEX(Haver_M!$B$1:$ZN$1000,MATCH(data!$A155,Haver_M!$B$1:$B$1000,0),MATCH(data!AW$1,Haver_M!$B$1:$ZN$1,0))),INDEX(Haver_M!$B$1:$ZN$1000,MATCH(data!$A155,Haver_M!$B$1:$B$1000,0),MATCH(data!AW$1,Haver_M!$B$1:$ZN$1,0)),"na")</f>
        <v>1101085.6384942411</v>
      </c>
      <c r="AX155">
        <f>IF(ISNUMBER(INDEX(Haver_M!$B$1:$ZN$1000,MATCH(data!$A155,Haver_M!$B$1:$B$1000,0),MATCH(data!AX$1,Haver_M!$B$1:$ZN$1,0))),INDEX(Haver_M!$B$1:$ZN$1000,MATCH(data!$A155,Haver_M!$B$1:$B$1000,0),MATCH(data!AX$1,Haver_M!$B$1:$ZN$1,0)),"na")</f>
        <v>2530</v>
      </c>
      <c r="AY155">
        <f>IF(ISNUMBER(INDEX(Haver_M!$B$1:$ZN$1000,MATCH(data!$A155,Haver_M!$B$1:$B$1000,0),MATCH(data!AY$1,Haver_M!$B$1:$ZN$1,0))),INDEX(Haver_M!$B$1:$ZN$1000,MATCH(data!$A155,Haver_M!$B$1:$B$1000,0),MATCH(data!AY$1,Haver_M!$B$1:$ZN$1,0)),"na")</f>
        <v>1367</v>
      </c>
      <c r="AZ155">
        <f>IF(ISNUMBER(INDEX(Haver_M!$B$1:$ZN$1000,MATCH(data!$A155,Haver_M!$B$1:$B$1000,0),MATCH(data!AZ$1,Haver_M!$B$1:$ZN$1,0))),INDEX(Haver_M!$B$1:$ZN$1000,MATCH(data!$A155,Haver_M!$B$1:$B$1000,0),MATCH(data!AZ$1,Haver_M!$B$1:$ZN$1,0)),"na")</f>
        <v>54</v>
      </c>
      <c r="BA155">
        <f>IF(ISNUMBER(INDEX(Haver_M!$B$1:$ZN$1000,MATCH(data!$A155,Haver_M!$B$1:$B$1000,0),MATCH(data!BA$1,Haver_M!$B$1:$ZN$1,0))),INDEX(Haver_M!$B$1:$ZN$1000,MATCH(data!$A155,Haver_M!$B$1:$B$1000,0),MATCH(data!BA$1,Haver_M!$B$1:$ZN$1,0)),"na")</f>
        <v>42.113485521985162</v>
      </c>
      <c r="BB155" t="str">
        <f>IF(ISNUMBER(INDEX(Haver_M!$B$1:$ZN$1000,MATCH(data!$A155,Haver_M!$B$1:$B$1000,0),MATCH(data!BB$1,Haver_M!$B$1:$ZN$1,0))),INDEX(Haver_M!$B$1:$ZN$1000,MATCH(data!$A155,Haver_M!$B$1:$B$1000,0),MATCH(data!BB$1,Haver_M!$B$1:$ZN$1,0)),"")</f>
        <v/>
      </c>
    </row>
    <row r="156" spans="1:54" x14ac:dyDescent="0.25">
      <c r="A156" s="2">
        <v>41243</v>
      </c>
      <c r="B156" t="str">
        <f>IF(ISNUMBER(INDEX(Haver_Q!$B$1:$BD$1000,MATCH(data!$A156,Haver_Q!$B$1:$B$1000,0),MATCH(data!B$1,Haver_Q!$B$1:$BD$1,0))),100*INDEX(Haver_Q!$B$1:$BD$1000,MATCH(data!$A156,Haver_Q!$B$1:$B$1000,0),MATCH(data!B$1,Haver_Q!$B$1:$BD$1,0)),"na")</f>
        <v>na</v>
      </c>
      <c r="C156" t="str">
        <f>IF(ISNUMBER(INDEX(Haver_Q!$B$1:$BD$1000,MATCH(data!$A156,Haver_Q!$B$1:$B$1000,0),MATCH(data!C$1,Haver_Q!$B$1:$BD$1,0))),100*INDEX(Haver_Q!$B$1:$BD$1000,MATCH(data!$A156,Haver_Q!$B$1:$B$1000,0),MATCH(data!C$1,Haver_Q!$B$1:$BD$1,0)),"na")</f>
        <v>na</v>
      </c>
      <c r="D156" t="str">
        <f>IF(ISNUMBER(INDEX(Haver_Q!$B$1:$BD$1000,MATCH(data!$A156,Haver_Q!$B$1:$B$1000,0),MATCH(data!D$1,Haver_Q!$B$1:$BD$1,0))),100*INDEX(Haver_Q!$B$1:$BD$1000,MATCH(data!$A156,Haver_Q!$B$1:$B$1000,0),MATCH(data!D$1,Haver_Q!$B$1:$BD$1,0)),"na")</f>
        <v>na</v>
      </c>
      <c r="E156" t="str">
        <f>IF(ISNUMBER(INDEX(Haver_Q!$B$1:$BD$1000,MATCH(data!$A156,Haver_Q!$B$1:$B$1000,0),MATCH(data!E$1,Haver_Q!$B$1:$BD$1,0))),100*INDEX(Haver_Q!$B$1:$BD$1000,MATCH(data!$A156,Haver_Q!$B$1:$B$1000,0),MATCH(data!E$1,Haver_Q!$B$1:$BD$1,0)),"na")</f>
        <v>na</v>
      </c>
      <c r="F156" t="str">
        <f>IF(ISNUMBER(INDEX(Haver_Q!$B$1:$BD$1000,MATCH(data!$A156,Haver_Q!$B$1:$B$1000,0),MATCH(data!F$1,Haver_Q!$B$1:$BD$1,0))),100*INDEX(Haver_Q!$B$1:$BD$1000,MATCH(data!$A156,Haver_Q!$B$1:$B$1000,0),MATCH(data!F$1,Haver_Q!$B$1:$BD$1,0)),"na")</f>
        <v>na</v>
      </c>
      <c r="G156" t="str">
        <f>IF(ISNUMBER(INDEX(Haver_Q!$B$1:$BD$1000,MATCH(data!$A156,Haver_Q!$B$1:$B$1000,0),MATCH(data!G$1,Haver_Q!$B$1:$BD$1,0))),100*INDEX(Haver_Q!$B$1:$BD$1000,MATCH(data!$A156,Haver_Q!$B$1:$B$1000,0),MATCH(data!G$1,Haver_Q!$B$1:$BD$1,0)),"na")</f>
        <v>na</v>
      </c>
      <c r="H156" t="str">
        <f>IF(ISNUMBER(INDEX(Haver_Q!$B$1:$BD$1000,MATCH(data!$A156,Haver_Q!$B$1:$B$1000,0),MATCH(data!H$1,Haver_Q!$B$1:$BD$1,0))),100*INDEX(Haver_Q!$B$1:$BD$1000,MATCH(data!$A156,Haver_Q!$B$1:$B$1000,0),MATCH(data!H$1,Haver_Q!$B$1:$BD$1,0)),"na")</f>
        <v>na</v>
      </c>
      <c r="I156" s="3">
        <f>IF(ISNUMBER(Bloomberg_m!C172),Bloomberg_m!C172,"na")</f>
        <v>1025</v>
      </c>
      <c r="J156" s="3">
        <f>IF(ISNUMBER(Bloomberg_m!D172),Bloomberg_m!D172,"na")</f>
        <v>2040.1</v>
      </c>
      <c r="K156" s="3">
        <f>IF(ISNUMBER(Bloomberg_m!E172),Bloomberg_m!E172,"na")</f>
        <v>1148</v>
      </c>
      <c r="L156" s="3">
        <f>IF(ISNUMBER(Bloomberg_m!L172),Bloomberg_m!L172,"na")</f>
        <v>86.68</v>
      </c>
      <c r="M156">
        <f>IF(ISNUMBER(INDEX(Haver_M!$B$1:$ZN$1000,MATCH(data!$A156,Haver_M!$B$1:$B$1000,0),MATCH(data!M$1,Haver_M!$B$1:$ZN$1,0))),INDEX(Haver_M!$B$1:$ZN$1000,MATCH(data!$A156,Haver_M!$B$1:$B$1000,0),MATCH(data!M$1,Haver_M!$B$1:$ZN$1,0)),"na")</f>
        <v>4.5</v>
      </c>
      <c r="N156">
        <f>IF(ISNUMBER(INDEX(Haver_M!$B$1:$ZN$1000,MATCH(data!$A156,Haver_M!$B$1:$B$1000,0),MATCH(data!N$1,Haver_M!$B$1:$ZN$1,0))),INDEX(Haver_M!$B$1:$ZN$1000,MATCH(data!$A156,Haver_M!$B$1:$B$1000,0),MATCH(data!N$1,Haver_M!$B$1:$ZN$1,0)),"na")</f>
        <v>5.4832000000000001</v>
      </c>
      <c r="O156">
        <f>IF(ISNUMBER(INDEX(Haver_M!$B$1:$ZN$1000,MATCH(data!$A156,Haver_M!$B$1:$B$1000,0),MATCH(data!O$1,Haver_M!$B$1:$ZN$1,0))),INDEX(Haver_M!$B$1:$ZN$1000,MATCH(data!$A156,Haver_M!$B$1:$B$1000,0),MATCH(data!O$1,Haver_M!$B$1:$ZN$1,0)),"na")</f>
        <v>97.590620000000001</v>
      </c>
      <c r="P156">
        <f>IF(ISNUMBER(INDEX(Haver_M!$B$1:$ZN$1000,MATCH(data!$A156,Haver_M!$B$1:$B$1000,0),MATCH(data!P$1,Haver_M!$B$1:$ZN$1,0))),INDEX(Haver_M!$B$1:$ZN$1000,MATCH(data!$A156,Haver_M!$B$1:$B$1000,0),MATCH(data!P$1,Haver_M!$B$1:$ZN$1,0)),"na")</f>
        <v>80.209000000000003</v>
      </c>
      <c r="Q156">
        <f>IF(ISNUMBER(INDEX(Haver_M!$B$1:$ZN$1000,MATCH(data!$A156,Haver_M!$B$1:$B$1000,0),MATCH(data!Q$1,Haver_M!$B$1:$ZN$1,0))),INDEX(Haver_M!$B$1:$ZN$1000,MATCH(data!$A156,Haver_M!$B$1:$B$1000,0),MATCH(data!Q$1,Haver_M!$B$1:$ZN$1,0)),"na")</f>
        <v>83.199299999999994</v>
      </c>
      <c r="R156">
        <f>IF(ISNUMBER(INDEX(Haver_M!$B$1:$ZN$1000,MATCH(data!$A156,Haver_M!$B$1:$B$1000,0),MATCH(data!R$1,Haver_M!$B$1:$ZN$1,0))),INDEX(Haver_M!$B$1:$ZN$1000,MATCH(data!$A156,Haver_M!$B$1:$B$1000,0),MATCH(data!R$1,Haver_M!$B$1:$ZN$1,0)),"na")</f>
        <v>100.6524</v>
      </c>
      <c r="S156">
        <f>IF(ISNUMBER(INDEX(Haver_M!$B$1:$ZN$1000,MATCH(data!$A156,Haver_M!$B$1:$B$1000,0),MATCH(data!S$1,Haver_M!$B$1:$ZN$1,0))),INDEX(Haver_M!$B$1:$ZN$1000,MATCH(data!$A156,Haver_M!$B$1:$B$1000,0),MATCH(data!S$1,Haver_M!$B$1:$ZN$1,0)),"na")</f>
        <v>102.6151</v>
      </c>
      <c r="T156">
        <f>IF(ISNUMBER(INDEX(Haver_M!$B$1:$ZN$1000,MATCH(data!$A156,Haver_M!$B$1:$B$1000,0),MATCH(data!T$1,Haver_M!$B$1:$ZN$1,0))),INDEX(Haver_M!$B$1:$ZN$1000,MATCH(data!$A156,Haver_M!$B$1:$B$1000,0),MATCH(data!T$1,Haver_M!$B$1:$ZN$1,0)),"na")</f>
        <v>100.68</v>
      </c>
      <c r="U156">
        <f>IF(ISNUMBER(INDEX(Haver_M!$B$1:$ZN$1000,MATCH(data!$A156,Haver_M!$B$1:$B$1000,0),MATCH(data!U$1,Haver_M!$B$1:$ZN$1,0))),INDEX(Haver_M!$B$1:$ZN$1000,MATCH(data!$A156,Haver_M!$B$1:$B$1000,0),MATCH(data!U$1,Haver_M!$B$1:$ZN$1,0)),"na")</f>
        <v>102.4409</v>
      </c>
      <c r="V156">
        <f>IF(ISNUMBER(INDEX(Haver_M!$B$1:$ZN$1000,MATCH(data!$A156,Haver_M!$B$1:$B$1000,0),MATCH(data!V$1,Haver_M!$B$1:$ZN$1,0))),INDEX(Haver_M!$B$1:$ZN$1000,MATCH(data!$A156,Haver_M!$B$1:$B$1000,0),MATCH(data!V$1,Haver_M!$B$1:$ZN$1,0)),"na")</f>
        <v>99.355500000000006</v>
      </c>
      <c r="W156">
        <f>IF(ISNUMBER(INDEX(Haver_M!$B$1:$ZN$1000,MATCH(data!$A156,Haver_M!$B$1:$B$1000,0),MATCH(data!W$1,Haver_M!$B$1:$ZN$1,0))),INDEX(Haver_M!$B$1:$ZN$1000,MATCH(data!$A156,Haver_M!$B$1:$B$1000,0),MATCH(data!W$1,Haver_M!$B$1:$ZN$1,0)),"na")</f>
        <v>5.23</v>
      </c>
      <c r="X156">
        <f>IF(ISNUMBER(INDEX(Haver_M!$B$1:$ZN$1000,MATCH(data!$A156,Haver_M!$B$1:$B$1000,0),MATCH(data!X$1,Haver_M!$B$1:$ZN$1,0))),INDEX(Haver_M!$B$1:$ZN$1000,MATCH(data!$A156,Haver_M!$B$1:$B$1000,0),MATCH(data!X$1,Haver_M!$B$1:$ZN$1,0)),"na")</f>
        <v>99.19</v>
      </c>
      <c r="Y156">
        <f>IF(ISNUMBER(INDEX(Haver_M!$B$1:$ZN$1000,MATCH(data!$A156,Haver_M!$B$1:$B$1000,0),MATCH(data!Y$1,Haver_M!$B$1:$ZN$1,0))),INDEX(Haver_M!$B$1:$ZN$1000,MATCH(data!$A156,Haver_M!$B$1:$B$1000,0),MATCH(data!Y$1,Haver_M!$B$1:$ZN$1,0)),"na")</f>
        <v>100.37</v>
      </c>
      <c r="Z156">
        <f>IF(ISNUMBER(INDEX(Haver_M!$B$1:$ZN$1000,MATCH(data!$A156,Haver_M!$B$1:$B$1000,0),MATCH(data!Z$1,Haver_M!$B$1:$ZN$1,0))),INDEX(Haver_M!$B$1:$ZN$1000,MATCH(data!$A156,Haver_M!$B$1:$B$1000,0),MATCH(data!Z$1,Haver_M!$B$1:$ZN$1,0)),"na")</f>
        <v>100.7885</v>
      </c>
      <c r="AA156">
        <f>IF(ISNUMBER(INDEX(Haver_M!$B$1:$ZN$1000,MATCH(data!$A156,Haver_M!$B$1:$B$1000,0),MATCH(data!AA$1,Haver_M!$B$1:$ZN$1,0))),INDEX(Haver_M!$B$1:$ZN$1000,MATCH(data!$A156,Haver_M!$B$1:$B$1000,0),MATCH(data!AA$1,Haver_M!$B$1:$ZN$1,0)),"na")</f>
        <v>98.797600000000003</v>
      </c>
      <c r="AB156">
        <f>IF(ISNUMBER(INDEX(Haver_M!$B$1:$ZN$1000,MATCH(data!$A156,Haver_M!$B$1:$B$1000,0),MATCH(data!AB$1,Haver_M!$B$1:$ZN$1,0))),INDEX(Haver_M!$B$1:$ZN$1000,MATCH(data!$A156,Haver_M!$B$1:$B$1000,0),MATCH(data!AB$1,Haver_M!$B$1:$ZN$1,0)),"na")</f>
        <v>31188</v>
      </c>
      <c r="AC156">
        <f>IF(ISNUMBER(INDEX(Haver_M!$B$1:$ZN$1000,MATCH(data!$A156,Haver_M!$B$1:$B$1000,0),MATCH(data!AC$1,Haver_M!$B$1:$ZN$1,0))),INDEX(Haver_M!$B$1:$ZN$1000,MATCH(data!$A156,Haver_M!$B$1:$B$1000,0),MATCH(data!AC$1,Haver_M!$B$1:$ZN$1,0)),"na")</f>
        <v>31619.5</v>
      </c>
      <c r="AD156">
        <f>IF(ISNUMBER(INDEX(Haver_M!$B$1:$ZN$1000,MATCH(data!$A156,Haver_M!$B$1:$B$1000,0),MATCH(data!AD$1,Haver_M!$B$1:$ZN$1,0))),INDEX(Haver_M!$B$1:$ZN$1000,MATCH(data!$A156,Haver_M!$B$1:$B$1000,0),MATCH(data!AD$1,Haver_M!$B$1:$ZN$1,0)),"na")</f>
        <v>100.28</v>
      </c>
      <c r="AE156">
        <f>IF(ISNUMBER(INDEX(Haver_M!$B$1:$ZN$1000,MATCH(data!$A156,Haver_M!$B$1:$B$1000,0),MATCH(data!AE$1,Haver_M!$B$1:$ZN$1,0))),INDEX(Haver_M!$B$1:$ZN$1000,MATCH(data!$A156,Haver_M!$B$1:$B$1000,0),MATCH(data!AE$1,Haver_M!$B$1:$ZN$1,0)),"na")</f>
        <v>39.9</v>
      </c>
      <c r="AF156">
        <f>IF(ISNUMBER(INDEX(Haver_M!$B$1:$ZN$1000,MATCH(data!$A156,Haver_M!$B$1:$B$1000,0),MATCH(data!AF$1,Haver_M!$B$1:$ZN$1,0))),INDEX(Haver_M!$B$1:$ZN$1000,MATCH(data!$A156,Haver_M!$B$1:$B$1000,0),MATCH(data!AF$1,Haver_M!$B$1:$ZN$1,0)),"na")</f>
        <v>100.97</v>
      </c>
      <c r="AG156">
        <f>IF(ISNUMBER(INDEX(Haver_M!$B$1:$ZN$1000,MATCH(data!$A156,Haver_M!$B$1:$B$1000,0),MATCH(data!AG$1,Haver_M!$B$1:$ZN$1,0))),INDEX(Haver_M!$B$1:$ZN$1000,MATCH(data!$A156,Haver_M!$B$1:$B$1000,0),MATCH(data!AG$1,Haver_M!$B$1:$ZN$1,0)),"na")</f>
        <v>55.639000000000003</v>
      </c>
      <c r="AH156">
        <f>IF(ISNUMBER(INDEX(Haver_M!$B$1:$ZN$1000,MATCH(data!$A156,Haver_M!$B$1:$B$1000,0),MATCH(data!AH$1,Haver_M!$B$1:$ZN$1,0))),INDEX(Haver_M!$B$1:$ZN$1000,MATCH(data!$A156,Haver_M!$B$1:$B$1000,0),MATCH(data!AH$1,Haver_M!$B$1:$ZN$1,0)),"na")</f>
        <v>57.628999999999998</v>
      </c>
      <c r="AI156">
        <f>IF(ISNUMBER(INDEX(Haver_M!$B$1:$ZN$1000,MATCH(data!$A156,Haver_M!$B$1:$B$1000,0),MATCH(data!AI$1,Haver_M!$B$1:$ZN$1,0))),INDEX(Haver_M!$B$1:$ZN$1000,MATCH(data!$A156,Haver_M!$B$1:$B$1000,0),MATCH(data!AI$1,Haver_M!$B$1:$ZN$1,0)),"na")</f>
        <v>59.060099999999998</v>
      </c>
      <c r="AJ156">
        <f>IF(ISNUMBER(INDEX(Haver_M!$B$1:$ZN$1000,MATCH(data!$A156,Haver_M!$B$1:$B$1000,0),MATCH(data!AJ$1,Haver_M!$B$1:$ZN$1,0))),INDEX(Haver_M!$B$1:$ZN$1000,MATCH(data!$A156,Haver_M!$B$1:$B$1000,0),MATCH(data!AJ$1,Haver_M!$B$1:$ZN$1,0)),"na")</f>
        <v>52.827399999999997</v>
      </c>
      <c r="AK156">
        <f>IF(ISNUMBER(INDEX(Haver_M!$B$1:$ZN$1000,MATCH(data!$A156,Haver_M!$B$1:$B$1000,0),MATCH(data!AK$1,Haver_M!$B$1:$ZN$1,0))),INDEX(Haver_M!$B$1:$ZN$1000,MATCH(data!$A156,Haver_M!$B$1:$B$1000,0),MATCH(data!AK$1,Haver_M!$B$1:$ZN$1,0)),"na")</f>
        <v>48.920900000000003</v>
      </c>
      <c r="AL156">
        <f>IF(ISNUMBER(INDEX(Haver_M!$B$1:$ZN$1000,MATCH(data!$A156,Haver_M!$B$1:$B$1000,0),MATCH(data!AL$1,Haver_M!$B$1:$ZN$1,0))),INDEX(Haver_M!$B$1:$ZN$1000,MATCH(data!$A156,Haver_M!$B$1:$B$1000,0),MATCH(data!AL$1,Haver_M!$B$1:$ZN$1,0)),"na")</f>
        <v>52.863399999999999</v>
      </c>
      <c r="AM156">
        <f>IF(ISNUMBER(INDEX(Haver_M!$B$1:$ZN$1000,MATCH(data!$A156,Haver_M!$B$1:$B$1000,0),MATCH(data!AM$1,Haver_M!$B$1:$ZN$1,0))),INDEX(Haver_M!$B$1:$ZN$1000,MATCH(data!$A156,Haver_M!$B$1:$B$1000,0),MATCH(data!AM$1,Haver_M!$B$1:$ZN$1,0)),"na")</f>
        <v>56.423499999999997</v>
      </c>
      <c r="AN156">
        <f>IF(ISNUMBER(INDEX(Haver_M!$B$1:$ZN$1000,MATCH(data!$A156,Haver_M!$B$1:$B$1000,0),MATCH(data!AN$1,Haver_M!$B$1:$ZN$1,0))),INDEX(Haver_M!$B$1:$ZN$1000,MATCH(data!$A156,Haver_M!$B$1:$B$1000,0),MATCH(data!AN$1,Haver_M!$B$1:$ZN$1,0)),"na")</f>
        <v>58.549199999999999</v>
      </c>
      <c r="AO156">
        <f>IF(ISNUMBER(INDEX(Haver_M!$B$1:$ZN$1000,MATCH(data!$A156,Haver_M!$B$1:$B$1000,0),MATCH(data!AO$1,Haver_M!$B$1:$ZN$1,0))),INDEX(Haver_M!$B$1:$ZN$1000,MATCH(data!$A156,Haver_M!$B$1:$B$1000,0),MATCH(data!AO$1,Haver_M!$B$1:$ZN$1,0)),"na")</f>
        <v>52.863399999999999</v>
      </c>
      <c r="AP156">
        <f>IF(ISNUMBER(INDEX(Haver_M!$B$1:$ZN$1000,MATCH(data!$A156,Haver_M!$B$1:$B$1000,0),MATCH(data!AP$1,Haver_M!$B$1:$ZN$1,0))),INDEX(Haver_M!$B$1:$ZN$1000,MATCH(data!$A156,Haver_M!$B$1:$B$1000,0),MATCH(data!AP$1,Haver_M!$B$1:$ZN$1,0)),"na")</f>
        <v>51.639699999999998</v>
      </c>
      <c r="AQ156">
        <f>IF(ISNUMBER(INDEX(Haver_M!$B$1:$ZN$1000,MATCH(data!$A156,Haver_M!$B$1:$B$1000,0),MATCH(data!AQ$1,Haver_M!$B$1:$ZN$1,0))),INDEX(Haver_M!$B$1:$ZN$1000,MATCH(data!$A156,Haver_M!$B$1:$B$1000,0),MATCH(data!AQ$1,Haver_M!$B$1:$ZN$1,0)),"na")</f>
        <v>52.216900000000003</v>
      </c>
      <c r="AR156">
        <f>IF(ISNUMBER(INDEX(Haver_M!$B$1:$ZN$1000,MATCH(data!$A156,Haver_M!$B$1:$B$1000,0),MATCH(data!AR$1,Haver_M!$B$1:$ZN$1,0))),INDEX(Haver_M!$B$1:$ZN$1000,MATCH(data!$A156,Haver_M!$B$1:$B$1000,0),MATCH(data!AR$1,Haver_M!$B$1:$ZN$1,0)),"na")</f>
        <v>47.683999999999997</v>
      </c>
      <c r="AS156">
        <f>IF(ISNUMBER(INDEX(Haver_M!$B$1:$ZN$1000,MATCH(data!$A156,Haver_M!$B$1:$B$1000,0),MATCH(data!AS$1,Haver_M!$B$1:$ZN$1,0))),INDEX(Haver_M!$B$1:$ZN$1000,MATCH(data!$A156,Haver_M!$B$1:$B$1000,0),MATCH(data!AS$1,Haver_M!$B$1:$ZN$1,0)),"na")</f>
        <v>41405.26</v>
      </c>
      <c r="AT156">
        <f>IF(ISNUMBER(INDEX(Haver_M!$B$1:$ZN$1000,MATCH(data!$A156,Haver_M!$B$1:$B$1000,0),MATCH(data!AT$1,Haver_M!$B$1:$ZN$1,0))),INDEX(Haver_M!$B$1:$ZN$1000,MATCH(data!$A156,Haver_M!$B$1:$B$1000,0),MATCH(data!AT$1,Haver_M!$B$1:$ZN$1,0)),"na")</f>
        <v>99.894999999999996</v>
      </c>
      <c r="AU156">
        <f>IF(ISNUMBER(INDEX(Haver_M!$B$1:$ZN$1000,MATCH(data!$A156,Haver_M!$B$1:$B$1000,0),MATCH(data!AU$1,Haver_M!$B$1:$ZN$1,0))),INDEX(Haver_M!$B$1:$ZN$1000,MATCH(data!$A156,Haver_M!$B$1:$B$1000,0),MATCH(data!AU$1,Haver_M!$B$1:$ZN$1,0)),"na")</f>
        <v>100.355028</v>
      </c>
      <c r="AV156">
        <f>IF(ISNUMBER(INDEX(Haver_M!$B$1:$ZN$1000,MATCH(data!$A156,Haver_M!$B$1:$B$1000,0),MATCH(data!AV$1,Haver_M!$B$1:$ZN$1,0))),INDEX(Haver_M!$B$1:$ZN$1000,MATCH(data!$A156,Haver_M!$B$1:$B$1000,0),MATCH(data!AV$1,Haver_M!$B$1:$ZN$1,0)),"na")</f>
        <v>104.8</v>
      </c>
      <c r="AW156">
        <f>IF(ISNUMBER(INDEX(Haver_M!$B$1:$ZN$1000,MATCH(data!$A156,Haver_M!$B$1:$B$1000,0),MATCH(data!AW$1,Haver_M!$B$1:$ZN$1,0))),INDEX(Haver_M!$B$1:$ZN$1000,MATCH(data!$A156,Haver_M!$B$1:$B$1000,0),MATCH(data!AW$1,Haver_M!$B$1:$ZN$1,0)),"na")</f>
        <v>1099532.7417723283</v>
      </c>
      <c r="AX156">
        <f>IF(ISNUMBER(INDEX(Haver_M!$B$1:$ZN$1000,MATCH(data!$A156,Haver_M!$B$1:$B$1000,0),MATCH(data!AX$1,Haver_M!$B$1:$ZN$1,0))),INDEX(Haver_M!$B$1:$ZN$1000,MATCH(data!$A156,Haver_M!$B$1:$B$1000,0),MATCH(data!AX$1,Haver_M!$B$1:$ZN$1,0)),"na")</f>
        <v>2580</v>
      </c>
      <c r="AY156">
        <f>IF(ISNUMBER(INDEX(Haver_M!$B$1:$ZN$1000,MATCH(data!$A156,Haver_M!$B$1:$B$1000,0),MATCH(data!AY$1,Haver_M!$B$1:$ZN$1,0))),INDEX(Haver_M!$B$1:$ZN$1000,MATCH(data!$A156,Haver_M!$B$1:$B$1000,0),MATCH(data!AY$1,Haver_M!$B$1:$ZN$1,0)),"na")</f>
        <v>1374</v>
      </c>
      <c r="AZ156">
        <f>IF(ISNUMBER(INDEX(Haver_M!$B$1:$ZN$1000,MATCH(data!$A156,Haver_M!$B$1:$B$1000,0),MATCH(data!AZ$1,Haver_M!$B$1:$ZN$1,0))),INDEX(Haver_M!$B$1:$ZN$1000,MATCH(data!$A156,Haver_M!$B$1:$B$1000,0),MATCH(data!AZ$1,Haver_M!$B$1:$ZN$1,0)),"na")</f>
        <v>52.9</v>
      </c>
      <c r="BA156">
        <f>IF(ISNUMBER(INDEX(Haver_M!$B$1:$ZN$1000,MATCH(data!$A156,Haver_M!$B$1:$B$1000,0),MATCH(data!BA$1,Haver_M!$B$1:$ZN$1,0))),INDEX(Haver_M!$B$1:$ZN$1000,MATCH(data!$A156,Haver_M!$B$1:$B$1000,0),MATCH(data!BA$1,Haver_M!$B$1:$ZN$1,0)),"na")</f>
        <v>39.398227480944449</v>
      </c>
      <c r="BB156" t="str">
        <f>IF(ISNUMBER(INDEX(Haver_M!$B$1:$ZN$1000,MATCH(data!$A156,Haver_M!$B$1:$B$1000,0),MATCH(data!BB$1,Haver_M!$B$1:$ZN$1,0))),INDEX(Haver_M!$B$1:$ZN$1000,MATCH(data!$A156,Haver_M!$B$1:$B$1000,0),MATCH(data!BB$1,Haver_M!$B$1:$ZN$1,0)),"")</f>
        <v/>
      </c>
    </row>
    <row r="157" spans="1:54" x14ac:dyDescent="0.25">
      <c r="A157" s="2">
        <v>41274</v>
      </c>
      <c r="B157">
        <f>IF(ISNUMBER(INDEX(Haver_Q!$B$1:$BD$1000,MATCH(data!$A157,Haver_Q!$B$1:$B$1000,0),MATCH(data!B$1,Haver_Q!$B$1:$BD$1,0))),100*INDEX(Haver_Q!$B$1:$BD$1000,MATCH(data!$A157,Haver_Q!$B$1:$B$1000,0),MATCH(data!B$1,Haver_Q!$B$1:$BD$1,0)),"na")</f>
        <v>3.4454226176859226</v>
      </c>
      <c r="C157">
        <f>IF(ISNUMBER(INDEX(Haver_Q!$B$1:$BD$1000,MATCH(data!$A157,Haver_Q!$B$1:$B$1000,0),MATCH(data!C$1,Haver_Q!$B$1:$BD$1,0))),100*INDEX(Haver_Q!$B$1:$BD$1000,MATCH(data!$A157,Haver_Q!$B$1:$B$1000,0),MATCH(data!C$1,Haver_Q!$B$1:$BD$1,0)),"na")</f>
        <v>0.99503276479011582</v>
      </c>
      <c r="D157">
        <f>IF(ISNUMBER(INDEX(Haver_Q!$B$1:$BD$1000,MATCH(data!$A157,Haver_Q!$B$1:$B$1000,0),MATCH(data!D$1,Haver_Q!$B$1:$BD$1,0))),100*INDEX(Haver_Q!$B$1:$BD$1000,MATCH(data!$A157,Haver_Q!$B$1:$B$1000,0),MATCH(data!D$1,Haver_Q!$B$1:$BD$1,0)),"na")</f>
        <v>2.1232913099901163</v>
      </c>
      <c r="E157">
        <f>IF(ISNUMBER(INDEX(Haver_Q!$B$1:$BD$1000,MATCH(data!$A157,Haver_Q!$B$1:$B$1000,0),MATCH(data!E$1,Haver_Q!$B$1:$BD$1,0))),100*INDEX(Haver_Q!$B$1:$BD$1000,MATCH(data!$A157,Haver_Q!$B$1:$B$1000,0),MATCH(data!E$1,Haver_Q!$B$1:$BD$1,0)),"na")</f>
        <v>-8.1044459358886485</v>
      </c>
      <c r="F157">
        <f>IF(ISNUMBER(INDEX(Haver_Q!$B$1:$BD$1000,MATCH(data!$A157,Haver_Q!$B$1:$B$1000,0),MATCH(data!F$1,Haver_Q!$B$1:$BD$1,0))),100*INDEX(Haver_Q!$B$1:$BD$1000,MATCH(data!$A157,Haver_Q!$B$1:$B$1000,0),MATCH(data!F$1,Haver_Q!$B$1:$BD$1,0)),"na")</f>
        <v>2.4667337054496974</v>
      </c>
      <c r="G157">
        <f>IF(ISNUMBER(INDEX(Haver_Q!$B$1:$BD$1000,MATCH(data!$A157,Haver_Q!$B$1:$B$1000,0),MATCH(data!G$1,Haver_Q!$B$1:$BD$1,0))),100*INDEX(Haver_Q!$B$1:$BD$1000,MATCH(data!$A157,Haver_Q!$B$1:$B$1000,0),MATCH(data!G$1,Haver_Q!$B$1:$BD$1,0)),"na")</f>
        <v>14.207220534382925</v>
      </c>
      <c r="H157">
        <f>IF(ISNUMBER(INDEX(Haver_Q!$B$1:$BD$1000,MATCH(data!$A157,Haver_Q!$B$1:$B$1000,0),MATCH(data!H$1,Haver_Q!$B$1:$BD$1,0))),100*INDEX(Haver_Q!$B$1:$BD$1000,MATCH(data!$A157,Haver_Q!$B$1:$B$1000,0),MATCH(data!H$1,Haver_Q!$B$1:$BD$1,0)),"na")</f>
        <v>280.00030370659931</v>
      </c>
      <c r="I157" s="3">
        <f>IF(ISNUMBER(Bloomberg_m!C173),Bloomberg_m!C173,"na")</f>
        <v>856</v>
      </c>
      <c r="J157" s="3">
        <f>IF(ISNUMBER(Bloomberg_m!D173),Bloomberg_m!D173,"na")</f>
        <v>1915.01</v>
      </c>
      <c r="K157" s="3">
        <f>IF(ISNUMBER(Bloomberg_m!E173),Bloomberg_m!E173,"na")</f>
        <v>1127.06</v>
      </c>
      <c r="L157" s="3">
        <f>IF(ISNUMBER(Bloomberg_m!L173),Bloomberg_m!L173,"na")</f>
        <v>88.19</v>
      </c>
      <c r="M157">
        <f>IF(ISNUMBER(INDEX(Haver_M!$B$1:$ZN$1000,MATCH(data!$A157,Haver_M!$B$1:$B$1000,0),MATCH(data!M$1,Haver_M!$B$1:$ZN$1,0))),INDEX(Haver_M!$B$1:$ZN$1000,MATCH(data!$A157,Haver_M!$B$1:$B$1000,0),MATCH(data!M$1,Haver_M!$B$1:$ZN$1,0)),"na")</f>
        <v>4.5</v>
      </c>
      <c r="N157">
        <f>IF(ISNUMBER(INDEX(Haver_M!$B$1:$ZN$1000,MATCH(data!$A157,Haver_M!$B$1:$B$1000,0),MATCH(data!N$1,Haver_M!$B$1:$ZN$1,0))),INDEX(Haver_M!$B$1:$ZN$1000,MATCH(data!$A157,Haver_M!$B$1:$B$1000,0),MATCH(data!N$1,Haver_M!$B$1:$ZN$1,0)),"na")</f>
        <v>5.4344999999999999</v>
      </c>
      <c r="O157">
        <f>IF(ISNUMBER(INDEX(Haver_M!$B$1:$ZN$1000,MATCH(data!$A157,Haver_M!$B$1:$B$1000,0),MATCH(data!O$1,Haver_M!$B$1:$ZN$1,0))),INDEX(Haver_M!$B$1:$ZN$1000,MATCH(data!$A157,Haver_M!$B$1:$B$1000,0),MATCH(data!O$1,Haver_M!$B$1:$ZN$1,0)),"na")</f>
        <v>98.886279999999999</v>
      </c>
      <c r="P157">
        <f>IF(ISNUMBER(INDEX(Haver_M!$B$1:$ZN$1000,MATCH(data!$A157,Haver_M!$B$1:$B$1000,0),MATCH(data!P$1,Haver_M!$B$1:$ZN$1,0))),INDEX(Haver_M!$B$1:$ZN$1000,MATCH(data!$A157,Haver_M!$B$1:$B$1000,0),MATCH(data!P$1,Haver_M!$B$1:$ZN$1,0)),"na")</f>
        <v>80.239800000000002</v>
      </c>
      <c r="Q157">
        <f>IF(ISNUMBER(INDEX(Haver_M!$B$1:$ZN$1000,MATCH(data!$A157,Haver_M!$B$1:$B$1000,0),MATCH(data!Q$1,Haver_M!$B$1:$ZN$1,0))),INDEX(Haver_M!$B$1:$ZN$1000,MATCH(data!$A157,Haver_M!$B$1:$B$1000,0),MATCH(data!Q$1,Haver_M!$B$1:$ZN$1,0)),"na")</f>
        <v>83.162800000000004</v>
      </c>
      <c r="R157">
        <f>IF(ISNUMBER(INDEX(Haver_M!$B$1:$ZN$1000,MATCH(data!$A157,Haver_M!$B$1:$B$1000,0),MATCH(data!R$1,Haver_M!$B$1:$ZN$1,0))),INDEX(Haver_M!$B$1:$ZN$1000,MATCH(data!$A157,Haver_M!$B$1:$B$1000,0),MATCH(data!R$1,Haver_M!$B$1:$ZN$1,0)),"na")</f>
        <v>99.457400000000007</v>
      </c>
      <c r="S157">
        <f>IF(ISNUMBER(INDEX(Haver_M!$B$1:$ZN$1000,MATCH(data!$A157,Haver_M!$B$1:$B$1000,0),MATCH(data!S$1,Haver_M!$B$1:$ZN$1,0))),INDEX(Haver_M!$B$1:$ZN$1000,MATCH(data!$A157,Haver_M!$B$1:$B$1000,0),MATCH(data!S$1,Haver_M!$B$1:$ZN$1,0)),"na")</f>
        <v>100.94589999999999</v>
      </c>
      <c r="T157">
        <f>IF(ISNUMBER(INDEX(Haver_M!$B$1:$ZN$1000,MATCH(data!$A157,Haver_M!$B$1:$B$1000,0),MATCH(data!T$1,Haver_M!$B$1:$ZN$1,0))),INDEX(Haver_M!$B$1:$ZN$1000,MATCH(data!$A157,Haver_M!$B$1:$B$1000,0),MATCH(data!T$1,Haver_M!$B$1:$ZN$1,0)),"na")</f>
        <v>99.534300000000002</v>
      </c>
      <c r="U157">
        <f>IF(ISNUMBER(INDEX(Haver_M!$B$1:$ZN$1000,MATCH(data!$A157,Haver_M!$B$1:$B$1000,0),MATCH(data!U$1,Haver_M!$B$1:$ZN$1,0))),INDEX(Haver_M!$B$1:$ZN$1000,MATCH(data!$A157,Haver_M!$B$1:$B$1000,0),MATCH(data!U$1,Haver_M!$B$1:$ZN$1,0)),"na")</f>
        <v>97.149299999999997</v>
      </c>
      <c r="V157">
        <f>IF(ISNUMBER(INDEX(Haver_M!$B$1:$ZN$1000,MATCH(data!$A157,Haver_M!$B$1:$B$1000,0),MATCH(data!V$1,Haver_M!$B$1:$ZN$1,0))),INDEX(Haver_M!$B$1:$ZN$1000,MATCH(data!$A157,Haver_M!$B$1:$B$1000,0),MATCH(data!V$1,Haver_M!$B$1:$ZN$1,0)),"na")</f>
        <v>99.217600000000004</v>
      </c>
      <c r="W157">
        <f>IF(ISNUMBER(INDEX(Haver_M!$B$1:$ZN$1000,MATCH(data!$A157,Haver_M!$B$1:$B$1000,0),MATCH(data!W$1,Haver_M!$B$1:$ZN$1,0))),INDEX(Haver_M!$B$1:$ZN$1000,MATCH(data!$A157,Haver_M!$B$1:$B$1000,0),MATCH(data!W$1,Haver_M!$B$1:$ZN$1,0)),"na")</f>
        <v>5</v>
      </c>
      <c r="X157">
        <f>IF(ISNUMBER(INDEX(Haver_M!$B$1:$ZN$1000,MATCH(data!$A157,Haver_M!$B$1:$B$1000,0),MATCH(data!X$1,Haver_M!$B$1:$ZN$1,0))),INDEX(Haver_M!$B$1:$ZN$1000,MATCH(data!$A157,Haver_M!$B$1:$B$1000,0),MATCH(data!X$1,Haver_M!$B$1:$ZN$1,0)),"na")</f>
        <v>99.87</v>
      </c>
      <c r="Y157">
        <f>IF(ISNUMBER(INDEX(Haver_M!$B$1:$ZN$1000,MATCH(data!$A157,Haver_M!$B$1:$B$1000,0),MATCH(data!Y$1,Haver_M!$B$1:$ZN$1,0))),INDEX(Haver_M!$B$1:$ZN$1000,MATCH(data!$A157,Haver_M!$B$1:$B$1000,0),MATCH(data!Y$1,Haver_M!$B$1:$ZN$1,0)),"na")</f>
        <v>100.47</v>
      </c>
      <c r="Z157">
        <f>IF(ISNUMBER(INDEX(Haver_M!$B$1:$ZN$1000,MATCH(data!$A157,Haver_M!$B$1:$B$1000,0),MATCH(data!Z$1,Haver_M!$B$1:$ZN$1,0))),INDEX(Haver_M!$B$1:$ZN$1000,MATCH(data!$A157,Haver_M!$B$1:$B$1000,0),MATCH(data!Z$1,Haver_M!$B$1:$ZN$1,0)),"na")</f>
        <v>98.023899999999998</v>
      </c>
      <c r="AA157">
        <f>IF(ISNUMBER(INDEX(Haver_M!$B$1:$ZN$1000,MATCH(data!$A157,Haver_M!$B$1:$B$1000,0),MATCH(data!AA$1,Haver_M!$B$1:$ZN$1,0))),INDEX(Haver_M!$B$1:$ZN$1000,MATCH(data!$A157,Haver_M!$B$1:$B$1000,0),MATCH(data!AA$1,Haver_M!$B$1:$ZN$1,0)),"na")</f>
        <v>99.185299999999998</v>
      </c>
      <c r="AB157">
        <f>IF(ISNUMBER(INDEX(Haver_M!$B$1:$ZN$1000,MATCH(data!$A157,Haver_M!$B$1:$B$1000,0),MATCH(data!AB$1,Haver_M!$B$1:$ZN$1,0))),INDEX(Haver_M!$B$1:$ZN$1000,MATCH(data!$A157,Haver_M!$B$1:$B$1000,0),MATCH(data!AB$1,Haver_M!$B$1:$ZN$1,0)),"na")</f>
        <v>31319.1</v>
      </c>
      <c r="AC157">
        <f>IF(ISNUMBER(INDEX(Haver_M!$B$1:$ZN$1000,MATCH(data!$A157,Haver_M!$B$1:$B$1000,0),MATCH(data!AC$1,Haver_M!$B$1:$ZN$1,0))),INDEX(Haver_M!$B$1:$ZN$1000,MATCH(data!$A157,Haver_M!$B$1:$B$1000,0),MATCH(data!AC$1,Haver_M!$B$1:$ZN$1,0)),"na")</f>
        <v>31161.9</v>
      </c>
      <c r="AD157">
        <f>IF(ISNUMBER(INDEX(Haver_M!$B$1:$ZN$1000,MATCH(data!$A157,Haver_M!$B$1:$B$1000,0),MATCH(data!AD$1,Haver_M!$B$1:$ZN$1,0))),INDEX(Haver_M!$B$1:$ZN$1000,MATCH(data!$A157,Haver_M!$B$1:$B$1000,0),MATCH(data!AD$1,Haver_M!$B$1:$ZN$1,0)),"na")</f>
        <v>100.21</v>
      </c>
      <c r="AE157">
        <f>IF(ISNUMBER(INDEX(Haver_M!$B$1:$ZN$1000,MATCH(data!$A157,Haver_M!$B$1:$B$1000,0),MATCH(data!AE$1,Haver_M!$B$1:$ZN$1,0))),INDEX(Haver_M!$B$1:$ZN$1000,MATCH(data!$A157,Haver_M!$B$1:$B$1000,0),MATCH(data!AE$1,Haver_M!$B$1:$ZN$1,0)),"na")</f>
        <v>41</v>
      </c>
      <c r="AF157">
        <f>IF(ISNUMBER(INDEX(Haver_M!$B$1:$ZN$1000,MATCH(data!$A157,Haver_M!$B$1:$B$1000,0),MATCH(data!AF$1,Haver_M!$B$1:$ZN$1,0))),INDEX(Haver_M!$B$1:$ZN$1000,MATCH(data!$A157,Haver_M!$B$1:$B$1000,0),MATCH(data!AF$1,Haver_M!$B$1:$ZN$1,0)),"na")</f>
        <v>101.11</v>
      </c>
      <c r="AG157">
        <f>IF(ISNUMBER(INDEX(Haver_M!$B$1:$ZN$1000,MATCH(data!$A157,Haver_M!$B$1:$B$1000,0),MATCH(data!AG$1,Haver_M!$B$1:$ZN$1,0))),INDEX(Haver_M!$B$1:$ZN$1000,MATCH(data!$A157,Haver_M!$B$1:$B$1000,0),MATCH(data!AG$1,Haver_M!$B$1:$ZN$1,0)),"na")</f>
        <v>57.133800000000001</v>
      </c>
      <c r="AH157">
        <f>IF(ISNUMBER(INDEX(Haver_M!$B$1:$ZN$1000,MATCH(data!$A157,Haver_M!$B$1:$B$1000,0),MATCH(data!AH$1,Haver_M!$B$1:$ZN$1,0))),INDEX(Haver_M!$B$1:$ZN$1000,MATCH(data!$A157,Haver_M!$B$1:$B$1000,0),MATCH(data!AH$1,Haver_M!$B$1:$ZN$1,0)),"na")</f>
        <v>60.118400000000001</v>
      </c>
      <c r="AI157">
        <f>IF(ISNUMBER(INDEX(Haver_M!$B$1:$ZN$1000,MATCH(data!$A157,Haver_M!$B$1:$B$1000,0),MATCH(data!AI$1,Haver_M!$B$1:$ZN$1,0))),INDEX(Haver_M!$B$1:$ZN$1000,MATCH(data!$A157,Haver_M!$B$1:$B$1000,0),MATCH(data!AI$1,Haver_M!$B$1:$ZN$1,0)),"na")</f>
        <v>61.620600000000003</v>
      </c>
      <c r="AJ157">
        <f>IF(ISNUMBER(INDEX(Haver_M!$B$1:$ZN$1000,MATCH(data!$A157,Haver_M!$B$1:$B$1000,0),MATCH(data!AJ$1,Haver_M!$B$1:$ZN$1,0))),INDEX(Haver_M!$B$1:$ZN$1000,MATCH(data!$A157,Haver_M!$B$1:$B$1000,0),MATCH(data!AJ$1,Haver_M!$B$1:$ZN$1,0)),"na")</f>
        <v>51.691000000000003</v>
      </c>
      <c r="AK157">
        <f>IF(ISNUMBER(INDEX(Haver_M!$B$1:$ZN$1000,MATCH(data!$A157,Haver_M!$B$1:$B$1000,0),MATCH(data!AK$1,Haver_M!$B$1:$ZN$1,0))),INDEX(Haver_M!$B$1:$ZN$1000,MATCH(data!$A157,Haver_M!$B$1:$B$1000,0),MATCH(data!AK$1,Haver_M!$B$1:$ZN$1,0)),"na")</f>
        <v>48.000300000000003</v>
      </c>
      <c r="AL157">
        <f>IF(ISNUMBER(INDEX(Haver_M!$B$1:$ZN$1000,MATCH(data!$A157,Haver_M!$B$1:$B$1000,0),MATCH(data!AL$1,Haver_M!$B$1:$ZN$1,0))),INDEX(Haver_M!$B$1:$ZN$1000,MATCH(data!$A157,Haver_M!$B$1:$B$1000,0),MATCH(data!AL$1,Haver_M!$B$1:$ZN$1,0)),"na")</f>
        <v>54.798299999999998</v>
      </c>
      <c r="AM157">
        <f>IF(ISNUMBER(INDEX(Haver_M!$B$1:$ZN$1000,MATCH(data!$A157,Haver_M!$B$1:$B$1000,0),MATCH(data!AM$1,Haver_M!$B$1:$ZN$1,0))),INDEX(Haver_M!$B$1:$ZN$1000,MATCH(data!$A157,Haver_M!$B$1:$B$1000,0),MATCH(data!AM$1,Haver_M!$B$1:$ZN$1,0)),"na")</f>
        <v>53.024799999999999</v>
      </c>
      <c r="AN157">
        <f>IF(ISNUMBER(INDEX(Haver_M!$B$1:$ZN$1000,MATCH(data!$A157,Haver_M!$B$1:$B$1000,0),MATCH(data!AN$1,Haver_M!$B$1:$ZN$1,0))),INDEX(Haver_M!$B$1:$ZN$1000,MATCH(data!$A157,Haver_M!$B$1:$B$1000,0),MATCH(data!AN$1,Haver_M!$B$1:$ZN$1,0)),"na")</f>
        <v>58.176099999999998</v>
      </c>
      <c r="AO157">
        <f>IF(ISNUMBER(INDEX(Haver_M!$B$1:$ZN$1000,MATCH(data!$A157,Haver_M!$B$1:$B$1000,0),MATCH(data!AO$1,Haver_M!$B$1:$ZN$1,0))),INDEX(Haver_M!$B$1:$ZN$1000,MATCH(data!$A157,Haver_M!$B$1:$B$1000,0),MATCH(data!AO$1,Haver_M!$B$1:$ZN$1,0)),"na")</f>
        <v>54.798299999999998</v>
      </c>
      <c r="AP157">
        <f>IF(ISNUMBER(INDEX(Haver_M!$B$1:$ZN$1000,MATCH(data!$A157,Haver_M!$B$1:$B$1000,0),MATCH(data!AP$1,Haver_M!$B$1:$ZN$1,0))),INDEX(Haver_M!$B$1:$ZN$1000,MATCH(data!$A157,Haver_M!$B$1:$B$1000,0),MATCH(data!AP$1,Haver_M!$B$1:$ZN$1,0)),"na")</f>
        <v>51.174199999999999</v>
      </c>
      <c r="AQ157">
        <f>IF(ISNUMBER(INDEX(Haver_M!$B$1:$ZN$1000,MATCH(data!$A157,Haver_M!$B$1:$B$1000,0),MATCH(data!AQ$1,Haver_M!$B$1:$ZN$1,0))),INDEX(Haver_M!$B$1:$ZN$1000,MATCH(data!$A157,Haver_M!$B$1:$B$1000,0),MATCH(data!AQ$1,Haver_M!$B$1:$ZN$1,0)),"na")</f>
        <v>51.762799999999999</v>
      </c>
      <c r="AR157">
        <f>IF(ISNUMBER(INDEX(Haver_M!$B$1:$ZN$1000,MATCH(data!$A157,Haver_M!$B$1:$B$1000,0),MATCH(data!AR$1,Haver_M!$B$1:$ZN$1,0))),INDEX(Haver_M!$B$1:$ZN$1000,MATCH(data!$A157,Haver_M!$B$1:$B$1000,0),MATCH(data!AR$1,Haver_M!$B$1:$ZN$1,0)),"na")</f>
        <v>48.549300000000002</v>
      </c>
      <c r="AS157">
        <f>IF(ISNUMBER(INDEX(Haver_M!$B$1:$ZN$1000,MATCH(data!$A157,Haver_M!$B$1:$B$1000,0),MATCH(data!AS$1,Haver_M!$B$1:$ZN$1,0))),INDEX(Haver_M!$B$1:$ZN$1000,MATCH(data!$A157,Haver_M!$B$1:$B$1000,0),MATCH(data!AS$1,Haver_M!$B$1:$ZN$1,0)),"na")</f>
        <v>43202.04</v>
      </c>
      <c r="AT157">
        <f>IF(ISNUMBER(INDEX(Haver_M!$B$1:$ZN$1000,MATCH(data!$A157,Haver_M!$B$1:$B$1000,0),MATCH(data!AT$1,Haver_M!$B$1:$ZN$1,0))),INDEX(Haver_M!$B$1:$ZN$1000,MATCH(data!$A157,Haver_M!$B$1:$B$1000,0),MATCH(data!AT$1,Haver_M!$B$1:$ZN$1,0)),"na")</f>
        <v>97.655000000000001</v>
      </c>
      <c r="AU157">
        <f>IF(ISNUMBER(INDEX(Haver_M!$B$1:$ZN$1000,MATCH(data!$A157,Haver_M!$B$1:$B$1000,0),MATCH(data!AU$1,Haver_M!$B$1:$ZN$1,0))),INDEX(Haver_M!$B$1:$ZN$1000,MATCH(data!$A157,Haver_M!$B$1:$B$1000,0),MATCH(data!AU$1,Haver_M!$B$1:$ZN$1,0)),"na")</f>
        <v>99.493429000000006</v>
      </c>
      <c r="AV157">
        <f>IF(ISNUMBER(INDEX(Haver_M!$B$1:$ZN$1000,MATCH(data!$A157,Haver_M!$B$1:$B$1000,0),MATCH(data!AV$1,Haver_M!$B$1:$ZN$1,0))),INDEX(Haver_M!$B$1:$ZN$1000,MATCH(data!$A157,Haver_M!$B$1:$B$1000,0),MATCH(data!AV$1,Haver_M!$B$1:$ZN$1,0)),"na")</f>
        <v>99.6</v>
      </c>
      <c r="AW157">
        <f>IF(ISNUMBER(INDEX(Haver_M!$B$1:$ZN$1000,MATCH(data!$A157,Haver_M!$B$1:$B$1000,0),MATCH(data!AW$1,Haver_M!$B$1:$ZN$1,0))),INDEX(Haver_M!$B$1:$ZN$1000,MATCH(data!$A157,Haver_M!$B$1:$B$1000,0),MATCH(data!AW$1,Haver_M!$B$1:$ZN$1,0)),"na")</f>
        <v>1132022.1734231475</v>
      </c>
      <c r="AX157">
        <f>IF(ISNUMBER(INDEX(Haver_M!$B$1:$ZN$1000,MATCH(data!$A157,Haver_M!$B$1:$B$1000,0),MATCH(data!AX$1,Haver_M!$B$1:$ZN$1,0))),INDEX(Haver_M!$B$1:$ZN$1000,MATCH(data!$A157,Haver_M!$B$1:$B$1000,0),MATCH(data!AX$1,Haver_M!$B$1:$ZN$1,0)),"na")</f>
        <v>2547</v>
      </c>
      <c r="AY157">
        <f>IF(ISNUMBER(INDEX(Haver_M!$B$1:$ZN$1000,MATCH(data!$A157,Haver_M!$B$1:$B$1000,0),MATCH(data!AY$1,Haver_M!$B$1:$ZN$1,0))),INDEX(Haver_M!$B$1:$ZN$1000,MATCH(data!$A157,Haver_M!$B$1:$B$1000,0),MATCH(data!AY$1,Haver_M!$B$1:$ZN$1,0)),"na")</f>
        <v>1174</v>
      </c>
      <c r="AZ157">
        <f>IF(ISNUMBER(INDEX(Haver_M!$B$1:$ZN$1000,MATCH(data!$A157,Haver_M!$B$1:$B$1000,0),MATCH(data!AZ$1,Haver_M!$B$1:$ZN$1,0))),INDEX(Haver_M!$B$1:$ZN$1000,MATCH(data!$A157,Haver_M!$B$1:$B$1000,0),MATCH(data!AZ$1,Haver_M!$B$1:$ZN$1,0)),"na")</f>
        <v>53.1</v>
      </c>
      <c r="BA157">
        <f>IF(ISNUMBER(INDEX(Haver_M!$B$1:$ZN$1000,MATCH(data!$A157,Haver_M!$B$1:$B$1000,0),MATCH(data!BA$1,Haver_M!$B$1:$ZN$1,0))),INDEX(Haver_M!$B$1:$ZN$1000,MATCH(data!$A157,Haver_M!$B$1:$B$1000,0),MATCH(data!BA$1,Haver_M!$B$1:$ZN$1,0)),"na")</f>
        <v>61.044827506483564</v>
      </c>
      <c r="BB157" t="str">
        <f>IF(ISNUMBER(INDEX(Haver_M!$B$1:$ZN$1000,MATCH(data!$A157,Haver_M!$B$1:$B$1000,0),MATCH(data!BB$1,Haver_M!$B$1:$ZN$1,0))),INDEX(Haver_M!$B$1:$ZN$1000,MATCH(data!$A157,Haver_M!$B$1:$B$1000,0),MATCH(data!BB$1,Haver_M!$B$1:$ZN$1,0)),"")</f>
        <v/>
      </c>
    </row>
    <row r="158" spans="1:54" x14ac:dyDescent="0.25">
      <c r="A158" s="2">
        <v>41305</v>
      </c>
      <c r="B158" t="str">
        <f>IF(ISNUMBER(INDEX(Haver_Q!$B$1:$BD$1000,MATCH(data!$A158,Haver_Q!$B$1:$B$1000,0),MATCH(data!B$1,Haver_Q!$B$1:$BD$1,0))),100*INDEX(Haver_Q!$B$1:$BD$1000,MATCH(data!$A158,Haver_Q!$B$1:$B$1000,0),MATCH(data!B$1,Haver_Q!$B$1:$BD$1,0)),"na")</f>
        <v>na</v>
      </c>
      <c r="C158" t="str">
        <f>IF(ISNUMBER(INDEX(Haver_Q!$B$1:$BD$1000,MATCH(data!$A158,Haver_Q!$B$1:$B$1000,0),MATCH(data!C$1,Haver_Q!$B$1:$BD$1,0))),100*INDEX(Haver_Q!$B$1:$BD$1000,MATCH(data!$A158,Haver_Q!$B$1:$B$1000,0),MATCH(data!C$1,Haver_Q!$B$1:$BD$1,0)),"na")</f>
        <v>na</v>
      </c>
      <c r="D158" t="str">
        <f>IF(ISNUMBER(INDEX(Haver_Q!$B$1:$BD$1000,MATCH(data!$A158,Haver_Q!$B$1:$B$1000,0),MATCH(data!D$1,Haver_Q!$B$1:$BD$1,0))),100*INDEX(Haver_Q!$B$1:$BD$1000,MATCH(data!$A158,Haver_Q!$B$1:$B$1000,0),MATCH(data!D$1,Haver_Q!$B$1:$BD$1,0)),"na")</f>
        <v>na</v>
      </c>
      <c r="E158" t="str">
        <f>IF(ISNUMBER(INDEX(Haver_Q!$B$1:$BD$1000,MATCH(data!$A158,Haver_Q!$B$1:$B$1000,0),MATCH(data!E$1,Haver_Q!$B$1:$BD$1,0))),100*INDEX(Haver_Q!$B$1:$BD$1000,MATCH(data!$A158,Haver_Q!$B$1:$B$1000,0),MATCH(data!E$1,Haver_Q!$B$1:$BD$1,0)),"na")</f>
        <v>na</v>
      </c>
      <c r="F158" t="str">
        <f>IF(ISNUMBER(INDEX(Haver_Q!$B$1:$BD$1000,MATCH(data!$A158,Haver_Q!$B$1:$B$1000,0),MATCH(data!F$1,Haver_Q!$B$1:$BD$1,0))),100*INDEX(Haver_Q!$B$1:$BD$1000,MATCH(data!$A158,Haver_Q!$B$1:$B$1000,0),MATCH(data!F$1,Haver_Q!$B$1:$BD$1,0)),"na")</f>
        <v>na</v>
      </c>
      <c r="G158" t="str">
        <f>IF(ISNUMBER(INDEX(Haver_Q!$B$1:$BD$1000,MATCH(data!$A158,Haver_Q!$B$1:$B$1000,0),MATCH(data!G$1,Haver_Q!$B$1:$BD$1,0))),100*INDEX(Haver_Q!$B$1:$BD$1000,MATCH(data!$A158,Haver_Q!$B$1:$B$1000,0),MATCH(data!G$1,Haver_Q!$B$1:$BD$1,0)),"na")</f>
        <v>na</v>
      </c>
      <c r="H158" t="str">
        <f>IF(ISNUMBER(INDEX(Haver_Q!$B$1:$BD$1000,MATCH(data!$A158,Haver_Q!$B$1:$B$1000,0),MATCH(data!H$1,Haver_Q!$B$1:$BD$1,0))),100*INDEX(Haver_Q!$B$1:$BD$1000,MATCH(data!$A158,Haver_Q!$B$1:$B$1000,0),MATCH(data!H$1,Haver_Q!$B$1:$BD$1,0)),"na")</f>
        <v>na</v>
      </c>
      <c r="I158" s="3">
        <f>IF(ISNUMBER(Bloomberg_m!C174),Bloomberg_m!C174,"na")</f>
        <v>771</v>
      </c>
      <c r="J158" s="3">
        <f>IF(ISNUMBER(Bloomberg_m!D174),Bloomberg_m!D174,"na")</f>
        <v>2196.0300000000002</v>
      </c>
      <c r="K158" s="3">
        <f>IF(ISNUMBER(Bloomberg_m!E174),Bloomberg_m!E174,"na")</f>
        <v>1200.44</v>
      </c>
      <c r="L158" s="3">
        <f>IF(ISNUMBER(Bloomberg_m!L174),Bloomberg_m!L174,"na")</f>
        <v>94.74</v>
      </c>
      <c r="M158">
        <f>IF(ISNUMBER(INDEX(Haver_M!$B$1:$ZN$1000,MATCH(data!$A158,Haver_M!$B$1:$B$1000,0),MATCH(data!M$1,Haver_M!$B$1:$ZN$1,0))),INDEX(Haver_M!$B$1:$ZN$1000,MATCH(data!$A158,Haver_M!$B$1:$B$1000,0),MATCH(data!M$1,Haver_M!$B$1:$ZN$1,0)),"na")</f>
        <v>4.5</v>
      </c>
      <c r="N158">
        <f>IF(ISNUMBER(INDEX(Haver_M!$B$1:$ZN$1000,MATCH(data!$A158,Haver_M!$B$1:$B$1000,0),MATCH(data!N$1,Haver_M!$B$1:$ZN$1,0))),INDEX(Haver_M!$B$1:$ZN$1000,MATCH(data!$A158,Haver_M!$B$1:$B$1000,0),MATCH(data!N$1,Haver_M!$B$1:$ZN$1,0)),"na")</f>
        <v>5.3376000000000001</v>
      </c>
      <c r="O158">
        <f>IF(ISNUMBER(INDEX(Haver_M!$B$1:$ZN$1000,MATCH(data!$A158,Haver_M!$B$1:$B$1000,0),MATCH(data!O$1,Haver_M!$B$1:$ZN$1,0))),INDEX(Haver_M!$B$1:$ZN$1000,MATCH(data!$A158,Haver_M!$B$1:$B$1000,0),MATCH(data!O$1,Haver_M!$B$1:$ZN$1,0)),"na")</f>
        <v>100.42977999999999</v>
      </c>
      <c r="P158">
        <f>IF(ISNUMBER(INDEX(Haver_M!$B$1:$ZN$1000,MATCH(data!$A158,Haver_M!$B$1:$B$1000,0),MATCH(data!P$1,Haver_M!$B$1:$ZN$1,0))),INDEX(Haver_M!$B$1:$ZN$1000,MATCH(data!$A158,Haver_M!$B$1:$B$1000,0),MATCH(data!P$1,Haver_M!$B$1:$ZN$1,0)),"na")</f>
        <v>80.421199999999999</v>
      </c>
      <c r="Q158">
        <f>IF(ISNUMBER(INDEX(Haver_M!$B$1:$ZN$1000,MATCH(data!$A158,Haver_M!$B$1:$B$1000,0),MATCH(data!Q$1,Haver_M!$B$1:$ZN$1,0))),INDEX(Haver_M!$B$1:$ZN$1000,MATCH(data!$A158,Haver_M!$B$1:$B$1000,0),MATCH(data!Q$1,Haver_M!$B$1:$ZN$1,0)),"na")</f>
        <v>83.443399999999997</v>
      </c>
      <c r="R158">
        <f>IF(ISNUMBER(INDEX(Haver_M!$B$1:$ZN$1000,MATCH(data!$A158,Haver_M!$B$1:$B$1000,0),MATCH(data!R$1,Haver_M!$B$1:$ZN$1,0))),INDEX(Haver_M!$B$1:$ZN$1000,MATCH(data!$A158,Haver_M!$B$1:$B$1000,0),MATCH(data!R$1,Haver_M!$B$1:$ZN$1,0)),"na")</f>
        <v>100.07299999999999</v>
      </c>
      <c r="S158">
        <f>IF(ISNUMBER(INDEX(Haver_M!$B$1:$ZN$1000,MATCH(data!$A158,Haver_M!$B$1:$B$1000,0),MATCH(data!S$1,Haver_M!$B$1:$ZN$1,0))),INDEX(Haver_M!$B$1:$ZN$1000,MATCH(data!$A158,Haver_M!$B$1:$B$1000,0),MATCH(data!S$1,Haver_M!$B$1:$ZN$1,0)),"na")</f>
        <v>100.8205</v>
      </c>
      <c r="T158">
        <f>IF(ISNUMBER(INDEX(Haver_M!$B$1:$ZN$1000,MATCH(data!$A158,Haver_M!$B$1:$B$1000,0),MATCH(data!T$1,Haver_M!$B$1:$ZN$1,0))),INDEX(Haver_M!$B$1:$ZN$1000,MATCH(data!$A158,Haver_M!$B$1:$B$1000,0),MATCH(data!T$1,Haver_M!$B$1:$ZN$1,0)),"na")</f>
        <v>99.927300000000002</v>
      </c>
      <c r="U158">
        <f>IF(ISNUMBER(INDEX(Haver_M!$B$1:$ZN$1000,MATCH(data!$A158,Haver_M!$B$1:$B$1000,0),MATCH(data!U$1,Haver_M!$B$1:$ZN$1,0))),INDEX(Haver_M!$B$1:$ZN$1000,MATCH(data!$A158,Haver_M!$B$1:$B$1000,0),MATCH(data!U$1,Haver_M!$B$1:$ZN$1,0)),"na")</f>
        <v>100.5167</v>
      </c>
      <c r="V158">
        <f>IF(ISNUMBER(INDEX(Haver_M!$B$1:$ZN$1000,MATCH(data!$A158,Haver_M!$B$1:$B$1000,0),MATCH(data!V$1,Haver_M!$B$1:$ZN$1,0))),INDEX(Haver_M!$B$1:$ZN$1000,MATCH(data!$A158,Haver_M!$B$1:$B$1000,0),MATCH(data!V$1,Haver_M!$B$1:$ZN$1,0)),"na")</f>
        <v>99.547300000000007</v>
      </c>
      <c r="W158">
        <f>IF(ISNUMBER(INDEX(Haver_M!$B$1:$ZN$1000,MATCH(data!$A158,Haver_M!$B$1:$B$1000,0),MATCH(data!W$1,Haver_M!$B$1:$ZN$1,0))),INDEX(Haver_M!$B$1:$ZN$1000,MATCH(data!$A158,Haver_M!$B$1:$B$1000,0),MATCH(data!W$1,Haver_M!$B$1:$ZN$1,0)),"na")</f>
        <v>5.23</v>
      </c>
      <c r="X158">
        <f>IF(ISNUMBER(INDEX(Haver_M!$B$1:$ZN$1000,MATCH(data!$A158,Haver_M!$B$1:$B$1000,0),MATCH(data!X$1,Haver_M!$B$1:$ZN$1,0))),INDEX(Haver_M!$B$1:$ZN$1000,MATCH(data!$A158,Haver_M!$B$1:$B$1000,0),MATCH(data!X$1,Haver_M!$B$1:$ZN$1,0)),"na")</f>
        <v>101.53</v>
      </c>
      <c r="Y158">
        <f>IF(ISNUMBER(INDEX(Haver_M!$B$1:$ZN$1000,MATCH(data!$A158,Haver_M!$B$1:$B$1000,0),MATCH(data!Y$1,Haver_M!$B$1:$ZN$1,0))),INDEX(Haver_M!$B$1:$ZN$1000,MATCH(data!$A158,Haver_M!$B$1:$B$1000,0),MATCH(data!Y$1,Haver_M!$B$1:$ZN$1,0)),"na")</f>
        <v>100.56</v>
      </c>
      <c r="Z158">
        <f>IF(ISNUMBER(INDEX(Haver_M!$B$1:$ZN$1000,MATCH(data!$A158,Haver_M!$B$1:$B$1000,0),MATCH(data!Z$1,Haver_M!$B$1:$ZN$1,0))),INDEX(Haver_M!$B$1:$ZN$1000,MATCH(data!$A158,Haver_M!$B$1:$B$1000,0),MATCH(data!Z$1,Haver_M!$B$1:$ZN$1,0)),"na")</f>
        <v>100.4152</v>
      </c>
      <c r="AA158">
        <f>IF(ISNUMBER(INDEX(Haver_M!$B$1:$ZN$1000,MATCH(data!$A158,Haver_M!$B$1:$B$1000,0),MATCH(data!AA$1,Haver_M!$B$1:$ZN$1,0))),INDEX(Haver_M!$B$1:$ZN$1000,MATCH(data!$A158,Haver_M!$B$1:$B$1000,0),MATCH(data!AA$1,Haver_M!$B$1:$ZN$1,0)),"na")</f>
        <v>99.678799999999995</v>
      </c>
      <c r="AB158">
        <f>IF(ISNUMBER(INDEX(Haver_M!$B$1:$ZN$1000,MATCH(data!$A158,Haver_M!$B$1:$B$1000,0),MATCH(data!AB$1,Haver_M!$B$1:$ZN$1,0))),INDEX(Haver_M!$B$1:$ZN$1000,MATCH(data!$A158,Haver_M!$B$1:$B$1000,0),MATCH(data!AB$1,Haver_M!$B$1:$ZN$1,0)),"na")</f>
        <v>31184.5</v>
      </c>
      <c r="AC158">
        <f>IF(ISNUMBER(INDEX(Haver_M!$B$1:$ZN$1000,MATCH(data!$A158,Haver_M!$B$1:$B$1000,0),MATCH(data!AC$1,Haver_M!$B$1:$ZN$1,0))),INDEX(Haver_M!$B$1:$ZN$1000,MATCH(data!$A158,Haver_M!$B$1:$B$1000,0),MATCH(data!AC$1,Haver_M!$B$1:$ZN$1,0)),"na")</f>
        <v>32012.7</v>
      </c>
      <c r="AD158">
        <f>IF(ISNUMBER(INDEX(Haver_M!$B$1:$ZN$1000,MATCH(data!$A158,Haver_M!$B$1:$B$1000,0),MATCH(data!AD$1,Haver_M!$B$1:$ZN$1,0))),INDEX(Haver_M!$B$1:$ZN$1000,MATCH(data!$A158,Haver_M!$B$1:$B$1000,0),MATCH(data!AD$1,Haver_M!$B$1:$ZN$1,0)),"na")</f>
        <v>100.15</v>
      </c>
      <c r="AE158">
        <f>IF(ISNUMBER(INDEX(Haver_M!$B$1:$ZN$1000,MATCH(data!$A158,Haver_M!$B$1:$B$1000,0),MATCH(data!AE$1,Haver_M!$B$1:$ZN$1,0))),INDEX(Haver_M!$B$1:$ZN$1000,MATCH(data!$A158,Haver_M!$B$1:$B$1000,0),MATCH(data!AE$1,Haver_M!$B$1:$ZN$1,0)),"na")</f>
        <v>41.4</v>
      </c>
      <c r="AF158">
        <f>IF(ISNUMBER(INDEX(Haver_M!$B$1:$ZN$1000,MATCH(data!$A158,Haver_M!$B$1:$B$1000,0),MATCH(data!AF$1,Haver_M!$B$1:$ZN$1,0))),INDEX(Haver_M!$B$1:$ZN$1000,MATCH(data!$A158,Haver_M!$B$1:$B$1000,0),MATCH(data!AF$1,Haver_M!$B$1:$ZN$1,0)),"na")</f>
        <v>101.21</v>
      </c>
      <c r="AG158">
        <f>IF(ISNUMBER(INDEX(Haver_M!$B$1:$ZN$1000,MATCH(data!$A158,Haver_M!$B$1:$B$1000,0),MATCH(data!AG$1,Haver_M!$B$1:$ZN$1,0))),INDEX(Haver_M!$B$1:$ZN$1000,MATCH(data!$A158,Haver_M!$B$1:$B$1000,0),MATCH(data!AG$1,Haver_M!$B$1:$ZN$1,0)),"na")</f>
        <v>54.963900000000002</v>
      </c>
      <c r="AH158">
        <f>IF(ISNUMBER(INDEX(Haver_M!$B$1:$ZN$1000,MATCH(data!$A158,Haver_M!$B$1:$B$1000,0),MATCH(data!AH$1,Haver_M!$B$1:$ZN$1,0))),INDEX(Haver_M!$B$1:$ZN$1000,MATCH(data!$A158,Haver_M!$B$1:$B$1000,0),MATCH(data!AH$1,Haver_M!$B$1:$ZN$1,0)),"na")</f>
        <v>57.147300000000001</v>
      </c>
      <c r="AI158">
        <f>IF(ISNUMBER(INDEX(Haver_M!$B$1:$ZN$1000,MATCH(data!$A158,Haver_M!$B$1:$B$1000,0),MATCH(data!AI$1,Haver_M!$B$1:$ZN$1,0))),INDEX(Haver_M!$B$1:$ZN$1000,MATCH(data!$A158,Haver_M!$B$1:$B$1000,0),MATCH(data!AI$1,Haver_M!$B$1:$ZN$1,0)),"na")</f>
        <v>57.817399999999999</v>
      </c>
      <c r="AJ158">
        <f>IF(ISNUMBER(INDEX(Haver_M!$B$1:$ZN$1000,MATCH(data!$A158,Haver_M!$B$1:$B$1000,0),MATCH(data!AJ$1,Haver_M!$B$1:$ZN$1,0))),INDEX(Haver_M!$B$1:$ZN$1000,MATCH(data!$A158,Haver_M!$B$1:$B$1000,0),MATCH(data!AJ$1,Haver_M!$B$1:$ZN$1,0)),"na")</f>
        <v>51.070399999999999</v>
      </c>
      <c r="AK158">
        <f>IF(ISNUMBER(INDEX(Haver_M!$B$1:$ZN$1000,MATCH(data!$A158,Haver_M!$B$1:$B$1000,0),MATCH(data!AK$1,Haver_M!$B$1:$ZN$1,0))),INDEX(Haver_M!$B$1:$ZN$1000,MATCH(data!$A158,Haver_M!$B$1:$B$1000,0),MATCH(data!AK$1,Haver_M!$B$1:$ZN$1,0)),"na")</f>
        <v>47.061500000000002</v>
      </c>
      <c r="AL158">
        <f>IF(ISNUMBER(INDEX(Haver_M!$B$1:$ZN$1000,MATCH(data!$A158,Haver_M!$B$1:$B$1000,0),MATCH(data!AL$1,Haver_M!$B$1:$ZN$1,0))),INDEX(Haver_M!$B$1:$ZN$1000,MATCH(data!$A158,Haver_M!$B$1:$B$1000,0),MATCH(data!AL$1,Haver_M!$B$1:$ZN$1,0)),"na")</f>
        <v>51.77</v>
      </c>
      <c r="AM158">
        <f>IF(ISNUMBER(INDEX(Haver_M!$B$1:$ZN$1000,MATCH(data!$A158,Haver_M!$B$1:$B$1000,0),MATCH(data!AM$1,Haver_M!$B$1:$ZN$1,0))),INDEX(Haver_M!$B$1:$ZN$1000,MATCH(data!$A158,Haver_M!$B$1:$B$1000,0),MATCH(data!AM$1,Haver_M!$B$1:$ZN$1,0)),"na")</f>
        <v>54.223300000000002</v>
      </c>
      <c r="AN158">
        <f>IF(ISNUMBER(INDEX(Haver_M!$B$1:$ZN$1000,MATCH(data!$A158,Haver_M!$B$1:$B$1000,0),MATCH(data!AN$1,Haver_M!$B$1:$ZN$1,0))),INDEX(Haver_M!$B$1:$ZN$1000,MATCH(data!$A158,Haver_M!$B$1:$B$1000,0),MATCH(data!AN$1,Haver_M!$B$1:$ZN$1,0)),"na")</f>
        <v>56.012300000000003</v>
      </c>
      <c r="AO158">
        <f>IF(ISNUMBER(INDEX(Haver_M!$B$1:$ZN$1000,MATCH(data!$A158,Haver_M!$B$1:$B$1000,0),MATCH(data!AO$1,Haver_M!$B$1:$ZN$1,0))),INDEX(Haver_M!$B$1:$ZN$1000,MATCH(data!$A158,Haver_M!$B$1:$B$1000,0),MATCH(data!AO$1,Haver_M!$B$1:$ZN$1,0)),"na")</f>
        <v>51.77</v>
      </c>
      <c r="AP158">
        <f>IF(ISNUMBER(INDEX(Haver_M!$B$1:$ZN$1000,MATCH(data!$A158,Haver_M!$B$1:$B$1000,0),MATCH(data!AP$1,Haver_M!$B$1:$ZN$1,0))),INDEX(Haver_M!$B$1:$ZN$1000,MATCH(data!$A158,Haver_M!$B$1:$B$1000,0),MATCH(data!AP$1,Haver_M!$B$1:$ZN$1,0)),"na")</f>
        <v>49.050800000000002</v>
      </c>
      <c r="AQ158">
        <f>IF(ISNUMBER(INDEX(Haver_M!$B$1:$ZN$1000,MATCH(data!$A158,Haver_M!$B$1:$B$1000,0),MATCH(data!AQ$1,Haver_M!$B$1:$ZN$1,0))),INDEX(Haver_M!$B$1:$ZN$1000,MATCH(data!$A158,Haver_M!$B$1:$B$1000,0),MATCH(data!AQ$1,Haver_M!$B$1:$ZN$1,0)),"na")</f>
        <v>51.0518</v>
      </c>
      <c r="AR158">
        <f>IF(ISNUMBER(INDEX(Haver_M!$B$1:$ZN$1000,MATCH(data!$A158,Haver_M!$B$1:$B$1000,0),MATCH(data!AR$1,Haver_M!$B$1:$ZN$1,0))),INDEX(Haver_M!$B$1:$ZN$1000,MATCH(data!$A158,Haver_M!$B$1:$B$1000,0),MATCH(data!AR$1,Haver_M!$B$1:$ZN$1,0)),"na")</f>
        <v>49.598999999999997</v>
      </c>
      <c r="AS158">
        <f>IF(ISNUMBER(INDEX(Haver_M!$B$1:$ZN$1000,MATCH(data!$A158,Haver_M!$B$1:$B$1000,0),MATCH(data!AS$1,Haver_M!$B$1:$ZN$1,0))),INDEX(Haver_M!$B$1:$ZN$1000,MATCH(data!$A158,Haver_M!$B$1:$B$1000,0),MATCH(data!AS$1,Haver_M!$B$1:$ZN$1,0)),"na")</f>
        <v>45069.11</v>
      </c>
      <c r="AT158">
        <f>IF(ISNUMBER(INDEX(Haver_M!$B$1:$ZN$1000,MATCH(data!$A158,Haver_M!$B$1:$B$1000,0),MATCH(data!AT$1,Haver_M!$B$1:$ZN$1,0))),INDEX(Haver_M!$B$1:$ZN$1000,MATCH(data!$A158,Haver_M!$B$1:$B$1000,0),MATCH(data!AT$1,Haver_M!$B$1:$ZN$1,0)),"na")</f>
        <v>99.418999999999997</v>
      </c>
      <c r="AU158">
        <f>IF(ISNUMBER(INDEX(Haver_M!$B$1:$ZN$1000,MATCH(data!$A158,Haver_M!$B$1:$B$1000,0),MATCH(data!AU$1,Haver_M!$B$1:$ZN$1,0))),INDEX(Haver_M!$B$1:$ZN$1000,MATCH(data!$A158,Haver_M!$B$1:$B$1000,0),MATCH(data!AU$1,Haver_M!$B$1:$ZN$1,0)),"na")</f>
        <v>99.504756999999998</v>
      </c>
      <c r="AV158">
        <f>IF(ISNUMBER(INDEX(Haver_M!$B$1:$ZN$1000,MATCH(data!$A158,Haver_M!$B$1:$B$1000,0),MATCH(data!AV$1,Haver_M!$B$1:$ZN$1,0))),INDEX(Haver_M!$B$1:$ZN$1000,MATCH(data!$A158,Haver_M!$B$1:$B$1000,0),MATCH(data!AV$1,Haver_M!$B$1:$ZN$1,0)),"na")</f>
        <v>100.8</v>
      </c>
      <c r="AW158">
        <f>IF(ISNUMBER(INDEX(Haver_M!$B$1:$ZN$1000,MATCH(data!$A158,Haver_M!$B$1:$B$1000,0),MATCH(data!AW$1,Haver_M!$B$1:$ZN$1,0))),INDEX(Haver_M!$B$1:$ZN$1000,MATCH(data!$A158,Haver_M!$B$1:$B$1000,0),MATCH(data!AW$1,Haver_M!$B$1:$ZN$1,0)),"na")</f>
        <v>1112840.7961981259</v>
      </c>
      <c r="AX158">
        <f>IF(ISNUMBER(INDEX(Haver_M!$B$1:$ZN$1000,MATCH(data!$A158,Haver_M!$B$1:$B$1000,0),MATCH(data!AX$1,Haver_M!$B$1:$ZN$1,0))),INDEX(Haver_M!$B$1:$ZN$1000,MATCH(data!$A158,Haver_M!$B$1:$B$1000,0),MATCH(data!AX$1,Haver_M!$B$1:$ZN$1,0)),"na")</f>
        <v>2558</v>
      </c>
      <c r="AY158">
        <f>IF(ISNUMBER(INDEX(Haver_M!$B$1:$ZN$1000,MATCH(data!$A158,Haver_M!$B$1:$B$1000,0),MATCH(data!AY$1,Haver_M!$B$1:$ZN$1,0))),INDEX(Haver_M!$B$1:$ZN$1000,MATCH(data!$A158,Haver_M!$B$1:$B$1000,0),MATCH(data!AY$1,Haver_M!$B$1:$ZN$1,0)),"na")</f>
        <v>1289</v>
      </c>
      <c r="AZ158">
        <f>IF(ISNUMBER(INDEX(Haver_M!$B$1:$ZN$1000,MATCH(data!$A158,Haver_M!$B$1:$B$1000,0),MATCH(data!AZ$1,Haver_M!$B$1:$ZN$1,0))),INDEX(Haver_M!$B$1:$ZN$1000,MATCH(data!$A158,Haver_M!$B$1:$B$1000,0),MATCH(data!AZ$1,Haver_M!$B$1:$ZN$1,0)),"na")</f>
        <v>53.3</v>
      </c>
      <c r="BA158">
        <f>IF(ISNUMBER(INDEX(Haver_M!$B$1:$ZN$1000,MATCH(data!$A158,Haver_M!$B$1:$B$1000,0),MATCH(data!BA$1,Haver_M!$B$1:$ZN$1,0))),INDEX(Haver_M!$B$1:$ZN$1000,MATCH(data!$A158,Haver_M!$B$1:$B$1000,0),MATCH(data!BA$1,Haver_M!$B$1:$ZN$1,0)),"na")</f>
        <v>52.552995149163543</v>
      </c>
      <c r="BB158" t="str">
        <f>IF(ISNUMBER(INDEX(Haver_M!$B$1:$ZN$1000,MATCH(data!$A158,Haver_M!$B$1:$B$1000,0),MATCH(data!BB$1,Haver_M!$B$1:$ZN$1,0))),INDEX(Haver_M!$B$1:$ZN$1000,MATCH(data!$A158,Haver_M!$B$1:$B$1000,0),MATCH(data!BB$1,Haver_M!$B$1:$ZN$1,0)),"")</f>
        <v/>
      </c>
    </row>
    <row r="159" spans="1:54" x14ac:dyDescent="0.25">
      <c r="A159" s="2">
        <v>41333</v>
      </c>
      <c r="B159" t="str">
        <f>IF(ISNUMBER(INDEX(Haver_Q!$B$1:$BD$1000,MATCH(data!$A159,Haver_Q!$B$1:$B$1000,0),MATCH(data!B$1,Haver_Q!$B$1:$BD$1,0))),100*INDEX(Haver_Q!$B$1:$BD$1000,MATCH(data!$A159,Haver_Q!$B$1:$B$1000,0),MATCH(data!B$1,Haver_Q!$B$1:$BD$1,0)),"na")</f>
        <v>na</v>
      </c>
      <c r="C159" t="str">
        <f>IF(ISNUMBER(INDEX(Haver_Q!$B$1:$BD$1000,MATCH(data!$A159,Haver_Q!$B$1:$B$1000,0),MATCH(data!C$1,Haver_Q!$B$1:$BD$1,0))),100*INDEX(Haver_Q!$B$1:$BD$1000,MATCH(data!$A159,Haver_Q!$B$1:$B$1000,0),MATCH(data!C$1,Haver_Q!$B$1:$BD$1,0)),"na")</f>
        <v>na</v>
      </c>
      <c r="D159" t="str">
        <f>IF(ISNUMBER(INDEX(Haver_Q!$B$1:$BD$1000,MATCH(data!$A159,Haver_Q!$B$1:$B$1000,0),MATCH(data!D$1,Haver_Q!$B$1:$BD$1,0))),100*INDEX(Haver_Q!$B$1:$BD$1000,MATCH(data!$A159,Haver_Q!$B$1:$B$1000,0),MATCH(data!D$1,Haver_Q!$B$1:$BD$1,0)),"na")</f>
        <v>na</v>
      </c>
      <c r="E159" t="str">
        <f>IF(ISNUMBER(INDEX(Haver_Q!$B$1:$BD$1000,MATCH(data!$A159,Haver_Q!$B$1:$B$1000,0),MATCH(data!E$1,Haver_Q!$B$1:$BD$1,0))),100*INDEX(Haver_Q!$B$1:$BD$1000,MATCH(data!$A159,Haver_Q!$B$1:$B$1000,0),MATCH(data!E$1,Haver_Q!$B$1:$BD$1,0)),"na")</f>
        <v>na</v>
      </c>
      <c r="F159" t="str">
        <f>IF(ISNUMBER(INDEX(Haver_Q!$B$1:$BD$1000,MATCH(data!$A159,Haver_Q!$B$1:$B$1000,0),MATCH(data!F$1,Haver_Q!$B$1:$BD$1,0))),100*INDEX(Haver_Q!$B$1:$BD$1000,MATCH(data!$A159,Haver_Q!$B$1:$B$1000,0),MATCH(data!F$1,Haver_Q!$B$1:$BD$1,0)),"na")</f>
        <v>na</v>
      </c>
      <c r="G159" t="str">
        <f>IF(ISNUMBER(INDEX(Haver_Q!$B$1:$BD$1000,MATCH(data!$A159,Haver_Q!$B$1:$B$1000,0),MATCH(data!G$1,Haver_Q!$B$1:$BD$1,0))),100*INDEX(Haver_Q!$B$1:$BD$1000,MATCH(data!$A159,Haver_Q!$B$1:$B$1000,0),MATCH(data!G$1,Haver_Q!$B$1:$BD$1,0)),"na")</f>
        <v>na</v>
      </c>
      <c r="H159" t="str">
        <f>IF(ISNUMBER(INDEX(Haver_Q!$B$1:$BD$1000,MATCH(data!$A159,Haver_Q!$B$1:$B$1000,0),MATCH(data!H$1,Haver_Q!$B$1:$BD$1,0))),100*INDEX(Haver_Q!$B$1:$BD$1000,MATCH(data!$A159,Haver_Q!$B$1:$B$1000,0),MATCH(data!H$1,Haver_Q!$B$1:$BD$1,0)),"na")</f>
        <v>na</v>
      </c>
      <c r="I159" s="3">
        <f>IF(ISNUMBER(Bloomberg_m!C175),Bloomberg_m!C175,"na")</f>
        <v>745</v>
      </c>
      <c r="J159" s="3">
        <f>IF(ISNUMBER(Bloomberg_m!D175),Bloomberg_m!D175,"na")</f>
        <v>2129.15</v>
      </c>
      <c r="K159" s="3">
        <f>IF(ISNUMBER(Bloomberg_m!E175),Bloomberg_m!E175,"na")</f>
        <v>1197.7</v>
      </c>
      <c r="L159" s="3">
        <f>IF(ISNUMBER(Bloomberg_m!L175),Bloomberg_m!L175,"na")</f>
        <v>95.27</v>
      </c>
      <c r="M159">
        <f>IF(ISNUMBER(INDEX(Haver_M!$B$1:$ZN$1000,MATCH(data!$A159,Haver_M!$B$1:$B$1000,0),MATCH(data!M$1,Haver_M!$B$1:$ZN$1,0))),INDEX(Haver_M!$B$1:$ZN$1000,MATCH(data!$A159,Haver_M!$B$1:$B$1000,0),MATCH(data!M$1,Haver_M!$B$1:$ZN$1,0)),"na")</f>
        <v>4.5</v>
      </c>
      <c r="N159">
        <f>IF(ISNUMBER(INDEX(Haver_M!$B$1:$ZN$1000,MATCH(data!$A159,Haver_M!$B$1:$B$1000,0),MATCH(data!N$1,Haver_M!$B$1:$ZN$1,0))),INDEX(Haver_M!$B$1:$ZN$1000,MATCH(data!$A159,Haver_M!$B$1:$B$1000,0),MATCH(data!N$1,Haver_M!$B$1:$ZN$1,0)),"na")</f>
        <v>5.0423999999999998</v>
      </c>
      <c r="O159">
        <f>IF(ISNUMBER(INDEX(Haver_M!$B$1:$ZN$1000,MATCH(data!$A159,Haver_M!$B$1:$B$1000,0),MATCH(data!O$1,Haver_M!$B$1:$ZN$1,0))),INDEX(Haver_M!$B$1:$ZN$1000,MATCH(data!$A159,Haver_M!$B$1:$B$1000,0),MATCH(data!O$1,Haver_M!$B$1:$ZN$1,0)),"na")</f>
        <v>100.57198</v>
      </c>
      <c r="P159">
        <f>IF(ISNUMBER(INDEX(Haver_M!$B$1:$ZN$1000,MATCH(data!$A159,Haver_M!$B$1:$B$1000,0),MATCH(data!P$1,Haver_M!$B$1:$ZN$1,0))),INDEX(Haver_M!$B$1:$ZN$1000,MATCH(data!$A159,Haver_M!$B$1:$B$1000,0),MATCH(data!P$1,Haver_M!$B$1:$ZN$1,0)),"na")</f>
        <v>80.703199999999995</v>
      </c>
      <c r="Q159">
        <f>IF(ISNUMBER(INDEX(Haver_M!$B$1:$ZN$1000,MATCH(data!$A159,Haver_M!$B$1:$B$1000,0),MATCH(data!Q$1,Haver_M!$B$1:$ZN$1,0))),INDEX(Haver_M!$B$1:$ZN$1000,MATCH(data!$A159,Haver_M!$B$1:$B$1000,0),MATCH(data!Q$1,Haver_M!$B$1:$ZN$1,0)),"na")</f>
        <v>83.711500000000001</v>
      </c>
      <c r="R159">
        <f>IF(ISNUMBER(INDEX(Haver_M!$B$1:$ZN$1000,MATCH(data!$A159,Haver_M!$B$1:$B$1000,0),MATCH(data!R$1,Haver_M!$B$1:$ZN$1,0))),INDEX(Haver_M!$B$1:$ZN$1000,MATCH(data!$A159,Haver_M!$B$1:$B$1000,0),MATCH(data!R$1,Haver_M!$B$1:$ZN$1,0)),"na")</f>
        <v>100.4892</v>
      </c>
      <c r="S159">
        <f>IF(ISNUMBER(INDEX(Haver_M!$B$1:$ZN$1000,MATCH(data!$A159,Haver_M!$B$1:$B$1000,0),MATCH(data!S$1,Haver_M!$B$1:$ZN$1,0))),INDEX(Haver_M!$B$1:$ZN$1000,MATCH(data!$A159,Haver_M!$B$1:$B$1000,0),MATCH(data!S$1,Haver_M!$B$1:$ZN$1,0)),"na")</f>
        <v>100.18819999999999</v>
      </c>
      <c r="T159">
        <f>IF(ISNUMBER(INDEX(Haver_M!$B$1:$ZN$1000,MATCH(data!$A159,Haver_M!$B$1:$B$1000,0),MATCH(data!T$1,Haver_M!$B$1:$ZN$1,0))),INDEX(Haver_M!$B$1:$ZN$1000,MATCH(data!$A159,Haver_M!$B$1:$B$1000,0),MATCH(data!T$1,Haver_M!$B$1:$ZN$1,0)),"na")</f>
        <v>99.350399999999993</v>
      </c>
      <c r="U159">
        <f>IF(ISNUMBER(INDEX(Haver_M!$B$1:$ZN$1000,MATCH(data!$A159,Haver_M!$B$1:$B$1000,0),MATCH(data!U$1,Haver_M!$B$1:$ZN$1,0))),INDEX(Haver_M!$B$1:$ZN$1000,MATCH(data!$A159,Haver_M!$B$1:$B$1000,0),MATCH(data!U$1,Haver_M!$B$1:$ZN$1,0)),"na")</f>
        <v>102.43040000000001</v>
      </c>
      <c r="V159">
        <f>IF(ISNUMBER(INDEX(Haver_M!$B$1:$ZN$1000,MATCH(data!$A159,Haver_M!$B$1:$B$1000,0),MATCH(data!V$1,Haver_M!$B$1:$ZN$1,0))),INDEX(Haver_M!$B$1:$ZN$1000,MATCH(data!$A159,Haver_M!$B$1:$B$1000,0),MATCH(data!V$1,Haver_M!$B$1:$ZN$1,0)),"na")</f>
        <v>99.892099999999999</v>
      </c>
      <c r="W159">
        <f>IF(ISNUMBER(INDEX(Haver_M!$B$1:$ZN$1000,MATCH(data!$A159,Haver_M!$B$1:$B$1000,0),MATCH(data!W$1,Haver_M!$B$1:$ZN$1,0))),INDEX(Haver_M!$B$1:$ZN$1000,MATCH(data!$A159,Haver_M!$B$1:$B$1000,0),MATCH(data!W$1,Haver_M!$B$1:$ZN$1,0)),"na")</f>
        <v>4.82</v>
      </c>
      <c r="X159">
        <f>IF(ISNUMBER(INDEX(Haver_M!$B$1:$ZN$1000,MATCH(data!$A159,Haver_M!$B$1:$B$1000,0),MATCH(data!X$1,Haver_M!$B$1:$ZN$1,0))),INDEX(Haver_M!$B$1:$ZN$1000,MATCH(data!$A159,Haver_M!$B$1:$B$1000,0),MATCH(data!X$1,Haver_M!$B$1:$ZN$1,0)),"na")</f>
        <v>99.46</v>
      </c>
      <c r="Y159">
        <f>IF(ISNUMBER(INDEX(Haver_M!$B$1:$ZN$1000,MATCH(data!$A159,Haver_M!$B$1:$B$1000,0),MATCH(data!Y$1,Haver_M!$B$1:$ZN$1,0))),INDEX(Haver_M!$B$1:$ZN$1000,MATCH(data!$A159,Haver_M!$B$1:$B$1000,0),MATCH(data!Y$1,Haver_M!$B$1:$ZN$1,0)),"na")</f>
        <v>100.61</v>
      </c>
      <c r="Z159">
        <f>IF(ISNUMBER(INDEX(Haver_M!$B$1:$ZN$1000,MATCH(data!$A159,Haver_M!$B$1:$B$1000,0),MATCH(data!Z$1,Haver_M!$B$1:$ZN$1,0))),INDEX(Haver_M!$B$1:$ZN$1000,MATCH(data!$A159,Haver_M!$B$1:$B$1000,0),MATCH(data!Z$1,Haver_M!$B$1:$ZN$1,0)),"na")</f>
        <v>100.3408</v>
      </c>
      <c r="AA159">
        <f>IF(ISNUMBER(INDEX(Haver_M!$B$1:$ZN$1000,MATCH(data!$A159,Haver_M!$B$1:$B$1000,0),MATCH(data!AA$1,Haver_M!$B$1:$ZN$1,0))),INDEX(Haver_M!$B$1:$ZN$1000,MATCH(data!$A159,Haver_M!$B$1:$B$1000,0),MATCH(data!AA$1,Haver_M!$B$1:$ZN$1,0)),"na")</f>
        <v>99.624499999999998</v>
      </c>
      <c r="AB159">
        <f>IF(ISNUMBER(INDEX(Haver_M!$B$1:$ZN$1000,MATCH(data!$A159,Haver_M!$B$1:$B$1000,0),MATCH(data!AB$1,Haver_M!$B$1:$ZN$1,0))),INDEX(Haver_M!$B$1:$ZN$1000,MATCH(data!$A159,Haver_M!$B$1:$B$1000,0),MATCH(data!AB$1,Haver_M!$B$1:$ZN$1,0)),"na")</f>
        <v>31237.7</v>
      </c>
      <c r="AC159">
        <f>IF(ISNUMBER(INDEX(Haver_M!$B$1:$ZN$1000,MATCH(data!$A159,Haver_M!$B$1:$B$1000,0),MATCH(data!AC$1,Haver_M!$B$1:$ZN$1,0))),INDEX(Haver_M!$B$1:$ZN$1000,MATCH(data!$A159,Haver_M!$B$1:$B$1000,0),MATCH(data!AC$1,Haver_M!$B$1:$ZN$1,0)),"na")</f>
        <v>32086.799999999999</v>
      </c>
      <c r="AD159">
        <f>IF(ISNUMBER(INDEX(Haver_M!$B$1:$ZN$1000,MATCH(data!$A159,Haver_M!$B$1:$B$1000,0),MATCH(data!AD$1,Haver_M!$B$1:$ZN$1,0))),INDEX(Haver_M!$B$1:$ZN$1000,MATCH(data!$A159,Haver_M!$B$1:$B$1000,0),MATCH(data!AD$1,Haver_M!$B$1:$ZN$1,0)),"na")</f>
        <v>100.1</v>
      </c>
      <c r="AE159">
        <f>IF(ISNUMBER(INDEX(Haver_M!$B$1:$ZN$1000,MATCH(data!$A159,Haver_M!$B$1:$B$1000,0),MATCH(data!AE$1,Haver_M!$B$1:$ZN$1,0))),INDEX(Haver_M!$B$1:$ZN$1000,MATCH(data!$A159,Haver_M!$B$1:$B$1000,0),MATCH(data!AE$1,Haver_M!$B$1:$ZN$1,0)),"na")</f>
        <v>40.4</v>
      </c>
      <c r="AF159">
        <f>IF(ISNUMBER(INDEX(Haver_M!$B$1:$ZN$1000,MATCH(data!$A159,Haver_M!$B$1:$B$1000,0),MATCH(data!AF$1,Haver_M!$B$1:$ZN$1,0))),INDEX(Haver_M!$B$1:$ZN$1000,MATCH(data!$A159,Haver_M!$B$1:$B$1000,0),MATCH(data!AF$1,Haver_M!$B$1:$ZN$1,0)),"na")</f>
        <v>101.26</v>
      </c>
      <c r="AG159">
        <f>IF(ISNUMBER(INDEX(Haver_M!$B$1:$ZN$1000,MATCH(data!$A159,Haver_M!$B$1:$B$1000,0),MATCH(data!AG$1,Haver_M!$B$1:$ZN$1,0))),INDEX(Haver_M!$B$1:$ZN$1000,MATCH(data!$A159,Haver_M!$B$1:$B$1000,0),MATCH(data!AG$1,Haver_M!$B$1:$ZN$1,0)),"na")</f>
        <v>53.399000000000001</v>
      </c>
      <c r="AH159">
        <f>IF(ISNUMBER(INDEX(Haver_M!$B$1:$ZN$1000,MATCH(data!$A159,Haver_M!$B$1:$B$1000,0),MATCH(data!AH$1,Haver_M!$B$1:$ZN$1,0))),INDEX(Haver_M!$B$1:$ZN$1000,MATCH(data!$A159,Haver_M!$B$1:$B$1000,0),MATCH(data!AH$1,Haver_M!$B$1:$ZN$1,0)),"na")</f>
        <v>54.911099999999998</v>
      </c>
      <c r="AI159">
        <f>IF(ISNUMBER(INDEX(Haver_M!$B$1:$ZN$1000,MATCH(data!$A159,Haver_M!$B$1:$B$1000,0),MATCH(data!AI$1,Haver_M!$B$1:$ZN$1,0))),INDEX(Haver_M!$B$1:$ZN$1000,MATCH(data!$A159,Haver_M!$B$1:$B$1000,0),MATCH(data!AI$1,Haver_M!$B$1:$ZN$1,0)),"na")</f>
        <v>55.150599999999997</v>
      </c>
      <c r="AJ159">
        <f>IF(ISNUMBER(INDEX(Haver_M!$B$1:$ZN$1000,MATCH(data!$A159,Haver_M!$B$1:$B$1000,0),MATCH(data!AJ$1,Haver_M!$B$1:$ZN$1,0))),INDEX(Haver_M!$B$1:$ZN$1000,MATCH(data!$A159,Haver_M!$B$1:$B$1000,0),MATCH(data!AJ$1,Haver_M!$B$1:$ZN$1,0)),"na")</f>
        <v>51.947200000000002</v>
      </c>
      <c r="AK159">
        <f>IF(ISNUMBER(INDEX(Haver_M!$B$1:$ZN$1000,MATCH(data!$A159,Haver_M!$B$1:$B$1000,0),MATCH(data!AK$1,Haver_M!$B$1:$ZN$1,0))),INDEX(Haver_M!$B$1:$ZN$1000,MATCH(data!$A159,Haver_M!$B$1:$B$1000,0),MATCH(data!AK$1,Haver_M!$B$1:$ZN$1,0)),"na")</f>
        <v>48.539700000000003</v>
      </c>
      <c r="AL159">
        <f>IF(ISNUMBER(INDEX(Haver_M!$B$1:$ZN$1000,MATCH(data!$A159,Haver_M!$B$1:$B$1000,0),MATCH(data!AL$1,Haver_M!$B$1:$ZN$1,0))),INDEX(Haver_M!$B$1:$ZN$1000,MATCH(data!$A159,Haver_M!$B$1:$B$1000,0),MATCH(data!AL$1,Haver_M!$B$1:$ZN$1,0)),"na")</f>
        <v>50.176000000000002</v>
      </c>
      <c r="AM159">
        <f>IF(ISNUMBER(INDEX(Haver_M!$B$1:$ZN$1000,MATCH(data!$A159,Haver_M!$B$1:$B$1000,0),MATCH(data!AM$1,Haver_M!$B$1:$ZN$1,0))),INDEX(Haver_M!$B$1:$ZN$1000,MATCH(data!$A159,Haver_M!$B$1:$B$1000,0),MATCH(data!AM$1,Haver_M!$B$1:$ZN$1,0)),"na")</f>
        <v>59.829799999999999</v>
      </c>
      <c r="AN159">
        <f>IF(ISNUMBER(INDEX(Haver_M!$B$1:$ZN$1000,MATCH(data!$A159,Haver_M!$B$1:$B$1000,0),MATCH(data!AN$1,Haver_M!$B$1:$ZN$1,0))),INDEX(Haver_M!$B$1:$ZN$1000,MATCH(data!$A159,Haver_M!$B$1:$B$1000,0),MATCH(data!AN$1,Haver_M!$B$1:$ZN$1,0)),"na")</f>
        <v>55.493000000000002</v>
      </c>
      <c r="AO159">
        <f>IF(ISNUMBER(INDEX(Haver_M!$B$1:$ZN$1000,MATCH(data!$A159,Haver_M!$B$1:$B$1000,0),MATCH(data!AO$1,Haver_M!$B$1:$ZN$1,0))),INDEX(Haver_M!$B$1:$ZN$1000,MATCH(data!$A159,Haver_M!$B$1:$B$1000,0),MATCH(data!AO$1,Haver_M!$B$1:$ZN$1,0)),"na")</f>
        <v>50.176000000000002</v>
      </c>
      <c r="AP159">
        <f>IF(ISNUMBER(INDEX(Haver_M!$B$1:$ZN$1000,MATCH(data!$A159,Haver_M!$B$1:$B$1000,0),MATCH(data!AP$1,Haver_M!$B$1:$ZN$1,0))),INDEX(Haver_M!$B$1:$ZN$1000,MATCH(data!$A159,Haver_M!$B$1:$B$1000,0),MATCH(data!AP$1,Haver_M!$B$1:$ZN$1,0)),"na")</f>
        <v>50.362900000000003</v>
      </c>
      <c r="AQ159">
        <f>IF(ISNUMBER(INDEX(Haver_M!$B$1:$ZN$1000,MATCH(data!$A159,Haver_M!$B$1:$B$1000,0),MATCH(data!AQ$1,Haver_M!$B$1:$ZN$1,0))),INDEX(Haver_M!$B$1:$ZN$1000,MATCH(data!$A159,Haver_M!$B$1:$B$1000,0),MATCH(data!AQ$1,Haver_M!$B$1:$ZN$1,0)),"na")</f>
        <v>51.865099999999998</v>
      </c>
      <c r="AR159">
        <f>IF(ISNUMBER(INDEX(Haver_M!$B$1:$ZN$1000,MATCH(data!$A159,Haver_M!$B$1:$B$1000,0),MATCH(data!AR$1,Haver_M!$B$1:$ZN$1,0))),INDEX(Haver_M!$B$1:$ZN$1000,MATCH(data!$A159,Haver_M!$B$1:$B$1000,0),MATCH(data!AR$1,Haver_M!$B$1:$ZN$1,0)),"na")</f>
        <v>48.401499999999999</v>
      </c>
      <c r="AS159">
        <f>IF(ISNUMBER(INDEX(Haver_M!$B$1:$ZN$1000,MATCH(data!$A159,Haver_M!$B$1:$B$1000,0),MATCH(data!AS$1,Haver_M!$B$1:$ZN$1,0))),INDEX(Haver_M!$B$1:$ZN$1000,MATCH(data!$A159,Haver_M!$B$1:$B$1000,0),MATCH(data!AS$1,Haver_M!$B$1:$ZN$1,0)),"na")</f>
        <v>44482.87</v>
      </c>
      <c r="AT159">
        <f>IF(ISNUMBER(INDEX(Haver_M!$B$1:$ZN$1000,MATCH(data!$A159,Haver_M!$B$1:$B$1000,0),MATCH(data!AT$1,Haver_M!$B$1:$ZN$1,0))),INDEX(Haver_M!$B$1:$ZN$1000,MATCH(data!$A159,Haver_M!$B$1:$B$1000,0),MATCH(data!AT$1,Haver_M!$B$1:$ZN$1,0)),"na")</f>
        <v>99.792000000000002</v>
      </c>
      <c r="AU159">
        <f>IF(ISNUMBER(INDEX(Haver_M!$B$1:$ZN$1000,MATCH(data!$A159,Haver_M!$B$1:$B$1000,0),MATCH(data!AU$1,Haver_M!$B$1:$ZN$1,0))),INDEX(Haver_M!$B$1:$ZN$1000,MATCH(data!$A159,Haver_M!$B$1:$B$1000,0),MATCH(data!AU$1,Haver_M!$B$1:$ZN$1,0)),"na")</f>
        <v>99.491240000000005</v>
      </c>
      <c r="AV159">
        <f>IF(ISNUMBER(INDEX(Haver_M!$B$1:$ZN$1000,MATCH(data!$A159,Haver_M!$B$1:$B$1000,0),MATCH(data!AV$1,Haver_M!$B$1:$ZN$1,0))),INDEX(Haver_M!$B$1:$ZN$1000,MATCH(data!$A159,Haver_M!$B$1:$B$1000,0),MATCH(data!AV$1,Haver_M!$B$1:$ZN$1,0)),"na")</f>
        <v>104.3</v>
      </c>
      <c r="AW159">
        <f>IF(ISNUMBER(INDEX(Haver_M!$B$1:$ZN$1000,MATCH(data!$A159,Haver_M!$B$1:$B$1000,0),MATCH(data!AW$1,Haver_M!$B$1:$ZN$1,0))),INDEX(Haver_M!$B$1:$ZN$1000,MATCH(data!$A159,Haver_M!$B$1:$B$1000,0),MATCH(data!AW$1,Haver_M!$B$1:$ZN$1,0)),"na")</f>
        <v>1115868.7910953769</v>
      </c>
      <c r="AX159">
        <f>IF(ISNUMBER(INDEX(Haver_M!$B$1:$ZN$1000,MATCH(data!$A159,Haver_M!$B$1:$B$1000,0),MATCH(data!AX$1,Haver_M!$B$1:$ZN$1,0))),INDEX(Haver_M!$B$1:$ZN$1000,MATCH(data!$A159,Haver_M!$B$1:$B$1000,0),MATCH(data!AX$1,Haver_M!$B$1:$ZN$1,0)),"na")</f>
        <v>2549</v>
      </c>
      <c r="AY159">
        <f>IF(ISNUMBER(INDEX(Haver_M!$B$1:$ZN$1000,MATCH(data!$A159,Haver_M!$B$1:$B$1000,0),MATCH(data!AY$1,Haver_M!$B$1:$ZN$1,0))),INDEX(Haver_M!$B$1:$ZN$1000,MATCH(data!$A159,Haver_M!$B$1:$B$1000,0),MATCH(data!AY$1,Haver_M!$B$1:$ZN$1,0)),"na")</f>
        <v>1220</v>
      </c>
      <c r="AZ159">
        <f>IF(ISNUMBER(INDEX(Haver_M!$B$1:$ZN$1000,MATCH(data!$A159,Haver_M!$B$1:$B$1000,0),MATCH(data!AZ$1,Haver_M!$B$1:$ZN$1,0))),INDEX(Haver_M!$B$1:$ZN$1000,MATCH(data!$A159,Haver_M!$B$1:$B$1000,0),MATCH(data!AZ$1,Haver_M!$B$1:$ZN$1,0)),"na")</f>
        <v>52.9</v>
      </c>
      <c r="BA159">
        <f>IF(ISNUMBER(INDEX(Haver_M!$B$1:$ZN$1000,MATCH(data!$A159,Haver_M!$B$1:$B$1000,0),MATCH(data!BA$1,Haver_M!$B$1:$ZN$1,0))),INDEX(Haver_M!$B$1:$ZN$1000,MATCH(data!$A159,Haver_M!$B$1:$B$1000,0),MATCH(data!BA$1,Haver_M!$B$1:$ZN$1,0)),"na")</f>
        <v>38.127777482444714</v>
      </c>
      <c r="BB159" t="str">
        <f>IF(ISNUMBER(INDEX(Haver_M!$B$1:$ZN$1000,MATCH(data!$A159,Haver_M!$B$1:$B$1000,0),MATCH(data!BB$1,Haver_M!$B$1:$ZN$1,0))),INDEX(Haver_M!$B$1:$ZN$1000,MATCH(data!$A159,Haver_M!$B$1:$B$1000,0),MATCH(data!BB$1,Haver_M!$B$1:$ZN$1,0)),"")</f>
        <v/>
      </c>
    </row>
    <row r="160" spans="1:54" x14ac:dyDescent="0.25">
      <c r="A160" s="2">
        <v>41364</v>
      </c>
      <c r="B160">
        <f>IF(ISNUMBER(INDEX(Haver_Q!$B$1:$BD$1000,MATCH(data!$A160,Haver_Q!$B$1:$B$1000,0),MATCH(data!B$1,Haver_Q!$B$1:$BD$1,0))),100*INDEX(Haver_Q!$B$1:$BD$1000,MATCH(data!$A160,Haver_Q!$B$1:$B$1000,0),MATCH(data!B$1,Haver_Q!$B$1:$BD$1,0)),"na")</f>
        <v>1.1209112601169524</v>
      </c>
      <c r="C160">
        <f>IF(ISNUMBER(INDEX(Haver_Q!$B$1:$BD$1000,MATCH(data!$A160,Haver_Q!$B$1:$B$1000,0),MATCH(data!C$1,Haver_Q!$B$1:$BD$1,0))),100*INDEX(Haver_Q!$B$1:$BD$1000,MATCH(data!$A160,Haver_Q!$B$1:$B$1000,0),MATCH(data!C$1,Haver_Q!$B$1:$BD$1,0)),"na")</f>
        <v>-2.7534143770531538</v>
      </c>
      <c r="D160">
        <f>IF(ISNUMBER(INDEX(Haver_Q!$B$1:$BD$1000,MATCH(data!$A160,Haver_Q!$B$1:$B$1000,0),MATCH(data!D$1,Haver_Q!$B$1:$BD$1,0))),100*INDEX(Haver_Q!$B$1:$BD$1000,MATCH(data!$A160,Haver_Q!$B$1:$B$1000,0),MATCH(data!D$1,Haver_Q!$B$1:$BD$1,0)),"na")</f>
        <v>5.4563970352095259</v>
      </c>
      <c r="E160">
        <f>IF(ISNUMBER(INDEX(Haver_Q!$B$1:$BD$1000,MATCH(data!$A160,Haver_Q!$B$1:$B$1000,0),MATCH(data!E$1,Haver_Q!$B$1:$BD$1,0))),100*INDEX(Haver_Q!$B$1:$BD$1000,MATCH(data!$A160,Haver_Q!$B$1:$B$1000,0),MATCH(data!E$1,Haver_Q!$B$1:$BD$1,0)),"na")</f>
        <v>-0.34745769006232496</v>
      </c>
      <c r="F160">
        <f>IF(ISNUMBER(INDEX(Haver_Q!$B$1:$BD$1000,MATCH(data!$A160,Haver_Q!$B$1:$B$1000,0),MATCH(data!F$1,Haver_Q!$B$1:$BD$1,0))),100*INDEX(Haver_Q!$B$1:$BD$1000,MATCH(data!$A160,Haver_Q!$B$1:$B$1000,0),MATCH(data!F$1,Haver_Q!$B$1:$BD$1,0)),"na")</f>
        <v>-3.0615598777560815</v>
      </c>
      <c r="G160">
        <f>IF(ISNUMBER(INDEX(Haver_Q!$B$1:$BD$1000,MATCH(data!$A160,Haver_Q!$B$1:$B$1000,0),MATCH(data!G$1,Haver_Q!$B$1:$BD$1,0))),100*INDEX(Haver_Q!$B$1:$BD$1000,MATCH(data!$A160,Haver_Q!$B$1:$B$1000,0),MATCH(data!G$1,Haver_Q!$B$1:$BD$1,0)),"na")</f>
        <v>-0.26971421601188483</v>
      </c>
      <c r="H160">
        <f>IF(ISNUMBER(INDEX(Haver_Q!$B$1:$BD$1000,MATCH(data!$A160,Haver_Q!$B$1:$B$1000,0),MATCH(data!H$1,Haver_Q!$B$1:$BD$1,0))),100*INDEX(Haver_Q!$B$1:$BD$1000,MATCH(data!$A160,Haver_Q!$B$1:$B$1000,0),MATCH(data!H$1,Haver_Q!$B$1:$BD$1,0)),"na")</f>
        <v>371.44309861498186</v>
      </c>
      <c r="I160" s="3">
        <f>IF(ISNUMBER(Bloomberg_m!C176),Bloomberg_m!C176,"na")</f>
        <v>876</v>
      </c>
      <c r="J160" s="3">
        <f>IF(ISNUMBER(Bloomberg_m!D176),Bloomberg_m!D176,"na")</f>
        <v>1993.33</v>
      </c>
      <c r="K160" s="3">
        <f>IF(ISNUMBER(Bloomberg_m!E176),Bloomberg_m!E176,"na")</f>
        <v>1142.25</v>
      </c>
      <c r="L160" s="3">
        <f>IF(ISNUMBER(Bloomberg_m!L176),Bloomberg_m!L176,"na")</f>
        <v>92.91</v>
      </c>
      <c r="M160">
        <f>IF(ISNUMBER(INDEX(Haver_M!$B$1:$ZN$1000,MATCH(data!$A160,Haver_M!$B$1:$B$1000,0),MATCH(data!M$1,Haver_M!$B$1:$ZN$1,0))),INDEX(Haver_M!$B$1:$ZN$1000,MATCH(data!$A160,Haver_M!$B$1:$B$1000,0),MATCH(data!M$1,Haver_M!$B$1:$ZN$1,0)),"na")</f>
        <v>4</v>
      </c>
      <c r="N160">
        <f>IF(ISNUMBER(INDEX(Haver_M!$B$1:$ZN$1000,MATCH(data!$A160,Haver_M!$B$1:$B$1000,0),MATCH(data!N$1,Haver_M!$B$1:$ZN$1,0))),INDEX(Haver_M!$B$1:$ZN$1000,MATCH(data!$A160,Haver_M!$B$1:$B$1000,0),MATCH(data!N$1,Haver_M!$B$1:$ZN$1,0)),"na")</f>
        <v>4.9137000000000004</v>
      </c>
      <c r="O160">
        <f>IF(ISNUMBER(INDEX(Haver_M!$B$1:$ZN$1000,MATCH(data!$A160,Haver_M!$B$1:$B$1000,0),MATCH(data!O$1,Haver_M!$B$1:$ZN$1,0))),INDEX(Haver_M!$B$1:$ZN$1000,MATCH(data!$A160,Haver_M!$B$1:$B$1000,0),MATCH(data!O$1,Haver_M!$B$1:$ZN$1,0)),"na")</f>
        <v>103.86109999999999</v>
      </c>
      <c r="P160">
        <f>IF(ISNUMBER(INDEX(Haver_M!$B$1:$ZN$1000,MATCH(data!$A160,Haver_M!$B$1:$B$1000,0),MATCH(data!P$1,Haver_M!$B$1:$ZN$1,0))),INDEX(Haver_M!$B$1:$ZN$1000,MATCH(data!$A160,Haver_M!$B$1:$B$1000,0),MATCH(data!P$1,Haver_M!$B$1:$ZN$1,0)),"na")</f>
        <v>81.229399999999998</v>
      </c>
      <c r="Q160">
        <f>IF(ISNUMBER(INDEX(Haver_M!$B$1:$ZN$1000,MATCH(data!$A160,Haver_M!$B$1:$B$1000,0),MATCH(data!Q$1,Haver_M!$B$1:$ZN$1,0))),INDEX(Haver_M!$B$1:$ZN$1000,MATCH(data!$A160,Haver_M!$B$1:$B$1000,0),MATCH(data!Q$1,Haver_M!$B$1:$ZN$1,0)),"na")</f>
        <v>83.927199999999999</v>
      </c>
      <c r="R160">
        <f>IF(ISNUMBER(INDEX(Haver_M!$B$1:$ZN$1000,MATCH(data!$A160,Haver_M!$B$1:$B$1000,0),MATCH(data!R$1,Haver_M!$B$1:$ZN$1,0))),INDEX(Haver_M!$B$1:$ZN$1000,MATCH(data!$A160,Haver_M!$B$1:$B$1000,0),MATCH(data!R$1,Haver_M!$B$1:$ZN$1,0)),"na")</f>
        <v>100.0316</v>
      </c>
      <c r="S160">
        <f>IF(ISNUMBER(INDEX(Haver_M!$B$1:$ZN$1000,MATCH(data!$A160,Haver_M!$B$1:$B$1000,0),MATCH(data!S$1,Haver_M!$B$1:$ZN$1,0))),INDEX(Haver_M!$B$1:$ZN$1000,MATCH(data!$A160,Haver_M!$B$1:$B$1000,0),MATCH(data!S$1,Haver_M!$B$1:$ZN$1,0)),"na")</f>
        <v>99.628699999999995</v>
      </c>
      <c r="T160">
        <f>IF(ISNUMBER(INDEX(Haver_M!$B$1:$ZN$1000,MATCH(data!$A160,Haver_M!$B$1:$B$1000,0),MATCH(data!T$1,Haver_M!$B$1:$ZN$1,0))),INDEX(Haver_M!$B$1:$ZN$1000,MATCH(data!$A160,Haver_M!$B$1:$B$1000,0),MATCH(data!T$1,Haver_M!$B$1:$ZN$1,0)),"na")</f>
        <v>97.909800000000004</v>
      </c>
      <c r="U160">
        <f>IF(ISNUMBER(INDEX(Haver_M!$B$1:$ZN$1000,MATCH(data!$A160,Haver_M!$B$1:$B$1000,0),MATCH(data!U$1,Haver_M!$B$1:$ZN$1,0))),INDEX(Haver_M!$B$1:$ZN$1000,MATCH(data!$A160,Haver_M!$B$1:$B$1000,0),MATCH(data!U$1,Haver_M!$B$1:$ZN$1,0)),"na")</f>
        <v>100.65649999999999</v>
      </c>
      <c r="V160">
        <f>IF(ISNUMBER(INDEX(Haver_M!$B$1:$ZN$1000,MATCH(data!$A160,Haver_M!$B$1:$B$1000,0),MATCH(data!V$1,Haver_M!$B$1:$ZN$1,0))),INDEX(Haver_M!$B$1:$ZN$1000,MATCH(data!$A160,Haver_M!$B$1:$B$1000,0),MATCH(data!V$1,Haver_M!$B$1:$ZN$1,0)),"na")</f>
        <v>99.895200000000003</v>
      </c>
      <c r="W160">
        <f>IF(ISNUMBER(INDEX(Haver_M!$B$1:$ZN$1000,MATCH(data!$A160,Haver_M!$B$1:$B$1000,0),MATCH(data!W$1,Haver_M!$B$1:$ZN$1,0))),INDEX(Haver_M!$B$1:$ZN$1000,MATCH(data!$A160,Haver_M!$B$1:$B$1000,0),MATCH(data!W$1,Haver_M!$B$1:$ZN$1,0)),"na")</f>
        <v>4.97</v>
      </c>
      <c r="X160">
        <f>IF(ISNUMBER(INDEX(Haver_M!$B$1:$ZN$1000,MATCH(data!$A160,Haver_M!$B$1:$B$1000,0),MATCH(data!X$1,Haver_M!$B$1:$ZN$1,0))),INDEX(Haver_M!$B$1:$ZN$1000,MATCH(data!$A160,Haver_M!$B$1:$B$1000,0),MATCH(data!X$1,Haver_M!$B$1:$ZN$1,0)),"na")</f>
        <v>99.26</v>
      </c>
      <c r="Y160">
        <f>IF(ISNUMBER(INDEX(Haver_M!$B$1:$ZN$1000,MATCH(data!$A160,Haver_M!$B$1:$B$1000,0),MATCH(data!Y$1,Haver_M!$B$1:$ZN$1,0))),INDEX(Haver_M!$B$1:$ZN$1000,MATCH(data!$A160,Haver_M!$B$1:$B$1000,0),MATCH(data!Y$1,Haver_M!$B$1:$ZN$1,0)),"na")</f>
        <v>100.64</v>
      </c>
      <c r="Z160">
        <f>IF(ISNUMBER(INDEX(Haver_M!$B$1:$ZN$1000,MATCH(data!$A160,Haver_M!$B$1:$B$1000,0),MATCH(data!Z$1,Haver_M!$B$1:$ZN$1,0))),INDEX(Haver_M!$B$1:$ZN$1000,MATCH(data!$A160,Haver_M!$B$1:$B$1000,0),MATCH(data!Z$1,Haver_M!$B$1:$ZN$1,0)),"na")</f>
        <v>100.1626</v>
      </c>
      <c r="AA160">
        <f>IF(ISNUMBER(INDEX(Haver_M!$B$1:$ZN$1000,MATCH(data!$A160,Haver_M!$B$1:$B$1000,0),MATCH(data!AA$1,Haver_M!$B$1:$ZN$1,0))),INDEX(Haver_M!$B$1:$ZN$1000,MATCH(data!$A160,Haver_M!$B$1:$B$1000,0),MATCH(data!AA$1,Haver_M!$B$1:$ZN$1,0)),"na")</f>
        <v>101.4362</v>
      </c>
      <c r="AB160">
        <f>IF(ISNUMBER(INDEX(Haver_M!$B$1:$ZN$1000,MATCH(data!$A160,Haver_M!$B$1:$B$1000,0),MATCH(data!AB$1,Haver_M!$B$1:$ZN$1,0))),INDEX(Haver_M!$B$1:$ZN$1000,MATCH(data!$A160,Haver_M!$B$1:$B$1000,0),MATCH(data!AB$1,Haver_M!$B$1:$ZN$1,0)),"na")</f>
        <v>31567.7</v>
      </c>
      <c r="AC160">
        <f>IF(ISNUMBER(INDEX(Haver_M!$B$1:$ZN$1000,MATCH(data!$A160,Haver_M!$B$1:$B$1000,0),MATCH(data!AC$1,Haver_M!$B$1:$ZN$1,0))),INDEX(Haver_M!$B$1:$ZN$1000,MATCH(data!$A160,Haver_M!$B$1:$B$1000,0),MATCH(data!AC$1,Haver_M!$B$1:$ZN$1,0)),"na")</f>
        <v>32269.1</v>
      </c>
      <c r="AD160">
        <f>IF(ISNUMBER(INDEX(Haver_M!$B$1:$ZN$1000,MATCH(data!$A160,Haver_M!$B$1:$B$1000,0),MATCH(data!AD$1,Haver_M!$B$1:$ZN$1,0))),INDEX(Haver_M!$B$1:$ZN$1000,MATCH(data!$A160,Haver_M!$B$1:$B$1000,0),MATCH(data!AD$1,Haver_M!$B$1:$ZN$1,0)),"na")</f>
        <v>100.04</v>
      </c>
      <c r="AE160">
        <f>IF(ISNUMBER(INDEX(Haver_M!$B$1:$ZN$1000,MATCH(data!$A160,Haver_M!$B$1:$B$1000,0),MATCH(data!AE$1,Haver_M!$B$1:$ZN$1,0))),INDEX(Haver_M!$B$1:$ZN$1000,MATCH(data!$A160,Haver_M!$B$1:$B$1000,0),MATCH(data!AE$1,Haver_M!$B$1:$ZN$1,0)),"na")</f>
        <v>40.1</v>
      </c>
      <c r="AF160">
        <f>IF(ISNUMBER(INDEX(Haver_M!$B$1:$ZN$1000,MATCH(data!$A160,Haver_M!$B$1:$B$1000,0),MATCH(data!AF$1,Haver_M!$B$1:$ZN$1,0))),INDEX(Haver_M!$B$1:$ZN$1000,MATCH(data!$A160,Haver_M!$B$1:$B$1000,0),MATCH(data!AF$1,Haver_M!$B$1:$ZN$1,0)),"na")</f>
        <v>101.25</v>
      </c>
      <c r="AG160">
        <f>IF(ISNUMBER(INDEX(Haver_M!$B$1:$ZN$1000,MATCH(data!$A160,Haver_M!$B$1:$B$1000,0),MATCH(data!AG$1,Haver_M!$B$1:$ZN$1,0))),INDEX(Haver_M!$B$1:$ZN$1000,MATCH(data!$A160,Haver_M!$B$1:$B$1000,0),MATCH(data!AG$1,Haver_M!$B$1:$ZN$1,0)),"na")</f>
        <v>52.19</v>
      </c>
      <c r="AH160">
        <f>IF(ISNUMBER(INDEX(Haver_M!$B$1:$ZN$1000,MATCH(data!$A160,Haver_M!$B$1:$B$1000,0),MATCH(data!AH$1,Haver_M!$B$1:$ZN$1,0))),INDEX(Haver_M!$B$1:$ZN$1000,MATCH(data!$A160,Haver_M!$B$1:$B$1000,0),MATCH(data!AH$1,Haver_M!$B$1:$ZN$1,0)),"na")</f>
        <v>52.437899999999999</v>
      </c>
      <c r="AI160">
        <f>IF(ISNUMBER(INDEX(Haver_M!$B$1:$ZN$1000,MATCH(data!$A160,Haver_M!$B$1:$B$1000,0),MATCH(data!AI$1,Haver_M!$B$1:$ZN$1,0))),INDEX(Haver_M!$B$1:$ZN$1000,MATCH(data!$A160,Haver_M!$B$1:$B$1000,0),MATCH(data!AI$1,Haver_M!$B$1:$ZN$1,0)),"na")</f>
        <v>54.467199999999998</v>
      </c>
      <c r="AJ160">
        <f>IF(ISNUMBER(INDEX(Haver_M!$B$1:$ZN$1000,MATCH(data!$A160,Haver_M!$B$1:$B$1000,0),MATCH(data!AJ$1,Haver_M!$B$1:$ZN$1,0))),INDEX(Haver_M!$B$1:$ZN$1000,MATCH(data!$A160,Haver_M!$B$1:$B$1000,0),MATCH(data!AJ$1,Haver_M!$B$1:$ZN$1,0)),"na")</f>
        <v>51.582299999999996</v>
      </c>
      <c r="AK160">
        <f>IF(ISNUMBER(INDEX(Haver_M!$B$1:$ZN$1000,MATCH(data!$A160,Haver_M!$B$1:$B$1000,0),MATCH(data!AK$1,Haver_M!$B$1:$ZN$1,0))),INDEX(Haver_M!$B$1:$ZN$1000,MATCH(data!$A160,Haver_M!$B$1:$B$1000,0),MATCH(data!AK$1,Haver_M!$B$1:$ZN$1,0)),"na")</f>
        <v>50.019799999999996</v>
      </c>
      <c r="AL160">
        <f>IF(ISNUMBER(INDEX(Haver_M!$B$1:$ZN$1000,MATCH(data!$A160,Haver_M!$B$1:$B$1000,0),MATCH(data!AL$1,Haver_M!$B$1:$ZN$1,0))),INDEX(Haver_M!$B$1:$ZN$1000,MATCH(data!$A160,Haver_M!$B$1:$B$1000,0),MATCH(data!AL$1,Haver_M!$B$1:$ZN$1,0)),"na")</f>
        <v>49.268700000000003</v>
      </c>
      <c r="AM160">
        <f>IF(ISNUMBER(INDEX(Haver_M!$B$1:$ZN$1000,MATCH(data!$A160,Haver_M!$B$1:$B$1000,0),MATCH(data!AM$1,Haver_M!$B$1:$ZN$1,0))),INDEX(Haver_M!$B$1:$ZN$1000,MATCH(data!$A160,Haver_M!$B$1:$B$1000,0),MATCH(data!AM$1,Haver_M!$B$1:$ZN$1,0)),"na")</f>
        <v>54.816299999999998</v>
      </c>
      <c r="AN160">
        <f>IF(ISNUMBER(INDEX(Haver_M!$B$1:$ZN$1000,MATCH(data!$A160,Haver_M!$B$1:$B$1000,0),MATCH(data!AN$1,Haver_M!$B$1:$ZN$1,0))),INDEX(Haver_M!$B$1:$ZN$1000,MATCH(data!$A160,Haver_M!$B$1:$B$1000,0),MATCH(data!AN$1,Haver_M!$B$1:$ZN$1,0)),"na")</f>
        <v>54.275599999999997</v>
      </c>
      <c r="AO160">
        <f>IF(ISNUMBER(INDEX(Haver_M!$B$1:$ZN$1000,MATCH(data!$A160,Haver_M!$B$1:$B$1000,0),MATCH(data!AO$1,Haver_M!$B$1:$ZN$1,0))),INDEX(Haver_M!$B$1:$ZN$1000,MATCH(data!$A160,Haver_M!$B$1:$B$1000,0),MATCH(data!AO$1,Haver_M!$B$1:$ZN$1,0)),"na")</f>
        <v>49.268700000000003</v>
      </c>
      <c r="AP160">
        <f>IF(ISNUMBER(INDEX(Haver_M!$B$1:$ZN$1000,MATCH(data!$A160,Haver_M!$B$1:$B$1000,0),MATCH(data!AP$1,Haver_M!$B$1:$ZN$1,0))),INDEX(Haver_M!$B$1:$ZN$1000,MATCH(data!$A160,Haver_M!$B$1:$B$1000,0),MATCH(data!AP$1,Haver_M!$B$1:$ZN$1,0)),"na")</f>
        <v>51.449800000000003</v>
      </c>
      <c r="AQ160">
        <f>IF(ISNUMBER(INDEX(Haver_M!$B$1:$ZN$1000,MATCH(data!$A160,Haver_M!$B$1:$B$1000,0),MATCH(data!AQ$1,Haver_M!$B$1:$ZN$1,0))),INDEX(Haver_M!$B$1:$ZN$1000,MATCH(data!$A160,Haver_M!$B$1:$B$1000,0),MATCH(data!AQ$1,Haver_M!$B$1:$ZN$1,0)),"na")</f>
        <v>50.700699999999998</v>
      </c>
      <c r="AR160">
        <f>IF(ISNUMBER(INDEX(Haver_M!$B$1:$ZN$1000,MATCH(data!$A160,Haver_M!$B$1:$B$1000,0),MATCH(data!AR$1,Haver_M!$B$1:$ZN$1,0))),INDEX(Haver_M!$B$1:$ZN$1000,MATCH(data!$A160,Haver_M!$B$1:$B$1000,0),MATCH(data!AR$1,Haver_M!$B$1:$ZN$1,0)),"na")</f>
        <v>46.197499999999998</v>
      </c>
      <c r="AS160">
        <f>IF(ISNUMBER(INDEX(Haver_M!$B$1:$ZN$1000,MATCH(data!$A160,Haver_M!$B$1:$B$1000,0),MATCH(data!AS$1,Haver_M!$B$1:$ZN$1,0))),INDEX(Haver_M!$B$1:$ZN$1000,MATCH(data!$A160,Haver_M!$B$1:$B$1000,0),MATCH(data!AS$1,Haver_M!$B$1:$ZN$1,0)),"na")</f>
        <v>43442.46</v>
      </c>
      <c r="AT160">
        <f>IF(ISNUMBER(INDEX(Haver_M!$B$1:$ZN$1000,MATCH(data!$A160,Haver_M!$B$1:$B$1000,0),MATCH(data!AT$1,Haver_M!$B$1:$ZN$1,0))),INDEX(Haver_M!$B$1:$ZN$1000,MATCH(data!$A160,Haver_M!$B$1:$B$1000,0),MATCH(data!AT$1,Haver_M!$B$1:$ZN$1,0)),"na")</f>
        <v>99.814999999999998</v>
      </c>
      <c r="AU160">
        <f>IF(ISNUMBER(INDEX(Haver_M!$B$1:$ZN$1000,MATCH(data!$A160,Haver_M!$B$1:$B$1000,0),MATCH(data!AU$1,Haver_M!$B$1:$ZN$1,0))),INDEX(Haver_M!$B$1:$ZN$1000,MATCH(data!$A160,Haver_M!$B$1:$B$1000,0),MATCH(data!AU$1,Haver_M!$B$1:$ZN$1,0)),"na")</f>
        <v>99.596914999999996</v>
      </c>
      <c r="AV160">
        <f>IF(ISNUMBER(INDEX(Haver_M!$B$1:$ZN$1000,MATCH(data!$A160,Haver_M!$B$1:$B$1000,0),MATCH(data!AV$1,Haver_M!$B$1:$ZN$1,0))),INDEX(Haver_M!$B$1:$ZN$1000,MATCH(data!$A160,Haver_M!$B$1:$B$1000,0),MATCH(data!AV$1,Haver_M!$B$1:$ZN$1,0)),"na")</f>
        <v>102</v>
      </c>
      <c r="AW160">
        <f>IF(ISNUMBER(INDEX(Haver_M!$B$1:$ZN$1000,MATCH(data!$A160,Haver_M!$B$1:$B$1000,0),MATCH(data!AW$1,Haver_M!$B$1:$ZN$1,0))),INDEX(Haver_M!$B$1:$ZN$1000,MATCH(data!$A160,Haver_M!$B$1:$B$1000,0),MATCH(data!AW$1,Haver_M!$B$1:$ZN$1,0)),"na")</f>
        <v>1133321.7263107128</v>
      </c>
      <c r="AX160">
        <f>IF(ISNUMBER(INDEX(Haver_M!$B$1:$ZN$1000,MATCH(data!$A160,Haver_M!$B$1:$B$1000,0),MATCH(data!AX$1,Haver_M!$B$1:$ZN$1,0))),INDEX(Haver_M!$B$1:$ZN$1000,MATCH(data!$A160,Haver_M!$B$1:$B$1000,0),MATCH(data!AX$1,Haver_M!$B$1:$ZN$1,0)),"na")</f>
        <v>2521</v>
      </c>
      <c r="AY160">
        <f>IF(ISNUMBER(INDEX(Haver_M!$B$1:$ZN$1000,MATCH(data!$A160,Haver_M!$B$1:$B$1000,0),MATCH(data!AY$1,Haver_M!$B$1:$ZN$1,0))),INDEX(Haver_M!$B$1:$ZN$1000,MATCH(data!$A160,Haver_M!$B$1:$B$1000,0),MATCH(data!AY$1,Haver_M!$B$1:$ZN$1,0)),"na")</f>
        <v>1103</v>
      </c>
      <c r="AZ160">
        <f>IF(ISNUMBER(INDEX(Haver_M!$B$1:$ZN$1000,MATCH(data!$A160,Haver_M!$B$1:$B$1000,0),MATCH(data!AZ$1,Haver_M!$B$1:$ZN$1,0))),INDEX(Haver_M!$B$1:$ZN$1000,MATCH(data!$A160,Haver_M!$B$1:$B$1000,0),MATCH(data!AZ$1,Haver_M!$B$1:$ZN$1,0)),"na")</f>
        <v>53.9</v>
      </c>
      <c r="BA160">
        <f>IF(ISNUMBER(INDEX(Haver_M!$B$1:$ZN$1000,MATCH(data!$A160,Haver_M!$B$1:$B$1000,0),MATCH(data!BA$1,Haver_M!$B$1:$ZN$1,0))),INDEX(Haver_M!$B$1:$ZN$1000,MATCH(data!$A160,Haver_M!$B$1:$B$1000,0),MATCH(data!BA$1,Haver_M!$B$1:$ZN$1,0)),"na")</f>
        <v>39.392996795909902</v>
      </c>
      <c r="BB160" t="str">
        <f>IF(ISNUMBER(INDEX(Haver_M!$B$1:$ZN$1000,MATCH(data!$A160,Haver_M!$B$1:$B$1000,0),MATCH(data!BB$1,Haver_M!$B$1:$ZN$1,0))),INDEX(Haver_M!$B$1:$ZN$1000,MATCH(data!$A160,Haver_M!$B$1:$B$1000,0),MATCH(data!BB$1,Haver_M!$B$1:$ZN$1,0)),"")</f>
        <v/>
      </c>
    </row>
    <row r="161" spans="1:54" x14ac:dyDescent="0.25">
      <c r="A161" s="2">
        <v>41394</v>
      </c>
      <c r="B161" t="str">
        <f>IF(ISNUMBER(INDEX(Haver_Q!$B$1:$BD$1000,MATCH(data!$A161,Haver_Q!$B$1:$B$1000,0),MATCH(data!B$1,Haver_Q!$B$1:$BD$1,0))),100*INDEX(Haver_Q!$B$1:$BD$1000,MATCH(data!$A161,Haver_Q!$B$1:$B$1000,0),MATCH(data!B$1,Haver_Q!$B$1:$BD$1,0)),"na")</f>
        <v>na</v>
      </c>
      <c r="C161" t="str">
        <f>IF(ISNUMBER(INDEX(Haver_Q!$B$1:$BD$1000,MATCH(data!$A161,Haver_Q!$B$1:$B$1000,0),MATCH(data!C$1,Haver_Q!$B$1:$BD$1,0))),100*INDEX(Haver_Q!$B$1:$BD$1000,MATCH(data!$A161,Haver_Q!$B$1:$B$1000,0),MATCH(data!C$1,Haver_Q!$B$1:$BD$1,0)),"na")</f>
        <v>na</v>
      </c>
      <c r="D161" t="str">
        <f>IF(ISNUMBER(INDEX(Haver_Q!$B$1:$BD$1000,MATCH(data!$A161,Haver_Q!$B$1:$B$1000,0),MATCH(data!D$1,Haver_Q!$B$1:$BD$1,0))),100*INDEX(Haver_Q!$B$1:$BD$1000,MATCH(data!$A161,Haver_Q!$B$1:$B$1000,0),MATCH(data!D$1,Haver_Q!$B$1:$BD$1,0)),"na")</f>
        <v>na</v>
      </c>
      <c r="E161" t="str">
        <f>IF(ISNUMBER(INDEX(Haver_Q!$B$1:$BD$1000,MATCH(data!$A161,Haver_Q!$B$1:$B$1000,0),MATCH(data!E$1,Haver_Q!$B$1:$BD$1,0))),100*INDEX(Haver_Q!$B$1:$BD$1000,MATCH(data!$A161,Haver_Q!$B$1:$B$1000,0),MATCH(data!E$1,Haver_Q!$B$1:$BD$1,0)),"na")</f>
        <v>na</v>
      </c>
      <c r="F161" t="str">
        <f>IF(ISNUMBER(INDEX(Haver_Q!$B$1:$BD$1000,MATCH(data!$A161,Haver_Q!$B$1:$B$1000,0),MATCH(data!F$1,Haver_Q!$B$1:$BD$1,0))),100*INDEX(Haver_Q!$B$1:$BD$1000,MATCH(data!$A161,Haver_Q!$B$1:$B$1000,0),MATCH(data!F$1,Haver_Q!$B$1:$BD$1,0)),"na")</f>
        <v>na</v>
      </c>
      <c r="G161" t="str">
        <f>IF(ISNUMBER(INDEX(Haver_Q!$B$1:$BD$1000,MATCH(data!$A161,Haver_Q!$B$1:$B$1000,0),MATCH(data!G$1,Haver_Q!$B$1:$BD$1,0))),100*INDEX(Haver_Q!$B$1:$BD$1000,MATCH(data!$A161,Haver_Q!$B$1:$B$1000,0),MATCH(data!G$1,Haver_Q!$B$1:$BD$1,0)),"na")</f>
        <v>na</v>
      </c>
      <c r="H161" t="str">
        <f>IF(ISNUMBER(INDEX(Haver_Q!$B$1:$BD$1000,MATCH(data!$A161,Haver_Q!$B$1:$B$1000,0),MATCH(data!H$1,Haver_Q!$B$1:$BD$1,0))),100*INDEX(Haver_Q!$B$1:$BD$1000,MATCH(data!$A161,Haver_Q!$B$1:$B$1000,0),MATCH(data!H$1,Haver_Q!$B$1:$BD$1,0)),"na")</f>
        <v>na</v>
      </c>
      <c r="I161" s="3">
        <f>IF(ISNUMBER(Bloomberg_m!C177),Bloomberg_m!C177,"na")</f>
        <v>874</v>
      </c>
      <c r="J161" s="3">
        <f>IF(ISNUMBER(Bloomberg_m!D177),Bloomberg_m!D177,"na")</f>
        <v>1939.28</v>
      </c>
      <c r="K161" s="3">
        <f>IF(ISNUMBER(Bloomberg_m!E177),Bloomberg_m!E177,"na")</f>
        <v>1094.1600000000001</v>
      </c>
      <c r="L161" s="3">
        <f>IF(ISNUMBER(Bloomberg_m!L177),Bloomberg_m!L177,"na")</f>
        <v>92.02</v>
      </c>
      <c r="M161">
        <f>IF(ISNUMBER(INDEX(Haver_M!$B$1:$ZN$1000,MATCH(data!$A161,Haver_M!$B$1:$B$1000,0),MATCH(data!M$1,Haver_M!$B$1:$ZN$1,0))),INDEX(Haver_M!$B$1:$ZN$1000,MATCH(data!$A161,Haver_M!$B$1:$B$1000,0),MATCH(data!M$1,Haver_M!$B$1:$ZN$1,0)),"na")</f>
        <v>4</v>
      </c>
      <c r="N161">
        <f>IF(ISNUMBER(INDEX(Haver_M!$B$1:$ZN$1000,MATCH(data!$A161,Haver_M!$B$1:$B$1000,0),MATCH(data!N$1,Haver_M!$B$1:$ZN$1,0))),INDEX(Haver_M!$B$1:$ZN$1000,MATCH(data!$A161,Haver_M!$B$1:$B$1000,0),MATCH(data!N$1,Haver_M!$B$1:$ZN$1,0)),"na")</f>
        <v>4.7351000000000001</v>
      </c>
      <c r="O161">
        <f>IF(ISNUMBER(INDEX(Haver_M!$B$1:$ZN$1000,MATCH(data!$A161,Haver_M!$B$1:$B$1000,0),MATCH(data!O$1,Haver_M!$B$1:$ZN$1,0))),INDEX(Haver_M!$B$1:$ZN$1000,MATCH(data!$A161,Haver_M!$B$1:$B$1000,0),MATCH(data!O$1,Haver_M!$B$1:$ZN$1,0)),"na")</f>
        <v>106.45292999999999</v>
      </c>
      <c r="P161">
        <f>IF(ISNUMBER(INDEX(Haver_M!$B$1:$ZN$1000,MATCH(data!$A161,Haver_M!$B$1:$B$1000,0),MATCH(data!P$1,Haver_M!$B$1:$ZN$1,0))),INDEX(Haver_M!$B$1:$ZN$1000,MATCH(data!$A161,Haver_M!$B$1:$B$1000,0),MATCH(data!P$1,Haver_M!$B$1:$ZN$1,0)),"na")</f>
        <v>81.705299999999994</v>
      </c>
      <c r="Q161">
        <f>IF(ISNUMBER(INDEX(Haver_M!$B$1:$ZN$1000,MATCH(data!$A161,Haver_M!$B$1:$B$1000,0),MATCH(data!Q$1,Haver_M!$B$1:$ZN$1,0))),INDEX(Haver_M!$B$1:$ZN$1000,MATCH(data!$A161,Haver_M!$B$1:$B$1000,0),MATCH(data!Q$1,Haver_M!$B$1:$ZN$1,0)),"na")</f>
        <v>84.132499999999993</v>
      </c>
      <c r="R161">
        <f>IF(ISNUMBER(INDEX(Haver_M!$B$1:$ZN$1000,MATCH(data!$A161,Haver_M!$B$1:$B$1000,0),MATCH(data!R$1,Haver_M!$B$1:$ZN$1,0))),INDEX(Haver_M!$B$1:$ZN$1000,MATCH(data!$A161,Haver_M!$B$1:$B$1000,0),MATCH(data!R$1,Haver_M!$B$1:$ZN$1,0)),"na")</f>
        <v>99.001900000000006</v>
      </c>
      <c r="S161">
        <f>IF(ISNUMBER(INDEX(Haver_M!$B$1:$ZN$1000,MATCH(data!$A161,Haver_M!$B$1:$B$1000,0),MATCH(data!S$1,Haver_M!$B$1:$ZN$1,0))),INDEX(Haver_M!$B$1:$ZN$1000,MATCH(data!$A161,Haver_M!$B$1:$B$1000,0),MATCH(data!S$1,Haver_M!$B$1:$ZN$1,0)),"na")</f>
        <v>99.455600000000004</v>
      </c>
      <c r="T161">
        <f>IF(ISNUMBER(INDEX(Haver_M!$B$1:$ZN$1000,MATCH(data!$A161,Haver_M!$B$1:$B$1000,0),MATCH(data!T$1,Haver_M!$B$1:$ZN$1,0))),INDEX(Haver_M!$B$1:$ZN$1000,MATCH(data!$A161,Haver_M!$B$1:$B$1000,0),MATCH(data!T$1,Haver_M!$B$1:$ZN$1,0)),"na")</f>
        <v>98.326999999999998</v>
      </c>
      <c r="U161">
        <f>IF(ISNUMBER(INDEX(Haver_M!$B$1:$ZN$1000,MATCH(data!$A161,Haver_M!$B$1:$B$1000,0),MATCH(data!U$1,Haver_M!$B$1:$ZN$1,0))),INDEX(Haver_M!$B$1:$ZN$1000,MATCH(data!$A161,Haver_M!$B$1:$B$1000,0),MATCH(data!U$1,Haver_M!$B$1:$ZN$1,0)),"na")</f>
        <v>98.685500000000005</v>
      </c>
      <c r="V161">
        <f>IF(ISNUMBER(INDEX(Haver_M!$B$1:$ZN$1000,MATCH(data!$A161,Haver_M!$B$1:$B$1000,0),MATCH(data!V$1,Haver_M!$B$1:$ZN$1,0))),INDEX(Haver_M!$B$1:$ZN$1000,MATCH(data!$A161,Haver_M!$B$1:$B$1000,0),MATCH(data!V$1,Haver_M!$B$1:$ZN$1,0)),"na")</f>
        <v>99.172600000000003</v>
      </c>
      <c r="W161">
        <f>IF(ISNUMBER(INDEX(Haver_M!$B$1:$ZN$1000,MATCH(data!$A161,Haver_M!$B$1:$B$1000,0),MATCH(data!W$1,Haver_M!$B$1:$ZN$1,0))),INDEX(Haver_M!$B$1:$ZN$1000,MATCH(data!$A161,Haver_M!$B$1:$B$1000,0),MATCH(data!W$1,Haver_M!$B$1:$ZN$1,0)),"na")</f>
        <v>5.04</v>
      </c>
      <c r="X161">
        <f>IF(ISNUMBER(INDEX(Haver_M!$B$1:$ZN$1000,MATCH(data!$A161,Haver_M!$B$1:$B$1000,0),MATCH(data!X$1,Haver_M!$B$1:$ZN$1,0))),INDEX(Haver_M!$B$1:$ZN$1000,MATCH(data!$A161,Haver_M!$B$1:$B$1000,0),MATCH(data!X$1,Haver_M!$B$1:$ZN$1,0)),"na")</f>
        <v>99.39</v>
      </c>
      <c r="Y161">
        <f>IF(ISNUMBER(INDEX(Haver_M!$B$1:$ZN$1000,MATCH(data!$A161,Haver_M!$B$1:$B$1000,0),MATCH(data!Y$1,Haver_M!$B$1:$ZN$1,0))),INDEX(Haver_M!$B$1:$ZN$1000,MATCH(data!$A161,Haver_M!$B$1:$B$1000,0),MATCH(data!Y$1,Haver_M!$B$1:$ZN$1,0)),"na")</f>
        <v>100.64</v>
      </c>
      <c r="Z161">
        <f>IF(ISNUMBER(INDEX(Haver_M!$B$1:$ZN$1000,MATCH(data!$A161,Haver_M!$B$1:$B$1000,0),MATCH(data!Z$1,Haver_M!$B$1:$ZN$1,0))),INDEX(Haver_M!$B$1:$ZN$1000,MATCH(data!$A161,Haver_M!$B$1:$B$1000,0),MATCH(data!Z$1,Haver_M!$B$1:$ZN$1,0)),"na")</f>
        <v>99.883099999999999</v>
      </c>
      <c r="AA161">
        <f>IF(ISNUMBER(INDEX(Haver_M!$B$1:$ZN$1000,MATCH(data!$A161,Haver_M!$B$1:$B$1000,0),MATCH(data!AA$1,Haver_M!$B$1:$ZN$1,0))),INDEX(Haver_M!$B$1:$ZN$1000,MATCH(data!$A161,Haver_M!$B$1:$B$1000,0),MATCH(data!AA$1,Haver_M!$B$1:$ZN$1,0)),"na")</f>
        <v>99.055000000000007</v>
      </c>
      <c r="AB161">
        <f>IF(ISNUMBER(INDEX(Haver_M!$B$1:$ZN$1000,MATCH(data!$A161,Haver_M!$B$1:$B$1000,0),MATCH(data!AB$1,Haver_M!$B$1:$ZN$1,0))),INDEX(Haver_M!$B$1:$ZN$1000,MATCH(data!$A161,Haver_M!$B$1:$B$1000,0),MATCH(data!AB$1,Haver_M!$B$1:$ZN$1,0)),"na")</f>
        <v>31629.9</v>
      </c>
      <c r="AC161">
        <f>IF(ISNUMBER(INDEX(Haver_M!$B$1:$ZN$1000,MATCH(data!$A161,Haver_M!$B$1:$B$1000,0),MATCH(data!AC$1,Haver_M!$B$1:$ZN$1,0))),INDEX(Haver_M!$B$1:$ZN$1000,MATCH(data!$A161,Haver_M!$B$1:$B$1000,0),MATCH(data!AC$1,Haver_M!$B$1:$ZN$1,0)),"na")</f>
        <v>32177.599999999999</v>
      </c>
      <c r="AD161">
        <f>IF(ISNUMBER(INDEX(Haver_M!$B$1:$ZN$1000,MATCH(data!$A161,Haver_M!$B$1:$B$1000,0),MATCH(data!AD$1,Haver_M!$B$1:$ZN$1,0))),INDEX(Haver_M!$B$1:$ZN$1000,MATCH(data!$A161,Haver_M!$B$1:$B$1000,0),MATCH(data!AD$1,Haver_M!$B$1:$ZN$1,0)),"na")</f>
        <v>99.98</v>
      </c>
      <c r="AE161">
        <f>IF(ISNUMBER(INDEX(Haver_M!$B$1:$ZN$1000,MATCH(data!$A161,Haver_M!$B$1:$B$1000,0),MATCH(data!AE$1,Haver_M!$B$1:$ZN$1,0))),INDEX(Haver_M!$B$1:$ZN$1000,MATCH(data!$A161,Haver_M!$B$1:$B$1000,0),MATCH(data!AE$1,Haver_M!$B$1:$ZN$1,0)),"na")</f>
        <v>39.9</v>
      </c>
      <c r="AF161">
        <f>IF(ISNUMBER(INDEX(Haver_M!$B$1:$ZN$1000,MATCH(data!$A161,Haver_M!$B$1:$B$1000,0),MATCH(data!AF$1,Haver_M!$B$1:$ZN$1,0))),INDEX(Haver_M!$B$1:$ZN$1000,MATCH(data!$A161,Haver_M!$B$1:$B$1000,0),MATCH(data!AF$1,Haver_M!$B$1:$ZN$1,0)),"na")</f>
        <v>101.18</v>
      </c>
      <c r="AG161">
        <f>IF(ISNUMBER(INDEX(Haver_M!$B$1:$ZN$1000,MATCH(data!$A161,Haver_M!$B$1:$B$1000,0),MATCH(data!AG$1,Haver_M!$B$1:$ZN$1,0))),INDEX(Haver_M!$B$1:$ZN$1000,MATCH(data!$A161,Haver_M!$B$1:$B$1000,0),MATCH(data!AG$1,Haver_M!$B$1:$ZN$1,0)),"na")</f>
        <v>51.718400000000003</v>
      </c>
      <c r="AH161">
        <f>IF(ISNUMBER(INDEX(Haver_M!$B$1:$ZN$1000,MATCH(data!$A161,Haver_M!$B$1:$B$1000,0),MATCH(data!AH$1,Haver_M!$B$1:$ZN$1,0))),INDEX(Haver_M!$B$1:$ZN$1000,MATCH(data!$A161,Haver_M!$B$1:$B$1000,0),MATCH(data!AH$1,Haver_M!$B$1:$ZN$1,0)),"na")</f>
        <v>52.381</v>
      </c>
      <c r="AI161">
        <f>IF(ISNUMBER(INDEX(Haver_M!$B$1:$ZN$1000,MATCH(data!$A161,Haver_M!$B$1:$B$1000,0),MATCH(data!AI$1,Haver_M!$B$1:$ZN$1,0))),INDEX(Haver_M!$B$1:$ZN$1000,MATCH(data!$A161,Haver_M!$B$1:$B$1000,0),MATCH(data!AI$1,Haver_M!$B$1:$ZN$1,0)),"na")</f>
        <v>53.281599999999997</v>
      </c>
      <c r="AJ161">
        <f>IF(ISNUMBER(INDEX(Haver_M!$B$1:$ZN$1000,MATCH(data!$A161,Haver_M!$B$1:$B$1000,0),MATCH(data!AJ$1,Haver_M!$B$1:$ZN$1,0))),INDEX(Haver_M!$B$1:$ZN$1000,MATCH(data!$A161,Haver_M!$B$1:$B$1000,0),MATCH(data!AJ$1,Haver_M!$B$1:$ZN$1,0)),"na")</f>
        <v>52.023800000000001</v>
      </c>
      <c r="AK161">
        <f>IF(ISNUMBER(INDEX(Haver_M!$B$1:$ZN$1000,MATCH(data!$A161,Haver_M!$B$1:$B$1000,0),MATCH(data!AK$1,Haver_M!$B$1:$ZN$1,0))),INDEX(Haver_M!$B$1:$ZN$1000,MATCH(data!$A161,Haver_M!$B$1:$B$1000,0),MATCH(data!AK$1,Haver_M!$B$1:$ZN$1,0)),"na")</f>
        <v>51.587299999999999</v>
      </c>
      <c r="AL161">
        <f>IF(ISNUMBER(INDEX(Haver_M!$B$1:$ZN$1000,MATCH(data!$A161,Haver_M!$B$1:$B$1000,0),MATCH(data!AL$1,Haver_M!$B$1:$ZN$1,0))),INDEX(Haver_M!$B$1:$ZN$1000,MATCH(data!$A161,Haver_M!$B$1:$B$1000,0),MATCH(data!AL$1,Haver_M!$B$1:$ZN$1,0)),"na")</f>
        <v>49.720399999999998</v>
      </c>
      <c r="AM161">
        <f>IF(ISNUMBER(INDEX(Haver_M!$B$1:$ZN$1000,MATCH(data!$A161,Haver_M!$B$1:$B$1000,0),MATCH(data!AM$1,Haver_M!$B$1:$ZN$1,0))),INDEX(Haver_M!$B$1:$ZN$1000,MATCH(data!$A161,Haver_M!$B$1:$B$1000,0),MATCH(data!AM$1,Haver_M!$B$1:$ZN$1,0)),"na")</f>
        <v>53.464700000000001</v>
      </c>
      <c r="AN161">
        <f>IF(ISNUMBER(INDEX(Haver_M!$B$1:$ZN$1000,MATCH(data!$A161,Haver_M!$B$1:$B$1000,0),MATCH(data!AN$1,Haver_M!$B$1:$ZN$1,0))),INDEX(Haver_M!$B$1:$ZN$1000,MATCH(data!$A161,Haver_M!$B$1:$B$1000,0),MATCH(data!AN$1,Haver_M!$B$1:$ZN$1,0)),"na")</f>
        <v>54.351999999999997</v>
      </c>
      <c r="AO161">
        <f>IF(ISNUMBER(INDEX(Haver_M!$B$1:$ZN$1000,MATCH(data!$A161,Haver_M!$B$1:$B$1000,0),MATCH(data!AO$1,Haver_M!$B$1:$ZN$1,0))),INDEX(Haver_M!$B$1:$ZN$1000,MATCH(data!$A161,Haver_M!$B$1:$B$1000,0),MATCH(data!AO$1,Haver_M!$B$1:$ZN$1,0)),"na")</f>
        <v>49.720399999999998</v>
      </c>
      <c r="AP161">
        <f>IF(ISNUMBER(INDEX(Haver_M!$B$1:$ZN$1000,MATCH(data!$A161,Haver_M!$B$1:$B$1000,0),MATCH(data!AP$1,Haver_M!$B$1:$ZN$1,0))),INDEX(Haver_M!$B$1:$ZN$1000,MATCH(data!$A161,Haver_M!$B$1:$B$1000,0),MATCH(data!AP$1,Haver_M!$B$1:$ZN$1,0)),"na")</f>
        <v>50.3352</v>
      </c>
      <c r="AQ161">
        <f>IF(ISNUMBER(INDEX(Haver_M!$B$1:$ZN$1000,MATCH(data!$A161,Haver_M!$B$1:$B$1000,0),MATCH(data!AQ$1,Haver_M!$B$1:$ZN$1,0))),INDEX(Haver_M!$B$1:$ZN$1000,MATCH(data!$A161,Haver_M!$B$1:$B$1000,0),MATCH(data!AQ$1,Haver_M!$B$1:$ZN$1,0)),"na")</f>
        <v>49.312199999999997</v>
      </c>
      <c r="AR161">
        <f>IF(ISNUMBER(INDEX(Haver_M!$B$1:$ZN$1000,MATCH(data!$A161,Haver_M!$B$1:$B$1000,0),MATCH(data!AR$1,Haver_M!$B$1:$ZN$1,0))),INDEX(Haver_M!$B$1:$ZN$1000,MATCH(data!$A161,Haver_M!$B$1:$B$1000,0),MATCH(data!AR$1,Haver_M!$B$1:$ZN$1,0)),"na")</f>
        <v>47.133400000000002</v>
      </c>
      <c r="AS161">
        <f>IF(ISNUMBER(INDEX(Haver_M!$B$1:$ZN$1000,MATCH(data!$A161,Haver_M!$B$1:$B$1000,0),MATCH(data!AS$1,Haver_M!$B$1:$ZN$1,0))),INDEX(Haver_M!$B$1:$ZN$1000,MATCH(data!$A161,Haver_M!$B$1:$B$1000,0),MATCH(data!AS$1,Haver_M!$B$1:$ZN$1,0)),"na")</f>
        <v>43172.76</v>
      </c>
      <c r="AT161">
        <f>IF(ISNUMBER(INDEX(Haver_M!$B$1:$ZN$1000,MATCH(data!$A161,Haver_M!$B$1:$B$1000,0),MATCH(data!AT$1,Haver_M!$B$1:$ZN$1,0))),INDEX(Haver_M!$B$1:$ZN$1000,MATCH(data!$A161,Haver_M!$B$1:$B$1000,0),MATCH(data!AT$1,Haver_M!$B$1:$ZN$1,0)),"na")</f>
        <v>99.426000000000002</v>
      </c>
      <c r="AU161">
        <f>IF(ISNUMBER(INDEX(Haver_M!$B$1:$ZN$1000,MATCH(data!$A161,Haver_M!$B$1:$B$1000,0),MATCH(data!AU$1,Haver_M!$B$1:$ZN$1,0))),INDEX(Haver_M!$B$1:$ZN$1000,MATCH(data!$A161,Haver_M!$B$1:$B$1000,0),MATCH(data!AU$1,Haver_M!$B$1:$ZN$1,0)),"na")</f>
        <v>99.194654</v>
      </c>
      <c r="AV161">
        <f>IF(ISNUMBER(INDEX(Haver_M!$B$1:$ZN$1000,MATCH(data!$A161,Haver_M!$B$1:$B$1000,0),MATCH(data!AV$1,Haver_M!$B$1:$ZN$1,0))),INDEX(Haver_M!$B$1:$ZN$1000,MATCH(data!$A161,Haver_M!$B$1:$B$1000,0),MATCH(data!AV$1,Haver_M!$B$1:$ZN$1,0)),"na")</f>
        <v>100.3</v>
      </c>
      <c r="AW161">
        <f>IF(ISNUMBER(INDEX(Haver_M!$B$1:$ZN$1000,MATCH(data!$A161,Haver_M!$B$1:$B$1000,0),MATCH(data!AW$1,Haver_M!$B$1:$ZN$1,0))),INDEX(Haver_M!$B$1:$ZN$1000,MATCH(data!$A161,Haver_M!$B$1:$B$1000,0),MATCH(data!AW$1,Haver_M!$B$1:$ZN$1,0)),"na")</f>
        <v>1095829.7890938546</v>
      </c>
      <c r="AX161">
        <f>IF(ISNUMBER(INDEX(Haver_M!$B$1:$ZN$1000,MATCH(data!$A161,Haver_M!$B$1:$B$1000,0),MATCH(data!AX$1,Haver_M!$B$1:$ZN$1,0))),INDEX(Haver_M!$B$1:$ZN$1000,MATCH(data!$A161,Haver_M!$B$1:$B$1000,0),MATCH(data!AX$1,Haver_M!$B$1:$ZN$1,0)),"na")</f>
        <v>2521</v>
      </c>
      <c r="AY161">
        <f>IF(ISNUMBER(INDEX(Haver_M!$B$1:$ZN$1000,MATCH(data!$A161,Haver_M!$B$1:$B$1000,0),MATCH(data!AY$1,Haver_M!$B$1:$ZN$1,0))),INDEX(Haver_M!$B$1:$ZN$1000,MATCH(data!$A161,Haver_M!$B$1:$B$1000,0),MATCH(data!AY$1,Haver_M!$B$1:$ZN$1,0)),"na")</f>
        <v>1275</v>
      </c>
      <c r="AZ161">
        <f>IF(ISNUMBER(INDEX(Haver_M!$B$1:$ZN$1000,MATCH(data!$A161,Haver_M!$B$1:$B$1000,0),MATCH(data!AZ$1,Haver_M!$B$1:$ZN$1,0))),INDEX(Haver_M!$B$1:$ZN$1000,MATCH(data!$A161,Haver_M!$B$1:$B$1000,0),MATCH(data!AZ$1,Haver_M!$B$1:$ZN$1,0)),"na")</f>
        <v>50.9</v>
      </c>
      <c r="BA161">
        <f>IF(ISNUMBER(INDEX(Haver_M!$B$1:$ZN$1000,MATCH(data!$A161,Haver_M!$B$1:$B$1000,0),MATCH(data!BA$1,Haver_M!$B$1:$ZN$1,0))),INDEX(Haver_M!$B$1:$ZN$1000,MATCH(data!$A161,Haver_M!$B$1:$B$1000,0),MATCH(data!BA$1,Haver_M!$B$1:$ZN$1,0)),"na")</f>
        <v>35.445902602225978</v>
      </c>
      <c r="BB161" t="str">
        <f>IF(ISNUMBER(INDEX(Haver_M!$B$1:$ZN$1000,MATCH(data!$A161,Haver_M!$B$1:$B$1000,0),MATCH(data!BB$1,Haver_M!$B$1:$ZN$1,0))),INDEX(Haver_M!$B$1:$ZN$1000,MATCH(data!$A161,Haver_M!$B$1:$B$1000,0),MATCH(data!BB$1,Haver_M!$B$1:$ZN$1,0)),"")</f>
        <v/>
      </c>
    </row>
    <row r="162" spans="1:54" x14ac:dyDescent="0.25">
      <c r="A162" s="2">
        <v>41425</v>
      </c>
      <c r="B162" t="str">
        <f>IF(ISNUMBER(INDEX(Haver_Q!$B$1:$BD$1000,MATCH(data!$A162,Haver_Q!$B$1:$B$1000,0),MATCH(data!B$1,Haver_Q!$B$1:$BD$1,0))),100*INDEX(Haver_Q!$B$1:$BD$1000,MATCH(data!$A162,Haver_Q!$B$1:$B$1000,0),MATCH(data!B$1,Haver_Q!$B$1:$BD$1,0)),"na")</f>
        <v>na</v>
      </c>
      <c r="C162" t="str">
        <f>IF(ISNUMBER(INDEX(Haver_Q!$B$1:$BD$1000,MATCH(data!$A162,Haver_Q!$B$1:$B$1000,0),MATCH(data!C$1,Haver_Q!$B$1:$BD$1,0))),100*INDEX(Haver_Q!$B$1:$BD$1000,MATCH(data!$A162,Haver_Q!$B$1:$B$1000,0),MATCH(data!C$1,Haver_Q!$B$1:$BD$1,0)),"na")</f>
        <v>na</v>
      </c>
      <c r="D162" t="str">
        <f>IF(ISNUMBER(INDEX(Haver_Q!$B$1:$BD$1000,MATCH(data!$A162,Haver_Q!$B$1:$B$1000,0),MATCH(data!D$1,Haver_Q!$B$1:$BD$1,0))),100*INDEX(Haver_Q!$B$1:$BD$1000,MATCH(data!$A162,Haver_Q!$B$1:$B$1000,0),MATCH(data!D$1,Haver_Q!$B$1:$BD$1,0)),"na")</f>
        <v>na</v>
      </c>
      <c r="E162" t="str">
        <f>IF(ISNUMBER(INDEX(Haver_Q!$B$1:$BD$1000,MATCH(data!$A162,Haver_Q!$B$1:$B$1000,0),MATCH(data!E$1,Haver_Q!$B$1:$BD$1,0))),100*INDEX(Haver_Q!$B$1:$BD$1000,MATCH(data!$A162,Haver_Q!$B$1:$B$1000,0),MATCH(data!E$1,Haver_Q!$B$1:$BD$1,0)),"na")</f>
        <v>na</v>
      </c>
      <c r="F162" t="str">
        <f>IF(ISNUMBER(INDEX(Haver_Q!$B$1:$BD$1000,MATCH(data!$A162,Haver_Q!$B$1:$B$1000,0),MATCH(data!F$1,Haver_Q!$B$1:$BD$1,0))),100*INDEX(Haver_Q!$B$1:$BD$1000,MATCH(data!$A162,Haver_Q!$B$1:$B$1000,0),MATCH(data!F$1,Haver_Q!$B$1:$BD$1,0)),"na")</f>
        <v>na</v>
      </c>
      <c r="G162" t="str">
        <f>IF(ISNUMBER(INDEX(Haver_Q!$B$1:$BD$1000,MATCH(data!$A162,Haver_Q!$B$1:$B$1000,0),MATCH(data!G$1,Haver_Q!$B$1:$BD$1,0))),100*INDEX(Haver_Q!$B$1:$BD$1000,MATCH(data!$A162,Haver_Q!$B$1:$B$1000,0),MATCH(data!G$1,Haver_Q!$B$1:$BD$1,0)),"na")</f>
        <v>na</v>
      </c>
      <c r="H162" t="str">
        <f>IF(ISNUMBER(INDEX(Haver_Q!$B$1:$BD$1000,MATCH(data!$A162,Haver_Q!$B$1:$B$1000,0),MATCH(data!H$1,Haver_Q!$B$1:$BD$1,0))),100*INDEX(Haver_Q!$B$1:$BD$1000,MATCH(data!$A162,Haver_Q!$B$1:$B$1000,0),MATCH(data!H$1,Haver_Q!$B$1:$BD$1,0)),"na")</f>
        <v>na</v>
      </c>
      <c r="I162" s="3">
        <f>IF(ISNUMBER(Bloomberg_m!C178),Bloomberg_m!C178,"na")</f>
        <v>851</v>
      </c>
      <c r="J162" s="3">
        <f>IF(ISNUMBER(Bloomberg_m!D178),Bloomberg_m!D178,"na")</f>
        <v>1644.49</v>
      </c>
      <c r="K162" s="3">
        <f>IF(ISNUMBER(Bloomberg_m!E178),Bloomberg_m!E178,"na")</f>
        <v>1006.41</v>
      </c>
      <c r="L162" s="3">
        <f>IF(ISNUMBER(Bloomberg_m!L178),Bloomberg_m!L178,"na")</f>
        <v>94.76</v>
      </c>
      <c r="M162">
        <f>IF(ISNUMBER(INDEX(Haver_M!$B$1:$ZN$1000,MATCH(data!$A162,Haver_M!$B$1:$B$1000,0),MATCH(data!M$1,Haver_M!$B$1:$ZN$1,0))),INDEX(Haver_M!$B$1:$ZN$1000,MATCH(data!$A162,Haver_M!$B$1:$B$1000,0),MATCH(data!M$1,Haver_M!$B$1:$ZN$1,0)),"na")</f>
        <v>4</v>
      </c>
      <c r="N162">
        <f>IF(ISNUMBER(INDEX(Haver_M!$B$1:$ZN$1000,MATCH(data!$A162,Haver_M!$B$1:$B$1000,0),MATCH(data!N$1,Haver_M!$B$1:$ZN$1,0))),INDEX(Haver_M!$B$1:$ZN$1000,MATCH(data!$A162,Haver_M!$B$1:$B$1000,0),MATCH(data!N$1,Haver_M!$B$1:$ZN$1,0)),"na")</f>
        <v>4.7478999999999996</v>
      </c>
      <c r="O162">
        <f>IF(ISNUMBER(INDEX(Haver_M!$B$1:$ZN$1000,MATCH(data!$A162,Haver_M!$B$1:$B$1000,0),MATCH(data!O$1,Haver_M!$B$1:$ZN$1,0))),INDEX(Haver_M!$B$1:$ZN$1000,MATCH(data!$A162,Haver_M!$B$1:$B$1000,0),MATCH(data!O$1,Haver_M!$B$1:$ZN$1,0)),"na")</f>
        <v>105.50868</v>
      </c>
      <c r="P162">
        <f>IF(ISNUMBER(INDEX(Haver_M!$B$1:$ZN$1000,MATCH(data!$A162,Haver_M!$B$1:$B$1000,0),MATCH(data!P$1,Haver_M!$B$1:$ZN$1,0))),INDEX(Haver_M!$B$1:$ZN$1000,MATCH(data!$A162,Haver_M!$B$1:$B$1000,0),MATCH(data!P$1,Haver_M!$B$1:$ZN$1,0)),"na")</f>
        <v>82.010499999999993</v>
      </c>
      <c r="Q162">
        <f>IF(ISNUMBER(INDEX(Haver_M!$B$1:$ZN$1000,MATCH(data!$A162,Haver_M!$B$1:$B$1000,0),MATCH(data!Q$1,Haver_M!$B$1:$ZN$1,0))),INDEX(Haver_M!$B$1:$ZN$1000,MATCH(data!$A162,Haver_M!$B$1:$B$1000,0),MATCH(data!Q$1,Haver_M!$B$1:$ZN$1,0)),"na")</f>
        <v>84.317599999999999</v>
      </c>
      <c r="R162">
        <f>IF(ISNUMBER(INDEX(Haver_M!$B$1:$ZN$1000,MATCH(data!$A162,Haver_M!$B$1:$B$1000,0),MATCH(data!R$1,Haver_M!$B$1:$ZN$1,0))),INDEX(Haver_M!$B$1:$ZN$1000,MATCH(data!$A162,Haver_M!$B$1:$B$1000,0),MATCH(data!R$1,Haver_M!$B$1:$ZN$1,0)),"na")</f>
        <v>99.967100000000002</v>
      </c>
      <c r="S162">
        <f>IF(ISNUMBER(INDEX(Haver_M!$B$1:$ZN$1000,MATCH(data!$A162,Haver_M!$B$1:$B$1000,0),MATCH(data!S$1,Haver_M!$B$1:$ZN$1,0))),INDEX(Haver_M!$B$1:$ZN$1000,MATCH(data!$A162,Haver_M!$B$1:$B$1000,0),MATCH(data!S$1,Haver_M!$B$1:$ZN$1,0)),"na")</f>
        <v>99.001400000000004</v>
      </c>
      <c r="T162">
        <f>IF(ISNUMBER(INDEX(Haver_M!$B$1:$ZN$1000,MATCH(data!$A162,Haver_M!$B$1:$B$1000,0),MATCH(data!T$1,Haver_M!$B$1:$ZN$1,0))),INDEX(Haver_M!$B$1:$ZN$1000,MATCH(data!$A162,Haver_M!$B$1:$B$1000,0),MATCH(data!T$1,Haver_M!$B$1:$ZN$1,0)),"na")</f>
        <v>100.0907</v>
      </c>
      <c r="U162">
        <f>IF(ISNUMBER(INDEX(Haver_M!$B$1:$ZN$1000,MATCH(data!$A162,Haver_M!$B$1:$B$1000,0),MATCH(data!U$1,Haver_M!$B$1:$ZN$1,0))),INDEX(Haver_M!$B$1:$ZN$1000,MATCH(data!$A162,Haver_M!$B$1:$B$1000,0),MATCH(data!U$1,Haver_M!$B$1:$ZN$1,0)),"na")</f>
        <v>102.9328</v>
      </c>
      <c r="V162">
        <f>IF(ISNUMBER(INDEX(Haver_M!$B$1:$ZN$1000,MATCH(data!$A162,Haver_M!$B$1:$B$1000,0),MATCH(data!V$1,Haver_M!$B$1:$ZN$1,0))),INDEX(Haver_M!$B$1:$ZN$1000,MATCH(data!$A162,Haver_M!$B$1:$B$1000,0),MATCH(data!V$1,Haver_M!$B$1:$ZN$1,0)),"na")</f>
        <v>99.459299999999999</v>
      </c>
      <c r="W162">
        <f>IF(ISNUMBER(INDEX(Haver_M!$B$1:$ZN$1000,MATCH(data!$A162,Haver_M!$B$1:$B$1000,0),MATCH(data!W$1,Haver_M!$B$1:$ZN$1,0))),INDEX(Haver_M!$B$1:$ZN$1000,MATCH(data!$A162,Haver_M!$B$1:$B$1000,0),MATCH(data!W$1,Haver_M!$B$1:$ZN$1,0)),"na")</f>
        <v>4.9400000000000004</v>
      </c>
      <c r="X162">
        <f>IF(ISNUMBER(INDEX(Haver_M!$B$1:$ZN$1000,MATCH(data!$A162,Haver_M!$B$1:$B$1000,0),MATCH(data!X$1,Haver_M!$B$1:$ZN$1,0))),INDEX(Haver_M!$B$1:$ZN$1000,MATCH(data!$A162,Haver_M!$B$1:$B$1000,0),MATCH(data!X$1,Haver_M!$B$1:$ZN$1,0)),"na")</f>
        <v>99.34</v>
      </c>
      <c r="Y162">
        <f>IF(ISNUMBER(INDEX(Haver_M!$B$1:$ZN$1000,MATCH(data!$A162,Haver_M!$B$1:$B$1000,0),MATCH(data!Y$1,Haver_M!$B$1:$ZN$1,0))),INDEX(Haver_M!$B$1:$ZN$1000,MATCH(data!$A162,Haver_M!$B$1:$B$1000,0),MATCH(data!Y$1,Haver_M!$B$1:$ZN$1,0)),"na")</f>
        <v>100.6</v>
      </c>
      <c r="Z162">
        <f>IF(ISNUMBER(INDEX(Haver_M!$B$1:$ZN$1000,MATCH(data!$A162,Haver_M!$B$1:$B$1000,0),MATCH(data!Z$1,Haver_M!$B$1:$ZN$1,0))),INDEX(Haver_M!$B$1:$ZN$1000,MATCH(data!$A162,Haver_M!$B$1:$B$1000,0),MATCH(data!Z$1,Haver_M!$B$1:$ZN$1,0)),"na")</f>
        <v>100.4288</v>
      </c>
      <c r="AA162">
        <f>IF(ISNUMBER(INDEX(Haver_M!$B$1:$ZN$1000,MATCH(data!$A162,Haver_M!$B$1:$B$1000,0),MATCH(data!AA$1,Haver_M!$B$1:$ZN$1,0))),INDEX(Haver_M!$B$1:$ZN$1000,MATCH(data!$A162,Haver_M!$B$1:$B$1000,0),MATCH(data!AA$1,Haver_M!$B$1:$ZN$1,0)),"na")</f>
        <v>99.143900000000002</v>
      </c>
      <c r="AB162">
        <f>IF(ISNUMBER(INDEX(Haver_M!$B$1:$ZN$1000,MATCH(data!$A162,Haver_M!$B$1:$B$1000,0),MATCH(data!AB$1,Haver_M!$B$1:$ZN$1,0))),INDEX(Haver_M!$B$1:$ZN$1000,MATCH(data!$A162,Haver_M!$B$1:$B$1000,0),MATCH(data!AB$1,Haver_M!$B$1:$ZN$1,0)),"na")</f>
        <v>30939.8</v>
      </c>
      <c r="AC162">
        <f>IF(ISNUMBER(INDEX(Haver_M!$B$1:$ZN$1000,MATCH(data!$A162,Haver_M!$B$1:$B$1000,0),MATCH(data!AC$1,Haver_M!$B$1:$ZN$1,0))),INDEX(Haver_M!$B$1:$ZN$1000,MATCH(data!$A162,Haver_M!$B$1:$B$1000,0),MATCH(data!AC$1,Haver_M!$B$1:$ZN$1,0)),"na")</f>
        <v>31515.200000000001</v>
      </c>
      <c r="AD162">
        <f>IF(ISNUMBER(INDEX(Haver_M!$B$1:$ZN$1000,MATCH(data!$A162,Haver_M!$B$1:$B$1000,0),MATCH(data!AD$1,Haver_M!$B$1:$ZN$1,0))),INDEX(Haver_M!$B$1:$ZN$1000,MATCH(data!$A162,Haver_M!$B$1:$B$1000,0),MATCH(data!AD$1,Haver_M!$B$1:$ZN$1,0)),"na")</f>
        <v>99.94</v>
      </c>
      <c r="AE162">
        <f>IF(ISNUMBER(INDEX(Haver_M!$B$1:$ZN$1000,MATCH(data!$A162,Haver_M!$B$1:$B$1000,0),MATCH(data!AE$1,Haver_M!$B$1:$ZN$1,0))),INDEX(Haver_M!$B$1:$ZN$1000,MATCH(data!$A162,Haver_M!$B$1:$B$1000,0),MATCH(data!AE$1,Haver_M!$B$1:$ZN$1,0)),"na")</f>
        <v>39.5</v>
      </c>
      <c r="AF162">
        <f>IF(ISNUMBER(INDEX(Haver_M!$B$1:$ZN$1000,MATCH(data!$A162,Haver_M!$B$1:$B$1000,0),MATCH(data!AF$1,Haver_M!$B$1:$ZN$1,0))),INDEX(Haver_M!$B$1:$ZN$1000,MATCH(data!$A162,Haver_M!$B$1:$B$1000,0),MATCH(data!AF$1,Haver_M!$B$1:$ZN$1,0)),"na")</f>
        <v>101.05</v>
      </c>
      <c r="AG162">
        <f>IF(ISNUMBER(INDEX(Haver_M!$B$1:$ZN$1000,MATCH(data!$A162,Haver_M!$B$1:$B$1000,0),MATCH(data!AG$1,Haver_M!$B$1:$ZN$1,0))),INDEX(Haver_M!$B$1:$ZN$1000,MATCH(data!$A162,Haver_M!$B$1:$B$1000,0),MATCH(data!AG$1,Haver_M!$B$1:$ZN$1,0)),"na")</f>
        <v>51.747999999999998</v>
      </c>
      <c r="AH162">
        <f>IF(ISNUMBER(INDEX(Haver_M!$B$1:$ZN$1000,MATCH(data!$A162,Haver_M!$B$1:$B$1000,0),MATCH(data!AH$1,Haver_M!$B$1:$ZN$1,0))),INDEX(Haver_M!$B$1:$ZN$1000,MATCH(data!$A162,Haver_M!$B$1:$B$1000,0),MATCH(data!AH$1,Haver_M!$B$1:$ZN$1,0)),"na")</f>
        <v>52.616900000000001</v>
      </c>
      <c r="AI162">
        <f>IF(ISNUMBER(INDEX(Haver_M!$B$1:$ZN$1000,MATCH(data!$A162,Haver_M!$B$1:$B$1000,0),MATCH(data!AI$1,Haver_M!$B$1:$ZN$1,0))),INDEX(Haver_M!$B$1:$ZN$1000,MATCH(data!$A162,Haver_M!$B$1:$B$1000,0),MATCH(data!AI$1,Haver_M!$B$1:$ZN$1,0)),"na")</f>
        <v>53.278500000000001</v>
      </c>
      <c r="AJ162">
        <f>IF(ISNUMBER(INDEX(Haver_M!$B$1:$ZN$1000,MATCH(data!$A162,Haver_M!$B$1:$B$1000,0),MATCH(data!AJ$1,Haver_M!$B$1:$ZN$1,0))),INDEX(Haver_M!$B$1:$ZN$1000,MATCH(data!$A162,Haver_M!$B$1:$B$1000,0),MATCH(data!AJ$1,Haver_M!$B$1:$ZN$1,0)),"na")</f>
        <v>51.787500000000001</v>
      </c>
      <c r="AK162">
        <f>IF(ISNUMBER(INDEX(Haver_M!$B$1:$ZN$1000,MATCH(data!$A162,Haver_M!$B$1:$B$1000,0),MATCH(data!AK$1,Haver_M!$B$1:$ZN$1,0))),INDEX(Haver_M!$B$1:$ZN$1000,MATCH(data!$A162,Haver_M!$B$1:$B$1000,0),MATCH(data!AK$1,Haver_M!$B$1:$ZN$1,0)),"na")</f>
        <v>50.314500000000002</v>
      </c>
      <c r="AL162">
        <f>IF(ISNUMBER(INDEX(Haver_M!$B$1:$ZN$1000,MATCH(data!$A162,Haver_M!$B$1:$B$1000,0),MATCH(data!AL$1,Haver_M!$B$1:$ZN$1,0))),INDEX(Haver_M!$B$1:$ZN$1000,MATCH(data!$A162,Haver_M!$B$1:$B$1000,0),MATCH(data!AL$1,Haver_M!$B$1:$ZN$1,0)),"na")</f>
        <v>47.998899999999999</v>
      </c>
      <c r="AM162">
        <f>IF(ISNUMBER(INDEX(Haver_M!$B$1:$ZN$1000,MATCH(data!$A162,Haver_M!$B$1:$B$1000,0),MATCH(data!AM$1,Haver_M!$B$1:$ZN$1,0))),INDEX(Haver_M!$B$1:$ZN$1000,MATCH(data!$A162,Haver_M!$B$1:$B$1000,0),MATCH(data!AM$1,Haver_M!$B$1:$ZN$1,0)),"na")</f>
        <v>54.056600000000003</v>
      </c>
      <c r="AN162">
        <f>IF(ISNUMBER(INDEX(Haver_M!$B$1:$ZN$1000,MATCH(data!$A162,Haver_M!$B$1:$B$1000,0),MATCH(data!AN$1,Haver_M!$B$1:$ZN$1,0))),INDEX(Haver_M!$B$1:$ZN$1000,MATCH(data!$A162,Haver_M!$B$1:$B$1000,0),MATCH(data!AN$1,Haver_M!$B$1:$ZN$1,0)),"na")</f>
        <v>51.883099999999999</v>
      </c>
      <c r="AO162">
        <f>IF(ISNUMBER(INDEX(Haver_M!$B$1:$ZN$1000,MATCH(data!$A162,Haver_M!$B$1:$B$1000,0),MATCH(data!AO$1,Haver_M!$B$1:$ZN$1,0))),INDEX(Haver_M!$B$1:$ZN$1000,MATCH(data!$A162,Haver_M!$B$1:$B$1000,0),MATCH(data!AO$1,Haver_M!$B$1:$ZN$1,0)),"na")</f>
        <v>47.998899999999999</v>
      </c>
      <c r="AP162">
        <f>IF(ISNUMBER(INDEX(Haver_M!$B$1:$ZN$1000,MATCH(data!$A162,Haver_M!$B$1:$B$1000,0),MATCH(data!AP$1,Haver_M!$B$1:$ZN$1,0))),INDEX(Haver_M!$B$1:$ZN$1000,MATCH(data!$A162,Haver_M!$B$1:$B$1000,0),MATCH(data!AP$1,Haver_M!$B$1:$ZN$1,0)),"na")</f>
        <v>48.642600000000002</v>
      </c>
      <c r="AQ162">
        <f>IF(ISNUMBER(INDEX(Haver_M!$B$1:$ZN$1000,MATCH(data!$A162,Haver_M!$B$1:$B$1000,0),MATCH(data!AQ$1,Haver_M!$B$1:$ZN$1,0))),INDEX(Haver_M!$B$1:$ZN$1000,MATCH(data!$A162,Haver_M!$B$1:$B$1000,0),MATCH(data!AQ$1,Haver_M!$B$1:$ZN$1,0)),"na")</f>
        <v>49.748399999999997</v>
      </c>
      <c r="AR162">
        <f>IF(ISNUMBER(INDEX(Haver_M!$B$1:$ZN$1000,MATCH(data!$A162,Haver_M!$B$1:$B$1000,0),MATCH(data!AR$1,Haver_M!$B$1:$ZN$1,0))),INDEX(Haver_M!$B$1:$ZN$1000,MATCH(data!$A162,Haver_M!$B$1:$B$1000,0),MATCH(data!AR$1,Haver_M!$B$1:$ZN$1,0)),"na")</f>
        <v>46.870600000000003</v>
      </c>
      <c r="AS162">
        <f>IF(ISNUMBER(INDEX(Haver_M!$B$1:$ZN$1000,MATCH(data!$A162,Haver_M!$B$1:$B$1000,0),MATCH(data!AS$1,Haver_M!$B$1:$ZN$1,0))),INDEX(Haver_M!$B$1:$ZN$1000,MATCH(data!$A162,Haver_M!$B$1:$B$1000,0),MATCH(data!AS$1,Haver_M!$B$1:$ZN$1,0)),"na")</f>
        <v>41403.78</v>
      </c>
      <c r="AT162">
        <f>IF(ISNUMBER(INDEX(Haver_M!$B$1:$ZN$1000,MATCH(data!$A162,Haver_M!$B$1:$B$1000,0),MATCH(data!AT$1,Haver_M!$B$1:$ZN$1,0))),INDEX(Haver_M!$B$1:$ZN$1000,MATCH(data!$A162,Haver_M!$B$1:$B$1000,0),MATCH(data!AT$1,Haver_M!$B$1:$ZN$1,0)),"na")</f>
        <v>99.855000000000004</v>
      </c>
      <c r="AU162">
        <f>IF(ISNUMBER(INDEX(Haver_M!$B$1:$ZN$1000,MATCH(data!$A162,Haver_M!$B$1:$B$1000,0),MATCH(data!AU$1,Haver_M!$B$1:$ZN$1,0))),INDEX(Haver_M!$B$1:$ZN$1000,MATCH(data!$A162,Haver_M!$B$1:$B$1000,0),MATCH(data!AU$1,Haver_M!$B$1:$ZN$1,0)),"na")</f>
        <v>99.801119</v>
      </c>
      <c r="AV162">
        <f>IF(ISNUMBER(INDEX(Haver_M!$B$1:$ZN$1000,MATCH(data!$A162,Haver_M!$B$1:$B$1000,0),MATCH(data!AV$1,Haver_M!$B$1:$ZN$1,0))),INDEX(Haver_M!$B$1:$ZN$1000,MATCH(data!$A162,Haver_M!$B$1:$B$1000,0),MATCH(data!AV$1,Haver_M!$B$1:$ZN$1,0)),"na")</f>
        <v>101.4</v>
      </c>
      <c r="AW162">
        <f>IF(ISNUMBER(INDEX(Haver_M!$B$1:$ZN$1000,MATCH(data!$A162,Haver_M!$B$1:$B$1000,0),MATCH(data!AW$1,Haver_M!$B$1:$ZN$1,0))),INDEX(Haver_M!$B$1:$ZN$1000,MATCH(data!$A162,Haver_M!$B$1:$B$1000,0),MATCH(data!AW$1,Haver_M!$B$1:$ZN$1,0)),"na")</f>
        <v>1122151.8040205082</v>
      </c>
      <c r="AX162">
        <f>IF(ISNUMBER(INDEX(Haver_M!$B$1:$ZN$1000,MATCH(data!$A162,Haver_M!$B$1:$B$1000,0),MATCH(data!AX$1,Haver_M!$B$1:$ZN$1,0))),INDEX(Haver_M!$B$1:$ZN$1000,MATCH(data!$A162,Haver_M!$B$1:$B$1000,0),MATCH(data!AX$1,Haver_M!$B$1:$ZN$1,0)),"na")</f>
        <v>2513</v>
      </c>
      <c r="AY162">
        <f>IF(ISNUMBER(INDEX(Haver_M!$B$1:$ZN$1000,MATCH(data!$A162,Haver_M!$B$1:$B$1000,0),MATCH(data!AY$1,Haver_M!$B$1:$ZN$1,0))),INDEX(Haver_M!$B$1:$ZN$1000,MATCH(data!$A162,Haver_M!$B$1:$B$1000,0),MATCH(data!AY$1,Haver_M!$B$1:$ZN$1,0)),"na")</f>
        <v>1029</v>
      </c>
      <c r="AZ162">
        <f>IF(ISNUMBER(INDEX(Haver_M!$B$1:$ZN$1000,MATCH(data!$A162,Haver_M!$B$1:$B$1000,0),MATCH(data!AZ$1,Haver_M!$B$1:$ZN$1,0))),INDEX(Haver_M!$B$1:$ZN$1000,MATCH(data!$A162,Haver_M!$B$1:$B$1000,0),MATCH(data!AZ$1,Haver_M!$B$1:$ZN$1,0)),"na")</f>
        <v>49.4</v>
      </c>
      <c r="BA162">
        <f>IF(ISNUMBER(INDEX(Haver_M!$B$1:$ZN$1000,MATCH(data!$A162,Haver_M!$B$1:$B$1000,0),MATCH(data!BA$1,Haver_M!$B$1:$ZN$1,0))),INDEX(Haver_M!$B$1:$ZN$1000,MATCH(data!$A162,Haver_M!$B$1:$B$1000,0),MATCH(data!BA$1,Haver_M!$B$1:$ZN$1,0)),"na")</f>
        <v>31.397550781546922</v>
      </c>
      <c r="BB162" t="str">
        <f>IF(ISNUMBER(INDEX(Haver_M!$B$1:$ZN$1000,MATCH(data!$A162,Haver_M!$B$1:$B$1000,0),MATCH(data!BB$1,Haver_M!$B$1:$ZN$1,0))),INDEX(Haver_M!$B$1:$ZN$1000,MATCH(data!$A162,Haver_M!$B$1:$B$1000,0),MATCH(data!BB$1,Haver_M!$B$1:$ZN$1,0)),"")</f>
        <v/>
      </c>
    </row>
    <row r="163" spans="1:54" x14ac:dyDescent="0.25">
      <c r="A163" s="2">
        <v>41455</v>
      </c>
      <c r="B163">
        <f>IF(ISNUMBER(INDEX(Haver_Q!$B$1:$BD$1000,MATCH(data!$A163,Haver_Q!$B$1:$B$1000,0),MATCH(data!B$1,Haver_Q!$B$1:$BD$1,0))),100*INDEX(Haver_Q!$B$1:$BD$1000,MATCH(data!$A163,Haver_Q!$B$1:$B$1000,0),MATCH(data!B$1,Haver_Q!$B$1:$BD$1,0)),"na")</f>
        <v>-2.5344824440341474</v>
      </c>
      <c r="C163">
        <f>IF(ISNUMBER(INDEX(Haver_Q!$B$1:$BD$1000,MATCH(data!$A163,Haver_Q!$B$1:$B$1000,0),MATCH(data!C$1,Haver_Q!$B$1:$BD$1,0))),100*INDEX(Haver_Q!$B$1:$BD$1000,MATCH(data!$A163,Haver_Q!$B$1:$B$1000,0),MATCH(data!C$1,Haver_Q!$B$1:$BD$1,0)),"na")</f>
        <v>-0.66437969812339626</v>
      </c>
      <c r="D163">
        <f>IF(ISNUMBER(INDEX(Haver_Q!$B$1:$BD$1000,MATCH(data!$A163,Haver_Q!$B$1:$B$1000,0),MATCH(data!D$1,Haver_Q!$B$1:$BD$1,0))),100*INDEX(Haver_Q!$B$1:$BD$1000,MATCH(data!$A163,Haver_Q!$B$1:$B$1000,0),MATCH(data!D$1,Haver_Q!$B$1:$BD$1,0)),"na")</f>
        <v>-1.8823731432703217</v>
      </c>
      <c r="E163">
        <f>IF(ISNUMBER(INDEX(Haver_Q!$B$1:$BD$1000,MATCH(data!$A163,Haver_Q!$B$1:$B$1000,0),MATCH(data!E$1,Haver_Q!$B$1:$BD$1,0))),100*INDEX(Haver_Q!$B$1:$BD$1000,MATCH(data!$A163,Haver_Q!$B$1:$B$1000,0),MATCH(data!E$1,Haver_Q!$B$1:$BD$1,0)),"na")</f>
        <v>-11.963830108099671</v>
      </c>
      <c r="F163">
        <f>IF(ISNUMBER(INDEX(Haver_Q!$B$1:$BD$1000,MATCH(data!$A163,Haver_Q!$B$1:$B$1000,0),MATCH(data!F$1,Haver_Q!$B$1:$BD$1,0))),100*INDEX(Haver_Q!$B$1:$BD$1000,MATCH(data!$A163,Haver_Q!$B$1:$B$1000,0),MATCH(data!F$1,Haver_Q!$B$1:$BD$1,0)),"na")</f>
        <v>6.0839315716368692</v>
      </c>
      <c r="G163">
        <f>IF(ISNUMBER(INDEX(Haver_Q!$B$1:$BD$1000,MATCH(data!$A163,Haver_Q!$B$1:$B$1000,0),MATCH(data!G$1,Haver_Q!$B$1:$BD$1,0))),100*INDEX(Haver_Q!$B$1:$BD$1000,MATCH(data!$A163,Haver_Q!$B$1:$B$1000,0),MATCH(data!G$1,Haver_Q!$B$1:$BD$1,0)),"na")</f>
        <v>0.6961624967118496</v>
      </c>
      <c r="H163">
        <f>IF(ISNUMBER(INDEX(Haver_Q!$B$1:$BD$1000,MATCH(data!$A163,Haver_Q!$B$1:$B$1000,0),MATCH(data!H$1,Haver_Q!$B$1:$BD$1,0))),100*INDEX(Haver_Q!$B$1:$BD$1000,MATCH(data!$A163,Haver_Q!$B$1:$B$1000,0),MATCH(data!H$1,Haver_Q!$B$1:$BD$1,0)),"na")</f>
        <v>367.74311222064802</v>
      </c>
      <c r="I163" s="3">
        <f>IF(ISNUMBER(Bloomberg_m!C179),Bloomberg_m!C179,"na")</f>
        <v>941</v>
      </c>
      <c r="J163" s="3">
        <f>IF(ISNUMBER(Bloomberg_m!D179),Bloomberg_m!D179,"na")</f>
        <v>1596.83</v>
      </c>
      <c r="K163" s="3">
        <f>IF(ISNUMBER(Bloomberg_m!E179),Bloomberg_m!E179,"na")</f>
        <v>999.3</v>
      </c>
      <c r="L163" s="3">
        <f>IF(ISNUMBER(Bloomberg_m!L179),Bloomberg_m!L179,"na")</f>
        <v>95.79</v>
      </c>
      <c r="M163">
        <f>IF(ISNUMBER(INDEX(Haver_M!$B$1:$ZN$1000,MATCH(data!$A163,Haver_M!$B$1:$B$1000,0),MATCH(data!M$1,Haver_M!$B$1:$ZN$1,0))),INDEX(Haver_M!$B$1:$ZN$1000,MATCH(data!$A163,Haver_M!$B$1:$B$1000,0),MATCH(data!M$1,Haver_M!$B$1:$ZN$1,0)),"na")</f>
        <v>4</v>
      </c>
      <c r="N163">
        <f>IF(ISNUMBER(INDEX(Haver_M!$B$1:$ZN$1000,MATCH(data!$A163,Haver_M!$B$1:$B$1000,0),MATCH(data!N$1,Haver_M!$B$1:$ZN$1,0))),INDEX(Haver_M!$B$1:$ZN$1000,MATCH(data!$A163,Haver_M!$B$1:$B$1000,0),MATCH(data!N$1,Haver_M!$B$1:$ZN$1,0)),"na")</f>
        <v>5.6212</v>
      </c>
      <c r="O163">
        <f>IF(ISNUMBER(INDEX(Haver_M!$B$1:$ZN$1000,MATCH(data!$A163,Haver_M!$B$1:$B$1000,0),MATCH(data!O$1,Haver_M!$B$1:$ZN$1,0))),INDEX(Haver_M!$B$1:$ZN$1000,MATCH(data!$A163,Haver_M!$B$1:$B$1000,0),MATCH(data!O$1,Haver_M!$B$1:$ZN$1,0)),"na")</f>
        <v>99.881519999999995</v>
      </c>
      <c r="P163">
        <f>IF(ISNUMBER(INDEX(Haver_M!$B$1:$ZN$1000,MATCH(data!$A163,Haver_M!$B$1:$B$1000,0),MATCH(data!P$1,Haver_M!$B$1:$ZN$1,0))),INDEX(Haver_M!$B$1:$ZN$1000,MATCH(data!$A163,Haver_M!$B$1:$B$1000,0),MATCH(data!P$1,Haver_M!$B$1:$ZN$1,0)),"na")</f>
        <v>82.094899999999996</v>
      </c>
      <c r="Q163">
        <f>IF(ISNUMBER(INDEX(Haver_M!$B$1:$ZN$1000,MATCH(data!$A163,Haver_M!$B$1:$B$1000,0),MATCH(data!Q$1,Haver_M!$B$1:$ZN$1,0))),INDEX(Haver_M!$B$1:$ZN$1000,MATCH(data!$A163,Haver_M!$B$1:$B$1000,0),MATCH(data!Q$1,Haver_M!$B$1:$ZN$1,0)),"na")</f>
        <v>84.475999999999999</v>
      </c>
      <c r="R163">
        <f>IF(ISNUMBER(INDEX(Haver_M!$B$1:$ZN$1000,MATCH(data!$A163,Haver_M!$B$1:$B$1000,0),MATCH(data!R$1,Haver_M!$B$1:$ZN$1,0))),INDEX(Haver_M!$B$1:$ZN$1000,MATCH(data!$A163,Haver_M!$B$1:$B$1000,0),MATCH(data!R$1,Haver_M!$B$1:$ZN$1,0)),"na")</f>
        <v>99.122900000000001</v>
      </c>
      <c r="S163">
        <f>IF(ISNUMBER(INDEX(Haver_M!$B$1:$ZN$1000,MATCH(data!$A163,Haver_M!$B$1:$B$1000,0),MATCH(data!S$1,Haver_M!$B$1:$ZN$1,0))),INDEX(Haver_M!$B$1:$ZN$1000,MATCH(data!$A163,Haver_M!$B$1:$B$1000,0),MATCH(data!S$1,Haver_M!$B$1:$ZN$1,0)),"na")</f>
        <v>99.1661</v>
      </c>
      <c r="T163">
        <f>IF(ISNUMBER(INDEX(Haver_M!$B$1:$ZN$1000,MATCH(data!$A163,Haver_M!$B$1:$B$1000,0),MATCH(data!T$1,Haver_M!$B$1:$ZN$1,0))),INDEX(Haver_M!$B$1:$ZN$1000,MATCH(data!$A163,Haver_M!$B$1:$B$1000,0),MATCH(data!T$1,Haver_M!$B$1:$ZN$1,0)),"na")</f>
        <v>99.7971</v>
      </c>
      <c r="U163">
        <f>IF(ISNUMBER(INDEX(Haver_M!$B$1:$ZN$1000,MATCH(data!$A163,Haver_M!$B$1:$B$1000,0),MATCH(data!U$1,Haver_M!$B$1:$ZN$1,0))),INDEX(Haver_M!$B$1:$ZN$1000,MATCH(data!$A163,Haver_M!$B$1:$B$1000,0),MATCH(data!U$1,Haver_M!$B$1:$ZN$1,0)),"na")</f>
        <v>98.225999999999999</v>
      </c>
      <c r="V163">
        <f>IF(ISNUMBER(INDEX(Haver_M!$B$1:$ZN$1000,MATCH(data!$A163,Haver_M!$B$1:$B$1000,0),MATCH(data!V$1,Haver_M!$B$1:$ZN$1,0))),INDEX(Haver_M!$B$1:$ZN$1000,MATCH(data!$A163,Haver_M!$B$1:$B$1000,0),MATCH(data!V$1,Haver_M!$B$1:$ZN$1,0)),"na")</f>
        <v>99.767799999999994</v>
      </c>
      <c r="W163">
        <f>IF(ISNUMBER(INDEX(Haver_M!$B$1:$ZN$1000,MATCH(data!$A163,Haver_M!$B$1:$B$1000,0),MATCH(data!W$1,Haver_M!$B$1:$ZN$1,0))),INDEX(Haver_M!$B$1:$ZN$1000,MATCH(data!$A163,Haver_M!$B$1:$B$1000,0),MATCH(data!W$1,Haver_M!$B$1:$ZN$1,0)),"na")</f>
        <v>5.01</v>
      </c>
      <c r="X163">
        <f>IF(ISNUMBER(INDEX(Haver_M!$B$1:$ZN$1000,MATCH(data!$A163,Haver_M!$B$1:$B$1000,0),MATCH(data!X$1,Haver_M!$B$1:$ZN$1,0))),INDEX(Haver_M!$B$1:$ZN$1000,MATCH(data!$A163,Haver_M!$B$1:$B$1000,0),MATCH(data!X$1,Haver_M!$B$1:$ZN$1,0)),"na")</f>
        <v>99.63</v>
      </c>
      <c r="Y163">
        <f>IF(ISNUMBER(INDEX(Haver_M!$B$1:$ZN$1000,MATCH(data!$A163,Haver_M!$B$1:$B$1000,0),MATCH(data!Y$1,Haver_M!$B$1:$ZN$1,0))),INDEX(Haver_M!$B$1:$ZN$1000,MATCH(data!$A163,Haver_M!$B$1:$B$1000,0),MATCH(data!Y$1,Haver_M!$B$1:$ZN$1,0)),"na")</f>
        <v>100.53</v>
      </c>
      <c r="Z163">
        <f>IF(ISNUMBER(INDEX(Haver_M!$B$1:$ZN$1000,MATCH(data!$A163,Haver_M!$B$1:$B$1000,0),MATCH(data!Z$1,Haver_M!$B$1:$ZN$1,0))),INDEX(Haver_M!$B$1:$ZN$1000,MATCH(data!$A163,Haver_M!$B$1:$B$1000,0),MATCH(data!Z$1,Haver_M!$B$1:$ZN$1,0)),"na")</f>
        <v>100.27679999999999</v>
      </c>
      <c r="AA163">
        <f>IF(ISNUMBER(INDEX(Haver_M!$B$1:$ZN$1000,MATCH(data!$A163,Haver_M!$B$1:$B$1000,0),MATCH(data!AA$1,Haver_M!$B$1:$ZN$1,0))),INDEX(Haver_M!$B$1:$ZN$1000,MATCH(data!$A163,Haver_M!$B$1:$B$1000,0),MATCH(data!AA$1,Haver_M!$B$1:$ZN$1,0)),"na")</f>
        <v>99.090100000000007</v>
      </c>
      <c r="AB163">
        <f>IF(ISNUMBER(INDEX(Haver_M!$B$1:$ZN$1000,MATCH(data!$A163,Haver_M!$B$1:$B$1000,0),MATCH(data!AB$1,Haver_M!$B$1:$ZN$1,0))),INDEX(Haver_M!$B$1:$ZN$1000,MATCH(data!$A163,Haver_M!$B$1:$B$1000,0),MATCH(data!AB$1,Haver_M!$B$1:$ZN$1,0)),"na")</f>
        <v>31581.3</v>
      </c>
      <c r="AC163">
        <f>IF(ISNUMBER(INDEX(Haver_M!$B$1:$ZN$1000,MATCH(data!$A163,Haver_M!$B$1:$B$1000,0),MATCH(data!AC$1,Haver_M!$B$1:$ZN$1,0))),INDEX(Haver_M!$B$1:$ZN$1000,MATCH(data!$A163,Haver_M!$B$1:$B$1000,0),MATCH(data!AC$1,Haver_M!$B$1:$ZN$1,0)),"na")</f>
        <v>31892.9</v>
      </c>
      <c r="AD163">
        <f>IF(ISNUMBER(INDEX(Haver_M!$B$1:$ZN$1000,MATCH(data!$A163,Haver_M!$B$1:$B$1000,0),MATCH(data!AD$1,Haver_M!$B$1:$ZN$1,0))),INDEX(Haver_M!$B$1:$ZN$1000,MATCH(data!$A163,Haver_M!$B$1:$B$1000,0),MATCH(data!AD$1,Haver_M!$B$1:$ZN$1,0)),"na")</f>
        <v>99.9</v>
      </c>
      <c r="AE163">
        <f>IF(ISNUMBER(INDEX(Haver_M!$B$1:$ZN$1000,MATCH(data!$A163,Haver_M!$B$1:$B$1000,0),MATCH(data!AE$1,Haver_M!$B$1:$ZN$1,0))),INDEX(Haver_M!$B$1:$ZN$1000,MATCH(data!$A163,Haver_M!$B$1:$B$1000,0),MATCH(data!AE$1,Haver_M!$B$1:$ZN$1,0)),"na")</f>
        <v>38.299999999999997</v>
      </c>
      <c r="AF163">
        <f>IF(ISNUMBER(INDEX(Haver_M!$B$1:$ZN$1000,MATCH(data!$A163,Haver_M!$B$1:$B$1000,0),MATCH(data!AF$1,Haver_M!$B$1:$ZN$1,0))),INDEX(Haver_M!$B$1:$ZN$1000,MATCH(data!$A163,Haver_M!$B$1:$B$1000,0),MATCH(data!AF$1,Haver_M!$B$1:$ZN$1,0)),"na")</f>
        <v>100.87</v>
      </c>
      <c r="AG163">
        <f>IF(ISNUMBER(INDEX(Haver_M!$B$1:$ZN$1000,MATCH(data!$A163,Haver_M!$B$1:$B$1000,0),MATCH(data!AG$1,Haver_M!$B$1:$ZN$1,0))),INDEX(Haver_M!$B$1:$ZN$1000,MATCH(data!$A163,Haver_M!$B$1:$B$1000,0),MATCH(data!AG$1,Haver_M!$B$1:$ZN$1,0)),"na")</f>
        <v>51.254199999999997</v>
      </c>
      <c r="AH163">
        <f>IF(ISNUMBER(INDEX(Haver_M!$B$1:$ZN$1000,MATCH(data!$A163,Haver_M!$B$1:$B$1000,0),MATCH(data!AH$1,Haver_M!$B$1:$ZN$1,0))),INDEX(Haver_M!$B$1:$ZN$1000,MATCH(data!$A163,Haver_M!$B$1:$B$1000,0),MATCH(data!AH$1,Haver_M!$B$1:$ZN$1,0)),"na")</f>
        <v>51.234000000000002</v>
      </c>
      <c r="AI163">
        <f>IF(ISNUMBER(INDEX(Haver_M!$B$1:$ZN$1000,MATCH(data!$A163,Haver_M!$B$1:$B$1000,0),MATCH(data!AI$1,Haver_M!$B$1:$ZN$1,0))),INDEX(Haver_M!$B$1:$ZN$1000,MATCH(data!$A163,Haver_M!$B$1:$B$1000,0),MATCH(data!AI$1,Haver_M!$B$1:$ZN$1,0)),"na")</f>
        <v>51.598700000000001</v>
      </c>
      <c r="AJ163">
        <f>IF(ISNUMBER(INDEX(Haver_M!$B$1:$ZN$1000,MATCH(data!$A163,Haver_M!$B$1:$B$1000,0),MATCH(data!AJ$1,Haver_M!$B$1:$ZN$1,0))),INDEX(Haver_M!$B$1:$ZN$1000,MATCH(data!$A163,Haver_M!$B$1:$B$1000,0),MATCH(data!AJ$1,Haver_M!$B$1:$ZN$1,0)),"na")</f>
        <v>51.446899999999999</v>
      </c>
      <c r="AK163">
        <f>IF(ISNUMBER(INDEX(Haver_M!$B$1:$ZN$1000,MATCH(data!$A163,Haver_M!$B$1:$B$1000,0),MATCH(data!AK$1,Haver_M!$B$1:$ZN$1,0))),INDEX(Haver_M!$B$1:$ZN$1000,MATCH(data!$A163,Haver_M!$B$1:$B$1000,0),MATCH(data!AK$1,Haver_M!$B$1:$ZN$1,0)),"na")</f>
        <v>48.713799999999999</v>
      </c>
      <c r="AL163">
        <f>IF(ISNUMBER(INDEX(Haver_M!$B$1:$ZN$1000,MATCH(data!$A163,Haver_M!$B$1:$B$1000,0),MATCH(data!AL$1,Haver_M!$B$1:$ZN$1,0))),INDEX(Haver_M!$B$1:$ZN$1000,MATCH(data!$A163,Haver_M!$B$1:$B$1000,0),MATCH(data!AL$1,Haver_M!$B$1:$ZN$1,0)),"na")</f>
        <v>49.838099999999997</v>
      </c>
      <c r="AM163">
        <f>IF(ISNUMBER(INDEX(Haver_M!$B$1:$ZN$1000,MATCH(data!$A163,Haver_M!$B$1:$B$1000,0),MATCH(data!AM$1,Haver_M!$B$1:$ZN$1,0))),INDEX(Haver_M!$B$1:$ZN$1000,MATCH(data!$A163,Haver_M!$B$1:$B$1000,0),MATCH(data!AM$1,Haver_M!$B$1:$ZN$1,0)),"na")</f>
        <v>52.580599999999997</v>
      </c>
      <c r="AN163">
        <f>IF(ISNUMBER(INDEX(Haver_M!$B$1:$ZN$1000,MATCH(data!$A163,Haver_M!$B$1:$B$1000,0),MATCH(data!AN$1,Haver_M!$B$1:$ZN$1,0))),INDEX(Haver_M!$B$1:$ZN$1000,MATCH(data!$A163,Haver_M!$B$1:$B$1000,0),MATCH(data!AN$1,Haver_M!$B$1:$ZN$1,0)),"na")</f>
        <v>52.572299999999998</v>
      </c>
      <c r="AO163">
        <f>IF(ISNUMBER(INDEX(Haver_M!$B$1:$ZN$1000,MATCH(data!$A163,Haver_M!$B$1:$B$1000,0),MATCH(data!AO$1,Haver_M!$B$1:$ZN$1,0))),INDEX(Haver_M!$B$1:$ZN$1000,MATCH(data!$A163,Haver_M!$B$1:$B$1000,0),MATCH(data!AO$1,Haver_M!$B$1:$ZN$1,0)),"na")</f>
        <v>49.838099999999997</v>
      </c>
      <c r="AP163">
        <f>IF(ISNUMBER(INDEX(Haver_M!$B$1:$ZN$1000,MATCH(data!$A163,Haver_M!$B$1:$B$1000,0),MATCH(data!AP$1,Haver_M!$B$1:$ZN$1,0))),INDEX(Haver_M!$B$1:$ZN$1000,MATCH(data!$A163,Haver_M!$B$1:$B$1000,0),MATCH(data!AP$1,Haver_M!$B$1:$ZN$1,0)),"na")</f>
        <v>47.335299999999997</v>
      </c>
      <c r="AQ163">
        <f>IF(ISNUMBER(INDEX(Haver_M!$B$1:$ZN$1000,MATCH(data!$A163,Haver_M!$B$1:$B$1000,0),MATCH(data!AQ$1,Haver_M!$B$1:$ZN$1,0))),INDEX(Haver_M!$B$1:$ZN$1000,MATCH(data!$A163,Haver_M!$B$1:$B$1000,0),MATCH(data!AQ$1,Haver_M!$B$1:$ZN$1,0)),"na")</f>
        <v>48.47</v>
      </c>
      <c r="AR163">
        <f>IF(ISNUMBER(INDEX(Haver_M!$B$1:$ZN$1000,MATCH(data!$A163,Haver_M!$B$1:$B$1000,0),MATCH(data!AR$1,Haver_M!$B$1:$ZN$1,0))),INDEX(Haver_M!$B$1:$ZN$1000,MATCH(data!$A163,Haver_M!$B$1:$B$1000,0),MATCH(data!AR$1,Haver_M!$B$1:$ZN$1,0)),"na")</f>
        <v>46.2121</v>
      </c>
      <c r="AS163">
        <f>IF(ISNUMBER(INDEX(Haver_M!$B$1:$ZN$1000,MATCH(data!$A163,Haver_M!$B$1:$B$1000,0),MATCH(data!AS$1,Haver_M!$B$1:$ZN$1,0))),INDEX(Haver_M!$B$1:$ZN$1000,MATCH(data!$A163,Haver_M!$B$1:$B$1000,0),MATCH(data!AS$1,Haver_M!$B$1:$ZN$1,0)),"na")</f>
        <v>39491.629999999997</v>
      </c>
      <c r="AT163">
        <f>IF(ISNUMBER(INDEX(Haver_M!$B$1:$ZN$1000,MATCH(data!$A163,Haver_M!$B$1:$B$1000,0),MATCH(data!AT$1,Haver_M!$B$1:$ZN$1,0))),INDEX(Haver_M!$B$1:$ZN$1000,MATCH(data!$A163,Haver_M!$B$1:$B$1000,0),MATCH(data!AT$1,Haver_M!$B$1:$ZN$1,0)),"na")</f>
        <v>99.268000000000001</v>
      </c>
      <c r="AU163">
        <f>IF(ISNUMBER(INDEX(Haver_M!$B$1:$ZN$1000,MATCH(data!$A163,Haver_M!$B$1:$B$1000,0),MATCH(data!AU$1,Haver_M!$B$1:$ZN$1,0))),INDEX(Haver_M!$B$1:$ZN$1000,MATCH(data!$A163,Haver_M!$B$1:$B$1000,0),MATCH(data!AU$1,Haver_M!$B$1:$ZN$1,0)),"na")</f>
        <v>99.596928000000005</v>
      </c>
      <c r="AV163">
        <f>IF(ISNUMBER(INDEX(Haver_M!$B$1:$ZN$1000,MATCH(data!$A163,Haver_M!$B$1:$B$1000,0),MATCH(data!AV$1,Haver_M!$B$1:$ZN$1,0))),INDEX(Haver_M!$B$1:$ZN$1000,MATCH(data!$A163,Haver_M!$B$1:$B$1000,0),MATCH(data!AV$1,Haver_M!$B$1:$ZN$1,0)),"na")</f>
        <v>98.1</v>
      </c>
      <c r="AW163">
        <f>IF(ISNUMBER(INDEX(Haver_M!$B$1:$ZN$1000,MATCH(data!$A163,Haver_M!$B$1:$B$1000,0),MATCH(data!AW$1,Haver_M!$B$1:$ZN$1,0))),INDEX(Haver_M!$B$1:$ZN$1000,MATCH(data!$A163,Haver_M!$B$1:$B$1000,0),MATCH(data!AW$1,Haver_M!$B$1:$ZN$1,0)),"na")</f>
        <v>1155156.3631469544</v>
      </c>
      <c r="AX163">
        <f>IF(ISNUMBER(INDEX(Haver_M!$B$1:$ZN$1000,MATCH(data!$A163,Haver_M!$B$1:$B$1000,0),MATCH(data!AX$1,Haver_M!$B$1:$ZN$1,0))),INDEX(Haver_M!$B$1:$ZN$1000,MATCH(data!$A163,Haver_M!$B$1:$B$1000,0),MATCH(data!AX$1,Haver_M!$B$1:$ZN$1,0)),"na")</f>
        <v>2527</v>
      </c>
      <c r="AY163">
        <f>IF(ISNUMBER(INDEX(Haver_M!$B$1:$ZN$1000,MATCH(data!$A163,Haver_M!$B$1:$B$1000,0),MATCH(data!AY$1,Haver_M!$B$1:$ZN$1,0))),INDEX(Haver_M!$B$1:$ZN$1000,MATCH(data!$A163,Haver_M!$B$1:$B$1000,0),MATCH(data!AY$1,Haver_M!$B$1:$ZN$1,0)),"na")</f>
        <v>1090</v>
      </c>
      <c r="AZ163">
        <f>IF(ISNUMBER(INDEX(Haver_M!$B$1:$ZN$1000,MATCH(data!$A163,Haver_M!$B$1:$B$1000,0),MATCH(data!AZ$1,Haver_M!$B$1:$ZN$1,0))),INDEX(Haver_M!$B$1:$ZN$1000,MATCH(data!$A163,Haver_M!$B$1:$B$1000,0),MATCH(data!AZ$1,Haver_M!$B$1:$ZN$1,0)),"na")</f>
        <v>47.1</v>
      </c>
      <c r="BA163">
        <f>IF(ISNUMBER(INDEX(Haver_M!$B$1:$ZN$1000,MATCH(data!$A163,Haver_M!$B$1:$B$1000,0),MATCH(data!BA$1,Haver_M!$B$1:$ZN$1,0))),INDEX(Haver_M!$B$1:$ZN$1000,MATCH(data!$A163,Haver_M!$B$1:$B$1000,0),MATCH(data!BA$1,Haver_M!$B$1:$ZN$1,0)),"na")</f>
        <v>40.269257811968338</v>
      </c>
      <c r="BB163" t="str">
        <f>IF(ISNUMBER(INDEX(Haver_M!$B$1:$ZN$1000,MATCH(data!$A163,Haver_M!$B$1:$B$1000,0),MATCH(data!BB$1,Haver_M!$B$1:$ZN$1,0))),INDEX(Haver_M!$B$1:$ZN$1000,MATCH(data!$A163,Haver_M!$B$1:$B$1000,0),MATCH(data!BB$1,Haver_M!$B$1:$ZN$1,0)),"")</f>
        <v/>
      </c>
    </row>
    <row r="164" spans="1:54" x14ac:dyDescent="0.25">
      <c r="A164" s="2">
        <v>41486</v>
      </c>
      <c r="B164" t="str">
        <f>IF(ISNUMBER(INDEX(Haver_Q!$B$1:$BD$1000,MATCH(data!$A164,Haver_Q!$B$1:$B$1000,0),MATCH(data!B$1,Haver_Q!$B$1:$BD$1,0))),100*INDEX(Haver_Q!$B$1:$BD$1000,MATCH(data!$A164,Haver_Q!$B$1:$B$1000,0),MATCH(data!B$1,Haver_Q!$B$1:$BD$1,0)),"na")</f>
        <v>na</v>
      </c>
      <c r="C164" t="str">
        <f>IF(ISNUMBER(INDEX(Haver_Q!$B$1:$BD$1000,MATCH(data!$A164,Haver_Q!$B$1:$B$1000,0),MATCH(data!C$1,Haver_Q!$B$1:$BD$1,0))),100*INDEX(Haver_Q!$B$1:$BD$1000,MATCH(data!$A164,Haver_Q!$B$1:$B$1000,0),MATCH(data!C$1,Haver_Q!$B$1:$BD$1,0)),"na")</f>
        <v>na</v>
      </c>
      <c r="D164" t="str">
        <f>IF(ISNUMBER(INDEX(Haver_Q!$B$1:$BD$1000,MATCH(data!$A164,Haver_Q!$B$1:$B$1000,0),MATCH(data!D$1,Haver_Q!$B$1:$BD$1,0))),100*INDEX(Haver_Q!$B$1:$BD$1000,MATCH(data!$A164,Haver_Q!$B$1:$B$1000,0),MATCH(data!D$1,Haver_Q!$B$1:$BD$1,0)),"na")</f>
        <v>na</v>
      </c>
      <c r="E164" t="str">
        <f>IF(ISNUMBER(INDEX(Haver_Q!$B$1:$BD$1000,MATCH(data!$A164,Haver_Q!$B$1:$B$1000,0),MATCH(data!E$1,Haver_Q!$B$1:$BD$1,0))),100*INDEX(Haver_Q!$B$1:$BD$1000,MATCH(data!$A164,Haver_Q!$B$1:$B$1000,0),MATCH(data!E$1,Haver_Q!$B$1:$BD$1,0)),"na")</f>
        <v>na</v>
      </c>
      <c r="F164" t="str">
        <f>IF(ISNUMBER(INDEX(Haver_Q!$B$1:$BD$1000,MATCH(data!$A164,Haver_Q!$B$1:$B$1000,0),MATCH(data!F$1,Haver_Q!$B$1:$BD$1,0))),100*INDEX(Haver_Q!$B$1:$BD$1000,MATCH(data!$A164,Haver_Q!$B$1:$B$1000,0),MATCH(data!F$1,Haver_Q!$B$1:$BD$1,0)),"na")</f>
        <v>na</v>
      </c>
      <c r="G164" t="str">
        <f>IF(ISNUMBER(INDEX(Haver_Q!$B$1:$BD$1000,MATCH(data!$A164,Haver_Q!$B$1:$B$1000,0),MATCH(data!G$1,Haver_Q!$B$1:$BD$1,0))),100*INDEX(Haver_Q!$B$1:$BD$1000,MATCH(data!$A164,Haver_Q!$B$1:$B$1000,0),MATCH(data!G$1,Haver_Q!$B$1:$BD$1,0)),"na")</f>
        <v>na</v>
      </c>
      <c r="H164" t="str">
        <f>IF(ISNUMBER(INDEX(Haver_Q!$B$1:$BD$1000,MATCH(data!$A164,Haver_Q!$B$1:$B$1000,0),MATCH(data!H$1,Haver_Q!$B$1:$BD$1,0))),100*INDEX(Haver_Q!$B$1:$BD$1000,MATCH(data!$A164,Haver_Q!$B$1:$B$1000,0),MATCH(data!H$1,Haver_Q!$B$1:$BD$1,0)),"na")</f>
        <v>na</v>
      </c>
      <c r="I164" s="3">
        <f>IF(ISNUMBER(Bloomberg_m!C180),Bloomberg_m!C180,"na")</f>
        <v>1123</v>
      </c>
      <c r="J164" s="3">
        <f>IF(ISNUMBER(Bloomberg_m!D180),Bloomberg_m!D180,"na")</f>
        <v>2058.9899999999998</v>
      </c>
      <c r="K164" s="3">
        <f>IF(ISNUMBER(Bloomberg_m!E180),Bloomberg_m!E180,"na")</f>
        <v>1090.52</v>
      </c>
      <c r="L164" s="3">
        <f>IF(ISNUMBER(Bloomberg_m!L180),Bloomberg_m!L180,"na")</f>
        <v>104.7</v>
      </c>
      <c r="M164">
        <f>IF(ISNUMBER(INDEX(Haver_M!$B$1:$ZN$1000,MATCH(data!$A164,Haver_M!$B$1:$B$1000,0),MATCH(data!M$1,Haver_M!$B$1:$ZN$1,0))),INDEX(Haver_M!$B$1:$ZN$1000,MATCH(data!$A164,Haver_M!$B$1:$B$1000,0),MATCH(data!M$1,Haver_M!$B$1:$ZN$1,0)),"na")</f>
        <v>4</v>
      </c>
      <c r="N164">
        <f>IF(ISNUMBER(INDEX(Haver_M!$B$1:$ZN$1000,MATCH(data!$A164,Haver_M!$B$1:$B$1000,0),MATCH(data!N$1,Haver_M!$B$1:$ZN$1,0))),INDEX(Haver_M!$B$1:$ZN$1000,MATCH(data!$A164,Haver_M!$B$1:$B$1000,0),MATCH(data!N$1,Haver_M!$B$1:$ZN$1,0)),"na")</f>
        <v>5.8506999999999998</v>
      </c>
      <c r="O164">
        <f>IF(ISNUMBER(INDEX(Haver_M!$B$1:$ZN$1000,MATCH(data!$A164,Haver_M!$B$1:$B$1000,0),MATCH(data!O$1,Haver_M!$B$1:$ZN$1,0))),INDEX(Haver_M!$B$1:$ZN$1000,MATCH(data!$A164,Haver_M!$B$1:$B$1000,0),MATCH(data!O$1,Haver_M!$B$1:$ZN$1,0)),"na")</f>
        <v>101.68899999999999</v>
      </c>
      <c r="P164">
        <f>IF(ISNUMBER(INDEX(Haver_M!$B$1:$ZN$1000,MATCH(data!$A164,Haver_M!$B$1:$B$1000,0),MATCH(data!P$1,Haver_M!$B$1:$ZN$1,0))),INDEX(Haver_M!$B$1:$ZN$1000,MATCH(data!$A164,Haver_M!$B$1:$B$1000,0),MATCH(data!P$1,Haver_M!$B$1:$ZN$1,0)),"na")</f>
        <v>82.090100000000007</v>
      </c>
      <c r="Q164">
        <f>IF(ISNUMBER(INDEX(Haver_M!$B$1:$ZN$1000,MATCH(data!$A164,Haver_M!$B$1:$B$1000,0),MATCH(data!Q$1,Haver_M!$B$1:$ZN$1,0))),INDEX(Haver_M!$B$1:$ZN$1000,MATCH(data!$A164,Haver_M!$B$1:$B$1000,0),MATCH(data!Q$1,Haver_M!$B$1:$ZN$1,0)),"na")</f>
        <v>84.558599999999998</v>
      </c>
      <c r="R164">
        <f>IF(ISNUMBER(INDEX(Haver_M!$B$1:$ZN$1000,MATCH(data!$A164,Haver_M!$B$1:$B$1000,0),MATCH(data!R$1,Haver_M!$B$1:$ZN$1,0))),INDEX(Haver_M!$B$1:$ZN$1000,MATCH(data!$A164,Haver_M!$B$1:$B$1000,0),MATCH(data!R$1,Haver_M!$B$1:$ZN$1,0)),"na")</f>
        <v>99.649900000000002</v>
      </c>
      <c r="S164">
        <f>IF(ISNUMBER(INDEX(Haver_M!$B$1:$ZN$1000,MATCH(data!$A164,Haver_M!$B$1:$B$1000,0),MATCH(data!S$1,Haver_M!$B$1:$ZN$1,0))),INDEX(Haver_M!$B$1:$ZN$1000,MATCH(data!$A164,Haver_M!$B$1:$B$1000,0),MATCH(data!S$1,Haver_M!$B$1:$ZN$1,0)),"na")</f>
        <v>99.475700000000003</v>
      </c>
      <c r="T164">
        <f>IF(ISNUMBER(INDEX(Haver_M!$B$1:$ZN$1000,MATCH(data!$A164,Haver_M!$B$1:$B$1000,0),MATCH(data!T$1,Haver_M!$B$1:$ZN$1,0))),INDEX(Haver_M!$B$1:$ZN$1000,MATCH(data!$A164,Haver_M!$B$1:$B$1000,0),MATCH(data!T$1,Haver_M!$B$1:$ZN$1,0)),"na")</f>
        <v>100.4727</v>
      </c>
      <c r="U164">
        <f>IF(ISNUMBER(INDEX(Haver_M!$B$1:$ZN$1000,MATCH(data!$A164,Haver_M!$B$1:$B$1000,0),MATCH(data!U$1,Haver_M!$B$1:$ZN$1,0))),INDEX(Haver_M!$B$1:$ZN$1000,MATCH(data!$A164,Haver_M!$B$1:$B$1000,0),MATCH(data!U$1,Haver_M!$B$1:$ZN$1,0)),"na")</f>
        <v>98.081100000000006</v>
      </c>
      <c r="V164">
        <f>IF(ISNUMBER(INDEX(Haver_M!$B$1:$ZN$1000,MATCH(data!$A164,Haver_M!$B$1:$B$1000,0),MATCH(data!V$1,Haver_M!$B$1:$ZN$1,0))),INDEX(Haver_M!$B$1:$ZN$1000,MATCH(data!$A164,Haver_M!$B$1:$B$1000,0),MATCH(data!V$1,Haver_M!$B$1:$ZN$1,0)),"na")</f>
        <v>100.08969999999999</v>
      </c>
      <c r="W164">
        <f>IF(ISNUMBER(INDEX(Haver_M!$B$1:$ZN$1000,MATCH(data!$A164,Haver_M!$B$1:$B$1000,0),MATCH(data!W$1,Haver_M!$B$1:$ZN$1,0))),INDEX(Haver_M!$B$1:$ZN$1000,MATCH(data!$A164,Haver_M!$B$1:$B$1000,0),MATCH(data!W$1,Haver_M!$B$1:$ZN$1,0)),"na")</f>
        <v>4.87</v>
      </c>
      <c r="X164">
        <f>IF(ISNUMBER(INDEX(Haver_M!$B$1:$ZN$1000,MATCH(data!$A164,Haver_M!$B$1:$B$1000,0),MATCH(data!X$1,Haver_M!$B$1:$ZN$1,0))),INDEX(Haver_M!$B$1:$ZN$1000,MATCH(data!$A164,Haver_M!$B$1:$B$1000,0),MATCH(data!X$1,Haver_M!$B$1:$ZN$1,0)),"na")</f>
        <v>100.66</v>
      </c>
      <c r="Y164">
        <f>IF(ISNUMBER(INDEX(Haver_M!$B$1:$ZN$1000,MATCH(data!$A164,Haver_M!$B$1:$B$1000,0),MATCH(data!Y$1,Haver_M!$B$1:$ZN$1,0))),INDEX(Haver_M!$B$1:$ZN$1000,MATCH(data!$A164,Haver_M!$B$1:$B$1000,0),MATCH(data!Y$1,Haver_M!$B$1:$ZN$1,0)),"na")</f>
        <v>100.47</v>
      </c>
      <c r="Z164">
        <f>IF(ISNUMBER(INDEX(Haver_M!$B$1:$ZN$1000,MATCH(data!$A164,Haver_M!$B$1:$B$1000,0),MATCH(data!Z$1,Haver_M!$B$1:$ZN$1,0))),INDEX(Haver_M!$B$1:$ZN$1000,MATCH(data!$A164,Haver_M!$B$1:$B$1000,0),MATCH(data!Z$1,Haver_M!$B$1:$ZN$1,0)),"na")</f>
        <v>101.2576</v>
      </c>
      <c r="AA164">
        <f>IF(ISNUMBER(INDEX(Haver_M!$B$1:$ZN$1000,MATCH(data!$A164,Haver_M!$B$1:$B$1000,0),MATCH(data!AA$1,Haver_M!$B$1:$ZN$1,0))),INDEX(Haver_M!$B$1:$ZN$1000,MATCH(data!$A164,Haver_M!$B$1:$B$1000,0),MATCH(data!AA$1,Haver_M!$B$1:$ZN$1,0)),"na")</f>
        <v>99.472800000000007</v>
      </c>
      <c r="AB164">
        <f>IF(ISNUMBER(INDEX(Haver_M!$B$1:$ZN$1000,MATCH(data!$A164,Haver_M!$B$1:$B$1000,0),MATCH(data!AB$1,Haver_M!$B$1:$ZN$1,0))),INDEX(Haver_M!$B$1:$ZN$1000,MATCH(data!$A164,Haver_M!$B$1:$B$1000,0),MATCH(data!AB$1,Haver_M!$B$1:$ZN$1,0)),"na")</f>
        <v>31791.4</v>
      </c>
      <c r="AC164">
        <f>IF(ISNUMBER(INDEX(Haver_M!$B$1:$ZN$1000,MATCH(data!$A164,Haver_M!$B$1:$B$1000,0),MATCH(data!AC$1,Haver_M!$B$1:$ZN$1,0))),INDEX(Haver_M!$B$1:$ZN$1000,MATCH(data!$A164,Haver_M!$B$1:$B$1000,0),MATCH(data!AC$1,Haver_M!$B$1:$ZN$1,0)),"na")</f>
        <v>31930.1</v>
      </c>
      <c r="AD164">
        <f>IF(ISNUMBER(INDEX(Haver_M!$B$1:$ZN$1000,MATCH(data!$A164,Haver_M!$B$1:$B$1000,0),MATCH(data!AD$1,Haver_M!$B$1:$ZN$1,0))),INDEX(Haver_M!$B$1:$ZN$1000,MATCH(data!$A164,Haver_M!$B$1:$B$1000,0),MATCH(data!AD$1,Haver_M!$B$1:$ZN$1,0)),"na")</f>
        <v>99.86</v>
      </c>
      <c r="AE164">
        <f>IF(ISNUMBER(INDEX(Haver_M!$B$1:$ZN$1000,MATCH(data!$A164,Haver_M!$B$1:$B$1000,0),MATCH(data!AE$1,Haver_M!$B$1:$ZN$1,0))),INDEX(Haver_M!$B$1:$ZN$1000,MATCH(data!$A164,Haver_M!$B$1:$B$1000,0),MATCH(data!AE$1,Haver_M!$B$1:$ZN$1,0)),"na")</f>
        <v>39.9</v>
      </c>
      <c r="AF164">
        <f>IF(ISNUMBER(INDEX(Haver_M!$B$1:$ZN$1000,MATCH(data!$A164,Haver_M!$B$1:$B$1000,0),MATCH(data!AF$1,Haver_M!$B$1:$ZN$1,0))),INDEX(Haver_M!$B$1:$ZN$1000,MATCH(data!$A164,Haver_M!$B$1:$B$1000,0),MATCH(data!AF$1,Haver_M!$B$1:$ZN$1,0)),"na")</f>
        <v>100.65</v>
      </c>
      <c r="AG164">
        <f>IF(ISNUMBER(INDEX(Haver_M!$B$1:$ZN$1000,MATCH(data!$A164,Haver_M!$B$1:$B$1000,0),MATCH(data!AG$1,Haver_M!$B$1:$ZN$1,0))),INDEX(Haver_M!$B$1:$ZN$1000,MATCH(data!$A164,Haver_M!$B$1:$B$1000,0),MATCH(data!AG$1,Haver_M!$B$1:$ZN$1,0)),"na")</f>
        <v>49.7438</v>
      </c>
      <c r="AH164">
        <f>IF(ISNUMBER(INDEX(Haver_M!$B$1:$ZN$1000,MATCH(data!$A164,Haver_M!$B$1:$B$1000,0),MATCH(data!AH$1,Haver_M!$B$1:$ZN$1,0))),INDEX(Haver_M!$B$1:$ZN$1000,MATCH(data!$A164,Haver_M!$B$1:$B$1000,0),MATCH(data!AH$1,Haver_M!$B$1:$ZN$1,0)),"na")</f>
        <v>49.186399999999999</v>
      </c>
      <c r="AI164">
        <f>IF(ISNUMBER(INDEX(Haver_M!$B$1:$ZN$1000,MATCH(data!$A164,Haver_M!$B$1:$B$1000,0),MATCH(data!AI$1,Haver_M!$B$1:$ZN$1,0))),INDEX(Haver_M!$B$1:$ZN$1000,MATCH(data!$A164,Haver_M!$B$1:$B$1000,0),MATCH(data!AI$1,Haver_M!$B$1:$ZN$1,0)),"na")</f>
        <v>49.9026</v>
      </c>
      <c r="AJ164">
        <f>IF(ISNUMBER(INDEX(Haver_M!$B$1:$ZN$1000,MATCH(data!$A164,Haver_M!$B$1:$B$1000,0),MATCH(data!AJ$1,Haver_M!$B$1:$ZN$1,0))),INDEX(Haver_M!$B$1:$ZN$1000,MATCH(data!$A164,Haver_M!$B$1:$B$1000,0),MATCH(data!AJ$1,Haver_M!$B$1:$ZN$1,0)),"na")</f>
        <v>50.135800000000003</v>
      </c>
      <c r="AK164">
        <f>IF(ISNUMBER(INDEX(Haver_M!$B$1:$ZN$1000,MATCH(data!$A164,Haver_M!$B$1:$B$1000,0),MATCH(data!AK$1,Haver_M!$B$1:$ZN$1,0))),INDEX(Haver_M!$B$1:$ZN$1000,MATCH(data!$A164,Haver_M!$B$1:$B$1000,0),MATCH(data!AK$1,Haver_M!$B$1:$ZN$1,0)),"na")</f>
        <v>49.840299999999999</v>
      </c>
      <c r="AL164">
        <f>IF(ISNUMBER(INDEX(Haver_M!$B$1:$ZN$1000,MATCH(data!$A164,Haver_M!$B$1:$B$1000,0),MATCH(data!AL$1,Haver_M!$B$1:$ZN$1,0))),INDEX(Haver_M!$B$1:$ZN$1000,MATCH(data!$A164,Haver_M!$B$1:$B$1000,0),MATCH(data!AL$1,Haver_M!$B$1:$ZN$1,0)),"na")</f>
        <v>49.253500000000003</v>
      </c>
      <c r="AM164">
        <f>IF(ISNUMBER(INDEX(Haver_M!$B$1:$ZN$1000,MATCH(data!$A164,Haver_M!$B$1:$B$1000,0),MATCH(data!AM$1,Haver_M!$B$1:$ZN$1,0))),INDEX(Haver_M!$B$1:$ZN$1000,MATCH(data!$A164,Haver_M!$B$1:$B$1000,0),MATCH(data!AM$1,Haver_M!$B$1:$ZN$1,0)),"na")</f>
        <v>55.418599999999998</v>
      </c>
      <c r="AN164">
        <f>IF(ISNUMBER(INDEX(Haver_M!$B$1:$ZN$1000,MATCH(data!$A164,Haver_M!$B$1:$B$1000,0),MATCH(data!AN$1,Haver_M!$B$1:$ZN$1,0))),INDEX(Haver_M!$B$1:$ZN$1000,MATCH(data!$A164,Haver_M!$B$1:$B$1000,0),MATCH(data!AN$1,Haver_M!$B$1:$ZN$1,0)),"na")</f>
        <v>50.002299999999998</v>
      </c>
      <c r="AO164">
        <f>IF(ISNUMBER(INDEX(Haver_M!$B$1:$ZN$1000,MATCH(data!$A164,Haver_M!$B$1:$B$1000,0),MATCH(data!AO$1,Haver_M!$B$1:$ZN$1,0))),INDEX(Haver_M!$B$1:$ZN$1000,MATCH(data!$A164,Haver_M!$B$1:$B$1000,0),MATCH(data!AO$1,Haver_M!$B$1:$ZN$1,0)),"na")</f>
        <v>49.253500000000003</v>
      </c>
      <c r="AP164">
        <f>IF(ISNUMBER(INDEX(Haver_M!$B$1:$ZN$1000,MATCH(data!$A164,Haver_M!$B$1:$B$1000,0),MATCH(data!AP$1,Haver_M!$B$1:$ZN$1,0))),INDEX(Haver_M!$B$1:$ZN$1000,MATCH(data!$A164,Haver_M!$B$1:$B$1000,0),MATCH(data!AP$1,Haver_M!$B$1:$ZN$1,0)),"na")</f>
        <v>47.864600000000003</v>
      </c>
      <c r="AQ164">
        <f>IF(ISNUMBER(INDEX(Haver_M!$B$1:$ZN$1000,MATCH(data!$A164,Haver_M!$B$1:$B$1000,0),MATCH(data!AQ$1,Haver_M!$B$1:$ZN$1,0))),INDEX(Haver_M!$B$1:$ZN$1000,MATCH(data!$A164,Haver_M!$B$1:$B$1000,0),MATCH(data!AQ$1,Haver_M!$B$1:$ZN$1,0)),"na")</f>
        <v>49.360999999999997</v>
      </c>
      <c r="AR164">
        <f>IF(ISNUMBER(INDEX(Haver_M!$B$1:$ZN$1000,MATCH(data!$A164,Haver_M!$B$1:$B$1000,0),MATCH(data!AR$1,Haver_M!$B$1:$ZN$1,0))),INDEX(Haver_M!$B$1:$ZN$1000,MATCH(data!$A164,Haver_M!$B$1:$B$1000,0),MATCH(data!AR$1,Haver_M!$B$1:$ZN$1,0)),"na")</f>
        <v>46.000999999999998</v>
      </c>
      <c r="AS164">
        <f>IF(ISNUMBER(INDEX(Haver_M!$B$1:$ZN$1000,MATCH(data!$A164,Haver_M!$B$1:$B$1000,0),MATCH(data!AS$1,Haver_M!$B$1:$ZN$1,0))),INDEX(Haver_M!$B$1:$ZN$1000,MATCH(data!$A164,Haver_M!$B$1:$B$1000,0),MATCH(data!AS$1,Haver_M!$B$1:$ZN$1,0)),"na")</f>
        <v>40482.69</v>
      </c>
      <c r="AT164">
        <f>IF(ISNUMBER(INDEX(Haver_M!$B$1:$ZN$1000,MATCH(data!$A164,Haver_M!$B$1:$B$1000,0),MATCH(data!AT$1,Haver_M!$B$1:$ZN$1,0))),INDEX(Haver_M!$B$1:$ZN$1000,MATCH(data!$A164,Haver_M!$B$1:$B$1000,0),MATCH(data!AT$1,Haver_M!$B$1:$ZN$1,0)),"na")</f>
        <v>100.319</v>
      </c>
      <c r="AU164">
        <f>IF(ISNUMBER(INDEX(Haver_M!$B$1:$ZN$1000,MATCH(data!$A164,Haver_M!$B$1:$B$1000,0),MATCH(data!AU$1,Haver_M!$B$1:$ZN$1,0))),INDEX(Haver_M!$B$1:$ZN$1000,MATCH(data!$A164,Haver_M!$B$1:$B$1000,0),MATCH(data!AU$1,Haver_M!$B$1:$ZN$1,0)),"na")</f>
        <v>99.6374</v>
      </c>
      <c r="AV164">
        <f>IF(ISNUMBER(INDEX(Haver_M!$B$1:$ZN$1000,MATCH(data!$A164,Haver_M!$B$1:$B$1000,0),MATCH(data!AV$1,Haver_M!$B$1:$ZN$1,0))),INDEX(Haver_M!$B$1:$ZN$1000,MATCH(data!$A164,Haver_M!$B$1:$B$1000,0),MATCH(data!AV$1,Haver_M!$B$1:$ZN$1,0)),"na")</f>
        <v>99.1</v>
      </c>
      <c r="AW164">
        <f>IF(ISNUMBER(INDEX(Haver_M!$B$1:$ZN$1000,MATCH(data!$A164,Haver_M!$B$1:$B$1000,0),MATCH(data!AW$1,Haver_M!$B$1:$ZN$1,0))),INDEX(Haver_M!$B$1:$ZN$1000,MATCH(data!$A164,Haver_M!$B$1:$B$1000,0),MATCH(data!AW$1,Haver_M!$B$1:$ZN$1,0)),"na")</f>
        <v>1148649.1868144276</v>
      </c>
      <c r="AX164">
        <f>IF(ISNUMBER(INDEX(Haver_M!$B$1:$ZN$1000,MATCH(data!$A164,Haver_M!$B$1:$B$1000,0),MATCH(data!AX$1,Haver_M!$B$1:$ZN$1,0))),INDEX(Haver_M!$B$1:$ZN$1000,MATCH(data!$A164,Haver_M!$B$1:$B$1000,0),MATCH(data!AX$1,Haver_M!$B$1:$ZN$1,0)),"na")</f>
        <v>2502</v>
      </c>
      <c r="AY164">
        <f>IF(ISNUMBER(INDEX(Haver_M!$B$1:$ZN$1000,MATCH(data!$A164,Haver_M!$B$1:$B$1000,0),MATCH(data!AY$1,Haver_M!$B$1:$ZN$1,0))),INDEX(Haver_M!$B$1:$ZN$1000,MATCH(data!$A164,Haver_M!$B$1:$B$1000,0),MATCH(data!AY$1,Haver_M!$B$1:$ZN$1,0)),"na")</f>
        <v>1210</v>
      </c>
      <c r="AZ164">
        <f>IF(ISNUMBER(INDEX(Haver_M!$B$1:$ZN$1000,MATCH(data!$A164,Haver_M!$B$1:$B$1000,0),MATCH(data!AZ$1,Haver_M!$B$1:$ZN$1,0))),INDEX(Haver_M!$B$1:$ZN$1000,MATCH(data!$A164,Haver_M!$B$1:$B$1000,0),MATCH(data!AZ$1,Haver_M!$B$1:$ZN$1,0)),"na")</f>
        <v>50.3</v>
      </c>
      <c r="BA164">
        <f>IF(ISNUMBER(INDEX(Haver_M!$B$1:$ZN$1000,MATCH(data!$A164,Haver_M!$B$1:$B$1000,0),MATCH(data!BA$1,Haver_M!$B$1:$ZN$1,0))),INDEX(Haver_M!$B$1:$ZN$1000,MATCH(data!$A164,Haver_M!$B$1:$B$1000,0),MATCH(data!BA$1,Haver_M!$B$1:$ZN$1,0)),"na")</f>
        <v>77.733070548600239</v>
      </c>
      <c r="BB164" t="str">
        <f>IF(ISNUMBER(INDEX(Haver_M!$B$1:$ZN$1000,MATCH(data!$A164,Haver_M!$B$1:$B$1000,0),MATCH(data!BB$1,Haver_M!$B$1:$ZN$1,0))),INDEX(Haver_M!$B$1:$ZN$1000,MATCH(data!$A164,Haver_M!$B$1:$B$1000,0),MATCH(data!BB$1,Haver_M!$B$1:$ZN$1,0)),"")</f>
        <v/>
      </c>
    </row>
    <row r="165" spans="1:54" x14ac:dyDescent="0.25">
      <c r="A165" s="2">
        <v>41517</v>
      </c>
      <c r="B165" t="str">
        <f>IF(ISNUMBER(INDEX(Haver_Q!$B$1:$BD$1000,MATCH(data!$A165,Haver_Q!$B$1:$B$1000,0),MATCH(data!B$1,Haver_Q!$B$1:$BD$1,0))),100*INDEX(Haver_Q!$B$1:$BD$1000,MATCH(data!$A165,Haver_Q!$B$1:$B$1000,0),MATCH(data!B$1,Haver_Q!$B$1:$BD$1,0)),"na")</f>
        <v>na</v>
      </c>
      <c r="C165" t="str">
        <f>IF(ISNUMBER(INDEX(Haver_Q!$B$1:$BD$1000,MATCH(data!$A165,Haver_Q!$B$1:$B$1000,0),MATCH(data!C$1,Haver_Q!$B$1:$BD$1,0))),100*INDEX(Haver_Q!$B$1:$BD$1000,MATCH(data!$A165,Haver_Q!$B$1:$B$1000,0),MATCH(data!C$1,Haver_Q!$B$1:$BD$1,0)),"na")</f>
        <v>na</v>
      </c>
      <c r="D165" t="str">
        <f>IF(ISNUMBER(INDEX(Haver_Q!$B$1:$BD$1000,MATCH(data!$A165,Haver_Q!$B$1:$B$1000,0),MATCH(data!D$1,Haver_Q!$B$1:$BD$1,0))),100*INDEX(Haver_Q!$B$1:$BD$1000,MATCH(data!$A165,Haver_Q!$B$1:$B$1000,0),MATCH(data!D$1,Haver_Q!$B$1:$BD$1,0)),"na")</f>
        <v>na</v>
      </c>
      <c r="E165" t="str">
        <f>IF(ISNUMBER(INDEX(Haver_Q!$B$1:$BD$1000,MATCH(data!$A165,Haver_Q!$B$1:$B$1000,0),MATCH(data!E$1,Haver_Q!$B$1:$BD$1,0))),100*INDEX(Haver_Q!$B$1:$BD$1000,MATCH(data!$A165,Haver_Q!$B$1:$B$1000,0),MATCH(data!E$1,Haver_Q!$B$1:$BD$1,0)),"na")</f>
        <v>na</v>
      </c>
      <c r="F165" t="str">
        <f>IF(ISNUMBER(INDEX(Haver_Q!$B$1:$BD$1000,MATCH(data!$A165,Haver_Q!$B$1:$B$1000,0),MATCH(data!F$1,Haver_Q!$B$1:$BD$1,0))),100*INDEX(Haver_Q!$B$1:$BD$1000,MATCH(data!$A165,Haver_Q!$B$1:$B$1000,0),MATCH(data!F$1,Haver_Q!$B$1:$BD$1,0)),"na")</f>
        <v>na</v>
      </c>
      <c r="G165" t="str">
        <f>IF(ISNUMBER(INDEX(Haver_Q!$B$1:$BD$1000,MATCH(data!$A165,Haver_Q!$B$1:$B$1000,0),MATCH(data!G$1,Haver_Q!$B$1:$BD$1,0))),100*INDEX(Haver_Q!$B$1:$BD$1000,MATCH(data!$A165,Haver_Q!$B$1:$B$1000,0),MATCH(data!G$1,Haver_Q!$B$1:$BD$1,0)),"na")</f>
        <v>na</v>
      </c>
      <c r="H165" t="str">
        <f>IF(ISNUMBER(INDEX(Haver_Q!$B$1:$BD$1000,MATCH(data!$A165,Haver_Q!$B$1:$B$1000,0),MATCH(data!H$1,Haver_Q!$B$1:$BD$1,0))),100*INDEX(Haver_Q!$B$1:$BD$1000,MATCH(data!$A165,Haver_Q!$B$1:$B$1000,0),MATCH(data!H$1,Haver_Q!$B$1:$BD$1,0)),"na")</f>
        <v>na</v>
      </c>
      <c r="I165" s="3">
        <f>IF(ISNUMBER(Bloomberg_m!C181),Bloomberg_m!C181,"na")</f>
        <v>1088</v>
      </c>
      <c r="J165" s="3">
        <f>IF(ISNUMBER(Bloomberg_m!D181),Bloomberg_m!D181,"na")</f>
        <v>2072.23</v>
      </c>
      <c r="K165" s="3">
        <f>IF(ISNUMBER(Bloomberg_m!E181),Bloomberg_m!E181,"na")</f>
        <v>1122.94</v>
      </c>
      <c r="L165" s="3">
        <f>IF(ISNUMBER(Bloomberg_m!L181),Bloomberg_m!L181,"na")</f>
        <v>106.55</v>
      </c>
      <c r="M165">
        <f>IF(ISNUMBER(INDEX(Haver_M!$B$1:$ZN$1000,MATCH(data!$A165,Haver_M!$B$1:$B$1000,0),MATCH(data!M$1,Haver_M!$B$1:$ZN$1,0))),INDEX(Haver_M!$B$1:$ZN$1000,MATCH(data!$A165,Haver_M!$B$1:$B$1000,0),MATCH(data!M$1,Haver_M!$B$1:$ZN$1,0)),"na")</f>
        <v>4</v>
      </c>
      <c r="N165">
        <f>IF(ISNUMBER(INDEX(Haver_M!$B$1:$ZN$1000,MATCH(data!$A165,Haver_M!$B$1:$B$1000,0),MATCH(data!N$1,Haver_M!$B$1:$ZN$1,0))),INDEX(Haver_M!$B$1:$ZN$1000,MATCH(data!$A165,Haver_M!$B$1:$B$1000,0),MATCH(data!N$1,Haver_M!$B$1:$ZN$1,0)),"na")</f>
        <v>6.0941000000000001</v>
      </c>
      <c r="O165">
        <f>IF(ISNUMBER(INDEX(Haver_M!$B$1:$ZN$1000,MATCH(data!$A165,Haver_M!$B$1:$B$1000,0),MATCH(data!O$1,Haver_M!$B$1:$ZN$1,0))),INDEX(Haver_M!$B$1:$ZN$1000,MATCH(data!$A165,Haver_M!$B$1:$B$1000,0),MATCH(data!O$1,Haver_M!$B$1:$ZN$1,0)),"na")</f>
        <v>100.32702</v>
      </c>
      <c r="P165">
        <f>IF(ISNUMBER(INDEX(Haver_M!$B$1:$ZN$1000,MATCH(data!$A165,Haver_M!$B$1:$B$1000,0),MATCH(data!P$1,Haver_M!$B$1:$ZN$1,0))),INDEX(Haver_M!$B$1:$ZN$1000,MATCH(data!$A165,Haver_M!$B$1:$B$1000,0),MATCH(data!P$1,Haver_M!$B$1:$ZN$1,0)),"na")</f>
        <v>82.348699999999994</v>
      </c>
      <c r="Q165">
        <f>IF(ISNUMBER(INDEX(Haver_M!$B$1:$ZN$1000,MATCH(data!$A165,Haver_M!$B$1:$B$1000,0),MATCH(data!Q$1,Haver_M!$B$1:$ZN$1,0))),INDEX(Haver_M!$B$1:$ZN$1000,MATCH(data!$A165,Haver_M!$B$1:$B$1000,0),MATCH(data!Q$1,Haver_M!$B$1:$ZN$1,0)),"na")</f>
        <v>84.701400000000007</v>
      </c>
      <c r="R165">
        <f>IF(ISNUMBER(INDEX(Haver_M!$B$1:$ZN$1000,MATCH(data!$A165,Haver_M!$B$1:$B$1000,0),MATCH(data!R$1,Haver_M!$B$1:$ZN$1,0))),INDEX(Haver_M!$B$1:$ZN$1000,MATCH(data!$A165,Haver_M!$B$1:$B$1000,0),MATCH(data!R$1,Haver_M!$B$1:$ZN$1,0)),"na")</f>
        <v>100.37050000000001</v>
      </c>
      <c r="S165">
        <f>IF(ISNUMBER(INDEX(Haver_M!$B$1:$ZN$1000,MATCH(data!$A165,Haver_M!$B$1:$B$1000,0),MATCH(data!S$1,Haver_M!$B$1:$ZN$1,0))),INDEX(Haver_M!$B$1:$ZN$1000,MATCH(data!$A165,Haver_M!$B$1:$B$1000,0),MATCH(data!S$1,Haver_M!$B$1:$ZN$1,0)),"na")</f>
        <v>99.807100000000005</v>
      </c>
      <c r="T165">
        <f>IF(ISNUMBER(INDEX(Haver_M!$B$1:$ZN$1000,MATCH(data!$A165,Haver_M!$B$1:$B$1000,0),MATCH(data!T$1,Haver_M!$B$1:$ZN$1,0))),INDEX(Haver_M!$B$1:$ZN$1000,MATCH(data!$A165,Haver_M!$B$1:$B$1000,0),MATCH(data!T$1,Haver_M!$B$1:$ZN$1,0)),"na")</f>
        <v>100.7094</v>
      </c>
      <c r="U165">
        <f>IF(ISNUMBER(INDEX(Haver_M!$B$1:$ZN$1000,MATCH(data!$A165,Haver_M!$B$1:$B$1000,0),MATCH(data!U$1,Haver_M!$B$1:$ZN$1,0))),INDEX(Haver_M!$B$1:$ZN$1000,MATCH(data!$A165,Haver_M!$B$1:$B$1000,0),MATCH(data!U$1,Haver_M!$B$1:$ZN$1,0)),"na")</f>
        <v>99.576400000000007</v>
      </c>
      <c r="V165">
        <f>IF(ISNUMBER(INDEX(Haver_M!$B$1:$ZN$1000,MATCH(data!$A165,Haver_M!$B$1:$B$1000,0),MATCH(data!V$1,Haver_M!$B$1:$ZN$1,0))),INDEX(Haver_M!$B$1:$ZN$1000,MATCH(data!$A165,Haver_M!$B$1:$B$1000,0),MATCH(data!V$1,Haver_M!$B$1:$ZN$1,0)),"na")</f>
        <v>100.9461</v>
      </c>
      <c r="W165">
        <f>IF(ISNUMBER(INDEX(Haver_M!$B$1:$ZN$1000,MATCH(data!$A165,Haver_M!$B$1:$B$1000,0),MATCH(data!W$1,Haver_M!$B$1:$ZN$1,0))),INDEX(Haver_M!$B$1:$ZN$1000,MATCH(data!$A165,Haver_M!$B$1:$B$1000,0),MATCH(data!W$1,Haver_M!$B$1:$ZN$1,0)),"na")</f>
        <v>4.8</v>
      </c>
      <c r="X165">
        <f>IF(ISNUMBER(INDEX(Haver_M!$B$1:$ZN$1000,MATCH(data!$A165,Haver_M!$B$1:$B$1000,0),MATCH(data!X$1,Haver_M!$B$1:$ZN$1,0))),INDEX(Haver_M!$B$1:$ZN$1000,MATCH(data!$A165,Haver_M!$B$1:$B$1000,0),MATCH(data!X$1,Haver_M!$B$1:$ZN$1,0)),"na")</f>
        <v>99.69</v>
      </c>
      <c r="Y165">
        <f>IF(ISNUMBER(INDEX(Haver_M!$B$1:$ZN$1000,MATCH(data!$A165,Haver_M!$B$1:$B$1000,0),MATCH(data!Y$1,Haver_M!$B$1:$ZN$1,0))),INDEX(Haver_M!$B$1:$ZN$1000,MATCH(data!$A165,Haver_M!$B$1:$B$1000,0),MATCH(data!Y$1,Haver_M!$B$1:$ZN$1,0)),"na")</f>
        <v>100.42</v>
      </c>
      <c r="Z165">
        <f>IF(ISNUMBER(INDEX(Haver_M!$B$1:$ZN$1000,MATCH(data!$A165,Haver_M!$B$1:$B$1000,0),MATCH(data!Z$1,Haver_M!$B$1:$ZN$1,0))),INDEX(Haver_M!$B$1:$ZN$1000,MATCH(data!$A165,Haver_M!$B$1:$B$1000,0),MATCH(data!Z$1,Haver_M!$B$1:$ZN$1,0)),"na")</f>
        <v>99.3583</v>
      </c>
      <c r="AA165">
        <f>IF(ISNUMBER(INDEX(Haver_M!$B$1:$ZN$1000,MATCH(data!$A165,Haver_M!$B$1:$B$1000,0),MATCH(data!AA$1,Haver_M!$B$1:$ZN$1,0))),INDEX(Haver_M!$B$1:$ZN$1000,MATCH(data!$A165,Haver_M!$B$1:$B$1000,0),MATCH(data!AA$1,Haver_M!$B$1:$ZN$1,0)),"na")</f>
        <v>98.442700000000002</v>
      </c>
      <c r="AB165">
        <f>IF(ISNUMBER(INDEX(Haver_M!$B$1:$ZN$1000,MATCH(data!$A165,Haver_M!$B$1:$B$1000,0),MATCH(data!AB$1,Haver_M!$B$1:$ZN$1,0))),INDEX(Haver_M!$B$1:$ZN$1000,MATCH(data!$A165,Haver_M!$B$1:$B$1000,0),MATCH(data!AB$1,Haver_M!$B$1:$ZN$1,0)),"na")</f>
        <v>31832.799999999999</v>
      </c>
      <c r="AC165">
        <f>IF(ISNUMBER(INDEX(Haver_M!$B$1:$ZN$1000,MATCH(data!$A165,Haver_M!$B$1:$B$1000,0),MATCH(data!AC$1,Haver_M!$B$1:$ZN$1,0))),INDEX(Haver_M!$B$1:$ZN$1000,MATCH(data!$A165,Haver_M!$B$1:$B$1000,0),MATCH(data!AC$1,Haver_M!$B$1:$ZN$1,0)),"na")</f>
        <v>31699.7</v>
      </c>
      <c r="AD165">
        <f>IF(ISNUMBER(INDEX(Haver_M!$B$1:$ZN$1000,MATCH(data!$A165,Haver_M!$B$1:$B$1000,0),MATCH(data!AD$1,Haver_M!$B$1:$ZN$1,0))),INDEX(Haver_M!$B$1:$ZN$1000,MATCH(data!$A165,Haver_M!$B$1:$B$1000,0),MATCH(data!AD$1,Haver_M!$B$1:$ZN$1,0)),"na")</f>
        <v>99.83</v>
      </c>
      <c r="AE165">
        <f>IF(ISNUMBER(INDEX(Haver_M!$B$1:$ZN$1000,MATCH(data!$A165,Haver_M!$B$1:$B$1000,0),MATCH(data!AE$1,Haver_M!$B$1:$ZN$1,0))),INDEX(Haver_M!$B$1:$ZN$1000,MATCH(data!$A165,Haver_M!$B$1:$B$1000,0),MATCH(data!AE$1,Haver_M!$B$1:$ZN$1,0)),"na")</f>
        <v>40.299999999999997</v>
      </c>
      <c r="AF165">
        <f>IF(ISNUMBER(INDEX(Haver_M!$B$1:$ZN$1000,MATCH(data!$A165,Haver_M!$B$1:$B$1000,0),MATCH(data!AF$1,Haver_M!$B$1:$ZN$1,0))),INDEX(Haver_M!$B$1:$ZN$1000,MATCH(data!$A165,Haver_M!$B$1:$B$1000,0),MATCH(data!AF$1,Haver_M!$B$1:$ZN$1,0)),"na")</f>
        <v>100.4</v>
      </c>
      <c r="AG165">
        <f>IF(ISNUMBER(INDEX(Haver_M!$B$1:$ZN$1000,MATCH(data!$A165,Haver_M!$B$1:$B$1000,0),MATCH(data!AG$1,Haver_M!$B$1:$ZN$1,0))),INDEX(Haver_M!$B$1:$ZN$1000,MATCH(data!$A165,Haver_M!$B$1:$B$1000,0),MATCH(data!AG$1,Haver_M!$B$1:$ZN$1,0)),"na")</f>
        <v>50.779600000000002</v>
      </c>
      <c r="AH165">
        <f>IF(ISNUMBER(INDEX(Haver_M!$B$1:$ZN$1000,MATCH(data!$A165,Haver_M!$B$1:$B$1000,0),MATCH(data!AH$1,Haver_M!$B$1:$ZN$1,0))),INDEX(Haver_M!$B$1:$ZN$1000,MATCH(data!$A165,Haver_M!$B$1:$B$1000,0),MATCH(data!AH$1,Haver_M!$B$1:$ZN$1,0)),"na")</f>
        <v>50.945799999999998</v>
      </c>
      <c r="AI165">
        <f>IF(ISNUMBER(INDEX(Haver_M!$B$1:$ZN$1000,MATCH(data!$A165,Haver_M!$B$1:$B$1000,0),MATCH(data!AI$1,Haver_M!$B$1:$ZN$1,0))),INDEX(Haver_M!$B$1:$ZN$1000,MATCH(data!$A165,Haver_M!$B$1:$B$1000,0),MATCH(data!AI$1,Haver_M!$B$1:$ZN$1,0)),"na")</f>
        <v>51.916800000000002</v>
      </c>
      <c r="AJ165">
        <f>IF(ISNUMBER(INDEX(Haver_M!$B$1:$ZN$1000,MATCH(data!$A165,Haver_M!$B$1:$B$1000,0),MATCH(data!AJ$1,Haver_M!$B$1:$ZN$1,0))),INDEX(Haver_M!$B$1:$ZN$1000,MATCH(data!$A165,Haver_M!$B$1:$B$1000,0),MATCH(data!AJ$1,Haver_M!$B$1:$ZN$1,0)),"na")</f>
        <v>50.800400000000003</v>
      </c>
      <c r="AK165">
        <f>IF(ISNUMBER(INDEX(Haver_M!$B$1:$ZN$1000,MATCH(data!$A165,Haver_M!$B$1:$B$1000,0),MATCH(data!AK$1,Haver_M!$B$1:$ZN$1,0))),INDEX(Haver_M!$B$1:$ZN$1000,MATCH(data!$A165,Haver_M!$B$1:$B$1000,0),MATCH(data!AK$1,Haver_M!$B$1:$ZN$1,0)),"na")</f>
        <v>49.840299999999999</v>
      </c>
      <c r="AL165">
        <f>IF(ISNUMBER(INDEX(Haver_M!$B$1:$ZN$1000,MATCH(data!$A165,Haver_M!$B$1:$B$1000,0),MATCH(data!AL$1,Haver_M!$B$1:$ZN$1,0))),INDEX(Haver_M!$B$1:$ZN$1000,MATCH(data!$A165,Haver_M!$B$1:$B$1000,0),MATCH(data!AL$1,Haver_M!$B$1:$ZN$1,0)),"na")</f>
        <v>47.8401</v>
      </c>
      <c r="AM165">
        <f>IF(ISNUMBER(INDEX(Haver_M!$B$1:$ZN$1000,MATCH(data!$A165,Haver_M!$B$1:$B$1000,0),MATCH(data!AM$1,Haver_M!$B$1:$ZN$1,0))),INDEX(Haver_M!$B$1:$ZN$1000,MATCH(data!$A165,Haver_M!$B$1:$B$1000,0),MATCH(data!AM$1,Haver_M!$B$1:$ZN$1,0)),"na")</f>
        <v>54.692500000000003</v>
      </c>
      <c r="AN165">
        <f>IF(ISNUMBER(INDEX(Haver_M!$B$1:$ZN$1000,MATCH(data!$A165,Haver_M!$B$1:$B$1000,0),MATCH(data!AN$1,Haver_M!$B$1:$ZN$1,0))),INDEX(Haver_M!$B$1:$ZN$1000,MATCH(data!$A165,Haver_M!$B$1:$B$1000,0),MATCH(data!AN$1,Haver_M!$B$1:$ZN$1,0)),"na")</f>
        <v>52.728099999999998</v>
      </c>
      <c r="AO165">
        <f>IF(ISNUMBER(INDEX(Haver_M!$B$1:$ZN$1000,MATCH(data!$A165,Haver_M!$B$1:$B$1000,0),MATCH(data!AO$1,Haver_M!$B$1:$ZN$1,0))),INDEX(Haver_M!$B$1:$ZN$1000,MATCH(data!$A165,Haver_M!$B$1:$B$1000,0),MATCH(data!AO$1,Haver_M!$B$1:$ZN$1,0)),"na")</f>
        <v>47.8401</v>
      </c>
      <c r="AP165">
        <f>IF(ISNUMBER(INDEX(Haver_M!$B$1:$ZN$1000,MATCH(data!$A165,Haver_M!$B$1:$B$1000,0),MATCH(data!AP$1,Haver_M!$B$1:$ZN$1,0))),INDEX(Haver_M!$B$1:$ZN$1000,MATCH(data!$A165,Haver_M!$B$1:$B$1000,0),MATCH(data!AP$1,Haver_M!$B$1:$ZN$1,0)),"na")</f>
        <v>48.936199999999999</v>
      </c>
      <c r="AQ165">
        <f>IF(ISNUMBER(INDEX(Haver_M!$B$1:$ZN$1000,MATCH(data!$A165,Haver_M!$B$1:$B$1000,0),MATCH(data!AQ$1,Haver_M!$B$1:$ZN$1,0))),INDEX(Haver_M!$B$1:$ZN$1000,MATCH(data!$A165,Haver_M!$B$1:$B$1000,0),MATCH(data!AQ$1,Haver_M!$B$1:$ZN$1,0)),"na")</f>
        <v>49.134599999999999</v>
      </c>
      <c r="AR165">
        <f>IF(ISNUMBER(INDEX(Haver_M!$B$1:$ZN$1000,MATCH(data!$A165,Haver_M!$B$1:$B$1000,0),MATCH(data!AR$1,Haver_M!$B$1:$ZN$1,0))),INDEX(Haver_M!$B$1:$ZN$1000,MATCH(data!$A165,Haver_M!$B$1:$B$1000,0),MATCH(data!AR$1,Haver_M!$B$1:$ZN$1,0)),"na")</f>
        <v>47.969499999999996</v>
      </c>
      <c r="AS165">
        <f>IF(ISNUMBER(INDEX(Haver_M!$B$1:$ZN$1000,MATCH(data!$A165,Haver_M!$B$1:$B$1000,0),MATCH(data!AS$1,Haver_M!$B$1:$ZN$1,0))),INDEX(Haver_M!$B$1:$ZN$1000,MATCH(data!$A165,Haver_M!$B$1:$B$1000,0),MATCH(data!AS$1,Haver_M!$B$1:$ZN$1,0)),"na")</f>
        <v>41416.43</v>
      </c>
      <c r="AT165">
        <f>IF(ISNUMBER(INDEX(Haver_M!$B$1:$ZN$1000,MATCH(data!$A165,Haver_M!$B$1:$B$1000,0),MATCH(data!AT$1,Haver_M!$B$1:$ZN$1,0))),INDEX(Haver_M!$B$1:$ZN$1000,MATCH(data!$A165,Haver_M!$B$1:$B$1000,0),MATCH(data!AT$1,Haver_M!$B$1:$ZN$1,0)),"na")</f>
        <v>100.17400000000001</v>
      </c>
      <c r="AU165">
        <f>IF(ISNUMBER(INDEX(Haver_M!$B$1:$ZN$1000,MATCH(data!$A165,Haver_M!$B$1:$B$1000,0),MATCH(data!AU$1,Haver_M!$B$1:$ZN$1,0))),INDEX(Haver_M!$B$1:$ZN$1000,MATCH(data!$A165,Haver_M!$B$1:$B$1000,0),MATCH(data!AU$1,Haver_M!$B$1:$ZN$1,0)),"na")</f>
        <v>100.34546400000001</v>
      </c>
      <c r="AV165">
        <f>IF(ISNUMBER(INDEX(Haver_M!$B$1:$ZN$1000,MATCH(data!$A165,Haver_M!$B$1:$B$1000,0),MATCH(data!AV$1,Haver_M!$B$1:$ZN$1,0))),INDEX(Haver_M!$B$1:$ZN$1000,MATCH(data!$A165,Haver_M!$B$1:$B$1000,0),MATCH(data!AV$1,Haver_M!$B$1:$ZN$1,0)),"na")</f>
        <v>98.6</v>
      </c>
      <c r="AW165">
        <f>IF(ISNUMBER(INDEX(Haver_M!$B$1:$ZN$1000,MATCH(data!$A165,Haver_M!$B$1:$B$1000,0),MATCH(data!AW$1,Haver_M!$B$1:$ZN$1,0))),INDEX(Haver_M!$B$1:$ZN$1000,MATCH(data!$A165,Haver_M!$B$1:$B$1000,0),MATCH(data!AW$1,Haver_M!$B$1:$ZN$1,0)),"na")</f>
        <v>1189757.8706928275</v>
      </c>
      <c r="AX165">
        <f>IF(ISNUMBER(INDEX(Haver_M!$B$1:$ZN$1000,MATCH(data!$A165,Haver_M!$B$1:$B$1000,0),MATCH(data!AX$1,Haver_M!$B$1:$ZN$1,0))),INDEX(Haver_M!$B$1:$ZN$1000,MATCH(data!$A165,Haver_M!$B$1:$B$1000,0),MATCH(data!AX$1,Haver_M!$B$1:$ZN$1,0)),"na")</f>
        <v>2513</v>
      </c>
      <c r="AY165">
        <f>IF(ISNUMBER(INDEX(Haver_M!$B$1:$ZN$1000,MATCH(data!$A165,Haver_M!$B$1:$B$1000,0),MATCH(data!AY$1,Haver_M!$B$1:$ZN$1,0))),INDEX(Haver_M!$B$1:$ZN$1000,MATCH(data!$A165,Haver_M!$B$1:$B$1000,0),MATCH(data!AY$1,Haver_M!$B$1:$ZN$1,0)),"na")</f>
        <v>1157</v>
      </c>
      <c r="AZ165">
        <f>IF(ISNUMBER(INDEX(Haver_M!$B$1:$ZN$1000,MATCH(data!$A165,Haver_M!$B$1:$B$1000,0),MATCH(data!AZ$1,Haver_M!$B$1:$ZN$1,0))),INDEX(Haver_M!$B$1:$ZN$1000,MATCH(data!$A165,Haver_M!$B$1:$B$1000,0),MATCH(data!AZ$1,Haver_M!$B$1:$ZN$1,0)),"na")</f>
        <v>49.9</v>
      </c>
      <c r="BA165">
        <f>IF(ISNUMBER(INDEX(Haver_M!$B$1:$ZN$1000,MATCH(data!$A165,Haver_M!$B$1:$B$1000,0),MATCH(data!BA$1,Haver_M!$B$1:$ZN$1,0))),INDEX(Haver_M!$B$1:$ZN$1000,MATCH(data!$A165,Haver_M!$B$1:$B$1000,0),MATCH(data!BA$1,Haver_M!$B$1:$ZN$1,0)),"na")</f>
        <v>34.493728404267586</v>
      </c>
      <c r="BB165" t="str">
        <f>IF(ISNUMBER(INDEX(Haver_M!$B$1:$ZN$1000,MATCH(data!$A165,Haver_M!$B$1:$B$1000,0),MATCH(data!BB$1,Haver_M!$B$1:$ZN$1,0))),INDEX(Haver_M!$B$1:$ZN$1000,MATCH(data!$A165,Haver_M!$B$1:$B$1000,0),MATCH(data!BB$1,Haver_M!$B$1:$ZN$1,0)),"")</f>
        <v/>
      </c>
    </row>
    <row r="166" spans="1:54" x14ac:dyDescent="0.25">
      <c r="A166" s="2">
        <v>41547</v>
      </c>
      <c r="B166">
        <f>IF(ISNUMBER(INDEX(Haver_Q!$B$1:$BD$1000,MATCH(data!$A166,Haver_Q!$B$1:$B$1000,0),MATCH(data!B$1,Haver_Q!$B$1:$BD$1,0))),100*INDEX(Haver_Q!$B$1:$BD$1000,MATCH(data!$A166,Haver_Q!$B$1:$B$1000,0),MATCH(data!B$1,Haver_Q!$B$1:$BD$1,0)),"na")</f>
        <v>3.9156176820418942</v>
      </c>
      <c r="C166">
        <f>IF(ISNUMBER(INDEX(Haver_Q!$B$1:$BD$1000,MATCH(data!$A166,Haver_Q!$B$1:$B$1000,0),MATCH(data!C$1,Haver_Q!$B$1:$BD$1,0))),100*INDEX(Haver_Q!$B$1:$BD$1000,MATCH(data!$A166,Haver_Q!$B$1:$B$1000,0),MATCH(data!C$1,Haver_Q!$B$1:$BD$1,0)),"na")</f>
        <v>9.0553084857136312</v>
      </c>
      <c r="D166">
        <f>IF(ISNUMBER(INDEX(Haver_Q!$B$1:$BD$1000,MATCH(data!$A166,Haver_Q!$B$1:$B$1000,0),MATCH(data!D$1,Haver_Q!$B$1:$BD$1,0))),100*INDEX(Haver_Q!$B$1:$BD$1000,MATCH(data!$A166,Haver_Q!$B$1:$B$1000,0),MATCH(data!D$1,Haver_Q!$B$1:$BD$1,0)),"na")</f>
        <v>1.9665587240845106</v>
      </c>
      <c r="E166">
        <f>IF(ISNUMBER(INDEX(Haver_Q!$B$1:$BD$1000,MATCH(data!$A166,Haver_Q!$B$1:$B$1000,0),MATCH(data!E$1,Haver_Q!$B$1:$BD$1,0))),100*INDEX(Haver_Q!$B$1:$BD$1000,MATCH(data!$A166,Haver_Q!$B$1:$B$1000,0),MATCH(data!E$1,Haver_Q!$B$1:$BD$1,0)),"na")</f>
        <v>-3.5345643467391108</v>
      </c>
      <c r="F166">
        <f>IF(ISNUMBER(INDEX(Haver_Q!$B$1:$BD$1000,MATCH(data!$A166,Haver_Q!$B$1:$B$1000,0),MATCH(data!F$1,Haver_Q!$B$1:$BD$1,0))),100*INDEX(Haver_Q!$B$1:$BD$1000,MATCH(data!$A166,Haver_Q!$B$1:$B$1000,0),MATCH(data!F$1,Haver_Q!$B$1:$BD$1,0)),"na")</f>
        <v>9.0926403608168282</v>
      </c>
      <c r="G166">
        <f>IF(ISNUMBER(INDEX(Haver_Q!$B$1:$BD$1000,MATCH(data!$A166,Haver_Q!$B$1:$B$1000,0),MATCH(data!G$1,Haver_Q!$B$1:$BD$1,0))),100*INDEX(Haver_Q!$B$1:$BD$1000,MATCH(data!$A166,Haver_Q!$B$1:$B$1000,0),MATCH(data!G$1,Haver_Q!$B$1:$BD$1,0)),"na")</f>
        <v>0.69512774135678246</v>
      </c>
      <c r="H166">
        <f>IF(ISNUMBER(INDEX(Haver_Q!$B$1:$BD$1000,MATCH(data!$A166,Haver_Q!$B$1:$B$1000,0),MATCH(data!H$1,Haver_Q!$B$1:$BD$1,0))),100*INDEX(Haver_Q!$B$1:$BD$1000,MATCH(data!$A166,Haver_Q!$B$1:$B$1000,0),MATCH(data!H$1,Haver_Q!$B$1:$BD$1,0)),"na")</f>
        <v>426.66243873699852</v>
      </c>
      <c r="I166" s="3">
        <f>IF(ISNUMBER(Bloomberg_m!C182),Bloomberg_m!C182,"na")</f>
        <v>1681</v>
      </c>
      <c r="J166" s="3">
        <f>IF(ISNUMBER(Bloomberg_m!D182),Bloomberg_m!D182,"na")</f>
        <v>1876.71</v>
      </c>
      <c r="K166" s="3">
        <f>IF(ISNUMBER(Bloomberg_m!E182),Bloomberg_m!E182,"na")</f>
        <v>1023.94</v>
      </c>
      <c r="L166" s="3">
        <f>IF(ISNUMBER(Bloomberg_m!L182),Bloomberg_m!L182,"na")</f>
        <v>106.25</v>
      </c>
      <c r="M166">
        <f>IF(ISNUMBER(INDEX(Haver_M!$B$1:$ZN$1000,MATCH(data!$A166,Haver_M!$B$1:$B$1000,0),MATCH(data!M$1,Haver_M!$B$1:$ZN$1,0))),INDEX(Haver_M!$B$1:$ZN$1000,MATCH(data!$A166,Haver_M!$B$1:$B$1000,0),MATCH(data!M$1,Haver_M!$B$1:$ZN$1,0)),"na")</f>
        <v>3.75</v>
      </c>
      <c r="N166">
        <f>IF(ISNUMBER(INDEX(Haver_M!$B$1:$ZN$1000,MATCH(data!$A166,Haver_M!$B$1:$B$1000,0),MATCH(data!N$1,Haver_M!$B$1:$ZN$1,0))),INDEX(Haver_M!$B$1:$ZN$1000,MATCH(data!$A166,Haver_M!$B$1:$B$1000,0),MATCH(data!N$1,Haver_M!$B$1:$ZN$1,0)),"na")</f>
        <v>6.1787999999999998</v>
      </c>
      <c r="O166">
        <f>IF(ISNUMBER(INDEX(Haver_M!$B$1:$ZN$1000,MATCH(data!$A166,Haver_M!$B$1:$B$1000,0),MATCH(data!O$1,Haver_M!$B$1:$ZN$1,0))),INDEX(Haver_M!$B$1:$ZN$1000,MATCH(data!$A166,Haver_M!$B$1:$B$1000,0),MATCH(data!O$1,Haver_M!$B$1:$ZN$1,0)),"na")</f>
        <v>99.124949999999998</v>
      </c>
      <c r="P166">
        <f>IF(ISNUMBER(INDEX(Haver_M!$B$1:$ZN$1000,MATCH(data!$A166,Haver_M!$B$1:$B$1000,0),MATCH(data!P$1,Haver_M!$B$1:$ZN$1,0))),INDEX(Haver_M!$B$1:$ZN$1000,MATCH(data!$A166,Haver_M!$B$1:$B$1000,0),MATCH(data!P$1,Haver_M!$B$1:$ZN$1,0)),"na")</f>
        <v>82.545100000000005</v>
      </c>
      <c r="Q166">
        <f>IF(ISNUMBER(INDEX(Haver_M!$B$1:$ZN$1000,MATCH(data!$A166,Haver_M!$B$1:$B$1000,0),MATCH(data!Q$1,Haver_M!$B$1:$ZN$1,0))),INDEX(Haver_M!$B$1:$ZN$1000,MATCH(data!$A166,Haver_M!$B$1:$B$1000,0),MATCH(data!Q$1,Haver_M!$B$1:$ZN$1,0)),"na")</f>
        <v>84.929000000000002</v>
      </c>
      <c r="R166">
        <f>IF(ISNUMBER(INDEX(Haver_M!$B$1:$ZN$1000,MATCH(data!$A166,Haver_M!$B$1:$B$1000,0),MATCH(data!R$1,Haver_M!$B$1:$ZN$1,0))),INDEX(Haver_M!$B$1:$ZN$1000,MATCH(data!$A166,Haver_M!$B$1:$B$1000,0),MATCH(data!R$1,Haver_M!$B$1:$ZN$1,0)),"na")</f>
        <v>99.721000000000004</v>
      </c>
      <c r="S166">
        <f>IF(ISNUMBER(INDEX(Haver_M!$B$1:$ZN$1000,MATCH(data!$A166,Haver_M!$B$1:$B$1000,0),MATCH(data!S$1,Haver_M!$B$1:$ZN$1,0))),INDEX(Haver_M!$B$1:$ZN$1000,MATCH(data!$A166,Haver_M!$B$1:$B$1000,0),MATCH(data!S$1,Haver_M!$B$1:$ZN$1,0)),"na")</f>
        <v>99.512</v>
      </c>
      <c r="T166">
        <f>IF(ISNUMBER(INDEX(Haver_M!$B$1:$ZN$1000,MATCH(data!$A166,Haver_M!$B$1:$B$1000,0),MATCH(data!T$1,Haver_M!$B$1:$ZN$1,0))),INDEX(Haver_M!$B$1:$ZN$1000,MATCH(data!$A166,Haver_M!$B$1:$B$1000,0),MATCH(data!T$1,Haver_M!$B$1:$ZN$1,0)),"na")</f>
        <v>100.005</v>
      </c>
      <c r="U166">
        <f>IF(ISNUMBER(INDEX(Haver_M!$B$1:$ZN$1000,MATCH(data!$A166,Haver_M!$B$1:$B$1000,0),MATCH(data!U$1,Haver_M!$B$1:$ZN$1,0))),INDEX(Haver_M!$B$1:$ZN$1000,MATCH(data!$A166,Haver_M!$B$1:$B$1000,0),MATCH(data!U$1,Haver_M!$B$1:$ZN$1,0)),"na")</f>
        <v>98.605199999999996</v>
      </c>
      <c r="V166">
        <f>IF(ISNUMBER(INDEX(Haver_M!$B$1:$ZN$1000,MATCH(data!$A166,Haver_M!$B$1:$B$1000,0),MATCH(data!V$1,Haver_M!$B$1:$ZN$1,0))),INDEX(Haver_M!$B$1:$ZN$1000,MATCH(data!$A166,Haver_M!$B$1:$B$1000,0),MATCH(data!V$1,Haver_M!$B$1:$ZN$1,0)),"na")</f>
        <v>100.5012</v>
      </c>
      <c r="W166">
        <f>IF(ISNUMBER(INDEX(Haver_M!$B$1:$ZN$1000,MATCH(data!$A166,Haver_M!$B$1:$B$1000,0),MATCH(data!W$1,Haver_M!$B$1:$ZN$1,0))),INDEX(Haver_M!$B$1:$ZN$1000,MATCH(data!$A166,Haver_M!$B$1:$B$1000,0),MATCH(data!W$1,Haver_M!$B$1:$ZN$1,0)),"na")</f>
        <v>4.9800000000000004</v>
      </c>
      <c r="X166">
        <f>IF(ISNUMBER(INDEX(Haver_M!$B$1:$ZN$1000,MATCH(data!$A166,Haver_M!$B$1:$B$1000,0),MATCH(data!X$1,Haver_M!$B$1:$ZN$1,0))),INDEX(Haver_M!$B$1:$ZN$1000,MATCH(data!$A166,Haver_M!$B$1:$B$1000,0),MATCH(data!X$1,Haver_M!$B$1:$ZN$1,0)),"na")</f>
        <v>99.51</v>
      </c>
      <c r="Y166">
        <f>IF(ISNUMBER(INDEX(Haver_M!$B$1:$ZN$1000,MATCH(data!$A166,Haver_M!$B$1:$B$1000,0),MATCH(data!Y$1,Haver_M!$B$1:$ZN$1,0))),INDEX(Haver_M!$B$1:$ZN$1000,MATCH(data!$A166,Haver_M!$B$1:$B$1000,0),MATCH(data!Y$1,Haver_M!$B$1:$ZN$1,0)),"na")</f>
        <v>100.39</v>
      </c>
      <c r="Z166">
        <f>IF(ISNUMBER(INDEX(Haver_M!$B$1:$ZN$1000,MATCH(data!$A166,Haver_M!$B$1:$B$1000,0),MATCH(data!Z$1,Haver_M!$B$1:$ZN$1,0))),INDEX(Haver_M!$B$1:$ZN$1000,MATCH(data!$A166,Haver_M!$B$1:$B$1000,0),MATCH(data!Z$1,Haver_M!$B$1:$ZN$1,0)),"na")</f>
        <v>99.7851</v>
      </c>
      <c r="AA166">
        <f>IF(ISNUMBER(INDEX(Haver_M!$B$1:$ZN$1000,MATCH(data!$A166,Haver_M!$B$1:$B$1000,0),MATCH(data!AA$1,Haver_M!$B$1:$ZN$1,0))),INDEX(Haver_M!$B$1:$ZN$1000,MATCH(data!$A166,Haver_M!$B$1:$B$1000,0),MATCH(data!AA$1,Haver_M!$B$1:$ZN$1,0)),"na")</f>
        <v>99.525599999999997</v>
      </c>
      <c r="AB166">
        <f>IF(ISNUMBER(INDEX(Haver_M!$B$1:$ZN$1000,MATCH(data!$A166,Haver_M!$B$1:$B$1000,0),MATCH(data!AB$1,Haver_M!$B$1:$ZN$1,0))),INDEX(Haver_M!$B$1:$ZN$1000,MATCH(data!$A166,Haver_M!$B$1:$B$1000,0),MATCH(data!AB$1,Haver_M!$B$1:$ZN$1,0)),"na")</f>
        <v>31981.9</v>
      </c>
      <c r="AC166">
        <f>IF(ISNUMBER(INDEX(Haver_M!$B$1:$ZN$1000,MATCH(data!$A166,Haver_M!$B$1:$B$1000,0),MATCH(data!AC$1,Haver_M!$B$1:$ZN$1,0))),INDEX(Haver_M!$B$1:$ZN$1000,MATCH(data!$A166,Haver_M!$B$1:$B$1000,0),MATCH(data!AC$1,Haver_M!$B$1:$ZN$1,0)),"na")</f>
        <v>31275.8</v>
      </c>
      <c r="AD166">
        <f>IF(ISNUMBER(INDEX(Haver_M!$B$1:$ZN$1000,MATCH(data!$A166,Haver_M!$B$1:$B$1000,0),MATCH(data!AD$1,Haver_M!$B$1:$ZN$1,0))),INDEX(Haver_M!$B$1:$ZN$1000,MATCH(data!$A166,Haver_M!$B$1:$B$1000,0),MATCH(data!AD$1,Haver_M!$B$1:$ZN$1,0)),"na")</f>
        <v>99.79</v>
      </c>
      <c r="AE166">
        <f>IF(ISNUMBER(INDEX(Haver_M!$B$1:$ZN$1000,MATCH(data!$A166,Haver_M!$B$1:$B$1000,0),MATCH(data!AE$1,Haver_M!$B$1:$ZN$1,0))),INDEX(Haver_M!$B$1:$ZN$1000,MATCH(data!$A166,Haver_M!$B$1:$B$1000,0),MATCH(data!AE$1,Haver_M!$B$1:$ZN$1,0)),"na")</f>
        <v>39</v>
      </c>
      <c r="AF166">
        <f>IF(ISNUMBER(INDEX(Haver_M!$B$1:$ZN$1000,MATCH(data!$A166,Haver_M!$B$1:$B$1000,0),MATCH(data!AF$1,Haver_M!$B$1:$ZN$1,0))),INDEX(Haver_M!$B$1:$ZN$1000,MATCH(data!$A166,Haver_M!$B$1:$B$1000,0),MATCH(data!AF$1,Haver_M!$B$1:$ZN$1,0)),"na")</f>
        <v>100.15</v>
      </c>
      <c r="AG166">
        <f>IF(ISNUMBER(INDEX(Haver_M!$B$1:$ZN$1000,MATCH(data!$A166,Haver_M!$B$1:$B$1000,0),MATCH(data!AG$1,Haver_M!$B$1:$ZN$1,0))),INDEX(Haver_M!$B$1:$ZN$1000,MATCH(data!$A166,Haver_M!$B$1:$B$1000,0),MATCH(data!AG$1,Haver_M!$B$1:$ZN$1,0)),"na")</f>
        <v>50.020400000000002</v>
      </c>
      <c r="AH166">
        <f>IF(ISNUMBER(INDEX(Haver_M!$B$1:$ZN$1000,MATCH(data!$A166,Haver_M!$B$1:$B$1000,0),MATCH(data!AH$1,Haver_M!$B$1:$ZN$1,0))),INDEX(Haver_M!$B$1:$ZN$1000,MATCH(data!$A166,Haver_M!$B$1:$B$1000,0),MATCH(data!AH$1,Haver_M!$B$1:$ZN$1,0)),"na")</f>
        <v>49.9771</v>
      </c>
      <c r="AI166">
        <f>IF(ISNUMBER(INDEX(Haver_M!$B$1:$ZN$1000,MATCH(data!$A166,Haver_M!$B$1:$B$1000,0),MATCH(data!AI$1,Haver_M!$B$1:$ZN$1,0))),INDEX(Haver_M!$B$1:$ZN$1000,MATCH(data!$A166,Haver_M!$B$1:$B$1000,0),MATCH(data!AI$1,Haver_M!$B$1:$ZN$1,0)),"na")</f>
        <v>50.317900000000002</v>
      </c>
      <c r="AJ166">
        <f>IF(ISNUMBER(INDEX(Haver_M!$B$1:$ZN$1000,MATCH(data!$A166,Haver_M!$B$1:$B$1000,0),MATCH(data!AJ$1,Haver_M!$B$1:$ZN$1,0))),INDEX(Haver_M!$B$1:$ZN$1000,MATCH(data!$A166,Haver_M!$B$1:$B$1000,0),MATCH(data!AJ$1,Haver_M!$B$1:$ZN$1,0)),"na")</f>
        <v>50.385899999999999</v>
      </c>
      <c r="AK166">
        <f>IF(ISNUMBER(INDEX(Haver_M!$B$1:$ZN$1000,MATCH(data!$A166,Haver_M!$B$1:$B$1000,0),MATCH(data!AK$1,Haver_M!$B$1:$ZN$1,0))),INDEX(Haver_M!$B$1:$ZN$1000,MATCH(data!$A166,Haver_M!$B$1:$B$1000,0),MATCH(data!AK$1,Haver_M!$B$1:$ZN$1,0)),"na")</f>
        <v>50.714300000000001</v>
      </c>
      <c r="AL166">
        <f>IF(ISNUMBER(INDEX(Haver_M!$B$1:$ZN$1000,MATCH(data!$A166,Haver_M!$B$1:$B$1000,0),MATCH(data!AL$1,Haver_M!$B$1:$ZN$1,0))),INDEX(Haver_M!$B$1:$ZN$1000,MATCH(data!$A166,Haver_M!$B$1:$B$1000,0),MATCH(data!AL$1,Haver_M!$B$1:$ZN$1,0)),"na")</f>
        <v>49.607399999999998</v>
      </c>
      <c r="AM166">
        <f>IF(ISNUMBER(INDEX(Haver_M!$B$1:$ZN$1000,MATCH(data!$A166,Haver_M!$B$1:$B$1000,0),MATCH(data!AM$1,Haver_M!$B$1:$ZN$1,0))),INDEX(Haver_M!$B$1:$ZN$1000,MATCH(data!$A166,Haver_M!$B$1:$B$1000,0),MATCH(data!AM$1,Haver_M!$B$1:$ZN$1,0)),"na")</f>
        <v>55.948599999999999</v>
      </c>
      <c r="AN166">
        <f>IF(ISNUMBER(INDEX(Haver_M!$B$1:$ZN$1000,MATCH(data!$A166,Haver_M!$B$1:$B$1000,0),MATCH(data!AN$1,Haver_M!$B$1:$ZN$1,0))),INDEX(Haver_M!$B$1:$ZN$1000,MATCH(data!$A166,Haver_M!$B$1:$B$1000,0),MATCH(data!AN$1,Haver_M!$B$1:$ZN$1,0)),"na")</f>
        <v>51.729900000000001</v>
      </c>
      <c r="AO166">
        <f>IF(ISNUMBER(INDEX(Haver_M!$B$1:$ZN$1000,MATCH(data!$A166,Haver_M!$B$1:$B$1000,0),MATCH(data!AO$1,Haver_M!$B$1:$ZN$1,0))),INDEX(Haver_M!$B$1:$ZN$1000,MATCH(data!$A166,Haver_M!$B$1:$B$1000,0),MATCH(data!AO$1,Haver_M!$B$1:$ZN$1,0)),"na")</f>
        <v>49.607399999999998</v>
      </c>
      <c r="AP166">
        <f>IF(ISNUMBER(INDEX(Haver_M!$B$1:$ZN$1000,MATCH(data!$A166,Haver_M!$B$1:$B$1000,0),MATCH(data!AP$1,Haver_M!$B$1:$ZN$1,0))),INDEX(Haver_M!$B$1:$ZN$1000,MATCH(data!$A166,Haver_M!$B$1:$B$1000,0),MATCH(data!AP$1,Haver_M!$B$1:$ZN$1,0)),"na")</f>
        <v>50.244799999999998</v>
      </c>
      <c r="AQ166">
        <f>IF(ISNUMBER(INDEX(Haver_M!$B$1:$ZN$1000,MATCH(data!$A166,Haver_M!$B$1:$B$1000,0),MATCH(data!AQ$1,Haver_M!$B$1:$ZN$1,0))),INDEX(Haver_M!$B$1:$ZN$1000,MATCH(data!$A166,Haver_M!$B$1:$B$1000,0),MATCH(data!AQ$1,Haver_M!$B$1:$ZN$1,0)),"na")</f>
        <v>49.8232</v>
      </c>
      <c r="AR166">
        <f>IF(ISNUMBER(INDEX(Haver_M!$B$1:$ZN$1000,MATCH(data!$A166,Haver_M!$B$1:$B$1000,0),MATCH(data!AR$1,Haver_M!$B$1:$ZN$1,0))),INDEX(Haver_M!$B$1:$ZN$1000,MATCH(data!$A166,Haver_M!$B$1:$B$1000,0),MATCH(data!AR$1,Haver_M!$B$1:$ZN$1,0)),"na")</f>
        <v>50.028700000000001</v>
      </c>
      <c r="AS166">
        <f>IF(ISNUMBER(INDEX(Haver_M!$B$1:$ZN$1000,MATCH(data!$A166,Haver_M!$B$1:$B$1000,0),MATCH(data!AS$1,Haver_M!$B$1:$ZN$1,0))),INDEX(Haver_M!$B$1:$ZN$1000,MATCH(data!$A166,Haver_M!$B$1:$B$1000,0),MATCH(data!AS$1,Haver_M!$B$1:$ZN$1,0)),"na")</f>
        <v>40898.22</v>
      </c>
      <c r="AT166">
        <f>IF(ISNUMBER(INDEX(Haver_M!$B$1:$ZN$1000,MATCH(data!$A166,Haver_M!$B$1:$B$1000,0),MATCH(data!AT$1,Haver_M!$B$1:$ZN$1,0))),INDEX(Haver_M!$B$1:$ZN$1000,MATCH(data!$A166,Haver_M!$B$1:$B$1000,0),MATCH(data!AT$1,Haver_M!$B$1:$ZN$1,0)),"na")</f>
        <v>99.879000000000005</v>
      </c>
      <c r="AU166">
        <f>IF(ISNUMBER(INDEX(Haver_M!$B$1:$ZN$1000,MATCH(data!$A166,Haver_M!$B$1:$B$1000,0),MATCH(data!AU$1,Haver_M!$B$1:$ZN$1,0))),INDEX(Haver_M!$B$1:$ZN$1000,MATCH(data!$A166,Haver_M!$B$1:$B$1000,0),MATCH(data!AU$1,Haver_M!$B$1:$ZN$1,0)),"na")</f>
        <v>100.43593199999999</v>
      </c>
      <c r="AV166">
        <f>IF(ISNUMBER(INDEX(Haver_M!$B$1:$ZN$1000,MATCH(data!$A166,Haver_M!$B$1:$B$1000,0),MATCH(data!AV$1,Haver_M!$B$1:$ZN$1,0))),INDEX(Haver_M!$B$1:$ZN$1000,MATCH(data!$A166,Haver_M!$B$1:$B$1000,0),MATCH(data!AV$1,Haver_M!$B$1:$ZN$1,0)),"na")</f>
        <v>97.2</v>
      </c>
      <c r="AW166">
        <f>IF(ISNUMBER(INDEX(Haver_M!$B$1:$ZN$1000,MATCH(data!$A166,Haver_M!$B$1:$B$1000,0),MATCH(data!AW$1,Haver_M!$B$1:$ZN$1,0))),INDEX(Haver_M!$B$1:$ZN$1000,MATCH(data!$A166,Haver_M!$B$1:$B$1000,0),MATCH(data!AW$1,Haver_M!$B$1:$ZN$1,0)),"na")</f>
        <v>1215343.4505524484</v>
      </c>
      <c r="AX166">
        <f>IF(ISNUMBER(INDEX(Haver_M!$B$1:$ZN$1000,MATCH(data!$A166,Haver_M!$B$1:$B$1000,0),MATCH(data!AX$1,Haver_M!$B$1:$ZN$1,0))),INDEX(Haver_M!$B$1:$ZN$1000,MATCH(data!$A166,Haver_M!$B$1:$B$1000,0),MATCH(data!AX$1,Haver_M!$B$1:$ZN$1,0)),"na")</f>
        <v>2518</v>
      </c>
      <c r="AY166">
        <f>IF(ISNUMBER(INDEX(Haver_M!$B$1:$ZN$1000,MATCH(data!$A166,Haver_M!$B$1:$B$1000,0),MATCH(data!AY$1,Haver_M!$B$1:$ZN$1,0))),INDEX(Haver_M!$B$1:$ZN$1000,MATCH(data!$A166,Haver_M!$B$1:$B$1000,0),MATCH(data!AY$1,Haver_M!$B$1:$ZN$1,0)),"na")</f>
        <v>1195</v>
      </c>
      <c r="AZ166">
        <f>IF(ISNUMBER(INDEX(Haver_M!$B$1:$ZN$1000,MATCH(data!$A166,Haver_M!$B$1:$B$1000,0),MATCH(data!AZ$1,Haver_M!$B$1:$ZN$1,0))),INDEX(Haver_M!$B$1:$ZN$1000,MATCH(data!$A166,Haver_M!$B$1:$B$1000,0),MATCH(data!AZ$1,Haver_M!$B$1:$ZN$1,0)),"na")</f>
        <v>51</v>
      </c>
      <c r="BA166">
        <f>IF(ISNUMBER(INDEX(Haver_M!$B$1:$ZN$1000,MATCH(data!$A166,Haver_M!$B$1:$B$1000,0),MATCH(data!BA$1,Haver_M!$B$1:$ZN$1,0))),INDEX(Haver_M!$B$1:$ZN$1000,MATCH(data!$A166,Haver_M!$B$1:$B$1000,0),MATCH(data!BA$1,Haver_M!$B$1:$ZN$1,0)),"na")</f>
        <v>55.531124658086071</v>
      </c>
      <c r="BB166" t="str">
        <f>IF(ISNUMBER(INDEX(Haver_M!$B$1:$ZN$1000,MATCH(data!$A166,Haver_M!$B$1:$B$1000,0),MATCH(data!BB$1,Haver_M!$B$1:$ZN$1,0))),INDEX(Haver_M!$B$1:$ZN$1000,MATCH(data!$A166,Haver_M!$B$1:$B$1000,0),MATCH(data!BB$1,Haver_M!$B$1:$ZN$1,0)),"")</f>
        <v/>
      </c>
    </row>
    <row r="167" spans="1:54" x14ac:dyDescent="0.25">
      <c r="A167" s="2">
        <v>41578</v>
      </c>
      <c r="B167" t="str">
        <f>IF(ISNUMBER(INDEX(Haver_Q!$B$1:$BD$1000,MATCH(data!$A167,Haver_Q!$B$1:$B$1000,0),MATCH(data!B$1,Haver_Q!$B$1:$BD$1,0))),100*INDEX(Haver_Q!$B$1:$BD$1000,MATCH(data!$A167,Haver_Q!$B$1:$B$1000,0),MATCH(data!B$1,Haver_Q!$B$1:$BD$1,0)),"na")</f>
        <v>na</v>
      </c>
      <c r="C167" t="str">
        <f>IF(ISNUMBER(INDEX(Haver_Q!$B$1:$BD$1000,MATCH(data!$A167,Haver_Q!$B$1:$B$1000,0),MATCH(data!C$1,Haver_Q!$B$1:$BD$1,0))),100*INDEX(Haver_Q!$B$1:$BD$1000,MATCH(data!$A167,Haver_Q!$B$1:$B$1000,0),MATCH(data!C$1,Haver_Q!$B$1:$BD$1,0)),"na")</f>
        <v>na</v>
      </c>
      <c r="D167" t="str">
        <f>IF(ISNUMBER(INDEX(Haver_Q!$B$1:$BD$1000,MATCH(data!$A167,Haver_Q!$B$1:$B$1000,0),MATCH(data!D$1,Haver_Q!$B$1:$BD$1,0))),100*INDEX(Haver_Q!$B$1:$BD$1000,MATCH(data!$A167,Haver_Q!$B$1:$B$1000,0),MATCH(data!D$1,Haver_Q!$B$1:$BD$1,0)),"na")</f>
        <v>na</v>
      </c>
      <c r="E167" t="str">
        <f>IF(ISNUMBER(INDEX(Haver_Q!$B$1:$BD$1000,MATCH(data!$A167,Haver_Q!$B$1:$B$1000,0),MATCH(data!E$1,Haver_Q!$B$1:$BD$1,0))),100*INDEX(Haver_Q!$B$1:$BD$1000,MATCH(data!$A167,Haver_Q!$B$1:$B$1000,0),MATCH(data!E$1,Haver_Q!$B$1:$BD$1,0)),"na")</f>
        <v>na</v>
      </c>
      <c r="F167" t="str">
        <f>IF(ISNUMBER(INDEX(Haver_Q!$B$1:$BD$1000,MATCH(data!$A167,Haver_Q!$B$1:$B$1000,0),MATCH(data!F$1,Haver_Q!$B$1:$BD$1,0))),100*INDEX(Haver_Q!$B$1:$BD$1000,MATCH(data!$A167,Haver_Q!$B$1:$B$1000,0),MATCH(data!F$1,Haver_Q!$B$1:$BD$1,0)),"na")</f>
        <v>na</v>
      </c>
      <c r="G167" t="str">
        <f>IF(ISNUMBER(INDEX(Haver_Q!$B$1:$BD$1000,MATCH(data!$A167,Haver_Q!$B$1:$B$1000,0),MATCH(data!G$1,Haver_Q!$B$1:$BD$1,0))),100*INDEX(Haver_Q!$B$1:$BD$1000,MATCH(data!$A167,Haver_Q!$B$1:$B$1000,0),MATCH(data!G$1,Haver_Q!$B$1:$BD$1,0)),"na")</f>
        <v>na</v>
      </c>
      <c r="H167" t="str">
        <f>IF(ISNUMBER(INDEX(Haver_Q!$B$1:$BD$1000,MATCH(data!$A167,Haver_Q!$B$1:$B$1000,0),MATCH(data!H$1,Haver_Q!$B$1:$BD$1,0))),100*INDEX(Haver_Q!$B$1:$BD$1000,MATCH(data!$A167,Haver_Q!$B$1:$B$1000,0),MATCH(data!H$1,Haver_Q!$B$1:$BD$1,0)),"na")</f>
        <v>na</v>
      </c>
      <c r="I167" s="3">
        <f>IF(ISNUMBER(Bloomberg_m!C183),Bloomberg_m!C183,"na")</f>
        <v>1883</v>
      </c>
      <c r="J167" s="3">
        <f>IF(ISNUMBER(Bloomberg_m!D183),Bloomberg_m!D183,"na")</f>
        <v>1534.77</v>
      </c>
      <c r="K167" s="3">
        <f>IF(ISNUMBER(Bloomberg_m!E183),Bloomberg_m!E183,"na")</f>
        <v>889.54</v>
      </c>
      <c r="L167" s="3">
        <f>IF(ISNUMBER(Bloomberg_m!L183),Bloomberg_m!L183,"na")</f>
        <v>100.5</v>
      </c>
      <c r="M167">
        <f>IF(ISNUMBER(INDEX(Haver_M!$B$1:$ZN$1000,MATCH(data!$A167,Haver_M!$B$1:$B$1000,0),MATCH(data!M$1,Haver_M!$B$1:$ZN$1,0))),INDEX(Haver_M!$B$1:$ZN$1000,MATCH(data!$A167,Haver_M!$B$1:$B$1000,0),MATCH(data!M$1,Haver_M!$B$1:$ZN$1,0)),"na")</f>
        <v>3.5</v>
      </c>
      <c r="N167">
        <f>IF(ISNUMBER(INDEX(Haver_M!$B$1:$ZN$1000,MATCH(data!$A167,Haver_M!$B$1:$B$1000,0),MATCH(data!N$1,Haver_M!$B$1:$ZN$1,0))),INDEX(Haver_M!$B$1:$ZN$1000,MATCH(data!$A167,Haver_M!$B$1:$B$1000,0),MATCH(data!N$1,Haver_M!$B$1:$ZN$1,0)),"na")</f>
        <v>5.8981000000000003</v>
      </c>
      <c r="O167">
        <f>IF(ISNUMBER(INDEX(Haver_M!$B$1:$ZN$1000,MATCH(data!$A167,Haver_M!$B$1:$B$1000,0),MATCH(data!O$1,Haver_M!$B$1:$ZN$1,0))),INDEX(Haver_M!$B$1:$ZN$1000,MATCH(data!$A167,Haver_M!$B$1:$B$1000,0),MATCH(data!O$1,Haver_M!$B$1:$ZN$1,0)),"na")</f>
        <v>99.415210000000002</v>
      </c>
      <c r="P167">
        <f>IF(ISNUMBER(INDEX(Haver_M!$B$1:$ZN$1000,MATCH(data!$A167,Haver_M!$B$1:$B$1000,0),MATCH(data!P$1,Haver_M!$B$1:$ZN$1,0))),INDEX(Haver_M!$B$1:$ZN$1000,MATCH(data!$A167,Haver_M!$B$1:$B$1000,0),MATCH(data!P$1,Haver_M!$B$1:$ZN$1,0)),"na")</f>
        <v>82.757800000000003</v>
      </c>
      <c r="Q167">
        <f>IF(ISNUMBER(INDEX(Haver_M!$B$1:$ZN$1000,MATCH(data!$A167,Haver_M!$B$1:$B$1000,0),MATCH(data!Q$1,Haver_M!$B$1:$ZN$1,0))),INDEX(Haver_M!$B$1:$ZN$1000,MATCH(data!$A167,Haver_M!$B$1:$B$1000,0),MATCH(data!Q$1,Haver_M!$B$1:$ZN$1,0)),"na")</f>
        <v>85.114599999999996</v>
      </c>
      <c r="R167">
        <f>IF(ISNUMBER(INDEX(Haver_M!$B$1:$ZN$1000,MATCH(data!$A167,Haver_M!$B$1:$B$1000,0),MATCH(data!R$1,Haver_M!$B$1:$ZN$1,0))),INDEX(Haver_M!$B$1:$ZN$1000,MATCH(data!$A167,Haver_M!$B$1:$B$1000,0),MATCH(data!R$1,Haver_M!$B$1:$ZN$1,0)),"na")</f>
        <v>100.72</v>
      </c>
      <c r="S167">
        <f>IF(ISNUMBER(INDEX(Haver_M!$B$1:$ZN$1000,MATCH(data!$A167,Haver_M!$B$1:$B$1000,0),MATCH(data!S$1,Haver_M!$B$1:$ZN$1,0))),INDEX(Haver_M!$B$1:$ZN$1000,MATCH(data!$A167,Haver_M!$B$1:$B$1000,0),MATCH(data!S$1,Haver_M!$B$1:$ZN$1,0)),"na")</f>
        <v>100.9713</v>
      </c>
      <c r="T167">
        <f>IF(ISNUMBER(INDEX(Haver_M!$B$1:$ZN$1000,MATCH(data!$A167,Haver_M!$B$1:$B$1000,0),MATCH(data!T$1,Haver_M!$B$1:$ZN$1,0))),INDEX(Haver_M!$B$1:$ZN$1000,MATCH(data!$A167,Haver_M!$B$1:$B$1000,0),MATCH(data!T$1,Haver_M!$B$1:$ZN$1,0)),"na")</f>
        <v>100.41719999999999</v>
      </c>
      <c r="U167">
        <f>IF(ISNUMBER(INDEX(Haver_M!$B$1:$ZN$1000,MATCH(data!$A167,Haver_M!$B$1:$B$1000,0),MATCH(data!U$1,Haver_M!$B$1:$ZN$1,0))),INDEX(Haver_M!$B$1:$ZN$1000,MATCH(data!$A167,Haver_M!$B$1:$B$1000,0),MATCH(data!U$1,Haver_M!$B$1:$ZN$1,0)),"na")</f>
        <v>99.005700000000004</v>
      </c>
      <c r="V167">
        <f>IF(ISNUMBER(INDEX(Haver_M!$B$1:$ZN$1000,MATCH(data!$A167,Haver_M!$B$1:$B$1000,0),MATCH(data!V$1,Haver_M!$B$1:$ZN$1,0))),INDEX(Haver_M!$B$1:$ZN$1000,MATCH(data!$A167,Haver_M!$B$1:$B$1000,0),MATCH(data!V$1,Haver_M!$B$1:$ZN$1,0)),"na")</f>
        <v>101.09699999999999</v>
      </c>
      <c r="W167">
        <f>IF(ISNUMBER(INDEX(Haver_M!$B$1:$ZN$1000,MATCH(data!$A167,Haver_M!$B$1:$B$1000,0),MATCH(data!W$1,Haver_M!$B$1:$ZN$1,0))),INDEX(Haver_M!$B$1:$ZN$1000,MATCH(data!$A167,Haver_M!$B$1:$B$1000,0),MATCH(data!W$1,Haver_M!$B$1:$ZN$1,0)),"na")</f>
        <v>4.88</v>
      </c>
      <c r="X167">
        <f>IF(ISNUMBER(INDEX(Haver_M!$B$1:$ZN$1000,MATCH(data!$A167,Haver_M!$B$1:$B$1000,0),MATCH(data!X$1,Haver_M!$B$1:$ZN$1,0))),INDEX(Haver_M!$B$1:$ZN$1000,MATCH(data!$A167,Haver_M!$B$1:$B$1000,0),MATCH(data!X$1,Haver_M!$B$1:$ZN$1,0)),"na")</f>
        <v>99.65</v>
      </c>
      <c r="Y167">
        <f>IF(ISNUMBER(INDEX(Haver_M!$B$1:$ZN$1000,MATCH(data!$A167,Haver_M!$B$1:$B$1000,0),MATCH(data!Y$1,Haver_M!$B$1:$ZN$1,0))),INDEX(Haver_M!$B$1:$ZN$1000,MATCH(data!$A167,Haver_M!$B$1:$B$1000,0),MATCH(data!Y$1,Haver_M!$B$1:$ZN$1,0)),"na")</f>
        <v>100.4</v>
      </c>
      <c r="Z167">
        <f>IF(ISNUMBER(INDEX(Haver_M!$B$1:$ZN$1000,MATCH(data!$A167,Haver_M!$B$1:$B$1000,0),MATCH(data!Z$1,Haver_M!$B$1:$ZN$1,0))),INDEX(Haver_M!$B$1:$ZN$1000,MATCH(data!$A167,Haver_M!$B$1:$B$1000,0),MATCH(data!Z$1,Haver_M!$B$1:$ZN$1,0)),"na")</f>
        <v>99.479200000000006</v>
      </c>
      <c r="AA167">
        <f>IF(ISNUMBER(INDEX(Haver_M!$B$1:$ZN$1000,MATCH(data!$A167,Haver_M!$B$1:$B$1000,0),MATCH(data!AA$1,Haver_M!$B$1:$ZN$1,0))),INDEX(Haver_M!$B$1:$ZN$1000,MATCH(data!$A167,Haver_M!$B$1:$B$1000,0),MATCH(data!AA$1,Haver_M!$B$1:$ZN$1,0)),"na")</f>
        <v>100.6103</v>
      </c>
      <c r="AB167">
        <f>IF(ISNUMBER(INDEX(Haver_M!$B$1:$ZN$1000,MATCH(data!$A167,Haver_M!$B$1:$B$1000,0),MATCH(data!AB$1,Haver_M!$B$1:$ZN$1,0))),INDEX(Haver_M!$B$1:$ZN$1000,MATCH(data!$A167,Haver_M!$B$1:$B$1000,0),MATCH(data!AB$1,Haver_M!$B$1:$ZN$1,0)),"na")</f>
        <v>31920.9</v>
      </c>
      <c r="AC167">
        <f>IF(ISNUMBER(INDEX(Haver_M!$B$1:$ZN$1000,MATCH(data!$A167,Haver_M!$B$1:$B$1000,0),MATCH(data!AC$1,Haver_M!$B$1:$ZN$1,0))),INDEX(Haver_M!$B$1:$ZN$1000,MATCH(data!$A167,Haver_M!$B$1:$B$1000,0),MATCH(data!AC$1,Haver_M!$B$1:$ZN$1,0)),"na")</f>
        <v>31537.3</v>
      </c>
      <c r="AD167">
        <f>IF(ISNUMBER(INDEX(Haver_M!$B$1:$ZN$1000,MATCH(data!$A167,Haver_M!$B$1:$B$1000,0),MATCH(data!AD$1,Haver_M!$B$1:$ZN$1,0))),INDEX(Haver_M!$B$1:$ZN$1000,MATCH(data!$A167,Haver_M!$B$1:$B$1000,0),MATCH(data!AD$1,Haver_M!$B$1:$ZN$1,0)),"na")</f>
        <v>99.75</v>
      </c>
      <c r="AE167">
        <f>IF(ISNUMBER(INDEX(Haver_M!$B$1:$ZN$1000,MATCH(data!$A167,Haver_M!$B$1:$B$1000,0),MATCH(data!AE$1,Haver_M!$B$1:$ZN$1,0))),INDEX(Haver_M!$B$1:$ZN$1000,MATCH(data!$A167,Haver_M!$B$1:$B$1000,0),MATCH(data!AE$1,Haver_M!$B$1:$ZN$1,0)),"na")</f>
        <v>38.4</v>
      </c>
      <c r="AF167">
        <f>IF(ISNUMBER(INDEX(Haver_M!$B$1:$ZN$1000,MATCH(data!$A167,Haver_M!$B$1:$B$1000,0),MATCH(data!AF$1,Haver_M!$B$1:$ZN$1,0))),INDEX(Haver_M!$B$1:$ZN$1000,MATCH(data!$A167,Haver_M!$B$1:$B$1000,0),MATCH(data!AF$1,Haver_M!$B$1:$ZN$1,0)),"na")</f>
        <v>99.94</v>
      </c>
      <c r="AG167">
        <f>IF(ISNUMBER(INDEX(Haver_M!$B$1:$ZN$1000,MATCH(data!$A167,Haver_M!$B$1:$B$1000,0),MATCH(data!AG$1,Haver_M!$B$1:$ZN$1,0))),INDEX(Haver_M!$B$1:$ZN$1000,MATCH(data!$A167,Haver_M!$B$1:$B$1000,0),MATCH(data!AG$1,Haver_M!$B$1:$ZN$1,0)),"na")</f>
        <v>50.2059</v>
      </c>
      <c r="AH167">
        <f>IF(ISNUMBER(INDEX(Haver_M!$B$1:$ZN$1000,MATCH(data!$A167,Haver_M!$B$1:$B$1000,0),MATCH(data!AH$1,Haver_M!$B$1:$ZN$1,0))),INDEX(Haver_M!$B$1:$ZN$1000,MATCH(data!$A167,Haver_M!$B$1:$B$1000,0),MATCH(data!AH$1,Haver_M!$B$1:$ZN$1,0)),"na")</f>
        <v>49.350999999999999</v>
      </c>
      <c r="AI167">
        <f>IF(ISNUMBER(INDEX(Haver_M!$B$1:$ZN$1000,MATCH(data!$A167,Haver_M!$B$1:$B$1000,0),MATCH(data!AI$1,Haver_M!$B$1:$ZN$1,0))),INDEX(Haver_M!$B$1:$ZN$1000,MATCH(data!$A167,Haver_M!$B$1:$B$1000,0),MATCH(data!AI$1,Haver_M!$B$1:$ZN$1,0)),"na")</f>
        <v>51.299900000000001</v>
      </c>
      <c r="AJ167">
        <f>IF(ISNUMBER(INDEX(Haver_M!$B$1:$ZN$1000,MATCH(data!$A167,Haver_M!$B$1:$B$1000,0),MATCH(data!AJ$1,Haver_M!$B$1:$ZN$1,0))),INDEX(Haver_M!$B$1:$ZN$1000,MATCH(data!$A167,Haver_M!$B$1:$B$1000,0),MATCH(data!AJ$1,Haver_M!$B$1:$ZN$1,0)),"na")</f>
        <v>49.097799999999999</v>
      </c>
      <c r="AK167">
        <f>IF(ISNUMBER(INDEX(Haver_M!$B$1:$ZN$1000,MATCH(data!$A167,Haver_M!$B$1:$B$1000,0),MATCH(data!AK$1,Haver_M!$B$1:$ZN$1,0))),INDEX(Haver_M!$B$1:$ZN$1000,MATCH(data!$A167,Haver_M!$B$1:$B$1000,0),MATCH(data!AK$1,Haver_M!$B$1:$ZN$1,0)),"na")</f>
        <v>49.254100000000001</v>
      </c>
      <c r="AL167">
        <f>IF(ISNUMBER(INDEX(Haver_M!$B$1:$ZN$1000,MATCH(data!$A167,Haver_M!$B$1:$B$1000,0),MATCH(data!AL$1,Haver_M!$B$1:$ZN$1,0))),INDEX(Haver_M!$B$1:$ZN$1000,MATCH(data!$A167,Haver_M!$B$1:$B$1000,0),MATCH(data!AL$1,Haver_M!$B$1:$ZN$1,0)),"na")</f>
        <v>50.467300000000002</v>
      </c>
      <c r="AM167">
        <f>IF(ISNUMBER(INDEX(Haver_M!$B$1:$ZN$1000,MATCH(data!$A167,Haver_M!$B$1:$B$1000,0),MATCH(data!AM$1,Haver_M!$B$1:$ZN$1,0))),INDEX(Haver_M!$B$1:$ZN$1000,MATCH(data!$A167,Haver_M!$B$1:$B$1000,0),MATCH(data!AM$1,Haver_M!$B$1:$ZN$1,0)),"na")</f>
        <v>53.865400000000001</v>
      </c>
      <c r="AN167">
        <f>IF(ISNUMBER(INDEX(Haver_M!$B$1:$ZN$1000,MATCH(data!$A167,Haver_M!$B$1:$B$1000,0),MATCH(data!AN$1,Haver_M!$B$1:$ZN$1,0))),INDEX(Haver_M!$B$1:$ZN$1000,MATCH(data!$A167,Haver_M!$B$1:$B$1000,0),MATCH(data!AN$1,Haver_M!$B$1:$ZN$1,0)),"na")</f>
        <v>50.012900000000002</v>
      </c>
      <c r="AO167">
        <f>IF(ISNUMBER(INDEX(Haver_M!$B$1:$ZN$1000,MATCH(data!$A167,Haver_M!$B$1:$B$1000,0),MATCH(data!AO$1,Haver_M!$B$1:$ZN$1,0))),INDEX(Haver_M!$B$1:$ZN$1000,MATCH(data!$A167,Haver_M!$B$1:$B$1000,0),MATCH(data!AO$1,Haver_M!$B$1:$ZN$1,0)),"na")</f>
        <v>50.467300000000002</v>
      </c>
      <c r="AP167">
        <f>IF(ISNUMBER(INDEX(Haver_M!$B$1:$ZN$1000,MATCH(data!$A167,Haver_M!$B$1:$B$1000,0),MATCH(data!AP$1,Haver_M!$B$1:$ZN$1,0))),INDEX(Haver_M!$B$1:$ZN$1000,MATCH(data!$A167,Haver_M!$B$1:$B$1000,0),MATCH(data!AP$1,Haver_M!$B$1:$ZN$1,0)),"na")</f>
        <v>50.265999999999998</v>
      </c>
      <c r="AQ167">
        <f>IF(ISNUMBER(INDEX(Haver_M!$B$1:$ZN$1000,MATCH(data!$A167,Haver_M!$B$1:$B$1000,0),MATCH(data!AQ$1,Haver_M!$B$1:$ZN$1,0))),INDEX(Haver_M!$B$1:$ZN$1000,MATCH(data!$A167,Haver_M!$B$1:$B$1000,0),MATCH(data!AQ$1,Haver_M!$B$1:$ZN$1,0)),"na")</f>
        <v>49.487200000000001</v>
      </c>
      <c r="AR167">
        <f>IF(ISNUMBER(INDEX(Haver_M!$B$1:$ZN$1000,MATCH(data!$A167,Haver_M!$B$1:$B$1000,0),MATCH(data!AR$1,Haver_M!$B$1:$ZN$1,0))),INDEX(Haver_M!$B$1:$ZN$1000,MATCH(data!$A167,Haver_M!$B$1:$B$1000,0),MATCH(data!AR$1,Haver_M!$B$1:$ZN$1,0)),"na")</f>
        <v>48.496400000000001</v>
      </c>
      <c r="AS167">
        <f>IF(ISNUMBER(INDEX(Haver_M!$B$1:$ZN$1000,MATCH(data!$A167,Haver_M!$B$1:$B$1000,0),MATCH(data!AS$1,Haver_M!$B$1:$ZN$1,0))),INDEX(Haver_M!$B$1:$ZN$1000,MATCH(data!$A167,Haver_M!$B$1:$B$1000,0),MATCH(data!AS$1,Haver_M!$B$1:$ZN$1,0)),"na")</f>
        <v>40664.449999999997</v>
      </c>
      <c r="AT167">
        <f>IF(ISNUMBER(INDEX(Haver_M!$B$1:$ZN$1000,MATCH(data!$A167,Haver_M!$B$1:$B$1000,0),MATCH(data!AT$1,Haver_M!$B$1:$ZN$1,0))),INDEX(Haver_M!$B$1:$ZN$1000,MATCH(data!$A167,Haver_M!$B$1:$B$1000,0),MATCH(data!AT$1,Haver_M!$B$1:$ZN$1,0)),"na")</f>
        <v>100.68600000000001</v>
      </c>
      <c r="AU167">
        <f>IF(ISNUMBER(INDEX(Haver_M!$B$1:$ZN$1000,MATCH(data!$A167,Haver_M!$B$1:$B$1000,0),MATCH(data!AU$1,Haver_M!$B$1:$ZN$1,0))),INDEX(Haver_M!$B$1:$ZN$1000,MATCH(data!$A167,Haver_M!$B$1:$B$1000,0),MATCH(data!AU$1,Haver_M!$B$1:$ZN$1,0)),"na")</f>
        <v>100.664055</v>
      </c>
      <c r="AV167">
        <f>IF(ISNUMBER(INDEX(Haver_M!$B$1:$ZN$1000,MATCH(data!$A167,Haver_M!$B$1:$B$1000,0),MATCH(data!AV$1,Haver_M!$B$1:$ZN$1,0))),INDEX(Haver_M!$B$1:$ZN$1000,MATCH(data!$A167,Haver_M!$B$1:$B$1000,0),MATCH(data!AV$1,Haver_M!$B$1:$ZN$1,0)),"na")</f>
        <v>99.5</v>
      </c>
      <c r="AW167">
        <f>IF(ISNUMBER(INDEX(Haver_M!$B$1:$ZN$1000,MATCH(data!$A167,Haver_M!$B$1:$B$1000,0),MATCH(data!AW$1,Haver_M!$B$1:$ZN$1,0))),INDEX(Haver_M!$B$1:$ZN$1000,MATCH(data!$A167,Haver_M!$B$1:$B$1000,0),MATCH(data!AW$1,Haver_M!$B$1:$ZN$1,0)),"na")</f>
        <v>1247655.1693109488</v>
      </c>
      <c r="AX167">
        <f>IF(ISNUMBER(INDEX(Haver_M!$B$1:$ZN$1000,MATCH(data!$A167,Haver_M!$B$1:$B$1000,0),MATCH(data!AX$1,Haver_M!$B$1:$ZN$1,0))),INDEX(Haver_M!$B$1:$ZN$1000,MATCH(data!$A167,Haver_M!$B$1:$B$1000,0),MATCH(data!AX$1,Haver_M!$B$1:$ZN$1,0)),"na")</f>
        <v>2529</v>
      </c>
      <c r="AY167">
        <f>IF(ISNUMBER(INDEX(Haver_M!$B$1:$ZN$1000,MATCH(data!$A167,Haver_M!$B$1:$B$1000,0),MATCH(data!AY$1,Haver_M!$B$1:$ZN$1,0))),INDEX(Haver_M!$B$1:$ZN$1000,MATCH(data!$A167,Haver_M!$B$1:$B$1000,0),MATCH(data!AY$1,Haver_M!$B$1:$ZN$1,0)),"na")</f>
        <v>1193</v>
      </c>
      <c r="AZ167">
        <f>IF(ISNUMBER(INDEX(Haver_M!$B$1:$ZN$1000,MATCH(data!$A167,Haver_M!$B$1:$B$1000,0),MATCH(data!AZ$1,Haver_M!$B$1:$ZN$1,0))),INDEX(Haver_M!$B$1:$ZN$1000,MATCH(data!$A167,Haver_M!$B$1:$B$1000,0),MATCH(data!AZ$1,Haver_M!$B$1:$ZN$1,0)),"na")</f>
        <v>50.2</v>
      </c>
      <c r="BA167">
        <f>IF(ISNUMBER(INDEX(Haver_M!$B$1:$ZN$1000,MATCH(data!$A167,Haver_M!$B$1:$B$1000,0),MATCH(data!BA$1,Haver_M!$B$1:$ZN$1,0))),INDEX(Haver_M!$B$1:$ZN$1000,MATCH(data!$A167,Haver_M!$B$1:$B$1000,0),MATCH(data!BA$1,Haver_M!$B$1:$ZN$1,0)),"na")</f>
        <v>62.132498515130642</v>
      </c>
      <c r="BB167" t="str">
        <f>IF(ISNUMBER(INDEX(Haver_M!$B$1:$ZN$1000,MATCH(data!$A167,Haver_M!$B$1:$B$1000,0),MATCH(data!BB$1,Haver_M!$B$1:$ZN$1,0))),INDEX(Haver_M!$B$1:$ZN$1000,MATCH(data!$A167,Haver_M!$B$1:$B$1000,0),MATCH(data!BB$1,Haver_M!$B$1:$ZN$1,0)),"")</f>
        <v/>
      </c>
    </row>
    <row r="168" spans="1:54" x14ac:dyDescent="0.25">
      <c r="A168" s="2">
        <v>41608</v>
      </c>
      <c r="B168" t="str">
        <f>IF(ISNUMBER(INDEX(Haver_Q!$B$1:$BD$1000,MATCH(data!$A168,Haver_Q!$B$1:$B$1000,0),MATCH(data!B$1,Haver_Q!$B$1:$BD$1,0))),100*INDEX(Haver_Q!$B$1:$BD$1000,MATCH(data!$A168,Haver_Q!$B$1:$B$1000,0),MATCH(data!B$1,Haver_Q!$B$1:$BD$1,0)),"na")</f>
        <v>na</v>
      </c>
      <c r="C168" t="str">
        <f>IF(ISNUMBER(INDEX(Haver_Q!$B$1:$BD$1000,MATCH(data!$A168,Haver_Q!$B$1:$B$1000,0),MATCH(data!C$1,Haver_Q!$B$1:$BD$1,0))),100*INDEX(Haver_Q!$B$1:$BD$1000,MATCH(data!$A168,Haver_Q!$B$1:$B$1000,0),MATCH(data!C$1,Haver_Q!$B$1:$BD$1,0)),"na")</f>
        <v>na</v>
      </c>
      <c r="D168" t="str">
        <f>IF(ISNUMBER(INDEX(Haver_Q!$B$1:$BD$1000,MATCH(data!$A168,Haver_Q!$B$1:$B$1000,0),MATCH(data!D$1,Haver_Q!$B$1:$BD$1,0))),100*INDEX(Haver_Q!$B$1:$BD$1000,MATCH(data!$A168,Haver_Q!$B$1:$B$1000,0),MATCH(data!D$1,Haver_Q!$B$1:$BD$1,0)),"na")</f>
        <v>na</v>
      </c>
      <c r="E168" t="str">
        <f>IF(ISNUMBER(INDEX(Haver_Q!$B$1:$BD$1000,MATCH(data!$A168,Haver_Q!$B$1:$B$1000,0),MATCH(data!E$1,Haver_Q!$B$1:$BD$1,0))),100*INDEX(Haver_Q!$B$1:$BD$1000,MATCH(data!$A168,Haver_Q!$B$1:$B$1000,0),MATCH(data!E$1,Haver_Q!$B$1:$BD$1,0)),"na")</f>
        <v>na</v>
      </c>
      <c r="F168" t="str">
        <f>IF(ISNUMBER(INDEX(Haver_Q!$B$1:$BD$1000,MATCH(data!$A168,Haver_Q!$B$1:$B$1000,0),MATCH(data!F$1,Haver_Q!$B$1:$BD$1,0))),100*INDEX(Haver_Q!$B$1:$BD$1000,MATCH(data!$A168,Haver_Q!$B$1:$B$1000,0),MATCH(data!F$1,Haver_Q!$B$1:$BD$1,0)),"na")</f>
        <v>na</v>
      </c>
      <c r="G168" t="str">
        <f>IF(ISNUMBER(INDEX(Haver_Q!$B$1:$BD$1000,MATCH(data!$A168,Haver_Q!$B$1:$B$1000,0),MATCH(data!G$1,Haver_Q!$B$1:$BD$1,0))),100*INDEX(Haver_Q!$B$1:$BD$1000,MATCH(data!$A168,Haver_Q!$B$1:$B$1000,0),MATCH(data!G$1,Haver_Q!$B$1:$BD$1,0)),"na")</f>
        <v>na</v>
      </c>
      <c r="H168" t="str">
        <f>IF(ISNUMBER(INDEX(Haver_Q!$B$1:$BD$1000,MATCH(data!$A168,Haver_Q!$B$1:$B$1000,0),MATCH(data!H$1,Haver_Q!$B$1:$BD$1,0))),100*INDEX(Haver_Q!$B$1:$BD$1000,MATCH(data!$A168,Haver_Q!$B$1:$B$1000,0),MATCH(data!H$1,Haver_Q!$B$1:$BD$1,0)),"na")</f>
        <v>na</v>
      </c>
      <c r="I168" s="3">
        <f>IF(ISNUMBER(Bloomberg_m!C184),Bloomberg_m!C184,"na")</f>
        <v>1559</v>
      </c>
      <c r="J168" s="3">
        <f>IF(ISNUMBER(Bloomberg_m!D184),Bloomberg_m!D184,"na")</f>
        <v>1952.04</v>
      </c>
      <c r="K168" s="3">
        <f>IF(ISNUMBER(Bloomberg_m!E184),Bloomberg_m!E184,"na")</f>
        <v>1068.8599999999999</v>
      </c>
      <c r="L168" s="3">
        <f>IF(ISNUMBER(Bloomberg_m!L184),Bloomberg_m!L184,"na")</f>
        <v>93.89</v>
      </c>
      <c r="M168">
        <f>IF(ISNUMBER(INDEX(Haver_M!$B$1:$ZN$1000,MATCH(data!$A168,Haver_M!$B$1:$B$1000,0),MATCH(data!M$1,Haver_M!$B$1:$ZN$1,0))),INDEX(Haver_M!$B$1:$ZN$1000,MATCH(data!$A168,Haver_M!$B$1:$B$1000,0),MATCH(data!M$1,Haver_M!$B$1:$ZN$1,0)),"na")</f>
        <v>3.5</v>
      </c>
      <c r="N168">
        <f>IF(ISNUMBER(INDEX(Haver_M!$B$1:$ZN$1000,MATCH(data!$A168,Haver_M!$B$1:$B$1000,0),MATCH(data!N$1,Haver_M!$B$1:$ZN$1,0))),INDEX(Haver_M!$B$1:$ZN$1000,MATCH(data!$A168,Haver_M!$B$1:$B$1000,0),MATCH(data!N$1,Haver_M!$B$1:$ZN$1,0)),"na")</f>
        <v>6.1485000000000003</v>
      </c>
      <c r="O168">
        <f>IF(ISNUMBER(INDEX(Haver_M!$B$1:$ZN$1000,MATCH(data!$A168,Haver_M!$B$1:$B$1000,0),MATCH(data!O$1,Haver_M!$B$1:$ZN$1,0))),INDEX(Haver_M!$B$1:$ZN$1000,MATCH(data!$A168,Haver_M!$B$1:$B$1000,0),MATCH(data!O$1,Haver_M!$B$1:$ZN$1,0)),"na")</f>
        <v>100.19298000000001</v>
      </c>
      <c r="P168">
        <f>IF(ISNUMBER(INDEX(Haver_M!$B$1:$ZN$1000,MATCH(data!$A168,Haver_M!$B$1:$B$1000,0),MATCH(data!P$1,Haver_M!$B$1:$ZN$1,0))),INDEX(Haver_M!$B$1:$ZN$1000,MATCH(data!$A168,Haver_M!$B$1:$B$1000,0),MATCH(data!P$1,Haver_M!$B$1:$ZN$1,0)),"na")</f>
        <v>83.108400000000003</v>
      </c>
      <c r="Q168">
        <f>IF(ISNUMBER(INDEX(Haver_M!$B$1:$ZN$1000,MATCH(data!$A168,Haver_M!$B$1:$B$1000,0),MATCH(data!Q$1,Haver_M!$B$1:$ZN$1,0))),INDEX(Haver_M!$B$1:$ZN$1000,MATCH(data!$A168,Haver_M!$B$1:$B$1000,0),MATCH(data!Q$1,Haver_M!$B$1:$ZN$1,0)),"na")</f>
        <v>85.324399999999997</v>
      </c>
      <c r="R168">
        <f>IF(ISNUMBER(INDEX(Haver_M!$B$1:$ZN$1000,MATCH(data!$A168,Haver_M!$B$1:$B$1000,0),MATCH(data!R$1,Haver_M!$B$1:$ZN$1,0))),INDEX(Haver_M!$B$1:$ZN$1000,MATCH(data!$A168,Haver_M!$B$1:$B$1000,0),MATCH(data!R$1,Haver_M!$B$1:$ZN$1,0)),"na")</f>
        <v>100.3942</v>
      </c>
      <c r="S168">
        <f>IF(ISNUMBER(INDEX(Haver_M!$B$1:$ZN$1000,MATCH(data!$A168,Haver_M!$B$1:$B$1000,0),MATCH(data!S$1,Haver_M!$B$1:$ZN$1,0))),INDEX(Haver_M!$B$1:$ZN$1000,MATCH(data!$A168,Haver_M!$B$1:$B$1000,0),MATCH(data!S$1,Haver_M!$B$1:$ZN$1,0)),"na")</f>
        <v>101.56140000000001</v>
      </c>
      <c r="T168">
        <f>IF(ISNUMBER(INDEX(Haver_M!$B$1:$ZN$1000,MATCH(data!$A168,Haver_M!$B$1:$B$1000,0),MATCH(data!T$1,Haver_M!$B$1:$ZN$1,0))),INDEX(Haver_M!$B$1:$ZN$1000,MATCH(data!$A168,Haver_M!$B$1:$B$1000,0),MATCH(data!T$1,Haver_M!$B$1:$ZN$1,0)),"na")</f>
        <v>101.4055</v>
      </c>
      <c r="U168">
        <f>IF(ISNUMBER(INDEX(Haver_M!$B$1:$ZN$1000,MATCH(data!$A168,Haver_M!$B$1:$B$1000,0),MATCH(data!U$1,Haver_M!$B$1:$ZN$1,0))),INDEX(Haver_M!$B$1:$ZN$1000,MATCH(data!$A168,Haver_M!$B$1:$B$1000,0),MATCH(data!U$1,Haver_M!$B$1:$ZN$1,0)),"na")</f>
        <v>99.840100000000007</v>
      </c>
      <c r="V168">
        <f>IF(ISNUMBER(INDEX(Haver_M!$B$1:$ZN$1000,MATCH(data!$A168,Haver_M!$B$1:$B$1000,0),MATCH(data!V$1,Haver_M!$B$1:$ZN$1,0))),INDEX(Haver_M!$B$1:$ZN$1000,MATCH(data!$A168,Haver_M!$B$1:$B$1000,0),MATCH(data!V$1,Haver_M!$B$1:$ZN$1,0)),"na")</f>
        <v>100.5146</v>
      </c>
      <c r="W168">
        <f>IF(ISNUMBER(INDEX(Haver_M!$B$1:$ZN$1000,MATCH(data!$A168,Haver_M!$B$1:$B$1000,0),MATCH(data!W$1,Haver_M!$B$1:$ZN$1,0))),INDEX(Haver_M!$B$1:$ZN$1000,MATCH(data!$A168,Haver_M!$B$1:$B$1000,0),MATCH(data!W$1,Haver_M!$B$1:$ZN$1,0)),"na")</f>
        <v>4.58</v>
      </c>
      <c r="X168">
        <f>IF(ISNUMBER(INDEX(Haver_M!$B$1:$ZN$1000,MATCH(data!$A168,Haver_M!$B$1:$B$1000,0),MATCH(data!X$1,Haver_M!$B$1:$ZN$1,0))),INDEX(Haver_M!$B$1:$ZN$1000,MATCH(data!$A168,Haver_M!$B$1:$B$1000,0),MATCH(data!X$1,Haver_M!$B$1:$ZN$1,0)),"na")</f>
        <v>100.45</v>
      </c>
      <c r="Y168">
        <f>IF(ISNUMBER(INDEX(Haver_M!$B$1:$ZN$1000,MATCH(data!$A168,Haver_M!$B$1:$B$1000,0),MATCH(data!Y$1,Haver_M!$B$1:$ZN$1,0))),INDEX(Haver_M!$B$1:$ZN$1000,MATCH(data!$A168,Haver_M!$B$1:$B$1000,0),MATCH(data!Y$1,Haver_M!$B$1:$ZN$1,0)),"na")</f>
        <v>100.43</v>
      </c>
      <c r="Z168">
        <f>IF(ISNUMBER(INDEX(Haver_M!$B$1:$ZN$1000,MATCH(data!$A168,Haver_M!$B$1:$B$1000,0),MATCH(data!Z$1,Haver_M!$B$1:$ZN$1,0))),INDEX(Haver_M!$B$1:$ZN$1000,MATCH(data!$A168,Haver_M!$B$1:$B$1000,0),MATCH(data!Z$1,Haver_M!$B$1:$ZN$1,0)),"na")</f>
        <v>99.924499999999995</v>
      </c>
      <c r="AA168">
        <f>IF(ISNUMBER(INDEX(Haver_M!$B$1:$ZN$1000,MATCH(data!$A168,Haver_M!$B$1:$B$1000,0),MATCH(data!AA$1,Haver_M!$B$1:$ZN$1,0))),INDEX(Haver_M!$B$1:$ZN$1000,MATCH(data!$A168,Haver_M!$B$1:$B$1000,0),MATCH(data!AA$1,Haver_M!$B$1:$ZN$1,0)),"na")</f>
        <v>101.2788</v>
      </c>
      <c r="AB168">
        <f>IF(ISNUMBER(INDEX(Haver_M!$B$1:$ZN$1000,MATCH(data!$A168,Haver_M!$B$1:$B$1000,0),MATCH(data!AB$1,Haver_M!$B$1:$ZN$1,0))),INDEX(Haver_M!$B$1:$ZN$1000,MATCH(data!$A168,Haver_M!$B$1:$B$1000,0),MATCH(data!AB$1,Haver_M!$B$1:$ZN$1,0)),"na")</f>
        <v>31543.599999999999</v>
      </c>
      <c r="AC168">
        <f>IF(ISNUMBER(INDEX(Haver_M!$B$1:$ZN$1000,MATCH(data!$A168,Haver_M!$B$1:$B$1000,0),MATCH(data!AC$1,Haver_M!$B$1:$ZN$1,0))),INDEX(Haver_M!$B$1:$ZN$1000,MATCH(data!$A168,Haver_M!$B$1:$B$1000,0),MATCH(data!AC$1,Haver_M!$B$1:$ZN$1,0)),"na")</f>
        <v>31194.5</v>
      </c>
      <c r="AD168">
        <f>IF(ISNUMBER(INDEX(Haver_M!$B$1:$ZN$1000,MATCH(data!$A168,Haver_M!$B$1:$B$1000,0),MATCH(data!AD$1,Haver_M!$B$1:$ZN$1,0))),INDEX(Haver_M!$B$1:$ZN$1000,MATCH(data!$A168,Haver_M!$B$1:$B$1000,0),MATCH(data!AD$1,Haver_M!$B$1:$ZN$1,0)),"na")</f>
        <v>99.71</v>
      </c>
      <c r="AE168">
        <f>IF(ISNUMBER(INDEX(Haver_M!$B$1:$ZN$1000,MATCH(data!$A168,Haver_M!$B$1:$B$1000,0),MATCH(data!AE$1,Haver_M!$B$1:$ZN$1,0))),INDEX(Haver_M!$B$1:$ZN$1000,MATCH(data!$A168,Haver_M!$B$1:$B$1000,0),MATCH(data!AE$1,Haver_M!$B$1:$ZN$1,0)),"na")</f>
        <v>37.4</v>
      </c>
      <c r="AF168">
        <f>IF(ISNUMBER(INDEX(Haver_M!$B$1:$ZN$1000,MATCH(data!$A168,Haver_M!$B$1:$B$1000,0),MATCH(data!AF$1,Haver_M!$B$1:$ZN$1,0))),INDEX(Haver_M!$B$1:$ZN$1000,MATCH(data!$A168,Haver_M!$B$1:$B$1000,0),MATCH(data!AF$1,Haver_M!$B$1:$ZN$1,0)),"na")</f>
        <v>99.8</v>
      </c>
      <c r="AG168">
        <f>IF(ISNUMBER(INDEX(Haver_M!$B$1:$ZN$1000,MATCH(data!$A168,Haver_M!$B$1:$B$1000,0),MATCH(data!AG$1,Haver_M!$B$1:$ZN$1,0))),INDEX(Haver_M!$B$1:$ZN$1000,MATCH(data!$A168,Haver_M!$B$1:$B$1000,0),MATCH(data!AG$1,Haver_M!$B$1:$ZN$1,0)),"na")</f>
        <v>51.903300000000002</v>
      </c>
      <c r="AH168">
        <f>IF(ISNUMBER(INDEX(Haver_M!$B$1:$ZN$1000,MATCH(data!$A168,Haver_M!$B$1:$B$1000,0),MATCH(data!AH$1,Haver_M!$B$1:$ZN$1,0))),INDEX(Haver_M!$B$1:$ZN$1000,MATCH(data!$A168,Haver_M!$B$1:$B$1000,0),MATCH(data!AH$1,Haver_M!$B$1:$ZN$1,0)),"na")</f>
        <v>51.505899999999997</v>
      </c>
      <c r="AI168">
        <f>IF(ISNUMBER(INDEX(Haver_M!$B$1:$ZN$1000,MATCH(data!$A168,Haver_M!$B$1:$B$1000,0),MATCH(data!AI$1,Haver_M!$B$1:$ZN$1,0))),INDEX(Haver_M!$B$1:$ZN$1000,MATCH(data!$A168,Haver_M!$B$1:$B$1000,0),MATCH(data!AI$1,Haver_M!$B$1:$ZN$1,0)),"na")</f>
        <v>53.445399999999999</v>
      </c>
      <c r="AJ168">
        <f>IF(ISNUMBER(INDEX(Haver_M!$B$1:$ZN$1000,MATCH(data!$A168,Haver_M!$B$1:$B$1000,0),MATCH(data!AJ$1,Haver_M!$B$1:$ZN$1,0))),INDEX(Haver_M!$B$1:$ZN$1000,MATCH(data!$A168,Haver_M!$B$1:$B$1000,0),MATCH(data!AJ$1,Haver_M!$B$1:$ZN$1,0)),"na")</f>
        <v>50.7669</v>
      </c>
      <c r="AK168">
        <f>IF(ISNUMBER(INDEX(Haver_M!$B$1:$ZN$1000,MATCH(data!$A168,Haver_M!$B$1:$B$1000,0),MATCH(data!AK$1,Haver_M!$B$1:$ZN$1,0))),INDEX(Haver_M!$B$1:$ZN$1000,MATCH(data!$A168,Haver_M!$B$1:$B$1000,0),MATCH(data!AK$1,Haver_M!$B$1:$ZN$1,0)),"na")</f>
        <v>49.079799999999999</v>
      </c>
      <c r="AL168">
        <f>IF(ISNUMBER(INDEX(Haver_M!$B$1:$ZN$1000,MATCH(data!$A168,Haver_M!$B$1:$B$1000,0),MATCH(data!AL$1,Haver_M!$B$1:$ZN$1,0))),INDEX(Haver_M!$B$1:$ZN$1000,MATCH(data!$A168,Haver_M!$B$1:$B$1000,0),MATCH(data!AL$1,Haver_M!$B$1:$ZN$1,0)),"na")</f>
        <v>52.018599999999999</v>
      </c>
      <c r="AM168">
        <f>IF(ISNUMBER(INDEX(Haver_M!$B$1:$ZN$1000,MATCH(data!$A168,Haver_M!$B$1:$B$1000,0),MATCH(data!AM$1,Haver_M!$B$1:$ZN$1,0))),INDEX(Haver_M!$B$1:$ZN$1000,MATCH(data!$A168,Haver_M!$B$1:$B$1000,0),MATCH(data!AM$1,Haver_M!$B$1:$ZN$1,0)),"na")</f>
        <v>54.769199999999998</v>
      </c>
      <c r="AN168">
        <f>IF(ISNUMBER(INDEX(Haver_M!$B$1:$ZN$1000,MATCH(data!$A168,Haver_M!$B$1:$B$1000,0),MATCH(data!AN$1,Haver_M!$B$1:$ZN$1,0))),INDEX(Haver_M!$B$1:$ZN$1000,MATCH(data!$A168,Haver_M!$B$1:$B$1000,0),MATCH(data!AN$1,Haver_M!$B$1:$ZN$1,0)),"na")</f>
        <v>52.013199999999998</v>
      </c>
      <c r="AO168">
        <f>IF(ISNUMBER(INDEX(Haver_M!$B$1:$ZN$1000,MATCH(data!$A168,Haver_M!$B$1:$B$1000,0),MATCH(data!AO$1,Haver_M!$B$1:$ZN$1,0))),INDEX(Haver_M!$B$1:$ZN$1000,MATCH(data!$A168,Haver_M!$B$1:$B$1000,0),MATCH(data!AO$1,Haver_M!$B$1:$ZN$1,0)),"na")</f>
        <v>52.018599999999999</v>
      </c>
      <c r="AP168">
        <f>IF(ISNUMBER(INDEX(Haver_M!$B$1:$ZN$1000,MATCH(data!$A168,Haver_M!$B$1:$B$1000,0),MATCH(data!AP$1,Haver_M!$B$1:$ZN$1,0))),INDEX(Haver_M!$B$1:$ZN$1000,MATCH(data!$A168,Haver_M!$B$1:$B$1000,0),MATCH(data!AP$1,Haver_M!$B$1:$ZN$1,0)),"na")</f>
        <v>51.797600000000003</v>
      </c>
      <c r="AQ168">
        <f>IF(ISNUMBER(INDEX(Haver_M!$B$1:$ZN$1000,MATCH(data!$A168,Haver_M!$B$1:$B$1000,0),MATCH(data!AQ$1,Haver_M!$B$1:$ZN$1,0))),INDEX(Haver_M!$B$1:$ZN$1000,MATCH(data!$A168,Haver_M!$B$1:$B$1000,0),MATCH(data!AQ$1,Haver_M!$B$1:$ZN$1,0)),"na")</f>
        <v>50</v>
      </c>
      <c r="AR168">
        <f>IF(ISNUMBER(INDEX(Haver_M!$B$1:$ZN$1000,MATCH(data!$A168,Haver_M!$B$1:$B$1000,0),MATCH(data!AR$1,Haver_M!$B$1:$ZN$1,0))),INDEX(Haver_M!$B$1:$ZN$1000,MATCH(data!$A168,Haver_M!$B$1:$B$1000,0),MATCH(data!AR$1,Haver_M!$B$1:$ZN$1,0)),"na")</f>
        <v>48.1633</v>
      </c>
      <c r="AS168">
        <f>IF(ISNUMBER(INDEX(Haver_M!$B$1:$ZN$1000,MATCH(data!$A168,Haver_M!$B$1:$B$1000,0),MATCH(data!AS$1,Haver_M!$B$1:$ZN$1,0))),INDEX(Haver_M!$B$1:$ZN$1000,MATCH(data!$A168,Haver_M!$B$1:$B$1000,0),MATCH(data!AS$1,Haver_M!$B$1:$ZN$1,0)),"na")</f>
        <v>40752.980000000003</v>
      </c>
      <c r="AT168">
        <f>IF(ISNUMBER(INDEX(Haver_M!$B$1:$ZN$1000,MATCH(data!$A168,Haver_M!$B$1:$B$1000,0),MATCH(data!AT$1,Haver_M!$B$1:$ZN$1,0))),INDEX(Haver_M!$B$1:$ZN$1000,MATCH(data!$A168,Haver_M!$B$1:$B$1000,0),MATCH(data!AT$1,Haver_M!$B$1:$ZN$1,0)),"na")</f>
        <v>100.474</v>
      </c>
      <c r="AU168">
        <f>IF(ISNUMBER(INDEX(Haver_M!$B$1:$ZN$1000,MATCH(data!$A168,Haver_M!$B$1:$B$1000,0),MATCH(data!AU$1,Haver_M!$B$1:$ZN$1,0))),INDEX(Haver_M!$B$1:$ZN$1000,MATCH(data!$A168,Haver_M!$B$1:$B$1000,0),MATCH(data!AU$1,Haver_M!$B$1:$ZN$1,0)),"na")</f>
        <v>100.598983</v>
      </c>
      <c r="AV168">
        <f>IF(ISNUMBER(INDEX(Haver_M!$B$1:$ZN$1000,MATCH(data!$A168,Haver_M!$B$1:$B$1000,0),MATCH(data!AV$1,Haver_M!$B$1:$ZN$1,0))),INDEX(Haver_M!$B$1:$ZN$1000,MATCH(data!$A168,Haver_M!$B$1:$B$1000,0),MATCH(data!AV$1,Haver_M!$B$1:$ZN$1,0)),"na")</f>
        <v>98.5</v>
      </c>
      <c r="AW168">
        <f>IF(ISNUMBER(INDEX(Haver_M!$B$1:$ZN$1000,MATCH(data!$A168,Haver_M!$B$1:$B$1000,0),MATCH(data!AW$1,Haver_M!$B$1:$ZN$1,0))),INDEX(Haver_M!$B$1:$ZN$1000,MATCH(data!$A168,Haver_M!$B$1:$B$1000,0),MATCH(data!AW$1,Haver_M!$B$1:$ZN$1,0)),"na")</f>
        <v>1234981.5837408092</v>
      </c>
      <c r="AX168">
        <f>IF(ISNUMBER(INDEX(Haver_M!$B$1:$ZN$1000,MATCH(data!$A168,Haver_M!$B$1:$B$1000,0),MATCH(data!AX$1,Haver_M!$B$1:$ZN$1,0))),INDEX(Haver_M!$B$1:$ZN$1000,MATCH(data!$A168,Haver_M!$B$1:$B$1000,0),MATCH(data!AX$1,Haver_M!$B$1:$ZN$1,0)),"na")</f>
        <v>2509</v>
      </c>
      <c r="AY168">
        <f>IF(ISNUMBER(INDEX(Haver_M!$B$1:$ZN$1000,MATCH(data!$A168,Haver_M!$B$1:$B$1000,0),MATCH(data!AY$1,Haver_M!$B$1:$ZN$1,0))),INDEX(Haver_M!$B$1:$ZN$1000,MATCH(data!$A168,Haver_M!$B$1:$B$1000,0),MATCH(data!AY$1,Haver_M!$B$1:$ZN$1,0)),"na")</f>
        <v>1200</v>
      </c>
      <c r="AZ168">
        <f>IF(ISNUMBER(INDEX(Haver_M!$B$1:$ZN$1000,MATCH(data!$A168,Haver_M!$B$1:$B$1000,0),MATCH(data!AZ$1,Haver_M!$B$1:$ZN$1,0))),INDEX(Haver_M!$B$1:$ZN$1000,MATCH(data!$A168,Haver_M!$B$1:$B$1000,0),MATCH(data!AZ$1,Haver_M!$B$1:$ZN$1,0)),"na")</f>
        <v>53.6</v>
      </c>
      <c r="BA168">
        <f>IF(ISNUMBER(INDEX(Haver_M!$B$1:$ZN$1000,MATCH(data!$A168,Haver_M!$B$1:$B$1000,0),MATCH(data!BA$1,Haver_M!$B$1:$ZN$1,0))),INDEX(Haver_M!$B$1:$ZN$1000,MATCH(data!$A168,Haver_M!$B$1:$B$1000,0),MATCH(data!BA$1,Haver_M!$B$1:$ZN$1,0)),"na")</f>
        <v>47.381574205290988</v>
      </c>
      <c r="BB168" t="str">
        <f>IF(ISNUMBER(INDEX(Haver_M!$B$1:$ZN$1000,MATCH(data!$A168,Haver_M!$B$1:$B$1000,0),MATCH(data!BB$1,Haver_M!$B$1:$ZN$1,0))),INDEX(Haver_M!$B$1:$ZN$1000,MATCH(data!$A168,Haver_M!$B$1:$B$1000,0),MATCH(data!BB$1,Haver_M!$B$1:$ZN$1,0)),"")</f>
        <v/>
      </c>
    </row>
    <row r="169" spans="1:54" x14ac:dyDescent="0.25">
      <c r="A169" s="2">
        <v>41639</v>
      </c>
      <c r="B169">
        <f>IF(ISNUMBER(INDEX(Haver_Q!$B$1:$BD$1000,MATCH(data!$A169,Haver_Q!$B$1:$B$1000,0),MATCH(data!B$1,Haver_Q!$B$1:$BD$1,0))),100*INDEX(Haver_Q!$B$1:$BD$1000,MATCH(data!$A169,Haver_Q!$B$1:$B$1000,0),MATCH(data!B$1,Haver_Q!$B$1:$BD$1,0)),"na")</f>
        <v>2.3879797612484266</v>
      </c>
      <c r="C169">
        <f>IF(ISNUMBER(INDEX(Haver_Q!$B$1:$BD$1000,MATCH(data!$A169,Haver_Q!$B$1:$B$1000,0),MATCH(data!C$1,Haver_Q!$B$1:$BD$1,0))),100*INDEX(Haver_Q!$B$1:$BD$1000,MATCH(data!$A169,Haver_Q!$B$1:$B$1000,0),MATCH(data!C$1,Haver_Q!$B$1:$BD$1,0)),"na")</f>
        <v>4.6134751418275943</v>
      </c>
      <c r="D169">
        <f>IF(ISNUMBER(INDEX(Haver_Q!$B$1:$BD$1000,MATCH(data!$A169,Haver_Q!$B$1:$B$1000,0),MATCH(data!D$1,Haver_Q!$B$1:$BD$1,0))),100*INDEX(Haver_Q!$B$1:$BD$1000,MATCH(data!$A169,Haver_Q!$B$1:$B$1000,0),MATCH(data!D$1,Haver_Q!$B$1:$BD$1,0)),"na")</f>
        <v>2.588956133597442</v>
      </c>
      <c r="E169">
        <f>IF(ISNUMBER(INDEX(Haver_Q!$B$1:$BD$1000,MATCH(data!$A169,Haver_Q!$B$1:$B$1000,0),MATCH(data!E$1,Haver_Q!$B$1:$BD$1,0))),100*INDEX(Haver_Q!$B$1:$BD$1000,MATCH(data!$A169,Haver_Q!$B$1:$B$1000,0),MATCH(data!E$1,Haver_Q!$B$1:$BD$1,0)),"na")</f>
        <v>4.2129886905314162</v>
      </c>
      <c r="F169">
        <f>IF(ISNUMBER(INDEX(Haver_Q!$B$1:$BD$1000,MATCH(data!$A169,Haver_Q!$B$1:$B$1000,0),MATCH(data!F$1,Haver_Q!$B$1:$BD$1,0))),100*INDEX(Haver_Q!$B$1:$BD$1000,MATCH(data!$A169,Haver_Q!$B$1:$B$1000,0),MATCH(data!F$1,Haver_Q!$B$1:$BD$1,0)),"na")</f>
        <v>-0.42588252820113803</v>
      </c>
      <c r="G169">
        <f>IF(ISNUMBER(INDEX(Haver_Q!$B$1:$BD$1000,MATCH(data!$A169,Haver_Q!$B$1:$B$1000,0),MATCH(data!G$1,Haver_Q!$B$1:$BD$1,0))),100*INDEX(Haver_Q!$B$1:$BD$1000,MATCH(data!$A169,Haver_Q!$B$1:$B$1000,0),MATCH(data!G$1,Haver_Q!$B$1:$BD$1,0)),"na")</f>
        <v>-1.981251831111186</v>
      </c>
      <c r="H169">
        <f>IF(ISNUMBER(INDEX(Haver_Q!$B$1:$BD$1000,MATCH(data!$A169,Haver_Q!$B$1:$B$1000,0),MATCH(data!H$1,Haver_Q!$B$1:$BD$1,0))),100*INDEX(Haver_Q!$B$1:$BD$1000,MATCH(data!$A169,Haver_Q!$B$1:$B$1000,0),MATCH(data!H$1,Haver_Q!$B$1:$BD$1,0)),"na")</f>
        <v>364.45539412656319</v>
      </c>
      <c r="I169" s="3">
        <f>IF(ISNUMBER(Bloomberg_m!C185),Bloomberg_m!C185,"na")</f>
        <v>2178</v>
      </c>
      <c r="J169" s="3">
        <f>IF(ISNUMBER(Bloomberg_m!D185),Bloomberg_m!D185,"na")</f>
        <v>1851.3</v>
      </c>
      <c r="K169" s="3">
        <f>IF(ISNUMBER(Bloomberg_m!E185),Bloomberg_m!E185,"na")</f>
        <v>1079.29</v>
      </c>
      <c r="L169" s="3">
        <f>IF(ISNUMBER(Bloomberg_m!L185),Bloomberg_m!L185,"na")</f>
        <v>97.85</v>
      </c>
      <c r="M169">
        <f>IF(ISNUMBER(INDEX(Haver_M!$B$1:$ZN$1000,MATCH(data!$A169,Haver_M!$B$1:$B$1000,0),MATCH(data!M$1,Haver_M!$B$1:$ZN$1,0))),INDEX(Haver_M!$B$1:$ZN$1000,MATCH(data!$A169,Haver_M!$B$1:$B$1000,0),MATCH(data!M$1,Haver_M!$B$1:$ZN$1,0)),"na")</f>
        <v>3.5</v>
      </c>
      <c r="N169">
        <f>IF(ISNUMBER(INDEX(Haver_M!$B$1:$ZN$1000,MATCH(data!$A169,Haver_M!$B$1:$B$1000,0),MATCH(data!N$1,Haver_M!$B$1:$ZN$1,0))),INDEX(Haver_M!$B$1:$ZN$1000,MATCH(data!$A169,Haver_M!$B$1:$B$1000,0),MATCH(data!N$1,Haver_M!$B$1:$ZN$1,0)),"na")</f>
        <v>6.4137000000000004</v>
      </c>
      <c r="O169">
        <f>IF(ISNUMBER(INDEX(Haver_M!$B$1:$ZN$1000,MATCH(data!$A169,Haver_M!$B$1:$B$1000,0),MATCH(data!O$1,Haver_M!$B$1:$ZN$1,0))),INDEX(Haver_M!$B$1:$ZN$1000,MATCH(data!$A169,Haver_M!$B$1:$B$1000,0),MATCH(data!O$1,Haver_M!$B$1:$ZN$1,0)),"na")</f>
        <v>100.97103</v>
      </c>
      <c r="P169">
        <f>IF(ISNUMBER(INDEX(Haver_M!$B$1:$ZN$1000,MATCH(data!$A169,Haver_M!$B$1:$B$1000,0),MATCH(data!P$1,Haver_M!$B$1:$ZN$1,0))),INDEX(Haver_M!$B$1:$ZN$1000,MATCH(data!$A169,Haver_M!$B$1:$B$1000,0),MATCH(data!P$1,Haver_M!$B$1:$ZN$1,0)),"na")</f>
        <v>83.436899999999994</v>
      </c>
      <c r="Q169">
        <f>IF(ISNUMBER(INDEX(Haver_M!$B$1:$ZN$1000,MATCH(data!$A169,Haver_M!$B$1:$B$1000,0),MATCH(data!Q$1,Haver_M!$B$1:$ZN$1,0))),INDEX(Haver_M!$B$1:$ZN$1000,MATCH(data!$A169,Haver_M!$B$1:$B$1000,0),MATCH(data!Q$1,Haver_M!$B$1:$ZN$1,0)),"na")</f>
        <v>85.471100000000007</v>
      </c>
      <c r="R169">
        <f>IF(ISNUMBER(INDEX(Haver_M!$B$1:$ZN$1000,MATCH(data!$A169,Haver_M!$B$1:$B$1000,0),MATCH(data!R$1,Haver_M!$B$1:$ZN$1,0))),INDEX(Haver_M!$B$1:$ZN$1000,MATCH(data!$A169,Haver_M!$B$1:$B$1000,0),MATCH(data!R$1,Haver_M!$B$1:$ZN$1,0)),"na")</f>
        <v>100.95050000000001</v>
      </c>
      <c r="S169">
        <f>IF(ISNUMBER(INDEX(Haver_M!$B$1:$ZN$1000,MATCH(data!$A169,Haver_M!$B$1:$B$1000,0),MATCH(data!S$1,Haver_M!$B$1:$ZN$1,0))),INDEX(Haver_M!$B$1:$ZN$1000,MATCH(data!$A169,Haver_M!$B$1:$B$1000,0),MATCH(data!S$1,Haver_M!$B$1:$ZN$1,0)),"na")</f>
        <v>101.3781</v>
      </c>
      <c r="T169">
        <f>IF(ISNUMBER(INDEX(Haver_M!$B$1:$ZN$1000,MATCH(data!$A169,Haver_M!$B$1:$B$1000,0),MATCH(data!T$1,Haver_M!$B$1:$ZN$1,0))),INDEX(Haver_M!$B$1:$ZN$1000,MATCH(data!$A169,Haver_M!$B$1:$B$1000,0),MATCH(data!T$1,Haver_M!$B$1:$ZN$1,0)),"na")</f>
        <v>100.9324</v>
      </c>
      <c r="U169">
        <f>IF(ISNUMBER(INDEX(Haver_M!$B$1:$ZN$1000,MATCH(data!$A169,Haver_M!$B$1:$B$1000,0),MATCH(data!U$1,Haver_M!$B$1:$ZN$1,0))),INDEX(Haver_M!$B$1:$ZN$1000,MATCH(data!$A169,Haver_M!$B$1:$B$1000,0),MATCH(data!U$1,Haver_M!$B$1:$ZN$1,0)),"na")</f>
        <v>101.28740000000001</v>
      </c>
      <c r="V169">
        <f>IF(ISNUMBER(INDEX(Haver_M!$B$1:$ZN$1000,MATCH(data!$A169,Haver_M!$B$1:$B$1000,0),MATCH(data!V$1,Haver_M!$B$1:$ZN$1,0))),INDEX(Haver_M!$B$1:$ZN$1000,MATCH(data!$A169,Haver_M!$B$1:$B$1000,0),MATCH(data!V$1,Haver_M!$B$1:$ZN$1,0)),"na")</f>
        <v>99.604200000000006</v>
      </c>
      <c r="W169">
        <f>IF(ISNUMBER(INDEX(Haver_M!$B$1:$ZN$1000,MATCH(data!$A169,Haver_M!$B$1:$B$1000,0),MATCH(data!W$1,Haver_M!$B$1:$ZN$1,0))),INDEX(Haver_M!$B$1:$ZN$1000,MATCH(data!$A169,Haver_M!$B$1:$B$1000,0),MATCH(data!W$1,Haver_M!$B$1:$ZN$1,0)),"na")</f>
        <v>4.7699999999999996</v>
      </c>
      <c r="X169">
        <f>IF(ISNUMBER(INDEX(Haver_M!$B$1:$ZN$1000,MATCH(data!$A169,Haver_M!$B$1:$B$1000,0),MATCH(data!X$1,Haver_M!$B$1:$ZN$1,0))),INDEX(Haver_M!$B$1:$ZN$1000,MATCH(data!$A169,Haver_M!$B$1:$B$1000,0),MATCH(data!X$1,Haver_M!$B$1:$ZN$1,0)),"na")</f>
        <v>101.82</v>
      </c>
      <c r="Y169">
        <f>IF(ISNUMBER(INDEX(Haver_M!$B$1:$ZN$1000,MATCH(data!$A169,Haver_M!$B$1:$B$1000,0),MATCH(data!Y$1,Haver_M!$B$1:$ZN$1,0))),INDEX(Haver_M!$B$1:$ZN$1000,MATCH(data!$A169,Haver_M!$B$1:$B$1000,0),MATCH(data!Y$1,Haver_M!$B$1:$ZN$1,0)),"na")</f>
        <v>100.45</v>
      </c>
      <c r="Z169">
        <f>IF(ISNUMBER(INDEX(Haver_M!$B$1:$ZN$1000,MATCH(data!$A169,Haver_M!$B$1:$B$1000,0),MATCH(data!Z$1,Haver_M!$B$1:$ZN$1,0))),INDEX(Haver_M!$B$1:$ZN$1000,MATCH(data!$A169,Haver_M!$B$1:$B$1000,0),MATCH(data!Z$1,Haver_M!$B$1:$ZN$1,0)),"na")</f>
        <v>99.449299999999994</v>
      </c>
      <c r="AA169">
        <f>IF(ISNUMBER(INDEX(Haver_M!$B$1:$ZN$1000,MATCH(data!$A169,Haver_M!$B$1:$B$1000,0),MATCH(data!AA$1,Haver_M!$B$1:$ZN$1,0))),INDEX(Haver_M!$B$1:$ZN$1000,MATCH(data!$A169,Haver_M!$B$1:$B$1000,0),MATCH(data!AA$1,Haver_M!$B$1:$ZN$1,0)),"na")</f>
        <v>101.65089999999999</v>
      </c>
      <c r="AB169">
        <f>IF(ISNUMBER(INDEX(Haver_M!$B$1:$ZN$1000,MATCH(data!$A169,Haver_M!$B$1:$B$1000,0),MATCH(data!AB$1,Haver_M!$B$1:$ZN$1,0))),INDEX(Haver_M!$B$1:$ZN$1000,MATCH(data!$A169,Haver_M!$B$1:$B$1000,0),MATCH(data!AB$1,Haver_M!$B$1:$ZN$1,0)),"na")</f>
        <v>32191.200000000001</v>
      </c>
      <c r="AC169">
        <f>IF(ISNUMBER(INDEX(Haver_M!$B$1:$ZN$1000,MATCH(data!$A169,Haver_M!$B$1:$B$1000,0),MATCH(data!AC$1,Haver_M!$B$1:$ZN$1,0))),INDEX(Haver_M!$B$1:$ZN$1000,MATCH(data!$A169,Haver_M!$B$1:$B$1000,0),MATCH(data!AC$1,Haver_M!$B$1:$ZN$1,0)),"na")</f>
        <v>31140.2</v>
      </c>
      <c r="AD169">
        <f>IF(ISNUMBER(INDEX(Haver_M!$B$1:$ZN$1000,MATCH(data!$A169,Haver_M!$B$1:$B$1000,0),MATCH(data!AD$1,Haver_M!$B$1:$ZN$1,0))),INDEX(Haver_M!$B$1:$ZN$1000,MATCH(data!$A169,Haver_M!$B$1:$B$1000,0),MATCH(data!AD$1,Haver_M!$B$1:$ZN$1,0)),"na")</f>
        <v>99.67</v>
      </c>
      <c r="AE169">
        <f>IF(ISNUMBER(INDEX(Haver_M!$B$1:$ZN$1000,MATCH(data!$A169,Haver_M!$B$1:$B$1000,0),MATCH(data!AE$1,Haver_M!$B$1:$ZN$1,0))),INDEX(Haver_M!$B$1:$ZN$1000,MATCH(data!$A169,Haver_M!$B$1:$B$1000,0),MATCH(data!AE$1,Haver_M!$B$1:$ZN$1,0)),"na")</f>
        <v>37.200000000000003</v>
      </c>
      <c r="AF169">
        <f>IF(ISNUMBER(INDEX(Haver_M!$B$1:$ZN$1000,MATCH(data!$A169,Haver_M!$B$1:$B$1000,0),MATCH(data!AF$1,Haver_M!$B$1:$ZN$1,0))),INDEX(Haver_M!$B$1:$ZN$1000,MATCH(data!$A169,Haver_M!$B$1:$B$1000,0),MATCH(data!AF$1,Haver_M!$B$1:$ZN$1,0)),"na")</f>
        <v>99.72</v>
      </c>
      <c r="AG169">
        <f>IF(ISNUMBER(INDEX(Haver_M!$B$1:$ZN$1000,MATCH(data!$A169,Haver_M!$B$1:$B$1000,0),MATCH(data!AG$1,Haver_M!$B$1:$ZN$1,0))),INDEX(Haver_M!$B$1:$ZN$1000,MATCH(data!$A169,Haver_M!$B$1:$B$1000,0),MATCH(data!AG$1,Haver_M!$B$1:$ZN$1,0)),"na")</f>
        <v>52.612900000000003</v>
      </c>
      <c r="AH169">
        <f>IF(ISNUMBER(INDEX(Haver_M!$B$1:$ZN$1000,MATCH(data!$A169,Haver_M!$B$1:$B$1000,0),MATCH(data!AH$1,Haver_M!$B$1:$ZN$1,0))),INDEX(Haver_M!$B$1:$ZN$1000,MATCH(data!$A169,Haver_M!$B$1:$B$1000,0),MATCH(data!AH$1,Haver_M!$B$1:$ZN$1,0)),"na")</f>
        <v>52.745100000000001</v>
      </c>
      <c r="AI169">
        <f>IF(ISNUMBER(INDEX(Haver_M!$B$1:$ZN$1000,MATCH(data!$A169,Haver_M!$B$1:$B$1000,0),MATCH(data!AI$1,Haver_M!$B$1:$ZN$1,0))),INDEX(Haver_M!$B$1:$ZN$1000,MATCH(data!$A169,Haver_M!$B$1:$B$1000,0),MATCH(data!AI$1,Haver_M!$B$1:$ZN$1,0)),"na")</f>
        <v>54.299399999999999</v>
      </c>
      <c r="AJ169">
        <f>IF(ISNUMBER(INDEX(Haver_M!$B$1:$ZN$1000,MATCH(data!$A169,Haver_M!$B$1:$B$1000,0),MATCH(data!AJ$1,Haver_M!$B$1:$ZN$1,0))),INDEX(Haver_M!$B$1:$ZN$1000,MATCH(data!$A169,Haver_M!$B$1:$B$1000,0),MATCH(data!AJ$1,Haver_M!$B$1:$ZN$1,0)),"na")</f>
        <v>50.461500000000001</v>
      </c>
      <c r="AK169">
        <f>IF(ISNUMBER(INDEX(Haver_M!$B$1:$ZN$1000,MATCH(data!$A169,Haver_M!$B$1:$B$1000,0),MATCH(data!AK$1,Haver_M!$B$1:$ZN$1,0))),INDEX(Haver_M!$B$1:$ZN$1000,MATCH(data!$A169,Haver_M!$B$1:$B$1000,0),MATCH(data!AK$1,Haver_M!$B$1:$ZN$1,0)),"na")</f>
        <v>49.179499999999997</v>
      </c>
      <c r="AL169">
        <f>IF(ISNUMBER(INDEX(Haver_M!$B$1:$ZN$1000,MATCH(data!$A169,Haver_M!$B$1:$B$1000,0),MATCH(data!AL$1,Haver_M!$B$1:$ZN$1,0))),INDEX(Haver_M!$B$1:$ZN$1000,MATCH(data!$A169,Haver_M!$B$1:$B$1000,0),MATCH(data!AL$1,Haver_M!$B$1:$ZN$1,0)),"na")</f>
        <v>54.214500000000001</v>
      </c>
      <c r="AM169">
        <f>IF(ISNUMBER(INDEX(Haver_M!$B$1:$ZN$1000,MATCH(data!$A169,Haver_M!$B$1:$B$1000,0),MATCH(data!AM$1,Haver_M!$B$1:$ZN$1,0))),INDEX(Haver_M!$B$1:$ZN$1000,MATCH(data!$A169,Haver_M!$B$1:$B$1000,0),MATCH(data!AM$1,Haver_M!$B$1:$ZN$1,0)),"na")</f>
        <v>53.84</v>
      </c>
      <c r="AN169">
        <f>IF(ISNUMBER(INDEX(Haver_M!$B$1:$ZN$1000,MATCH(data!$A169,Haver_M!$B$1:$B$1000,0),MATCH(data!AN$1,Haver_M!$B$1:$ZN$1,0))),INDEX(Haver_M!$B$1:$ZN$1000,MATCH(data!$A169,Haver_M!$B$1:$B$1000,0),MATCH(data!AN$1,Haver_M!$B$1:$ZN$1,0)),"na")</f>
        <v>53.896700000000003</v>
      </c>
      <c r="AO169">
        <f>IF(ISNUMBER(INDEX(Haver_M!$B$1:$ZN$1000,MATCH(data!$A169,Haver_M!$B$1:$B$1000,0),MATCH(data!AO$1,Haver_M!$B$1:$ZN$1,0))),INDEX(Haver_M!$B$1:$ZN$1000,MATCH(data!$A169,Haver_M!$B$1:$B$1000,0),MATCH(data!AO$1,Haver_M!$B$1:$ZN$1,0)),"na")</f>
        <v>54.214500000000001</v>
      </c>
      <c r="AP169">
        <f>IF(ISNUMBER(INDEX(Haver_M!$B$1:$ZN$1000,MATCH(data!$A169,Haver_M!$B$1:$B$1000,0),MATCH(data!AP$1,Haver_M!$B$1:$ZN$1,0))),INDEX(Haver_M!$B$1:$ZN$1000,MATCH(data!$A169,Haver_M!$B$1:$B$1000,0),MATCH(data!AP$1,Haver_M!$B$1:$ZN$1,0)),"na")</f>
        <v>51.2346</v>
      </c>
      <c r="AQ169">
        <f>IF(ISNUMBER(INDEX(Haver_M!$B$1:$ZN$1000,MATCH(data!$A169,Haver_M!$B$1:$B$1000,0),MATCH(data!AQ$1,Haver_M!$B$1:$ZN$1,0))),INDEX(Haver_M!$B$1:$ZN$1000,MATCH(data!$A169,Haver_M!$B$1:$B$1000,0),MATCH(data!AQ$1,Haver_M!$B$1:$ZN$1,0)),"na")</f>
        <v>49.859000000000002</v>
      </c>
      <c r="AR169">
        <f>IF(ISNUMBER(INDEX(Haver_M!$B$1:$ZN$1000,MATCH(data!$A169,Haver_M!$B$1:$B$1000,0),MATCH(data!AR$1,Haver_M!$B$1:$ZN$1,0))),INDEX(Haver_M!$B$1:$ZN$1000,MATCH(data!$A169,Haver_M!$B$1:$B$1000,0),MATCH(data!AR$1,Haver_M!$B$1:$ZN$1,0)),"na")</f>
        <v>49.1327</v>
      </c>
      <c r="AS169">
        <f>IF(ISNUMBER(INDEX(Haver_M!$B$1:$ZN$1000,MATCH(data!$A169,Haver_M!$B$1:$B$1000,0),MATCH(data!AS$1,Haver_M!$B$1:$ZN$1,0))),INDEX(Haver_M!$B$1:$ZN$1000,MATCH(data!$A169,Haver_M!$B$1:$B$1000,0),MATCH(data!AS$1,Haver_M!$B$1:$ZN$1,0)),"na")</f>
        <v>42258.55</v>
      </c>
      <c r="AT169">
        <f>IF(ISNUMBER(INDEX(Haver_M!$B$1:$ZN$1000,MATCH(data!$A169,Haver_M!$B$1:$B$1000,0),MATCH(data!AT$1,Haver_M!$B$1:$ZN$1,0))),INDEX(Haver_M!$B$1:$ZN$1000,MATCH(data!$A169,Haver_M!$B$1:$B$1000,0),MATCH(data!AT$1,Haver_M!$B$1:$ZN$1,0)),"na")</f>
        <v>100.88800000000001</v>
      </c>
      <c r="AU169">
        <f>IF(ISNUMBER(INDEX(Haver_M!$B$1:$ZN$1000,MATCH(data!$A169,Haver_M!$B$1:$B$1000,0),MATCH(data!AU$1,Haver_M!$B$1:$ZN$1,0))),INDEX(Haver_M!$B$1:$ZN$1000,MATCH(data!$A169,Haver_M!$B$1:$B$1000,0),MATCH(data!AU$1,Haver_M!$B$1:$ZN$1,0)),"na")</f>
        <v>101.103318</v>
      </c>
      <c r="AV169">
        <f>IF(ISNUMBER(INDEX(Haver_M!$B$1:$ZN$1000,MATCH(data!$A169,Haver_M!$B$1:$B$1000,0),MATCH(data!AV$1,Haver_M!$B$1:$ZN$1,0))),INDEX(Haver_M!$B$1:$ZN$1000,MATCH(data!$A169,Haver_M!$B$1:$B$1000,0),MATCH(data!AV$1,Haver_M!$B$1:$ZN$1,0)),"na")</f>
        <v>100.5</v>
      </c>
      <c r="AW169">
        <f>IF(ISNUMBER(INDEX(Haver_M!$B$1:$ZN$1000,MATCH(data!$A169,Haver_M!$B$1:$B$1000,0),MATCH(data!AW$1,Haver_M!$B$1:$ZN$1,0))),INDEX(Haver_M!$B$1:$ZN$1000,MATCH(data!$A169,Haver_M!$B$1:$B$1000,0),MATCH(data!AW$1,Haver_M!$B$1:$ZN$1,0)),"na")</f>
        <v>1212009.933084379</v>
      </c>
      <c r="AX169">
        <f>IF(ISNUMBER(INDEX(Haver_M!$B$1:$ZN$1000,MATCH(data!$A169,Haver_M!$B$1:$B$1000,0),MATCH(data!AX$1,Haver_M!$B$1:$ZN$1,0))),INDEX(Haver_M!$B$1:$ZN$1000,MATCH(data!$A169,Haver_M!$B$1:$B$1000,0),MATCH(data!AX$1,Haver_M!$B$1:$ZN$1,0)),"na")</f>
        <v>2502</v>
      </c>
      <c r="AY169">
        <f>IF(ISNUMBER(INDEX(Haver_M!$B$1:$ZN$1000,MATCH(data!$A169,Haver_M!$B$1:$B$1000,0),MATCH(data!AY$1,Haver_M!$B$1:$ZN$1,0))),INDEX(Haver_M!$B$1:$ZN$1000,MATCH(data!$A169,Haver_M!$B$1:$B$1000,0),MATCH(data!AY$1,Haver_M!$B$1:$ZN$1,0)),"na")</f>
        <v>1308</v>
      </c>
      <c r="AZ169">
        <f>IF(ISNUMBER(INDEX(Haver_M!$B$1:$ZN$1000,MATCH(data!$A169,Haver_M!$B$1:$B$1000,0),MATCH(data!AZ$1,Haver_M!$B$1:$ZN$1,0))),INDEX(Haver_M!$B$1:$ZN$1000,MATCH(data!$A169,Haver_M!$B$1:$B$1000,0),MATCH(data!AZ$1,Haver_M!$B$1:$ZN$1,0)),"na")</f>
        <v>51.6</v>
      </c>
      <c r="BA169">
        <f>IF(ISNUMBER(INDEX(Haver_M!$B$1:$ZN$1000,MATCH(data!$A169,Haver_M!$B$1:$B$1000,0),MATCH(data!BA$1,Haver_M!$B$1:$ZN$1,0))),INDEX(Haver_M!$B$1:$ZN$1000,MATCH(data!$A169,Haver_M!$B$1:$B$1000,0),MATCH(data!BA$1,Haver_M!$B$1:$ZN$1,0)),"na")</f>
        <v>14.732900703588781</v>
      </c>
      <c r="BB169" t="str">
        <f>IF(ISNUMBER(INDEX(Haver_M!$B$1:$ZN$1000,MATCH(data!$A169,Haver_M!$B$1:$B$1000,0),MATCH(data!BB$1,Haver_M!$B$1:$ZN$1,0))),INDEX(Haver_M!$B$1:$ZN$1000,MATCH(data!$A169,Haver_M!$B$1:$B$1000,0),MATCH(data!BB$1,Haver_M!$B$1:$ZN$1,0)),"")</f>
        <v/>
      </c>
    </row>
    <row r="170" spans="1:54" x14ac:dyDescent="0.25">
      <c r="A170" s="2">
        <v>41670</v>
      </c>
      <c r="B170" t="str">
        <f>IF(ISNUMBER(INDEX(Haver_Q!$B$1:$BD$1000,MATCH(data!$A170,Haver_Q!$B$1:$B$1000,0),MATCH(data!B$1,Haver_Q!$B$1:$BD$1,0))),100*INDEX(Haver_Q!$B$1:$BD$1000,MATCH(data!$A170,Haver_Q!$B$1:$B$1000,0),MATCH(data!B$1,Haver_Q!$B$1:$BD$1,0)),"na")</f>
        <v>na</v>
      </c>
      <c r="C170" t="str">
        <f>IF(ISNUMBER(INDEX(Haver_Q!$B$1:$BD$1000,MATCH(data!$A170,Haver_Q!$B$1:$B$1000,0),MATCH(data!C$1,Haver_Q!$B$1:$BD$1,0))),100*INDEX(Haver_Q!$B$1:$BD$1000,MATCH(data!$A170,Haver_Q!$B$1:$B$1000,0),MATCH(data!C$1,Haver_Q!$B$1:$BD$1,0)),"na")</f>
        <v>na</v>
      </c>
      <c r="D170" t="str">
        <f>IF(ISNUMBER(INDEX(Haver_Q!$B$1:$BD$1000,MATCH(data!$A170,Haver_Q!$B$1:$B$1000,0),MATCH(data!D$1,Haver_Q!$B$1:$BD$1,0))),100*INDEX(Haver_Q!$B$1:$BD$1000,MATCH(data!$A170,Haver_Q!$B$1:$B$1000,0),MATCH(data!D$1,Haver_Q!$B$1:$BD$1,0)),"na")</f>
        <v>na</v>
      </c>
      <c r="E170" t="str">
        <f>IF(ISNUMBER(INDEX(Haver_Q!$B$1:$BD$1000,MATCH(data!$A170,Haver_Q!$B$1:$B$1000,0),MATCH(data!E$1,Haver_Q!$B$1:$BD$1,0))),100*INDEX(Haver_Q!$B$1:$BD$1000,MATCH(data!$A170,Haver_Q!$B$1:$B$1000,0),MATCH(data!E$1,Haver_Q!$B$1:$BD$1,0)),"na")</f>
        <v>na</v>
      </c>
      <c r="F170" t="str">
        <f>IF(ISNUMBER(INDEX(Haver_Q!$B$1:$BD$1000,MATCH(data!$A170,Haver_Q!$B$1:$B$1000,0),MATCH(data!F$1,Haver_Q!$B$1:$BD$1,0))),100*INDEX(Haver_Q!$B$1:$BD$1000,MATCH(data!$A170,Haver_Q!$B$1:$B$1000,0),MATCH(data!F$1,Haver_Q!$B$1:$BD$1,0)),"na")</f>
        <v>na</v>
      </c>
      <c r="G170" t="str">
        <f>IF(ISNUMBER(INDEX(Haver_Q!$B$1:$BD$1000,MATCH(data!$A170,Haver_Q!$B$1:$B$1000,0),MATCH(data!G$1,Haver_Q!$B$1:$BD$1,0))),100*INDEX(Haver_Q!$B$1:$BD$1000,MATCH(data!$A170,Haver_Q!$B$1:$B$1000,0),MATCH(data!G$1,Haver_Q!$B$1:$BD$1,0)),"na")</f>
        <v>na</v>
      </c>
      <c r="H170" t="str">
        <f>IF(ISNUMBER(INDEX(Haver_Q!$B$1:$BD$1000,MATCH(data!$A170,Haver_Q!$B$1:$B$1000,0),MATCH(data!H$1,Haver_Q!$B$1:$BD$1,0))),100*INDEX(Haver_Q!$B$1:$BD$1000,MATCH(data!$A170,Haver_Q!$B$1:$B$1000,0),MATCH(data!H$1,Haver_Q!$B$1:$BD$1,0)),"na")</f>
        <v>na</v>
      </c>
      <c r="I170" s="3">
        <f>IF(ISNUMBER(Bloomberg_m!C186),Bloomberg_m!C186,"na")</f>
        <v>1472</v>
      </c>
      <c r="J170" s="3">
        <f>IF(ISNUMBER(Bloomberg_m!D186),Bloomberg_m!D186,"na")</f>
        <v>2304.0100000000002</v>
      </c>
      <c r="K170" s="3">
        <f>IF(ISNUMBER(Bloomberg_m!E186),Bloomberg_m!E186,"na")</f>
        <v>1174.8699999999999</v>
      </c>
      <c r="L170" s="3">
        <f>IF(ISNUMBER(Bloomberg_m!L186),Bloomberg_m!L186,"na")</f>
        <v>94.86</v>
      </c>
      <c r="M170">
        <f>IF(ISNUMBER(INDEX(Haver_M!$B$1:$ZN$1000,MATCH(data!$A170,Haver_M!$B$1:$B$1000,0),MATCH(data!M$1,Haver_M!$B$1:$ZN$1,0))),INDEX(Haver_M!$B$1:$ZN$1000,MATCH(data!$A170,Haver_M!$B$1:$B$1000,0),MATCH(data!M$1,Haver_M!$B$1:$ZN$1,0)),"na")</f>
        <v>3.5</v>
      </c>
      <c r="N170">
        <f>IF(ISNUMBER(INDEX(Haver_M!$B$1:$ZN$1000,MATCH(data!$A170,Haver_M!$B$1:$B$1000,0),MATCH(data!N$1,Haver_M!$B$1:$ZN$1,0))),INDEX(Haver_M!$B$1:$ZN$1000,MATCH(data!$A170,Haver_M!$B$1:$B$1000,0),MATCH(data!N$1,Haver_M!$B$1:$ZN$1,0)),"na")</f>
        <v>6.4192999999999998</v>
      </c>
      <c r="O170">
        <f>IF(ISNUMBER(INDEX(Haver_M!$B$1:$ZN$1000,MATCH(data!$A170,Haver_M!$B$1:$B$1000,0),MATCH(data!O$1,Haver_M!$B$1:$ZN$1,0))),INDEX(Haver_M!$B$1:$ZN$1000,MATCH(data!$A170,Haver_M!$B$1:$B$1000,0),MATCH(data!O$1,Haver_M!$B$1:$ZN$1,0)),"na")</f>
        <v>100.39549</v>
      </c>
      <c r="P170">
        <f>IF(ISNUMBER(INDEX(Haver_M!$B$1:$ZN$1000,MATCH(data!$A170,Haver_M!$B$1:$B$1000,0),MATCH(data!P$1,Haver_M!$B$1:$ZN$1,0))),INDEX(Haver_M!$B$1:$ZN$1000,MATCH(data!$A170,Haver_M!$B$1:$B$1000,0),MATCH(data!P$1,Haver_M!$B$1:$ZN$1,0)),"na")</f>
        <v>84.034199999999998</v>
      </c>
      <c r="Q170">
        <f>IF(ISNUMBER(INDEX(Haver_M!$B$1:$ZN$1000,MATCH(data!$A170,Haver_M!$B$1:$B$1000,0),MATCH(data!Q$1,Haver_M!$B$1:$ZN$1,0))),INDEX(Haver_M!$B$1:$ZN$1000,MATCH(data!$A170,Haver_M!$B$1:$B$1000,0),MATCH(data!Q$1,Haver_M!$B$1:$ZN$1,0)),"na")</f>
        <v>86.154499999999999</v>
      </c>
      <c r="R170">
        <f>IF(ISNUMBER(INDEX(Haver_M!$B$1:$ZN$1000,MATCH(data!$A170,Haver_M!$B$1:$B$1000,0),MATCH(data!R$1,Haver_M!$B$1:$ZN$1,0))),INDEX(Haver_M!$B$1:$ZN$1000,MATCH(data!$A170,Haver_M!$B$1:$B$1000,0),MATCH(data!R$1,Haver_M!$B$1:$ZN$1,0)),"na")</f>
        <v>101.04859999999999</v>
      </c>
      <c r="S170">
        <f>IF(ISNUMBER(INDEX(Haver_M!$B$1:$ZN$1000,MATCH(data!$A170,Haver_M!$B$1:$B$1000,0),MATCH(data!S$1,Haver_M!$B$1:$ZN$1,0))),INDEX(Haver_M!$B$1:$ZN$1000,MATCH(data!$A170,Haver_M!$B$1:$B$1000,0),MATCH(data!S$1,Haver_M!$B$1:$ZN$1,0)),"na")</f>
        <v>100.23699999999999</v>
      </c>
      <c r="T170">
        <f>IF(ISNUMBER(INDEX(Haver_M!$B$1:$ZN$1000,MATCH(data!$A170,Haver_M!$B$1:$B$1000,0),MATCH(data!T$1,Haver_M!$B$1:$ZN$1,0))),INDEX(Haver_M!$B$1:$ZN$1000,MATCH(data!$A170,Haver_M!$B$1:$B$1000,0),MATCH(data!T$1,Haver_M!$B$1:$ZN$1,0)),"na")</f>
        <v>106.8518</v>
      </c>
      <c r="U170">
        <f>IF(ISNUMBER(INDEX(Haver_M!$B$1:$ZN$1000,MATCH(data!$A170,Haver_M!$B$1:$B$1000,0),MATCH(data!U$1,Haver_M!$B$1:$ZN$1,0))),INDEX(Haver_M!$B$1:$ZN$1000,MATCH(data!$A170,Haver_M!$B$1:$B$1000,0),MATCH(data!U$1,Haver_M!$B$1:$ZN$1,0)),"na")</f>
        <v>98.687200000000004</v>
      </c>
      <c r="V170">
        <f>IF(ISNUMBER(INDEX(Haver_M!$B$1:$ZN$1000,MATCH(data!$A170,Haver_M!$B$1:$B$1000,0),MATCH(data!V$1,Haver_M!$B$1:$ZN$1,0))),INDEX(Haver_M!$B$1:$ZN$1000,MATCH(data!$A170,Haver_M!$B$1:$B$1000,0),MATCH(data!V$1,Haver_M!$B$1:$ZN$1,0)),"na")</f>
        <v>101.6585</v>
      </c>
      <c r="W170">
        <f>IF(ISNUMBER(INDEX(Haver_M!$B$1:$ZN$1000,MATCH(data!$A170,Haver_M!$B$1:$B$1000,0),MATCH(data!W$1,Haver_M!$B$1:$ZN$1,0))),INDEX(Haver_M!$B$1:$ZN$1000,MATCH(data!$A170,Haver_M!$B$1:$B$1000,0),MATCH(data!W$1,Haver_M!$B$1:$ZN$1,0)),"na")</f>
        <v>4.92</v>
      </c>
      <c r="X170">
        <f>IF(ISNUMBER(INDEX(Haver_M!$B$1:$ZN$1000,MATCH(data!$A170,Haver_M!$B$1:$B$1000,0),MATCH(data!X$1,Haver_M!$B$1:$ZN$1,0))),INDEX(Haver_M!$B$1:$ZN$1000,MATCH(data!$A170,Haver_M!$B$1:$B$1000,0),MATCH(data!X$1,Haver_M!$B$1:$ZN$1,0)),"na")</f>
        <v>100.89</v>
      </c>
      <c r="Y170">
        <f>IF(ISNUMBER(INDEX(Haver_M!$B$1:$ZN$1000,MATCH(data!$A170,Haver_M!$B$1:$B$1000,0),MATCH(data!Y$1,Haver_M!$B$1:$ZN$1,0))),INDEX(Haver_M!$B$1:$ZN$1000,MATCH(data!$A170,Haver_M!$B$1:$B$1000,0),MATCH(data!Y$1,Haver_M!$B$1:$ZN$1,0)),"na")</f>
        <v>100.46</v>
      </c>
      <c r="Z170">
        <f>IF(ISNUMBER(INDEX(Haver_M!$B$1:$ZN$1000,MATCH(data!$A170,Haver_M!$B$1:$B$1000,0),MATCH(data!Z$1,Haver_M!$B$1:$ZN$1,0))),INDEX(Haver_M!$B$1:$ZN$1000,MATCH(data!$A170,Haver_M!$B$1:$B$1000,0),MATCH(data!Z$1,Haver_M!$B$1:$ZN$1,0)),"na")</f>
        <v>98.386200000000002</v>
      </c>
      <c r="AA170">
        <f>IF(ISNUMBER(INDEX(Haver_M!$B$1:$ZN$1000,MATCH(data!$A170,Haver_M!$B$1:$B$1000,0),MATCH(data!AA$1,Haver_M!$B$1:$ZN$1,0))),INDEX(Haver_M!$B$1:$ZN$1000,MATCH(data!$A170,Haver_M!$B$1:$B$1000,0),MATCH(data!AA$1,Haver_M!$B$1:$ZN$1,0)),"na")</f>
        <v>101.8549</v>
      </c>
      <c r="AB170">
        <f>IF(ISNUMBER(INDEX(Haver_M!$B$1:$ZN$1000,MATCH(data!$A170,Haver_M!$B$1:$B$1000,0),MATCH(data!AB$1,Haver_M!$B$1:$ZN$1,0))),INDEX(Haver_M!$B$1:$ZN$1000,MATCH(data!$A170,Haver_M!$B$1:$B$1000,0),MATCH(data!AB$1,Haver_M!$B$1:$ZN$1,0)),"na")</f>
        <v>31585.5</v>
      </c>
      <c r="AC170">
        <f>IF(ISNUMBER(INDEX(Haver_M!$B$1:$ZN$1000,MATCH(data!$A170,Haver_M!$B$1:$B$1000,0),MATCH(data!AC$1,Haver_M!$B$1:$ZN$1,0))),INDEX(Haver_M!$B$1:$ZN$1000,MATCH(data!$A170,Haver_M!$B$1:$B$1000,0),MATCH(data!AC$1,Haver_M!$B$1:$ZN$1,0)),"na")</f>
        <v>32017</v>
      </c>
      <c r="AD170">
        <f>IF(ISNUMBER(INDEX(Haver_M!$B$1:$ZN$1000,MATCH(data!$A170,Haver_M!$B$1:$B$1000,0),MATCH(data!AD$1,Haver_M!$B$1:$ZN$1,0))),INDEX(Haver_M!$B$1:$ZN$1000,MATCH(data!$A170,Haver_M!$B$1:$B$1000,0),MATCH(data!AD$1,Haver_M!$B$1:$ZN$1,0)),"na")</f>
        <v>99.65</v>
      </c>
      <c r="AE170">
        <f>IF(ISNUMBER(INDEX(Haver_M!$B$1:$ZN$1000,MATCH(data!$A170,Haver_M!$B$1:$B$1000,0),MATCH(data!AE$1,Haver_M!$B$1:$ZN$1,0))),INDEX(Haver_M!$B$1:$ZN$1000,MATCH(data!$A170,Haver_M!$B$1:$B$1000,0),MATCH(data!AE$1,Haver_M!$B$1:$ZN$1,0)),"na")</f>
        <v>35.5</v>
      </c>
      <c r="AF170">
        <f>IF(ISNUMBER(INDEX(Haver_M!$B$1:$ZN$1000,MATCH(data!$A170,Haver_M!$B$1:$B$1000,0),MATCH(data!AF$1,Haver_M!$B$1:$ZN$1,0))),INDEX(Haver_M!$B$1:$ZN$1000,MATCH(data!$A170,Haver_M!$B$1:$B$1000,0),MATCH(data!AF$1,Haver_M!$B$1:$ZN$1,0)),"na")</f>
        <v>99.71</v>
      </c>
      <c r="AG170">
        <f>IF(ISNUMBER(INDEX(Haver_M!$B$1:$ZN$1000,MATCH(data!$A170,Haver_M!$B$1:$B$1000,0),MATCH(data!AG$1,Haver_M!$B$1:$ZN$1,0))),INDEX(Haver_M!$B$1:$ZN$1000,MATCH(data!$A170,Haver_M!$B$1:$B$1000,0),MATCH(data!AG$1,Haver_M!$B$1:$ZN$1,0)),"na")</f>
        <v>53.961300000000001</v>
      </c>
      <c r="AH170">
        <f>IF(ISNUMBER(INDEX(Haver_M!$B$1:$ZN$1000,MATCH(data!$A170,Haver_M!$B$1:$B$1000,0),MATCH(data!AH$1,Haver_M!$B$1:$ZN$1,0))),INDEX(Haver_M!$B$1:$ZN$1000,MATCH(data!$A170,Haver_M!$B$1:$B$1000,0),MATCH(data!AH$1,Haver_M!$B$1:$ZN$1,0)),"na")</f>
        <v>55.674799999999998</v>
      </c>
      <c r="AI170">
        <f>IF(ISNUMBER(INDEX(Haver_M!$B$1:$ZN$1000,MATCH(data!$A170,Haver_M!$B$1:$B$1000,0),MATCH(data!AI$1,Haver_M!$B$1:$ZN$1,0))),INDEX(Haver_M!$B$1:$ZN$1000,MATCH(data!$A170,Haver_M!$B$1:$B$1000,0),MATCH(data!AI$1,Haver_M!$B$1:$ZN$1,0)),"na")</f>
        <v>56.555799999999998</v>
      </c>
      <c r="AJ170">
        <f>IF(ISNUMBER(INDEX(Haver_M!$B$1:$ZN$1000,MATCH(data!$A170,Haver_M!$B$1:$B$1000,0),MATCH(data!AJ$1,Haver_M!$B$1:$ZN$1,0))),INDEX(Haver_M!$B$1:$ZN$1000,MATCH(data!$A170,Haver_M!$B$1:$B$1000,0),MATCH(data!AJ$1,Haver_M!$B$1:$ZN$1,0)),"na")</f>
        <v>50.153399999999998</v>
      </c>
      <c r="AK170">
        <f>IF(ISNUMBER(INDEX(Haver_M!$B$1:$ZN$1000,MATCH(data!$A170,Haver_M!$B$1:$B$1000,0),MATCH(data!AK$1,Haver_M!$B$1:$ZN$1,0))),INDEX(Haver_M!$B$1:$ZN$1000,MATCH(data!$A170,Haver_M!$B$1:$B$1000,0),MATCH(data!AK$1,Haver_M!$B$1:$ZN$1,0)),"na")</f>
        <v>48.466299999999997</v>
      </c>
      <c r="AL170">
        <f>IF(ISNUMBER(INDEX(Haver_M!$B$1:$ZN$1000,MATCH(data!$A170,Haver_M!$B$1:$B$1000,0),MATCH(data!AL$1,Haver_M!$B$1:$ZN$1,0))),INDEX(Haver_M!$B$1:$ZN$1000,MATCH(data!$A170,Haver_M!$B$1:$B$1000,0),MATCH(data!AL$1,Haver_M!$B$1:$ZN$1,0)),"na")</f>
        <v>53.150599999999997</v>
      </c>
      <c r="AM170">
        <f>IF(ISNUMBER(INDEX(Haver_M!$B$1:$ZN$1000,MATCH(data!$A170,Haver_M!$B$1:$B$1000,0),MATCH(data!AM$1,Haver_M!$B$1:$ZN$1,0))),INDEX(Haver_M!$B$1:$ZN$1000,MATCH(data!$A170,Haver_M!$B$1:$B$1000,0),MATCH(data!AM$1,Haver_M!$B$1:$ZN$1,0)),"na")</f>
        <v>53.987699999999997</v>
      </c>
      <c r="AN170">
        <f>IF(ISNUMBER(INDEX(Haver_M!$B$1:$ZN$1000,MATCH(data!$A170,Haver_M!$B$1:$B$1000,0),MATCH(data!AN$1,Haver_M!$B$1:$ZN$1,0))),INDEX(Haver_M!$B$1:$ZN$1000,MATCH(data!$A170,Haver_M!$B$1:$B$1000,0),MATCH(data!AN$1,Haver_M!$B$1:$ZN$1,0)),"na")</f>
        <v>56.134999999999998</v>
      </c>
      <c r="AO170">
        <f>IF(ISNUMBER(INDEX(Haver_M!$B$1:$ZN$1000,MATCH(data!$A170,Haver_M!$B$1:$B$1000,0),MATCH(data!AO$1,Haver_M!$B$1:$ZN$1,0))),INDEX(Haver_M!$B$1:$ZN$1000,MATCH(data!$A170,Haver_M!$B$1:$B$1000,0),MATCH(data!AO$1,Haver_M!$B$1:$ZN$1,0)),"na")</f>
        <v>53.150599999999997</v>
      </c>
      <c r="AP170">
        <f>IF(ISNUMBER(INDEX(Haver_M!$B$1:$ZN$1000,MATCH(data!$A170,Haver_M!$B$1:$B$1000,0),MATCH(data!AP$1,Haver_M!$B$1:$ZN$1,0))),INDEX(Haver_M!$B$1:$ZN$1000,MATCH(data!$A170,Haver_M!$B$1:$B$1000,0),MATCH(data!AP$1,Haver_M!$B$1:$ZN$1,0)),"na")</f>
        <v>52.054200000000002</v>
      </c>
      <c r="AQ170">
        <f>IF(ISNUMBER(INDEX(Haver_M!$B$1:$ZN$1000,MATCH(data!$A170,Haver_M!$B$1:$B$1000,0),MATCH(data!AQ$1,Haver_M!$B$1:$ZN$1,0))),INDEX(Haver_M!$B$1:$ZN$1000,MATCH(data!$A170,Haver_M!$B$1:$B$1000,0),MATCH(data!AQ$1,Haver_M!$B$1:$ZN$1,0)),"na")</f>
        <v>51.226999999999997</v>
      </c>
      <c r="AR170">
        <f>IF(ISNUMBER(INDEX(Haver_M!$B$1:$ZN$1000,MATCH(data!$A170,Haver_M!$B$1:$B$1000,0),MATCH(data!AR$1,Haver_M!$B$1:$ZN$1,0))),INDEX(Haver_M!$B$1:$ZN$1000,MATCH(data!$A170,Haver_M!$B$1:$B$1000,0),MATCH(data!AR$1,Haver_M!$B$1:$ZN$1,0)),"na")</f>
        <v>49.975900000000003</v>
      </c>
      <c r="AS170">
        <f>IF(ISNUMBER(INDEX(Haver_M!$B$1:$ZN$1000,MATCH(data!$A170,Haver_M!$B$1:$B$1000,0),MATCH(data!AS$1,Haver_M!$B$1:$ZN$1,0))),INDEX(Haver_M!$B$1:$ZN$1000,MATCH(data!$A170,Haver_M!$B$1:$B$1000,0),MATCH(data!AS$1,Haver_M!$B$1:$ZN$1,0)),"na")</f>
        <v>41672.86</v>
      </c>
      <c r="AT170">
        <f>IF(ISNUMBER(INDEX(Haver_M!$B$1:$ZN$1000,MATCH(data!$A170,Haver_M!$B$1:$B$1000,0),MATCH(data!AT$1,Haver_M!$B$1:$ZN$1,0))),INDEX(Haver_M!$B$1:$ZN$1000,MATCH(data!$A170,Haver_M!$B$1:$B$1000,0),MATCH(data!AT$1,Haver_M!$B$1:$ZN$1,0)),"na")</f>
        <v>100.55200000000001</v>
      </c>
      <c r="AU170">
        <f>IF(ISNUMBER(INDEX(Haver_M!$B$1:$ZN$1000,MATCH(data!$A170,Haver_M!$B$1:$B$1000,0),MATCH(data!AU$1,Haver_M!$B$1:$ZN$1,0))),INDEX(Haver_M!$B$1:$ZN$1000,MATCH(data!$A170,Haver_M!$B$1:$B$1000,0),MATCH(data!AU$1,Haver_M!$B$1:$ZN$1,0)),"na")</f>
        <v>100.237212</v>
      </c>
      <c r="AV170">
        <f>IF(ISNUMBER(INDEX(Haver_M!$B$1:$ZN$1000,MATCH(data!$A170,Haver_M!$B$1:$B$1000,0),MATCH(data!AV$1,Haver_M!$B$1:$ZN$1,0))),INDEX(Haver_M!$B$1:$ZN$1000,MATCH(data!$A170,Haver_M!$B$1:$B$1000,0),MATCH(data!AV$1,Haver_M!$B$1:$ZN$1,0)),"na")</f>
        <v>97.3</v>
      </c>
      <c r="AW170">
        <f>IF(ISNUMBER(INDEX(Haver_M!$B$1:$ZN$1000,MATCH(data!$A170,Haver_M!$B$1:$B$1000,0),MATCH(data!AW$1,Haver_M!$B$1:$ZN$1,0))),INDEX(Haver_M!$B$1:$ZN$1000,MATCH(data!$A170,Haver_M!$B$1:$B$1000,0),MATCH(data!AW$1,Haver_M!$B$1:$ZN$1,0)),"na")</f>
        <v>1256418.689659693</v>
      </c>
      <c r="AX170">
        <f>IF(ISNUMBER(INDEX(Haver_M!$B$1:$ZN$1000,MATCH(data!$A170,Haver_M!$B$1:$B$1000,0),MATCH(data!AX$1,Haver_M!$B$1:$ZN$1,0))),INDEX(Haver_M!$B$1:$ZN$1000,MATCH(data!$A170,Haver_M!$B$1:$B$1000,0),MATCH(data!AX$1,Haver_M!$B$1:$ZN$1,0)),"na")</f>
        <v>2503</v>
      </c>
      <c r="AY170">
        <f>IF(ISNUMBER(INDEX(Haver_M!$B$1:$ZN$1000,MATCH(data!$A170,Haver_M!$B$1:$B$1000,0),MATCH(data!AY$1,Haver_M!$B$1:$ZN$1,0))),INDEX(Haver_M!$B$1:$ZN$1000,MATCH(data!$A170,Haver_M!$B$1:$B$1000,0),MATCH(data!AY$1,Haver_M!$B$1:$ZN$1,0)),"na")</f>
        <v>1171</v>
      </c>
      <c r="AZ170">
        <f>IF(ISNUMBER(INDEX(Haver_M!$B$1:$ZN$1000,MATCH(data!$A170,Haver_M!$B$1:$B$1000,0),MATCH(data!AZ$1,Haver_M!$B$1:$ZN$1,0))),INDEX(Haver_M!$B$1:$ZN$1000,MATCH(data!$A170,Haver_M!$B$1:$B$1000,0),MATCH(data!AZ$1,Haver_M!$B$1:$ZN$1,0)),"na")</f>
        <v>50.7</v>
      </c>
      <c r="BA170">
        <f>IF(ISNUMBER(INDEX(Haver_M!$B$1:$ZN$1000,MATCH(data!$A170,Haver_M!$B$1:$B$1000,0),MATCH(data!BA$1,Haver_M!$B$1:$ZN$1,0))),INDEX(Haver_M!$B$1:$ZN$1000,MATCH(data!$A170,Haver_M!$B$1:$B$1000,0),MATCH(data!BA$1,Haver_M!$B$1:$ZN$1,0)),"na")</f>
        <v>34.658590052344429</v>
      </c>
      <c r="BB170" t="str">
        <f>IF(ISNUMBER(INDEX(Haver_M!$B$1:$ZN$1000,MATCH(data!$A170,Haver_M!$B$1:$B$1000,0),MATCH(data!BB$1,Haver_M!$B$1:$ZN$1,0))),INDEX(Haver_M!$B$1:$ZN$1000,MATCH(data!$A170,Haver_M!$B$1:$B$1000,0),MATCH(data!BB$1,Haver_M!$B$1:$ZN$1,0)),"")</f>
        <v/>
      </c>
    </row>
    <row r="171" spans="1:54" x14ac:dyDescent="0.25">
      <c r="A171" s="2">
        <v>41698</v>
      </c>
      <c r="B171" t="str">
        <f>IF(ISNUMBER(INDEX(Haver_Q!$B$1:$BD$1000,MATCH(data!$A171,Haver_Q!$B$1:$B$1000,0),MATCH(data!B$1,Haver_Q!$B$1:$BD$1,0))),100*INDEX(Haver_Q!$B$1:$BD$1000,MATCH(data!$A171,Haver_Q!$B$1:$B$1000,0),MATCH(data!B$1,Haver_Q!$B$1:$BD$1,0)),"na")</f>
        <v>na</v>
      </c>
      <c r="C171" t="str">
        <f>IF(ISNUMBER(INDEX(Haver_Q!$B$1:$BD$1000,MATCH(data!$A171,Haver_Q!$B$1:$B$1000,0),MATCH(data!C$1,Haver_Q!$B$1:$BD$1,0))),100*INDEX(Haver_Q!$B$1:$BD$1000,MATCH(data!$A171,Haver_Q!$B$1:$B$1000,0),MATCH(data!C$1,Haver_Q!$B$1:$BD$1,0)),"na")</f>
        <v>na</v>
      </c>
      <c r="D171" t="str">
        <f>IF(ISNUMBER(INDEX(Haver_Q!$B$1:$BD$1000,MATCH(data!$A171,Haver_Q!$B$1:$B$1000,0),MATCH(data!D$1,Haver_Q!$B$1:$BD$1,0))),100*INDEX(Haver_Q!$B$1:$BD$1000,MATCH(data!$A171,Haver_Q!$B$1:$B$1000,0),MATCH(data!D$1,Haver_Q!$B$1:$BD$1,0)),"na")</f>
        <v>na</v>
      </c>
      <c r="E171" t="str">
        <f>IF(ISNUMBER(INDEX(Haver_Q!$B$1:$BD$1000,MATCH(data!$A171,Haver_Q!$B$1:$B$1000,0),MATCH(data!E$1,Haver_Q!$B$1:$BD$1,0))),100*INDEX(Haver_Q!$B$1:$BD$1000,MATCH(data!$A171,Haver_Q!$B$1:$B$1000,0),MATCH(data!E$1,Haver_Q!$B$1:$BD$1,0)),"na")</f>
        <v>na</v>
      </c>
      <c r="F171" t="str">
        <f>IF(ISNUMBER(INDEX(Haver_Q!$B$1:$BD$1000,MATCH(data!$A171,Haver_Q!$B$1:$B$1000,0),MATCH(data!F$1,Haver_Q!$B$1:$BD$1,0))),100*INDEX(Haver_Q!$B$1:$BD$1000,MATCH(data!$A171,Haver_Q!$B$1:$B$1000,0),MATCH(data!F$1,Haver_Q!$B$1:$BD$1,0)),"na")</f>
        <v>na</v>
      </c>
      <c r="G171" t="str">
        <f>IF(ISNUMBER(INDEX(Haver_Q!$B$1:$BD$1000,MATCH(data!$A171,Haver_Q!$B$1:$B$1000,0),MATCH(data!G$1,Haver_Q!$B$1:$BD$1,0))),100*INDEX(Haver_Q!$B$1:$BD$1000,MATCH(data!$A171,Haver_Q!$B$1:$B$1000,0),MATCH(data!G$1,Haver_Q!$B$1:$BD$1,0)),"na")</f>
        <v>na</v>
      </c>
      <c r="H171" t="str">
        <f>IF(ISNUMBER(INDEX(Haver_Q!$B$1:$BD$1000,MATCH(data!$A171,Haver_Q!$B$1:$B$1000,0),MATCH(data!H$1,Haver_Q!$B$1:$BD$1,0))),100*INDEX(Haver_Q!$B$1:$BD$1000,MATCH(data!$A171,Haver_Q!$B$1:$B$1000,0),MATCH(data!H$1,Haver_Q!$B$1:$BD$1,0)),"na")</f>
        <v>na</v>
      </c>
      <c r="I171" s="3">
        <f>IF(ISNUMBER(Bloomberg_m!C187),Bloomberg_m!C187,"na")</f>
        <v>1140</v>
      </c>
      <c r="J171" s="3">
        <f>IF(ISNUMBER(Bloomberg_m!D187),Bloomberg_m!D187,"na")</f>
        <v>2199.16</v>
      </c>
      <c r="K171" s="3">
        <f>IF(ISNUMBER(Bloomberg_m!E187),Bloomberg_m!E187,"na")</f>
        <v>1069.3599999999999</v>
      </c>
      <c r="L171" s="3">
        <f>IF(ISNUMBER(Bloomberg_m!L187),Bloomberg_m!L187,"na")</f>
        <v>100.73</v>
      </c>
      <c r="M171">
        <f>IF(ISNUMBER(INDEX(Haver_M!$B$1:$ZN$1000,MATCH(data!$A171,Haver_M!$B$1:$B$1000,0),MATCH(data!M$1,Haver_M!$B$1:$ZN$1,0))),INDEX(Haver_M!$B$1:$ZN$1000,MATCH(data!$A171,Haver_M!$B$1:$B$1000,0),MATCH(data!M$1,Haver_M!$B$1:$ZN$1,0)),"na")</f>
        <v>3.5</v>
      </c>
      <c r="N171">
        <f>IF(ISNUMBER(INDEX(Haver_M!$B$1:$ZN$1000,MATCH(data!$A171,Haver_M!$B$1:$B$1000,0),MATCH(data!N$1,Haver_M!$B$1:$ZN$1,0))),INDEX(Haver_M!$B$1:$ZN$1000,MATCH(data!$A171,Haver_M!$B$1:$B$1000,0),MATCH(data!N$1,Haver_M!$B$1:$ZN$1,0)),"na")</f>
        <v>6.4147999999999996</v>
      </c>
      <c r="O171">
        <f>IF(ISNUMBER(INDEX(Haver_M!$B$1:$ZN$1000,MATCH(data!$A171,Haver_M!$B$1:$B$1000,0),MATCH(data!O$1,Haver_M!$B$1:$ZN$1,0))),INDEX(Haver_M!$B$1:$ZN$1000,MATCH(data!$A171,Haver_M!$B$1:$B$1000,0),MATCH(data!O$1,Haver_M!$B$1:$ZN$1,0)),"na")</f>
        <v>99.930019999999999</v>
      </c>
      <c r="P171">
        <f>IF(ISNUMBER(INDEX(Haver_M!$B$1:$ZN$1000,MATCH(data!$A171,Haver_M!$B$1:$B$1000,0),MATCH(data!P$1,Haver_M!$B$1:$ZN$1,0))),INDEX(Haver_M!$B$1:$ZN$1000,MATCH(data!$A171,Haver_M!$B$1:$B$1000,0),MATCH(data!P$1,Haver_M!$B$1:$ZN$1,0)),"na")</f>
        <v>84.122500000000002</v>
      </c>
      <c r="Q171">
        <f>IF(ISNUMBER(INDEX(Haver_M!$B$1:$ZN$1000,MATCH(data!$A171,Haver_M!$B$1:$B$1000,0),MATCH(data!Q$1,Haver_M!$B$1:$ZN$1,0))),INDEX(Haver_M!$B$1:$ZN$1000,MATCH(data!$A171,Haver_M!$B$1:$B$1000,0),MATCH(data!Q$1,Haver_M!$B$1:$ZN$1,0)),"na")</f>
        <v>86.233500000000006</v>
      </c>
      <c r="R171">
        <f>IF(ISNUMBER(INDEX(Haver_M!$B$1:$ZN$1000,MATCH(data!$A171,Haver_M!$B$1:$B$1000,0),MATCH(data!R$1,Haver_M!$B$1:$ZN$1,0))),INDEX(Haver_M!$B$1:$ZN$1000,MATCH(data!$A171,Haver_M!$B$1:$B$1000,0),MATCH(data!R$1,Haver_M!$B$1:$ZN$1,0)),"na")</f>
        <v>101.5219</v>
      </c>
      <c r="S171">
        <f>IF(ISNUMBER(INDEX(Haver_M!$B$1:$ZN$1000,MATCH(data!$A171,Haver_M!$B$1:$B$1000,0),MATCH(data!S$1,Haver_M!$B$1:$ZN$1,0))),INDEX(Haver_M!$B$1:$ZN$1000,MATCH(data!$A171,Haver_M!$B$1:$B$1000,0),MATCH(data!S$1,Haver_M!$B$1:$ZN$1,0)),"na")</f>
        <v>99.796999999999997</v>
      </c>
      <c r="T171">
        <f>IF(ISNUMBER(INDEX(Haver_M!$B$1:$ZN$1000,MATCH(data!$A171,Haver_M!$B$1:$B$1000,0),MATCH(data!T$1,Haver_M!$B$1:$ZN$1,0))),INDEX(Haver_M!$B$1:$ZN$1000,MATCH(data!$A171,Haver_M!$B$1:$B$1000,0),MATCH(data!T$1,Haver_M!$B$1:$ZN$1,0)),"na")</f>
        <v>106.1259</v>
      </c>
      <c r="U171">
        <f>IF(ISNUMBER(INDEX(Haver_M!$B$1:$ZN$1000,MATCH(data!$A171,Haver_M!$B$1:$B$1000,0),MATCH(data!U$1,Haver_M!$B$1:$ZN$1,0))),INDEX(Haver_M!$B$1:$ZN$1000,MATCH(data!$A171,Haver_M!$B$1:$B$1000,0),MATCH(data!U$1,Haver_M!$B$1:$ZN$1,0)),"na")</f>
        <v>102.6093</v>
      </c>
      <c r="V171">
        <f>IF(ISNUMBER(INDEX(Haver_M!$B$1:$ZN$1000,MATCH(data!$A171,Haver_M!$B$1:$B$1000,0),MATCH(data!V$1,Haver_M!$B$1:$ZN$1,0))),INDEX(Haver_M!$B$1:$ZN$1000,MATCH(data!$A171,Haver_M!$B$1:$B$1000,0),MATCH(data!V$1,Haver_M!$B$1:$ZN$1,0)),"na")</f>
        <v>101.49339999999999</v>
      </c>
      <c r="W171">
        <f>IF(ISNUMBER(INDEX(Haver_M!$B$1:$ZN$1000,MATCH(data!$A171,Haver_M!$B$1:$B$1000,0),MATCH(data!W$1,Haver_M!$B$1:$ZN$1,0))),INDEX(Haver_M!$B$1:$ZN$1000,MATCH(data!$A171,Haver_M!$B$1:$B$1000,0),MATCH(data!W$1,Haver_M!$B$1:$ZN$1,0)),"na")</f>
        <v>4.76</v>
      </c>
      <c r="X171">
        <f>IF(ISNUMBER(INDEX(Haver_M!$B$1:$ZN$1000,MATCH(data!$A171,Haver_M!$B$1:$B$1000,0),MATCH(data!X$1,Haver_M!$B$1:$ZN$1,0))),INDEX(Haver_M!$B$1:$ZN$1000,MATCH(data!$A171,Haver_M!$B$1:$B$1000,0),MATCH(data!X$1,Haver_M!$B$1:$ZN$1,0)),"na")</f>
        <v>100.18</v>
      </c>
      <c r="Y171">
        <f>IF(ISNUMBER(INDEX(Haver_M!$B$1:$ZN$1000,MATCH(data!$A171,Haver_M!$B$1:$B$1000,0),MATCH(data!Y$1,Haver_M!$B$1:$ZN$1,0))),INDEX(Haver_M!$B$1:$ZN$1000,MATCH(data!$A171,Haver_M!$B$1:$B$1000,0),MATCH(data!Y$1,Haver_M!$B$1:$ZN$1,0)),"na")</f>
        <v>100.48</v>
      </c>
      <c r="Z171">
        <f>IF(ISNUMBER(INDEX(Haver_M!$B$1:$ZN$1000,MATCH(data!$A171,Haver_M!$B$1:$B$1000,0),MATCH(data!Z$1,Haver_M!$B$1:$ZN$1,0))),INDEX(Haver_M!$B$1:$ZN$1000,MATCH(data!$A171,Haver_M!$B$1:$B$1000,0),MATCH(data!Z$1,Haver_M!$B$1:$ZN$1,0)),"na")</f>
        <v>99.864599999999996</v>
      </c>
      <c r="AA171">
        <f>IF(ISNUMBER(INDEX(Haver_M!$B$1:$ZN$1000,MATCH(data!$A171,Haver_M!$B$1:$B$1000,0),MATCH(data!AA$1,Haver_M!$B$1:$ZN$1,0))),INDEX(Haver_M!$B$1:$ZN$1000,MATCH(data!$A171,Haver_M!$B$1:$B$1000,0),MATCH(data!AA$1,Haver_M!$B$1:$ZN$1,0)),"na")</f>
        <v>102.90770000000001</v>
      </c>
      <c r="AB171">
        <f>IF(ISNUMBER(INDEX(Haver_M!$B$1:$ZN$1000,MATCH(data!$A171,Haver_M!$B$1:$B$1000,0),MATCH(data!AB$1,Haver_M!$B$1:$ZN$1,0))),INDEX(Haver_M!$B$1:$ZN$1000,MATCH(data!$A171,Haver_M!$B$1:$B$1000,0),MATCH(data!AB$1,Haver_M!$B$1:$ZN$1,0)),"na")</f>
        <v>32623.7</v>
      </c>
      <c r="AC171">
        <f>IF(ISNUMBER(INDEX(Haver_M!$B$1:$ZN$1000,MATCH(data!$A171,Haver_M!$B$1:$B$1000,0),MATCH(data!AC$1,Haver_M!$B$1:$ZN$1,0))),INDEX(Haver_M!$B$1:$ZN$1000,MATCH(data!$A171,Haver_M!$B$1:$B$1000,0),MATCH(data!AC$1,Haver_M!$B$1:$ZN$1,0)),"na")</f>
        <v>32610.3</v>
      </c>
      <c r="AD171">
        <f>IF(ISNUMBER(INDEX(Haver_M!$B$1:$ZN$1000,MATCH(data!$A171,Haver_M!$B$1:$B$1000,0),MATCH(data!AD$1,Haver_M!$B$1:$ZN$1,0))),INDEX(Haver_M!$B$1:$ZN$1000,MATCH(data!$A171,Haver_M!$B$1:$B$1000,0),MATCH(data!AD$1,Haver_M!$B$1:$ZN$1,0)),"na")</f>
        <v>99.65</v>
      </c>
      <c r="AE171">
        <f>IF(ISNUMBER(INDEX(Haver_M!$B$1:$ZN$1000,MATCH(data!$A171,Haver_M!$B$1:$B$1000,0),MATCH(data!AE$1,Haver_M!$B$1:$ZN$1,0))),INDEX(Haver_M!$B$1:$ZN$1000,MATCH(data!$A171,Haver_M!$B$1:$B$1000,0),MATCH(data!AE$1,Haver_M!$B$1:$ZN$1,0)),"na")</f>
        <v>36.5</v>
      </c>
      <c r="AF171">
        <f>IF(ISNUMBER(INDEX(Haver_M!$B$1:$ZN$1000,MATCH(data!$A171,Haver_M!$B$1:$B$1000,0),MATCH(data!AF$1,Haver_M!$B$1:$ZN$1,0))),INDEX(Haver_M!$B$1:$ZN$1000,MATCH(data!$A171,Haver_M!$B$1:$B$1000,0),MATCH(data!AF$1,Haver_M!$B$1:$ZN$1,0)),"na")</f>
        <v>99.73</v>
      </c>
      <c r="AG171">
        <f>IF(ISNUMBER(INDEX(Haver_M!$B$1:$ZN$1000,MATCH(data!$A171,Haver_M!$B$1:$B$1000,0),MATCH(data!AG$1,Haver_M!$B$1:$ZN$1,0))),INDEX(Haver_M!$B$1:$ZN$1000,MATCH(data!$A171,Haver_M!$B$1:$B$1000,0),MATCH(data!AG$1,Haver_M!$B$1:$ZN$1,0)),"na")</f>
        <v>51.954500000000003</v>
      </c>
      <c r="AH171">
        <f>IF(ISNUMBER(INDEX(Haver_M!$B$1:$ZN$1000,MATCH(data!$A171,Haver_M!$B$1:$B$1000,0),MATCH(data!AH$1,Haver_M!$B$1:$ZN$1,0))),INDEX(Haver_M!$B$1:$ZN$1000,MATCH(data!$A171,Haver_M!$B$1:$B$1000,0),MATCH(data!AH$1,Haver_M!$B$1:$ZN$1,0)),"na")</f>
        <v>52.122700000000002</v>
      </c>
      <c r="AI171">
        <f>IF(ISNUMBER(INDEX(Haver_M!$B$1:$ZN$1000,MATCH(data!$A171,Haver_M!$B$1:$B$1000,0),MATCH(data!AI$1,Haver_M!$B$1:$ZN$1,0))),INDEX(Haver_M!$B$1:$ZN$1000,MATCH(data!$A171,Haver_M!$B$1:$B$1000,0),MATCH(data!AI$1,Haver_M!$B$1:$ZN$1,0)),"na")</f>
        <v>53.733800000000002</v>
      </c>
      <c r="AJ171">
        <f>IF(ISNUMBER(INDEX(Haver_M!$B$1:$ZN$1000,MATCH(data!$A171,Haver_M!$B$1:$B$1000,0),MATCH(data!AJ$1,Haver_M!$B$1:$ZN$1,0))),INDEX(Haver_M!$B$1:$ZN$1000,MATCH(data!$A171,Haver_M!$B$1:$B$1000,0),MATCH(data!AJ$1,Haver_M!$B$1:$ZN$1,0)),"na")</f>
        <v>50.222200000000001</v>
      </c>
      <c r="AK171">
        <f>IF(ISNUMBER(INDEX(Haver_M!$B$1:$ZN$1000,MATCH(data!$A171,Haver_M!$B$1:$B$1000,0),MATCH(data!AK$1,Haver_M!$B$1:$ZN$1,0))),INDEX(Haver_M!$B$1:$ZN$1000,MATCH(data!$A171,Haver_M!$B$1:$B$1000,0),MATCH(data!AK$1,Haver_M!$B$1:$ZN$1,0)),"na")</f>
        <v>48.908700000000003</v>
      </c>
      <c r="AL171">
        <f>IF(ISNUMBER(INDEX(Haver_M!$B$1:$ZN$1000,MATCH(data!$A171,Haver_M!$B$1:$B$1000,0),MATCH(data!AL$1,Haver_M!$B$1:$ZN$1,0))),INDEX(Haver_M!$B$1:$ZN$1000,MATCH(data!$A171,Haver_M!$B$1:$B$1000,0),MATCH(data!AL$1,Haver_M!$B$1:$ZN$1,0)),"na")</f>
        <v>50.955399999999997</v>
      </c>
      <c r="AM171">
        <f>IF(ISNUMBER(INDEX(Haver_M!$B$1:$ZN$1000,MATCH(data!$A171,Haver_M!$B$1:$B$1000,0),MATCH(data!AM$1,Haver_M!$B$1:$ZN$1,0))),INDEX(Haver_M!$B$1:$ZN$1000,MATCH(data!$A171,Haver_M!$B$1:$B$1000,0),MATCH(data!AM$1,Haver_M!$B$1:$ZN$1,0)),"na")</f>
        <v>57.936500000000002</v>
      </c>
      <c r="AN171">
        <f>IF(ISNUMBER(INDEX(Haver_M!$B$1:$ZN$1000,MATCH(data!$A171,Haver_M!$B$1:$B$1000,0),MATCH(data!AN$1,Haver_M!$B$1:$ZN$1,0))),INDEX(Haver_M!$B$1:$ZN$1000,MATCH(data!$A171,Haver_M!$B$1:$B$1000,0),MATCH(data!AN$1,Haver_M!$B$1:$ZN$1,0)),"na")</f>
        <v>52.148600000000002</v>
      </c>
      <c r="AO171">
        <f>IF(ISNUMBER(INDEX(Haver_M!$B$1:$ZN$1000,MATCH(data!$A171,Haver_M!$B$1:$B$1000,0),MATCH(data!AO$1,Haver_M!$B$1:$ZN$1,0))),INDEX(Haver_M!$B$1:$ZN$1000,MATCH(data!$A171,Haver_M!$B$1:$B$1000,0),MATCH(data!AO$1,Haver_M!$B$1:$ZN$1,0)),"na")</f>
        <v>50.955399999999997</v>
      </c>
      <c r="AP171">
        <f>IF(ISNUMBER(INDEX(Haver_M!$B$1:$ZN$1000,MATCH(data!$A171,Haver_M!$B$1:$B$1000,0),MATCH(data!AP$1,Haver_M!$B$1:$ZN$1,0))),INDEX(Haver_M!$B$1:$ZN$1000,MATCH(data!$A171,Haver_M!$B$1:$B$1000,0),MATCH(data!AP$1,Haver_M!$B$1:$ZN$1,0)),"na")</f>
        <v>49.213299999999997</v>
      </c>
      <c r="AQ171">
        <f>IF(ISNUMBER(INDEX(Haver_M!$B$1:$ZN$1000,MATCH(data!$A171,Haver_M!$B$1:$B$1000,0),MATCH(data!AQ$1,Haver_M!$B$1:$ZN$1,0))),INDEX(Haver_M!$B$1:$ZN$1000,MATCH(data!$A171,Haver_M!$B$1:$B$1000,0),MATCH(data!AQ$1,Haver_M!$B$1:$ZN$1,0)),"na")</f>
        <v>52.403799999999997</v>
      </c>
      <c r="AR171">
        <f>IF(ISNUMBER(INDEX(Haver_M!$B$1:$ZN$1000,MATCH(data!$A171,Haver_M!$B$1:$B$1000,0),MATCH(data!AR$1,Haver_M!$B$1:$ZN$1,0))),INDEX(Haver_M!$B$1:$ZN$1000,MATCH(data!$A171,Haver_M!$B$1:$B$1000,0),MATCH(data!AR$1,Haver_M!$B$1:$ZN$1,0)),"na")</f>
        <v>48.192799999999998</v>
      </c>
      <c r="AS171">
        <f>IF(ISNUMBER(INDEX(Haver_M!$B$1:$ZN$1000,MATCH(data!$A171,Haver_M!$B$1:$B$1000,0),MATCH(data!AS$1,Haver_M!$B$1:$ZN$1,0))),INDEX(Haver_M!$B$1:$ZN$1000,MATCH(data!$A171,Haver_M!$B$1:$B$1000,0),MATCH(data!AS$1,Haver_M!$B$1:$ZN$1,0)),"na")</f>
        <v>39948.800000000003</v>
      </c>
      <c r="AT171">
        <f>IF(ISNUMBER(INDEX(Haver_M!$B$1:$ZN$1000,MATCH(data!$A171,Haver_M!$B$1:$B$1000,0),MATCH(data!AT$1,Haver_M!$B$1:$ZN$1,0))),INDEX(Haver_M!$B$1:$ZN$1000,MATCH(data!$A171,Haver_M!$B$1:$B$1000,0),MATCH(data!AT$1,Haver_M!$B$1:$ZN$1,0)),"na")</f>
        <v>101.11</v>
      </c>
      <c r="AU171">
        <f>IF(ISNUMBER(INDEX(Haver_M!$B$1:$ZN$1000,MATCH(data!$A171,Haver_M!$B$1:$B$1000,0),MATCH(data!AU$1,Haver_M!$B$1:$ZN$1,0))),INDEX(Haver_M!$B$1:$ZN$1000,MATCH(data!$A171,Haver_M!$B$1:$B$1000,0),MATCH(data!AU$1,Haver_M!$B$1:$ZN$1,0)),"na")</f>
        <v>101.59563900000001</v>
      </c>
      <c r="AV171">
        <f>IF(ISNUMBER(INDEX(Haver_M!$B$1:$ZN$1000,MATCH(data!$A171,Haver_M!$B$1:$B$1000,0),MATCH(data!AV$1,Haver_M!$B$1:$ZN$1,0))),INDEX(Haver_M!$B$1:$ZN$1000,MATCH(data!$A171,Haver_M!$B$1:$B$1000,0),MATCH(data!AV$1,Haver_M!$B$1:$ZN$1,0)),"na")</f>
        <v>102.1</v>
      </c>
      <c r="AW171">
        <f>IF(ISNUMBER(INDEX(Haver_M!$B$1:$ZN$1000,MATCH(data!$A171,Haver_M!$B$1:$B$1000,0),MATCH(data!AW$1,Haver_M!$B$1:$ZN$1,0))),INDEX(Haver_M!$B$1:$ZN$1000,MATCH(data!$A171,Haver_M!$B$1:$B$1000,0),MATCH(data!AW$1,Haver_M!$B$1:$ZN$1,0)),"na")</f>
        <v>1288893.7377468974</v>
      </c>
      <c r="AX171">
        <f>IF(ISNUMBER(INDEX(Haver_M!$B$1:$ZN$1000,MATCH(data!$A171,Haver_M!$B$1:$B$1000,0),MATCH(data!AX$1,Haver_M!$B$1:$ZN$1,0))),INDEX(Haver_M!$B$1:$ZN$1000,MATCH(data!$A171,Haver_M!$B$1:$B$1000,0),MATCH(data!AX$1,Haver_M!$B$1:$ZN$1,0)),"na")</f>
        <v>2500</v>
      </c>
      <c r="AY171">
        <f>IF(ISNUMBER(INDEX(Haver_M!$B$1:$ZN$1000,MATCH(data!$A171,Haver_M!$B$1:$B$1000,0),MATCH(data!AY$1,Haver_M!$B$1:$ZN$1,0))),INDEX(Haver_M!$B$1:$ZN$1000,MATCH(data!$A171,Haver_M!$B$1:$B$1000,0),MATCH(data!AY$1,Haver_M!$B$1:$ZN$1,0)),"na")</f>
        <v>1275</v>
      </c>
      <c r="AZ171">
        <f>IF(ISNUMBER(INDEX(Haver_M!$B$1:$ZN$1000,MATCH(data!$A171,Haver_M!$B$1:$B$1000,0),MATCH(data!AZ$1,Haver_M!$B$1:$ZN$1,0))),INDEX(Haver_M!$B$1:$ZN$1000,MATCH(data!$A171,Haver_M!$B$1:$B$1000,0),MATCH(data!AZ$1,Haver_M!$B$1:$ZN$1,0)),"na")</f>
        <v>50.8</v>
      </c>
      <c r="BA171">
        <f>IF(ISNUMBER(INDEX(Haver_M!$B$1:$ZN$1000,MATCH(data!$A171,Haver_M!$B$1:$B$1000,0),MATCH(data!BA$1,Haver_M!$B$1:$ZN$1,0))),INDEX(Haver_M!$B$1:$ZN$1000,MATCH(data!$A171,Haver_M!$B$1:$B$1000,0),MATCH(data!BA$1,Haver_M!$B$1:$ZN$1,0)),"na")</f>
        <v>38.11089136673165</v>
      </c>
      <c r="BB171" t="str">
        <f>IF(ISNUMBER(INDEX(Haver_M!$B$1:$ZN$1000,MATCH(data!$A171,Haver_M!$B$1:$B$1000,0),MATCH(data!BB$1,Haver_M!$B$1:$ZN$1,0))),INDEX(Haver_M!$B$1:$ZN$1000,MATCH(data!$A171,Haver_M!$B$1:$B$1000,0),MATCH(data!BB$1,Haver_M!$B$1:$ZN$1,0)),"")</f>
        <v/>
      </c>
    </row>
    <row r="172" spans="1:54" x14ac:dyDescent="0.25">
      <c r="A172" s="2">
        <v>41729</v>
      </c>
      <c r="B172">
        <f>IF(ISNUMBER(INDEX(Haver_Q!$B$1:$BD$1000,MATCH(data!$A172,Haver_Q!$B$1:$B$1000,0),MATCH(data!B$1,Haver_Q!$B$1:$BD$1,0))),100*INDEX(Haver_Q!$B$1:$BD$1000,MATCH(data!$A172,Haver_Q!$B$1:$B$1000,0),MATCH(data!B$1,Haver_Q!$B$1:$BD$1,0)),"na")</f>
        <v>2.8370219219217452</v>
      </c>
      <c r="C172">
        <f>IF(ISNUMBER(INDEX(Haver_Q!$B$1:$BD$1000,MATCH(data!$A172,Haver_Q!$B$1:$B$1000,0),MATCH(data!C$1,Haver_Q!$B$1:$BD$1,0))),100*INDEX(Haver_Q!$B$1:$BD$1000,MATCH(data!$A172,Haver_Q!$B$1:$B$1000,0),MATCH(data!C$1,Haver_Q!$B$1:$BD$1,0)),"na")</f>
        <v>-2.2994849112809024</v>
      </c>
      <c r="D172">
        <f>IF(ISNUMBER(INDEX(Haver_Q!$B$1:$BD$1000,MATCH(data!$A172,Haver_Q!$B$1:$B$1000,0),MATCH(data!D$1,Haver_Q!$B$1:$BD$1,0))),100*INDEX(Haver_Q!$B$1:$BD$1000,MATCH(data!$A172,Haver_Q!$B$1:$B$1000,0),MATCH(data!D$1,Haver_Q!$B$1:$BD$1,0)),"na")</f>
        <v>0.39645243313828349</v>
      </c>
      <c r="E172">
        <f>IF(ISNUMBER(INDEX(Haver_Q!$B$1:$BD$1000,MATCH(data!$A172,Haver_Q!$B$1:$B$1000,0),MATCH(data!E$1,Haver_Q!$B$1:$BD$1,0))),100*INDEX(Haver_Q!$B$1:$BD$1000,MATCH(data!$A172,Haver_Q!$B$1:$B$1000,0),MATCH(data!E$1,Haver_Q!$B$1:$BD$1,0)),"na")</f>
        <v>3.9219227654698097</v>
      </c>
      <c r="F172">
        <f>IF(ISNUMBER(INDEX(Haver_Q!$B$1:$BD$1000,MATCH(data!$A172,Haver_Q!$B$1:$B$1000,0),MATCH(data!F$1,Haver_Q!$B$1:$BD$1,0))),100*INDEX(Haver_Q!$B$1:$BD$1000,MATCH(data!$A172,Haver_Q!$B$1:$B$1000,0),MATCH(data!F$1,Haver_Q!$B$1:$BD$1,0)),"na")</f>
        <v>-0.9099586875897181</v>
      </c>
      <c r="G172">
        <f>IF(ISNUMBER(INDEX(Haver_Q!$B$1:$BD$1000,MATCH(data!$A172,Haver_Q!$B$1:$B$1000,0),MATCH(data!G$1,Haver_Q!$B$1:$BD$1,0))),100*INDEX(Haver_Q!$B$1:$BD$1000,MATCH(data!$A172,Haver_Q!$B$1:$B$1000,0),MATCH(data!G$1,Haver_Q!$B$1:$BD$1,0)),"na")</f>
        <v>10.276052979413318</v>
      </c>
      <c r="H172">
        <f>IF(ISNUMBER(INDEX(Haver_Q!$B$1:$BD$1000,MATCH(data!$A172,Haver_Q!$B$1:$B$1000,0),MATCH(data!H$1,Haver_Q!$B$1:$BD$1,0))),100*INDEX(Haver_Q!$B$1:$BD$1000,MATCH(data!$A172,Haver_Q!$B$1:$B$1000,0),MATCH(data!H$1,Haver_Q!$B$1:$BD$1,0)),"na")</f>
        <v>279.04610046009759</v>
      </c>
      <c r="I172" s="3">
        <f>IF(ISNUMBER(Bloomberg_m!C188),Bloomberg_m!C188,"na")</f>
        <v>1484</v>
      </c>
      <c r="J172" s="3">
        <f>IF(ISNUMBER(Bloomberg_m!D188),Bloomberg_m!D188,"na")</f>
        <v>1817.14</v>
      </c>
      <c r="K172" s="3">
        <f>IF(ISNUMBER(Bloomberg_m!E188),Bloomberg_m!E188,"na")</f>
        <v>969.14</v>
      </c>
      <c r="L172" s="3">
        <f>IF(ISNUMBER(Bloomberg_m!L188),Bloomberg_m!L188,"na")</f>
        <v>100.57</v>
      </c>
      <c r="M172">
        <f>IF(ISNUMBER(INDEX(Haver_M!$B$1:$ZN$1000,MATCH(data!$A172,Haver_M!$B$1:$B$1000,0),MATCH(data!M$1,Haver_M!$B$1:$ZN$1,0))),INDEX(Haver_M!$B$1:$ZN$1000,MATCH(data!$A172,Haver_M!$B$1:$B$1000,0),MATCH(data!M$1,Haver_M!$B$1:$ZN$1,0)),"na")</f>
        <v>3.5</v>
      </c>
      <c r="N172">
        <f>IF(ISNUMBER(INDEX(Haver_M!$B$1:$ZN$1000,MATCH(data!$A172,Haver_M!$B$1:$B$1000,0),MATCH(data!N$1,Haver_M!$B$1:$ZN$1,0))),INDEX(Haver_M!$B$1:$ZN$1000,MATCH(data!$A172,Haver_M!$B$1:$B$1000,0),MATCH(data!N$1,Haver_M!$B$1:$ZN$1,0)),"na")</f>
        <v>6.2986000000000004</v>
      </c>
      <c r="O172">
        <f>IF(ISNUMBER(INDEX(Haver_M!$B$1:$ZN$1000,MATCH(data!$A172,Haver_M!$B$1:$B$1000,0),MATCH(data!O$1,Haver_M!$B$1:$ZN$1,0))),INDEX(Haver_M!$B$1:$ZN$1000,MATCH(data!$A172,Haver_M!$B$1:$B$1000,0),MATCH(data!O$1,Haver_M!$B$1:$ZN$1,0)),"na")</f>
        <v>100.77767</v>
      </c>
      <c r="P172">
        <f>IF(ISNUMBER(INDEX(Haver_M!$B$1:$ZN$1000,MATCH(data!$A172,Haver_M!$B$1:$B$1000,0),MATCH(data!P$1,Haver_M!$B$1:$ZN$1,0))),INDEX(Haver_M!$B$1:$ZN$1000,MATCH(data!$A172,Haver_M!$B$1:$B$1000,0),MATCH(data!P$1,Haver_M!$B$1:$ZN$1,0)),"na")</f>
        <v>84.378799999999998</v>
      </c>
      <c r="Q172">
        <f>IF(ISNUMBER(INDEX(Haver_M!$B$1:$ZN$1000,MATCH(data!$A172,Haver_M!$B$1:$B$1000,0),MATCH(data!Q$1,Haver_M!$B$1:$ZN$1,0))),INDEX(Haver_M!$B$1:$ZN$1000,MATCH(data!$A172,Haver_M!$B$1:$B$1000,0),MATCH(data!Q$1,Haver_M!$B$1:$ZN$1,0)),"na")</f>
        <v>86.452500000000001</v>
      </c>
      <c r="R172">
        <f>IF(ISNUMBER(INDEX(Haver_M!$B$1:$ZN$1000,MATCH(data!$A172,Haver_M!$B$1:$B$1000,0),MATCH(data!R$1,Haver_M!$B$1:$ZN$1,0))),INDEX(Haver_M!$B$1:$ZN$1000,MATCH(data!$A172,Haver_M!$B$1:$B$1000,0),MATCH(data!R$1,Haver_M!$B$1:$ZN$1,0)),"na")</f>
        <v>102.3155</v>
      </c>
      <c r="S172">
        <f>IF(ISNUMBER(INDEX(Haver_M!$B$1:$ZN$1000,MATCH(data!$A172,Haver_M!$B$1:$B$1000,0),MATCH(data!S$1,Haver_M!$B$1:$ZN$1,0))),INDEX(Haver_M!$B$1:$ZN$1000,MATCH(data!$A172,Haver_M!$B$1:$B$1000,0),MATCH(data!S$1,Haver_M!$B$1:$ZN$1,0)),"na")</f>
        <v>99.429699999999997</v>
      </c>
      <c r="T172">
        <f>IF(ISNUMBER(INDEX(Haver_M!$B$1:$ZN$1000,MATCH(data!$A172,Haver_M!$B$1:$B$1000,0),MATCH(data!T$1,Haver_M!$B$1:$ZN$1,0))),INDEX(Haver_M!$B$1:$ZN$1000,MATCH(data!$A172,Haver_M!$B$1:$B$1000,0),MATCH(data!T$1,Haver_M!$B$1:$ZN$1,0)),"na")</f>
        <v>107.61839999999999</v>
      </c>
      <c r="U172">
        <f>IF(ISNUMBER(INDEX(Haver_M!$B$1:$ZN$1000,MATCH(data!$A172,Haver_M!$B$1:$B$1000,0),MATCH(data!U$1,Haver_M!$B$1:$ZN$1,0))),INDEX(Haver_M!$B$1:$ZN$1000,MATCH(data!$A172,Haver_M!$B$1:$B$1000,0),MATCH(data!U$1,Haver_M!$B$1:$ZN$1,0)),"na")</f>
        <v>102.9649</v>
      </c>
      <c r="V172">
        <f>IF(ISNUMBER(INDEX(Haver_M!$B$1:$ZN$1000,MATCH(data!$A172,Haver_M!$B$1:$B$1000,0),MATCH(data!V$1,Haver_M!$B$1:$ZN$1,0))),INDEX(Haver_M!$B$1:$ZN$1000,MATCH(data!$A172,Haver_M!$B$1:$B$1000,0),MATCH(data!V$1,Haver_M!$B$1:$ZN$1,0)),"na")</f>
        <v>102.91930000000001</v>
      </c>
      <c r="W172">
        <f>IF(ISNUMBER(INDEX(Haver_M!$B$1:$ZN$1000,MATCH(data!$A172,Haver_M!$B$1:$B$1000,0),MATCH(data!W$1,Haver_M!$B$1:$ZN$1,0))),INDEX(Haver_M!$B$1:$ZN$1000,MATCH(data!$A172,Haver_M!$B$1:$B$1000,0),MATCH(data!W$1,Haver_M!$B$1:$ZN$1,0)),"na")</f>
        <v>5.26</v>
      </c>
      <c r="X172">
        <f>IF(ISNUMBER(INDEX(Haver_M!$B$1:$ZN$1000,MATCH(data!$A172,Haver_M!$B$1:$B$1000,0),MATCH(data!X$1,Haver_M!$B$1:$ZN$1,0))),INDEX(Haver_M!$B$1:$ZN$1000,MATCH(data!$A172,Haver_M!$B$1:$B$1000,0),MATCH(data!X$1,Haver_M!$B$1:$ZN$1,0)),"na")</f>
        <v>99.5</v>
      </c>
      <c r="Y172">
        <f>IF(ISNUMBER(INDEX(Haver_M!$B$1:$ZN$1000,MATCH(data!$A172,Haver_M!$B$1:$B$1000,0),MATCH(data!Y$1,Haver_M!$B$1:$ZN$1,0))),INDEX(Haver_M!$B$1:$ZN$1000,MATCH(data!$A172,Haver_M!$B$1:$B$1000,0),MATCH(data!Y$1,Haver_M!$B$1:$ZN$1,0)),"na")</f>
        <v>100.55</v>
      </c>
      <c r="Z172">
        <f>IF(ISNUMBER(INDEX(Haver_M!$B$1:$ZN$1000,MATCH(data!$A172,Haver_M!$B$1:$B$1000,0),MATCH(data!Z$1,Haver_M!$B$1:$ZN$1,0))),INDEX(Haver_M!$B$1:$ZN$1000,MATCH(data!$A172,Haver_M!$B$1:$B$1000,0),MATCH(data!Z$1,Haver_M!$B$1:$ZN$1,0)),"na")</f>
        <v>100.0373</v>
      </c>
      <c r="AA172">
        <f>IF(ISNUMBER(INDEX(Haver_M!$B$1:$ZN$1000,MATCH(data!$A172,Haver_M!$B$1:$B$1000,0),MATCH(data!AA$1,Haver_M!$B$1:$ZN$1,0))),INDEX(Haver_M!$B$1:$ZN$1000,MATCH(data!$A172,Haver_M!$B$1:$B$1000,0),MATCH(data!AA$1,Haver_M!$B$1:$ZN$1,0)),"na")</f>
        <v>103.3616</v>
      </c>
      <c r="AB172">
        <f>IF(ISNUMBER(INDEX(Haver_M!$B$1:$ZN$1000,MATCH(data!$A172,Haver_M!$B$1:$B$1000,0),MATCH(data!AB$1,Haver_M!$B$1:$ZN$1,0))),INDEX(Haver_M!$B$1:$ZN$1000,MATCH(data!$A172,Haver_M!$B$1:$B$1000,0),MATCH(data!AB$1,Haver_M!$B$1:$ZN$1,0)),"na")</f>
        <v>32553.5</v>
      </c>
      <c r="AC172">
        <f>IF(ISNUMBER(INDEX(Haver_M!$B$1:$ZN$1000,MATCH(data!$A172,Haver_M!$B$1:$B$1000,0),MATCH(data!AC$1,Haver_M!$B$1:$ZN$1,0))),INDEX(Haver_M!$B$1:$ZN$1000,MATCH(data!$A172,Haver_M!$B$1:$B$1000,0),MATCH(data!AC$1,Haver_M!$B$1:$ZN$1,0)),"na")</f>
        <v>33107.5</v>
      </c>
      <c r="AD172">
        <f>IF(ISNUMBER(INDEX(Haver_M!$B$1:$ZN$1000,MATCH(data!$A172,Haver_M!$B$1:$B$1000,0),MATCH(data!AD$1,Haver_M!$B$1:$ZN$1,0))),INDEX(Haver_M!$B$1:$ZN$1000,MATCH(data!$A172,Haver_M!$B$1:$B$1000,0),MATCH(data!AD$1,Haver_M!$B$1:$ZN$1,0)),"na")</f>
        <v>99.67</v>
      </c>
      <c r="AE172">
        <f>IF(ISNUMBER(INDEX(Haver_M!$B$1:$ZN$1000,MATCH(data!$A172,Haver_M!$B$1:$B$1000,0),MATCH(data!AE$1,Haver_M!$B$1:$ZN$1,0))),INDEX(Haver_M!$B$1:$ZN$1000,MATCH(data!$A172,Haver_M!$B$1:$B$1000,0),MATCH(data!AE$1,Haver_M!$B$1:$ZN$1,0)),"na")</f>
        <v>37.4</v>
      </c>
      <c r="AF172">
        <f>IF(ISNUMBER(INDEX(Haver_M!$B$1:$ZN$1000,MATCH(data!$A172,Haver_M!$B$1:$B$1000,0),MATCH(data!AF$1,Haver_M!$B$1:$ZN$1,0))),INDEX(Haver_M!$B$1:$ZN$1000,MATCH(data!$A172,Haver_M!$B$1:$B$1000,0),MATCH(data!AF$1,Haver_M!$B$1:$ZN$1,0)),"na")</f>
        <v>99.78</v>
      </c>
      <c r="AG172">
        <f>IF(ISNUMBER(INDEX(Haver_M!$B$1:$ZN$1000,MATCH(data!$A172,Haver_M!$B$1:$B$1000,0),MATCH(data!AG$1,Haver_M!$B$1:$ZN$1,0))),INDEX(Haver_M!$B$1:$ZN$1000,MATCH(data!$A172,Haver_M!$B$1:$B$1000,0),MATCH(data!AG$1,Haver_M!$B$1:$ZN$1,0)),"na")</f>
        <v>51.656399999999998</v>
      </c>
      <c r="AH172">
        <f>IF(ISNUMBER(INDEX(Haver_M!$B$1:$ZN$1000,MATCH(data!$A172,Haver_M!$B$1:$B$1000,0),MATCH(data!AH$1,Haver_M!$B$1:$ZN$1,0))),INDEX(Haver_M!$B$1:$ZN$1000,MATCH(data!$A172,Haver_M!$B$1:$B$1000,0),MATCH(data!AH$1,Haver_M!$B$1:$ZN$1,0)),"na")</f>
        <v>51.478200000000001</v>
      </c>
      <c r="AI172">
        <f>IF(ISNUMBER(INDEX(Haver_M!$B$1:$ZN$1000,MATCH(data!$A172,Haver_M!$B$1:$B$1000,0),MATCH(data!AI$1,Haver_M!$B$1:$ZN$1,0))),INDEX(Haver_M!$B$1:$ZN$1000,MATCH(data!$A172,Haver_M!$B$1:$B$1000,0),MATCH(data!AI$1,Haver_M!$B$1:$ZN$1,0)),"na")</f>
        <v>52.984099999999998</v>
      </c>
      <c r="AJ172">
        <f>IF(ISNUMBER(INDEX(Haver_M!$B$1:$ZN$1000,MATCH(data!$A172,Haver_M!$B$1:$B$1000,0),MATCH(data!AJ$1,Haver_M!$B$1:$ZN$1,0))),INDEX(Haver_M!$B$1:$ZN$1000,MATCH(data!$A172,Haver_M!$B$1:$B$1000,0),MATCH(data!AJ$1,Haver_M!$B$1:$ZN$1,0)),"na")</f>
        <v>51.929299999999998</v>
      </c>
      <c r="AK172">
        <f>IF(ISNUMBER(INDEX(Haver_M!$B$1:$ZN$1000,MATCH(data!$A172,Haver_M!$B$1:$B$1000,0),MATCH(data!AK$1,Haver_M!$B$1:$ZN$1,0))),INDEX(Haver_M!$B$1:$ZN$1000,MATCH(data!$A172,Haver_M!$B$1:$B$1000,0),MATCH(data!AK$1,Haver_M!$B$1:$ZN$1,0)),"na")</f>
        <v>50.160800000000002</v>
      </c>
      <c r="AL172">
        <f>IF(ISNUMBER(INDEX(Haver_M!$B$1:$ZN$1000,MATCH(data!$A172,Haver_M!$B$1:$B$1000,0),MATCH(data!AL$1,Haver_M!$B$1:$ZN$1,0))),INDEX(Haver_M!$B$1:$ZN$1000,MATCH(data!$A172,Haver_M!$B$1:$B$1000,0),MATCH(data!AL$1,Haver_M!$B$1:$ZN$1,0)),"na")</f>
        <v>50.298299999999998</v>
      </c>
      <c r="AM172">
        <f>IF(ISNUMBER(INDEX(Haver_M!$B$1:$ZN$1000,MATCH(data!$A172,Haver_M!$B$1:$B$1000,0),MATCH(data!AM$1,Haver_M!$B$1:$ZN$1,0))),INDEX(Haver_M!$B$1:$ZN$1000,MATCH(data!$A172,Haver_M!$B$1:$B$1000,0),MATCH(data!AM$1,Haver_M!$B$1:$ZN$1,0)),"na")</f>
        <v>57.899700000000003</v>
      </c>
      <c r="AN172">
        <f>IF(ISNUMBER(INDEX(Haver_M!$B$1:$ZN$1000,MATCH(data!$A172,Haver_M!$B$1:$B$1000,0),MATCH(data!AN$1,Haver_M!$B$1:$ZN$1,0))),INDEX(Haver_M!$B$1:$ZN$1000,MATCH(data!$A172,Haver_M!$B$1:$B$1000,0),MATCH(data!AN$1,Haver_M!$B$1:$ZN$1,0)),"na")</f>
        <v>52.633299999999998</v>
      </c>
      <c r="AO172">
        <f>IF(ISNUMBER(INDEX(Haver_M!$B$1:$ZN$1000,MATCH(data!$A172,Haver_M!$B$1:$B$1000,0),MATCH(data!AO$1,Haver_M!$B$1:$ZN$1,0))),INDEX(Haver_M!$B$1:$ZN$1000,MATCH(data!$A172,Haver_M!$B$1:$B$1000,0),MATCH(data!AO$1,Haver_M!$B$1:$ZN$1,0)),"na")</f>
        <v>50.298299999999998</v>
      </c>
      <c r="AP172">
        <f>IF(ISNUMBER(INDEX(Haver_M!$B$1:$ZN$1000,MATCH(data!$A172,Haver_M!$B$1:$B$1000,0),MATCH(data!AP$1,Haver_M!$B$1:$ZN$1,0))),INDEX(Haver_M!$B$1:$ZN$1000,MATCH(data!$A172,Haver_M!$B$1:$B$1000,0),MATCH(data!AP$1,Haver_M!$B$1:$ZN$1,0)),"na")</f>
        <v>51</v>
      </c>
      <c r="AQ172">
        <f>IF(ISNUMBER(INDEX(Haver_M!$B$1:$ZN$1000,MATCH(data!$A172,Haver_M!$B$1:$B$1000,0),MATCH(data!AQ$1,Haver_M!$B$1:$ZN$1,0))),INDEX(Haver_M!$B$1:$ZN$1000,MATCH(data!$A172,Haver_M!$B$1:$B$1000,0),MATCH(data!AQ$1,Haver_M!$B$1:$ZN$1,0)),"na")</f>
        <v>52.7331</v>
      </c>
      <c r="AR172">
        <f>IF(ISNUMBER(INDEX(Haver_M!$B$1:$ZN$1000,MATCH(data!$A172,Haver_M!$B$1:$B$1000,0),MATCH(data!AR$1,Haver_M!$B$1:$ZN$1,0))),INDEX(Haver_M!$B$1:$ZN$1000,MATCH(data!$A172,Haver_M!$B$1:$B$1000,0),MATCH(data!AR$1,Haver_M!$B$1:$ZN$1,0)),"na")</f>
        <v>47.662300000000002</v>
      </c>
      <c r="AS172">
        <f>IF(ISNUMBER(INDEX(Haver_M!$B$1:$ZN$1000,MATCH(data!$A172,Haver_M!$B$1:$B$1000,0),MATCH(data!AS$1,Haver_M!$B$1:$ZN$1,0))),INDEX(Haver_M!$B$1:$ZN$1000,MATCH(data!$A172,Haver_M!$B$1:$B$1000,0),MATCH(data!AS$1,Haver_M!$B$1:$ZN$1,0)),"na")</f>
        <v>39188.74</v>
      </c>
      <c r="AT172">
        <f>IF(ISNUMBER(INDEX(Haver_M!$B$1:$ZN$1000,MATCH(data!$A172,Haver_M!$B$1:$B$1000,0),MATCH(data!AT$1,Haver_M!$B$1:$ZN$1,0))),INDEX(Haver_M!$B$1:$ZN$1000,MATCH(data!$A172,Haver_M!$B$1:$B$1000,0),MATCH(data!AT$1,Haver_M!$B$1:$ZN$1,0)),"na")</f>
        <v>101.185</v>
      </c>
      <c r="AU172">
        <f>IF(ISNUMBER(INDEX(Haver_M!$B$1:$ZN$1000,MATCH(data!$A172,Haver_M!$B$1:$B$1000,0),MATCH(data!AU$1,Haver_M!$B$1:$ZN$1,0))),INDEX(Haver_M!$B$1:$ZN$1000,MATCH(data!$A172,Haver_M!$B$1:$B$1000,0),MATCH(data!AU$1,Haver_M!$B$1:$ZN$1,0)),"na")</f>
        <v>101.64910500000001</v>
      </c>
      <c r="AV172">
        <f>IF(ISNUMBER(INDEX(Haver_M!$B$1:$ZN$1000,MATCH(data!$A172,Haver_M!$B$1:$B$1000,0),MATCH(data!AV$1,Haver_M!$B$1:$ZN$1,0))),INDEX(Haver_M!$B$1:$ZN$1000,MATCH(data!$A172,Haver_M!$B$1:$B$1000,0),MATCH(data!AV$1,Haver_M!$B$1:$ZN$1,0)),"na")</f>
        <v>102.7</v>
      </c>
      <c r="AW172">
        <f>IF(ISNUMBER(INDEX(Haver_M!$B$1:$ZN$1000,MATCH(data!$A172,Haver_M!$B$1:$B$1000,0),MATCH(data!AW$1,Haver_M!$B$1:$ZN$1,0))),INDEX(Haver_M!$B$1:$ZN$1000,MATCH(data!$A172,Haver_M!$B$1:$B$1000,0),MATCH(data!AW$1,Haver_M!$B$1:$ZN$1,0)),"na")</f>
        <v>1317268.9518505868</v>
      </c>
      <c r="AX172">
        <f>IF(ISNUMBER(INDEX(Haver_M!$B$1:$ZN$1000,MATCH(data!$A172,Haver_M!$B$1:$B$1000,0),MATCH(data!AX$1,Haver_M!$B$1:$ZN$1,0))),INDEX(Haver_M!$B$1:$ZN$1000,MATCH(data!$A172,Haver_M!$B$1:$B$1000,0),MATCH(data!AX$1,Haver_M!$B$1:$ZN$1,0)),"na")</f>
        <v>2478</v>
      </c>
      <c r="AY172">
        <f>IF(ISNUMBER(INDEX(Haver_M!$B$1:$ZN$1000,MATCH(data!$A172,Haver_M!$B$1:$B$1000,0),MATCH(data!AY$1,Haver_M!$B$1:$ZN$1,0))),INDEX(Haver_M!$B$1:$ZN$1000,MATCH(data!$A172,Haver_M!$B$1:$B$1000,0),MATCH(data!AY$1,Haver_M!$B$1:$ZN$1,0)),"na")</f>
        <v>1133</v>
      </c>
      <c r="AZ172">
        <f>IF(ISNUMBER(INDEX(Haver_M!$B$1:$ZN$1000,MATCH(data!$A172,Haver_M!$B$1:$B$1000,0),MATCH(data!AZ$1,Haver_M!$B$1:$ZN$1,0))),INDEX(Haver_M!$B$1:$ZN$1000,MATCH(data!$A172,Haver_M!$B$1:$B$1000,0),MATCH(data!AZ$1,Haver_M!$B$1:$ZN$1,0)),"na")</f>
        <v>52.3</v>
      </c>
      <c r="BA172">
        <f>IF(ISNUMBER(INDEX(Haver_M!$B$1:$ZN$1000,MATCH(data!$A172,Haver_M!$B$1:$B$1000,0),MATCH(data!BA$1,Haver_M!$B$1:$ZN$1,0))),INDEX(Haver_M!$B$1:$ZN$1000,MATCH(data!$A172,Haver_M!$B$1:$B$1000,0),MATCH(data!BA$1,Haver_M!$B$1:$ZN$1,0)),"na")</f>
        <v>31.124931057733988</v>
      </c>
      <c r="BB172" t="str">
        <f>IF(ISNUMBER(INDEX(Haver_M!$B$1:$ZN$1000,MATCH(data!$A172,Haver_M!$B$1:$B$1000,0),MATCH(data!BB$1,Haver_M!$B$1:$ZN$1,0))),INDEX(Haver_M!$B$1:$ZN$1000,MATCH(data!$A172,Haver_M!$B$1:$B$1000,0),MATCH(data!BB$1,Haver_M!$B$1:$ZN$1,0)),"")</f>
        <v/>
      </c>
    </row>
    <row r="173" spans="1:54" x14ac:dyDescent="0.25">
      <c r="A173" s="2">
        <v>41759</v>
      </c>
      <c r="B173" t="str">
        <f>IF(ISNUMBER(INDEX(Haver_Q!$B$1:$BD$1000,MATCH(data!$A173,Haver_Q!$B$1:$B$1000,0),MATCH(data!B$1,Haver_Q!$B$1:$BD$1,0))),100*INDEX(Haver_Q!$B$1:$BD$1000,MATCH(data!$A173,Haver_Q!$B$1:$B$1000,0),MATCH(data!B$1,Haver_Q!$B$1:$BD$1,0)),"na")</f>
        <v>na</v>
      </c>
      <c r="C173" t="str">
        <f>IF(ISNUMBER(INDEX(Haver_Q!$B$1:$BD$1000,MATCH(data!$A173,Haver_Q!$B$1:$B$1000,0),MATCH(data!C$1,Haver_Q!$B$1:$BD$1,0))),100*INDEX(Haver_Q!$B$1:$BD$1000,MATCH(data!$A173,Haver_Q!$B$1:$B$1000,0),MATCH(data!C$1,Haver_Q!$B$1:$BD$1,0)),"na")</f>
        <v>na</v>
      </c>
      <c r="D173" t="str">
        <f>IF(ISNUMBER(INDEX(Haver_Q!$B$1:$BD$1000,MATCH(data!$A173,Haver_Q!$B$1:$B$1000,0),MATCH(data!D$1,Haver_Q!$B$1:$BD$1,0))),100*INDEX(Haver_Q!$B$1:$BD$1000,MATCH(data!$A173,Haver_Q!$B$1:$B$1000,0),MATCH(data!D$1,Haver_Q!$B$1:$BD$1,0)),"na")</f>
        <v>na</v>
      </c>
      <c r="E173" t="str">
        <f>IF(ISNUMBER(INDEX(Haver_Q!$B$1:$BD$1000,MATCH(data!$A173,Haver_Q!$B$1:$B$1000,0),MATCH(data!E$1,Haver_Q!$B$1:$BD$1,0))),100*INDEX(Haver_Q!$B$1:$BD$1000,MATCH(data!$A173,Haver_Q!$B$1:$B$1000,0),MATCH(data!E$1,Haver_Q!$B$1:$BD$1,0)),"na")</f>
        <v>na</v>
      </c>
      <c r="F173" t="str">
        <f>IF(ISNUMBER(INDEX(Haver_Q!$B$1:$BD$1000,MATCH(data!$A173,Haver_Q!$B$1:$B$1000,0),MATCH(data!F$1,Haver_Q!$B$1:$BD$1,0))),100*INDEX(Haver_Q!$B$1:$BD$1000,MATCH(data!$A173,Haver_Q!$B$1:$B$1000,0),MATCH(data!F$1,Haver_Q!$B$1:$BD$1,0)),"na")</f>
        <v>na</v>
      </c>
      <c r="G173" t="str">
        <f>IF(ISNUMBER(INDEX(Haver_Q!$B$1:$BD$1000,MATCH(data!$A173,Haver_Q!$B$1:$B$1000,0),MATCH(data!G$1,Haver_Q!$B$1:$BD$1,0))),100*INDEX(Haver_Q!$B$1:$BD$1000,MATCH(data!$A173,Haver_Q!$B$1:$B$1000,0),MATCH(data!G$1,Haver_Q!$B$1:$BD$1,0)),"na")</f>
        <v>na</v>
      </c>
      <c r="H173" t="str">
        <f>IF(ISNUMBER(INDEX(Haver_Q!$B$1:$BD$1000,MATCH(data!$A173,Haver_Q!$B$1:$B$1000,0),MATCH(data!H$1,Haver_Q!$B$1:$BD$1,0))),100*INDEX(Haver_Q!$B$1:$BD$1000,MATCH(data!$A173,Haver_Q!$B$1:$B$1000,0),MATCH(data!H$1,Haver_Q!$B$1:$BD$1,0)),"na")</f>
        <v>na</v>
      </c>
      <c r="I173" s="3">
        <f>IF(ISNUMBER(Bloomberg_m!C189),Bloomberg_m!C189,"na")</f>
        <v>1045</v>
      </c>
      <c r="J173" s="3">
        <f>IF(ISNUMBER(Bloomberg_m!D189),Bloomberg_m!D189,"na")</f>
        <v>1952.88</v>
      </c>
      <c r="K173" s="3">
        <f>IF(ISNUMBER(Bloomberg_m!E189),Bloomberg_m!E189,"na")</f>
        <v>1078.46</v>
      </c>
      <c r="L173" s="3">
        <f>IF(ISNUMBER(Bloomberg_m!L189),Bloomberg_m!L189,"na")</f>
        <v>102.08</v>
      </c>
      <c r="M173">
        <f>IF(ISNUMBER(INDEX(Haver_M!$B$1:$ZN$1000,MATCH(data!$A173,Haver_M!$B$1:$B$1000,0),MATCH(data!M$1,Haver_M!$B$1:$ZN$1,0))),INDEX(Haver_M!$B$1:$ZN$1000,MATCH(data!$A173,Haver_M!$B$1:$B$1000,0),MATCH(data!M$1,Haver_M!$B$1:$ZN$1,0)),"na")</f>
        <v>3.5</v>
      </c>
      <c r="N173">
        <f>IF(ISNUMBER(INDEX(Haver_M!$B$1:$ZN$1000,MATCH(data!$A173,Haver_M!$B$1:$B$1000,0),MATCH(data!N$1,Haver_M!$B$1:$ZN$1,0))),INDEX(Haver_M!$B$1:$ZN$1000,MATCH(data!$A173,Haver_M!$B$1:$B$1000,0),MATCH(data!N$1,Haver_M!$B$1:$ZN$1,0)),"na")</f>
        <v>6.2708000000000004</v>
      </c>
      <c r="O173">
        <f>IF(ISNUMBER(INDEX(Haver_M!$B$1:$ZN$1000,MATCH(data!$A173,Haver_M!$B$1:$B$1000,0),MATCH(data!O$1,Haver_M!$B$1:$ZN$1,0))),INDEX(Haver_M!$B$1:$ZN$1000,MATCH(data!$A173,Haver_M!$B$1:$B$1000,0),MATCH(data!O$1,Haver_M!$B$1:$ZN$1,0)),"na")</f>
        <v>101.23724</v>
      </c>
      <c r="P173">
        <f>IF(ISNUMBER(INDEX(Haver_M!$B$1:$ZN$1000,MATCH(data!$A173,Haver_M!$B$1:$B$1000,0),MATCH(data!P$1,Haver_M!$B$1:$ZN$1,0))),INDEX(Haver_M!$B$1:$ZN$1000,MATCH(data!$A173,Haver_M!$B$1:$B$1000,0),MATCH(data!P$1,Haver_M!$B$1:$ZN$1,0)),"na")</f>
        <v>84.490899999999996</v>
      </c>
      <c r="Q173">
        <f>IF(ISNUMBER(INDEX(Haver_M!$B$1:$ZN$1000,MATCH(data!$A173,Haver_M!$B$1:$B$1000,0),MATCH(data!Q$1,Haver_M!$B$1:$ZN$1,0))),INDEX(Haver_M!$B$1:$ZN$1000,MATCH(data!$A173,Haver_M!$B$1:$B$1000,0),MATCH(data!Q$1,Haver_M!$B$1:$ZN$1,0)),"na")</f>
        <v>86.654499999999999</v>
      </c>
      <c r="R173">
        <f>IF(ISNUMBER(INDEX(Haver_M!$B$1:$ZN$1000,MATCH(data!$A173,Haver_M!$B$1:$B$1000,0),MATCH(data!R$1,Haver_M!$B$1:$ZN$1,0))),INDEX(Haver_M!$B$1:$ZN$1000,MATCH(data!$A173,Haver_M!$B$1:$B$1000,0),MATCH(data!R$1,Haver_M!$B$1:$ZN$1,0)),"na")</f>
        <v>102.8426</v>
      </c>
      <c r="S173">
        <f>IF(ISNUMBER(INDEX(Haver_M!$B$1:$ZN$1000,MATCH(data!$A173,Haver_M!$B$1:$B$1000,0),MATCH(data!S$1,Haver_M!$B$1:$ZN$1,0))),INDEX(Haver_M!$B$1:$ZN$1000,MATCH(data!$A173,Haver_M!$B$1:$B$1000,0),MATCH(data!S$1,Haver_M!$B$1:$ZN$1,0)),"na")</f>
        <v>99.251400000000004</v>
      </c>
      <c r="T173">
        <f>IF(ISNUMBER(INDEX(Haver_M!$B$1:$ZN$1000,MATCH(data!$A173,Haver_M!$B$1:$B$1000,0),MATCH(data!T$1,Haver_M!$B$1:$ZN$1,0))),INDEX(Haver_M!$B$1:$ZN$1000,MATCH(data!$A173,Haver_M!$B$1:$B$1000,0),MATCH(data!T$1,Haver_M!$B$1:$ZN$1,0)),"na")</f>
        <v>108.6065</v>
      </c>
      <c r="U173">
        <f>IF(ISNUMBER(INDEX(Haver_M!$B$1:$ZN$1000,MATCH(data!$A173,Haver_M!$B$1:$B$1000,0),MATCH(data!U$1,Haver_M!$B$1:$ZN$1,0))),INDEX(Haver_M!$B$1:$ZN$1000,MATCH(data!$A173,Haver_M!$B$1:$B$1000,0),MATCH(data!U$1,Haver_M!$B$1:$ZN$1,0)),"na")</f>
        <v>103.819</v>
      </c>
      <c r="V173">
        <f>IF(ISNUMBER(INDEX(Haver_M!$B$1:$ZN$1000,MATCH(data!$A173,Haver_M!$B$1:$B$1000,0),MATCH(data!V$1,Haver_M!$B$1:$ZN$1,0))),INDEX(Haver_M!$B$1:$ZN$1000,MATCH(data!$A173,Haver_M!$B$1:$B$1000,0),MATCH(data!V$1,Haver_M!$B$1:$ZN$1,0)),"na")</f>
        <v>103.917</v>
      </c>
      <c r="W173">
        <f>IF(ISNUMBER(INDEX(Haver_M!$B$1:$ZN$1000,MATCH(data!$A173,Haver_M!$B$1:$B$1000,0),MATCH(data!W$1,Haver_M!$B$1:$ZN$1,0))),INDEX(Haver_M!$B$1:$ZN$1000,MATCH(data!$A173,Haver_M!$B$1:$B$1000,0),MATCH(data!W$1,Haver_M!$B$1:$ZN$1,0)),"na")</f>
        <v>4.93</v>
      </c>
      <c r="X173">
        <f>IF(ISNUMBER(INDEX(Haver_M!$B$1:$ZN$1000,MATCH(data!$A173,Haver_M!$B$1:$B$1000,0),MATCH(data!X$1,Haver_M!$B$1:$ZN$1,0))),INDEX(Haver_M!$B$1:$ZN$1000,MATCH(data!$A173,Haver_M!$B$1:$B$1000,0),MATCH(data!X$1,Haver_M!$B$1:$ZN$1,0)),"na")</f>
        <v>100.74</v>
      </c>
      <c r="Y173">
        <f>IF(ISNUMBER(INDEX(Haver_M!$B$1:$ZN$1000,MATCH(data!$A173,Haver_M!$B$1:$B$1000,0),MATCH(data!Y$1,Haver_M!$B$1:$ZN$1,0))),INDEX(Haver_M!$B$1:$ZN$1000,MATCH(data!$A173,Haver_M!$B$1:$B$1000,0),MATCH(data!Y$1,Haver_M!$B$1:$ZN$1,0)),"na")</f>
        <v>100.65</v>
      </c>
      <c r="Z173">
        <f>IF(ISNUMBER(INDEX(Haver_M!$B$1:$ZN$1000,MATCH(data!$A173,Haver_M!$B$1:$B$1000,0),MATCH(data!Z$1,Haver_M!$B$1:$ZN$1,0))),INDEX(Haver_M!$B$1:$ZN$1000,MATCH(data!$A173,Haver_M!$B$1:$B$1000,0),MATCH(data!Z$1,Haver_M!$B$1:$ZN$1,0)),"na")</f>
        <v>101.1357</v>
      </c>
      <c r="AA173">
        <f>IF(ISNUMBER(INDEX(Haver_M!$B$1:$ZN$1000,MATCH(data!$A173,Haver_M!$B$1:$B$1000,0),MATCH(data!AA$1,Haver_M!$B$1:$ZN$1,0))),INDEX(Haver_M!$B$1:$ZN$1000,MATCH(data!$A173,Haver_M!$B$1:$B$1000,0),MATCH(data!AA$1,Haver_M!$B$1:$ZN$1,0)),"na")</f>
        <v>103.3343</v>
      </c>
      <c r="AB173">
        <f>IF(ISNUMBER(INDEX(Haver_M!$B$1:$ZN$1000,MATCH(data!$A173,Haver_M!$B$1:$B$1000,0),MATCH(data!AB$1,Haver_M!$B$1:$ZN$1,0))),INDEX(Haver_M!$B$1:$ZN$1000,MATCH(data!$A173,Haver_M!$B$1:$B$1000,0),MATCH(data!AB$1,Haver_M!$B$1:$ZN$1,0)),"na")</f>
        <v>33250.5</v>
      </c>
      <c r="AC173">
        <f>IF(ISNUMBER(INDEX(Haver_M!$B$1:$ZN$1000,MATCH(data!$A173,Haver_M!$B$1:$B$1000,0),MATCH(data!AC$1,Haver_M!$B$1:$ZN$1,0))),INDEX(Haver_M!$B$1:$ZN$1000,MATCH(data!$A173,Haver_M!$B$1:$B$1000,0),MATCH(data!AC$1,Haver_M!$B$1:$ZN$1,0)),"na")</f>
        <v>33276.199999999997</v>
      </c>
      <c r="AD173">
        <f>IF(ISNUMBER(INDEX(Haver_M!$B$1:$ZN$1000,MATCH(data!$A173,Haver_M!$B$1:$B$1000,0),MATCH(data!AD$1,Haver_M!$B$1:$ZN$1,0))),INDEX(Haver_M!$B$1:$ZN$1000,MATCH(data!$A173,Haver_M!$B$1:$B$1000,0),MATCH(data!AD$1,Haver_M!$B$1:$ZN$1,0)),"na")</f>
        <v>99.7</v>
      </c>
      <c r="AE173">
        <f>IF(ISNUMBER(INDEX(Haver_M!$B$1:$ZN$1000,MATCH(data!$A173,Haver_M!$B$1:$B$1000,0),MATCH(data!AE$1,Haver_M!$B$1:$ZN$1,0))),INDEX(Haver_M!$B$1:$ZN$1000,MATCH(data!$A173,Haver_M!$B$1:$B$1000,0),MATCH(data!AE$1,Haver_M!$B$1:$ZN$1,0)),"na")</f>
        <v>37.6</v>
      </c>
      <c r="AF173">
        <f>IF(ISNUMBER(INDEX(Haver_M!$B$1:$ZN$1000,MATCH(data!$A173,Haver_M!$B$1:$B$1000,0),MATCH(data!AF$1,Haver_M!$B$1:$ZN$1,0))),INDEX(Haver_M!$B$1:$ZN$1000,MATCH(data!$A173,Haver_M!$B$1:$B$1000,0),MATCH(data!AF$1,Haver_M!$B$1:$ZN$1,0)),"na")</f>
        <v>99.84</v>
      </c>
      <c r="AG173">
        <f>IF(ISNUMBER(INDEX(Haver_M!$B$1:$ZN$1000,MATCH(data!$A173,Haver_M!$B$1:$B$1000,0),MATCH(data!AG$1,Haver_M!$B$1:$ZN$1,0))),INDEX(Haver_M!$B$1:$ZN$1000,MATCH(data!$A173,Haver_M!$B$1:$B$1000,0),MATCH(data!AG$1,Haver_M!$B$1:$ZN$1,0)),"na")</f>
        <v>51.841500000000003</v>
      </c>
      <c r="AH173">
        <f>IF(ISNUMBER(INDEX(Haver_M!$B$1:$ZN$1000,MATCH(data!$A173,Haver_M!$B$1:$B$1000,0),MATCH(data!AH$1,Haver_M!$B$1:$ZN$1,0))),INDEX(Haver_M!$B$1:$ZN$1000,MATCH(data!$A173,Haver_M!$B$1:$B$1000,0),MATCH(data!AH$1,Haver_M!$B$1:$ZN$1,0)),"na")</f>
        <v>52.931600000000003</v>
      </c>
      <c r="AI173">
        <f>IF(ISNUMBER(INDEX(Haver_M!$B$1:$ZN$1000,MATCH(data!$A173,Haver_M!$B$1:$B$1000,0),MATCH(data!AI$1,Haver_M!$B$1:$ZN$1,0))),INDEX(Haver_M!$B$1:$ZN$1000,MATCH(data!$A173,Haver_M!$B$1:$B$1000,0),MATCH(data!AI$1,Haver_M!$B$1:$ZN$1,0)),"na")</f>
        <v>52.986699999999999</v>
      </c>
      <c r="AJ173">
        <f>IF(ISNUMBER(INDEX(Haver_M!$B$1:$ZN$1000,MATCH(data!$A173,Haver_M!$B$1:$B$1000,0),MATCH(data!AJ$1,Haver_M!$B$1:$ZN$1,0))),INDEX(Haver_M!$B$1:$ZN$1000,MATCH(data!$A173,Haver_M!$B$1:$B$1000,0),MATCH(data!AJ$1,Haver_M!$B$1:$ZN$1,0)),"na")</f>
        <v>50.346299999999999</v>
      </c>
      <c r="AK173">
        <f>IF(ISNUMBER(INDEX(Haver_M!$B$1:$ZN$1000,MATCH(data!$A173,Haver_M!$B$1:$B$1000,0),MATCH(data!AK$1,Haver_M!$B$1:$ZN$1,0))),INDEX(Haver_M!$B$1:$ZN$1000,MATCH(data!$A173,Haver_M!$B$1:$B$1000,0),MATCH(data!AK$1,Haver_M!$B$1:$ZN$1,0)),"na")</f>
        <v>49.918799999999997</v>
      </c>
      <c r="AL173">
        <f>IF(ISNUMBER(INDEX(Haver_M!$B$1:$ZN$1000,MATCH(data!$A173,Haver_M!$B$1:$B$1000,0),MATCH(data!AL$1,Haver_M!$B$1:$ZN$1,0))),INDEX(Haver_M!$B$1:$ZN$1000,MATCH(data!$A173,Haver_M!$B$1:$B$1000,0),MATCH(data!AL$1,Haver_M!$B$1:$ZN$1,0)),"na")</f>
        <v>51.311500000000002</v>
      </c>
      <c r="AM173">
        <f>IF(ISNUMBER(INDEX(Haver_M!$B$1:$ZN$1000,MATCH(data!$A173,Haver_M!$B$1:$B$1000,0),MATCH(data!AM$1,Haver_M!$B$1:$ZN$1,0))),INDEX(Haver_M!$B$1:$ZN$1000,MATCH(data!$A173,Haver_M!$B$1:$B$1000,0),MATCH(data!AM$1,Haver_M!$B$1:$ZN$1,0)),"na")</f>
        <v>56.168799999999997</v>
      </c>
      <c r="AN173">
        <f>IF(ISNUMBER(INDEX(Haver_M!$B$1:$ZN$1000,MATCH(data!$A173,Haver_M!$B$1:$B$1000,0),MATCH(data!AN$1,Haver_M!$B$1:$ZN$1,0))),INDEX(Haver_M!$B$1:$ZN$1000,MATCH(data!$A173,Haver_M!$B$1:$B$1000,0),MATCH(data!AN$1,Haver_M!$B$1:$ZN$1,0)),"na")</f>
        <v>50.906399999999998</v>
      </c>
      <c r="AO173">
        <f>IF(ISNUMBER(INDEX(Haver_M!$B$1:$ZN$1000,MATCH(data!$A173,Haver_M!$B$1:$B$1000,0),MATCH(data!AO$1,Haver_M!$B$1:$ZN$1,0))),INDEX(Haver_M!$B$1:$ZN$1000,MATCH(data!$A173,Haver_M!$B$1:$B$1000,0),MATCH(data!AO$1,Haver_M!$B$1:$ZN$1,0)),"na")</f>
        <v>51.311500000000002</v>
      </c>
      <c r="AP173">
        <f>IF(ISNUMBER(INDEX(Haver_M!$B$1:$ZN$1000,MATCH(data!$A173,Haver_M!$B$1:$B$1000,0),MATCH(data!AP$1,Haver_M!$B$1:$ZN$1,0))),INDEX(Haver_M!$B$1:$ZN$1000,MATCH(data!$A173,Haver_M!$B$1:$B$1000,0),MATCH(data!AP$1,Haver_M!$B$1:$ZN$1,0)),"na")</f>
        <v>51.3095</v>
      </c>
      <c r="AQ173">
        <f>IF(ISNUMBER(INDEX(Haver_M!$B$1:$ZN$1000,MATCH(data!$A173,Haver_M!$B$1:$B$1000,0),MATCH(data!AQ$1,Haver_M!$B$1:$ZN$1,0))),INDEX(Haver_M!$B$1:$ZN$1000,MATCH(data!$A173,Haver_M!$B$1:$B$1000,0),MATCH(data!AQ$1,Haver_M!$B$1:$ZN$1,0)),"na")</f>
        <v>50.6494</v>
      </c>
      <c r="AR173">
        <f>IF(ISNUMBER(INDEX(Haver_M!$B$1:$ZN$1000,MATCH(data!$A173,Haver_M!$B$1:$B$1000,0),MATCH(data!AR$1,Haver_M!$B$1:$ZN$1,0))),INDEX(Haver_M!$B$1:$ZN$1000,MATCH(data!$A173,Haver_M!$B$1:$B$1000,0),MATCH(data!AR$1,Haver_M!$B$1:$ZN$1,0)),"na")</f>
        <v>47.346899999999998</v>
      </c>
      <c r="AS173">
        <f>IF(ISNUMBER(INDEX(Haver_M!$B$1:$ZN$1000,MATCH(data!$A173,Haver_M!$B$1:$B$1000,0),MATCH(data!AS$1,Haver_M!$B$1:$ZN$1,0))),INDEX(Haver_M!$B$1:$ZN$1000,MATCH(data!$A173,Haver_M!$B$1:$B$1000,0),MATCH(data!AS$1,Haver_M!$B$1:$ZN$1,0)),"na")</f>
        <v>40564.019999999997</v>
      </c>
      <c r="AT173">
        <f>IF(ISNUMBER(INDEX(Haver_M!$B$1:$ZN$1000,MATCH(data!$A173,Haver_M!$B$1:$B$1000,0),MATCH(data!AT$1,Haver_M!$B$1:$ZN$1,0))),INDEX(Haver_M!$B$1:$ZN$1000,MATCH(data!$A173,Haver_M!$B$1:$B$1000,0),MATCH(data!AT$1,Haver_M!$B$1:$ZN$1,0)),"na")</f>
        <v>102.458</v>
      </c>
      <c r="AU173">
        <f>IF(ISNUMBER(INDEX(Haver_M!$B$1:$ZN$1000,MATCH(data!$A173,Haver_M!$B$1:$B$1000,0),MATCH(data!AU$1,Haver_M!$B$1:$ZN$1,0))),INDEX(Haver_M!$B$1:$ZN$1000,MATCH(data!$A173,Haver_M!$B$1:$B$1000,0),MATCH(data!AU$1,Haver_M!$B$1:$ZN$1,0)),"na")</f>
        <v>102.33519699999999</v>
      </c>
      <c r="AV173">
        <f>IF(ISNUMBER(INDEX(Haver_M!$B$1:$ZN$1000,MATCH(data!$A173,Haver_M!$B$1:$B$1000,0),MATCH(data!AV$1,Haver_M!$B$1:$ZN$1,0))),INDEX(Haver_M!$B$1:$ZN$1000,MATCH(data!$A173,Haver_M!$B$1:$B$1000,0),MATCH(data!AV$1,Haver_M!$B$1:$ZN$1,0)),"na")</f>
        <v>102.9</v>
      </c>
      <c r="AW173">
        <f>IF(ISNUMBER(INDEX(Haver_M!$B$1:$ZN$1000,MATCH(data!$A173,Haver_M!$B$1:$B$1000,0),MATCH(data!AW$1,Haver_M!$B$1:$ZN$1,0))),INDEX(Haver_M!$B$1:$ZN$1000,MATCH(data!$A173,Haver_M!$B$1:$B$1000,0),MATCH(data!AW$1,Haver_M!$B$1:$ZN$1,0)),"na")</f>
        <v>1322784.4752329206</v>
      </c>
      <c r="AX173">
        <f>IF(ISNUMBER(INDEX(Haver_M!$B$1:$ZN$1000,MATCH(data!$A173,Haver_M!$B$1:$B$1000,0),MATCH(data!AX$1,Haver_M!$B$1:$ZN$1,0))),INDEX(Haver_M!$B$1:$ZN$1000,MATCH(data!$A173,Haver_M!$B$1:$B$1000,0),MATCH(data!AX$1,Haver_M!$B$1:$ZN$1,0)),"na")</f>
        <v>2485</v>
      </c>
      <c r="AY173">
        <f>IF(ISNUMBER(INDEX(Haver_M!$B$1:$ZN$1000,MATCH(data!$A173,Haver_M!$B$1:$B$1000,0),MATCH(data!AY$1,Haver_M!$B$1:$ZN$1,0))),INDEX(Haver_M!$B$1:$ZN$1000,MATCH(data!$A173,Haver_M!$B$1:$B$1000,0),MATCH(data!AY$1,Haver_M!$B$1:$ZN$1,0)),"na")</f>
        <v>1051</v>
      </c>
      <c r="AZ173">
        <f>IF(ISNUMBER(INDEX(Haver_M!$B$1:$ZN$1000,MATCH(data!$A173,Haver_M!$B$1:$B$1000,0),MATCH(data!AZ$1,Haver_M!$B$1:$ZN$1,0))),INDEX(Haver_M!$B$1:$ZN$1000,MATCH(data!$A173,Haver_M!$B$1:$B$1000,0),MATCH(data!AZ$1,Haver_M!$B$1:$ZN$1,0)),"na")</f>
        <v>51.9</v>
      </c>
      <c r="BA173">
        <f>IF(ISNUMBER(INDEX(Haver_M!$B$1:$ZN$1000,MATCH(data!$A173,Haver_M!$B$1:$B$1000,0),MATCH(data!BA$1,Haver_M!$B$1:$ZN$1,0))),INDEX(Haver_M!$B$1:$ZN$1000,MATCH(data!$A173,Haver_M!$B$1:$B$1000,0),MATCH(data!BA$1,Haver_M!$B$1:$ZN$1,0)),"na")</f>
        <v>32.589108182128591</v>
      </c>
      <c r="BB173" t="str">
        <f>IF(ISNUMBER(INDEX(Haver_M!$B$1:$ZN$1000,MATCH(data!$A173,Haver_M!$B$1:$B$1000,0),MATCH(data!BB$1,Haver_M!$B$1:$ZN$1,0))),INDEX(Haver_M!$B$1:$ZN$1000,MATCH(data!$A173,Haver_M!$B$1:$B$1000,0),MATCH(data!BB$1,Haver_M!$B$1:$ZN$1,0)),"")</f>
        <v/>
      </c>
    </row>
    <row r="174" spans="1:54" x14ac:dyDescent="0.25">
      <c r="A174" s="2">
        <v>41790</v>
      </c>
      <c r="B174" t="str">
        <f>IF(ISNUMBER(INDEX(Haver_Q!$B$1:$BD$1000,MATCH(data!$A174,Haver_Q!$B$1:$B$1000,0),MATCH(data!B$1,Haver_Q!$B$1:$BD$1,0))),100*INDEX(Haver_Q!$B$1:$BD$1000,MATCH(data!$A174,Haver_Q!$B$1:$B$1000,0),MATCH(data!B$1,Haver_Q!$B$1:$BD$1,0)),"na")</f>
        <v>na</v>
      </c>
      <c r="C174" t="str">
        <f>IF(ISNUMBER(INDEX(Haver_Q!$B$1:$BD$1000,MATCH(data!$A174,Haver_Q!$B$1:$B$1000,0),MATCH(data!C$1,Haver_Q!$B$1:$BD$1,0))),100*INDEX(Haver_Q!$B$1:$BD$1000,MATCH(data!$A174,Haver_Q!$B$1:$B$1000,0),MATCH(data!C$1,Haver_Q!$B$1:$BD$1,0)),"na")</f>
        <v>na</v>
      </c>
      <c r="D174" t="str">
        <f>IF(ISNUMBER(INDEX(Haver_Q!$B$1:$BD$1000,MATCH(data!$A174,Haver_Q!$B$1:$B$1000,0),MATCH(data!D$1,Haver_Q!$B$1:$BD$1,0))),100*INDEX(Haver_Q!$B$1:$BD$1000,MATCH(data!$A174,Haver_Q!$B$1:$B$1000,0),MATCH(data!D$1,Haver_Q!$B$1:$BD$1,0)),"na")</f>
        <v>na</v>
      </c>
      <c r="E174" t="str">
        <f>IF(ISNUMBER(INDEX(Haver_Q!$B$1:$BD$1000,MATCH(data!$A174,Haver_Q!$B$1:$B$1000,0),MATCH(data!E$1,Haver_Q!$B$1:$BD$1,0))),100*INDEX(Haver_Q!$B$1:$BD$1000,MATCH(data!$A174,Haver_Q!$B$1:$B$1000,0),MATCH(data!E$1,Haver_Q!$B$1:$BD$1,0)),"na")</f>
        <v>na</v>
      </c>
      <c r="F174" t="str">
        <f>IF(ISNUMBER(INDEX(Haver_Q!$B$1:$BD$1000,MATCH(data!$A174,Haver_Q!$B$1:$B$1000,0),MATCH(data!F$1,Haver_Q!$B$1:$BD$1,0))),100*INDEX(Haver_Q!$B$1:$BD$1000,MATCH(data!$A174,Haver_Q!$B$1:$B$1000,0),MATCH(data!F$1,Haver_Q!$B$1:$BD$1,0)),"na")</f>
        <v>na</v>
      </c>
      <c r="G174" t="str">
        <f>IF(ISNUMBER(INDEX(Haver_Q!$B$1:$BD$1000,MATCH(data!$A174,Haver_Q!$B$1:$B$1000,0),MATCH(data!G$1,Haver_Q!$B$1:$BD$1,0))),100*INDEX(Haver_Q!$B$1:$BD$1000,MATCH(data!$A174,Haver_Q!$B$1:$B$1000,0),MATCH(data!G$1,Haver_Q!$B$1:$BD$1,0)),"na")</f>
        <v>na</v>
      </c>
      <c r="H174" t="str">
        <f>IF(ISNUMBER(INDEX(Haver_Q!$B$1:$BD$1000,MATCH(data!$A174,Haver_Q!$B$1:$B$1000,0),MATCH(data!H$1,Haver_Q!$B$1:$BD$1,0))),100*INDEX(Haver_Q!$B$1:$BD$1000,MATCH(data!$A174,Haver_Q!$B$1:$B$1000,0),MATCH(data!H$1,Haver_Q!$B$1:$BD$1,0)),"na")</f>
        <v>na</v>
      </c>
      <c r="I174" s="3">
        <f>IF(ISNUMBER(Bloomberg_m!C190),Bloomberg_m!C190,"na")</f>
        <v>991</v>
      </c>
      <c r="J174" s="3">
        <f>IF(ISNUMBER(Bloomberg_m!D190),Bloomberg_m!D190,"na")</f>
        <v>2015.24</v>
      </c>
      <c r="K174" s="3">
        <f>IF(ISNUMBER(Bloomberg_m!E190),Bloomberg_m!E190,"na")</f>
        <v>1137.1099999999999</v>
      </c>
      <c r="L174" s="3">
        <f>IF(ISNUMBER(Bloomberg_m!L190),Bloomberg_m!L190,"na")</f>
        <v>101.86</v>
      </c>
      <c r="M174">
        <f>IF(ISNUMBER(INDEX(Haver_M!$B$1:$ZN$1000,MATCH(data!$A174,Haver_M!$B$1:$B$1000,0),MATCH(data!M$1,Haver_M!$B$1:$ZN$1,0))),INDEX(Haver_M!$B$1:$ZN$1000,MATCH(data!$A174,Haver_M!$B$1:$B$1000,0),MATCH(data!M$1,Haver_M!$B$1:$ZN$1,0)),"na")</f>
        <v>3.5</v>
      </c>
      <c r="N174">
        <f>IF(ISNUMBER(INDEX(Haver_M!$B$1:$ZN$1000,MATCH(data!$A174,Haver_M!$B$1:$B$1000,0),MATCH(data!N$1,Haver_M!$B$1:$ZN$1,0))),INDEX(Haver_M!$B$1:$ZN$1000,MATCH(data!$A174,Haver_M!$B$1:$B$1000,0),MATCH(data!N$1,Haver_M!$B$1:$ZN$1,0)),"na")</f>
        <v>6.0697999999999999</v>
      </c>
      <c r="O174">
        <f>IF(ISNUMBER(INDEX(Haver_M!$B$1:$ZN$1000,MATCH(data!$A174,Haver_M!$B$1:$B$1000,0),MATCH(data!O$1,Haver_M!$B$1:$ZN$1,0))),INDEX(Haver_M!$B$1:$ZN$1000,MATCH(data!$A174,Haver_M!$B$1:$B$1000,0),MATCH(data!O$1,Haver_M!$B$1:$ZN$1,0)),"na")</f>
        <v>101.74181</v>
      </c>
      <c r="P174">
        <f>IF(ISNUMBER(INDEX(Haver_M!$B$1:$ZN$1000,MATCH(data!$A174,Haver_M!$B$1:$B$1000,0),MATCH(data!P$1,Haver_M!$B$1:$ZN$1,0))),INDEX(Haver_M!$B$1:$ZN$1000,MATCH(data!$A174,Haver_M!$B$1:$B$1000,0),MATCH(data!P$1,Haver_M!$B$1:$ZN$1,0)),"na")</f>
        <v>84.877899999999997</v>
      </c>
      <c r="Q174">
        <f>IF(ISNUMBER(INDEX(Haver_M!$B$1:$ZN$1000,MATCH(data!$A174,Haver_M!$B$1:$B$1000,0),MATCH(data!Q$1,Haver_M!$B$1:$ZN$1,0))),INDEX(Haver_M!$B$1:$ZN$1000,MATCH(data!$A174,Haver_M!$B$1:$B$1000,0),MATCH(data!Q$1,Haver_M!$B$1:$ZN$1,0)),"na")</f>
        <v>86.851200000000006</v>
      </c>
      <c r="R174">
        <f>IF(ISNUMBER(INDEX(Haver_M!$B$1:$ZN$1000,MATCH(data!$A174,Haver_M!$B$1:$B$1000,0),MATCH(data!R$1,Haver_M!$B$1:$ZN$1,0))),INDEX(Haver_M!$B$1:$ZN$1000,MATCH(data!$A174,Haver_M!$B$1:$B$1000,0),MATCH(data!R$1,Haver_M!$B$1:$ZN$1,0)),"na")</f>
        <v>102.88679999999999</v>
      </c>
      <c r="S174">
        <f>IF(ISNUMBER(INDEX(Haver_M!$B$1:$ZN$1000,MATCH(data!$A174,Haver_M!$B$1:$B$1000,0),MATCH(data!S$1,Haver_M!$B$1:$ZN$1,0))),INDEX(Haver_M!$B$1:$ZN$1000,MATCH(data!$A174,Haver_M!$B$1:$B$1000,0),MATCH(data!S$1,Haver_M!$B$1:$ZN$1,0)),"na")</f>
        <v>99.134500000000003</v>
      </c>
      <c r="T174">
        <f>IF(ISNUMBER(INDEX(Haver_M!$B$1:$ZN$1000,MATCH(data!$A174,Haver_M!$B$1:$B$1000,0),MATCH(data!T$1,Haver_M!$B$1:$ZN$1,0))),INDEX(Haver_M!$B$1:$ZN$1000,MATCH(data!$A174,Haver_M!$B$1:$B$1000,0),MATCH(data!T$1,Haver_M!$B$1:$ZN$1,0)),"na")</f>
        <v>107.99160000000001</v>
      </c>
      <c r="U174">
        <f>IF(ISNUMBER(INDEX(Haver_M!$B$1:$ZN$1000,MATCH(data!$A174,Haver_M!$B$1:$B$1000,0),MATCH(data!U$1,Haver_M!$B$1:$ZN$1,0))),INDEX(Haver_M!$B$1:$ZN$1000,MATCH(data!$A174,Haver_M!$B$1:$B$1000,0),MATCH(data!U$1,Haver_M!$B$1:$ZN$1,0)),"na")</f>
        <v>103.661</v>
      </c>
      <c r="V174">
        <f>IF(ISNUMBER(INDEX(Haver_M!$B$1:$ZN$1000,MATCH(data!$A174,Haver_M!$B$1:$B$1000,0),MATCH(data!V$1,Haver_M!$B$1:$ZN$1,0))),INDEX(Haver_M!$B$1:$ZN$1000,MATCH(data!$A174,Haver_M!$B$1:$B$1000,0),MATCH(data!V$1,Haver_M!$B$1:$ZN$1,0)),"na")</f>
        <v>104.37609999999999</v>
      </c>
      <c r="W174">
        <f>IF(ISNUMBER(INDEX(Haver_M!$B$1:$ZN$1000,MATCH(data!$A174,Haver_M!$B$1:$B$1000,0),MATCH(data!W$1,Haver_M!$B$1:$ZN$1,0))),INDEX(Haver_M!$B$1:$ZN$1000,MATCH(data!$A174,Haver_M!$B$1:$B$1000,0),MATCH(data!W$1,Haver_M!$B$1:$ZN$1,0)),"na")</f>
        <v>4.93</v>
      </c>
      <c r="X174">
        <f>IF(ISNUMBER(INDEX(Haver_M!$B$1:$ZN$1000,MATCH(data!$A174,Haver_M!$B$1:$B$1000,0),MATCH(data!X$1,Haver_M!$B$1:$ZN$1,0))),INDEX(Haver_M!$B$1:$ZN$1000,MATCH(data!$A174,Haver_M!$B$1:$B$1000,0),MATCH(data!X$1,Haver_M!$B$1:$ZN$1,0)),"na")</f>
        <v>100.56</v>
      </c>
      <c r="Y174">
        <f>IF(ISNUMBER(INDEX(Haver_M!$B$1:$ZN$1000,MATCH(data!$A174,Haver_M!$B$1:$B$1000,0),MATCH(data!Y$1,Haver_M!$B$1:$ZN$1,0))),INDEX(Haver_M!$B$1:$ZN$1000,MATCH(data!$A174,Haver_M!$B$1:$B$1000,0),MATCH(data!Y$1,Haver_M!$B$1:$ZN$1,0)),"na")</f>
        <v>100.76</v>
      </c>
      <c r="Z174">
        <f>IF(ISNUMBER(INDEX(Haver_M!$B$1:$ZN$1000,MATCH(data!$A174,Haver_M!$B$1:$B$1000,0),MATCH(data!Z$1,Haver_M!$B$1:$ZN$1,0))),INDEX(Haver_M!$B$1:$ZN$1000,MATCH(data!$A174,Haver_M!$B$1:$B$1000,0),MATCH(data!Z$1,Haver_M!$B$1:$ZN$1,0)),"na")</f>
        <v>100.8219</v>
      </c>
      <c r="AA174">
        <f>IF(ISNUMBER(INDEX(Haver_M!$B$1:$ZN$1000,MATCH(data!$A174,Haver_M!$B$1:$B$1000,0),MATCH(data!AA$1,Haver_M!$B$1:$ZN$1,0))),INDEX(Haver_M!$B$1:$ZN$1000,MATCH(data!$A174,Haver_M!$B$1:$B$1000,0),MATCH(data!AA$1,Haver_M!$B$1:$ZN$1,0)),"na")</f>
        <v>102.62739999999999</v>
      </c>
      <c r="AB174">
        <f>IF(ISNUMBER(INDEX(Haver_M!$B$1:$ZN$1000,MATCH(data!$A174,Haver_M!$B$1:$B$1000,0),MATCH(data!AB$1,Haver_M!$B$1:$ZN$1,0))),INDEX(Haver_M!$B$1:$ZN$1000,MATCH(data!$A174,Haver_M!$B$1:$B$1000,0),MATCH(data!AB$1,Haver_M!$B$1:$ZN$1,0)),"na")</f>
        <v>33341.699999999997</v>
      </c>
      <c r="AC174">
        <f>IF(ISNUMBER(INDEX(Haver_M!$B$1:$ZN$1000,MATCH(data!$A174,Haver_M!$B$1:$B$1000,0),MATCH(data!AC$1,Haver_M!$B$1:$ZN$1,0))),INDEX(Haver_M!$B$1:$ZN$1000,MATCH(data!$A174,Haver_M!$B$1:$B$1000,0),MATCH(data!AC$1,Haver_M!$B$1:$ZN$1,0)),"na")</f>
        <v>33718.6</v>
      </c>
      <c r="AD174">
        <f>IF(ISNUMBER(INDEX(Haver_M!$B$1:$ZN$1000,MATCH(data!$A174,Haver_M!$B$1:$B$1000,0),MATCH(data!AD$1,Haver_M!$B$1:$ZN$1,0))),INDEX(Haver_M!$B$1:$ZN$1000,MATCH(data!$A174,Haver_M!$B$1:$B$1000,0),MATCH(data!AD$1,Haver_M!$B$1:$ZN$1,0)),"na")</f>
        <v>99.72</v>
      </c>
      <c r="AE174">
        <f>IF(ISNUMBER(INDEX(Haver_M!$B$1:$ZN$1000,MATCH(data!$A174,Haver_M!$B$1:$B$1000,0),MATCH(data!AE$1,Haver_M!$B$1:$ZN$1,0))),INDEX(Haver_M!$B$1:$ZN$1000,MATCH(data!$A174,Haver_M!$B$1:$B$1000,0),MATCH(data!AE$1,Haver_M!$B$1:$ZN$1,0)),"na")</f>
        <v>37.700000000000003</v>
      </c>
      <c r="AF174">
        <f>IF(ISNUMBER(INDEX(Haver_M!$B$1:$ZN$1000,MATCH(data!$A174,Haver_M!$B$1:$B$1000,0),MATCH(data!AF$1,Haver_M!$B$1:$ZN$1,0))),INDEX(Haver_M!$B$1:$ZN$1000,MATCH(data!$A174,Haver_M!$B$1:$B$1000,0),MATCH(data!AF$1,Haver_M!$B$1:$ZN$1,0)),"na")</f>
        <v>99.91</v>
      </c>
      <c r="AG174">
        <f>IF(ISNUMBER(INDEX(Haver_M!$B$1:$ZN$1000,MATCH(data!$A174,Haver_M!$B$1:$B$1000,0),MATCH(data!AG$1,Haver_M!$B$1:$ZN$1,0))),INDEX(Haver_M!$B$1:$ZN$1000,MATCH(data!$A174,Haver_M!$B$1:$B$1000,0),MATCH(data!AG$1,Haver_M!$B$1:$ZN$1,0)),"na")</f>
        <v>51.859499999999997</v>
      </c>
      <c r="AH174">
        <f>IF(ISNUMBER(INDEX(Haver_M!$B$1:$ZN$1000,MATCH(data!$A174,Haver_M!$B$1:$B$1000,0),MATCH(data!AH$1,Haver_M!$B$1:$ZN$1,0))),INDEX(Haver_M!$B$1:$ZN$1000,MATCH(data!$A174,Haver_M!$B$1:$B$1000,0),MATCH(data!AH$1,Haver_M!$B$1:$ZN$1,0)),"na")</f>
        <v>51.611400000000003</v>
      </c>
      <c r="AI174">
        <f>IF(ISNUMBER(INDEX(Haver_M!$B$1:$ZN$1000,MATCH(data!$A174,Haver_M!$B$1:$B$1000,0),MATCH(data!AI$1,Haver_M!$B$1:$ZN$1,0))),INDEX(Haver_M!$B$1:$ZN$1000,MATCH(data!$A174,Haver_M!$B$1:$B$1000,0),MATCH(data!AI$1,Haver_M!$B$1:$ZN$1,0)),"na")</f>
        <v>53.2821</v>
      </c>
      <c r="AJ174">
        <f>IF(ISNUMBER(INDEX(Haver_M!$B$1:$ZN$1000,MATCH(data!$A174,Haver_M!$B$1:$B$1000,0),MATCH(data!AJ$1,Haver_M!$B$1:$ZN$1,0))),INDEX(Haver_M!$B$1:$ZN$1000,MATCH(data!$A174,Haver_M!$B$1:$B$1000,0),MATCH(data!AJ$1,Haver_M!$B$1:$ZN$1,0)),"na")</f>
        <v>51.069299999999998</v>
      </c>
      <c r="AK174">
        <f>IF(ISNUMBER(INDEX(Haver_M!$B$1:$ZN$1000,MATCH(data!$A174,Haver_M!$B$1:$B$1000,0),MATCH(data!AK$1,Haver_M!$B$1:$ZN$1,0))),INDEX(Haver_M!$B$1:$ZN$1000,MATCH(data!$A174,Haver_M!$B$1:$B$1000,0),MATCH(data!AK$1,Haver_M!$B$1:$ZN$1,0)),"na")</f>
        <v>48.859900000000003</v>
      </c>
      <c r="AL174">
        <f>IF(ISNUMBER(INDEX(Haver_M!$B$1:$ZN$1000,MATCH(data!$A174,Haver_M!$B$1:$B$1000,0),MATCH(data!AL$1,Haver_M!$B$1:$ZN$1,0))),INDEX(Haver_M!$B$1:$ZN$1000,MATCH(data!$A174,Haver_M!$B$1:$B$1000,0),MATCH(data!AL$1,Haver_M!$B$1:$ZN$1,0)),"na")</f>
        <v>50.872199999999999</v>
      </c>
      <c r="AM174">
        <f>IF(ISNUMBER(INDEX(Haver_M!$B$1:$ZN$1000,MATCH(data!$A174,Haver_M!$B$1:$B$1000,0),MATCH(data!AM$1,Haver_M!$B$1:$ZN$1,0))),INDEX(Haver_M!$B$1:$ZN$1000,MATCH(data!$A174,Haver_M!$B$1:$B$1000,0),MATCH(data!AM$1,Haver_M!$B$1:$ZN$1,0)),"na")</f>
        <v>55.392200000000003</v>
      </c>
      <c r="AN174">
        <f>IF(ISNUMBER(INDEX(Haver_M!$B$1:$ZN$1000,MATCH(data!$A174,Haver_M!$B$1:$B$1000,0),MATCH(data!AN$1,Haver_M!$B$1:$ZN$1,0))),INDEX(Haver_M!$B$1:$ZN$1000,MATCH(data!$A174,Haver_M!$B$1:$B$1000,0),MATCH(data!AN$1,Haver_M!$B$1:$ZN$1,0)),"na")</f>
        <v>51.124200000000002</v>
      </c>
      <c r="AO174">
        <f>IF(ISNUMBER(INDEX(Haver_M!$B$1:$ZN$1000,MATCH(data!$A174,Haver_M!$B$1:$B$1000,0),MATCH(data!AO$1,Haver_M!$B$1:$ZN$1,0))),INDEX(Haver_M!$B$1:$ZN$1000,MATCH(data!$A174,Haver_M!$B$1:$B$1000,0),MATCH(data!AO$1,Haver_M!$B$1:$ZN$1,0)),"na")</f>
        <v>50.872199999999999</v>
      </c>
      <c r="AP174">
        <f>IF(ISNUMBER(INDEX(Haver_M!$B$1:$ZN$1000,MATCH(data!$A174,Haver_M!$B$1:$B$1000,0),MATCH(data!AP$1,Haver_M!$B$1:$ZN$1,0))),INDEX(Haver_M!$B$1:$ZN$1000,MATCH(data!$A174,Haver_M!$B$1:$B$1000,0),MATCH(data!AP$1,Haver_M!$B$1:$ZN$1,0)),"na")</f>
        <v>53.183100000000003</v>
      </c>
      <c r="AQ174">
        <f>IF(ISNUMBER(INDEX(Haver_M!$B$1:$ZN$1000,MATCH(data!$A174,Haver_M!$B$1:$B$1000,0),MATCH(data!AQ$1,Haver_M!$B$1:$ZN$1,0))),INDEX(Haver_M!$B$1:$ZN$1000,MATCH(data!$A174,Haver_M!$B$1:$B$1000,0),MATCH(data!AQ$1,Haver_M!$B$1:$ZN$1,0)),"na")</f>
        <v>51.737200000000001</v>
      </c>
      <c r="AR174">
        <f>IF(ISNUMBER(INDEX(Haver_M!$B$1:$ZN$1000,MATCH(data!$A174,Haver_M!$B$1:$B$1000,0),MATCH(data!AR$1,Haver_M!$B$1:$ZN$1,0))),INDEX(Haver_M!$B$1:$ZN$1000,MATCH(data!$A174,Haver_M!$B$1:$B$1000,0),MATCH(data!AR$1,Haver_M!$B$1:$ZN$1,0)),"na")</f>
        <v>47.522500000000001</v>
      </c>
      <c r="AS174">
        <f>IF(ISNUMBER(INDEX(Haver_M!$B$1:$ZN$1000,MATCH(data!$A174,Haver_M!$B$1:$B$1000,0),MATCH(data!AS$1,Haver_M!$B$1:$ZN$1,0))),INDEX(Haver_M!$B$1:$ZN$1000,MATCH(data!$A174,Haver_M!$B$1:$B$1000,0),MATCH(data!AS$1,Haver_M!$B$1:$ZN$1,0)),"na")</f>
        <v>41769.120000000003</v>
      </c>
      <c r="AT174">
        <f>IF(ISNUMBER(INDEX(Haver_M!$B$1:$ZN$1000,MATCH(data!$A174,Haver_M!$B$1:$B$1000,0),MATCH(data!AT$1,Haver_M!$B$1:$ZN$1,0))),INDEX(Haver_M!$B$1:$ZN$1000,MATCH(data!$A174,Haver_M!$B$1:$B$1000,0),MATCH(data!AT$1,Haver_M!$B$1:$ZN$1,0)),"na")</f>
        <v>102.631</v>
      </c>
      <c r="AU174">
        <f>IF(ISNUMBER(INDEX(Haver_M!$B$1:$ZN$1000,MATCH(data!$A174,Haver_M!$B$1:$B$1000,0),MATCH(data!AU$1,Haver_M!$B$1:$ZN$1,0))),INDEX(Haver_M!$B$1:$ZN$1000,MATCH(data!$A174,Haver_M!$B$1:$B$1000,0),MATCH(data!AU$1,Haver_M!$B$1:$ZN$1,0)),"na")</f>
        <v>102.902131</v>
      </c>
      <c r="AV174">
        <f>IF(ISNUMBER(INDEX(Haver_M!$B$1:$ZN$1000,MATCH(data!$A174,Haver_M!$B$1:$B$1000,0),MATCH(data!AV$1,Haver_M!$B$1:$ZN$1,0))),INDEX(Haver_M!$B$1:$ZN$1000,MATCH(data!$A174,Haver_M!$B$1:$B$1000,0),MATCH(data!AV$1,Haver_M!$B$1:$ZN$1,0)),"na")</f>
        <v>102.7</v>
      </c>
      <c r="AW174">
        <f>IF(ISNUMBER(INDEX(Haver_M!$B$1:$ZN$1000,MATCH(data!$A174,Haver_M!$B$1:$B$1000,0),MATCH(data!AW$1,Haver_M!$B$1:$ZN$1,0))),INDEX(Haver_M!$B$1:$ZN$1000,MATCH(data!$A174,Haver_M!$B$1:$B$1000,0),MATCH(data!AW$1,Haver_M!$B$1:$ZN$1,0)),"na")</f>
        <v>1361694.8706533629</v>
      </c>
      <c r="AX174">
        <f>IF(ISNUMBER(INDEX(Haver_M!$B$1:$ZN$1000,MATCH(data!$A174,Haver_M!$B$1:$B$1000,0),MATCH(data!AX$1,Haver_M!$B$1:$ZN$1,0))),INDEX(Haver_M!$B$1:$ZN$1000,MATCH(data!$A174,Haver_M!$B$1:$B$1000,0),MATCH(data!AX$1,Haver_M!$B$1:$ZN$1,0)),"na")</f>
        <v>2494</v>
      </c>
      <c r="AY174">
        <f>IF(ISNUMBER(INDEX(Haver_M!$B$1:$ZN$1000,MATCH(data!$A174,Haver_M!$B$1:$B$1000,0),MATCH(data!AY$1,Haver_M!$B$1:$ZN$1,0))),INDEX(Haver_M!$B$1:$ZN$1000,MATCH(data!$A174,Haver_M!$B$1:$B$1000,0),MATCH(data!AY$1,Haver_M!$B$1:$ZN$1,0)),"na")</f>
        <v>1116</v>
      </c>
      <c r="AZ174">
        <f>IF(ISNUMBER(INDEX(Haver_M!$B$1:$ZN$1000,MATCH(data!$A174,Haver_M!$B$1:$B$1000,0),MATCH(data!AZ$1,Haver_M!$B$1:$ZN$1,0))),INDEX(Haver_M!$B$1:$ZN$1000,MATCH(data!$A174,Haver_M!$B$1:$B$1000,0),MATCH(data!AZ$1,Haver_M!$B$1:$ZN$1,0)),"na")</f>
        <v>53.4</v>
      </c>
      <c r="BA174">
        <f>IF(ISNUMBER(INDEX(Haver_M!$B$1:$ZN$1000,MATCH(data!$A174,Haver_M!$B$1:$B$1000,0),MATCH(data!BA$1,Haver_M!$B$1:$ZN$1,0))),INDEX(Haver_M!$B$1:$ZN$1000,MATCH(data!$A174,Haver_M!$B$1:$B$1000,0),MATCH(data!BA$1,Haver_M!$B$1:$ZN$1,0)),"na")</f>
        <v>37.200627166554042</v>
      </c>
      <c r="BB174" t="str">
        <f>IF(ISNUMBER(INDEX(Haver_M!$B$1:$ZN$1000,MATCH(data!$A174,Haver_M!$B$1:$B$1000,0),MATCH(data!BB$1,Haver_M!$B$1:$ZN$1,0))),INDEX(Haver_M!$B$1:$ZN$1000,MATCH(data!$A174,Haver_M!$B$1:$B$1000,0),MATCH(data!BB$1,Haver_M!$B$1:$ZN$1,0)),"")</f>
        <v/>
      </c>
    </row>
    <row r="175" spans="1:54" x14ac:dyDescent="0.25">
      <c r="A175" s="2">
        <v>41820</v>
      </c>
      <c r="B175">
        <f>IF(ISNUMBER(INDEX(Haver_Q!$B$1:$BD$1000,MATCH(data!$A175,Haver_Q!$B$1:$B$1000,0),MATCH(data!B$1,Haver_Q!$B$1:$BD$1,0))),100*INDEX(Haver_Q!$B$1:$BD$1000,MATCH(data!$A175,Haver_Q!$B$1:$B$1000,0),MATCH(data!B$1,Haver_Q!$B$1:$BD$1,0)),"na")</f>
        <v>4.9585102959094574</v>
      </c>
      <c r="C175">
        <f>IF(ISNUMBER(INDEX(Haver_Q!$B$1:$BD$1000,MATCH(data!$A175,Haver_Q!$B$1:$B$1000,0),MATCH(data!C$1,Haver_Q!$B$1:$BD$1,0))),100*INDEX(Haver_Q!$B$1:$BD$1000,MATCH(data!$A175,Haver_Q!$B$1:$B$1000,0),MATCH(data!C$1,Haver_Q!$B$1:$BD$1,0)),"na")</f>
        <v>0.55199332796984635</v>
      </c>
      <c r="D175">
        <f>IF(ISNUMBER(INDEX(Haver_Q!$B$1:$BD$1000,MATCH(data!$A175,Haver_Q!$B$1:$B$1000,0),MATCH(data!D$1,Haver_Q!$B$1:$BD$1,0))),100*INDEX(Haver_Q!$B$1:$BD$1000,MATCH(data!$A175,Haver_Q!$B$1:$B$1000,0),MATCH(data!D$1,Haver_Q!$B$1:$BD$1,0)),"na")</f>
        <v>7.3226414160731723</v>
      </c>
      <c r="E175">
        <f>IF(ISNUMBER(INDEX(Haver_Q!$B$1:$BD$1000,MATCH(data!$A175,Haver_Q!$B$1:$B$1000,0),MATCH(data!E$1,Haver_Q!$B$1:$BD$1,0))),100*INDEX(Haver_Q!$B$1:$BD$1000,MATCH(data!$A175,Haver_Q!$B$1:$B$1000,0),MATCH(data!E$1,Haver_Q!$B$1:$BD$1,0)),"na")</f>
        <v>9.2025182266008976</v>
      </c>
      <c r="F175">
        <f>IF(ISNUMBER(INDEX(Haver_Q!$B$1:$BD$1000,MATCH(data!$A175,Haver_Q!$B$1:$B$1000,0),MATCH(data!F$1,Haver_Q!$B$1:$BD$1,0))),100*INDEX(Haver_Q!$B$1:$BD$1000,MATCH(data!$A175,Haver_Q!$B$1:$B$1000,0),MATCH(data!F$1,Haver_Q!$B$1:$BD$1,0)),"na")</f>
        <v>18.413046873375215</v>
      </c>
      <c r="G175">
        <f>IF(ISNUMBER(INDEX(Haver_Q!$B$1:$BD$1000,MATCH(data!$A175,Haver_Q!$B$1:$B$1000,0),MATCH(data!G$1,Haver_Q!$B$1:$BD$1,0))),100*INDEX(Haver_Q!$B$1:$BD$1000,MATCH(data!$A175,Haver_Q!$B$1:$B$1000,0),MATCH(data!G$1,Haver_Q!$B$1:$BD$1,0)),"na")</f>
        <v>13.380091136490325</v>
      </c>
      <c r="H175">
        <f>IF(ISNUMBER(INDEX(Haver_Q!$B$1:$BD$1000,MATCH(data!$A175,Haver_Q!$B$1:$B$1000,0),MATCH(data!H$1,Haver_Q!$B$1:$BD$1,0))),100*INDEX(Haver_Q!$B$1:$BD$1000,MATCH(data!$A175,Haver_Q!$B$1:$B$1000,0),MATCH(data!H$1,Haver_Q!$B$1:$BD$1,0)),"na")</f>
        <v>396.15564688765926</v>
      </c>
      <c r="I175" s="3">
        <f>IF(ISNUMBER(Bloomberg_m!C191),Bloomberg_m!C191,"na")</f>
        <v>912</v>
      </c>
      <c r="J175" s="3">
        <f>IF(ISNUMBER(Bloomberg_m!D191),Bloomberg_m!D191,"na")</f>
        <v>2024.09</v>
      </c>
      <c r="K175" s="3">
        <f>IF(ISNUMBER(Bloomberg_m!E191),Bloomberg_m!E191,"na")</f>
        <v>1070.3</v>
      </c>
      <c r="L175" s="3">
        <f>IF(ISNUMBER(Bloomberg_m!L191),Bloomberg_m!L191,"na")</f>
        <v>105.24</v>
      </c>
      <c r="M175">
        <f>IF(ISNUMBER(INDEX(Haver_M!$B$1:$ZN$1000,MATCH(data!$A175,Haver_M!$B$1:$B$1000,0),MATCH(data!M$1,Haver_M!$B$1:$ZN$1,0))),INDEX(Haver_M!$B$1:$ZN$1000,MATCH(data!$A175,Haver_M!$B$1:$B$1000,0),MATCH(data!M$1,Haver_M!$B$1:$ZN$1,0)),"na")</f>
        <v>3</v>
      </c>
      <c r="N175">
        <f>IF(ISNUMBER(INDEX(Haver_M!$B$1:$ZN$1000,MATCH(data!$A175,Haver_M!$B$1:$B$1000,0),MATCH(data!N$1,Haver_M!$B$1:$ZN$1,0))),INDEX(Haver_M!$B$1:$ZN$1000,MATCH(data!$A175,Haver_M!$B$1:$B$1000,0),MATCH(data!N$1,Haver_M!$B$1:$ZN$1,0)),"na")</f>
        <v>5.9065000000000003</v>
      </c>
      <c r="O175">
        <f>IF(ISNUMBER(INDEX(Haver_M!$B$1:$ZN$1000,MATCH(data!$A175,Haver_M!$B$1:$B$1000,0),MATCH(data!O$1,Haver_M!$B$1:$ZN$1,0))),INDEX(Haver_M!$B$1:$ZN$1000,MATCH(data!$A175,Haver_M!$B$1:$B$1000,0),MATCH(data!O$1,Haver_M!$B$1:$ZN$1,0)),"na")</f>
        <v>101.3856</v>
      </c>
      <c r="P175">
        <f>IF(ISNUMBER(INDEX(Haver_M!$B$1:$ZN$1000,MATCH(data!$A175,Haver_M!$B$1:$B$1000,0),MATCH(data!P$1,Haver_M!$B$1:$ZN$1,0))),INDEX(Haver_M!$B$1:$ZN$1000,MATCH(data!$A175,Haver_M!$B$1:$B$1000,0),MATCH(data!P$1,Haver_M!$B$1:$ZN$1,0)),"na")</f>
        <v>85.157799999999995</v>
      </c>
      <c r="Q175">
        <f>IF(ISNUMBER(INDEX(Haver_M!$B$1:$ZN$1000,MATCH(data!$A175,Haver_M!$B$1:$B$1000,0),MATCH(data!Q$1,Haver_M!$B$1:$ZN$1,0))),INDEX(Haver_M!$B$1:$ZN$1000,MATCH(data!$A175,Haver_M!$B$1:$B$1000,0),MATCH(data!Q$1,Haver_M!$B$1:$ZN$1,0)),"na")</f>
        <v>87.076999999999998</v>
      </c>
      <c r="R175">
        <f>IF(ISNUMBER(INDEX(Haver_M!$B$1:$ZN$1000,MATCH(data!$A175,Haver_M!$B$1:$B$1000,0),MATCH(data!R$1,Haver_M!$B$1:$ZN$1,0))),INDEX(Haver_M!$B$1:$ZN$1000,MATCH(data!$A175,Haver_M!$B$1:$B$1000,0),MATCH(data!R$1,Haver_M!$B$1:$ZN$1,0)),"na")</f>
        <v>103.131</v>
      </c>
      <c r="S175">
        <f>IF(ISNUMBER(INDEX(Haver_M!$B$1:$ZN$1000,MATCH(data!$A175,Haver_M!$B$1:$B$1000,0),MATCH(data!S$1,Haver_M!$B$1:$ZN$1,0))),INDEX(Haver_M!$B$1:$ZN$1000,MATCH(data!$A175,Haver_M!$B$1:$B$1000,0),MATCH(data!S$1,Haver_M!$B$1:$ZN$1,0)),"na")</f>
        <v>98.3613</v>
      </c>
      <c r="T175">
        <f>IF(ISNUMBER(INDEX(Haver_M!$B$1:$ZN$1000,MATCH(data!$A175,Haver_M!$B$1:$B$1000,0),MATCH(data!T$1,Haver_M!$B$1:$ZN$1,0))),INDEX(Haver_M!$B$1:$ZN$1000,MATCH(data!$A175,Haver_M!$B$1:$B$1000,0),MATCH(data!T$1,Haver_M!$B$1:$ZN$1,0)),"na")</f>
        <v>107.9571</v>
      </c>
      <c r="U175">
        <f>IF(ISNUMBER(INDEX(Haver_M!$B$1:$ZN$1000,MATCH(data!$A175,Haver_M!$B$1:$B$1000,0),MATCH(data!U$1,Haver_M!$B$1:$ZN$1,0))),INDEX(Haver_M!$B$1:$ZN$1000,MATCH(data!$A175,Haver_M!$B$1:$B$1000,0),MATCH(data!U$1,Haver_M!$B$1:$ZN$1,0)),"na")</f>
        <v>104.414</v>
      </c>
      <c r="V175">
        <f>IF(ISNUMBER(INDEX(Haver_M!$B$1:$ZN$1000,MATCH(data!$A175,Haver_M!$B$1:$B$1000,0),MATCH(data!V$1,Haver_M!$B$1:$ZN$1,0))),INDEX(Haver_M!$B$1:$ZN$1000,MATCH(data!$A175,Haver_M!$B$1:$B$1000,0),MATCH(data!V$1,Haver_M!$B$1:$ZN$1,0)),"na")</f>
        <v>104.377</v>
      </c>
      <c r="W175">
        <f>IF(ISNUMBER(INDEX(Haver_M!$B$1:$ZN$1000,MATCH(data!$A175,Haver_M!$B$1:$B$1000,0),MATCH(data!W$1,Haver_M!$B$1:$ZN$1,0))),INDEX(Haver_M!$B$1:$ZN$1000,MATCH(data!$A175,Haver_M!$B$1:$B$1000,0),MATCH(data!W$1,Haver_M!$B$1:$ZN$1,0)),"na")</f>
        <v>4.8099999999999996</v>
      </c>
      <c r="X175">
        <f>IF(ISNUMBER(INDEX(Haver_M!$B$1:$ZN$1000,MATCH(data!$A175,Haver_M!$B$1:$B$1000,0),MATCH(data!X$1,Haver_M!$B$1:$ZN$1,0))),INDEX(Haver_M!$B$1:$ZN$1000,MATCH(data!$A175,Haver_M!$B$1:$B$1000,0),MATCH(data!X$1,Haver_M!$B$1:$ZN$1,0)),"na")</f>
        <v>100.55</v>
      </c>
      <c r="Y175">
        <f>IF(ISNUMBER(INDEX(Haver_M!$B$1:$ZN$1000,MATCH(data!$A175,Haver_M!$B$1:$B$1000,0),MATCH(data!Y$1,Haver_M!$B$1:$ZN$1,0))),INDEX(Haver_M!$B$1:$ZN$1000,MATCH(data!$A175,Haver_M!$B$1:$B$1000,0),MATCH(data!Y$1,Haver_M!$B$1:$ZN$1,0)),"na")</f>
        <v>100.88</v>
      </c>
      <c r="Z175">
        <f>IF(ISNUMBER(INDEX(Haver_M!$B$1:$ZN$1000,MATCH(data!$A175,Haver_M!$B$1:$B$1000,0),MATCH(data!Z$1,Haver_M!$B$1:$ZN$1,0))),INDEX(Haver_M!$B$1:$ZN$1000,MATCH(data!$A175,Haver_M!$B$1:$B$1000,0),MATCH(data!Z$1,Haver_M!$B$1:$ZN$1,0)),"na")</f>
        <v>101.1635</v>
      </c>
      <c r="AA175">
        <f>IF(ISNUMBER(INDEX(Haver_M!$B$1:$ZN$1000,MATCH(data!$A175,Haver_M!$B$1:$B$1000,0),MATCH(data!AA$1,Haver_M!$B$1:$ZN$1,0))),INDEX(Haver_M!$B$1:$ZN$1000,MATCH(data!$A175,Haver_M!$B$1:$B$1000,0),MATCH(data!AA$1,Haver_M!$B$1:$ZN$1,0)),"na")</f>
        <v>102.0795</v>
      </c>
      <c r="AB175">
        <f>IF(ISNUMBER(INDEX(Haver_M!$B$1:$ZN$1000,MATCH(data!$A175,Haver_M!$B$1:$B$1000,0),MATCH(data!AB$1,Haver_M!$B$1:$ZN$1,0))),INDEX(Haver_M!$B$1:$ZN$1000,MATCH(data!$A175,Haver_M!$B$1:$B$1000,0),MATCH(data!AB$1,Haver_M!$B$1:$ZN$1,0)),"na")</f>
        <v>33150.9</v>
      </c>
      <c r="AC175">
        <f>IF(ISNUMBER(INDEX(Haver_M!$B$1:$ZN$1000,MATCH(data!$A175,Haver_M!$B$1:$B$1000,0),MATCH(data!AC$1,Haver_M!$B$1:$ZN$1,0))),INDEX(Haver_M!$B$1:$ZN$1000,MATCH(data!$A175,Haver_M!$B$1:$B$1000,0),MATCH(data!AC$1,Haver_M!$B$1:$ZN$1,0)),"na")</f>
        <v>33606.9</v>
      </c>
      <c r="AD175">
        <f>IF(ISNUMBER(INDEX(Haver_M!$B$1:$ZN$1000,MATCH(data!$A175,Haver_M!$B$1:$B$1000,0),MATCH(data!AD$1,Haver_M!$B$1:$ZN$1,0))),INDEX(Haver_M!$B$1:$ZN$1000,MATCH(data!$A175,Haver_M!$B$1:$B$1000,0),MATCH(data!AD$1,Haver_M!$B$1:$ZN$1,0)),"na")</f>
        <v>99.73</v>
      </c>
      <c r="AE175">
        <f>IF(ISNUMBER(INDEX(Haver_M!$B$1:$ZN$1000,MATCH(data!$A175,Haver_M!$B$1:$B$1000,0),MATCH(data!AE$1,Haver_M!$B$1:$ZN$1,0))),INDEX(Haver_M!$B$1:$ZN$1000,MATCH(data!$A175,Haver_M!$B$1:$B$1000,0),MATCH(data!AE$1,Haver_M!$B$1:$ZN$1,0)),"na")</f>
        <v>37.4</v>
      </c>
      <c r="AF175">
        <f>IF(ISNUMBER(INDEX(Haver_M!$B$1:$ZN$1000,MATCH(data!$A175,Haver_M!$B$1:$B$1000,0),MATCH(data!AF$1,Haver_M!$B$1:$ZN$1,0))),INDEX(Haver_M!$B$1:$ZN$1000,MATCH(data!$A175,Haver_M!$B$1:$B$1000,0),MATCH(data!AF$1,Haver_M!$B$1:$ZN$1,0)),"na")</f>
        <v>99.99</v>
      </c>
      <c r="AG175">
        <f>IF(ISNUMBER(INDEX(Haver_M!$B$1:$ZN$1000,MATCH(data!$A175,Haver_M!$B$1:$B$1000,0),MATCH(data!AG$1,Haver_M!$B$1:$ZN$1,0))),INDEX(Haver_M!$B$1:$ZN$1000,MATCH(data!$A175,Haver_M!$B$1:$B$1000,0),MATCH(data!AG$1,Haver_M!$B$1:$ZN$1,0)),"na")</f>
        <v>51.823500000000003</v>
      </c>
      <c r="AH175">
        <f>IF(ISNUMBER(INDEX(Haver_M!$B$1:$ZN$1000,MATCH(data!$A175,Haver_M!$B$1:$B$1000,0),MATCH(data!AH$1,Haver_M!$B$1:$ZN$1,0))),INDEX(Haver_M!$B$1:$ZN$1000,MATCH(data!$A175,Haver_M!$B$1:$B$1000,0),MATCH(data!AH$1,Haver_M!$B$1:$ZN$1,0)),"na")</f>
        <v>51.967199999999998</v>
      </c>
      <c r="AI175">
        <f>IF(ISNUMBER(INDEX(Haver_M!$B$1:$ZN$1000,MATCH(data!$A175,Haver_M!$B$1:$B$1000,0),MATCH(data!AI$1,Haver_M!$B$1:$ZN$1,0))),INDEX(Haver_M!$B$1:$ZN$1000,MATCH(data!$A175,Haver_M!$B$1:$B$1000,0),MATCH(data!AI$1,Haver_M!$B$1:$ZN$1,0)),"na")</f>
        <v>53.846200000000003</v>
      </c>
      <c r="AJ175">
        <f>IF(ISNUMBER(INDEX(Haver_M!$B$1:$ZN$1000,MATCH(data!$A175,Haver_M!$B$1:$B$1000,0),MATCH(data!AJ$1,Haver_M!$B$1:$ZN$1,0))),INDEX(Haver_M!$B$1:$ZN$1000,MATCH(data!$A175,Haver_M!$B$1:$B$1000,0),MATCH(data!AJ$1,Haver_M!$B$1:$ZN$1,0)),"na")</f>
        <v>49.344299999999997</v>
      </c>
      <c r="AK175">
        <f>IF(ISNUMBER(INDEX(Haver_M!$B$1:$ZN$1000,MATCH(data!$A175,Haver_M!$B$1:$B$1000,0),MATCH(data!AK$1,Haver_M!$B$1:$ZN$1,0))),INDEX(Haver_M!$B$1:$ZN$1000,MATCH(data!$A175,Haver_M!$B$1:$B$1000,0),MATCH(data!AK$1,Haver_M!$B$1:$ZN$1,0)),"na")</f>
        <v>49.268599999999999</v>
      </c>
      <c r="AL175">
        <f>IF(ISNUMBER(INDEX(Haver_M!$B$1:$ZN$1000,MATCH(data!$A175,Haver_M!$B$1:$B$1000,0),MATCH(data!AL$1,Haver_M!$B$1:$ZN$1,0))),INDEX(Haver_M!$B$1:$ZN$1000,MATCH(data!$A175,Haver_M!$B$1:$B$1000,0),MATCH(data!AL$1,Haver_M!$B$1:$ZN$1,0)),"na")</f>
        <v>51.993400000000001</v>
      </c>
      <c r="AM175">
        <f>IF(ISNUMBER(INDEX(Haver_M!$B$1:$ZN$1000,MATCH(data!$A175,Haver_M!$B$1:$B$1000,0),MATCH(data!AM$1,Haver_M!$B$1:$ZN$1,0))),INDEX(Haver_M!$B$1:$ZN$1000,MATCH(data!$A175,Haver_M!$B$1:$B$1000,0),MATCH(data!AM$1,Haver_M!$B$1:$ZN$1,0)),"na")</f>
        <v>57.035200000000003</v>
      </c>
      <c r="AN175">
        <f>IF(ISNUMBER(INDEX(Haver_M!$B$1:$ZN$1000,MATCH(data!$A175,Haver_M!$B$1:$B$1000,0),MATCH(data!AN$1,Haver_M!$B$1:$ZN$1,0))),INDEX(Haver_M!$B$1:$ZN$1000,MATCH(data!$A175,Haver_M!$B$1:$B$1000,0),MATCH(data!AN$1,Haver_M!$B$1:$ZN$1,0)),"na")</f>
        <v>53.292499999999997</v>
      </c>
      <c r="AO175">
        <f>IF(ISNUMBER(INDEX(Haver_M!$B$1:$ZN$1000,MATCH(data!$A175,Haver_M!$B$1:$B$1000,0),MATCH(data!AO$1,Haver_M!$B$1:$ZN$1,0))),INDEX(Haver_M!$B$1:$ZN$1000,MATCH(data!$A175,Haver_M!$B$1:$B$1000,0),MATCH(data!AO$1,Haver_M!$B$1:$ZN$1,0)),"na")</f>
        <v>51.993400000000001</v>
      </c>
      <c r="AP175">
        <f>IF(ISNUMBER(INDEX(Haver_M!$B$1:$ZN$1000,MATCH(data!$A175,Haver_M!$B$1:$B$1000,0),MATCH(data!AP$1,Haver_M!$B$1:$ZN$1,0))),INDEX(Haver_M!$B$1:$ZN$1000,MATCH(data!$A175,Haver_M!$B$1:$B$1000,0),MATCH(data!AP$1,Haver_M!$B$1:$ZN$1,0)),"na")</f>
        <v>51.984099999999998</v>
      </c>
      <c r="AQ175">
        <f>IF(ISNUMBER(INDEX(Haver_M!$B$1:$ZN$1000,MATCH(data!$A175,Haver_M!$B$1:$B$1000,0),MATCH(data!AQ$1,Haver_M!$B$1:$ZN$1,0))),INDEX(Haver_M!$B$1:$ZN$1000,MATCH(data!$A175,Haver_M!$B$1:$B$1000,0),MATCH(data!AQ$1,Haver_M!$B$1:$ZN$1,0)),"na")</f>
        <v>50.819699999999997</v>
      </c>
      <c r="AR175">
        <f>IF(ISNUMBER(INDEX(Haver_M!$B$1:$ZN$1000,MATCH(data!$A175,Haver_M!$B$1:$B$1000,0),MATCH(data!AR$1,Haver_M!$B$1:$ZN$1,0))),INDEX(Haver_M!$B$1:$ZN$1000,MATCH(data!$A175,Haver_M!$B$1:$B$1000,0),MATCH(data!AR$1,Haver_M!$B$1:$ZN$1,0)),"na")</f>
        <v>46.859900000000003</v>
      </c>
      <c r="AS175">
        <f>IF(ISNUMBER(INDEX(Haver_M!$B$1:$ZN$1000,MATCH(data!$A175,Haver_M!$B$1:$B$1000,0),MATCH(data!AS$1,Haver_M!$B$1:$ZN$1,0))),INDEX(Haver_M!$B$1:$ZN$1000,MATCH(data!$A175,Haver_M!$B$1:$B$1000,0),MATCH(data!AS$1,Haver_M!$B$1:$ZN$1,0)),"na")</f>
        <v>42638.37</v>
      </c>
      <c r="AT175">
        <f>IF(ISNUMBER(INDEX(Haver_M!$B$1:$ZN$1000,MATCH(data!$A175,Haver_M!$B$1:$B$1000,0),MATCH(data!AT$1,Haver_M!$B$1:$ZN$1,0))),INDEX(Haver_M!$B$1:$ZN$1000,MATCH(data!$A175,Haver_M!$B$1:$B$1000,0),MATCH(data!AT$1,Haver_M!$B$1:$ZN$1,0)),"na")</f>
        <v>102.741</v>
      </c>
      <c r="AU175">
        <f>IF(ISNUMBER(INDEX(Haver_M!$B$1:$ZN$1000,MATCH(data!$A175,Haver_M!$B$1:$B$1000,0),MATCH(data!AU$1,Haver_M!$B$1:$ZN$1,0))),INDEX(Haver_M!$B$1:$ZN$1000,MATCH(data!$A175,Haver_M!$B$1:$B$1000,0),MATCH(data!AU$1,Haver_M!$B$1:$ZN$1,0)),"na")</f>
        <v>102.55439800000001</v>
      </c>
      <c r="AV175">
        <f>IF(ISNUMBER(INDEX(Haver_M!$B$1:$ZN$1000,MATCH(data!$A175,Haver_M!$B$1:$B$1000,0),MATCH(data!AV$1,Haver_M!$B$1:$ZN$1,0))),INDEX(Haver_M!$B$1:$ZN$1000,MATCH(data!$A175,Haver_M!$B$1:$B$1000,0),MATCH(data!AV$1,Haver_M!$B$1:$ZN$1,0)),"na")</f>
        <v>102.9</v>
      </c>
      <c r="AW175">
        <f>IF(ISNUMBER(INDEX(Haver_M!$B$1:$ZN$1000,MATCH(data!$A175,Haver_M!$B$1:$B$1000,0),MATCH(data!AW$1,Haver_M!$B$1:$ZN$1,0))),INDEX(Haver_M!$B$1:$ZN$1000,MATCH(data!$A175,Haver_M!$B$1:$B$1000,0),MATCH(data!AW$1,Haver_M!$B$1:$ZN$1,0)),"na")</f>
        <v>1385855.4459066929</v>
      </c>
      <c r="AX175">
        <f>IF(ISNUMBER(INDEX(Haver_M!$B$1:$ZN$1000,MATCH(data!$A175,Haver_M!$B$1:$B$1000,0),MATCH(data!AX$1,Haver_M!$B$1:$ZN$1,0))),INDEX(Haver_M!$B$1:$ZN$1000,MATCH(data!$A175,Haver_M!$B$1:$B$1000,0),MATCH(data!AX$1,Haver_M!$B$1:$ZN$1,0)),"na")</f>
        <v>2438</v>
      </c>
      <c r="AY175">
        <f>IF(ISNUMBER(INDEX(Haver_M!$B$1:$ZN$1000,MATCH(data!$A175,Haver_M!$B$1:$B$1000,0),MATCH(data!AY$1,Haver_M!$B$1:$ZN$1,0))),INDEX(Haver_M!$B$1:$ZN$1000,MATCH(data!$A175,Haver_M!$B$1:$B$1000,0),MATCH(data!AY$1,Haver_M!$B$1:$ZN$1,0)),"na")</f>
        <v>1075</v>
      </c>
      <c r="AZ175">
        <f>IF(ISNUMBER(INDEX(Haver_M!$B$1:$ZN$1000,MATCH(data!$A175,Haver_M!$B$1:$B$1000,0),MATCH(data!AZ$1,Haver_M!$B$1:$ZN$1,0))),INDEX(Haver_M!$B$1:$ZN$1000,MATCH(data!$A175,Haver_M!$B$1:$B$1000,0),MATCH(data!AZ$1,Haver_M!$B$1:$ZN$1,0)),"na")</f>
        <v>51.2</v>
      </c>
      <c r="BA175">
        <f>IF(ISNUMBER(INDEX(Haver_M!$B$1:$ZN$1000,MATCH(data!$A175,Haver_M!$B$1:$B$1000,0),MATCH(data!BA$1,Haver_M!$B$1:$ZN$1,0))),INDEX(Haver_M!$B$1:$ZN$1000,MATCH(data!$A175,Haver_M!$B$1:$B$1000,0),MATCH(data!BA$1,Haver_M!$B$1:$ZN$1,0)),"na")</f>
        <v>27.644829508471453</v>
      </c>
      <c r="BB175" t="str">
        <f>IF(ISNUMBER(INDEX(Haver_M!$B$1:$ZN$1000,MATCH(data!$A175,Haver_M!$B$1:$B$1000,0),MATCH(data!BB$1,Haver_M!$B$1:$ZN$1,0))),INDEX(Haver_M!$B$1:$ZN$1000,MATCH(data!$A175,Haver_M!$B$1:$B$1000,0),MATCH(data!BB$1,Haver_M!$B$1:$ZN$1,0)),"")</f>
        <v/>
      </c>
    </row>
    <row r="176" spans="1:54" x14ac:dyDescent="0.25">
      <c r="A176" s="2">
        <v>41851</v>
      </c>
      <c r="B176" t="str">
        <f>IF(ISNUMBER(INDEX(Haver_Q!$B$1:$BD$1000,MATCH(data!$A176,Haver_Q!$B$1:$B$1000,0),MATCH(data!B$1,Haver_Q!$B$1:$BD$1,0))),100*INDEX(Haver_Q!$B$1:$BD$1000,MATCH(data!$A176,Haver_Q!$B$1:$B$1000,0),MATCH(data!B$1,Haver_Q!$B$1:$BD$1,0)),"na")</f>
        <v>na</v>
      </c>
      <c r="C176" t="str">
        <f>IF(ISNUMBER(INDEX(Haver_Q!$B$1:$BD$1000,MATCH(data!$A176,Haver_Q!$B$1:$B$1000,0),MATCH(data!C$1,Haver_Q!$B$1:$BD$1,0))),100*INDEX(Haver_Q!$B$1:$BD$1000,MATCH(data!$A176,Haver_Q!$B$1:$B$1000,0),MATCH(data!C$1,Haver_Q!$B$1:$BD$1,0)),"na")</f>
        <v>na</v>
      </c>
      <c r="D176" t="str">
        <f>IF(ISNUMBER(INDEX(Haver_Q!$B$1:$BD$1000,MATCH(data!$A176,Haver_Q!$B$1:$B$1000,0),MATCH(data!D$1,Haver_Q!$B$1:$BD$1,0))),100*INDEX(Haver_Q!$B$1:$BD$1000,MATCH(data!$A176,Haver_Q!$B$1:$B$1000,0),MATCH(data!D$1,Haver_Q!$B$1:$BD$1,0)),"na")</f>
        <v>na</v>
      </c>
      <c r="E176" t="str">
        <f>IF(ISNUMBER(INDEX(Haver_Q!$B$1:$BD$1000,MATCH(data!$A176,Haver_Q!$B$1:$B$1000,0),MATCH(data!E$1,Haver_Q!$B$1:$BD$1,0))),100*INDEX(Haver_Q!$B$1:$BD$1000,MATCH(data!$A176,Haver_Q!$B$1:$B$1000,0),MATCH(data!E$1,Haver_Q!$B$1:$BD$1,0)),"na")</f>
        <v>na</v>
      </c>
      <c r="F176" t="str">
        <f>IF(ISNUMBER(INDEX(Haver_Q!$B$1:$BD$1000,MATCH(data!$A176,Haver_Q!$B$1:$B$1000,0),MATCH(data!F$1,Haver_Q!$B$1:$BD$1,0))),100*INDEX(Haver_Q!$B$1:$BD$1000,MATCH(data!$A176,Haver_Q!$B$1:$B$1000,0),MATCH(data!F$1,Haver_Q!$B$1:$BD$1,0)),"na")</f>
        <v>na</v>
      </c>
      <c r="G176" t="str">
        <f>IF(ISNUMBER(INDEX(Haver_Q!$B$1:$BD$1000,MATCH(data!$A176,Haver_Q!$B$1:$B$1000,0),MATCH(data!G$1,Haver_Q!$B$1:$BD$1,0))),100*INDEX(Haver_Q!$B$1:$BD$1000,MATCH(data!$A176,Haver_Q!$B$1:$B$1000,0),MATCH(data!G$1,Haver_Q!$B$1:$BD$1,0)),"na")</f>
        <v>na</v>
      </c>
      <c r="H176" t="str">
        <f>IF(ISNUMBER(INDEX(Haver_Q!$B$1:$BD$1000,MATCH(data!$A176,Haver_Q!$B$1:$B$1000,0),MATCH(data!H$1,Haver_Q!$B$1:$BD$1,0))),100*INDEX(Haver_Q!$B$1:$BD$1000,MATCH(data!$A176,Haver_Q!$B$1:$B$1000,0),MATCH(data!H$1,Haver_Q!$B$1:$BD$1,0)),"na")</f>
        <v>na</v>
      </c>
      <c r="I176" s="3">
        <f>IF(ISNUMBER(Bloomberg_m!C192),Bloomberg_m!C192,"na")</f>
        <v>796</v>
      </c>
      <c r="J176" s="3">
        <f>IF(ISNUMBER(Bloomberg_m!D192),Bloomberg_m!D192,"na")</f>
        <v>2067.3200000000002</v>
      </c>
      <c r="K176" s="3">
        <f>IF(ISNUMBER(Bloomberg_m!E192),Bloomberg_m!E192,"na")</f>
        <v>1092.5999999999999</v>
      </c>
      <c r="L176" s="3">
        <f>IF(ISNUMBER(Bloomberg_m!L192),Bloomberg_m!L192,"na")</f>
        <v>102.94</v>
      </c>
      <c r="M176">
        <f>IF(ISNUMBER(INDEX(Haver_M!$B$1:$ZN$1000,MATCH(data!$A176,Haver_M!$B$1:$B$1000,0),MATCH(data!M$1,Haver_M!$B$1:$ZN$1,0))),INDEX(Haver_M!$B$1:$ZN$1000,MATCH(data!$A176,Haver_M!$B$1:$B$1000,0),MATCH(data!M$1,Haver_M!$B$1:$ZN$1,0)),"na")</f>
        <v>3</v>
      </c>
      <c r="N176">
        <f>IF(ISNUMBER(INDEX(Haver_M!$B$1:$ZN$1000,MATCH(data!$A176,Haver_M!$B$1:$B$1000,0),MATCH(data!N$1,Haver_M!$B$1:$ZN$1,0))),INDEX(Haver_M!$B$1:$ZN$1000,MATCH(data!$A176,Haver_M!$B$1:$B$1000,0),MATCH(data!N$1,Haver_M!$B$1:$ZN$1,0)),"na")</f>
        <v>5.8630000000000004</v>
      </c>
      <c r="O176">
        <f>IF(ISNUMBER(INDEX(Haver_M!$B$1:$ZN$1000,MATCH(data!$A176,Haver_M!$B$1:$B$1000,0),MATCH(data!O$1,Haver_M!$B$1:$ZN$1,0))),INDEX(Haver_M!$B$1:$ZN$1000,MATCH(data!$A176,Haver_M!$B$1:$B$1000,0),MATCH(data!O$1,Haver_M!$B$1:$ZN$1,0)),"na")</f>
        <v>101.50400999999999</v>
      </c>
      <c r="P176">
        <f>IF(ISNUMBER(INDEX(Haver_M!$B$1:$ZN$1000,MATCH(data!$A176,Haver_M!$B$1:$B$1000,0),MATCH(data!P$1,Haver_M!$B$1:$ZN$1,0))),INDEX(Haver_M!$B$1:$ZN$1000,MATCH(data!$A176,Haver_M!$B$1:$B$1000,0),MATCH(data!P$1,Haver_M!$B$1:$ZN$1,0)),"na")</f>
        <v>85.440299999999993</v>
      </c>
      <c r="Q176">
        <f>IF(ISNUMBER(INDEX(Haver_M!$B$1:$ZN$1000,MATCH(data!$A176,Haver_M!$B$1:$B$1000,0),MATCH(data!Q$1,Haver_M!$B$1:$ZN$1,0))),INDEX(Haver_M!$B$1:$ZN$1000,MATCH(data!$A176,Haver_M!$B$1:$B$1000,0),MATCH(data!Q$1,Haver_M!$B$1:$ZN$1,0)),"na")</f>
        <v>87.3065</v>
      </c>
      <c r="R176">
        <f>IF(ISNUMBER(INDEX(Haver_M!$B$1:$ZN$1000,MATCH(data!$A176,Haver_M!$B$1:$B$1000,0),MATCH(data!R$1,Haver_M!$B$1:$ZN$1,0))),INDEX(Haver_M!$B$1:$ZN$1000,MATCH(data!$A176,Haver_M!$B$1:$B$1000,0),MATCH(data!R$1,Haver_M!$B$1:$ZN$1,0)),"na")</f>
        <v>102.152</v>
      </c>
      <c r="S176">
        <f>IF(ISNUMBER(INDEX(Haver_M!$B$1:$ZN$1000,MATCH(data!$A176,Haver_M!$B$1:$B$1000,0),MATCH(data!S$1,Haver_M!$B$1:$ZN$1,0))),INDEX(Haver_M!$B$1:$ZN$1000,MATCH(data!$A176,Haver_M!$B$1:$B$1000,0),MATCH(data!S$1,Haver_M!$B$1:$ZN$1,0)),"na")</f>
        <v>97.828100000000006</v>
      </c>
      <c r="T176">
        <f>IF(ISNUMBER(INDEX(Haver_M!$B$1:$ZN$1000,MATCH(data!$A176,Haver_M!$B$1:$B$1000,0),MATCH(data!T$1,Haver_M!$B$1:$ZN$1,0))),INDEX(Haver_M!$B$1:$ZN$1000,MATCH(data!$A176,Haver_M!$B$1:$B$1000,0),MATCH(data!T$1,Haver_M!$B$1:$ZN$1,0)),"na")</f>
        <v>107.792</v>
      </c>
      <c r="U176">
        <f>IF(ISNUMBER(INDEX(Haver_M!$B$1:$ZN$1000,MATCH(data!$A176,Haver_M!$B$1:$B$1000,0),MATCH(data!U$1,Haver_M!$B$1:$ZN$1,0))),INDEX(Haver_M!$B$1:$ZN$1000,MATCH(data!$A176,Haver_M!$B$1:$B$1000,0),MATCH(data!U$1,Haver_M!$B$1:$ZN$1,0)),"na")</f>
        <v>98.916200000000003</v>
      </c>
      <c r="V176">
        <f>IF(ISNUMBER(INDEX(Haver_M!$B$1:$ZN$1000,MATCH(data!$A176,Haver_M!$B$1:$B$1000,0),MATCH(data!V$1,Haver_M!$B$1:$ZN$1,0))),INDEX(Haver_M!$B$1:$ZN$1000,MATCH(data!$A176,Haver_M!$B$1:$B$1000,0),MATCH(data!V$1,Haver_M!$B$1:$ZN$1,0)),"na")</f>
        <v>104.8027</v>
      </c>
      <c r="W176">
        <f>IF(ISNUMBER(INDEX(Haver_M!$B$1:$ZN$1000,MATCH(data!$A176,Haver_M!$B$1:$B$1000,0),MATCH(data!W$1,Haver_M!$B$1:$ZN$1,0))),INDEX(Haver_M!$B$1:$ZN$1000,MATCH(data!$A176,Haver_M!$B$1:$B$1000,0),MATCH(data!W$1,Haver_M!$B$1:$ZN$1,0)),"na")</f>
        <v>5.23</v>
      </c>
      <c r="X176">
        <f>IF(ISNUMBER(INDEX(Haver_M!$B$1:$ZN$1000,MATCH(data!$A176,Haver_M!$B$1:$B$1000,0),MATCH(data!X$1,Haver_M!$B$1:$ZN$1,0))),INDEX(Haver_M!$B$1:$ZN$1000,MATCH(data!$A176,Haver_M!$B$1:$B$1000,0),MATCH(data!X$1,Haver_M!$B$1:$ZN$1,0)),"na")</f>
        <v>101.85</v>
      </c>
      <c r="Y176">
        <f>IF(ISNUMBER(INDEX(Haver_M!$B$1:$ZN$1000,MATCH(data!$A176,Haver_M!$B$1:$B$1000,0),MATCH(data!Y$1,Haver_M!$B$1:$ZN$1,0))),INDEX(Haver_M!$B$1:$ZN$1000,MATCH(data!$A176,Haver_M!$B$1:$B$1000,0),MATCH(data!Y$1,Haver_M!$B$1:$ZN$1,0)),"na")</f>
        <v>100.98</v>
      </c>
      <c r="Z176">
        <f>IF(ISNUMBER(INDEX(Haver_M!$B$1:$ZN$1000,MATCH(data!$A176,Haver_M!$B$1:$B$1000,0),MATCH(data!Z$1,Haver_M!$B$1:$ZN$1,0))),INDEX(Haver_M!$B$1:$ZN$1000,MATCH(data!$A176,Haver_M!$B$1:$B$1000,0),MATCH(data!Z$1,Haver_M!$B$1:$ZN$1,0)),"na")</f>
        <v>101.5455</v>
      </c>
      <c r="AA176">
        <f>IF(ISNUMBER(INDEX(Haver_M!$B$1:$ZN$1000,MATCH(data!$A176,Haver_M!$B$1:$B$1000,0),MATCH(data!AA$1,Haver_M!$B$1:$ZN$1,0))),INDEX(Haver_M!$B$1:$ZN$1000,MATCH(data!$A176,Haver_M!$B$1:$B$1000,0),MATCH(data!AA$1,Haver_M!$B$1:$ZN$1,0)),"na")</f>
        <v>103.25239999999999</v>
      </c>
      <c r="AB176">
        <f>IF(ISNUMBER(INDEX(Haver_M!$B$1:$ZN$1000,MATCH(data!$A176,Haver_M!$B$1:$B$1000,0),MATCH(data!AB$1,Haver_M!$B$1:$ZN$1,0))),INDEX(Haver_M!$B$1:$ZN$1000,MATCH(data!$A176,Haver_M!$B$1:$B$1000,0),MATCH(data!AB$1,Haver_M!$B$1:$ZN$1,0)),"na")</f>
        <v>33043</v>
      </c>
      <c r="AC176">
        <f>IF(ISNUMBER(INDEX(Haver_M!$B$1:$ZN$1000,MATCH(data!$A176,Haver_M!$B$1:$B$1000,0),MATCH(data!AC$1,Haver_M!$B$1:$ZN$1,0))),INDEX(Haver_M!$B$1:$ZN$1000,MATCH(data!$A176,Haver_M!$B$1:$B$1000,0),MATCH(data!AC$1,Haver_M!$B$1:$ZN$1,0)),"na")</f>
        <v>33028.400000000001</v>
      </c>
      <c r="AD176">
        <f>IF(ISNUMBER(INDEX(Haver_M!$B$1:$ZN$1000,MATCH(data!$A176,Haver_M!$B$1:$B$1000,0),MATCH(data!AD$1,Haver_M!$B$1:$ZN$1,0))),INDEX(Haver_M!$B$1:$ZN$1000,MATCH(data!$A176,Haver_M!$B$1:$B$1000,0),MATCH(data!AD$1,Haver_M!$B$1:$ZN$1,0)),"na")</f>
        <v>99.74</v>
      </c>
      <c r="AE176">
        <f>IF(ISNUMBER(INDEX(Haver_M!$B$1:$ZN$1000,MATCH(data!$A176,Haver_M!$B$1:$B$1000,0),MATCH(data!AE$1,Haver_M!$B$1:$ZN$1,0))),INDEX(Haver_M!$B$1:$ZN$1000,MATCH(data!$A176,Haver_M!$B$1:$B$1000,0),MATCH(data!AE$1,Haver_M!$B$1:$ZN$1,0)),"na")</f>
        <v>36.9</v>
      </c>
      <c r="AF176">
        <f>IF(ISNUMBER(INDEX(Haver_M!$B$1:$ZN$1000,MATCH(data!$A176,Haver_M!$B$1:$B$1000,0),MATCH(data!AF$1,Haver_M!$B$1:$ZN$1,0))),INDEX(Haver_M!$B$1:$ZN$1000,MATCH(data!$A176,Haver_M!$B$1:$B$1000,0),MATCH(data!AF$1,Haver_M!$B$1:$ZN$1,0)),"na")</f>
        <v>100.07</v>
      </c>
      <c r="AG176">
        <f>IF(ISNUMBER(INDEX(Haver_M!$B$1:$ZN$1000,MATCH(data!$A176,Haver_M!$B$1:$B$1000,0),MATCH(data!AG$1,Haver_M!$B$1:$ZN$1,0))),INDEX(Haver_M!$B$1:$ZN$1000,MATCH(data!$A176,Haver_M!$B$1:$B$1000,0),MATCH(data!AG$1,Haver_M!$B$1:$ZN$1,0)),"na")</f>
        <v>51.518099999999997</v>
      </c>
      <c r="AH176">
        <f>IF(ISNUMBER(INDEX(Haver_M!$B$1:$ZN$1000,MATCH(data!$A176,Haver_M!$B$1:$B$1000,0),MATCH(data!AH$1,Haver_M!$B$1:$ZN$1,0))),INDEX(Haver_M!$B$1:$ZN$1000,MATCH(data!$A176,Haver_M!$B$1:$B$1000,0),MATCH(data!AH$1,Haver_M!$B$1:$ZN$1,0)),"na")</f>
        <v>51.754399999999997</v>
      </c>
      <c r="AI176">
        <f>IF(ISNUMBER(INDEX(Haver_M!$B$1:$ZN$1000,MATCH(data!$A176,Haver_M!$B$1:$B$1000,0),MATCH(data!AI$1,Haver_M!$B$1:$ZN$1,0))),INDEX(Haver_M!$B$1:$ZN$1000,MATCH(data!$A176,Haver_M!$B$1:$B$1000,0),MATCH(data!AI$1,Haver_M!$B$1:$ZN$1,0)),"na")</f>
        <v>53.75</v>
      </c>
      <c r="AJ176">
        <f>IF(ISNUMBER(INDEX(Haver_M!$B$1:$ZN$1000,MATCH(data!$A176,Haver_M!$B$1:$B$1000,0),MATCH(data!AJ$1,Haver_M!$B$1:$ZN$1,0))),INDEX(Haver_M!$B$1:$ZN$1000,MATCH(data!$A176,Haver_M!$B$1:$B$1000,0),MATCH(data!AJ$1,Haver_M!$B$1:$ZN$1,0)),"na")</f>
        <v>49.2836</v>
      </c>
      <c r="AK176">
        <f>IF(ISNUMBER(INDEX(Haver_M!$B$1:$ZN$1000,MATCH(data!$A176,Haver_M!$B$1:$B$1000,0),MATCH(data!AK$1,Haver_M!$B$1:$ZN$1,0))),INDEX(Haver_M!$B$1:$ZN$1000,MATCH(data!$A176,Haver_M!$B$1:$B$1000,0),MATCH(data!AK$1,Haver_M!$B$1:$ZN$1,0)),"na")</f>
        <v>49.6479</v>
      </c>
      <c r="AL176">
        <f>IF(ISNUMBER(INDEX(Haver_M!$B$1:$ZN$1000,MATCH(data!$A176,Haver_M!$B$1:$B$1000,0),MATCH(data!AL$1,Haver_M!$B$1:$ZN$1,0))),INDEX(Haver_M!$B$1:$ZN$1000,MATCH(data!$A176,Haver_M!$B$1:$B$1000,0),MATCH(data!AL$1,Haver_M!$B$1:$ZN$1,0)),"na")</f>
        <v>50.449599999999997</v>
      </c>
      <c r="AM176">
        <f>IF(ISNUMBER(INDEX(Haver_M!$B$1:$ZN$1000,MATCH(data!$A176,Haver_M!$B$1:$B$1000,0),MATCH(data!AM$1,Haver_M!$B$1:$ZN$1,0))),INDEX(Haver_M!$B$1:$ZN$1000,MATCH(data!$A176,Haver_M!$B$1:$B$1000,0),MATCH(data!AM$1,Haver_M!$B$1:$ZN$1,0)),"na")</f>
        <v>57.702100000000002</v>
      </c>
      <c r="AN176">
        <f>IF(ISNUMBER(INDEX(Haver_M!$B$1:$ZN$1000,MATCH(data!$A176,Haver_M!$B$1:$B$1000,0),MATCH(data!AN$1,Haver_M!$B$1:$ZN$1,0))),INDEX(Haver_M!$B$1:$ZN$1000,MATCH(data!$A176,Haver_M!$B$1:$B$1000,0),MATCH(data!AN$1,Haver_M!$B$1:$ZN$1,0)),"na")</f>
        <v>52.3568</v>
      </c>
      <c r="AO176">
        <f>IF(ISNUMBER(INDEX(Haver_M!$B$1:$ZN$1000,MATCH(data!$A176,Haver_M!$B$1:$B$1000,0),MATCH(data!AO$1,Haver_M!$B$1:$ZN$1,0))),INDEX(Haver_M!$B$1:$ZN$1000,MATCH(data!$A176,Haver_M!$B$1:$B$1000,0),MATCH(data!AO$1,Haver_M!$B$1:$ZN$1,0)),"na")</f>
        <v>50.449599999999997</v>
      </c>
      <c r="AP176">
        <f>IF(ISNUMBER(INDEX(Haver_M!$B$1:$ZN$1000,MATCH(data!$A176,Haver_M!$B$1:$B$1000,0),MATCH(data!AP$1,Haver_M!$B$1:$ZN$1,0))),INDEX(Haver_M!$B$1:$ZN$1000,MATCH(data!$A176,Haver_M!$B$1:$B$1000,0),MATCH(data!AP$1,Haver_M!$B$1:$ZN$1,0)),"na")</f>
        <v>53.030299999999997</v>
      </c>
      <c r="AQ176">
        <f>IF(ISNUMBER(INDEX(Haver_M!$B$1:$ZN$1000,MATCH(data!$A176,Haver_M!$B$1:$B$1000,0),MATCH(data!AQ$1,Haver_M!$B$1:$ZN$1,0))),INDEX(Haver_M!$B$1:$ZN$1000,MATCH(data!$A176,Haver_M!$B$1:$B$1000,0),MATCH(data!AQ$1,Haver_M!$B$1:$ZN$1,0)),"na")</f>
        <v>50.701799999999999</v>
      </c>
      <c r="AR176">
        <f>IF(ISNUMBER(INDEX(Haver_M!$B$1:$ZN$1000,MATCH(data!$A176,Haver_M!$B$1:$B$1000,0),MATCH(data!AR$1,Haver_M!$B$1:$ZN$1,0))),INDEX(Haver_M!$B$1:$ZN$1000,MATCH(data!$A176,Haver_M!$B$1:$B$1000,0),MATCH(data!AR$1,Haver_M!$B$1:$ZN$1,0)),"na")</f>
        <v>43.783799999999999</v>
      </c>
      <c r="AS176">
        <f>IF(ISNUMBER(INDEX(Haver_M!$B$1:$ZN$1000,MATCH(data!$A176,Haver_M!$B$1:$B$1000,0),MATCH(data!AS$1,Haver_M!$B$1:$ZN$1,0))),INDEX(Haver_M!$B$1:$ZN$1000,MATCH(data!$A176,Haver_M!$B$1:$B$1000,0),MATCH(data!AS$1,Haver_M!$B$1:$ZN$1,0)),"na")</f>
        <v>43891.76</v>
      </c>
      <c r="AT176">
        <f>IF(ISNUMBER(INDEX(Haver_M!$B$1:$ZN$1000,MATCH(data!$A176,Haver_M!$B$1:$B$1000,0),MATCH(data!AT$1,Haver_M!$B$1:$ZN$1,0))),INDEX(Haver_M!$B$1:$ZN$1000,MATCH(data!$A176,Haver_M!$B$1:$B$1000,0),MATCH(data!AT$1,Haver_M!$B$1:$ZN$1,0)),"na")</f>
        <v>102.67700000000001</v>
      </c>
      <c r="AU176">
        <f>IF(ISNUMBER(INDEX(Haver_M!$B$1:$ZN$1000,MATCH(data!$A176,Haver_M!$B$1:$B$1000,0),MATCH(data!AU$1,Haver_M!$B$1:$ZN$1,0))),INDEX(Haver_M!$B$1:$ZN$1000,MATCH(data!$A176,Haver_M!$B$1:$B$1000,0),MATCH(data!AU$1,Haver_M!$B$1:$ZN$1,0)),"na")</f>
        <v>102.975146</v>
      </c>
      <c r="AV176">
        <f>IF(ISNUMBER(INDEX(Haver_M!$B$1:$ZN$1000,MATCH(data!$A176,Haver_M!$B$1:$B$1000,0),MATCH(data!AV$1,Haver_M!$B$1:$ZN$1,0))),INDEX(Haver_M!$B$1:$ZN$1000,MATCH(data!$A176,Haver_M!$B$1:$B$1000,0),MATCH(data!AV$1,Haver_M!$B$1:$ZN$1,0)),"na")</f>
        <v>101.1</v>
      </c>
      <c r="AW176">
        <f>IF(ISNUMBER(INDEX(Haver_M!$B$1:$ZN$1000,MATCH(data!$A176,Haver_M!$B$1:$B$1000,0),MATCH(data!AW$1,Haver_M!$B$1:$ZN$1,0))),INDEX(Haver_M!$B$1:$ZN$1000,MATCH(data!$A176,Haver_M!$B$1:$B$1000,0),MATCH(data!AW$1,Haver_M!$B$1:$ZN$1,0)),"na")</f>
        <v>1373850.1071503847</v>
      </c>
      <c r="AX176">
        <f>IF(ISNUMBER(INDEX(Haver_M!$B$1:$ZN$1000,MATCH(data!$A176,Haver_M!$B$1:$B$1000,0),MATCH(data!AX$1,Haver_M!$B$1:$ZN$1,0))),INDEX(Haver_M!$B$1:$ZN$1000,MATCH(data!$A176,Haver_M!$B$1:$B$1000,0),MATCH(data!AX$1,Haver_M!$B$1:$ZN$1,0)),"na")</f>
        <v>2400</v>
      </c>
      <c r="AY176">
        <f>IF(ISNUMBER(INDEX(Haver_M!$B$1:$ZN$1000,MATCH(data!$A176,Haver_M!$B$1:$B$1000,0),MATCH(data!AY$1,Haver_M!$B$1:$ZN$1,0))),INDEX(Haver_M!$B$1:$ZN$1000,MATCH(data!$A176,Haver_M!$B$1:$B$1000,0),MATCH(data!AY$1,Haver_M!$B$1:$ZN$1,0)),"na")</f>
        <v>1020</v>
      </c>
      <c r="AZ176">
        <f>IF(ISNUMBER(INDEX(Haver_M!$B$1:$ZN$1000,MATCH(data!$A176,Haver_M!$B$1:$B$1000,0),MATCH(data!AZ$1,Haver_M!$B$1:$ZN$1,0))),INDEX(Haver_M!$B$1:$ZN$1000,MATCH(data!$A176,Haver_M!$B$1:$B$1000,0),MATCH(data!AZ$1,Haver_M!$B$1:$ZN$1,0)),"na")</f>
        <v>51.8</v>
      </c>
      <c r="BA176">
        <f>IF(ISNUMBER(INDEX(Haver_M!$B$1:$ZN$1000,MATCH(data!$A176,Haver_M!$B$1:$B$1000,0),MATCH(data!BA$1,Haver_M!$B$1:$ZN$1,0))),INDEX(Haver_M!$B$1:$ZN$1000,MATCH(data!$A176,Haver_M!$B$1:$B$1000,0),MATCH(data!BA$1,Haver_M!$B$1:$ZN$1,0)),"na")</f>
        <v>14.023697610821646</v>
      </c>
      <c r="BB176" t="str">
        <f>IF(ISNUMBER(INDEX(Haver_M!$B$1:$ZN$1000,MATCH(data!$A176,Haver_M!$B$1:$B$1000,0),MATCH(data!BB$1,Haver_M!$B$1:$ZN$1,0))),INDEX(Haver_M!$B$1:$ZN$1000,MATCH(data!$A176,Haver_M!$B$1:$B$1000,0),MATCH(data!BB$1,Haver_M!$B$1:$ZN$1,0)),"")</f>
        <v/>
      </c>
    </row>
    <row r="177" spans="1:54" x14ac:dyDescent="0.25">
      <c r="A177" s="2">
        <v>41882</v>
      </c>
      <c r="B177" t="str">
        <f>IF(ISNUMBER(INDEX(Haver_Q!$B$1:$BD$1000,MATCH(data!$A177,Haver_Q!$B$1:$B$1000,0),MATCH(data!B$1,Haver_Q!$B$1:$BD$1,0))),100*INDEX(Haver_Q!$B$1:$BD$1000,MATCH(data!$A177,Haver_Q!$B$1:$B$1000,0),MATCH(data!B$1,Haver_Q!$B$1:$BD$1,0)),"na")</f>
        <v>na</v>
      </c>
      <c r="C177" t="str">
        <f>IF(ISNUMBER(INDEX(Haver_Q!$B$1:$BD$1000,MATCH(data!$A177,Haver_Q!$B$1:$B$1000,0),MATCH(data!C$1,Haver_Q!$B$1:$BD$1,0))),100*INDEX(Haver_Q!$B$1:$BD$1000,MATCH(data!$A177,Haver_Q!$B$1:$B$1000,0),MATCH(data!C$1,Haver_Q!$B$1:$BD$1,0)),"na")</f>
        <v>na</v>
      </c>
      <c r="D177" t="str">
        <f>IF(ISNUMBER(INDEX(Haver_Q!$B$1:$BD$1000,MATCH(data!$A177,Haver_Q!$B$1:$B$1000,0),MATCH(data!D$1,Haver_Q!$B$1:$BD$1,0))),100*INDEX(Haver_Q!$B$1:$BD$1000,MATCH(data!$A177,Haver_Q!$B$1:$B$1000,0),MATCH(data!D$1,Haver_Q!$B$1:$BD$1,0)),"na")</f>
        <v>na</v>
      </c>
      <c r="E177" t="str">
        <f>IF(ISNUMBER(INDEX(Haver_Q!$B$1:$BD$1000,MATCH(data!$A177,Haver_Q!$B$1:$B$1000,0),MATCH(data!E$1,Haver_Q!$B$1:$BD$1,0))),100*INDEX(Haver_Q!$B$1:$BD$1000,MATCH(data!$A177,Haver_Q!$B$1:$B$1000,0),MATCH(data!E$1,Haver_Q!$B$1:$BD$1,0)),"na")</f>
        <v>na</v>
      </c>
      <c r="F177" t="str">
        <f>IF(ISNUMBER(INDEX(Haver_Q!$B$1:$BD$1000,MATCH(data!$A177,Haver_Q!$B$1:$B$1000,0),MATCH(data!F$1,Haver_Q!$B$1:$BD$1,0))),100*INDEX(Haver_Q!$B$1:$BD$1000,MATCH(data!$A177,Haver_Q!$B$1:$B$1000,0),MATCH(data!F$1,Haver_Q!$B$1:$BD$1,0)),"na")</f>
        <v>na</v>
      </c>
      <c r="G177" t="str">
        <f>IF(ISNUMBER(INDEX(Haver_Q!$B$1:$BD$1000,MATCH(data!$A177,Haver_Q!$B$1:$B$1000,0),MATCH(data!G$1,Haver_Q!$B$1:$BD$1,0))),100*INDEX(Haver_Q!$B$1:$BD$1000,MATCH(data!$A177,Haver_Q!$B$1:$B$1000,0),MATCH(data!G$1,Haver_Q!$B$1:$BD$1,0)),"na")</f>
        <v>na</v>
      </c>
      <c r="H177" t="str">
        <f>IF(ISNUMBER(INDEX(Haver_Q!$B$1:$BD$1000,MATCH(data!$A177,Haver_Q!$B$1:$B$1000,0),MATCH(data!H$1,Haver_Q!$B$1:$BD$1,0))),100*INDEX(Haver_Q!$B$1:$BD$1000,MATCH(data!$A177,Haver_Q!$B$1:$B$1000,0),MATCH(data!H$1,Haver_Q!$B$1:$BD$1,0)),"na")</f>
        <v>na</v>
      </c>
      <c r="I177" s="3">
        <f>IF(ISNUMBER(Bloomberg_m!C193),Bloomberg_m!C193,"na")</f>
        <v>937</v>
      </c>
      <c r="J177" s="3">
        <f>IF(ISNUMBER(Bloomberg_m!D193),Bloomberg_m!D193,"na")</f>
        <v>2221.0300000000002</v>
      </c>
      <c r="K177" s="3">
        <f>IF(ISNUMBER(Bloomberg_m!E193),Bloomberg_m!E193,"na")</f>
        <v>1134.29</v>
      </c>
      <c r="L177" s="3">
        <f>IF(ISNUMBER(Bloomberg_m!L193),Bloomberg_m!L193,"na")</f>
        <v>96.38</v>
      </c>
      <c r="M177">
        <f>IF(ISNUMBER(INDEX(Haver_M!$B$1:$ZN$1000,MATCH(data!$A177,Haver_M!$B$1:$B$1000,0),MATCH(data!M$1,Haver_M!$B$1:$ZN$1,0))),INDEX(Haver_M!$B$1:$ZN$1000,MATCH(data!$A177,Haver_M!$B$1:$B$1000,0),MATCH(data!M$1,Haver_M!$B$1:$ZN$1,0)),"na")</f>
        <v>3</v>
      </c>
      <c r="N177">
        <f>IF(ISNUMBER(INDEX(Haver_M!$B$1:$ZN$1000,MATCH(data!$A177,Haver_M!$B$1:$B$1000,0),MATCH(data!N$1,Haver_M!$B$1:$ZN$1,0))),INDEX(Haver_M!$B$1:$ZN$1000,MATCH(data!$A177,Haver_M!$B$1:$B$1000,0),MATCH(data!N$1,Haver_M!$B$1:$ZN$1,0)),"na")</f>
        <v>5.7152000000000003</v>
      </c>
      <c r="O177">
        <f>IF(ISNUMBER(INDEX(Haver_M!$B$1:$ZN$1000,MATCH(data!$A177,Haver_M!$B$1:$B$1000,0),MATCH(data!O$1,Haver_M!$B$1:$ZN$1,0))),INDEX(Haver_M!$B$1:$ZN$1000,MATCH(data!$A177,Haver_M!$B$1:$B$1000,0),MATCH(data!O$1,Haver_M!$B$1:$ZN$1,0)),"na")</f>
        <v>100.93391</v>
      </c>
      <c r="P177">
        <f>IF(ISNUMBER(INDEX(Haver_M!$B$1:$ZN$1000,MATCH(data!$A177,Haver_M!$B$1:$B$1000,0),MATCH(data!P$1,Haver_M!$B$1:$ZN$1,0))),INDEX(Haver_M!$B$1:$ZN$1000,MATCH(data!$A177,Haver_M!$B$1:$B$1000,0),MATCH(data!P$1,Haver_M!$B$1:$ZN$1,0)),"na")</f>
        <v>85.757000000000005</v>
      </c>
      <c r="Q177">
        <f>IF(ISNUMBER(INDEX(Haver_M!$B$1:$ZN$1000,MATCH(data!$A177,Haver_M!$B$1:$B$1000,0),MATCH(data!Q$1,Haver_M!$B$1:$ZN$1,0))),INDEX(Haver_M!$B$1:$ZN$1000,MATCH(data!$A177,Haver_M!$B$1:$B$1000,0),MATCH(data!Q$1,Haver_M!$B$1:$ZN$1,0)),"na")</f>
        <v>87.553200000000004</v>
      </c>
      <c r="R177">
        <f>IF(ISNUMBER(INDEX(Haver_M!$B$1:$ZN$1000,MATCH(data!$A177,Haver_M!$B$1:$B$1000,0),MATCH(data!R$1,Haver_M!$B$1:$ZN$1,0))),INDEX(Haver_M!$B$1:$ZN$1000,MATCH(data!$A177,Haver_M!$B$1:$B$1000,0),MATCH(data!R$1,Haver_M!$B$1:$ZN$1,0)),"na")</f>
        <v>102.2208</v>
      </c>
      <c r="S177">
        <f>IF(ISNUMBER(INDEX(Haver_M!$B$1:$ZN$1000,MATCH(data!$A177,Haver_M!$B$1:$B$1000,0),MATCH(data!S$1,Haver_M!$B$1:$ZN$1,0))),INDEX(Haver_M!$B$1:$ZN$1000,MATCH(data!$A177,Haver_M!$B$1:$B$1000,0),MATCH(data!S$1,Haver_M!$B$1:$ZN$1,0)),"na")</f>
        <v>98.264700000000005</v>
      </c>
      <c r="T177">
        <f>IF(ISNUMBER(INDEX(Haver_M!$B$1:$ZN$1000,MATCH(data!$A177,Haver_M!$B$1:$B$1000,0),MATCH(data!T$1,Haver_M!$B$1:$ZN$1,0))),INDEX(Haver_M!$B$1:$ZN$1000,MATCH(data!$A177,Haver_M!$B$1:$B$1000,0),MATCH(data!T$1,Haver_M!$B$1:$ZN$1,0)),"na")</f>
        <v>108.7056</v>
      </c>
      <c r="U177">
        <f>IF(ISNUMBER(INDEX(Haver_M!$B$1:$ZN$1000,MATCH(data!$A177,Haver_M!$B$1:$B$1000,0),MATCH(data!U$1,Haver_M!$B$1:$ZN$1,0))),INDEX(Haver_M!$B$1:$ZN$1000,MATCH(data!$A177,Haver_M!$B$1:$B$1000,0),MATCH(data!U$1,Haver_M!$B$1:$ZN$1,0)),"na")</f>
        <v>101.6888</v>
      </c>
      <c r="V177">
        <f>IF(ISNUMBER(INDEX(Haver_M!$B$1:$ZN$1000,MATCH(data!$A177,Haver_M!$B$1:$B$1000,0),MATCH(data!V$1,Haver_M!$B$1:$ZN$1,0))),INDEX(Haver_M!$B$1:$ZN$1000,MATCH(data!$A177,Haver_M!$B$1:$B$1000,0),MATCH(data!V$1,Haver_M!$B$1:$ZN$1,0)),"na")</f>
        <v>103.3356</v>
      </c>
      <c r="W177">
        <f>IF(ISNUMBER(INDEX(Haver_M!$B$1:$ZN$1000,MATCH(data!$A177,Haver_M!$B$1:$B$1000,0),MATCH(data!W$1,Haver_M!$B$1:$ZN$1,0))),INDEX(Haver_M!$B$1:$ZN$1000,MATCH(data!$A177,Haver_M!$B$1:$B$1000,0),MATCH(data!W$1,Haver_M!$B$1:$ZN$1,0)),"na")</f>
        <v>4.84</v>
      </c>
      <c r="X177">
        <f>IF(ISNUMBER(INDEX(Haver_M!$B$1:$ZN$1000,MATCH(data!$A177,Haver_M!$B$1:$B$1000,0),MATCH(data!X$1,Haver_M!$B$1:$ZN$1,0))),INDEX(Haver_M!$B$1:$ZN$1000,MATCH(data!$A177,Haver_M!$B$1:$B$1000,0),MATCH(data!X$1,Haver_M!$B$1:$ZN$1,0)),"na")</f>
        <v>100.54</v>
      </c>
      <c r="Y177">
        <f>IF(ISNUMBER(INDEX(Haver_M!$B$1:$ZN$1000,MATCH(data!$A177,Haver_M!$B$1:$B$1000,0),MATCH(data!Y$1,Haver_M!$B$1:$ZN$1,0))),INDEX(Haver_M!$B$1:$ZN$1000,MATCH(data!$A177,Haver_M!$B$1:$B$1000,0),MATCH(data!Y$1,Haver_M!$B$1:$ZN$1,0)),"na")</f>
        <v>101.05</v>
      </c>
      <c r="Z177">
        <f>IF(ISNUMBER(INDEX(Haver_M!$B$1:$ZN$1000,MATCH(data!$A177,Haver_M!$B$1:$B$1000,0),MATCH(data!Z$1,Haver_M!$B$1:$ZN$1,0))),INDEX(Haver_M!$B$1:$ZN$1000,MATCH(data!$A177,Haver_M!$B$1:$B$1000,0),MATCH(data!Z$1,Haver_M!$B$1:$ZN$1,0)),"na")</f>
        <v>102.014</v>
      </c>
      <c r="AA177">
        <f>IF(ISNUMBER(INDEX(Haver_M!$B$1:$ZN$1000,MATCH(data!$A177,Haver_M!$B$1:$B$1000,0),MATCH(data!AA$1,Haver_M!$B$1:$ZN$1,0))),INDEX(Haver_M!$B$1:$ZN$1000,MATCH(data!$A177,Haver_M!$B$1:$B$1000,0),MATCH(data!AA$1,Haver_M!$B$1:$ZN$1,0)),"na")</f>
        <v>103.238</v>
      </c>
      <c r="AB177">
        <f>IF(ISNUMBER(INDEX(Haver_M!$B$1:$ZN$1000,MATCH(data!$A177,Haver_M!$B$1:$B$1000,0),MATCH(data!AB$1,Haver_M!$B$1:$ZN$1,0))),INDEX(Haver_M!$B$1:$ZN$1000,MATCH(data!$A177,Haver_M!$B$1:$B$1000,0),MATCH(data!AB$1,Haver_M!$B$1:$ZN$1,0)),"na")</f>
        <v>33562.1</v>
      </c>
      <c r="AC177">
        <f>IF(ISNUMBER(INDEX(Haver_M!$B$1:$ZN$1000,MATCH(data!$A177,Haver_M!$B$1:$B$1000,0),MATCH(data!AC$1,Haver_M!$B$1:$ZN$1,0))),INDEX(Haver_M!$B$1:$ZN$1000,MATCH(data!$A177,Haver_M!$B$1:$B$1000,0),MATCH(data!AC$1,Haver_M!$B$1:$ZN$1,0)),"na")</f>
        <v>34495.599999999999</v>
      </c>
      <c r="AD177">
        <f>IF(ISNUMBER(INDEX(Haver_M!$B$1:$ZN$1000,MATCH(data!$A177,Haver_M!$B$1:$B$1000,0),MATCH(data!AD$1,Haver_M!$B$1:$ZN$1,0))),INDEX(Haver_M!$B$1:$ZN$1000,MATCH(data!$A177,Haver_M!$B$1:$B$1000,0),MATCH(data!AD$1,Haver_M!$B$1:$ZN$1,0)),"na")</f>
        <v>99.76</v>
      </c>
      <c r="AE177">
        <f>IF(ISNUMBER(INDEX(Haver_M!$B$1:$ZN$1000,MATCH(data!$A177,Haver_M!$B$1:$B$1000,0),MATCH(data!AE$1,Haver_M!$B$1:$ZN$1,0))),INDEX(Haver_M!$B$1:$ZN$1000,MATCH(data!$A177,Haver_M!$B$1:$B$1000,0),MATCH(data!AE$1,Haver_M!$B$1:$ZN$1,0)),"na")</f>
        <v>37.299999999999997</v>
      </c>
      <c r="AF177">
        <f>IF(ISNUMBER(INDEX(Haver_M!$B$1:$ZN$1000,MATCH(data!$A177,Haver_M!$B$1:$B$1000,0),MATCH(data!AF$1,Haver_M!$B$1:$ZN$1,0))),INDEX(Haver_M!$B$1:$ZN$1000,MATCH(data!$A177,Haver_M!$B$1:$B$1000,0),MATCH(data!AF$1,Haver_M!$B$1:$ZN$1,0)),"na")</f>
        <v>100.13</v>
      </c>
      <c r="AG177">
        <f>IF(ISNUMBER(INDEX(Haver_M!$B$1:$ZN$1000,MATCH(data!$A177,Haver_M!$B$1:$B$1000,0),MATCH(data!AG$1,Haver_M!$B$1:$ZN$1,0))),INDEX(Haver_M!$B$1:$ZN$1000,MATCH(data!$A177,Haver_M!$B$1:$B$1000,0),MATCH(data!AG$1,Haver_M!$B$1:$ZN$1,0)),"na")</f>
        <v>52.128999999999998</v>
      </c>
      <c r="AH177">
        <f>IF(ISNUMBER(INDEX(Haver_M!$B$1:$ZN$1000,MATCH(data!$A177,Haver_M!$B$1:$B$1000,0),MATCH(data!AH$1,Haver_M!$B$1:$ZN$1,0))),INDEX(Haver_M!$B$1:$ZN$1000,MATCH(data!$A177,Haver_M!$B$1:$B$1000,0),MATCH(data!AH$1,Haver_M!$B$1:$ZN$1,0)),"na")</f>
        <v>52.8842</v>
      </c>
      <c r="AI177">
        <f>IF(ISNUMBER(INDEX(Haver_M!$B$1:$ZN$1000,MATCH(data!$A177,Haver_M!$B$1:$B$1000,0),MATCH(data!AI$1,Haver_M!$B$1:$ZN$1,0))),INDEX(Haver_M!$B$1:$ZN$1000,MATCH(data!$A177,Haver_M!$B$1:$B$1000,0),MATCH(data!AI$1,Haver_M!$B$1:$ZN$1,0)),"na")</f>
        <v>52.615000000000002</v>
      </c>
      <c r="AJ177">
        <f>IF(ISNUMBER(INDEX(Haver_M!$B$1:$ZN$1000,MATCH(data!$A177,Haver_M!$B$1:$B$1000,0),MATCH(data!AJ$1,Haver_M!$B$1:$ZN$1,0))),INDEX(Haver_M!$B$1:$ZN$1000,MATCH(data!$A177,Haver_M!$B$1:$B$1000,0),MATCH(data!AJ$1,Haver_M!$B$1:$ZN$1,0)),"na")</f>
        <v>51.248600000000003</v>
      </c>
      <c r="AK177">
        <f>IF(ISNUMBER(INDEX(Haver_M!$B$1:$ZN$1000,MATCH(data!$A177,Haver_M!$B$1:$B$1000,0),MATCH(data!AK$1,Haver_M!$B$1:$ZN$1,0))),INDEX(Haver_M!$B$1:$ZN$1000,MATCH(data!$A177,Haver_M!$B$1:$B$1000,0),MATCH(data!AK$1,Haver_M!$B$1:$ZN$1,0)),"na")</f>
        <v>48.0456</v>
      </c>
      <c r="AL177">
        <f>IF(ISNUMBER(INDEX(Haver_M!$B$1:$ZN$1000,MATCH(data!$A177,Haver_M!$B$1:$B$1000,0),MATCH(data!AL$1,Haver_M!$B$1:$ZN$1,0))),INDEX(Haver_M!$B$1:$ZN$1000,MATCH(data!$A177,Haver_M!$B$1:$B$1000,0),MATCH(data!AL$1,Haver_M!$B$1:$ZN$1,0)),"na")</f>
        <v>50.805399999999999</v>
      </c>
      <c r="AM177">
        <f>IF(ISNUMBER(INDEX(Haver_M!$B$1:$ZN$1000,MATCH(data!$A177,Haver_M!$B$1:$B$1000,0),MATCH(data!AM$1,Haver_M!$B$1:$ZN$1,0))),INDEX(Haver_M!$B$1:$ZN$1000,MATCH(data!$A177,Haver_M!$B$1:$B$1000,0),MATCH(data!AM$1,Haver_M!$B$1:$ZN$1,0)),"na")</f>
        <v>55.700299999999999</v>
      </c>
      <c r="AN177">
        <f>IF(ISNUMBER(INDEX(Haver_M!$B$1:$ZN$1000,MATCH(data!$A177,Haver_M!$B$1:$B$1000,0),MATCH(data!AN$1,Haver_M!$B$1:$ZN$1,0))),INDEX(Haver_M!$B$1:$ZN$1000,MATCH(data!$A177,Haver_M!$B$1:$B$1000,0),MATCH(data!AN$1,Haver_M!$B$1:$ZN$1,0)),"na")</f>
        <v>54.348500000000001</v>
      </c>
      <c r="AO177">
        <f>IF(ISNUMBER(INDEX(Haver_M!$B$1:$ZN$1000,MATCH(data!$A177,Haver_M!$B$1:$B$1000,0),MATCH(data!AO$1,Haver_M!$B$1:$ZN$1,0))),INDEX(Haver_M!$B$1:$ZN$1000,MATCH(data!$A177,Haver_M!$B$1:$B$1000,0),MATCH(data!AO$1,Haver_M!$B$1:$ZN$1,0)),"na")</f>
        <v>50.805399999999999</v>
      </c>
      <c r="AP177">
        <f>IF(ISNUMBER(INDEX(Haver_M!$B$1:$ZN$1000,MATCH(data!$A177,Haver_M!$B$1:$B$1000,0),MATCH(data!AP$1,Haver_M!$B$1:$ZN$1,0))),INDEX(Haver_M!$B$1:$ZN$1000,MATCH(data!$A177,Haver_M!$B$1:$B$1000,0),MATCH(data!AP$1,Haver_M!$B$1:$ZN$1,0)),"na")</f>
        <v>51.178199999999997</v>
      </c>
      <c r="AQ177">
        <f>IF(ISNUMBER(INDEX(Haver_M!$B$1:$ZN$1000,MATCH(data!$A177,Haver_M!$B$1:$B$1000,0),MATCH(data!AQ$1,Haver_M!$B$1:$ZN$1,0))),INDEX(Haver_M!$B$1:$ZN$1000,MATCH(data!$A177,Haver_M!$B$1:$B$1000,0),MATCH(data!AQ$1,Haver_M!$B$1:$ZN$1,0)),"na")</f>
        <v>50.495800000000003</v>
      </c>
      <c r="AR177">
        <f>IF(ISNUMBER(INDEX(Haver_M!$B$1:$ZN$1000,MATCH(data!$A177,Haver_M!$B$1:$B$1000,0),MATCH(data!AR$1,Haver_M!$B$1:$ZN$1,0))),INDEX(Haver_M!$B$1:$ZN$1000,MATCH(data!$A177,Haver_M!$B$1:$B$1000,0),MATCH(data!AR$1,Haver_M!$B$1:$ZN$1,0)),"na")</f>
        <v>47.946399999999997</v>
      </c>
      <c r="AS177">
        <f>IF(ISNUMBER(INDEX(Haver_M!$B$1:$ZN$1000,MATCH(data!$A177,Haver_M!$B$1:$B$1000,0),MATCH(data!AS$1,Haver_M!$B$1:$ZN$1,0))),INDEX(Haver_M!$B$1:$ZN$1000,MATCH(data!$A177,Haver_M!$B$1:$B$1000,0),MATCH(data!AS$1,Haver_M!$B$1:$ZN$1,0)),"na")</f>
        <v>44896.21</v>
      </c>
      <c r="AT177">
        <f>IF(ISNUMBER(INDEX(Haver_M!$B$1:$ZN$1000,MATCH(data!$A177,Haver_M!$B$1:$B$1000,0),MATCH(data!AT$1,Haver_M!$B$1:$ZN$1,0))),INDEX(Haver_M!$B$1:$ZN$1000,MATCH(data!$A177,Haver_M!$B$1:$B$1000,0),MATCH(data!AT$1,Haver_M!$B$1:$ZN$1,0)),"na")</f>
        <v>102.455</v>
      </c>
      <c r="AU177">
        <f>IF(ISNUMBER(INDEX(Haver_M!$B$1:$ZN$1000,MATCH(data!$A177,Haver_M!$B$1:$B$1000,0),MATCH(data!AU$1,Haver_M!$B$1:$ZN$1,0))),INDEX(Haver_M!$B$1:$ZN$1000,MATCH(data!$A177,Haver_M!$B$1:$B$1000,0),MATCH(data!AU$1,Haver_M!$B$1:$ZN$1,0)),"na")</f>
        <v>102.690123</v>
      </c>
      <c r="AV177">
        <f>IF(ISNUMBER(INDEX(Haver_M!$B$1:$ZN$1000,MATCH(data!$A177,Haver_M!$B$1:$B$1000,0),MATCH(data!AV$1,Haver_M!$B$1:$ZN$1,0))),INDEX(Haver_M!$B$1:$ZN$1000,MATCH(data!$A177,Haver_M!$B$1:$B$1000,0),MATCH(data!AV$1,Haver_M!$B$1:$ZN$1,0)),"na")</f>
        <v>102.3</v>
      </c>
      <c r="AW177">
        <f>IF(ISNUMBER(INDEX(Haver_M!$B$1:$ZN$1000,MATCH(data!$A177,Haver_M!$B$1:$B$1000,0),MATCH(data!AW$1,Haver_M!$B$1:$ZN$1,0))),INDEX(Haver_M!$B$1:$ZN$1000,MATCH(data!$A177,Haver_M!$B$1:$B$1000,0),MATCH(data!AW$1,Haver_M!$B$1:$ZN$1,0)),"na")</f>
        <v>1385111.9795459651</v>
      </c>
      <c r="AX177">
        <f>IF(ISNUMBER(INDEX(Haver_M!$B$1:$ZN$1000,MATCH(data!$A177,Haver_M!$B$1:$B$1000,0),MATCH(data!AX$1,Haver_M!$B$1:$ZN$1,0))),INDEX(Haver_M!$B$1:$ZN$1000,MATCH(data!$A177,Haver_M!$B$1:$B$1000,0),MATCH(data!AX$1,Haver_M!$B$1:$ZN$1,0)),"na")</f>
        <v>2413</v>
      </c>
      <c r="AY177">
        <f>IF(ISNUMBER(INDEX(Haver_M!$B$1:$ZN$1000,MATCH(data!$A177,Haver_M!$B$1:$B$1000,0),MATCH(data!AY$1,Haver_M!$B$1:$ZN$1,0))),INDEX(Haver_M!$B$1:$ZN$1000,MATCH(data!$A177,Haver_M!$B$1:$B$1000,0),MATCH(data!AY$1,Haver_M!$B$1:$ZN$1,0)),"na")</f>
        <v>1114</v>
      </c>
      <c r="AZ177">
        <f>IF(ISNUMBER(INDEX(Haver_M!$B$1:$ZN$1000,MATCH(data!$A177,Haver_M!$B$1:$B$1000,0),MATCH(data!AZ$1,Haver_M!$B$1:$ZN$1,0))),INDEX(Haver_M!$B$1:$ZN$1000,MATCH(data!$A177,Haver_M!$B$1:$B$1000,0),MATCH(data!AZ$1,Haver_M!$B$1:$ZN$1,0)),"na")</f>
        <v>53.3</v>
      </c>
      <c r="BA177">
        <f>IF(ISNUMBER(INDEX(Haver_M!$B$1:$ZN$1000,MATCH(data!$A177,Haver_M!$B$1:$B$1000,0),MATCH(data!BA$1,Haver_M!$B$1:$ZN$1,0))),INDEX(Haver_M!$B$1:$ZN$1000,MATCH(data!$A177,Haver_M!$B$1:$B$1000,0),MATCH(data!BA$1,Haver_M!$B$1:$ZN$1,0)),"na")</f>
        <v>25.466440752165848</v>
      </c>
      <c r="BB177" t="str">
        <f>IF(ISNUMBER(INDEX(Haver_M!$B$1:$ZN$1000,MATCH(data!$A177,Haver_M!$B$1:$B$1000,0),MATCH(data!BB$1,Haver_M!$B$1:$ZN$1,0))),INDEX(Haver_M!$B$1:$ZN$1000,MATCH(data!$A177,Haver_M!$B$1:$B$1000,0),MATCH(data!BB$1,Haver_M!$B$1:$ZN$1,0)),"")</f>
        <v/>
      </c>
    </row>
    <row r="178" spans="1:54" x14ac:dyDescent="0.25">
      <c r="A178" s="2">
        <v>41912</v>
      </c>
      <c r="B178">
        <f>IF(ISNUMBER(INDEX(Haver_Q!$B$1:$BD$1000,MATCH(data!$A178,Haver_Q!$B$1:$B$1000,0),MATCH(data!B$1,Haver_Q!$B$1:$BD$1,0))),100*INDEX(Haver_Q!$B$1:$BD$1000,MATCH(data!$A178,Haver_Q!$B$1:$B$1000,0),MATCH(data!B$1,Haver_Q!$B$1:$BD$1,0)),"na")</f>
        <v>1.3920028794232486</v>
      </c>
      <c r="C178">
        <f>IF(ISNUMBER(INDEX(Haver_Q!$B$1:$BD$1000,MATCH(data!$A178,Haver_Q!$B$1:$B$1000,0),MATCH(data!C$1,Haver_Q!$B$1:$BD$1,0))),100*INDEX(Haver_Q!$B$1:$BD$1000,MATCH(data!$A178,Haver_Q!$B$1:$B$1000,0),MATCH(data!C$1,Haver_Q!$B$1:$BD$1,0)),"na")</f>
        <v>10.578116974743956</v>
      </c>
      <c r="D178">
        <f>IF(ISNUMBER(INDEX(Haver_Q!$B$1:$BD$1000,MATCH(data!$A178,Haver_Q!$B$1:$B$1000,0),MATCH(data!D$1,Haver_Q!$B$1:$BD$1,0))),100*INDEX(Haver_Q!$B$1:$BD$1000,MATCH(data!$A178,Haver_Q!$B$1:$B$1000,0),MATCH(data!D$1,Haver_Q!$B$1:$BD$1,0)),"na")</f>
        <v>-0.51859090272466934</v>
      </c>
      <c r="E178">
        <f>IF(ISNUMBER(INDEX(Haver_Q!$B$1:$BD$1000,MATCH(data!$A178,Haver_Q!$B$1:$B$1000,0),MATCH(data!E$1,Haver_Q!$B$1:$BD$1,0))),100*INDEX(Haver_Q!$B$1:$BD$1000,MATCH(data!$A178,Haver_Q!$B$1:$B$1000,0),MATCH(data!E$1,Haver_Q!$B$1:$BD$1,0)),"na")</f>
        <v>-1.8761805321225067</v>
      </c>
      <c r="F178">
        <f>IF(ISNUMBER(INDEX(Haver_Q!$B$1:$BD$1000,MATCH(data!$A178,Haver_Q!$B$1:$B$1000,0),MATCH(data!F$1,Haver_Q!$B$1:$BD$1,0))),100*INDEX(Haver_Q!$B$1:$BD$1000,MATCH(data!$A178,Haver_Q!$B$1:$B$1000,0),MATCH(data!F$1,Haver_Q!$B$1:$BD$1,0)),"na")</f>
        <v>13.101671208468924</v>
      </c>
      <c r="G178">
        <f>IF(ISNUMBER(INDEX(Haver_Q!$B$1:$BD$1000,MATCH(data!$A178,Haver_Q!$B$1:$B$1000,0),MATCH(data!G$1,Haver_Q!$B$1:$BD$1,0))),100*INDEX(Haver_Q!$B$1:$BD$1000,MATCH(data!$A178,Haver_Q!$B$1:$B$1000,0),MATCH(data!G$1,Haver_Q!$B$1:$BD$1,0)),"na")</f>
        <v>3.2026553077004971</v>
      </c>
      <c r="H178">
        <f>IF(ISNUMBER(INDEX(Haver_Q!$B$1:$BD$1000,MATCH(data!$A178,Haver_Q!$B$1:$B$1000,0),MATCH(data!H$1,Haver_Q!$B$1:$BD$1,0))),100*INDEX(Haver_Q!$B$1:$BD$1000,MATCH(data!$A178,Haver_Q!$B$1:$B$1000,0),MATCH(data!H$1,Haver_Q!$B$1:$BD$1,0)),"na")</f>
        <v>420.95702887931185</v>
      </c>
      <c r="I178" s="3">
        <f>IF(ISNUMBER(Bloomberg_m!C194),Bloomberg_m!C194,"na")</f>
        <v>1123</v>
      </c>
      <c r="J178" s="3">
        <f>IF(ISNUMBER(Bloomberg_m!D194),Bloomberg_m!D194,"na")</f>
        <v>2102.9499999999998</v>
      </c>
      <c r="K178" s="3">
        <f>IF(ISNUMBER(Bloomberg_m!E194),Bloomberg_m!E194,"na")</f>
        <v>1033.76</v>
      </c>
      <c r="L178" s="3">
        <f>IF(ISNUMBER(Bloomberg_m!L194),Bloomberg_m!L194,"na")</f>
        <v>93.22</v>
      </c>
      <c r="M178">
        <f>IF(ISNUMBER(INDEX(Haver_M!$B$1:$ZN$1000,MATCH(data!$A178,Haver_M!$B$1:$B$1000,0),MATCH(data!M$1,Haver_M!$B$1:$ZN$1,0))),INDEX(Haver_M!$B$1:$ZN$1000,MATCH(data!$A178,Haver_M!$B$1:$B$1000,0),MATCH(data!M$1,Haver_M!$B$1:$ZN$1,0)),"na")</f>
        <v>3</v>
      </c>
      <c r="N178">
        <f>IF(ISNUMBER(INDEX(Haver_M!$B$1:$ZN$1000,MATCH(data!$A178,Haver_M!$B$1:$B$1000,0),MATCH(data!N$1,Haver_M!$B$1:$ZN$1,0))),INDEX(Haver_M!$B$1:$ZN$1000,MATCH(data!$A178,Haver_M!$B$1:$B$1000,0),MATCH(data!N$1,Haver_M!$B$1:$ZN$1,0)),"na")</f>
        <v>5.8541999999999996</v>
      </c>
      <c r="O178">
        <f>IF(ISNUMBER(INDEX(Haver_M!$B$1:$ZN$1000,MATCH(data!$A178,Haver_M!$B$1:$B$1000,0),MATCH(data!O$1,Haver_M!$B$1:$ZN$1,0))),INDEX(Haver_M!$B$1:$ZN$1000,MATCH(data!$A178,Haver_M!$B$1:$B$1000,0),MATCH(data!O$1,Haver_M!$B$1:$ZN$1,0)),"na")</f>
        <v>101.30025999999999</v>
      </c>
      <c r="P178">
        <f>IF(ISNUMBER(INDEX(Haver_M!$B$1:$ZN$1000,MATCH(data!$A178,Haver_M!$B$1:$B$1000,0),MATCH(data!P$1,Haver_M!$B$1:$ZN$1,0))),INDEX(Haver_M!$B$1:$ZN$1000,MATCH(data!$A178,Haver_M!$B$1:$B$1000,0),MATCH(data!P$1,Haver_M!$B$1:$ZN$1,0)),"na")</f>
        <v>86.025899999999993</v>
      </c>
      <c r="Q178">
        <f>IF(ISNUMBER(INDEX(Haver_M!$B$1:$ZN$1000,MATCH(data!$A178,Haver_M!$B$1:$B$1000,0),MATCH(data!Q$1,Haver_M!$B$1:$ZN$1,0))),INDEX(Haver_M!$B$1:$ZN$1000,MATCH(data!$A178,Haver_M!$B$1:$B$1000,0),MATCH(data!Q$1,Haver_M!$B$1:$ZN$1,0)),"na")</f>
        <v>87.749700000000004</v>
      </c>
      <c r="R178">
        <f>IF(ISNUMBER(INDEX(Haver_M!$B$1:$ZN$1000,MATCH(data!$A178,Haver_M!$B$1:$B$1000,0),MATCH(data!R$1,Haver_M!$B$1:$ZN$1,0))),INDEX(Haver_M!$B$1:$ZN$1000,MATCH(data!$A178,Haver_M!$B$1:$B$1000,0),MATCH(data!R$1,Haver_M!$B$1:$ZN$1,0)),"na")</f>
        <v>102.6661</v>
      </c>
      <c r="S178">
        <f>IF(ISNUMBER(INDEX(Haver_M!$B$1:$ZN$1000,MATCH(data!$A178,Haver_M!$B$1:$B$1000,0),MATCH(data!S$1,Haver_M!$B$1:$ZN$1,0))),INDEX(Haver_M!$B$1:$ZN$1000,MATCH(data!$A178,Haver_M!$B$1:$B$1000,0),MATCH(data!S$1,Haver_M!$B$1:$ZN$1,0)),"na")</f>
        <v>97.539100000000005</v>
      </c>
      <c r="T178">
        <f>IF(ISNUMBER(INDEX(Haver_M!$B$1:$ZN$1000,MATCH(data!$A178,Haver_M!$B$1:$B$1000,0),MATCH(data!T$1,Haver_M!$B$1:$ZN$1,0))),INDEX(Haver_M!$B$1:$ZN$1000,MATCH(data!$A178,Haver_M!$B$1:$B$1000,0),MATCH(data!T$1,Haver_M!$B$1:$ZN$1,0)),"na")</f>
        <v>108.664</v>
      </c>
      <c r="U178">
        <f>IF(ISNUMBER(INDEX(Haver_M!$B$1:$ZN$1000,MATCH(data!$A178,Haver_M!$B$1:$B$1000,0),MATCH(data!U$1,Haver_M!$B$1:$ZN$1,0))),INDEX(Haver_M!$B$1:$ZN$1000,MATCH(data!$A178,Haver_M!$B$1:$B$1000,0),MATCH(data!U$1,Haver_M!$B$1:$ZN$1,0)),"na")</f>
        <v>101.7456</v>
      </c>
      <c r="V178">
        <f>IF(ISNUMBER(INDEX(Haver_M!$B$1:$ZN$1000,MATCH(data!$A178,Haver_M!$B$1:$B$1000,0),MATCH(data!V$1,Haver_M!$B$1:$ZN$1,0))),INDEX(Haver_M!$B$1:$ZN$1000,MATCH(data!$A178,Haver_M!$B$1:$B$1000,0),MATCH(data!V$1,Haver_M!$B$1:$ZN$1,0)),"na")</f>
        <v>104.5929</v>
      </c>
      <c r="W178">
        <f>IF(ISNUMBER(INDEX(Haver_M!$B$1:$ZN$1000,MATCH(data!$A178,Haver_M!$B$1:$B$1000,0),MATCH(data!W$1,Haver_M!$B$1:$ZN$1,0))),INDEX(Haver_M!$B$1:$ZN$1000,MATCH(data!$A178,Haver_M!$B$1:$B$1000,0),MATCH(data!W$1,Haver_M!$B$1:$ZN$1,0)),"na")</f>
        <v>4.78</v>
      </c>
      <c r="X178">
        <f>IF(ISNUMBER(INDEX(Haver_M!$B$1:$ZN$1000,MATCH(data!$A178,Haver_M!$B$1:$B$1000,0),MATCH(data!X$1,Haver_M!$B$1:$ZN$1,0))),INDEX(Haver_M!$B$1:$ZN$1000,MATCH(data!$A178,Haver_M!$B$1:$B$1000,0),MATCH(data!X$1,Haver_M!$B$1:$ZN$1,0)),"na")</f>
        <v>100.57</v>
      </c>
      <c r="Y178">
        <f>IF(ISNUMBER(INDEX(Haver_M!$B$1:$ZN$1000,MATCH(data!$A178,Haver_M!$B$1:$B$1000,0),MATCH(data!Y$1,Haver_M!$B$1:$ZN$1,0))),INDEX(Haver_M!$B$1:$ZN$1000,MATCH(data!$A178,Haver_M!$B$1:$B$1000,0),MATCH(data!Y$1,Haver_M!$B$1:$ZN$1,0)),"na")</f>
        <v>101.06</v>
      </c>
      <c r="Z178">
        <f>IF(ISNUMBER(INDEX(Haver_M!$B$1:$ZN$1000,MATCH(data!$A178,Haver_M!$B$1:$B$1000,0),MATCH(data!Z$1,Haver_M!$B$1:$ZN$1,0))),INDEX(Haver_M!$B$1:$ZN$1000,MATCH(data!$A178,Haver_M!$B$1:$B$1000,0),MATCH(data!Z$1,Haver_M!$B$1:$ZN$1,0)),"na")</f>
        <v>100.77370000000001</v>
      </c>
      <c r="AA178">
        <f>IF(ISNUMBER(INDEX(Haver_M!$B$1:$ZN$1000,MATCH(data!$A178,Haver_M!$B$1:$B$1000,0),MATCH(data!AA$1,Haver_M!$B$1:$ZN$1,0))),INDEX(Haver_M!$B$1:$ZN$1000,MATCH(data!$A178,Haver_M!$B$1:$B$1000,0),MATCH(data!AA$1,Haver_M!$B$1:$ZN$1,0)),"na")</f>
        <v>103.43819999999999</v>
      </c>
      <c r="AB178">
        <f>IF(ISNUMBER(INDEX(Haver_M!$B$1:$ZN$1000,MATCH(data!$A178,Haver_M!$B$1:$B$1000,0),MATCH(data!AB$1,Haver_M!$B$1:$ZN$1,0))),INDEX(Haver_M!$B$1:$ZN$1000,MATCH(data!$A178,Haver_M!$B$1:$B$1000,0),MATCH(data!AB$1,Haver_M!$B$1:$ZN$1,0)),"na")</f>
        <v>33467.800000000003</v>
      </c>
      <c r="AC178">
        <f>IF(ISNUMBER(INDEX(Haver_M!$B$1:$ZN$1000,MATCH(data!$A178,Haver_M!$B$1:$B$1000,0),MATCH(data!AC$1,Haver_M!$B$1:$ZN$1,0))),INDEX(Haver_M!$B$1:$ZN$1000,MATCH(data!$A178,Haver_M!$B$1:$B$1000,0),MATCH(data!AC$1,Haver_M!$B$1:$ZN$1,0)),"na")</f>
        <v>32726.5</v>
      </c>
      <c r="AD178">
        <f>IF(ISNUMBER(INDEX(Haver_M!$B$1:$ZN$1000,MATCH(data!$A178,Haver_M!$B$1:$B$1000,0),MATCH(data!AD$1,Haver_M!$B$1:$ZN$1,0))),INDEX(Haver_M!$B$1:$ZN$1000,MATCH(data!$A178,Haver_M!$B$1:$B$1000,0),MATCH(data!AD$1,Haver_M!$B$1:$ZN$1,0)),"na")</f>
        <v>99.8</v>
      </c>
      <c r="AE178">
        <f>IF(ISNUMBER(INDEX(Haver_M!$B$1:$ZN$1000,MATCH(data!$A178,Haver_M!$B$1:$B$1000,0),MATCH(data!AE$1,Haver_M!$B$1:$ZN$1,0))),INDEX(Haver_M!$B$1:$ZN$1000,MATCH(data!$A178,Haver_M!$B$1:$B$1000,0),MATCH(data!AE$1,Haver_M!$B$1:$ZN$1,0)),"na")</f>
        <v>38.200000000000003</v>
      </c>
      <c r="AF178">
        <f>IF(ISNUMBER(INDEX(Haver_M!$B$1:$ZN$1000,MATCH(data!$A178,Haver_M!$B$1:$B$1000,0),MATCH(data!AF$1,Haver_M!$B$1:$ZN$1,0))),INDEX(Haver_M!$B$1:$ZN$1000,MATCH(data!$A178,Haver_M!$B$1:$B$1000,0),MATCH(data!AF$1,Haver_M!$B$1:$ZN$1,0)),"na")</f>
        <v>100.15</v>
      </c>
      <c r="AG178">
        <f>IF(ISNUMBER(INDEX(Haver_M!$B$1:$ZN$1000,MATCH(data!$A178,Haver_M!$B$1:$B$1000,0),MATCH(data!AG$1,Haver_M!$B$1:$ZN$1,0))),INDEX(Haver_M!$B$1:$ZN$1000,MATCH(data!$A178,Haver_M!$B$1:$B$1000,0),MATCH(data!AG$1,Haver_M!$B$1:$ZN$1,0)),"na")</f>
        <v>52.641100000000002</v>
      </c>
      <c r="AH178">
        <f>IF(ISNUMBER(INDEX(Haver_M!$B$1:$ZN$1000,MATCH(data!$A178,Haver_M!$B$1:$B$1000,0),MATCH(data!AH$1,Haver_M!$B$1:$ZN$1,0))),INDEX(Haver_M!$B$1:$ZN$1000,MATCH(data!$A178,Haver_M!$B$1:$B$1000,0),MATCH(data!AH$1,Haver_M!$B$1:$ZN$1,0)),"na")</f>
        <v>53.492100000000001</v>
      </c>
      <c r="AI178">
        <f>IF(ISNUMBER(INDEX(Haver_M!$B$1:$ZN$1000,MATCH(data!$A178,Haver_M!$B$1:$B$1000,0),MATCH(data!AI$1,Haver_M!$B$1:$ZN$1,0))),INDEX(Haver_M!$B$1:$ZN$1000,MATCH(data!$A178,Haver_M!$B$1:$B$1000,0),MATCH(data!AI$1,Haver_M!$B$1:$ZN$1,0)),"na")</f>
        <v>54.491300000000003</v>
      </c>
      <c r="AJ178">
        <f>IF(ISNUMBER(INDEX(Haver_M!$B$1:$ZN$1000,MATCH(data!$A178,Haver_M!$B$1:$B$1000,0),MATCH(data!AJ$1,Haver_M!$B$1:$ZN$1,0))),INDEX(Haver_M!$B$1:$ZN$1000,MATCH(data!$A178,Haver_M!$B$1:$B$1000,0),MATCH(data!AJ$1,Haver_M!$B$1:$ZN$1,0)),"na")</f>
        <v>51.428600000000003</v>
      </c>
      <c r="AK178">
        <f>IF(ISNUMBER(INDEX(Haver_M!$B$1:$ZN$1000,MATCH(data!$A178,Haver_M!$B$1:$B$1000,0),MATCH(data!AK$1,Haver_M!$B$1:$ZN$1,0))),INDEX(Haver_M!$B$1:$ZN$1000,MATCH(data!$A178,Haver_M!$B$1:$B$1000,0),MATCH(data!AK$1,Haver_M!$B$1:$ZN$1,0)),"na")</f>
        <v>49.2089</v>
      </c>
      <c r="AL178">
        <f>IF(ISNUMBER(INDEX(Haver_M!$B$1:$ZN$1000,MATCH(data!$A178,Haver_M!$B$1:$B$1000,0),MATCH(data!AL$1,Haver_M!$B$1:$ZN$1,0))),INDEX(Haver_M!$B$1:$ZN$1000,MATCH(data!$A178,Haver_M!$B$1:$B$1000,0),MATCH(data!AL$1,Haver_M!$B$1:$ZN$1,0)),"na")</f>
        <v>50.1629</v>
      </c>
      <c r="AM178">
        <f>IF(ISNUMBER(INDEX(Haver_M!$B$1:$ZN$1000,MATCH(data!$A178,Haver_M!$B$1:$B$1000,0),MATCH(data!AM$1,Haver_M!$B$1:$ZN$1,0))),INDEX(Haver_M!$B$1:$ZN$1000,MATCH(data!$A178,Haver_M!$B$1:$B$1000,0),MATCH(data!AM$1,Haver_M!$B$1:$ZN$1,0)),"na")</f>
        <v>56.470100000000002</v>
      </c>
      <c r="AN178">
        <f>IF(ISNUMBER(INDEX(Haver_M!$B$1:$ZN$1000,MATCH(data!$A178,Haver_M!$B$1:$B$1000,0),MATCH(data!AN$1,Haver_M!$B$1:$ZN$1,0))),INDEX(Haver_M!$B$1:$ZN$1000,MATCH(data!$A178,Haver_M!$B$1:$B$1000,0),MATCH(data!AN$1,Haver_M!$B$1:$ZN$1,0)),"na")</f>
        <v>52.619</v>
      </c>
      <c r="AO178">
        <f>IF(ISNUMBER(INDEX(Haver_M!$B$1:$ZN$1000,MATCH(data!$A178,Haver_M!$B$1:$B$1000,0),MATCH(data!AO$1,Haver_M!$B$1:$ZN$1,0))),INDEX(Haver_M!$B$1:$ZN$1000,MATCH(data!$A178,Haver_M!$B$1:$B$1000,0),MATCH(data!AO$1,Haver_M!$B$1:$ZN$1,0)),"na")</f>
        <v>50.1629</v>
      </c>
      <c r="AP178">
        <f>IF(ISNUMBER(INDEX(Haver_M!$B$1:$ZN$1000,MATCH(data!$A178,Haver_M!$B$1:$B$1000,0),MATCH(data!AP$1,Haver_M!$B$1:$ZN$1,0))),INDEX(Haver_M!$B$1:$ZN$1000,MATCH(data!$A178,Haver_M!$B$1:$B$1000,0),MATCH(data!AP$1,Haver_M!$B$1:$ZN$1,0)),"na")</f>
        <v>48.6111</v>
      </c>
      <c r="AQ178">
        <f>IF(ISNUMBER(INDEX(Haver_M!$B$1:$ZN$1000,MATCH(data!$A178,Haver_M!$B$1:$B$1000,0),MATCH(data!AQ$1,Haver_M!$B$1:$ZN$1,0))),INDEX(Haver_M!$B$1:$ZN$1000,MATCH(data!$A178,Haver_M!$B$1:$B$1000,0),MATCH(data!AQ$1,Haver_M!$B$1:$ZN$1,0)),"na")</f>
        <v>49.841799999999999</v>
      </c>
      <c r="AR178">
        <f>IF(ISNUMBER(INDEX(Haver_M!$B$1:$ZN$1000,MATCH(data!$A178,Haver_M!$B$1:$B$1000,0),MATCH(data!AR$1,Haver_M!$B$1:$ZN$1,0))),INDEX(Haver_M!$B$1:$ZN$1000,MATCH(data!$A178,Haver_M!$B$1:$B$1000,0),MATCH(data!AR$1,Haver_M!$B$1:$ZN$1,0)),"na")</f>
        <v>46.8294</v>
      </c>
      <c r="AS178">
        <f>IF(ISNUMBER(INDEX(Haver_M!$B$1:$ZN$1000,MATCH(data!$A178,Haver_M!$B$1:$B$1000,0),MATCH(data!AS$1,Haver_M!$B$1:$ZN$1,0))),INDEX(Haver_M!$B$1:$ZN$1000,MATCH(data!$A178,Haver_M!$B$1:$B$1000,0),MATCH(data!AS$1,Haver_M!$B$1:$ZN$1,0)),"na")</f>
        <v>45634.07</v>
      </c>
      <c r="AT178">
        <f>IF(ISNUMBER(INDEX(Haver_M!$B$1:$ZN$1000,MATCH(data!$A178,Haver_M!$B$1:$B$1000,0),MATCH(data!AT$1,Haver_M!$B$1:$ZN$1,0))),INDEX(Haver_M!$B$1:$ZN$1000,MATCH(data!$A178,Haver_M!$B$1:$B$1000,0),MATCH(data!AT$1,Haver_M!$B$1:$ZN$1,0)),"na")</f>
        <v>102.58499999999999</v>
      </c>
      <c r="AU178">
        <f>IF(ISNUMBER(INDEX(Haver_M!$B$1:$ZN$1000,MATCH(data!$A178,Haver_M!$B$1:$B$1000,0),MATCH(data!AU$1,Haver_M!$B$1:$ZN$1,0))),INDEX(Haver_M!$B$1:$ZN$1000,MATCH(data!$A178,Haver_M!$B$1:$B$1000,0),MATCH(data!AU$1,Haver_M!$B$1:$ZN$1,0)),"na")</f>
        <v>102.718852</v>
      </c>
      <c r="AV178">
        <f>IF(ISNUMBER(INDEX(Haver_M!$B$1:$ZN$1000,MATCH(data!$A178,Haver_M!$B$1:$B$1000,0),MATCH(data!AV$1,Haver_M!$B$1:$ZN$1,0))),INDEX(Haver_M!$B$1:$ZN$1000,MATCH(data!$A178,Haver_M!$B$1:$B$1000,0),MATCH(data!AV$1,Haver_M!$B$1:$ZN$1,0)),"na")</f>
        <v>102</v>
      </c>
      <c r="AW178">
        <f>IF(ISNUMBER(INDEX(Haver_M!$B$1:$ZN$1000,MATCH(data!$A178,Haver_M!$B$1:$B$1000,0),MATCH(data!AW$1,Haver_M!$B$1:$ZN$1,0))),INDEX(Haver_M!$B$1:$ZN$1000,MATCH(data!$A178,Haver_M!$B$1:$B$1000,0),MATCH(data!AW$1,Haver_M!$B$1:$ZN$1,0)),"na")</f>
        <v>1314071.8336209236</v>
      </c>
      <c r="AX178">
        <f>IF(ISNUMBER(INDEX(Haver_M!$B$1:$ZN$1000,MATCH(data!$A178,Haver_M!$B$1:$B$1000,0),MATCH(data!AX$1,Haver_M!$B$1:$ZN$1,0))),INDEX(Haver_M!$B$1:$ZN$1000,MATCH(data!$A178,Haver_M!$B$1:$B$1000,0),MATCH(data!AX$1,Haver_M!$B$1:$ZN$1,0)),"na")</f>
        <v>2386</v>
      </c>
      <c r="AY178">
        <f>IF(ISNUMBER(INDEX(Haver_M!$B$1:$ZN$1000,MATCH(data!$A178,Haver_M!$B$1:$B$1000,0),MATCH(data!AY$1,Haver_M!$B$1:$ZN$1,0))),INDEX(Haver_M!$B$1:$ZN$1000,MATCH(data!$A178,Haver_M!$B$1:$B$1000,0),MATCH(data!AY$1,Haver_M!$B$1:$ZN$1,0)),"na")</f>
        <v>1158</v>
      </c>
      <c r="AZ178">
        <f>IF(ISNUMBER(INDEX(Haver_M!$B$1:$ZN$1000,MATCH(data!$A178,Haver_M!$B$1:$B$1000,0),MATCH(data!AZ$1,Haver_M!$B$1:$ZN$1,0))),INDEX(Haver_M!$B$1:$ZN$1000,MATCH(data!$A178,Haver_M!$B$1:$B$1000,0),MATCH(data!AZ$1,Haver_M!$B$1:$ZN$1,0)),"na")</f>
        <v>52.6</v>
      </c>
      <c r="BA178">
        <f>IF(ISNUMBER(INDEX(Haver_M!$B$1:$ZN$1000,MATCH(data!$A178,Haver_M!$B$1:$B$1000,0),MATCH(data!BA$1,Haver_M!$B$1:$ZN$1,0))),INDEX(Haver_M!$B$1:$ZN$1000,MATCH(data!$A178,Haver_M!$B$1:$B$1000,0),MATCH(data!BA$1,Haver_M!$B$1:$ZN$1,0)),"na")</f>
        <v>15.513070662335062</v>
      </c>
      <c r="BB178" t="str">
        <f>IF(ISNUMBER(INDEX(Haver_M!$B$1:$ZN$1000,MATCH(data!$A178,Haver_M!$B$1:$B$1000,0),MATCH(data!BB$1,Haver_M!$B$1:$ZN$1,0))),INDEX(Haver_M!$B$1:$ZN$1000,MATCH(data!$A178,Haver_M!$B$1:$B$1000,0),MATCH(data!BB$1,Haver_M!$B$1:$ZN$1,0)),"")</f>
        <v/>
      </c>
    </row>
    <row r="179" spans="1:54" x14ac:dyDescent="0.25">
      <c r="A179" s="2">
        <v>41943</v>
      </c>
      <c r="B179" t="str">
        <f>IF(ISNUMBER(INDEX(Haver_Q!$B$1:$BD$1000,MATCH(data!$A179,Haver_Q!$B$1:$B$1000,0),MATCH(data!B$1,Haver_Q!$B$1:$BD$1,0))),100*INDEX(Haver_Q!$B$1:$BD$1000,MATCH(data!$A179,Haver_Q!$B$1:$B$1000,0),MATCH(data!B$1,Haver_Q!$B$1:$BD$1,0)),"na")</f>
        <v>na</v>
      </c>
      <c r="C179" t="str">
        <f>IF(ISNUMBER(INDEX(Haver_Q!$B$1:$BD$1000,MATCH(data!$A179,Haver_Q!$B$1:$B$1000,0),MATCH(data!C$1,Haver_Q!$B$1:$BD$1,0))),100*INDEX(Haver_Q!$B$1:$BD$1000,MATCH(data!$A179,Haver_Q!$B$1:$B$1000,0),MATCH(data!C$1,Haver_Q!$B$1:$BD$1,0)),"na")</f>
        <v>na</v>
      </c>
      <c r="D179" t="str">
        <f>IF(ISNUMBER(INDEX(Haver_Q!$B$1:$BD$1000,MATCH(data!$A179,Haver_Q!$B$1:$B$1000,0),MATCH(data!D$1,Haver_Q!$B$1:$BD$1,0))),100*INDEX(Haver_Q!$B$1:$BD$1000,MATCH(data!$A179,Haver_Q!$B$1:$B$1000,0),MATCH(data!D$1,Haver_Q!$B$1:$BD$1,0)),"na")</f>
        <v>na</v>
      </c>
      <c r="E179" t="str">
        <f>IF(ISNUMBER(INDEX(Haver_Q!$B$1:$BD$1000,MATCH(data!$A179,Haver_Q!$B$1:$B$1000,0),MATCH(data!E$1,Haver_Q!$B$1:$BD$1,0))),100*INDEX(Haver_Q!$B$1:$BD$1000,MATCH(data!$A179,Haver_Q!$B$1:$B$1000,0),MATCH(data!E$1,Haver_Q!$B$1:$BD$1,0)),"na")</f>
        <v>na</v>
      </c>
      <c r="F179" t="str">
        <f>IF(ISNUMBER(INDEX(Haver_Q!$B$1:$BD$1000,MATCH(data!$A179,Haver_Q!$B$1:$B$1000,0),MATCH(data!F$1,Haver_Q!$B$1:$BD$1,0))),100*INDEX(Haver_Q!$B$1:$BD$1000,MATCH(data!$A179,Haver_Q!$B$1:$B$1000,0),MATCH(data!F$1,Haver_Q!$B$1:$BD$1,0)),"na")</f>
        <v>na</v>
      </c>
      <c r="G179" t="str">
        <f>IF(ISNUMBER(INDEX(Haver_Q!$B$1:$BD$1000,MATCH(data!$A179,Haver_Q!$B$1:$B$1000,0),MATCH(data!G$1,Haver_Q!$B$1:$BD$1,0))),100*INDEX(Haver_Q!$B$1:$BD$1000,MATCH(data!$A179,Haver_Q!$B$1:$B$1000,0),MATCH(data!G$1,Haver_Q!$B$1:$BD$1,0)),"na")</f>
        <v>na</v>
      </c>
      <c r="H179" t="str">
        <f>IF(ISNUMBER(INDEX(Haver_Q!$B$1:$BD$1000,MATCH(data!$A179,Haver_Q!$B$1:$B$1000,0),MATCH(data!H$1,Haver_Q!$B$1:$BD$1,0))),100*INDEX(Haver_Q!$B$1:$BD$1000,MATCH(data!$A179,Haver_Q!$B$1:$B$1000,0),MATCH(data!H$1,Haver_Q!$B$1:$BD$1,0)),"na")</f>
        <v>na</v>
      </c>
      <c r="I179" s="3">
        <f>IF(ISNUMBER(Bloomberg_m!C195),Bloomberg_m!C195,"na")</f>
        <v>1101</v>
      </c>
      <c r="J179" s="3">
        <f>IF(ISNUMBER(Bloomberg_m!D195),Bloomberg_m!D195,"na")</f>
        <v>1730.61</v>
      </c>
      <c r="K179" s="3">
        <f>IF(ISNUMBER(Bloomberg_m!E195),Bloomberg_m!E195,"na")</f>
        <v>988.26</v>
      </c>
      <c r="L179" s="3">
        <f>IF(ISNUMBER(Bloomberg_m!L195),Bloomberg_m!L195,"na")</f>
        <v>84.4</v>
      </c>
      <c r="M179">
        <f>IF(ISNUMBER(INDEX(Haver_M!$B$1:$ZN$1000,MATCH(data!$A179,Haver_M!$B$1:$B$1000,0),MATCH(data!M$1,Haver_M!$B$1:$ZN$1,0))),INDEX(Haver_M!$B$1:$ZN$1000,MATCH(data!$A179,Haver_M!$B$1:$B$1000,0),MATCH(data!M$1,Haver_M!$B$1:$ZN$1,0)),"na")</f>
        <v>3</v>
      </c>
      <c r="N179">
        <f>IF(ISNUMBER(INDEX(Haver_M!$B$1:$ZN$1000,MATCH(data!$A179,Haver_M!$B$1:$B$1000,0),MATCH(data!N$1,Haver_M!$B$1:$ZN$1,0))),INDEX(Haver_M!$B$1:$ZN$1000,MATCH(data!$A179,Haver_M!$B$1:$B$1000,0),MATCH(data!N$1,Haver_M!$B$1:$ZN$1,0)),"na")</f>
        <v>5.8621999999999996</v>
      </c>
      <c r="O179">
        <f>IF(ISNUMBER(INDEX(Haver_M!$B$1:$ZN$1000,MATCH(data!$A179,Haver_M!$B$1:$B$1000,0),MATCH(data!O$1,Haver_M!$B$1:$ZN$1,0))),INDEX(Haver_M!$B$1:$ZN$1000,MATCH(data!$A179,Haver_M!$B$1:$B$1000,0),MATCH(data!O$1,Haver_M!$B$1:$ZN$1,0)),"na")</f>
        <v>100.54107</v>
      </c>
      <c r="P179">
        <f>IF(ISNUMBER(INDEX(Haver_M!$B$1:$ZN$1000,MATCH(data!$A179,Haver_M!$B$1:$B$1000,0),MATCH(data!P$1,Haver_M!$B$1:$ZN$1,0))),INDEX(Haver_M!$B$1:$ZN$1000,MATCH(data!$A179,Haver_M!$B$1:$B$1000,0),MATCH(data!P$1,Haver_M!$B$1:$ZN$1,0)),"na")</f>
        <v>86.307100000000005</v>
      </c>
      <c r="Q179">
        <f>IF(ISNUMBER(INDEX(Haver_M!$B$1:$ZN$1000,MATCH(data!$A179,Haver_M!$B$1:$B$1000,0),MATCH(data!Q$1,Haver_M!$B$1:$ZN$1,0))),INDEX(Haver_M!$B$1:$ZN$1000,MATCH(data!$A179,Haver_M!$B$1:$B$1000,0),MATCH(data!Q$1,Haver_M!$B$1:$ZN$1,0)),"na")</f>
        <v>87.924199999999999</v>
      </c>
      <c r="R179">
        <f>IF(ISNUMBER(INDEX(Haver_M!$B$1:$ZN$1000,MATCH(data!$A179,Haver_M!$B$1:$B$1000,0),MATCH(data!R$1,Haver_M!$B$1:$ZN$1,0))),INDEX(Haver_M!$B$1:$ZN$1000,MATCH(data!$A179,Haver_M!$B$1:$B$1000,0),MATCH(data!R$1,Haver_M!$B$1:$ZN$1,0)),"na")</f>
        <v>103.6705</v>
      </c>
      <c r="S179">
        <f>IF(ISNUMBER(INDEX(Haver_M!$B$1:$ZN$1000,MATCH(data!$A179,Haver_M!$B$1:$B$1000,0),MATCH(data!S$1,Haver_M!$B$1:$ZN$1,0))),INDEX(Haver_M!$B$1:$ZN$1000,MATCH(data!$A179,Haver_M!$B$1:$B$1000,0),MATCH(data!S$1,Haver_M!$B$1:$ZN$1,0)),"na")</f>
        <v>96.530100000000004</v>
      </c>
      <c r="T179">
        <f>IF(ISNUMBER(INDEX(Haver_M!$B$1:$ZN$1000,MATCH(data!$A179,Haver_M!$B$1:$B$1000,0),MATCH(data!T$1,Haver_M!$B$1:$ZN$1,0))),INDEX(Haver_M!$B$1:$ZN$1000,MATCH(data!$A179,Haver_M!$B$1:$B$1000,0),MATCH(data!T$1,Haver_M!$B$1:$ZN$1,0)),"na")</f>
        <v>108.8498</v>
      </c>
      <c r="U179">
        <f>IF(ISNUMBER(INDEX(Haver_M!$B$1:$ZN$1000,MATCH(data!$A179,Haver_M!$B$1:$B$1000,0),MATCH(data!U$1,Haver_M!$B$1:$ZN$1,0))),INDEX(Haver_M!$B$1:$ZN$1000,MATCH(data!$A179,Haver_M!$B$1:$B$1000,0),MATCH(data!U$1,Haver_M!$B$1:$ZN$1,0)),"na")</f>
        <v>104.8434</v>
      </c>
      <c r="V179">
        <f>IF(ISNUMBER(INDEX(Haver_M!$B$1:$ZN$1000,MATCH(data!$A179,Haver_M!$B$1:$B$1000,0),MATCH(data!V$1,Haver_M!$B$1:$ZN$1,0))),INDEX(Haver_M!$B$1:$ZN$1000,MATCH(data!$A179,Haver_M!$B$1:$B$1000,0),MATCH(data!V$1,Haver_M!$B$1:$ZN$1,0)),"na")</f>
        <v>105.185</v>
      </c>
      <c r="W179">
        <f>IF(ISNUMBER(INDEX(Haver_M!$B$1:$ZN$1000,MATCH(data!$A179,Haver_M!$B$1:$B$1000,0),MATCH(data!W$1,Haver_M!$B$1:$ZN$1,0))),INDEX(Haver_M!$B$1:$ZN$1000,MATCH(data!$A179,Haver_M!$B$1:$B$1000,0),MATCH(data!W$1,Haver_M!$B$1:$ZN$1,0)),"na")</f>
        <v>4.66</v>
      </c>
      <c r="X179">
        <f>IF(ISNUMBER(INDEX(Haver_M!$B$1:$ZN$1000,MATCH(data!$A179,Haver_M!$B$1:$B$1000,0),MATCH(data!X$1,Haver_M!$B$1:$ZN$1,0))),INDEX(Haver_M!$B$1:$ZN$1000,MATCH(data!$A179,Haver_M!$B$1:$B$1000,0),MATCH(data!X$1,Haver_M!$B$1:$ZN$1,0)),"na")</f>
        <v>100.6</v>
      </c>
      <c r="Y179">
        <f>IF(ISNUMBER(INDEX(Haver_M!$B$1:$ZN$1000,MATCH(data!$A179,Haver_M!$B$1:$B$1000,0),MATCH(data!Y$1,Haver_M!$B$1:$ZN$1,0))),INDEX(Haver_M!$B$1:$ZN$1000,MATCH(data!$A179,Haver_M!$B$1:$B$1000,0),MATCH(data!Y$1,Haver_M!$B$1:$ZN$1,0)),"na")</f>
        <v>101.03</v>
      </c>
      <c r="Z179">
        <f>IF(ISNUMBER(INDEX(Haver_M!$B$1:$ZN$1000,MATCH(data!$A179,Haver_M!$B$1:$B$1000,0),MATCH(data!Z$1,Haver_M!$B$1:$ZN$1,0))),INDEX(Haver_M!$B$1:$ZN$1000,MATCH(data!$A179,Haver_M!$B$1:$B$1000,0),MATCH(data!Z$1,Haver_M!$B$1:$ZN$1,0)),"na")</f>
        <v>101.6002</v>
      </c>
      <c r="AA179">
        <f>IF(ISNUMBER(INDEX(Haver_M!$B$1:$ZN$1000,MATCH(data!$A179,Haver_M!$B$1:$B$1000,0),MATCH(data!AA$1,Haver_M!$B$1:$ZN$1,0))),INDEX(Haver_M!$B$1:$ZN$1000,MATCH(data!$A179,Haver_M!$B$1:$B$1000,0),MATCH(data!AA$1,Haver_M!$B$1:$ZN$1,0)),"na")</f>
        <v>103.9992</v>
      </c>
      <c r="AB179">
        <f>IF(ISNUMBER(INDEX(Haver_M!$B$1:$ZN$1000,MATCH(data!$A179,Haver_M!$B$1:$B$1000,0),MATCH(data!AB$1,Haver_M!$B$1:$ZN$1,0))),INDEX(Haver_M!$B$1:$ZN$1000,MATCH(data!$A179,Haver_M!$B$1:$B$1000,0),MATCH(data!AB$1,Haver_M!$B$1:$ZN$1,0)),"na")</f>
        <v>33785.5</v>
      </c>
      <c r="AC179">
        <f>IF(ISNUMBER(INDEX(Haver_M!$B$1:$ZN$1000,MATCH(data!$A179,Haver_M!$B$1:$B$1000,0),MATCH(data!AC$1,Haver_M!$B$1:$ZN$1,0))),INDEX(Haver_M!$B$1:$ZN$1000,MATCH(data!$A179,Haver_M!$B$1:$B$1000,0),MATCH(data!AC$1,Haver_M!$B$1:$ZN$1,0)),"na")</f>
        <v>32992.6</v>
      </c>
      <c r="AD179">
        <f>IF(ISNUMBER(INDEX(Haver_M!$B$1:$ZN$1000,MATCH(data!$A179,Haver_M!$B$1:$B$1000,0),MATCH(data!AD$1,Haver_M!$B$1:$ZN$1,0))),INDEX(Haver_M!$B$1:$ZN$1000,MATCH(data!$A179,Haver_M!$B$1:$B$1000,0),MATCH(data!AD$1,Haver_M!$B$1:$ZN$1,0)),"na")</f>
        <v>99.84</v>
      </c>
      <c r="AE179">
        <f>IF(ISNUMBER(INDEX(Haver_M!$B$1:$ZN$1000,MATCH(data!$A179,Haver_M!$B$1:$B$1000,0),MATCH(data!AE$1,Haver_M!$B$1:$ZN$1,0))),INDEX(Haver_M!$B$1:$ZN$1000,MATCH(data!$A179,Haver_M!$B$1:$B$1000,0),MATCH(data!AE$1,Haver_M!$B$1:$ZN$1,0)),"na")</f>
        <v>37.9</v>
      </c>
      <c r="AF179">
        <f>IF(ISNUMBER(INDEX(Haver_M!$B$1:$ZN$1000,MATCH(data!$A179,Haver_M!$B$1:$B$1000,0),MATCH(data!AF$1,Haver_M!$B$1:$ZN$1,0))),INDEX(Haver_M!$B$1:$ZN$1000,MATCH(data!$A179,Haver_M!$B$1:$B$1000,0),MATCH(data!AF$1,Haver_M!$B$1:$ZN$1,0)),"na")</f>
        <v>100.11</v>
      </c>
      <c r="AG179">
        <f>IF(ISNUMBER(INDEX(Haver_M!$B$1:$ZN$1000,MATCH(data!$A179,Haver_M!$B$1:$B$1000,0),MATCH(data!AG$1,Haver_M!$B$1:$ZN$1,0))),INDEX(Haver_M!$B$1:$ZN$1000,MATCH(data!$A179,Haver_M!$B$1:$B$1000,0),MATCH(data!AG$1,Haver_M!$B$1:$ZN$1,0)),"na")</f>
        <v>53.251899999999999</v>
      </c>
      <c r="AH179">
        <f>IF(ISNUMBER(INDEX(Haver_M!$B$1:$ZN$1000,MATCH(data!$A179,Haver_M!$B$1:$B$1000,0),MATCH(data!AH$1,Haver_M!$B$1:$ZN$1,0))),INDEX(Haver_M!$B$1:$ZN$1000,MATCH(data!$A179,Haver_M!$B$1:$B$1000,0),MATCH(data!AH$1,Haver_M!$B$1:$ZN$1,0)),"na")</f>
        <v>53.894100000000002</v>
      </c>
      <c r="AI179">
        <f>IF(ISNUMBER(INDEX(Haver_M!$B$1:$ZN$1000,MATCH(data!$A179,Haver_M!$B$1:$B$1000,0),MATCH(data!AI$1,Haver_M!$B$1:$ZN$1,0))),INDEX(Haver_M!$B$1:$ZN$1000,MATCH(data!$A179,Haver_M!$B$1:$B$1000,0),MATCH(data!AI$1,Haver_M!$B$1:$ZN$1,0)),"na")</f>
        <v>55.501600000000003</v>
      </c>
      <c r="AJ179">
        <f>IF(ISNUMBER(INDEX(Haver_M!$B$1:$ZN$1000,MATCH(data!$A179,Haver_M!$B$1:$B$1000,0),MATCH(data!AJ$1,Haver_M!$B$1:$ZN$1,0))),INDEX(Haver_M!$B$1:$ZN$1000,MATCH(data!$A179,Haver_M!$B$1:$B$1000,0),MATCH(data!AJ$1,Haver_M!$B$1:$ZN$1,0)),"na")</f>
        <v>51.230499999999999</v>
      </c>
      <c r="AK179">
        <f>IF(ISNUMBER(INDEX(Haver_M!$B$1:$ZN$1000,MATCH(data!$A179,Haver_M!$B$1:$B$1000,0),MATCH(data!AK$1,Haver_M!$B$1:$ZN$1,0))),INDEX(Haver_M!$B$1:$ZN$1000,MATCH(data!$A179,Haver_M!$B$1:$B$1000,0),MATCH(data!AK$1,Haver_M!$B$1:$ZN$1,0)),"na")</f>
        <v>48.746099999999998</v>
      </c>
      <c r="AL179">
        <f>IF(ISNUMBER(INDEX(Haver_M!$B$1:$ZN$1000,MATCH(data!$A179,Haver_M!$B$1:$B$1000,0),MATCH(data!AL$1,Haver_M!$B$1:$ZN$1,0))),INDEX(Haver_M!$B$1:$ZN$1000,MATCH(data!$A179,Haver_M!$B$1:$B$1000,0),MATCH(data!AL$1,Haver_M!$B$1:$ZN$1,0)),"na")</f>
        <v>51.937399999999997</v>
      </c>
      <c r="AM179">
        <f>IF(ISNUMBER(INDEX(Haver_M!$B$1:$ZN$1000,MATCH(data!$A179,Haver_M!$B$1:$B$1000,0),MATCH(data!AM$1,Haver_M!$B$1:$ZN$1,0))),INDEX(Haver_M!$B$1:$ZN$1000,MATCH(data!$A179,Haver_M!$B$1:$B$1000,0),MATCH(data!AM$1,Haver_M!$B$1:$ZN$1,0)),"na")</f>
        <v>56.074800000000003</v>
      </c>
      <c r="AN179">
        <f>IF(ISNUMBER(INDEX(Haver_M!$B$1:$ZN$1000,MATCH(data!$A179,Haver_M!$B$1:$B$1000,0),MATCH(data!AN$1,Haver_M!$B$1:$ZN$1,0))),INDEX(Haver_M!$B$1:$ZN$1000,MATCH(data!$A179,Haver_M!$B$1:$B$1000,0),MATCH(data!AN$1,Haver_M!$B$1:$ZN$1,0)),"na")</f>
        <v>54.646000000000001</v>
      </c>
      <c r="AO179">
        <f>IF(ISNUMBER(INDEX(Haver_M!$B$1:$ZN$1000,MATCH(data!$A179,Haver_M!$B$1:$B$1000,0),MATCH(data!AO$1,Haver_M!$B$1:$ZN$1,0))),INDEX(Haver_M!$B$1:$ZN$1000,MATCH(data!$A179,Haver_M!$B$1:$B$1000,0),MATCH(data!AO$1,Haver_M!$B$1:$ZN$1,0)),"na")</f>
        <v>51.937399999999997</v>
      </c>
      <c r="AP179">
        <f>IF(ISNUMBER(INDEX(Haver_M!$B$1:$ZN$1000,MATCH(data!$A179,Haver_M!$B$1:$B$1000,0),MATCH(data!AP$1,Haver_M!$B$1:$ZN$1,0))),INDEX(Haver_M!$B$1:$ZN$1000,MATCH(data!$A179,Haver_M!$B$1:$B$1000,0),MATCH(data!AP$1,Haver_M!$B$1:$ZN$1,0)),"na")</f>
        <v>49.677100000000003</v>
      </c>
      <c r="AQ179">
        <f>IF(ISNUMBER(INDEX(Haver_M!$B$1:$ZN$1000,MATCH(data!$A179,Haver_M!$B$1:$B$1000,0),MATCH(data!AQ$1,Haver_M!$B$1:$ZN$1,0))),INDEX(Haver_M!$B$1:$ZN$1000,MATCH(data!$A179,Haver_M!$B$1:$B$1000,0),MATCH(data!AQ$1,Haver_M!$B$1:$ZN$1,0)),"na")</f>
        <v>49.218800000000002</v>
      </c>
      <c r="AR179">
        <f>IF(ISNUMBER(INDEX(Haver_M!$B$1:$ZN$1000,MATCH(data!$A179,Haver_M!$B$1:$B$1000,0),MATCH(data!AR$1,Haver_M!$B$1:$ZN$1,0))),INDEX(Haver_M!$B$1:$ZN$1000,MATCH(data!$A179,Haver_M!$B$1:$B$1000,0),MATCH(data!AR$1,Haver_M!$B$1:$ZN$1,0)),"na")</f>
        <v>46.924500000000002</v>
      </c>
      <c r="AS179">
        <f>IF(ISNUMBER(INDEX(Haver_M!$B$1:$ZN$1000,MATCH(data!$A179,Haver_M!$B$1:$B$1000,0),MATCH(data!AS$1,Haver_M!$B$1:$ZN$1,0))),INDEX(Haver_M!$B$1:$ZN$1000,MATCH(data!$A179,Haver_M!$B$1:$B$1000,0),MATCH(data!AS$1,Haver_M!$B$1:$ZN$1,0)),"na")</f>
        <v>43889.7</v>
      </c>
      <c r="AT179">
        <f>IF(ISNUMBER(INDEX(Haver_M!$B$1:$ZN$1000,MATCH(data!$A179,Haver_M!$B$1:$B$1000,0),MATCH(data!AT$1,Haver_M!$B$1:$ZN$1,0))),INDEX(Haver_M!$B$1:$ZN$1000,MATCH(data!$A179,Haver_M!$B$1:$B$1000,0),MATCH(data!AT$1,Haver_M!$B$1:$ZN$1,0)),"na")</f>
        <v>103.459</v>
      </c>
      <c r="AU179">
        <f>IF(ISNUMBER(INDEX(Haver_M!$B$1:$ZN$1000,MATCH(data!$A179,Haver_M!$B$1:$B$1000,0),MATCH(data!AU$1,Haver_M!$B$1:$ZN$1,0))),INDEX(Haver_M!$B$1:$ZN$1000,MATCH(data!$A179,Haver_M!$B$1:$B$1000,0),MATCH(data!AU$1,Haver_M!$B$1:$ZN$1,0)),"na")</f>
        <v>103.79655</v>
      </c>
      <c r="AV179">
        <f>IF(ISNUMBER(INDEX(Haver_M!$B$1:$ZN$1000,MATCH(data!$A179,Haver_M!$B$1:$B$1000,0),MATCH(data!AV$1,Haver_M!$B$1:$ZN$1,0))),INDEX(Haver_M!$B$1:$ZN$1000,MATCH(data!$A179,Haver_M!$B$1:$B$1000,0),MATCH(data!AV$1,Haver_M!$B$1:$ZN$1,0)),"na")</f>
        <v>107.4</v>
      </c>
      <c r="AW179">
        <f>IF(ISNUMBER(INDEX(Haver_M!$B$1:$ZN$1000,MATCH(data!$A179,Haver_M!$B$1:$B$1000,0),MATCH(data!AW$1,Haver_M!$B$1:$ZN$1,0))),INDEX(Haver_M!$B$1:$ZN$1000,MATCH(data!$A179,Haver_M!$B$1:$B$1000,0),MATCH(data!AW$1,Haver_M!$B$1:$ZN$1,0)),"na")</f>
        <v>1353373.9624803923</v>
      </c>
      <c r="AX179">
        <f>IF(ISNUMBER(INDEX(Haver_M!$B$1:$ZN$1000,MATCH(data!$A179,Haver_M!$B$1:$B$1000,0),MATCH(data!AX$1,Haver_M!$B$1:$ZN$1,0))),INDEX(Haver_M!$B$1:$ZN$1000,MATCH(data!$A179,Haver_M!$B$1:$B$1000,0),MATCH(data!AX$1,Haver_M!$B$1:$ZN$1,0)),"na")</f>
        <v>2353</v>
      </c>
      <c r="AY179">
        <f>IF(ISNUMBER(INDEX(Haver_M!$B$1:$ZN$1000,MATCH(data!$A179,Haver_M!$B$1:$B$1000,0),MATCH(data!AY$1,Haver_M!$B$1:$ZN$1,0))),INDEX(Haver_M!$B$1:$ZN$1000,MATCH(data!$A179,Haver_M!$B$1:$B$1000,0),MATCH(data!AY$1,Haver_M!$B$1:$ZN$1,0)),"na")</f>
        <v>1137</v>
      </c>
      <c r="AZ179">
        <f>IF(ISNUMBER(INDEX(Haver_M!$B$1:$ZN$1000,MATCH(data!$A179,Haver_M!$B$1:$B$1000,0),MATCH(data!AZ$1,Haver_M!$B$1:$ZN$1,0))),INDEX(Haver_M!$B$1:$ZN$1000,MATCH(data!$A179,Haver_M!$B$1:$B$1000,0),MATCH(data!AZ$1,Haver_M!$B$1:$ZN$1,0)),"na")</f>
        <v>54.9</v>
      </c>
      <c r="BA179">
        <f>IF(ISNUMBER(INDEX(Haver_M!$B$1:$ZN$1000,MATCH(data!$A179,Haver_M!$B$1:$B$1000,0),MATCH(data!BA$1,Haver_M!$B$1:$ZN$1,0))),INDEX(Haver_M!$B$1:$ZN$1000,MATCH(data!$A179,Haver_M!$B$1:$B$1000,0),MATCH(data!BA$1,Haver_M!$B$1:$ZN$1,0)),"na")</f>
        <v>25.617129110390074</v>
      </c>
      <c r="BB179" t="str">
        <f>IF(ISNUMBER(INDEX(Haver_M!$B$1:$ZN$1000,MATCH(data!$A179,Haver_M!$B$1:$B$1000,0),MATCH(data!BB$1,Haver_M!$B$1:$ZN$1,0))),INDEX(Haver_M!$B$1:$ZN$1000,MATCH(data!$A179,Haver_M!$B$1:$B$1000,0),MATCH(data!BB$1,Haver_M!$B$1:$ZN$1,0)),"")</f>
        <v/>
      </c>
    </row>
    <row r="180" spans="1:54" x14ac:dyDescent="0.25">
      <c r="A180" s="2">
        <v>41973</v>
      </c>
      <c r="B180" t="str">
        <f>IF(ISNUMBER(INDEX(Haver_Q!$B$1:$BD$1000,MATCH(data!$A180,Haver_Q!$B$1:$B$1000,0),MATCH(data!B$1,Haver_Q!$B$1:$BD$1,0))),100*INDEX(Haver_Q!$B$1:$BD$1000,MATCH(data!$A180,Haver_Q!$B$1:$B$1000,0),MATCH(data!B$1,Haver_Q!$B$1:$BD$1,0)),"na")</f>
        <v>na</v>
      </c>
      <c r="C180" t="str">
        <f>IF(ISNUMBER(INDEX(Haver_Q!$B$1:$BD$1000,MATCH(data!$A180,Haver_Q!$B$1:$B$1000,0),MATCH(data!C$1,Haver_Q!$B$1:$BD$1,0))),100*INDEX(Haver_Q!$B$1:$BD$1000,MATCH(data!$A180,Haver_Q!$B$1:$B$1000,0),MATCH(data!C$1,Haver_Q!$B$1:$BD$1,0)),"na")</f>
        <v>na</v>
      </c>
      <c r="D180" t="str">
        <f>IF(ISNUMBER(INDEX(Haver_Q!$B$1:$BD$1000,MATCH(data!$A180,Haver_Q!$B$1:$B$1000,0),MATCH(data!D$1,Haver_Q!$B$1:$BD$1,0))),100*INDEX(Haver_Q!$B$1:$BD$1000,MATCH(data!$A180,Haver_Q!$B$1:$B$1000,0),MATCH(data!D$1,Haver_Q!$B$1:$BD$1,0)),"na")</f>
        <v>na</v>
      </c>
      <c r="E180" t="str">
        <f>IF(ISNUMBER(INDEX(Haver_Q!$B$1:$BD$1000,MATCH(data!$A180,Haver_Q!$B$1:$B$1000,0),MATCH(data!E$1,Haver_Q!$B$1:$BD$1,0))),100*INDEX(Haver_Q!$B$1:$BD$1000,MATCH(data!$A180,Haver_Q!$B$1:$B$1000,0),MATCH(data!E$1,Haver_Q!$B$1:$BD$1,0)),"na")</f>
        <v>na</v>
      </c>
      <c r="F180" t="str">
        <f>IF(ISNUMBER(INDEX(Haver_Q!$B$1:$BD$1000,MATCH(data!$A180,Haver_Q!$B$1:$B$1000,0),MATCH(data!F$1,Haver_Q!$B$1:$BD$1,0))),100*INDEX(Haver_Q!$B$1:$BD$1000,MATCH(data!$A180,Haver_Q!$B$1:$B$1000,0),MATCH(data!F$1,Haver_Q!$B$1:$BD$1,0)),"na")</f>
        <v>na</v>
      </c>
      <c r="G180" t="str">
        <f>IF(ISNUMBER(INDEX(Haver_Q!$B$1:$BD$1000,MATCH(data!$A180,Haver_Q!$B$1:$B$1000,0),MATCH(data!G$1,Haver_Q!$B$1:$BD$1,0))),100*INDEX(Haver_Q!$B$1:$BD$1000,MATCH(data!$A180,Haver_Q!$B$1:$B$1000,0),MATCH(data!G$1,Haver_Q!$B$1:$BD$1,0)),"na")</f>
        <v>na</v>
      </c>
      <c r="H180" t="str">
        <f>IF(ISNUMBER(INDEX(Haver_Q!$B$1:$BD$1000,MATCH(data!$A180,Haver_Q!$B$1:$B$1000,0),MATCH(data!H$1,Haver_Q!$B$1:$BD$1,0))),100*INDEX(Haver_Q!$B$1:$BD$1000,MATCH(data!$A180,Haver_Q!$B$1:$B$1000,0),MATCH(data!H$1,Haver_Q!$B$1:$BD$1,0)),"na")</f>
        <v>na</v>
      </c>
      <c r="I180" s="3">
        <f>IF(ISNUMBER(Bloomberg_m!C196),Bloomberg_m!C196,"na")</f>
        <v>1332</v>
      </c>
      <c r="J180" s="3">
        <f>IF(ISNUMBER(Bloomberg_m!D196),Bloomberg_m!D196,"na")</f>
        <v>1963.29</v>
      </c>
      <c r="K180" s="3">
        <f>IF(ISNUMBER(Bloomberg_m!E196),Bloomberg_m!E196,"na")</f>
        <v>1018.88</v>
      </c>
      <c r="L180" s="3">
        <f>IF(ISNUMBER(Bloomberg_m!L196),Bloomberg_m!L196,"na")</f>
        <v>75.81</v>
      </c>
      <c r="M180">
        <f>IF(ISNUMBER(INDEX(Haver_M!$B$1:$ZN$1000,MATCH(data!$A180,Haver_M!$B$1:$B$1000,0),MATCH(data!M$1,Haver_M!$B$1:$ZN$1,0))),INDEX(Haver_M!$B$1:$ZN$1000,MATCH(data!$A180,Haver_M!$B$1:$B$1000,0),MATCH(data!M$1,Haver_M!$B$1:$ZN$1,0)),"na")</f>
        <v>3</v>
      </c>
      <c r="N180">
        <f>IF(ISNUMBER(INDEX(Haver_M!$B$1:$ZN$1000,MATCH(data!$A180,Haver_M!$B$1:$B$1000,0),MATCH(data!N$1,Haver_M!$B$1:$ZN$1,0))),INDEX(Haver_M!$B$1:$ZN$1000,MATCH(data!$A180,Haver_M!$B$1:$B$1000,0),MATCH(data!N$1,Haver_M!$B$1:$ZN$1,0)),"na")</f>
        <v>5.8497000000000003</v>
      </c>
      <c r="O180">
        <f>IF(ISNUMBER(INDEX(Haver_M!$B$1:$ZN$1000,MATCH(data!$A180,Haver_M!$B$1:$B$1000,0),MATCH(data!O$1,Haver_M!$B$1:$ZN$1,0))),INDEX(Haver_M!$B$1:$ZN$1000,MATCH(data!$A180,Haver_M!$B$1:$B$1000,0),MATCH(data!O$1,Haver_M!$B$1:$ZN$1,0)),"na")</f>
        <v>101.45788</v>
      </c>
      <c r="P180">
        <f>IF(ISNUMBER(INDEX(Haver_M!$B$1:$ZN$1000,MATCH(data!$A180,Haver_M!$B$1:$B$1000,0),MATCH(data!P$1,Haver_M!$B$1:$ZN$1,0))),INDEX(Haver_M!$B$1:$ZN$1000,MATCH(data!$A180,Haver_M!$B$1:$B$1000,0),MATCH(data!P$1,Haver_M!$B$1:$ZN$1,0)),"na")</f>
        <v>86.581900000000005</v>
      </c>
      <c r="Q180">
        <f>IF(ISNUMBER(INDEX(Haver_M!$B$1:$ZN$1000,MATCH(data!$A180,Haver_M!$B$1:$B$1000,0),MATCH(data!Q$1,Haver_M!$B$1:$ZN$1,0))),INDEX(Haver_M!$B$1:$ZN$1000,MATCH(data!$A180,Haver_M!$B$1:$B$1000,0),MATCH(data!Q$1,Haver_M!$B$1:$ZN$1,0)),"na")</f>
        <v>88.170400000000001</v>
      </c>
      <c r="R180">
        <f>IF(ISNUMBER(INDEX(Haver_M!$B$1:$ZN$1000,MATCH(data!$A180,Haver_M!$B$1:$B$1000,0),MATCH(data!R$1,Haver_M!$B$1:$ZN$1,0))),INDEX(Haver_M!$B$1:$ZN$1000,MATCH(data!$A180,Haver_M!$B$1:$B$1000,0),MATCH(data!R$1,Haver_M!$B$1:$ZN$1,0)),"na")</f>
        <v>103.4264</v>
      </c>
      <c r="S180">
        <f>IF(ISNUMBER(INDEX(Haver_M!$B$1:$ZN$1000,MATCH(data!$A180,Haver_M!$B$1:$B$1000,0),MATCH(data!S$1,Haver_M!$B$1:$ZN$1,0))),INDEX(Haver_M!$B$1:$ZN$1000,MATCH(data!$A180,Haver_M!$B$1:$B$1000,0),MATCH(data!S$1,Haver_M!$B$1:$ZN$1,0)),"na")</f>
        <v>96.312100000000001</v>
      </c>
      <c r="T180">
        <f>IF(ISNUMBER(INDEX(Haver_M!$B$1:$ZN$1000,MATCH(data!$A180,Haver_M!$B$1:$B$1000,0),MATCH(data!T$1,Haver_M!$B$1:$ZN$1,0))),INDEX(Haver_M!$B$1:$ZN$1000,MATCH(data!$A180,Haver_M!$B$1:$B$1000,0),MATCH(data!T$1,Haver_M!$B$1:$ZN$1,0)),"na")</f>
        <v>108.1716</v>
      </c>
      <c r="U180">
        <f>IF(ISNUMBER(INDEX(Haver_M!$B$1:$ZN$1000,MATCH(data!$A180,Haver_M!$B$1:$B$1000,0),MATCH(data!U$1,Haver_M!$B$1:$ZN$1,0))),INDEX(Haver_M!$B$1:$ZN$1000,MATCH(data!$A180,Haver_M!$B$1:$B$1000,0),MATCH(data!U$1,Haver_M!$B$1:$ZN$1,0)),"na")</f>
        <v>104.4455</v>
      </c>
      <c r="V180">
        <f>IF(ISNUMBER(INDEX(Haver_M!$B$1:$ZN$1000,MATCH(data!$A180,Haver_M!$B$1:$B$1000,0),MATCH(data!V$1,Haver_M!$B$1:$ZN$1,0))),INDEX(Haver_M!$B$1:$ZN$1000,MATCH(data!$A180,Haver_M!$B$1:$B$1000,0),MATCH(data!V$1,Haver_M!$B$1:$ZN$1,0)),"na")</f>
        <v>106.11060000000001</v>
      </c>
      <c r="W180">
        <f>IF(ISNUMBER(INDEX(Haver_M!$B$1:$ZN$1000,MATCH(data!$A180,Haver_M!$B$1:$B$1000,0),MATCH(data!W$1,Haver_M!$B$1:$ZN$1,0))),INDEX(Haver_M!$B$1:$ZN$1000,MATCH(data!$A180,Haver_M!$B$1:$B$1000,0),MATCH(data!W$1,Haver_M!$B$1:$ZN$1,0)),"na")</f>
        <v>4.6399999999999997</v>
      </c>
      <c r="X180">
        <f>IF(ISNUMBER(INDEX(Haver_M!$B$1:$ZN$1000,MATCH(data!$A180,Haver_M!$B$1:$B$1000,0),MATCH(data!X$1,Haver_M!$B$1:$ZN$1,0))),INDEX(Haver_M!$B$1:$ZN$1000,MATCH(data!$A180,Haver_M!$B$1:$B$1000,0),MATCH(data!X$1,Haver_M!$B$1:$ZN$1,0)),"na")</f>
        <v>101.01</v>
      </c>
      <c r="Y180">
        <f>IF(ISNUMBER(INDEX(Haver_M!$B$1:$ZN$1000,MATCH(data!$A180,Haver_M!$B$1:$B$1000,0),MATCH(data!Y$1,Haver_M!$B$1:$ZN$1,0))),INDEX(Haver_M!$B$1:$ZN$1000,MATCH(data!$A180,Haver_M!$B$1:$B$1000,0),MATCH(data!Y$1,Haver_M!$B$1:$ZN$1,0)),"na")</f>
        <v>100.96</v>
      </c>
      <c r="Z180">
        <f>IF(ISNUMBER(INDEX(Haver_M!$B$1:$ZN$1000,MATCH(data!$A180,Haver_M!$B$1:$B$1000,0),MATCH(data!Z$1,Haver_M!$B$1:$ZN$1,0))),INDEX(Haver_M!$B$1:$ZN$1000,MATCH(data!$A180,Haver_M!$B$1:$B$1000,0),MATCH(data!Z$1,Haver_M!$B$1:$ZN$1,0)),"na")</f>
        <v>102.7578</v>
      </c>
      <c r="AA180">
        <f>IF(ISNUMBER(INDEX(Haver_M!$B$1:$ZN$1000,MATCH(data!$A180,Haver_M!$B$1:$B$1000,0),MATCH(data!AA$1,Haver_M!$B$1:$ZN$1,0))),INDEX(Haver_M!$B$1:$ZN$1000,MATCH(data!$A180,Haver_M!$B$1:$B$1000,0),MATCH(data!AA$1,Haver_M!$B$1:$ZN$1,0)),"na")</f>
        <v>105.6862</v>
      </c>
      <c r="AB180">
        <f>IF(ISNUMBER(INDEX(Haver_M!$B$1:$ZN$1000,MATCH(data!$A180,Haver_M!$B$1:$B$1000,0),MATCH(data!AB$1,Haver_M!$B$1:$ZN$1,0))),INDEX(Haver_M!$B$1:$ZN$1000,MATCH(data!$A180,Haver_M!$B$1:$B$1000,0),MATCH(data!AB$1,Haver_M!$B$1:$ZN$1,0)),"na")</f>
        <v>32981.199999999997</v>
      </c>
      <c r="AC180">
        <f>IF(ISNUMBER(INDEX(Haver_M!$B$1:$ZN$1000,MATCH(data!$A180,Haver_M!$B$1:$B$1000,0),MATCH(data!AC$1,Haver_M!$B$1:$ZN$1,0))),INDEX(Haver_M!$B$1:$ZN$1000,MATCH(data!$A180,Haver_M!$B$1:$B$1000,0),MATCH(data!AC$1,Haver_M!$B$1:$ZN$1,0)),"na")</f>
        <v>34857.4</v>
      </c>
      <c r="AD180">
        <f>IF(ISNUMBER(INDEX(Haver_M!$B$1:$ZN$1000,MATCH(data!$A180,Haver_M!$B$1:$B$1000,0),MATCH(data!AD$1,Haver_M!$B$1:$ZN$1,0))),INDEX(Haver_M!$B$1:$ZN$1000,MATCH(data!$A180,Haver_M!$B$1:$B$1000,0),MATCH(data!AD$1,Haver_M!$B$1:$ZN$1,0)),"na")</f>
        <v>99.89</v>
      </c>
      <c r="AE180">
        <f>IF(ISNUMBER(INDEX(Haver_M!$B$1:$ZN$1000,MATCH(data!$A180,Haver_M!$B$1:$B$1000,0),MATCH(data!AE$1,Haver_M!$B$1:$ZN$1,0))),INDEX(Haver_M!$B$1:$ZN$1000,MATCH(data!$A180,Haver_M!$B$1:$B$1000,0),MATCH(data!AE$1,Haver_M!$B$1:$ZN$1,0)),"na")</f>
        <v>38.700000000000003</v>
      </c>
      <c r="AF180">
        <f>IF(ISNUMBER(INDEX(Haver_M!$B$1:$ZN$1000,MATCH(data!$A180,Haver_M!$B$1:$B$1000,0),MATCH(data!AF$1,Haver_M!$B$1:$ZN$1,0))),INDEX(Haver_M!$B$1:$ZN$1000,MATCH(data!$A180,Haver_M!$B$1:$B$1000,0),MATCH(data!AF$1,Haver_M!$B$1:$ZN$1,0)),"na")</f>
        <v>100.01</v>
      </c>
      <c r="AG180">
        <f>IF(ISNUMBER(INDEX(Haver_M!$B$1:$ZN$1000,MATCH(data!$A180,Haver_M!$B$1:$B$1000,0),MATCH(data!AG$1,Haver_M!$B$1:$ZN$1,0))),INDEX(Haver_M!$B$1:$ZN$1000,MATCH(data!$A180,Haver_M!$B$1:$B$1000,0),MATCH(data!AG$1,Haver_M!$B$1:$ZN$1,0)),"na")</f>
        <v>54.279299999999999</v>
      </c>
      <c r="AH180">
        <f>IF(ISNUMBER(INDEX(Haver_M!$B$1:$ZN$1000,MATCH(data!$A180,Haver_M!$B$1:$B$1000,0),MATCH(data!AH$1,Haver_M!$B$1:$ZN$1,0))),INDEX(Haver_M!$B$1:$ZN$1000,MATCH(data!$A180,Haver_M!$B$1:$B$1000,0),MATCH(data!AH$1,Haver_M!$B$1:$ZN$1,0)),"na")</f>
        <v>56.386299999999999</v>
      </c>
      <c r="AI180">
        <f>IF(ISNUMBER(INDEX(Haver_M!$B$1:$ZN$1000,MATCH(data!$A180,Haver_M!$B$1:$B$1000,0),MATCH(data!AI$1,Haver_M!$B$1:$ZN$1,0))),INDEX(Haver_M!$B$1:$ZN$1000,MATCH(data!$A180,Haver_M!$B$1:$B$1000,0),MATCH(data!AI$1,Haver_M!$B$1:$ZN$1,0)),"na")</f>
        <v>56.869</v>
      </c>
      <c r="AJ180">
        <f>IF(ISNUMBER(INDEX(Haver_M!$B$1:$ZN$1000,MATCH(data!$A180,Haver_M!$B$1:$B$1000,0),MATCH(data!AJ$1,Haver_M!$B$1:$ZN$1,0))),INDEX(Haver_M!$B$1:$ZN$1000,MATCH(data!$A180,Haver_M!$B$1:$B$1000,0),MATCH(data!AJ$1,Haver_M!$B$1:$ZN$1,0)),"na")</f>
        <v>50.9375</v>
      </c>
      <c r="AK180">
        <f>IF(ISNUMBER(INDEX(Haver_M!$B$1:$ZN$1000,MATCH(data!$A180,Haver_M!$B$1:$B$1000,0),MATCH(data!AK$1,Haver_M!$B$1:$ZN$1,0))),INDEX(Haver_M!$B$1:$ZN$1000,MATCH(data!$A180,Haver_M!$B$1:$B$1000,0),MATCH(data!AK$1,Haver_M!$B$1:$ZN$1,0)),"na")</f>
        <v>48.784999999999997</v>
      </c>
      <c r="AL180">
        <f>IF(ISNUMBER(INDEX(Haver_M!$B$1:$ZN$1000,MATCH(data!$A180,Haver_M!$B$1:$B$1000,0),MATCH(data!AL$1,Haver_M!$B$1:$ZN$1,0))),INDEX(Haver_M!$B$1:$ZN$1000,MATCH(data!$A180,Haver_M!$B$1:$B$1000,0),MATCH(data!AL$1,Haver_M!$B$1:$ZN$1,0)),"na")</f>
        <v>52.523099999999999</v>
      </c>
      <c r="AM180">
        <f>IF(ISNUMBER(INDEX(Haver_M!$B$1:$ZN$1000,MATCH(data!$A180,Haver_M!$B$1:$B$1000,0),MATCH(data!AM$1,Haver_M!$B$1:$ZN$1,0))),INDEX(Haver_M!$B$1:$ZN$1000,MATCH(data!$A180,Haver_M!$B$1:$B$1000,0),MATCH(data!AM$1,Haver_M!$B$1:$ZN$1,0)),"na")</f>
        <v>55.781300000000002</v>
      </c>
      <c r="AN180">
        <f>IF(ISNUMBER(INDEX(Haver_M!$B$1:$ZN$1000,MATCH(data!$A180,Haver_M!$B$1:$B$1000,0),MATCH(data!AN$1,Haver_M!$B$1:$ZN$1,0))),INDEX(Haver_M!$B$1:$ZN$1000,MATCH(data!$A180,Haver_M!$B$1:$B$1000,0),MATCH(data!AN$1,Haver_M!$B$1:$ZN$1,0)),"na")</f>
        <v>57.320900000000002</v>
      </c>
      <c r="AO180">
        <f>IF(ISNUMBER(INDEX(Haver_M!$B$1:$ZN$1000,MATCH(data!$A180,Haver_M!$B$1:$B$1000,0),MATCH(data!AO$1,Haver_M!$B$1:$ZN$1,0))),INDEX(Haver_M!$B$1:$ZN$1000,MATCH(data!$A180,Haver_M!$B$1:$B$1000,0),MATCH(data!AO$1,Haver_M!$B$1:$ZN$1,0)),"na")</f>
        <v>52.523099999999999</v>
      </c>
      <c r="AP180">
        <f>IF(ISNUMBER(INDEX(Haver_M!$B$1:$ZN$1000,MATCH(data!$A180,Haver_M!$B$1:$B$1000,0),MATCH(data!AP$1,Haver_M!$B$1:$ZN$1,0))),INDEX(Haver_M!$B$1:$ZN$1000,MATCH(data!$A180,Haver_M!$B$1:$B$1000,0),MATCH(data!AP$1,Haver_M!$B$1:$ZN$1,0)),"na")</f>
        <v>51.818199999999997</v>
      </c>
      <c r="AQ180">
        <f>IF(ISNUMBER(INDEX(Haver_M!$B$1:$ZN$1000,MATCH(data!$A180,Haver_M!$B$1:$B$1000,0),MATCH(data!AQ$1,Haver_M!$B$1:$ZN$1,0))),INDEX(Haver_M!$B$1:$ZN$1000,MATCH(data!$A180,Haver_M!$B$1:$B$1000,0),MATCH(data!AQ$1,Haver_M!$B$1:$ZN$1,0)),"na")</f>
        <v>50.623100000000001</v>
      </c>
      <c r="AR180">
        <f>IF(ISNUMBER(INDEX(Haver_M!$B$1:$ZN$1000,MATCH(data!$A180,Haver_M!$B$1:$B$1000,0),MATCH(data!AR$1,Haver_M!$B$1:$ZN$1,0))),INDEX(Haver_M!$B$1:$ZN$1000,MATCH(data!$A180,Haver_M!$B$1:$B$1000,0),MATCH(data!AR$1,Haver_M!$B$1:$ZN$1,0)),"na")</f>
        <v>47.208100000000002</v>
      </c>
      <c r="AS180">
        <f>IF(ISNUMBER(INDEX(Haver_M!$B$1:$ZN$1000,MATCH(data!$A180,Haver_M!$B$1:$B$1000,0),MATCH(data!AS$1,Haver_M!$B$1:$ZN$1,0))),INDEX(Haver_M!$B$1:$ZN$1000,MATCH(data!$A180,Haver_M!$B$1:$B$1000,0),MATCH(data!AS$1,Haver_M!$B$1:$ZN$1,0)),"na")</f>
        <v>44387.17</v>
      </c>
      <c r="AT180">
        <f>IF(ISNUMBER(INDEX(Haver_M!$B$1:$ZN$1000,MATCH(data!$A180,Haver_M!$B$1:$B$1000,0),MATCH(data!AT$1,Haver_M!$B$1:$ZN$1,0))),INDEX(Haver_M!$B$1:$ZN$1000,MATCH(data!$A180,Haver_M!$B$1:$B$1000,0),MATCH(data!AT$1,Haver_M!$B$1:$ZN$1,0)),"na")</f>
        <v>103.663</v>
      </c>
      <c r="AU180">
        <f>IF(ISNUMBER(INDEX(Haver_M!$B$1:$ZN$1000,MATCH(data!$A180,Haver_M!$B$1:$B$1000,0),MATCH(data!AU$1,Haver_M!$B$1:$ZN$1,0))),INDEX(Haver_M!$B$1:$ZN$1000,MATCH(data!$A180,Haver_M!$B$1:$B$1000,0),MATCH(data!AU$1,Haver_M!$B$1:$ZN$1,0)),"na")</f>
        <v>103.862324</v>
      </c>
      <c r="AV180">
        <f>IF(ISNUMBER(INDEX(Haver_M!$B$1:$ZN$1000,MATCH(data!$A180,Haver_M!$B$1:$B$1000,0),MATCH(data!AV$1,Haver_M!$B$1:$ZN$1,0))),INDEX(Haver_M!$B$1:$ZN$1000,MATCH(data!$A180,Haver_M!$B$1:$B$1000,0),MATCH(data!AV$1,Haver_M!$B$1:$ZN$1,0)),"na")</f>
        <v>106.1</v>
      </c>
      <c r="AW180">
        <f>IF(ISNUMBER(INDEX(Haver_M!$B$1:$ZN$1000,MATCH(data!$A180,Haver_M!$B$1:$B$1000,0),MATCH(data!AW$1,Haver_M!$B$1:$ZN$1,0))),INDEX(Haver_M!$B$1:$ZN$1000,MATCH(data!$A180,Haver_M!$B$1:$B$1000,0),MATCH(data!AW$1,Haver_M!$B$1:$ZN$1,0)),"na")</f>
        <v>1414676.7755930761</v>
      </c>
      <c r="AX180">
        <f>IF(ISNUMBER(INDEX(Haver_M!$B$1:$ZN$1000,MATCH(data!$A180,Haver_M!$B$1:$B$1000,0),MATCH(data!AX$1,Haver_M!$B$1:$ZN$1,0))),INDEX(Haver_M!$B$1:$ZN$1000,MATCH(data!$A180,Haver_M!$B$1:$B$1000,0),MATCH(data!AX$1,Haver_M!$B$1:$ZN$1,0)),"na")</f>
        <v>2358</v>
      </c>
      <c r="AY180">
        <f>IF(ISNUMBER(INDEX(Haver_M!$B$1:$ZN$1000,MATCH(data!$A180,Haver_M!$B$1:$B$1000,0),MATCH(data!AY$1,Haver_M!$B$1:$ZN$1,0))),INDEX(Haver_M!$B$1:$ZN$1000,MATCH(data!$A180,Haver_M!$B$1:$B$1000,0),MATCH(data!AY$1,Haver_M!$B$1:$ZN$1,0)),"na")</f>
        <v>1230</v>
      </c>
      <c r="AZ180">
        <f>IF(ISNUMBER(INDEX(Haver_M!$B$1:$ZN$1000,MATCH(data!$A180,Haver_M!$B$1:$B$1000,0),MATCH(data!AZ$1,Haver_M!$B$1:$ZN$1,0))),INDEX(Haver_M!$B$1:$ZN$1000,MATCH(data!$A180,Haver_M!$B$1:$B$1000,0),MATCH(data!AZ$1,Haver_M!$B$1:$ZN$1,0)),"na")</f>
        <v>53.8</v>
      </c>
      <c r="BA180">
        <f>IF(ISNUMBER(INDEX(Haver_M!$B$1:$ZN$1000,MATCH(data!$A180,Haver_M!$B$1:$B$1000,0),MATCH(data!BA$1,Haver_M!$B$1:$ZN$1,0))),INDEX(Haver_M!$B$1:$ZN$1000,MATCH(data!$A180,Haver_M!$B$1:$B$1000,0),MATCH(data!BA$1,Haver_M!$B$1:$ZN$1,0)),"na")</f>
        <v>18.411048716068947</v>
      </c>
      <c r="BB180" t="str">
        <f>IF(ISNUMBER(INDEX(Haver_M!$B$1:$ZN$1000,MATCH(data!$A180,Haver_M!$B$1:$B$1000,0),MATCH(data!BB$1,Haver_M!$B$1:$ZN$1,0))),INDEX(Haver_M!$B$1:$ZN$1000,MATCH(data!$A180,Haver_M!$B$1:$B$1000,0),MATCH(data!BB$1,Haver_M!$B$1:$ZN$1,0)),"")</f>
        <v/>
      </c>
    </row>
    <row r="181" spans="1:54" x14ac:dyDescent="0.25">
      <c r="A181" s="2">
        <v>42004</v>
      </c>
      <c r="B181">
        <f>IF(ISNUMBER(INDEX(Haver_Q!$B$1:$BD$1000,MATCH(data!$A181,Haver_Q!$B$1:$B$1000,0),MATCH(data!B$1,Haver_Q!$B$1:$BD$1,0))),100*INDEX(Haver_Q!$B$1:$BD$1000,MATCH(data!$A181,Haver_Q!$B$1:$B$1000,0),MATCH(data!B$1,Haver_Q!$B$1:$BD$1,0)),"na")</f>
        <v>4.4409020088104212</v>
      </c>
      <c r="C181">
        <f>IF(ISNUMBER(INDEX(Haver_Q!$B$1:$BD$1000,MATCH(data!$A181,Haver_Q!$B$1:$B$1000,0),MATCH(data!C$1,Haver_Q!$B$1:$BD$1,0))),100*INDEX(Haver_Q!$B$1:$BD$1000,MATCH(data!$A181,Haver_Q!$B$1:$B$1000,0),MATCH(data!C$1,Haver_Q!$B$1:$BD$1,0)),"na")</f>
        <v>-1.0927289547353225</v>
      </c>
      <c r="D181">
        <f>IF(ISNUMBER(INDEX(Haver_Q!$B$1:$BD$1000,MATCH(data!$A181,Haver_Q!$B$1:$B$1000,0),MATCH(data!D$1,Haver_Q!$B$1:$BD$1,0))),100*INDEX(Haver_Q!$B$1:$BD$1000,MATCH(data!$A181,Haver_Q!$B$1:$B$1000,0),MATCH(data!D$1,Haver_Q!$B$1:$BD$1,0)),"na")</f>
        <v>2.4675828264865807</v>
      </c>
      <c r="E181">
        <f>IF(ISNUMBER(INDEX(Haver_Q!$B$1:$BD$1000,MATCH(data!$A181,Haver_Q!$B$1:$B$1000,0),MATCH(data!E$1,Haver_Q!$B$1:$BD$1,0))),100*INDEX(Haver_Q!$B$1:$BD$1000,MATCH(data!$A181,Haver_Q!$B$1:$B$1000,0),MATCH(data!E$1,Haver_Q!$B$1:$BD$1,0)),"na")</f>
        <v>15.624044177471808</v>
      </c>
      <c r="F181">
        <f>IF(ISNUMBER(INDEX(Haver_Q!$B$1:$BD$1000,MATCH(data!$A181,Haver_Q!$B$1:$B$1000,0),MATCH(data!F$1,Haver_Q!$B$1:$BD$1,0))),100*INDEX(Haver_Q!$B$1:$BD$1000,MATCH(data!$A181,Haver_Q!$B$1:$B$1000,0),MATCH(data!F$1,Haver_Q!$B$1:$BD$1,0)),"na")</f>
        <v>13.604463263031707</v>
      </c>
      <c r="G181">
        <f>IF(ISNUMBER(INDEX(Haver_Q!$B$1:$BD$1000,MATCH(data!$A181,Haver_Q!$B$1:$B$1000,0),MATCH(data!G$1,Haver_Q!$B$1:$BD$1,0))),100*INDEX(Haver_Q!$B$1:$BD$1000,MATCH(data!$A181,Haver_Q!$B$1:$B$1000,0),MATCH(data!G$1,Haver_Q!$B$1:$BD$1,0)),"na")</f>
        <v>12.708704992297925</v>
      </c>
      <c r="H181">
        <f>IF(ISNUMBER(INDEX(Haver_Q!$B$1:$BD$1000,MATCH(data!$A181,Haver_Q!$B$1:$B$1000,0),MATCH(data!H$1,Haver_Q!$B$1:$BD$1,0))),100*INDEX(Haver_Q!$B$1:$BD$1000,MATCH(data!$A181,Haver_Q!$B$1:$B$1000,0),MATCH(data!H$1,Haver_Q!$B$1:$BD$1,0)),"na")</f>
        <v>369.29338604900772</v>
      </c>
      <c r="I181" s="3">
        <f>IF(ISNUMBER(Bloomberg_m!C197),Bloomberg_m!C197,"na")</f>
        <v>910</v>
      </c>
      <c r="J181" s="3">
        <f>IF(ISNUMBER(Bloomberg_m!D197),Bloomberg_m!D197,"na")</f>
        <v>1841.72</v>
      </c>
      <c r="K181" s="3">
        <f>IF(ISNUMBER(Bloomberg_m!E197),Bloomberg_m!E197,"na")</f>
        <v>1060.08</v>
      </c>
      <c r="L181" s="3">
        <f>IF(ISNUMBER(Bloomberg_m!L197),Bloomberg_m!L197,"na")</f>
        <v>59.26</v>
      </c>
      <c r="M181">
        <f>IF(ISNUMBER(INDEX(Haver_M!$B$1:$ZN$1000,MATCH(data!$A181,Haver_M!$B$1:$B$1000,0),MATCH(data!M$1,Haver_M!$B$1:$ZN$1,0))),INDEX(Haver_M!$B$1:$ZN$1000,MATCH(data!$A181,Haver_M!$B$1:$B$1000,0),MATCH(data!M$1,Haver_M!$B$1:$ZN$1,0)),"na")</f>
        <v>3</v>
      </c>
      <c r="N181">
        <f>IF(ISNUMBER(INDEX(Haver_M!$B$1:$ZN$1000,MATCH(data!$A181,Haver_M!$B$1:$B$1000,0),MATCH(data!N$1,Haver_M!$B$1:$ZN$1,0))),INDEX(Haver_M!$B$1:$ZN$1000,MATCH(data!$A181,Haver_M!$B$1:$B$1000,0),MATCH(data!N$1,Haver_M!$B$1:$ZN$1,0)),"na")</f>
        <v>5.9343000000000004</v>
      </c>
      <c r="O181">
        <f>IF(ISNUMBER(INDEX(Haver_M!$B$1:$ZN$1000,MATCH(data!$A181,Haver_M!$B$1:$B$1000,0),MATCH(data!O$1,Haver_M!$B$1:$ZN$1,0))),INDEX(Haver_M!$B$1:$ZN$1000,MATCH(data!$A181,Haver_M!$B$1:$B$1000,0),MATCH(data!O$1,Haver_M!$B$1:$ZN$1,0)),"na")</f>
        <v>96.441820000000007</v>
      </c>
      <c r="P181">
        <f>IF(ISNUMBER(INDEX(Haver_M!$B$1:$ZN$1000,MATCH(data!$A181,Haver_M!$B$1:$B$1000,0),MATCH(data!P$1,Haver_M!$B$1:$ZN$1,0))),INDEX(Haver_M!$B$1:$ZN$1000,MATCH(data!$A181,Haver_M!$B$1:$B$1000,0),MATCH(data!P$1,Haver_M!$B$1:$ZN$1,0)),"na")</f>
        <v>86.845299999999995</v>
      </c>
      <c r="Q181">
        <f>IF(ISNUMBER(INDEX(Haver_M!$B$1:$ZN$1000,MATCH(data!$A181,Haver_M!$B$1:$B$1000,0),MATCH(data!Q$1,Haver_M!$B$1:$ZN$1,0))),INDEX(Haver_M!$B$1:$ZN$1000,MATCH(data!$A181,Haver_M!$B$1:$B$1000,0),MATCH(data!Q$1,Haver_M!$B$1:$ZN$1,0)),"na")</f>
        <v>88.245400000000004</v>
      </c>
      <c r="R181">
        <f>IF(ISNUMBER(INDEX(Haver_M!$B$1:$ZN$1000,MATCH(data!$A181,Haver_M!$B$1:$B$1000,0),MATCH(data!R$1,Haver_M!$B$1:$ZN$1,0))),INDEX(Haver_M!$B$1:$ZN$1000,MATCH(data!$A181,Haver_M!$B$1:$B$1000,0),MATCH(data!R$1,Haver_M!$B$1:$ZN$1,0)),"na")</f>
        <v>103.3877</v>
      </c>
      <c r="S181">
        <f>IF(ISNUMBER(INDEX(Haver_M!$B$1:$ZN$1000,MATCH(data!$A181,Haver_M!$B$1:$B$1000,0),MATCH(data!S$1,Haver_M!$B$1:$ZN$1,0))),INDEX(Haver_M!$B$1:$ZN$1000,MATCH(data!$A181,Haver_M!$B$1:$B$1000,0),MATCH(data!S$1,Haver_M!$B$1:$ZN$1,0)),"na")</f>
        <v>95.5762</v>
      </c>
      <c r="T181">
        <f>IF(ISNUMBER(INDEX(Haver_M!$B$1:$ZN$1000,MATCH(data!$A181,Haver_M!$B$1:$B$1000,0),MATCH(data!T$1,Haver_M!$B$1:$ZN$1,0))),INDEX(Haver_M!$B$1:$ZN$1000,MATCH(data!$A181,Haver_M!$B$1:$B$1000,0),MATCH(data!T$1,Haver_M!$B$1:$ZN$1,0)),"na")</f>
        <v>109.5491</v>
      </c>
      <c r="U181">
        <f>IF(ISNUMBER(INDEX(Haver_M!$B$1:$ZN$1000,MATCH(data!$A181,Haver_M!$B$1:$B$1000,0),MATCH(data!U$1,Haver_M!$B$1:$ZN$1,0))),INDEX(Haver_M!$B$1:$ZN$1000,MATCH(data!$A181,Haver_M!$B$1:$B$1000,0),MATCH(data!U$1,Haver_M!$B$1:$ZN$1,0)),"na")</f>
        <v>104.09059999999999</v>
      </c>
      <c r="V181">
        <f>IF(ISNUMBER(INDEX(Haver_M!$B$1:$ZN$1000,MATCH(data!$A181,Haver_M!$B$1:$B$1000,0),MATCH(data!V$1,Haver_M!$B$1:$ZN$1,0))),INDEX(Haver_M!$B$1:$ZN$1000,MATCH(data!$A181,Haver_M!$B$1:$B$1000,0),MATCH(data!V$1,Haver_M!$B$1:$ZN$1,0)),"na")</f>
        <v>105.5959</v>
      </c>
      <c r="W181">
        <f>IF(ISNUMBER(INDEX(Haver_M!$B$1:$ZN$1000,MATCH(data!$A181,Haver_M!$B$1:$B$1000,0),MATCH(data!W$1,Haver_M!$B$1:$ZN$1,0))),INDEX(Haver_M!$B$1:$ZN$1000,MATCH(data!$A181,Haver_M!$B$1:$B$1000,0),MATCH(data!W$1,Haver_M!$B$1:$ZN$1,0)),"na")</f>
        <v>4.21</v>
      </c>
      <c r="X181">
        <f>IF(ISNUMBER(INDEX(Haver_M!$B$1:$ZN$1000,MATCH(data!$A181,Haver_M!$B$1:$B$1000,0),MATCH(data!X$1,Haver_M!$B$1:$ZN$1,0))),INDEX(Haver_M!$B$1:$ZN$1000,MATCH(data!$A181,Haver_M!$B$1:$B$1000,0),MATCH(data!X$1,Haver_M!$B$1:$ZN$1,0)),"na")</f>
        <v>100.64</v>
      </c>
      <c r="Y181">
        <f>IF(ISNUMBER(INDEX(Haver_M!$B$1:$ZN$1000,MATCH(data!$A181,Haver_M!$B$1:$B$1000,0),MATCH(data!Y$1,Haver_M!$B$1:$ZN$1,0))),INDEX(Haver_M!$B$1:$ZN$1000,MATCH(data!$A181,Haver_M!$B$1:$B$1000,0),MATCH(data!Y$1,Haver_M!$B$1:$ZN$1,0)),"na")</f>
        <v>100.87</v>
      </c>
      <c r="Z181">
        <f>IF(ISNUMBER(INDEX(Haver_M!$B$1:$ZN$1000,MATCH(data!$A181,Haver_M!$B$1:$B$1000,0),MATCH(data!Z$1,Haver_M!$B$1:$ZN$1,0))),INDEX(Haver_M!$B$1:$ZN$1000,MATCH(data!$A181,Haver_M!$B$1:$B$1000,0),MATCH(data!Z$1,Haver_M!$B$1:$ZN$1,0)),"na")</f>
        <v>102.5104</v>
      </c>
      <c r="AA181">
        <f>IF(ISNUMBER(INDEX(Haver_M!$B$1:$ZN$1000,MATCH(data!$A181,Haver_M!$B$1:$B$1000,0),MATCH(data!AA$1,Haver_M!$B$1:$ZN$1,0))),INDEX(Haver_M!$B$1:$ZN$1000,MATCH(data!$A181,Haver_M!$B$1:$B$1000,0),MATCH(data!AA$1,Haver_M!$B$1:$ZN$1,0)),"na")</f>
        <v>105.5201</v>
      </c>
      <c r="AB181">
        <f>IF(ISNUMBER(INDEX(Haver_M!$B$1:$ZN$1000,MATCH(data!$A181,Haver_M!$B$1:$B$1000,0),MATCH(data!AB$1,Haver_M!$B$1:$ZN$1,0))),INDEX(Haver_M!$B$1:$ZN$1000,MATCH(data!$A181,Haver_M!$B$1:$B$1000,0),MATCH(data!AB$1,Haver_M!$B$1:$ZN$1,0)),"na")</f>
        <v>32918</v>
      </c>
      <c r="AC181">
        <f>IF(ISNUMBER(INDEX(Haver_M!$B$1:$ZN$1000,MATCH(data!$A181,Haver_M!$B$1:$B$1000,0),MATCH(data!AC$1,Haver_M!$B$1:$ZN$1,0))),INDEX(Haver_M!$B$1:$ZN$1000,MATCH(data!$A181,Haver_M!$B$1:$B$1000,0),MATCH(data!AC$1,Haver_M!$B$1:$ZN$1,0)),"na")</f>
        <v>33229.699999999997</v>
      </c>
      <c r="AD181">
        <f>IF(ISNUMBER(INDEX(Haver_M!$B$1:$ZN$1000,MATCH(data!$A181,Haver_M!$B$1:$B$1000,0),MATCH(data!AD$1,Haver_M!$B$1:$ZN$1,0))),INDEX(Haver_M!$B$1:$ZN$1000,MATCH(data!$A181,Haver_M!$B$1:$B$1000,0),MATCH(data!AD$1,Haver_M!$B$1:$ZN$1,0)),"na")</f>
        <v>99.92</v>
      </c>
      <c r="AE181">
        <f>IF(ISNUMBER(INDEX(Haver_M!$B$1:$ZN$1000,MATCH(data!$A181,Haver_M!$B$1:$B$1000,0),MATCH(data!AE$1,Haver_M!$B$1:$ZN$1,0))),INDEX(Haver_M!$B$1:$ZN$1000,MATCH(data!$A181,Haver_M!$B$1:$B$1000,0),MATCH(data!AE$1,Haver_M!$B$1:$ZN$1,0)),"na")</f>
        <v>38.4</v>
      </c>
      <c r="AF181">
        <f>IF(ISNUMBER(INDEX(Haver_M!$B$1:$ZN$1000,MATCH(data!$A181,Haver_M!$B$1:$B$1000,0),MATCH(data!AF$1,Haver_M!$B$1:$ZN$1,0))),INDEX(Haver_M!$B$1:$ZN$1000,MATCH(data!$A181,Haver_M!$B$1:$B$1000,0),MATCH(data!AF$1,Haver_M!$B$1:$ZN$1,0)),"na")</f>
        <v>99.86</v>
      </c>
      <c r="AG181">
        <f>IF(ISNUMBER(INDEX(Haver_M!$B$1:$ZN$1000,MATCH(data!$A181,Haver_M!$B$1:$B$1000,0),MATCH(data!AG$1,Haver_M!$B$1:$ZN$1,0))),INDEX(Haver_M!$B$1:$ZN$1000,MATCH(data!$A181,Haver_M!$B$1:$B$1000,0),MATCH(data!AG$1,Haver_M!$B$1:$ZN$1,0)),"na")</f>
        <v>55.3429</v>
      </c>
      <c r="AH181">
        <f>IF(ISNUMBER(INDEX(Haver_M!$B$1:$ZN$1000,MATCH(data!$A181,Haver_M!$B$1:$B$1000,0),MATCH(data!AH$1,Haver_M!$B$1:$ZN$1,0))),INDEX(Haver_M!$B$1:$ZN$1000,MATCH(data!$A181,Haver_M!$B$1:$B$1000,0),MATCH(data!AH$1,Haver_M!$B$1:$ZN$1,0)),"na")</f>
        <v>58.101399999999998</v>
      </c>
      <c r="AI181">
        <f>IF(ISNUMBER(INDEX(Haver_M!$B$1:$ZN$1000,MATCH(data!$A181,Haver_M!$B$1:$B$1000,0),MATCH(data!AI$1,Haver_M!$B$1:$ZN$1,0))),INDEX(Haver_M!$B$1:$ZN$1000,MATCH(data!$A181,Haver_M!$B$1:$B$1000,0),MATCH(data!AI$1,Haver_M!$B$1:$ZN$1,0)),"na")</f>
        <v>57.943899999999999</v>
      </c>
      <c r="AJ181">
        <f>IF(ISNUMBER(INDEX(Haver_M!$B$1:$ZN$1000,MATCH(data!$A181,Haver_M!$B$1:$B$1000,0),MATCH(data!AJ$1,Haver_M!$B$1:$ZN$1,0))),INDEX(Haver_M!$B$1:$ZN$1000,MATCH(data!$A181,Haver_M!$B$1:$B$1000,0),MATCH(data!AJ$1,Haver_M!$B$1:$ZN$1,0)),"na")</f>
        <v>51.886099999999999</v>
      </c>
      <c r="AK181">
        <f>IF(ISNUMBER(INDEX(Haver_M!$B$1:$ZN$1000,MATCH(data!$A181,Haver_M!$B$1:$B$1000,0),MATCH(data!AK$1,Haver_M!$B$1:$ZN$1,0))),INDEX(Haver_M!$B$1:$ZN$1000,MATCH(data!$A181,Haver_M!$B$1:$B$1000,0),MATCH(data!AK$1,Haver_M!$B$1:$ZN$1,0)),"na")</f>
        <v>48.435899999999997</v>
      </c>
      <c r="AL181">
        <f>IF(ISNUMBER(INDEX(Haver_M!$B$1:$ZN$1000,MATCH(data!$A181,Haver_M!$B$1:$B$1000,0),MATCH(data!AL$1,Haver_M!$B$1:$ZN$1,0))),INDEX(Haver_M!$B$1:$ZN$1000,MATCH(data!$A181,Haver_M!$B$1:$B$1000,0),MATCH(data!AL$1,Haver_M!$B$1:$ZN$1,0)),"na")</f>
        <v>53.224800000000002</v>
      </c>
      <c r="AM181">
        <f>IF(ISNUMBER(INDEX(Haver_M!$B$1:$ZN$1000,MATCH(data!$A181,Haver_M!$B$1:$B$1000,0),MATCH(data!AM$1,Haver_M!$B$1:$ZN$1,0))),INDEX(Haver_M!$B$1:$ZN$1000,MATCH(data!$A181,Haver_M!$B$1:$B$1000,0),MATCH(data!AM$1,Haver_M!$B$1:$ZN$1,0)),"na")</f>
        <v>56.769199999999998</v>
      </c>
      <c r="AN181">
        <f>IF(ISNUMBER(INDEX(Haver_M!$B$1:$ZN$1000,MATCH(data!$A181,Haver_M!$B$1:$B$1000,0),MATCH(data!AN$1,Haver_M!$B$1:$ZN$1,0))),INDEX(Haver_M!$B$1:$ZN$1000,MATCH(data!$A181,Haver_M!$B$1:$B$1000,0),MATCH(data!AN$1,Haver_M!$B$1:$ZN$1,0)),"na")</f>
        <v>55.981900000000003</v>
      </c>
      <c r="AO181">
        <f>IF(ISNUMBER(INDEX(Haver_M!$B$1:$ZN$1000,MATCH(data!$A181,Haver_M!$B$1:$B$1000,0),MATCH(data!AO$1,Haver_M!$B$1:$ZN$1,0))),INDEX(Haver_M!$B$1:$ZN$1000,MATCH(data!$A181,Haver_M!$B$1:$B$1000,0),MATCH(data!AO$1,Haver_M!$B$1:$ZN$1,0)),"na")</f>
        <v>53.224800000000002</v>
      </c>
      <c r="AP181">
        <f>IF(ISNUMBER(INDEX(Haver_M!$B$1:$ZN$1000,MATCH(data!$A181,Haver_M!$B$1:$B$1000,0),MATCH(data!AP$1,Haver_M!$B$1:$ZN$1,0))),INDEX(Haver_M!$B$1:$ZN$1000,MATCH(data!$A181,Haver_M!$B$1:$B$1000,0),MATCH(data!AP$1,Haver_M!$B$1:$ZN$1,0)),"na")</f>
        <v>52.777799999999999</v>
      </c>
      <c r="AQ181">
        <f>IF(ISNUMBER(INDEX(Haver_M!$B$1:$ZN$1000,MATCH(data!$A181,Haver_M!$B$1:$B$1000,0),MATCH(data!AQ$1,Haver_M!$B$1:$ZN$1,0))),INDEX(Haver_M!$B$1:$ZN$1000,MATCH(data!$A181,Haver_M!$B$1:$B$1000,0),MATCH(data!AQ$1,Haver_M!$B$1:$ZN$1,0)),"na")</f>
        <v>51.230800000000002</v>
      </c>
      <c r="AR181">
        <f>IF(ISNUMBER(INDEX(Haver_M!$B$1:$ZN$1000,MATCH(data!$A181,Haver_M!$B$1:$B$1000,0),MATCH(data!AR$1,Haver_M!$B$1:$ZN$1,0))),INDEX(Haver_M!$B$1:$ZN$1000,MATCH(data!$A181,Haver_M!$B$1:$B$1000,0),MATCH(data!AR$1,Haver_M!$B$1:$ZN$1,0)),"na")</f>
        <v>47.164900000000003</v>
      </c>
      <c r="AS181">
        <f>IF(ISNUMBER(INDEX(Haver_M!$B$1:$ZN$1000,MATCH(data!$A181,Haver_M!$B$1:$B$1000,0),MATCH(data!AS$1,Haver_M!$B$1:$ZN$1,0))),INDEX(Haver_M!$B$1:$ZN$1000,MATCH(data!$A181,Haver_M!$B$1:$B$1000,0),MATCH(data!AS$1,Haver_M!$B$1:$ZN$1,0)),"na")</f>
        <v>42469.05</v>
      </c>
      <c r="AT181">
        <f>IF(ISNUMBER(INDEX(Haver_M!$B$1:$ZN$1000,MATCH(data!$A181,Haver_M!$B$1:$B$1000,0),MATCH(data!AT$1,Haver_M!$B$1:$ZN$1,0))),INDEX(Haver_M!$B$1:$ZN$1000,MATCH(data!$A181,Haver_M!$B$1:$B$1000,0),MATCH(data!AT$1,Haver_M!$B$1:$ZN$1,0)),"na")</f>
        <v>102.871</v>
      </c>
      <c r="AU181">
        <f>IF(ISNUMBER(INDEX(Haver_M!$B$1:$ZN$1000,MATCH(data!$A181,Haver_M!$B$1:$B$1000,0),MATCH(data!AU$1,Haver_M!$B$1:$ZN$1,0))),INDEX(Haver_M!$B$1:$ZN$1000,MATCH(data!$A181,Haver_M!$B$1:$B$1000,0),MATCH(data!AU$1,Haver_M!$B$1:$ZN$1,0)),"na")</f>
        <v>104.099874</v>
      </c>
      <c r="AV181">
        <f>IF(ISNUMBER(INDEX(Haver_M!$B$1:$ZN$1000,MATCH(data!$A181,Haver_M!$B$1:$B$1000,0),MATCH(data!AV$1,Haver_M!$B$1:$ZN$1,0))),INDEX(Haver_M!$B$1:$ZN$1000,MATCH(data!$A181,Haver_M!$B$1:$B$1000,0),MATCH(data!AV$1,Haver_M!$B$1:$ZN$1,0)),"na")</f>
        <v>104.9</v>
      </c>
      <c r="AW181">
        <f>IF(ISNUMBER(INDEX(Haver_M!$B$1:$ZN$1000,MATCH(data!$A181,Haver_M!$B$1:$B$1000,0),MATCH(data!AW$1,Haver_M!$B$1:$ZN$1,0))),INDEX(Haver_M!$B$1:$ZN$1000,MATCH(data!$A181,Haver_M!$B$1:$B$1000,0),MATCH(data!AW$1,Haver_M!$B$1:$ZN$1,0)),"na")</f>
        <v>1428078.1987248317</v>
      </c>
      <c r="AX181">
        <f>IF(ISNUMBER(INDEX(Haver_M!$B$1:$ZN$1000,MATCH(data!$A181,Haver_M!$B$1:$B$1000,0),MATCH(data!AX$1,Haver_M!$B$1:$ZN$1,0))),INDEX(Haver_M!$B$1:$ZN$1000,MATCH(data!$A181,Haver_M!$B$1:$B$1000,0),MATCH(data!AX$1,Haver_M!$B$1:$ZN$1,0)),"na")</f>
        <v>2344</v>
      </c>
      <c r="AY181">
        <f>IF(ISNUMBER(INDEX(Haver_M!$B$1:$ZN$1000,MATCH(data!$A181,Haver_M!$B$1:$B$1000,0),MATCH(data!AY$1,Haver_M!$B$1:$ZN$1,0))),INDEX(Haver_M!$B$1:$ZN$1000,MATCH(data!$A181,Haver_M!$B$1:$B$1000,0),MATCH(data!AY$1,Haver_M!$B$1:$ZN$1,0)),"na")</f>
        <v>1237</v>
      </c>
      <c r="AZ181">
        <f>IF(ISNUMBER(INDEX(Haver_M!$B$1:$ZN$1000,MATCH(data!$A181,Haver_M!$B$1:$B$1000,0),MATCH(data!AZ$1,Haver_M!$B$1:$ZN$1,0))),INDEX(Haver_M!$B$1:$ZN$1000,MATCH(data!$A181,Haver_M!$B$1:$B$1000,0),MATCH(data!AZ$1,Haver_M!$B$1:$ZN$1,0)),"na")</f>
        <v>51.2</v>
      </c>
      <c r="BA181">
        <f>IF(ISNUMBER(INDEX(Haver_M!$B$1:$ZN$1000,MATCH(data!$A181,Haver_M!$B$1:$B$1000,0),MATCH(data!BA$1,Haver_M!$B$1:$ZN$1,0))),INDEX(Haver_M!$B$1:$ZN$1000,MATCH(data!$A181,Haver_M!$B$1:$B$1000,0),MATCH(data!BA$1,Haver_M!$B$1:$ZN$1,0)),"na")</f>
        <v>24.559168359935896</v>
      </c>
      <c r="BB181" t="str">
        <f>IF(ISNUMBER(INDEX(Haver_M!$B$1:$ZN$1000,MATCH(data!$A181,Haver_M!$B$1:$B$1000,0),MATCH(data!BB$1,Haver_M!$B$1:$ZN$1,0))),INDEX(Haver_M!$B$1:$ZN$1000,MATCH(data!$A181,Haver_M!$B$1:$B$1000,0),MATCH(data!BB$1,Haver_M!$B$1:$ZN$1,0)),"")</f>
        <v/>
      </c>
    </row>
    <row r="182" spans="1:54" x14ac:dyDescent="0.25">
      <c r="A182" s="2">
        <v>42035</v>
      </c>
      <c r="B182" t="str">
        <f>IF(ISNUMBER(INDEX(Haver_Q!$B$1:$BD$1000,MATCH(data!$A182,Haver_Q!$B$1:$B$1000,0),MATCH(data!B$1,Haver_Q!$B$1:$BD$1,0))),100*INDEX(Haver_Q!$B$1:$BD$1000,MATCH(data!$A182,Haver_Q!$B$1:$B$1000,0),MATCH(data!B$1,Haver_Q!$B$1:$BD$1,0)),"na")</f>
        <v>na</v>
      </c>
      <c r="C182" t="str">
        <f>IF(ISNUMBER(INDEX(Haver_Q!$B$1:$BD$1000,MATCH(data!$A182,Haver_Q!$B$1:$B$1000,0),MATCH(data!C$1,Haver_Q!$B$1:$BD$1,0))),100*INDEX(Haver_Q!$B$1:$BD$1000,MATCH(data!$A182,Haver_Q!$B$1:$B$1000,0),MATCH(data!C$1,Haver_Q!$B$1:$BD$1,0)),"na")</f>
        <v>na</v>
      </c>
      <c r="D182" t="str">
        <f>IF(ISNUMBER(INDEX(Haver_Q!$B$1:$BD$1000,MATCH(data!$A182,Haver_Q!$B$1:$B$1000,0),MATCH(data!D$1,Haver_Q!$B$1:$BD$1,0))),100*INDEX(Haver_Q!$B$1:$BD$1000,MATCH(data!$A182,Haver_Q!$B$1:$B$1000,0),MATCH(data!D$1,Haver_Q!$B$1:$BD$1,0)),"na")</f>
        <v>na</v>
      </c>
      <c r="E182" t="str">
        <f>IF(ISNUMBER(INDEX(Haver_Q!$B$1:$BD$1000,MATCH(data!$A182,Haver_Q!$B$1:$B$1000,0),MATCH(data!E$1,Haver_Q!$B$1:$BD$1,0))),100*INDEX(Haver_Q!$B$1:$BD$1000,MATCH(data!$A182,Haver_Q!$B$1:$B$1000,0),MATCH(data!E$1,Haver_Q!$B$1:$BD$1,0)),"na")</f>
        <v>na</v>
      </c>
      <c r="F182" t="str">
        <f>IF(ISNUMBER(INDEX(Haver_Q!$B$1:$BD$1000,MATCH(data!$A182,Haver_Q!$B$1:$B$1000,0),MATCH(data!F$1,Haver_Q!$B$1:$BD$1,0))),100*INDEX(Haver_Q!$B$1:$BD$1000,MATCH(data!$A182,Haver_Q!$B$1:$B$1000,0),MATCH(data!F$1,Haver_Q!$B$1:$BD$1,0)),"na")</f>
        <v>na</v>
      </c>
      <c r="G182" t="str">
        <f>IF(ISNUMBER(INDEX(Haver_Q!$B$1:$BD$1000,MATCH(data!$A182,Haver_Q!$B$1:$B$1000,0),MATCH(data!G$1,Haver_Q!$B$1:$BD$1,0))),100*INDEX(Haver_Q!$B$1:$BD$1000,MATCH(data!$A182,Haver_Q!$B$1:$B$1000,0),MATCH(data!G$1,Haver_Q!$B$1:$BD$1,0)),"na")</f>
        <v>na</v>
      </c>
      <c r="H182" t="str">
        <f>IF(ISNUMBER(INDEX(Haver_Q!$B$1:$BD$1000,MATCH(data!$A182,Haver_Q!$B$1:$B$1000,0),MATCH(data!H$1,Haver_Q!$B$1:$BD$1,0))),100*INDEX(Haver_Q!$B$1:$BD$1000,MATCH(data!$A182,Haver_Q!$B$1:$B$1000,0),MATCH(data!H$1,Haver_Q!$B$1:$BD$1,0)),"na")</f>
        <v>na</v>
      </c>
      <c r="I182" s="3">
        <f>IF(ISNUMBER(Bloomberg_m!C198),Bloomberg_m!C198,"na")</f>
        <v>725</v>
      </c>
      <c r="J182" s="3">
        <f>IF(ISNUMBER(Bloomberg_m!D198),Bloomberg_m!D198,"na")</f>
        <v>2032.7</v>
      </c>
      <c r="K182" s="3">
        <f>IF(ISNUMBER(Bloomberg_m!E198),Bloomberg_m!E198,"na")</f>
        <v>1051.76</v>
      </c>
      <c r="L182" s="3">
        <f>IF(ISNUMBER(Bloomberg_m!L198),Bloomberg_m!L198,"na")</f>
        <v>47.27</v>
      </c>
      <c r="M182">
        <f>IF(ISNUMBER(INDEX(Haver_M!$B$1:$ZN$1000,MATCH(data!$A182,Haver_M!$B$1:$B$1000,0),MATCH(data!M$1,Haver_M!$B$1:$ZN$1,0))),INDEX(Haver_M!$B$1:$ZN$1000,MATCH(data!$A182,Haver_M!$B$1:$B$1000,0),MATCH(data!M$1,Haver_M!$B$1:$ZN$1,0)),"na")</f>
        <v>3</v>
      </c>
      <c r="N182">
        <f>IF(ISNUMBER(INDEX(Haver_M!$B$1:$ZN$1000,MATCH(data!$A182,Haver_M!$B$1:$B$1000,0),MATCH(data!N$1,Haver_M!$B$1:$ZN$1,0))),INDEX(Haver_M!$B$1:$ZN$1000,MATCH(data!$A182,Haver_M!$B$1:$B$1000,0),MATCH(data!N$1,Haver_M!$B$1:$ZN$1,0)),"na")</f>
        <v>5.4786000000000001</v>
      </c>
      <c r="O182">
        <f>IF(ISNUMBER(INDEX(Haver_M!$B$1:$ZN$1000,MATCH(data!$A182,Haver_M!$B$1:$B$1000,0),MATCH(data!O$1,Haver_M!$B$1:$ZN$1,0))),INDEX(Haver_M!$B$1:$ZN$1000,MATCH(data!$A182,Haver_M!$B$1:$B$1000,0),MATCH(data!O$1,Haver_M!$B$1:$ZN$1,0)),"na")</f>
        <v>96.632080000000002</v>
      </c>
      <c r="P182">
        <f>IF(ISNUMBER(INDEX(Haver_M!$B$1:$ZN$1000,MATCH(data!$A182,Haver_M!$B$1:$B$1000,0),MATCH(data!P$1,Haver_M!$B$1:$ZN$1,0))),INDEX(Haver_M!$B$1:$ZN$1000,MATCH(data!$A182,Haver_M!$B$1:$B$1000,0),MATCH(data!P$1,Haver_M!$B$1:$ZN$1,0)),"na")</f>
        <v>86.605099999999993</v>
      </c>
      <c r="Q182">
        <f>IF(ISNUMBER(INDEX(Haver_M!$B$1:$ZN$1000,MATCH(data!$A182,Haver_M!$B$1:$B$1000,0),MATCH(data!Q$1,Haver_M!$B$1:$ZN$1,0))),INDEX(Haver_M!$B$1:$ZN$1000,MATCH(data!$A182,Haver_M!$B$1:$B$1000,0),MATCH(data!Q$1,Haver_M!$B$1:$ZN$1,0)),"na")</f>
        <v>88.195300000000003</v>
      </c>
      <c r="R182">
        <f>IF(ISNUMBER(INDEX(Haver_M!$B$1:$ZN$1000,MATCH(data!$A182,Haver_M!$B$1:$B$1000,0),MATCH(data!R$1,Haver_M!$B$1:$ZN$1,0))),INDEX(Haver_M!$B$1:$ZN$1000,MATCH(data!$A182,Haver_M!$B$1:$B$1000,0),MATCH(data!R$1,Haver_M!$B$1:$ZN$1,0)),"na")</f>
        <v>102.7283</v>
      </c>
      <c r="S182">
        <f>IF(ISNUMBER(INDEX(Haver_M!$B$1:$ZN$1000,MATCH(data!$A182,Haver_M!$B$1:$B$1000,0),MATCH(data!S$1,Haver_M!$B$1:$ZN$1,0))),INDEX(Haver_M!$B$1:$ZN$1000,MATCH(data!$A182,Haver_M!$B$1:$B$1000,0),MATCH(data!S$1,Haver_M!$B$1:$ZN$1,0)),"na")</f>
        <v>95.116600000000005</v>
      </c>
      <c r="T182">
        <f>IF(ISNUMBER(INDEX(Haver_M!$B$1:$ZN$1000,MATCH(data!$A182,Haver_M!$B$1:$B$1000,0),MATCH(data!T$1,Haver_M!$B$1:$ZN$1,0))),INDEX(Haver_M!$B$1:$ZN$1000,MATCH(data!$A182,Haver_M!$B$1:$B$1000,0),MATCH(data!T$1,Haver_M!$B$1:$ZN$1,0)),"na")</f>
        <v>109.4901</v>
      </c>
      <c r="U182">
        <f>IF(ISNUMBER(INDEX(Haver_M!$B$1:$ZN$1000,MATCH(data!$A182,Haver_M!$B$1:$B$1000,0),MATCH(data!U$1,Haver_M!$B$1:$ZN$1,0))),INDEX(Haver_M!$B$1:$ZN$1000,MATCH(data!$A182,Haver_M!$B$1:$B$1000,0),MATCH(data!U$1,Haver_M!$B$1:$ZN$1,0)),"na")</f>
        <v>103.11539999999999</v>
      </c>
      <c r="V182">
        <f>IF(ISNUMBER(INDEX(Haver_M!$B$1:$ZN$1000,MATCH(data!$A182,Haver_M!$B$1:$B$1000,0),MATCH(data!V$1,Haver_M!$B$1:$ZN$1,0))),INDEX(Haver_M!$B$1:$ZN$1000,MATCH(data!$A182,Haver_M!$B$1:$B$1000,0),MATCH(data!V$1,Haver_M!$B$1:$ZN$1,0)),"na")</f>
        <v>105.4367</v>
      </c>
      <c r="W182">
        <f>IF(ISNUMBER(INDEX(Haver_M!$B$1:$ZN$1000,MATCH(data!$A182,Haver_M!$B$1:$B$1000,0),MATCH(data!W$1,Haver_M!$B$1:$ZN$1,0))),INDEX(Haver_M!$B$1:$ZN$1000,MATCH(data!$A182,Haver_M!$B$1:$B$1000,0),MATCH(data!W$1,Haver_M!$B$1:$ZN$1,0)),"na")</f>
        <v>4.3899999999999997</v>
      </c>
      <c r="X182">
        <f>IF(ISNUMBER(INDEX(Haver_M!$B$1:$ZN$1000,MATCH(data!$A182,Haver_M!$B$1:$B$1000,0),MATCH(data!X$1,Haver_M!$B$1:$ZN$1,0))),INDEX(Haver_M!$B$1:$ZN$1000,MATCH(data!$A182,Haver_M!$B$1:$B$1000,0),MATCH(data!X$1,Haver_M!$B$1:$ZN$1,0)),"na")</f>
        <v>100.96</v>
      </c>
      <c r="Y182">
        <f>IF(ISNUMBER(INDEX(Haver_M!$B$1:$ZN$1000,MATCH(data!$A182,Haver_M!$B$1:$B$1000,0),MATCH(data!Y$1,Haver_M!$B$1:$ZN$1,0))),INDEX(Haver_M!$B$1:$ZN$1000,MATCH(data!$A182,Haver_M!$B$1:$B$1000,0),MATCH(data!Y$1,Haver_M!$B$1:$ZN$1,0)),"na")</f>
        <v>100.79</v>
      </c>
      <c r="Z182">
        <f>IF(ISNUMBER(INDEX(Haver_M!$B$1:$ZN$1000,MATCH(data!$A182,Haver_M!$B$1:$B$1000,0),MATCH(data!Z$1,Haver_M!$B$1:$ZN$1,0))),INDEX(Haver_M!$B$1:$ZN$1000,MATCH(data!$A182,Haver_M!$B$1:$B$1000,0),MATCH(data!Z$1,Haver_M!$B$1:$ZN$1,0)),"na")</f>
        <v>103.60980000000001</v>
      </c>
      <c r="AA182">
        <f>IF(ISNUMBER(INDEX(Haver_M!$B$1:$ZN$1000,MATCH(data!$A182,Haver_M!$B$1:$B$1000,0),MATCH(data!AA$1,Haver_M!$B$1:$ZN$1,0))),INDEX(Haver_M!$B$1:$ZN$1000,MATCH(data!$A182,Haver_M!$B$1:$B$1000,0),MATCH(data!AA$1,Haver_M!$B$1:$ZN$1,0)),"na")</f>
        <v>104.7012</v>
      </c>
      <c r="AB182">
        <f>IF(ISNUMBER(INDEX(Haver_M!$B$1:$ZN$1000,MATCH(data!$A182,Haver_M!$B$1:$B$1000,0),MATCH(data!AB$1,Haver_M!$B$1:$ZN$1,0))),INDEX(Haver_M!$B$1:$ZN$1000,MATCH(data!$A182,Haver_M!$B$1:$B$1000,0),MATCH(data!AB$1,Haver_M!$B$1:$ZN$1,0)),"na")</f>
        <v>32372.1</v>
      </c>
      <c r="AC182">
        <f>IF(ISNUMBER(INDEX(Haver_M!$B$1:$ZN$1000,MATCH(data!$A182,Haver_M!$B$1:$B$1000,0),MATCH(data!AC$1,Haver_M!$B$1:$ZN$1,0))),INDEX(Haver_M!$B$1:$ZN$1000,MATCH(data!$A182,Haver_M!$B$1:$B$1000,0),MATCH(data!AC$1,Haver_M!$B$1:$ZN$1,0)),"na")</f>
        <v>32821.599999999999</v>
      </c>
      <c r="AD182">
        <f>IF(ISNUMBER(INDEX(Haver_M!$B$1:$ZN$1000,MATCH(data!$A182,Haver_M!$B$1:$B$1000,0),MATCH(data!AD$1,Haver_M!$B$1:$ZN$1,0))),INDEX(Haver_M!$B$1:$ZN$1000,MATCH(data!$A182,Haver_M!$B$1:$B$1000,0),MATCH(data!AD$1,Haver_M!$B$1:$ZN$1,0)),"na")</f>
        <v>99.94</v>
      </c>
      <c r="AE182">
        <f>IF(ISNUMBER(INDEX(Haver_M!$B$1:$ZN$1000,MATCH(data!$A182,Haver_M!$B$1:$B$1000,0),MATCH(data!AE$1,Haver_M!$B$1:$ZN$1,0))),INDEX(Haver_M!$B$1:$ZN$1000,MATCH(data!$A182,Haver_M!$B$1:$B$1000,0),MATCH(data!AE$1,Haver_M!$B$1:$ZN$1,0)),"na")</f>
        <v>38.200000000000003</v>
      </c>
      <c r="AF182">
        <f>IF(ISNUMBER(INDEX(Haver_M!$B$1:$ZN$1000,MATCH(data!$A182,Haver_M!$B$1:$B$1000,0),MATCH(data!AF$1,Haver_M!$B$1:$ZN$1,0))),INDEX(Haver_M!$B$1:$ZN$1000,MATCH(data!$A182,Haver_M!$B$1:$B$1000,0),MATCH(data!AF$1,Haver_M!$B$1:$ZN$1,0)),"na")</f>
        <v>99.7</v>
      </c>
      <c r="AG182">
        <f>IF(ISNUMBER(INDEX(Haver_M!$B$1:$ZN$1000,MATCH(data!$A182,Haver_M!$B$1:$B$1000,0),MATCH(data!AG$1,Haver_M!$B$1:$ZN$1,0))),INDEX(Haver_M!$B$1:$ZN$1000,MATCH(data!$A182,Haver_M!$B$1:$B$1000,0),MATCH(data!AG$1,Haver_M!$B$1:$ZN$1,0)),"na")</f>
        <v>56.599699999999999</v>
      </c>
      <c r="AH182">
        <f>IF(ISNUMBER(INDEX(Haver_M!$B$1:$ZN$1000,MATCH(data!$A182,Haver_M!$B$1:$B$1000,0),MATCH(data!AH$1,Haver_M!$B$1:$ZN$1,0))),INDEX(Haver_M!$B$1:$ZN$1000,MATCH(data!$A182,Haver_M!$B$1:$B$1000,0),MATCH(data!AH$1,Haver_M!$B$1:$ZN$1,0)),"na")</f>
        <v>59.0625</v>
      </c>
      <c r="AI182">
        <f>IF(ISNUMBER(INDEX(Haver_M!$B$1:$ZN$1000,MATCH(data!$A182,Haver_M!$B$1:$B$1000,0),MATCH(data!AI$1,Haver_M!$B$1:$ZN$1,0))),INDEX(Haver_M!$B$1:$ZN$1000,MATCH(data!$A182,Haver_M!$B$1:$B$1000,0),MATCH(data!AI$1,Haver_M!$B$1:$ZN$1,0)),"na")</f>
        <v>59.516100000000002</v>
      </c>
      <c r="AJ182">
        <f>IF(ISNUMBER(INDEX(Haver_M!$B$1:$ZN$1000,MATCH(data!$A182,Haver_M!$B$1:$B$1000,0),MATCH(data!AJ$1,Haver_M!$B$1:$ZN$1,0))),INDEX(Haver_M!$B$1:$ZN$1000,MATCH(data!$A182,Haver_M!$B$1:$B$1000,0),MATCH(data!AJ$1,Haver_M!$B$1:$ZN$1,0)),"na")</f>
        <v>53.593800000000002</v>
      </c>
      <c r="AK182">
        <f>IF(ISNUMBER(INDEX(Haver_M!$B$1:$ZN$1000,MATCH(data!$A182,Haver_M!$B$1:$B$1000,0),MATCH(data!AK$1,Haver_M!$B$1:$ZN$1,0))),INDEX(Haver_M!$B$1:$ZN$1000,MATCH(data!$A182,Haver_M!$B$1:$B$1000,0),MATCH(data!AK$1,Haver_M!$B$1:$ZN$1,0)),"na")</f>
        <v>48.125</v>
      </c>
      <c r="AL182">
        <f>IF(ISNUMBER(INDEX(Haver_M!$B$1:$ZN$1000,MATCH(data!$A182,Haver_M!$B$1:$B$1000,0),MATCH(data!AL$1,Haver_M!$B$1:$ZN$1,0))),INDEX(Haver_M!$B$1:$ZN$1000,MATCH(data!$A182,Haver_M!$B$1:$B$1000,0),MATCH(data!AL$1,Haver_M!$B$1:$ZN$1,0)),"na")</f>
        <v>54.792299999999997</v>
      </c>
      <c r="AM182">
        <f>IF(ISNUMBER(INDEX(Haver_M!$B$1:$ZN$1000,MATCH(data!$A182,Haver_M!$B$1:$B$1000,0),MATCH(data!AM$1,Haver_M!$B$1:$ZN$1,0))),INDEX(Haver_M!$B$1:$ZN$1000,MATCH(data!$A182,Haver_M!$B$1:$B$1000,0),MATCH(data!AM$1,Haver_M!$B$1:$ZN$1,0)),"na")</f>
        <v>57.366799999999998</v>
      </c>
      <c r="AN182">
        <f>IF(ISNUMBER(INDEX(Haver_M!$B$1:$ZN$1000,MATCH(data!$A182,Haver_M!$B$1:$B$1000,0),MATCH(data!AN$1,Haver_M!$B$1:$ZN$1,0))),INDEX(Haver_M!$B$1:$ZN$1000,MATCH(data!$A182,Haver_M!$B$1:$B$1000,0),MATCH(data!AN$1,Haver_M!$B$1:$ZN$1,0)),"na")</f>
        <v>56.896599999999999</v>
      </c>
      <c r="AO182">
        <f>IF(ISNUMBER(INDEX(Haver_M!$B$1:$ZN$1000,MATCH(data!$A182,Haver_M!$B$1:$B$1000,0),MATCH(data!AO$1,Haver_M!$B$1:$ZN$1,0))),INDEX(Haver_M!$B$1:$ZN$1000,MATCH(data!$A182,Haver_M!$B$1:$B$1000,0),MATCH(data!AO$1,Haver_M!$B$1:$ZN$1,0)),"na")</f>
        <v>54.792299999999997</v>
      </c>
      <c r="AP182">
        <f>IF(ISNUMBER(INDEX(Haver_M!$B$1:$ZN$1000,MATCH(data!$A182,Haver_M!$B$1:$B$1000,0),MATCH(data!AP$1,Haver_M!$B$1:$ZN$1,0))),INDEX(Haver_M!$B$1:$ZN$1000,MATCH(data!$A182,Haver_M!$B$1:$B$1000,0),MATCH(data!AP$1,Haver_M!$B$1:$ZN$1,0)),"na")</f>
        <v>50.302999999999997</v>
      </c>
      <c r="AQ182">
        <f>IF(ISNUMBER(INDEX(Haver_M!$B$1:$ZN$1000,MATCH(data!$A182,Haver_M!$B$1:$B$1000,0),MATCH(data!AQ$1,Haver_M!$B$1:$ZN$1,0))),INDEX(Haver_M!$B$1:$ZN$1000,MATCH(data!$A182,Haver_M!$B$1:$B$1000,0),MATCH(data!AQ$1,Haver_M!$B$1:$ZN$1,0)),"na")</f>
        <v>52.194400000000002</v>
      </c>
      <c r="AR182">
        <f>IF(ISNUMBER(INDEX(Haver_M!$B$1:$ZN$1000,MATCH(data!$A182,Haver_M!$B$1:$B$1000,0),MATCH(data!AR$1,Haver_M!$B$1:$ZN$1,0))),INDEX(Haver_M!$B$1:$ZN$1000,MATCH(data!$A182,Haver_M!$B$1:$B$1000,0),MATCH(data!AR$1,Haver_M!$B$1:$ZN$1,0)),"na")</f>
        <v>48.444699999999997</v>
      </c>
      <c r="AS182">
        <f>IF(ISNUMBER(INDEX(Haver_M!$B$1:$ZN$1000,MATCH(data!$A182,Haver_M!$B$1:$B$1000,0),MATCH(data!AS$1,Haver_M!$B$1:$ZN$1,0))),INDEX(Haver_M!$B$1:$ZN$1000,MATCH(data!$A182,Haver_M!$B$1:$B$1000,0),MATCH(data!AS$1,Haver_M!$B$1:$ZN$1,0)),"na")</f>
        <v>41877.22</v>
      </c>
      <c r="AT182">
        <f>IF(ISNUMBER(INDEX(Haver_M!$B$1:$ZN$1000,MATCH(data!$A182,Haver_M!$B$1:$B$1000,0),MATCH(data!AT$1,Haver_M!$B$1:$ZN$1,0))),INDEX(Haver_M!$B$1:$ZN$1000,MATCH(data!$A182,Haver_M!$B$1:$B$1000,0),MATCH(data!AT$1,Haver_M!$B$1:$ZN$1,0)),"na")</f>
        <v>103.812</v>
      </c>
      <c r="AU182">
        <f>IF(ISNUMBER(INDEX(Haver_M!$B$1:$ZN$1000,MATCH(data!$A182,Haver_M!$B$1:$B$1000,0),MATCH(data!AU$1,Haver_M!$B$1:$ZN$1,0))),INDEX(Haver_M!$B$1:$ZN$1000,MATCH(data!$A182,Haver_M!$B$1:$B$1000,0),MATCH(data!AU$1,Haver_M!$B$1:$ZN$1,0)),"na")</f>
        <v>104.149047</v>
      </c>
      <c r="AV182">
        <f>IF(ISNUMBER(INDEX(Haver_M!$B$1:$ZN$1000,MATCH(data!$A182,Haver_M!$B$1:$B$1000,0),MATCH(data!AV$1,Haver_M!$B$1:$ZN$1,0))),INDEX(Haver_M!$B$1:$ZN$1000,MATCH(data!$A182,Haver_M!$B$1:$B$1000,0),MATCH(data!AV$1,Haver_M!$B$1:$ZN$1,0)),"na")</f>
        <v>106</v>
      </c>
      <c r="AW182">
        <f>IF(ISNUMBER(INDEX(Haver_M!$B$1:$ZN$1000,MATCH(data!$A182,Haver_M!$B$1:$B$1000,0),MATCH(data!AW$1,Haver_M!$B$1:$ZN$1,0))),INDEX(Haver_M!$B$1:$ZN$1000,MATCH(data!$A182,Haver_M!$B$1:$B$1000,0),MATCH(data!AW$1,Haver_M!$B$1:$ZN$1,0)),"na")</f>
        <v>1444243.0359887083</v>
      </c>
      <c r="AX182">
        <f>IF(ISNUMBER(INDEX(Haver_M!$B$1:$ZN$1000,MATCH(data!$A182,Haver_M!$B$1:$B$1000,0),MATCH(data!AX$1,Haver_M!$B$1:$ZN$1,0))),INDEX(Haver_M!$B$1:$ZN$1000,MATCH(data!$A182,Haver_M!$B$1:$B$1000,0),MATCH(data!AX$1,Haver_M!$B$1:$ZN$1,0)),"na")</f>
        <v>2251</v>
      </c>
      <c r="AY182">
        <f>IF(ISNUMBER(INDEX(Haver_M!$B$1:$ZN$1000,MATCH(data!$A182,Haver_M!$B$1:$B$1000,0),MATCH(data!AY$1,Haver_M!$B$1:$ZN$1,0))),INDEX(Haver_M!$B$1:$ZN$1000,MATCH(data!$A182,Haver_M!$B$1:$B$1000,0),MATCH(data!AY$1,Haver_M!$B$1:$ZN$1,0)),"na")</f>
        <v>1261</v>
      </c>
      <c r="AZ182">
        <f>IF(ISNUMBER(INDEX(Haver_M!$B$1:$ZN$1000,MATCH(data!$A182,Haver_M!$B$1:$B$1000,0),MATCH(data!AZ$1,Haver_M!$B$1:$ZN$1,0))),INDEX(Haver_M!$B$1:$ZN$1000,MATCH(data!$A182,Haver_M!$B$1:$B$1000,0),MATCH(data!AZ$1,Haver_M!$B$1:$ZN$1,0)),"na")</f>
        <v>52.6</v>
      </c>
      <c r="BA182">
        <f>IF(ISNUMBER(INDEX(Haver_M!$B$1:$ZN$1000,MATCH(data!$A182,Haver_M!$B$1:$B$1000,0),MATCH(data!BA$1,Haver_M!$B$1:$ZN$1,0))),INDEX(Haver_M!$B$1:$ZN$1000,MATCH(data!$A182,Haver_M!$B$1:$B$1000,0),MATCH(data!BA$1,Haver_M!$B$1:$ZN$1,0)),"na")</f>
        <v>22.428887461283722</v>
      </c>
      <c r="BB182" t="str">
        <f>IF(ISNUMBER(INDEX(Haver_M!$B$1:$ZN$1000,MATCH(data!$A182,Haver_M!$B$1:$B$1000,0),MATCH(data!BB$1,Haver_M!$B$1:$ZN$1,0))),INDEX(Haver_M!$B$1:$ZN$1000,MATCH(data!$A182,Haver_M!$B$1:$B$1000,0),MATCH(data!BB$1,Haver_M!$B$1:$ZN$1,0)),"")</f>
        <v/>
      </c>
    </row>
    <row r="183" spans="1:54" x14ac:dyDescent="0.25">
      <c r="A183" s="2">
        <v>42063</v>
      </c>
      <c r="B183" t="str">
        <f>IF(ISNUMBER(INDEX(Haver_Q!$B$1:$BD$1000,MATCH(data!$A183,Haver_Q!$B$1:$B$1000,0),MATCH(data!B$1,Haver_Q!$B$1:$BD$1,0))),100*INDEX(Haver_Q!$B$1:$BD$1000,MATCH(data!$A183,Haver_Q!$B$1:$B$1000,0),MATCH(data!B$1,Haver_Q!$B$1:$BD$1,0)),"na")</f>
        <v>na</v>
      </c>
      <c r="C183" t="str">
        <f>IF(ISNUMBER(INDEX(Haver_Q!$B$1:$BD$1000,MATCH(data!$A183,Haver_Q!$B$1:$B$1000,0),MATCH(data!C$1,Haver_Q!$B$1:$BD$1,0))),100*INDEX(Haver_Q!$B$1:$BD$1000,MATCH(data!$A183,Haver_Q!$B$1:$B$1000,0),MATCH(data!C$1,Haver_Q!$B$1:$BD$1,0)),"na")</f>
        <v>na</v>
      </c>
      <c r="D183" t="str">
        <f>IF(ISNUMBER(INDEX(Haver_Q!$B$1:$BD$1000,MATCH(data!$A183,Haver_Q!$B$1:$B$1000,0),MATCH(data!D$1,Haver_Q!$B$1:$BD$1,0))),100*INDEX(Haver_Q!$B$1:$BD$1000,MATCH(data!$A183,Haver_Q!$B$1:$B$1000,0),MATCH(data!D$1,Haver_Q!$B$1:$BD$1,0)),"na")</f>
        <v>na</v>
      </c>
      <c r="E183" t="str">
        <f>IF(ISNUMBER(INDEX(Haver_Q!$B$1:$BD$1000,MATCH(data!$A183,Haver_Q!$B$1:$B$1000,0),MATCH(data!E$1,Haver_Q!$B$1:$BD$1,0))),100*INDEX(Haver_Q!$B$1:$BD$1000,MATCH(data!$A183,Haver_Q!$B$1:$B$1000,0),MATCH(data!E$1,Haver_Q!$B$1:$BD$1,0)),"na")</f>
        <v>na</v>
      </c>
      <c r="F183" t="str">
        <f>IF(ISNUMBER(INDEX(Haver_Q!$B$1:$BD$1000,MATCH(data!$A183,Haver_Q!$B$1:$B$1000,0),MATCH(data!F$1,Haver_Q!$B$1:$BD$1,0))),100*INDEX(Haver_Q!$B$1:$BD$1000,MATCH(data!$A183,Haver_Q!$B$1:$B$1000,0),MATCH(data!F$1,Haver_Q!$B$1:$BD$1,0)),"na")</f>
        <v>na</v>
      </c>
      <c r="G183" t="str">
        <f>IF(ISNUMBER(INDEX(Haver_Q!$B$1:$BD$1000,MATCH(data!$A183,Haver_Q!$B$1:$B$1000,0),MATCH(data!G$1,Haver_Q!$B$1:$BD$1,0))),100*INDEX(Haver_Q!$B$1:$BD$1000,MATCH(data!$A183,Haver_Q!$B$1:$B$1000,0),MATCH(data!G$1,Haver_Q!$B$1:$BD$1,0)),"na")</f>
        <v>na</v>
      </c>
      <c r="H183" t="str">
        <f>IF(ISNUMBER(INDEX(Haver_Q!$B$1:$BD$1000,MATCH(data!$A183,Haver_Q!$B$1:$B$1000,0),MATCH(data!H$1,Haver_Q!$B$1:$BD$1,0))),100*INDEX(Haver_Q!$B$1:$BD$1000,MATCH(data!$A183,Haver_Q!$B$1:$B$1000,0),MATCH(data!H$1,Haver_Q!$B$1:$BD$1,0)),"na")</f>
        <v>na</v>
      </c>
      <c r="I183" s="3">
        <f>IF(ISNUMBER(Bloomberg_m!C199),Bloomberg_m!C199,"na")</f>
        <v>539</v>
      </c>
      <c r="J183" s="3">
        <f>IF(ISNUMBER(Bloomberg_m!D199),Bloomberg_m!D199,"na")</f>
        <v>2101.27</v>
      </c>
      <c r="K183" s="3">
        <f>IF(ISNUMBER(Bloomberg_m!E199),Bloomberg_m!E199,"na")</f>
        <v>1066.21</v>
      </c>
      <c r="L183" s="3">
        <f>IF(ISNUMBER(Bloomberg_m!L199),Bloomberg_m!L199,"na")</f>
        <v>50.61</v>
      </c>
      <c r="M183">
        <f>IF(ISNUMBER(INDEX(Haver_M!$B$1:$ZN$1000,MATCH(data!$A183,Haver_M!$B$1:$B$1000,0),MATCH(data!M$1,Haver_M!$B$1:$ZN$1,0))),INDEX(Haver_M!$B$1:$ZN$1000,MATCH(data!$A183,Haver_M!$B$1:$B$1000,0),MATCH(data!M$1,Haver_M!$B$1:$ZN$1,0)),"na")</f>
        <v>3</v>
      </c>
      <c r="N183">
        <f>IF(ISNUMBER(INDEX(Haver_M!$B$1:$ZN$1000,MATCH(data!$A183,Haver_M!$B$1:$B$1000,0),MATCH(data!N$1,Haver_M!$B$1:$ZN$1,0))),INDEX(Haver_M!$B$1:$ZN$1000,MATCH(data!$A183,Haver_M!$B$1:$B$1000,0),MATCH(data!N$1,Haver_M!$B$1:$ZN$1,0)),"na")</f>
        <v>5.53</v>
      </c>
      <c r="O183">
        <f>IF(ISNUMBER(INDEX(Haver_M!$B$1:$ZN$1000,MATCH(data!$A183,Haver_M!$B$1:$B$1000,0),MATCH(data!O$1,Haver_M!$B$1:$ZN$1,0))),INDEX(Haver_M!$B$1:$ZN$1000,MATCH(data!$A183,Haver_M!$B$1:$B$1000,0),MATCH(data!O$1,Haver_M!$B$1:$ZN$1,0)),"na")</f>
        <v>95.548609999999996</v>
      </c>
      <c r="P183">
        <f>IF(ISNUMBER(INDEX(Haver_M!$B$1:$ZN$1000,MATCH(data!$A183,Haver_M!$B$1:$B$1000,0),MATCH(data!P$1,Haver_M!$B$1:$ZN$1,0))),INDEX(Haver_M!$B$1:$ZN$1000,MATCH(data!$A183,Haver_M!$B$1:$B$1000,0),MATCH(data!P$1,Haver_M!$B$1:$ZN$1,0)),"na")</f>
        <v>86.636799999999994</v>
      </c>
      <c r="Q183">
        <f>IF(ISNUMBER(INDEX(Haver_M!$B$1:$ZN$1000,MATCH(data!$A183,Haver_M!$B$1:$B$1000,0),MATCH(data!Q$1,Haver_M!$B$1:$ZN$1,0))),INDEX(Haver_M!$B$1:$ZN$1000,MATCH(data!$A183,Haver_M!$B$1:$B$1000,0),MATCH(data!Q$1,Haver_M!$B$1:$ZN$1,0)),"na")</f>
        <v>88.325400000000002</v>
      </c>
      <c r="R183">
        <f>IF(ISNUMBER(INDEX(Haver_M!$B$1:$ZN$1000,MATCH(data!$A183,Haver_M!$B$1:$B$1000,0),MATCH(data!R$1,Haver_M!$B$1:$ZN$1,0))),INDEX(Haver_M!$B$1:$ZN$1000,MATCH(data!$A183,Haver_M!$B$1:$B$1000,0),MATCH(data!R$1,Haver_M!$B$1:$ZN$1,0)),"na")</f>
        <v>103.1003</v>
      </c>
      <c r="S183">
        <f>IF(ISNUMBER(INDEX(Haver_M!$B$1:$ZN$1000,MATCH(data!$A183,Haver_M!$B$1:$B$1000,0),MATCH(data!S$1,Haver_M!$B$1:$ZN$1,0))),INDEX(Haver_M!$B$1:$ZN$1000,MATCH(data!$A183,Haver_M!$B$1:$B$1000,0),MATCH(data!S$1,Haver_M!$B$1:$ZN$1,0)),"na")</f>
        <v>96.943100000000001</v>
      </c>
      <c r="T183">
        <f>IF(ISNUMBER(INDEX(Haver_M!$B$1:$ZN$1000,MATCH(data!$A183,Haver_M!$B$1:$B$1000,0),MATCH(data!T$1,Haver_M!$B$1:$ZN$1,0))),INDEX(Haver_M!$B$1:$ZN$1000,MATCH(data!$A183,Haver_M!$B$1:$B$1000,0),MATCH(data!T$1,Haver_M!$B$1:$ZN$1,0)),"na")</f>
        <v>108.5313</v>
      </c>
      <c r="U183">
        <f>IF(ISNUMBER(INDEX(Haver_M!$B$1:$ZN$1000,MATCH(data!$A183,Haver_M!$B$1:$B$1000,0),MATCH(data!U$1,Haver_M!$B$1:$ZN$1,0))),INDEX(Haver_M!$B$1:$ZN$1000,MATCH(data!$A183,Haver_M!$B$1:$B$1000,0),MATCH(data!U$1,Haver_M!$B$1:$ZN$1,0)),"na")</f>
        <v>100.49590000000001</v>
      </c>
      <c r="V183">
        <f>IF(ISNUMBER(INDEX(Haver_M!$B$1:$ZN$1000,MATCH(data!$A183,Haver_M!$B$1:$B$1000,0),MATCH(data!V$1,Haver_M!$B$1:$ZN$1,0))),INDEX(Haver_M!$B$1:$ZN$1000,MATCH(data!$A183,Haver_M!$B$1:$B$1000,0),MATCH(data!V$1,Haver_M!$B$1:$ZN$1,0)),"na")</f>
        <v>106.6568</v>
      </c>
      <c r="W183">
        <f>IF(ISNUMBER(INDEX(Haver_M!$B$1:$ZN$1000,MATCH(data!$A183,Haver_M!$B$1:$B$1000,0),MATCH(data!W$1,Haver_M!$B$1:$ZN$1,0))),INDEX(Haver_M!$B$1:$ZN$1000,MATCH(data!$A183,Haver_M!$B$1:$B$1000,0),MATCH(data!W$1,Haver_M!$B$1:$ZN$1,0)),"na")</f>
        <v>4.4400000000000004</v>
      </c>
      <c r="X183">
        <f>IF(ISNUMBER(INDEX(Haver_M!$B$1:$ZN$1000,MATCH(data!$A183,Haver_M!$B$1:$B$1000,0),MATCH(data!X$1,Haver_M!$B$1:$ZN$1,0))),INDEX(Haver_M!$B$1:$ZN$1000,MATCH(data!$A183,Haver_M!$B$1:$B$1000,0),MATCH(data!X$1,Haver_M!$B$1:$ZN$1,0)),"na")</f>
        <v>101.4</v>
      </c>
      <c r="Y183">
        <f>IF(ISNUMBER(INDEX(Haver_M!$B$1:$ZN$1000,MATCH(data!$A183,Haver_M!$B$1:$B$1000,0),MATCH(data!Y$1,Haver_M!$B$1:$ZN$1,0))),INDEX(Haver_M!$B$1:$ZN$1000,MATCH(data!$A183,Haver_M!$B$1:$B$1000,0),MATCH(data!Y$1,Haver_M!$B$1:$ZN$1,0)),"na")</f>
        <v>100.73</v>
      </c>
      <c r="Z183">
        <f>IF(ISNUMBER(INDEX(Haver_M!$B$1:$ZN$1000,MATCH(data!$A183,Haver_M!$B$1:$B$1000,0),MATCH(data!Z$1,Haver_M!$B$1:$ZN$1,0))),INDEX(Haver_M!$B$1:$ZN$1000,MATCH(data!$A183,Haver_M!$B$1:$B$1000,0),MATCH(data!Z$1,Haver_M!$B$1:$ZN$1,0)),"na")</f>
        <v>104.49679999999999</v>
      </c>
      <c r="AA183">
        <f>IF(ISNUMBER(INDEX(Haver_M!$B$1:$ZN$1000,MATCH(data!$A183,Haver_M!$B$1:$B$1000,0),MATCH(data!AA$1,Haver_M!$B$1:$ZN$1,0))),INDEX(Haver_M!$B$1:$ZN$1000,MATCH(data!$A183,Haver_M!$B$1:$B$1000,0),MATCH(data!AA$1,Haver_M!$B$1:$ZN$1,0)),"na")</f>
        <v>105.1827</v>
      </c>
      <c r="AB183">
        <f>IF(ISNUMBER(INDEX(Haver_M!$B$1:$ZN$1000,MATCH(data!$A183,Haver_M!$B$1:$B$1000,0),MATCH(data!AB$1,Haver_M!$B$1:$ZN$1,0))),INDEX(Haver_M!$B$1:$ZN$1000,MATCH(data!$A183,Haver_M!$B$1:$B$1000,0),MATCH(data!AB$1,Haver_M!$B$1:$ZN$1,0)),"na")</f>
        <v>31813.1</v>
      </c>
      <c r="AC183">
        <f>IF(ISNUMBER(INDEX(Haver_M!$B$1:$ZN$1000,MATCH(data!$A183,Haver_M!$B$1:$B$1000,0),MATCH(data!AC$1,Haver_M!$B$1:$ZN$1,0))),INDEX(Haver_M!$B$1:$ZN$1000,MATCH(data!$A183,Haver_M!$B$1:$B$1000,0),MATCH(data!AC$1,Haver_M!$B$1:$ZN$1,0)),"na")</f>
        <v>32188.7</v>
      </c>
      <c r="AD183">
        <f>IF(ISNUMBER(INDEX(Haver_M!$B$1:$ZN$1000,MATCH(data!$A183,Haver_M!$B$1:$B$1000,0),MATCH(data!AD$1,Haver_M!$B$1:$ZN$1,0))),INDEX(Haver_M!$B$1:$ZN$1000,MATCH(data!$A183,Haver_M!$B$1:$B$1000,0),MATCH(data!AD$1,Haver_M!$B$1:$ZN$1,0)),"na")</f>
        <v>99.96</v>
      </c>
      <c r="AE183">
        <f>IF(ISNUMBER(INDEX(Haver_M!$B$1:$ZN$1000,MATCH(data!$A183,Haver_M!$B$1:$B$1000,0),MATCH(data!AE$1,Haver_M!$B$1:$ZN$1,0))),INDEX(Haver_M!$B$1:$ZN$1000,MATCH(data!$A183,Haver_M!$B$1:$B$1000,0),MATCH(data!AE$1,Haver_M!$B$1:$ZN$1,0)),"na")</f>
        <v>38.5</v>
      </c>
      <c r="AF183">
        <f>IF(ISNUMBER(INDEX(Haver_M!$B$1:$ZN$1000,MATCH(data!$A183,Haver_M!$B$1:$B$1000,0),MATCH(data!AF$1,Haver_M!$B$1:$ZN$1,0))),INDEX(Haver_M!$B$1:$ZN$1000,MATCH(data!$A183,Haver_M!$B$1:$B$1000,0),MATCH(data!AF$1,Haver_M!$B$1:$ZN$1,0)),"na")</f>
        <v>99.55</v>
      </c>
      <c r="AG183">
        <f>IF(ISNUMBER(INDEX(Haver_M!$B$1:$ZN$1000,MATCH(data!$A183,Haver_M!$B$1:$B$1000,0),MATCH(data!AG$1,Haver_M!$B$1:$ZN$1,0))),INDEX(Haver_M!$B$1:$ZN$1000,MATCH(data!$A183,Haver_M!$B$1:$B$1000,0),MATCH(data!AG$1,Haver_M!$B$1:$ZN$1,0)),"na")</f>
        <v>54.384300000000003</v>
      </c>
      <c r="AH183">
        <f>IF(ISNUMBER(INDEX(Haver_M!$B$1:$ZN$1000,MATCH(data!$A183,Haver_M!$B$1:$B$1000,0),MATCH(data!AH$1,Haver_M!$B$1:$ZN$1,0))),INDEX(Haver_M!$B$1:$ZN$1000,MATCH(data!$A183,Haver_M!$B$1:$B$1000,0),MATCH(data!AH$1,Haver_M!$B$1:$ZN$1,0)),"na")</f>
        <v>55.817599999999999</v>
      </c>
      <c r="AI183">
        <f>IF(ISNUMBER(INDEX(Haver_M!$B$1:$ZN$1000,MATCH(data!$A183,Haver_M!$B$1:$B$1000,0),MATCH(data!AI$1,Haver_M!$B$1:$ZN$1,0))),INDEX(Haver_M!$B$1:$ZN$1000,MATCH(data!$A183,Haver_M!$B$1:$B$1000,0),MATCH(data!AI$1,Haver_M!$B$1:$ZN$1,0)),"na")</f>
        <v>57.516300000000001</v>
      </c>
      <c r="AJ183">
        <f>IF(ISNUMBER(INDEX(Haver_M!$B$1:$ZN$1000,MATCH(data!$A183,Haver_M!$B$1:$B$1000,0),MATCH(data!AJ$1,Haver_M!$B$1:$ZN$1,0))),INDEX(Haver_M!$B$1:$ZN$1000,MATCH(data!$A183,Haver_M!$B$1:$B$1000,0),MATCH(data!AJ$1,Haver_M!$B$1:$ZN$1,0)),"na")</f>
        <v>52.681399999999996</v>
      </c>
      <c r="AK183">
        <f>IF(ISNUMBER(INDEX(Haver_M!$B$1:$ZN$1000,MATCH(data!$A183,Haver_M!$B$1:$B$1000,0),MATCH(data!AK$1,Haver_M!$B$1:$ZN$1,0))),INDEX(Haver_M!$B$1:$ZN$1000,MATCH(data!$A183,Haver_M!$B$1:$B$1000,0),MATCH(data!AK$1,Haver_M!$B$1:$ZN$1,0)),"na")</f>
        <v>50.3155</v>
      </c>
      <c r="AL183">
        <f>IF(ISNUMBER(INDEX(Haver_M!$B$1:$ZN$1000,MATCH(data!$A183,Haver_M!$B$1:$B$1000,0),MATCH(data!AL$1,Haver_M!$B$1:$ZN$1,0))),INDEX(Haver_M!$B$1:$ZN$1000,MATCH(data!$A183,Haver_M!$B$1:$B$1000,0),MATCH(data!AL$1,Haver_M!$B$1:$ZN$1,0)),"na")</f>
        <v>51.860399999999998</v>
      </c>
      <c r="AM183">
        <f>IF(ISNUMBER(INDEX(Haver_M!$B$1:$ZN$1000,MATCH(data!$A183,Haver_M!$B$1:$B$1000,0),MATCH(data!AM$1,Haver_M!$B$1:$ZN$1,0))),INDEX(Haver_M!$B$1:$ZN$1000,MATCH(data!$A183,Haver_M!$B$1:$B$1000,0),MATCH(data!AM$1,Haver_M!$B$1:$ZN$1,0)),"na")</f>
        <v>60.0518</v>
      </c>
      <c r="AN183">
        <f>IF(ISNUMBER(INDEX(Haver_M!$B$1:$ZN$1000,MATCH(data!$A183,Haver_M!$B$1:$B$1000,0),MATCH(data!AN$1,Haver_M!$B$1:$ZN$1,0))),INDEX(Haver_M!$B$1:$ZN$1000,MATCH(data!$A183,Haver_M!$B$1:$B$1000,0),MATCH(data!AN$1,Haver_M!$B$1:$ZN$1,0)),"na")</f>
        <v>53.835000000000001</v>
      </c>
      <c r="AO183">
        <f>IF(ISNUMBER(INDEX(Haver_M!$B$1:$ZN$1000,MATCH(data!$A183,Haver_M!$B$1:$B$1000,0),MATCH(data!AO$1,Haver_M!$B$1:$ZN$1,0))),INDEX(Haver_M!$B$1:$ZN$1000,MATCH(data!$A183,Haver_M!$B$1:$B$1000,0),MATCH(data!AO$1,Haver_M!$B$1:$ZN$1,0)),"na")</f>
        <v>51.860399999999998</v>
      </c>
      <c r="AP183">
        <f>IF(ISNUMBER(INDEX(Haver_M!$B$1:$ZN$1000,MATCH(data!$A183,Haver_M!$B$1:$B$1000,0),MATCH(data!AP$1,Haver_M!$B$1:$ZN$1,0))),INDEX(Haver_M!$B$1:$ZN$1000,MATCH(data!$A183,Haver_M!$B$1:$B$1000,0),MATCH(data!AP$1,Haver_M!$B$1:$ZN$1,0)),"na")</f>
        <v>51.283099999999997</v>
      </c>
      <c r="AQ183">
        <f>IF(ISNUMBER(INDEX(Haver_M!$B$1:$ZN$1000,MATCH(data!$A183,Haver_M!$B$1:$B$1000,0),MATCH(data!AQ$1,Haver_M!$B$1:$ZN$1,0))),INDEX(Haver_M!$B$1:$ZN$1000,MATCH(data!$A183,Haver_M!$B$1:$B$1000,0),MATCH(data!AQ$1,Haver_M!$B$1:$ZN$1,0)),"na")</f>
        <v>54.402500000000003</v>
      </c>
      <c r="AR183">
        <f>IF(ISNUMBER(INDEX(Haver_M!$B$1:$ZN$1000,MATCH(data!$A183,Haver_M!$B$1:$B$1000,0),MATCH(data!AR$1,Haver_M!$B$1:$ZN$1,0))),INDEX(Haver_M!$B$1:$ZN$1000,MATCH(data!$A183,Haver_M!$B$1:$B$1000,0),MATCH(data!AR$1,Haver_M!$B$1:$ZN$1,0)),"na")</f>
        <v>48.870100000000001</v>
      </c>
      <c r="AS183">
        <f>IF(ISNUMBER(INDEX(Haver_M!$B$1:$ZN$1000,MATCH(data!$A183,Haver_M!$B$1:$B$1000,0),MATCH(data!AS$1,Haver_M!$B$1:$ZN$1,0))),INDEX(Haver_M!$B$1:$ZN$1000,MATCH(data!$A183,Haver_M!$B$1:$B$1000,0),MATCH(data!AS$1,Haver_M!$B$1:$ZN$1,0)),"na")</f>
        <v>43052.77</v>
      </c>
      <c r="AT183">
        <f>IF(ISNUMBER(INDEX(Haver_M!$B$1:$ZN$1000,MATCH(data!$A183,Haver_M!$B$1:$B$1000,0),MATCH(data!AT$1,Haver_M!$B$1:$ZN$1,0))),INDEX(Haver_M!$B$1:$ZN$1000,MATCH(data!$A183,Haver_M!$B$1:$B$1000,0),MATCH(data!AT$1,Haver_M!$B$1:$ZN$1,0)),"na")</f>
        <v>103.741</v>
      </c>
      <c r="AU183">
        <f>IF(ISNUMBER(INDEX(Haver_M!$B$1:$ZN$1000,MATCH(data!$A183,Haver_M!$B$1:$B$1000,0),MATCH(data!AU$1,Haver_M!$B$1:$ZN$1,0))),INDEX(Haver_M!$B$1:$ZN$1000,MATCH(data!$A183,Haver_M!$B$1:$B$1000,0),MATCH(data!AU$1,Haver_M!$B$1:$ZN$1,0)),"na")</f>
        <v>104.452814</v>
      </c>
      <c r="AV183">
        <f>IF(ISNUMBER(INDEX(Haver_M!$B$1:$ZN$1000,MATCH(data!$A183,Haver_M!$B$1:$B$1000,0),MATCH(data!AV$1,Haver_M!$B$1:$ZN$1,0))),INDEX(Haver_M!$B$1:$ZN$1000,MATCH(data!$A183,Haver_M!$B$1:$B$1000,0),MATCH(data!AV$1,Haver_M!$B$1:$ZN$1,0)),"na")</f>
        <v>102.5</v>
      </c>
      <c r="AW183">
        <f>IF(ISNUMBER(INDEX(Haver_M!$B$1:$ZN$1000,MATCH(data!$A183,Haver_M!$B$1:$B$1000,0),MATCH(data!AW$1,Haver_M!$B$1:$ZN$1,0))),INDEX(Haver_M!$B$1:$ZN$1000,MATCH(data!$A183,Haver_M!$B$1:$B$1000,0),MATCH(data!AW$1,Haver_M!$B$1:$ZN$1,0)),"na")</f>
        <v>1425733.5955490291</v>
      </c>
      <c r="AX183">
        <f>IF(ISNUMBER(INDEX(Haver_M!$B$1:$ZN$1000,MATCH(data!$A183,Haver_M!$B$1:$B$1000,0),MATCH(data!AX$1,Haver_M!$B$1:$ZN$1,0))),INDEX(Haver_M!$B$1:$ZN$1000,MATCH(data!$A183,Haver_M!$B$1:$B$1000,0),MATCH(data!AX$1,Haver_M!$B$1:$ZN$1,0)),"na")</f>
        <v>2335</v>
      </c>
      <c r="AY183">
        <f>IF(ISNUMBER(INDEX(Haver_M!$B$1:$ZN$1000,MATCH(data!$A183,Haver_M!$B$1:$B$1000,0),MATCH(data!AY$1,Haver_M!$B$1:$ZN$1,0))),INDEX(Haver_M!$B$1:$ZN$1000,MATCH(data!$A183,Haver_M!$B$1:$B$1000,0),MATCH(data!AY$1,Haver_M!$B$1:$ZN$1,0)),"na")</f>
        <v>1305</v>
      </c>
      <c r="AZ183">
        <f>IF(ISNUMBER(INDEX(Haver_M!$B$1:$ZN$1000,MATCH(data!$A183,Haver_M!$B$1:$B$1000,0),MATCH(data!AZ$1,Haver_M!$B$1:$ZN$1,0))),INDEX(Haver_M!$B$1:$ZN$1000,MATCH(data!$A183,Haver_M!$B$1:$B$1000,0),MATCH(data!AZ$1,Haver_M!$B$1:$ZN$1,0)),"na")</f>
        <v>53.4</v>
      </c>
      <c r="BA183">
        <f>IF(ISNUMBER(INDEX(Haver_M!$B$1:$ZN$1000,MATCH(data!$A183,Haver_M!$B$1:$B$1000,0),MATCH(data!BA$1,Haver_M!$B$1:$ZN$1,0))),INDEX(Haver_M!$B$1:$ZN$1000,MATCH(data!$A183,Haver_M!$B$1:$B$1000,0),MATCH(data!BA$1,Haver_M!$B$1:$ZN$1,0)),"na")</f>
        <v>21.825282479450149</v>
      </c>
      <c r="BB183" t="str">
        <f>IF(ISNUMBER(INDEX(Haver_M!$B$1:$ZN$1000,MATCH(data!$A183,Haver_M!$B$1:$B$1000,0),MATCH(data!BB$1,Haver_M!$B$1:$ZN$1,0))),INDEX(Haver_M!$B$1:$ZN$1000,MATCH(data!$A183,Haver_M!$B$1:$B$1000,0),MATCH(data!BB$1,Haver_M!$B$1:$ZN$1,0)),"")</f>
        <v/>
      </c>
    </row>
    <row r="184" spans="1:54" x14ac:dyDescent="0.25">
      <c r="A184" s="2">
        <v>42094</v>
      </c>
      <c r="B184">
        <f>IF(ISNUMBER(INDEX(Haver_Q!$B$1:$BD$1000,MATCH(data!$A184,Haver_Q!$B$1:$B$1000,0),MATCH(data!B$1,Haver_Q!$B$1:$BD$1,0))),100*INDEX(Haver_Q!$B$1:$BD$1000,MATCH(data!$A184,Haver_Q!$B$1:$B$1000,0),MATCH(data!B$1,Haver_Q!$B$1:$BD$1,0)),"na")</f>
        <v>2.2835793022600415</v>
      </c>
      <c r="C184">
        <f>IF(ISNUMBER(INDEX(Haver_Q!$B$1:$BD$1000,MATCH(data!$A184,Haver_Q!$B$1:$B$1000,0),MATCH(data!C$1,Haver_Q!$B$1:$BD$1,0))),100*INDEX(Haver_Q!$B$1:$BD$1000,MATCH(data!$A184,Haver_Q!$B$1:$B$1000,0),MATCH(data!C$1,Haver_Q!$B$1:$BD$1,0)),"na")</f>
        <v>5.4433574889730885</v>
      </c>
      <c r="D184">
        <f>IF(ISNUMBER(INDEX(Haver_Q!$B$1:$BD$1000,MATCH(data!$A184,Haver_Q!$B$1:$B$1000,0),MATCH(data!D$1,Haver_Q!$B$1:$BD$1,0))),100*INDEX(Haver_Q!$B$1:$BD$1000,MATCH(data!$A184,Haver_Q!$B$1:$B$1000,0),MATCH(data!D$1,Haver_Q!$B$1:$BD$1,0)),"na")</f>
        <v>1.7598994608424068</v>
      </c>
      <c r="E184">
        <f>IF(ISNUMBER(INDEX(Haver_Q!$B$1:$BD$1000,MATCH(data!$A184,Haver_Q!$B$1:$B$1000,0),MATCH(data!E$1,Haver_Q!$B$1:$BD$1,0))),100*INDEX(Haver_Q!$B$1:$BD$1000,MATCH(data!$A184,Haver_Q!$B$1:$B$1000,0),MATCH(data!E$1,Haver_Q!$B$1:$BD$1,0)),"na")</f>
        <v>-5.7795907679931151</v>
      </c>
      <c r="F184">
        <f>IF(ISNUMBER(INDEX(Haver_Q!$B$1:$BD$1000,MATCH(data!$A184,Haver_Q!$B$1:$B$1000,0),MATCH(data!F$1,Haver_Q!$B$1:$BD$1,0))),100*INDEX(Haver_Q!$B$1:$BD$1000,MATCH(data!$A184,Haver_Q!$B$1:$B$1000,0),MATCH(data!F$1,Haver_Q!$B$1:$BD$1,0)),"na")</f>
        <v>3.7411742503537848</v>
      </c>
      <c r="G184">
        <f>IF(ISNUMBER(INDEX(Haver_Q!$B$1:$BD$1000,MATCH(data!$A184,Haver_Q!$B$1:$B$1000,0),MATCH(data!G$1,Haver_Q!$B$1:$BD$1,0))),100*INDEX(Haver_Q!$B$1:$BD$1000,MATCH(data!$A184,Haver_Q!$B$1:$B$1000,0),MATCH(data!G$1,Haver_Q!$B$1:$BD$1,0)),"na")</f>
        <v>-0.71624399863224886</v>
      </c>
      <c r="H184">
        <f>IF(ISNUMBER(INDEX(Haver_Q!$B$1:$BD$1000,MATCH(data!$A184,Haver_Q!$B$1:$B$1000,0),MATCH(data!H$1,Haver_Q!$B$1:$BD$1,0))),100*INDEX(Haver_Q!$B$1:$BD$1000,MATCH(data!$A184,Haver_Q!$B$1:$B$1000,0),MATCH(data!H$1,Haver_Q!$B$1:$BD$1,0)),"na")</f>
        <v>372.25542250464372</v>
      </c>
      <c r="I184" s="3">
        <f>IF(ISNUMBER(Bloomberg_m!C200),Bloomberg_m!C200,"na")</f>
        <v>576</v>
      </c>
      <c r="J184" s="3">
        <f>IF(ISNUMBER(Bloomberg_m!D200),Bloomberg_m!D200,"na")</f>
        <v>1752.16</v>
      </c>
      <c r="K184" s="3">
        <f>IF(ISNUMBER(Bloomberg_m!E200),Bloomberg_m!E200,"na")</f>
        <v>868.47</v>
      </c>
      <c r="L184" s="3">
        <f>IF(ISNUMBER(Bloomberg_m!L200),Bloomberg_m!L200,"na")</f>
        <v>47.78</v>
      </c>
      <c r="M184">
        <f>IF(ISNUMBER(INDEX(Haver_M!$B$1:$ZN$1000,MATCH(data!$A184,Haver_M!$B$1:$B$1000,0),MATCH(data!M$1,Haver_M!$B$1:$ZN$1,0))),INDEX(Haver_M!$B$1:$ZN$1000,MATCH(data!$A184,Haver_M!$B$1:$B$1000,0),MATCH(data!M$1,Haver_M!$B$1:$ZN$1,0)),"na")</f>
        <v>3</v>
      </c>
      <c r="N184">
        <f>IF(ISNUMBER(INDEX(Haver_M!$B$1:$ZN$1000,MATCH(data!$A184,Haver_M!$B$1:$B$1000,0),MATCH(data!N$1,Haver_M!$B$1:$ZN$1,0))),INDEX(Haver_M!$B$1:$ZN$1000,MATCH(data!$A184,Haver_M!$B$1:$B$1000,0),MATCH(data!N$1,Haver_M!$B$1:$ZN$1,0)),"na")</f>
        <v>5.8369999999999997</v>
      </c>
      <c r="O184">
        <f>IF(ISNUMBER(INDEX(Haver_M!$B$1:$ZN$1000,MATCH(data!$A184,Haver_M!$B$1:$B$1000,0),MATCH(data!O$1,Haver_M!$B$1:$ZN$1,0))),INDEX(Haver_M!$B$1:$ZN$1000,MATCH(data!$A184,Haver_M!$B$1:$B$1000,0),MATCH(data!O$1,Haver_M!$B$1:$ZN$1,0)),"na")</f>
        <v>94.507949999999994</v>
      </c>
      <c r="P184">
        <f>IF(ISNUMBER(INDEX(Haver_M!$B$1:$ZN$1000,MATCH(data!$A184,Haver_M!$B$1:$B$1000,0),MATCH(data!P$1,Haver_M!$B$1:$ZN$1,0))),INDEX(Haver_M!$B$1:$ZN$1000,MATCH(data!$A184,Haver_M!$B$1:$B$1000,0),MATCH(data!P$1,Haver_M!$B$1:$ZN$1,0)),"na")</f>
        <v>86.979699999999994</v>
      </c>
      <c r="Q184">
        <f>IF(ISNUMBER(INDEX(Haver_M!$B$1:$ZN$1000,MATCH(data!$A184,Haver_M!$B$1:$B$1000,0),MATCH(data!Q$1,Haver_M!$B$1:$ZN$1,0))),INDEX(Haver_M!$B$1:$ZN$1000,MATCH(data!$A184,Haver_M!$B$1:$B$1000,0),MATCH(data!Q$1,Haver_M!$B$1:$ZN$1,0)),"na")</f>
        <v>88.513199999999998</v>
      </c>
      <c r="R184">
        <f>IF(ISNUMBER(INDEX(Haver_M!$B$1:$ZN$1000,MATCH(data!$A184,Haver_M!$B$1:$B$1000,0),MATCH(data!R$1,Haver_M!$B$1:$ZN$1,0))),INDEX(Haver_M!$B$1:$ZN$1000,MATCH(data!$A184,Haver_M!$B$1:$B$1000,0),MATCH(data!R$1,Haver_M!$B$1:$ZN$1,0)),"na")</f>
        <v>102.8295</v>
      </c>
      <c r="S184">
        <f>IF(ISNUMBER(INDEX(Haver_M!$B$1:$ZN$1000,MATCH(data!$A184,Haver_M!$B$1:$B$1000,0),MATCH(data!S$1,Haver_M!$B$1:$ZN$1,0))),INDEX(Haver_M!$B$1:$ZN$1000,MATCH(data!$A184,Haver_M!$B$1:$B$1000,0),MATCH(data!S$1,Haver_M!$B$1:$ZN$1,0)),"na")</f>
        <v>95.630499999999998</v>
      </c>
      <c r="T184">
        <f>IF(ISNUMBER(INDEX(Haver_M!$B$1:$ZN$1000,MATCH(data!$A184,Haver_M!$B$1:$B$1000,0),MATCH(data!T$1,Haver_M!$B$1:$ZN$1,0))),INDEX(Haver_M!$B$1:$ZN$1000,MATCH(data!$A184,Haver_M!$B$1:$B$1000,0),MATCH(data!T$1,Haver_M!$B$1:$ZN$1,0)),"na")</f>
        <v>108.98739999999999</v>
      </c>
      <c r="U184">
        <f>IF(ISNUMBER(INDEX(Haver_M!$B$1:$ZN$1000,MATCH(data!$A184,Haver_M!$B$1:$B$1000,0),MATCH(data!U$1,Haver_M!$B$1:$ZN$1,0))),INDEX(Haver_M!$B$1:$ZN$1000,MATCH(data!$A184,Haver_M!$B$1:$B$1000,0),MATCH(data!U$1,Haver_M!$B$1:$ZN$1,0)),"na")</f>
        <v>102.2684</v>
      </c>
      <c r="V184">
        <f>IF(ISNUMBER(INDEX(Haver_M!$B$1:$ZN$1000,MATCH(data!$A184,Haver_M!$B$1:$B$1000,0),MATCH(data!V$1,Haver_M!$B$1:$ZN$1,0))),INDEX(Haver_M!$B$1:$ZN$1000,MATCH(data!$A184,Haver_M!$B$1:$B$1000,0),MATCH(data!V$1,Haver_M!$B$1:$ZN$1,0)),"na")</f>
        <v>105.5878</v>
      </c>
      <c r="W184">
        <f>IF(ISNUMBER(INDEX(Haver_M!$B$1:$ZN$1000,MATCH(data!$A184,Haver_M!$B$1:$B$1000,0),MATCH(data!W$1,Haver_M!$B$1:$ZN$1,0))),INDEX(Haver_M!$B$1:$ZN$1000,MATCH(data!$A184,Haver_M!$B$1:$B$1000,0),MATCH(data!W$1,Haver_M!$B$1:$ZN$1,0)),"na")</f>
        <v>4.28</v>
      </c>
      <c r="X184">
        <f>IF(ISNUMBER(INDEX(Haver_M!$B$1:$ZN$1000,MATCH(data!$A184,Haver_M!$B$1:$B$1000,0),MATCH(data!X$1,Haver_M!$B$1:$ZN$1,0))),INDEX(Haver_M!$B$1:$ZN$1000,MATCH(data!$A184,Haver_M!$B$1:$B$1000,0),MATCH(data!X$1,Haver_M!$B$1:$ZN$1,0)),"na")</f>
        <v>101.33</v>
      </c>
      <c r="Y184">
        <f>IF(ISNUMBER(INDEX(Haver_M!$B$1:$ZN$1000,MATCH(data!$A184,Haver_M!$B$1:$B$1000,0),MATCH(data!Y$1,Haver_M!$B$1:$ZN$1,0))),INDEX(Haver_M!$B$1:$ZN$1000,MATCH(data!$A184,Haver_M!$B$1:$B$1000,0),MATCH(data!Y$1,Haver_M!$B$1:$ZN$1,0)),"na")</f>
        <v>100.67</v>
      </c>
      <c r="Z184">
        <f>IF(ISNUMBER(INDEX(Haver_M!$B$1:$ZN$1000,MATCH(data!$A184,Haver_M!$B$1:$B$1000,0),MATCH(data!Z$1,Haver_M!$B$1:$ZN$1,0))),INDEX(Haver_M!$B$1:$ZN$1000,MATCH(data!$A184,Haver_M!$B$1:$B$1000,0),MATCH(data!Z$1,Haver_M!$B$1:$ZN$1,0)),"na")</f>
        <v>105.18729999999999</v>
      </c>
      <c r="AA184">
        <f>IF(ISNUMBER(INDEX(Haver_M!$B$1:$ZN$1000,MATCH(data!$A184,Haver_M!$B$1:$B$1000,0),MATCH(data!AA$1,Haver_M!$B$1:$ZN$1,0))),INDEX(Haver_M!$B$1:$ZN$1000,MATCH(data!$A184,Haver_M!$B$1:$B$1000,0),MATCH(data!AA$1,Haver_M!$B$1:$ZN$1,0)),"na")</f>
        <v>105.45480000000001</v>
      </c>
      <c r="AB184">
        <f>IF(ISNUMBER(INDEX(Haver_M!$B$1:$ZN$1000,MATCH(data!$A184,Haver_M!$B$1:$B$1000,0),MATCH(data!AB$1,Haver_M!$B$1:$ZN$1,0))),INDEX(Haver_M!$B$1:$ZN$1000,MATCH(data!$A184,Haver_M!$B$1:$B$1000,0),MATCH(data!AB$1,Haver_M!$B$1:$ZN$1,0)),"na")</f>
        <v>32394.1</v>
      </c>
      <c r="AC184">
        <f>IF(ISNUMBER(INDEX(Haver_M!$B$1:$ZN$1000,MATCH(data!$A184,Haver_M!$B$1:$B$1000,0),MATCH(data!AC$1,Haver_M!$B$1:$ZN$1,0))),INDEX(Haver_M!$B$1:$ZN$1000,MATCH(data!$A184,Haver_M!$B$1:$B$1000,0),MATCH(data!AC$1,Haver_M!$B$1:$ZN$1,0)),"na")</f>
        <v>33095.9</v>
      </c>
      <c r="AD184">
        <f>IF(ISNUMBER(INDEX(Haver_M!$B$1:$ZN$1000,MATCH(data!$A184,Haver_M!$B$1:$B$1000,0),MATCH(data!AD$1,Haver_M!$B$1:$ZN$1,0))),INDEX(Haver_M!$B$1:$ZN$1000,MATCH(data!$A184,Haver_M!$B$1:$B$1000,0),MATCH(data!AD$1,Haver_M!$B$1:$ZN$1,0)),"na")</f>
        <v>99.98</v>
      </c>
      <c r="AE184">
        <f>IF(ISNUMBER(INDEX(Haver_M!$B$1:$ZN$1000,MATCH(data!$A184,Haver_M!$B$1:$B$1000,0),MATCH(data!AE$1,Haver_M!$B$1:$ZN$1,0))),INDEX(Haver_M!$B$1:$ZN$1000,MATCH(data!$A184,Haver_M!$B$1:$B$1000,0),MATCH(data!AE$1,Haver_M!$B$1:$ZN$1,0)),"na")</f>
        <v>38.799999999999997</v>
      </c>
      <c r="AF184">
        <f>IF(ISNUMBER(INDEX(Haver_M!$B$1:$ZN$1000,MATCH(data!$A184,Haver_M!$B$1:$B$1000,0),MATCH(data!AF$1,Haver_M!$B$1:$ZN$1,0))),INDEX(Haver_M!$B$1:$ZN$1000,MATCH(data!$A184,Haver_M!$B$1:$B$1000,0),MATCH(data!AF$1,Haver_M!$B$1:$ZN$1,0)),"na")</f>
        <v>99.43</v>
      </c>
      <c r="AG184">
        <f>IF(ISNUMBER(INDEX(Haver_M!$B$1:$ZN$1000,MATCH(data!$A184,Haver_M!$B$1:$B$1000,0),MATCH(data!AG$1,Haver_M!$B$1:$ZN$1,0))),INDEX(Haver_M!$B$1:$ZN$1000,MATCH(data!$A184,Haver_M!$B$1:$B$1000,0),MATCH(data!AG$1,Haver_M!$B$1:$ZN$1,0)),"na")</f>
        <v>53.822099999999999</v>
      </c>
      <c r="AH184">
        <f>IF(ISNUMBER(INDEX(Haver_M!$B$1:$ZN$1000,MATCH(data!$A184,Haver_M!$B$1:$B$1000,0),MATCH(data!AH$1,Haver_M!$B$1:$ZN$1,0))),INDEX(Haver_M!$B$1:$ZN$1000,MATCH(data!$A184,Haver_M!$B$1:$B$1000,0),MATCH(data!AH$1,Haver_M!$B$1:$ZN$1,0)),"na")</f>
        <v>54.9679</v>
      </c>
      <c r="AI184">
        <f>IF(ISNUMBER(INDEX(Haver_M!$B$1:$ZN$1000,MATCH(data!$A184,Haver_M!$B$1:$B$1000,0),MATCH(data!AI$1,Haver_M!$B$1:$ZN$1,0))),INDEX(Haver_M!$B$1:$ZN$1000,MATCH(data!$A184,Haver_M!$B$1:$B$1000,0),MATCH(data!AI$1,Haver_M!$B$1:$ZN$1,0)),"na")</f>
        <v>56.6922</v>
      </c>
      <c r="AJ184">
        <f>IF(ISNUMBER(INDEX(Haver_M!$B$1:$ZN$1000,MATCH(data!$A184,Haver_M!$B$1:$B$1000,0),MATCH(data!AJ$1,Haver_M!$B$1:$ZN$1,0))),INDEX(Haver_M!$B$1:$ZN$1000,MATCH(data!$A184,Haver_M!$B$1:$B$1000,0),MATCH(data!AJ$1,Haver_M!$B$1:$ZN$1,0)),"na")</f>
        <v>53.205100000000002</v>
      </c>
      <c r="AK184">
        <f>IF(ISNUMBER(INDEX(Haver_M!$B$1:$ZN$1000,MATCH(data!$A184,Haver_M!$B$1:$B$1000,0),MATCH(data!AK$1,Haver_M!$B$1:$ZN$1,0))),INDEX(Haver_M!$B$1:$ZN$1000,MATCH(data!$A184,Haver_M!$B$1:$B$1000,0),MATCH(data!AK$1,Haver_M!$B$1:$ZN$1,0)),"na")</f>
        <v>49.6785</v>
      </c>
      <c r="AL184">
        <f>IF(ISNUMBER(INDEX(Haver_M!$B$1:$ZN$1000,MATCH(data!$A184,Haver_M!$B$1:$B$1000,0),MATCH(data!AL$1,Haver_M!$B$1:$ZN$1,0))),INDEX(Haver_M!$B$1:$ZN$1000,MATCH(data!$A184,Haver_M!$B$1:$B$1000,0),MATCH(data!AL$1,Haver_M!$B$1:$ZN$1,0)),"na")</f>
        <v>48.831899999999997</v>
      </c>
      <c r="AM184">
        <f>IF(ISNUMBER(INDEX(Haver_M!$B$1:$ZN$1000,MATCH(data!$A184,Haver_M!$B$1:$B$1000,0),MATCH(data!AM$1,Haver_M!$B$1:$ZN$1,0))),INDEX(Haver_M!$B$1:$ZN$1000,MATCH(data!$A184,Haver_M!$B$1:$B$1000,0),MATCH(data!AM$1,Haver_M!$B$1:$ZN$1,0)),"na")</f>
        <v>61.734699999999997</v>
      </c>
      <c r="AN184">
        <f>IF(ISNUMBER(INDEX(Haver_M!$B$1:$ZN$1000,MATCH(data!$A184,Haver_M!$B$1:$B$1000,0),MATCH(data!AN$1,Haver_M!$B$1:$ZN$1,0))),INDEX(Haver_M!$B$1:$ZN$1000,MATCH(data!$A184,Haver_M!$B$1:$B$1000,0),MATCH(data!AN$1,Haver_M!$B$1:$ZN$1,0)),"na")</f>
        <v>53.536999999999999</v>
      </c>
      <c r="AO184">
        <f>IF(ISNUMBER(INDEX(Haver_M!$B$1:$ZN$1000,MATCH(data!$A184,Haver_M!$B$1:$B$1000,0),MATCH(data!AO$1,Haver_M!$B$1:$ZN$1,0))),INDEX(Haver_M!$B$1:$ZN$1000,MATCH(data!$A184,Haver_M!$B$1:$B$1000,0),MATCH(data!AO$1,Haver_M!$B$1:$ZN$1,0)),"na")</f>
        <v>48.831899999999997</v>
      </c>
      <c r="AP184">
        <f>IF(ISNUMBER(INDEX(Haver_M!$B$1:$ZN$1000,MATCH(data!$A184,Haver_M!$B$1:$B$1000,0),MATCH(data!AP$1,Haver_M!$B$1:$ZN$1,0))),INDEX(Haver_M!$B$1:$ZN$1000,MATCH(data!$A184,Haver_M!$B$1:$B$1000,0),MATCH(data!AP$1,Haver_M!$B$1:$ZN$1,0)),"na")</f>
        <v>51</v>
      </c>
      <c r="AQ184">
        <f>IF(ISNUMBER(INDEX(Haver_M!$B$1:$ZN$1000,MATCH(data!$A184,Haver_M!$B$1:$B$1000,0),MATCH(data!AQ$1,Haver_M!$B$1:$ZN$1,0))),INDEX(Haver_M!$B$1:$ZN$1000,MATCH(data!$A184,Haver_M!$B$1:$B$1000,0),MATCH(data!AQ$1,Haver_M!$B$1:$ZN$1,0)),"na")</f>
        <v>54.487200000000001</v>
      </c>
      <c r="AR184">
        <f>IF(ISNUMBER(INDEX(Haver_M!$B$1:$ZN$1000,MATCH(data!$A184,Haver_M!$B$1:$B$1000,0),MATCH(data!AR$1,Haver_M!$B$1:$ZN$1,0))),INDEX(Haver_M!$B$1:$ZN$1000,MATCH(data!$A184,Haver_M!$B$1:$B$1000,0),MATCH(data!AR$1,Haver_M!$B$1:$ZN$1,0)),"na")</f>
        <v>48.351599999999998</v>
      </c>
      <c r="AS184">
        <f>IF(ISNUMBER(INDEX(Haver_M!$B$1:$ZN$1000,MATCH(data!$A184,Haver_M!$B$1:$B$1000,0),MATCH(data!AS$1,Haver_M!$B$1:$ZN$1,0))),INDEX(Haver_M!$B$1:$ZN$1000,MATCH(data!$A184,Haver_M!$B$1:$B$1000,0),MATCH(data!AS$1,Haver_M!$B$1:$ZN$1,0)),"na")</f>
        <v>43687.87</v>
      </c>
      <c r="AT184">
        <f>IF(ISNUMBER(INDEX(Haver_M!$B$1:$ZN$1000,MATCH(data!$A184,Haver_M!$B$1:$B$1000,0),MATCH(data!AT$1,Haver_M!$B$1:$ZN$1,0))),INDEX(Haver_M!$B$1:$ZN$1000,MATCH(data!$A184,Haver_M!$B$1:$B$1000,0),MATCH(data!AT$1,Haver_M!$B$1:$ZN$1,0)),"na")</f>
        <v>104.377</v>
      </c>
      <c r="AU184">
        <f>IF(ISNUMBER(INDEX(Haver_M!$B$1:$ZN$1000,MATCH(data!$A184,Haver_M!$B$1:$B$1000,0),MATCH(data!AU$1,Haver_M!$B$1:$ZN$1,0))),INDEX(Haver_M!$B$1:$ZN$1000,MATCH(data!$A184,Haver_M!$B$1:$B$1000,0),MATCH(data!AU$1,Haver_M!$B$1:$ZN$1,0)),"na")</f>
        <v>104.53971799999999</v>
      </c>
      <c r="AV184">
        <f>IF(ISNUMBER(INDEX(Haver_M!$B$1:$ZN$1000,MATCH(data!$A184,Haver_M!$B$1:$B$1000,0),MATCH(data!AV$1,Haver_M!$B$1:$ZN$1,0))),INDEX(Haver_M!$B$1:$ZN$1000,MATCH(data!$A184,Haver_M!$B$1:$B$1000,0),MATCH(data!AV$1,Haver_M!$B$1:$ZN$1,0)),"na")</f>
        <v>105.6</v>
      </c>
      <c r="AW184">
        <f>IF(ISNUMBER(INDEX(Haver_M!$B$1:$ZN$1000,MATCH(data!$A184,Haver_M!$B$1:$B$1000,0),MATCH(data!AW$1,Haver_M!$B$1:$ZN$1,0))),INDEX(Haver_M!$B$1:$ZN$1000,MATCH(data!$A184,Haver_M!$B$1:$B$1000,0),MATCH(data!AW$1,Haver_M!$B$1:$ZN$1,0)),"na")</f>
        <v>1408387.5359926189</v>
      </c>
      <c r="AX184">
        <f>IF(ISNUMBER(INDEX(Haver_M!$B$1:$ZN$1000,MATCH(data!$A184,Haver_M!$B$1:$B$1000,0),MATCH(data!AX$1,Haver_M!$B$1:$ZN$1,0))),INDEX(Haver_M!$B$1:$ZN$1000,MATCH(data!$A184,Haver_M!$B$1:$B$1000,0),MATCH(data!AX$1,Haver_M!$B$1:$ZN$1,0)),"na")</f>
        <v>2329</v>
      </c>
      <c r="AY184">
        <f>IF(ISNUMBER(INDEX(Haver_M!$B$1:$ZN$1000,MATCH(data!$A184,Haver_M!$B$1:$B$1000,0),MATCH(data!AY$1,Haver_M!$B$1:$ZN$1,0))),INDEX(Haver_M!$B$1:$ZN$1000,MATCH(data!$A184,Haver_M!$B$1:$B$1000,0),MATCH(data!AY$1,Haver_M!$B$1:$ZN$1,0)),"na")</f>
        <v>1228</v>
      </c>
      <c r="AZ184">
        <f>IF(ISNUMBER(INDEX(Haver_M!$B$1:$ZN$1000,MATCH(data!$A184,Haver_M!$B$1:$B$1000,0),MATCH(data!AZ$1,Haver_M!$B$1:$ZN$1,0))),INDEX(Haver_M!$B$1:$ZN$1000,MATCH(data!$A184,Haver_M!$B$1:$B$1000,0),MATCH(data!AZ$1,Haver_M!$B$1:$ZN$1,0)),"na")</f>
        <v>54.9</v>
      </c>
      <c r="BA184">
        <f>IF(ISNUMBER(INDEX(Haver_M!$B$1:$ZN$1000,MATCH(data!$A184,Haver_M!$B$1:$B$1000,0),MATCH(data!BA$1,Haver_M!$B$1:$ZN$1,0))),INDEX(Haver_M!$B$1:$ZN$1000,MATCH(data!$A184,Haver_M!$B$1:$B$1000,0),MATCH(data!BA$1,Haver_M!$B$1:$ZN$1,0)),"na")</f>
        <v>43.988009872119115</v>
      </c>
      <c r="BB184" t="str">
        <f>IF(ISNUMBER(INDEX(Haver_M!$B$1:$ZN$1000,MATCH(data!$A184,Haver_M!$B$1:$B$1000,0),MATCH(data!BB$1,Haver_M!$B$1:$ZN$1,0))),INDEX(Haver_M!$B$1:$ZN$1000,MATCH(data!$A184,Haver_M!$B$1:$B$1000,0),MATCH(data!BB$1,Haver_M!$B$1:$ZN$1,0)),"")</f>
        <v/>
      </c>
    </row>
    <row r="185" spans="1:54" x14ac:dyDescent="0.25">
      <c r="A185" s="2">
        <v>42124</v>
      </c>
      <c r="B185" t="str">
        <f>IF(ISNUMBER(INDEX(Haver_Q!$B$1:$BD$1000,MATCH(data!$A185,Haver_Q!$B$1:$B$1000,0),MATCH(data!B$1,Haver_Q!$B$1:$BD$1,0))),100*INDEX(Haver_Q!$B$1:$BD$1000,MATCH(data!$A185,Haver_Q!$B$1:$B$1000,0),MATCH(data!B$1,Haver_Q!$B$1:$BD$1,0)),"na")</f>
        <v>na</v>
      </c>
      <c r="C185" t="str">
        <f>IF(ISNUMBER(INDEX(Haver_Q!$B$1:$BD$1000,MATCH(data!$A185,Haver_Q!$B$1:$B$1000,0),MATCH(data!C$1,Haver_Q!$B$1:$BD$1,0))),100*INDEX(Haver_Q!$B$1:$BD$1000,MATCH(data!$A185,Haver_Q!$B$1:$B$1000,0),MATCH(data!C$1,Haver_Q!$B$1:$BD$1,0)),"na")</f>
        <v>na</v>
      </c>
      <c r="D185" t="str">
        <f>IF(ISNUMBER(INDEX(Haver_Q!$B$1:$BD$1000,MATCH(data!$A185,Haver_Q!$B$1:$B$1000,0),MATCH(data!D$1,Haver_Q!$B$1:$BD$1,0))),100*INDEX(Haver_Q!$B$1:$BD$1000,MATCH(data!$A185,Haver_Q!$B$1:$B$1000,0),MATCH(data!D$1,Haver_Q!$B$1:$BD$1,0)),"na")</f>
        <v>na</v>
      </c>
      <c r="E185" t="str">
        <f>IF(ISNUMBER(INDEX(Haver_Q!$B$1:$BD$1000,MATCH(data!$A185,Haver_Q!$B$1:$B$1000,0),MATCH(data!E$1,Haver_Q!$B$1:$BD$1,0))),100*INDEX(Haver_Q!$B$1:$BD$1000,MATCH(data!$A185,Haver_Q!$B$1:$B$1000,0),MATCH(data!E$1,Haver_Q!$B$1:$BD$1,0)),"na")</f>
        <v>na</v>
      </c>
      <c r="F185" t="str">
        <f>IF(ISNUMBER(INDEX(Haver_Q!$B$1:$BD$1000,MATCH(data!$A185,Haver_Q!$B$1:$B$1000,0),MATCH(data!F$1,Haver_Q!$B$1:$BD$1,0))),100*INDEX(Haver_Q!$B$1:$BD$1000,MATCH(data!$A185,Haver_Q!$B$1:$B$1000,0),MATCH(data!F$1,Haver_Q!$B$1:$BD$1,0)),"na")</f>
        <v>na</v>
      </c>
      <c r="G185" t="str">
        <f>IF(ISNUMBER(INDEX(Haver_Q!$B$1:$BD$1000,MATCH(data!$A185,Haver_Q!$B$1:$B$1000,0),MATCH(data!G$1,Haver_Q!$B$1:$BD$1,0))),100*INDEX(Haver_Q!$B$1:$BD$1000,MATCH(data!$A185,Haver_Q!$B$1:$B$1000,0),MATCH(data!G$1,Haver_Q!$B$1:$BD$1,0)),"na")</f>
        <v>na</v>
      </c>
      <c r="H185" t="str">
        <f>IF(ISNUMBER(INDEX(Haver_Q!$B$1:$BD$1000,MATCH(data!$A185,Haver_Q!$B$1:$B$1000,0),MATCH(data!H$1,Haver_Q!$B$1:$BD$1,0))),100*INDEX(Haver_Q!$B$1:$BD$1000,MATCH(data!$A185,Haver_Q!$B$1:$B$1000,0),MATCH(data!H$1,Haver_Q!$B$1:$BD$1,0)),"na")</f>
        <v>na</v>
      </c>
      <c r="I185" s="3">
        <f>IF(ISNUMBER(Bloomberg_m!C201),Bloomberg_m!C201,"na")</f>
        <v>591</v>
      </c>
      <c r="J185" s="3">
        <f>IF(ISNUMBER(Bloomberg_m!D201),Bloomberg_m!D201,"na")</f>
        <v>1404.28</v>
      </c>
      <c r="K185" s="3">
        <f>IF(ISNUMBER(Bloomberg_m!E201),Bloomberg_m!E201,"na")</f>
        <v>748.39</v>
      </c>
      <c r="L185" s="3">
        <f>IF(ISNUMBER(Bloomberg_m!L201),Bloomberg_m!L201,"na")</f>
        <v>54.44</v>
      </c>
      <c r="M185">
        <f>IF(ISNUMBER(INDEX(Haver_M!$B$1:$ZN$1000,MATCH(data!$A185,Haver_M!$B$1:$B$1000,0),MATCH(data!M$1,Haver_M!$B$1:$ZN$1,0))),INDEX(Haver_M!$B$1:$ZN$1000,MATCH(data!$A185,Haver_M!$B$1:$B$1000,0),MATCH(data!M$1,Haver_M!$B$1:$ZN$1,0)),"na")</f>
        <v>3</v>
      </c>
      <c r="N185">
        <f>IF(ISNUMBER(INDEX(Haver_M!$B$1:$ZN$1000,MATCH(data!$A185,Haver_M!$B$1:$B$1000,0),MATCH(data!N$1,Haver_M!$B$1:$ZN$1,0))),INDEX(Haver_M!$B$1:$ZN$1000,MATCH(data!$A185,Haver_M!$B$1:$B$1000,0),MATCH(data!N$1,Haver_M!$B$1:$ZN$1,0)),"na")</f>
        <v>5.7149000000000001</v>
      </c>
      <c r="O185">
        <f>IF(ISNUMBER(INDEX(Haver_M!$B$1:$ZN$1000,MATCH(data!$A185,Haver_M!$B$1:$B$1000,0),MATCH(data!O$1,Haver_M!$B$1:$ZN$1,0))),INDEX(Haver_M!$B$1:$ZN$1000,MATCH(data!$A185,Haver_M!$B$1:$B$1000,0),MATCH(data!O$1,Haver_M!$B$1:$ZN$1,0)),"na")</f>
        <v>93.977469999999997</v>
      </c>
      <c r="P185">
        <f>IF(ISNUMBER(INDEX(Haver_M!$B$1:$ZN$1000,MATCH(data!$A185,Haver_M!$B$1:$B$1000,0),MATCH(data!P$1,Haver_M!$B$1:$ZN$1,0))),INDEX(Haver_M!$B$1:$ZN$1000,MATCH(data!$A185,Haver_M!$B$1:$B$1000,0),MATCH(data!P$1,Haver_M!$B$1:$ZN$1,0)),"na")</f>
        <v>87.162099999999995</v>
      </c>
      <c r="Q185">
        <f>IF(ISNUMBER(INDEX(Haver_M!$B$1:$ZN$1000,MATCH(data!$A185,Haver_M!$B$1:$B$1000,0),MATCH(data!Q$1,Haver_M!$B$1:$ZN$1,0))),INDEX(Haver_M!$B$1:$ZN$1000,MATCH(data!$A185,Haver_M!$B$1:$B$1000,0),MATCH(data!Q$1,Haver_M!$B$1:$ZN$1,0)),"na")</f>
        <v>88.708799999999997</v>
      </c>
      <c r="R185">
        <f>IF(ISNUMBER(INDEX(Haver_M!$B$1:$ZN$1000,MATCH(data!$A185,Haver_M!$B$1:$B$1000,0),MATCH(data!R$1,Haver_M!$B$1:$ZN$1,0))),INDEX(Haver_M!$B$1:$ZN$1000,MATCH(data!$A185,Haver_M!$B$1:$B$1000,0),MATCH(data!R$1,Haver_M!$B$1:$ZN$1,0)),"na")</f>
        <v>103.94029999999999</v>
      </c>
      <c r="S185">
        <f>IF(ISNUMBER(INDEX(Haver_M!$B$1:$ZN$1000,MATCH(data!$A185,Haver_M!$B$1:$B$1000,0),MATCH(data!S$1,Haver_M!$B$1:$ZN$1,0))),INDEX(Haver_M!$B$1:$ZN$1000,MATCH(data!$A185,Haver_M!$B$1:$B$1000,0),MATCH(data!S$1,Haver_M!$B$1:$ZN$1,0)),"na")</f>
        <v>92.655900000000003</v>
      </c>
      <c r="T185">
        <f>IF(ISNUMBER(INDEX(Haver_M!$B$1:$ZN$1000,MATCH(data!$A185,Haver_M!$B$1:$B$1000,0),MATCH(data!T$1,Haver_M!$B$1:$ZN$1,0))),INDEX(Haver_M!$B$1:$ZN$1000,MATCH(data!$A185,Haver_M!$B$1:$B$1000,0),MATCH(data!T$1,Haver_M!$B$1:$ZN$1,0)),"na")</f>
        <v>109.38460000000001</v>
      </c>
      <c r="U185">
        <f>IF(ISNUMBER(INDEX(Haver_M!$B$1:$ZN$1000,MATCH(data!$A185,Haver_M!$B$1:$B$1000,0),MATCH(data!U$1,Haver_M!$B$1:$ZN$1,0))),INDEX(Haver_M!$B$1:$ZN$1000,MATCH(data!$A185,Haver_M!$B$1:$B$1000,0),MATCH(data!U$1,Haver_M!$B$1:$ZN$1,0)),"na")</f>
        <v>107.2936</v>
      </c>
      <c r="V185">
        <f>IF(ISNUMBER(INDEX(Haver_M!$B$1:$ZN$1000,MATCH(data!$A185,Haver_M!$B$1:$B$1000,0),MATCH(data!V$1,Haver_M!$B$1:$ZN$1,0))),INDEX(Haver_M!$B$1:$ZN$1000,MATCH(data!$A185,Haver_M!$B$1:$B$1000,0),MATCH(data!V$1,Haver_M!$B$1:$ZN$1,0)),"na")</f>
        <v>107.8028</v>
      </c>
      <c r="W185">
        <f>IF(ISNUMBER(INDEX(Haver_M!$B$1:$ZN$1000,MATCH(data!$A185,Haver_M!$B$1:$B$1000,0),MATCH(data!W$1,Haver_M!$B$1:$ZN$1,0))),INDEX(Haver_M!$B$1:$ZN$1000,MATCH(data!$A185,Haver_M!$B$1:$B$1000,0),MATCH(data!W$1,Haver_M!$B$1:$ZN$1,0)),"na")</f>
        <v>4.38</v>
      </c>
      <c r="X185">
        <f>IF(ISNUMBER(INDEX(Haver_M!$B$1:$ZN$1000,MATCH(data!$A185,Haver_M!$B$1:$B$1000,0),MATCH(data!X$1,Haver_M!$B$1:$ZN$1,0))),INDEX(Haver_M!$B$1:$ZN$1000,MATCH(data!$A185,Haver_M!$B$1:$B$1000,0),MATCH(data!X$1,Haver_M!$B$1:$ZN$1,0)),"na")</f>
        <v>100.98</v>
      </c>
      <c r="Y185">
        <f>IF(ISNUMBER(INDEX(Haver_M!$B$1:$ZN$1000,MATCH(data!$A185,Haver_M!$B$1:$B$1000,0),MATCH(data!Y$1,Haver_M!$B$1:$ZN$1,0))),INDEX(Haver_M!$B$1:$ZN$1000,MATCH(data!$A185,Haver_M!$B$1:$B$1000,0),MATCH(data!Y$1,Haver_M!$B$1:$ZN$1,0)),"na")</f>
        <v>100.6</v>
      </c>
      <c r="Z185">
        <f>IF(ISNUMBER(INDEX(Haver_M!$B$1:$ZN$1000,MATCH(data!$A185,Haver_M!$B$1:$B$1000,0),MATCH(data!Z$1,Haver_M!$B$1:$ZN$1,0))),INDEX(Haver_M!$B$1:$ZN$1000,MATCH(data!$A185,Haver_M!$B$1:$B$1000,0),MATCH(data!Z$1,Haver_M!$B$1:$ZN$1,0)),"na")</f>
        <v>104.80719999999999</v>
      </c>
      <c r="AA185">
        <f>IF(ISNUMBER(INDEX(Haver_M!$B$1:$ZN$1000,MATCH(data!$A185,Haver_M!$B$1:$B$1000,0),MATCH(data!AA$1,Haver_M!$B$1:$ZN$1,0))),INDEX(Haver_M!$B$1:$ZN$1000,MATCH(data!$A185,Haver_M!$B$1:$B$1000,0),MATCH(data!AA$1,Haver_M!$B$1:$ZN$1,0)),"na")</f>
        <v>105.31180000000001</v>
      </c>
      <c r="AB185">
        <f>IF(ISNUMBER(INDEX(Haver_M!$B$1:$ZN$1000,MATCH(data!$A185,Haver_M!$B$1:$B$1000,0),MATCH(data!AB$1,Haver_M!$B$1:$ZN$1,0))),INDEX(Haver_M!$B$1:$ZN$1000,MATCH(data!$A185,Haver_M!$B$1:$B$1000,0),MATCH(data!AB$1,Haver_M!$B$1:$ZN$1,0)),"na")</f>
        <v>32264.9</v>
      </c>
      <c r="AC185">
        <f>IF(ISNUMBER(INDEX(Haver_M!$B$1:$ZN$1000,MATCH(data!$A185,Haver_M!$B$1:$B$1000,0),MATCH(data!AC$1,Haver_M!$B$1:$ZN$1,0))),INDEX(Haver_M!$B$1:$ZN$1000,MATCH(data!$A185,Haver_M!$B$1:$B$1000,0),MATCH(data!AC$1,Haver_M!$B$1:$ZN$1,0)),"na")</f>
        <v>33257.699999999997</v>
      </c>
      <c r="AD185">
        <f>IF(ISNUMBER(INDEX(Haver_M!$B$1:$ZN$1000,MATCH(data!$A185,Haver_M!$B$1:$B$1000,0),MATCH(data!AD$1,Haver_M!$B$1:$ZN$1,0))),INDEX(Haver_M!$B$1:$ZN$1000,MATCH(data!$A185,Haver_M!$B$1:$B$1000,0),MATCH(data!AD$1,Haver_M!$B$1:$ZN$1,0)),"na")</f>
        <v>100</v>
      </c>
      <c r="AE185">
        <f>IF(ISNUMBER(INDEX(Haver_M!$B$1:$ZN$1000,MATCH(data!$A185,Haver_M!$B$1:$B$1000,0),MATCH(data!AE$1,Haver_M!$B$1:$ZN$1,0))),INDEX(Haver_M!$B$1:$ZN$1000,MATCH(data!$A185,Haver_M!$B$1:$B$1000,0),MATCH(data!AE$1,Haver_M!$B$1:$ZN$1,0)),"na")</f>
        <v>37.9</v>
      </c>
      <c r="AF185">
        <f>IF(ISNUMBER(INDEX(Haver_M!$B$1:$ZN$1000,MATCH(data!$A185,Haver_M!$B$1:$B$1000,0),MATCH(data!AF$1,Haver_M!$B$1:$ZN$1,0))),INDEX(Haver_M!$B$1:$ZN$1000,MATCH(data!$A185,Haver_M!$B$1:$B$1000,0),MATCH(data!AF$1,Haver_M!$B$1:$ZN$1,0)),"na")</f>
        <v>99.34</v>
      </c>
      <c r="AG185">
        <f>IF(ISNUMBER(INDEX(Haver_M!$B$1:$ZN$1000,MATCH(data!$A185,Haver_M!$B$1:$B$1000,0),MATCH(data!AG$1,Haver_M!$B$1:$ZN$1,0))),INDEX(Haver_M!$B$1:$ZN$1000,MATCH(data!$A185,Haver_M!$B$1:$B$1000,0),MATCH(data!AG$1,Haver_M!$B$1:$ZN$1,0)),"na")</f>
        <v>53.809100000000001</v>
      </c>
      <c r="AH185">
        <f>IF(ISNUMBER(INDEX(Haver_M!$B$1:$ZN$1000,MATCH(data!$A185,Haver_M!$B$1:$B$1000,0),MATCH(data!AH$1,Haver_M!$B$1:$ZN$1,0))),INDEX(Haver_M!$B$1:$ZN$1000,MATCH(data!$A185,Haver_M!$B$1:$B$1000,0),MATCH(data!AH$1,Haver_M!$B$1:$ZN$1,0)),"na")</f>
        <v>55.865200000000002</v>
      </c>
      <c r="AI185">
        <f>IF(ISNUMBER(INDEX(Haver_M!$B$1:$ZN$1000,MATCH(data!$A185,Haver_M!$B$1:$B$1000,0),MATCH(data!AI$1,Haver_M!$B$1:$ZN$1,0))),INDEX(Haver_M!$B$1:$ZN$1000,MATCH(data!$A185,Haver_M!$B$1:$B$1000,0),MATCH(data!AI$1,Haver_M!$B$1:$ZN$1,0)),"na")</f>
        <v>56.4846</v>
      </c>
      <c r="AJ185">
        <f>IF(ISNUMBER(INDEX(Haver_M!$B$1:$ZN$1000,MATCH(data!$A185,Haver_M!$B$1:$B$1000,0),MATCH(data!AJ$1,Haver_M!$B$1:$ZN$1,0))),INDEX(Haver_M!$B$1:$ZN$1000,MATCH(data!$A185,Haver_M!$B$1:$B$1000,0),MATCH(data!AJ$1,Haver_M!$B$1:$ZN$1,0)),"na")</f>
        <v>51.131700000000002</v>
      </c>
      <c r="AK185">
        <f>IF(ISNUMBER(INDEX(Haver_M!$B$1:$ZN$1000,MATCH(data!$A185,Haver_M!$B$1:$B$1000,0),MATCH(data!AK$1,Haver_M!$B$1:$ZN$1,0))),INDEX(Haver_M!$B$1:$ZN$1000,MATCH(data!$A185,Haver_M!$B$1:$B$1000,0),MATCH(data!AK$1,Haver_M!$B$1:$ZN$1,0)),"na")</f>
        <v>49.424300000000002</v>
      </c>
      <c r="AL185">
        <f>IF(ISNUMBER(INDEX(Haver_M!$B$1:$ZN$1000,MATCH(data!$A185,Haver_M!$B$1:$B$1000,0),MATCH(data!AL$1,Haver_M!$B$1:$ZN$1,0))),INDEX(Haver_M!$B$1:$ZN$1000,MATCH(data!$A185,Haver_M!$B$1:$B$1000,0),MATCH(data!AL$1,Haver_M!$B$1:$ZN$1,0)),"na")</f>
        <v>50.847499999999997</v>
      </c>
      <c r="AM185">
        <f>IF(ISNUMBER(INDEX(Haver_M!$B$1:$ZN$1000,MATCH(data!$A185,Haver_M!$B$1:$B$1000,0),MATCH(data!AM$1,Haver_M!$B$1:$ZN$1,0))),INDEX(Haver_M!$B$1:$ZN$1000,MATCH(data!$A185,Haver_M!$B$1:$B$1000,0),MATCH(data!AM$1,Haver_M!$B$1:$ZN$1,0)),"na")</f>
        <v>61.147500000000001</v>
      </c>
      <c r="AN185">
        <f>IF(ISNUMBER(INDEX(Haver_M!$B$1:$ZN$1000,MATCH(data!$A185,Haver_M!$B$1:$B$1000,0),MATCH(data!AN$1,Haver_M!$B$1:$ZN$1,0))),INDEX(Haver_M!$B$1:$ZN$1000,MATCH(data!$A185,Haver_M!$B$1:$B$1000,0),MATCH(data!AN$1,Haver_M!$B$1:$ZN$1,0)),"na")</f>
        <v>55.592100000000002</v>
      </c>
      <c r="AO185">
        <f>IF(ISNUMBER(INDEX(Haver_M!$B$1:$ZN$1000,MATCH(data!$A185,Haver_M!$B$1:$B$1000,0),MATCH(data!AO$1,Haver_M!$B$1:$ZN$1,0))),INDEX(Haver_M!$B$1:$ZN$1000,MATCH(data!$A185,Haver_M!$B$1:$B$1000,0),MATCH(data!AO$1,Haver_M!$B$1:$ZN$1,0)),"na")</f>
        <v>50.847499999999997</v>
      </c>
      <c r="AP185">
        <f>IF(ISNUMBER(INDEX(Haver_M!$B$1:$ZN$1000,MATCH(data!$A185,Haver_M!$B$1:$B$1000,0),MATCH(data!AP$1,Haver_M!$B$1:$ZN$1,0))),INDEX(Haver_M!$B$1:$ZN$1000,MATCH(data!$A185,Haver_M!$B$1:$B$1000,0),MATCH(data!AP$1,Haver_M!$B$1:$ZN$1,0)),"na")</f>
        <v>53.284700000000001</v>
      </c>
      <c r="AQ185">
        <f>IF(ISNUMBER(INDEX(Haver_M!$B$1:$ZN$1000,MATCH(data!$A185,Haver_M!$B$1:$B$1000,0),MATCH(data!AQ$1,Haver_M!$B$1:$ZN$1,0))),INDEX(Haver_M!$B$1:$ZN$1000,MATCH(data!$A185,Haver_M!$B$1:$B$1000,0),MATCH(data!AQ$1,Haver_M!$B$1:$ZN$1,0)),"na")</f>
        <v>53.934399999999997</v>
      </c>
      <c r="AR185">
        <f>IF(ISNUMBER(INDEX(Haver_M!$B$1:$ZN$1000,MATCH(data!$A185,Haver_M!$B$1:$B$1000,0),MATCH(data!AR$1,Haver_M!$B$1:$ZN$1,0))),INDEX(Haver_M!$B$1:$ZN$1000,MATCH(data!$A185,Haver_M!$B$1:$B$1000,0),MATCH(data!AR$1,Haver_M!$B$1:$ZN$1,0)),"na")</f>
        <v>47.366900000000001</v>
      </c>
      <c r="AS185">
        <f>IF(ISNUMBER(INDEX(Haver_M!$B$1:$ZN$1000,MATCH(data!$A185,Haver_M!$B$1:$B$1000,0),MATCH(data!AS$1,Haver_M!$B$1:$ZN$1,0))),INDEX(Haver_M!$B$1:$ZN$1000,MATCH(data!$A185,Haver_M!$B$1:$B$1000,0),MATCH(data!AS$1,Haver_M!$B$1:$ZN$1,0)),"na")</f>
        <v>45087.28</v>
      </c>
      <c r="AT185">
        <f>IF(ISNUMBER(INDEX(Haver_M!$B$1:$ZN$1000,MATCH(data!$A185,Haver_M!$B$1:$B$1000,0),MATCH(data!AT$1,Haver_M!$B$1:$ZN$1,0))),INDEX(Haver_M!$B$1:$ZN$1000,MATCH(data!$A185,Haver_M!$B$1:$B$1000,0),MATCH(data!AT$1,Haver_M!$B$1:$ZN$1,0)),"na")</f>
        <v>104.551</v>
      </c>
      <c r="AU185">
        <f>IF(ISNUMBER(INDEX(Haver_M!$B$1:$ZN$1000,MATCH(data!$A185,Haver_M!$B$1:$B$1000,0),MATCH(data!AU$1,Haver_M!$B$1:$ZN$1,0))),INDEX(Haver_M!$B$1:$ZN$1000,MATCH(data!$A185,Haver_M!$B$1:$B$1000,0),MATCH(data!AU$1,Haver_M!$B$1:$ZN$1,0)),"na")</f>
        <v>106.139326</v>
      </c>
      <c r="AV185">
        <f>IF(ISNUMBER(INDEX(Haver_M!$B$1:$ZN$1000,MATCH(data!$A185,Haver_M!$B$1:$B$1000,0),MATCH(data!AV$1,Haver_M!$B$1:$ZN$1,0))),INDEX(Haver_M!$B$1:$ZN$1000,MATCH(data!$A185,Haver_M!$B$1:$B$1000,0),MATCH(data!AV$1,Haver_M!$B$1:$ZN$1,0)),"na")</f>
        <v>108.1</v>
      </c>
      <c r="AW185">
        <f>IF(ISNUMBER(INDEX(Haver_M!$B$1:$ZN$1000,MATCH(data!$A185,Haver_M!$B$1:$B$1000,0),MATCH(data!AW$1,Haver_M!$B$1:$ZN$1,0))),INDEX(Haver_M!$B$1:$ZN$1000,MATCH(data!$A185,Haver_M!$B$1:$B$1000,0),MATCH(data!AW$1,Haver_M!$B$1:$ZN$1,0)),"na")</f>
        <v>1542253.9941823725</v>
      </c>
      <c r="AX185">
        <f>IF(ISNUMBER(INDEX(Haver_M!$B$1:$ZN$1000,MATCH(data!$A185,Haver_M!$B$1:$B$1000,0),MATCH(data!AX$1,Haver_M!$B$1:$ZN$1,0))),INDEX(Haver_M!$B$1:$ZN$1000,MATCH(data!$A185,Haver_M!$B$1:$B$1000,0),MATCH(data!AX$1,Haver_M!$B$1:$ZN$1,0)),"na")</f>
        <v>2208</v>
      </c>
      <c r="AY185">
        <f>IF(ISNUMBER(INDEX(Haver_M!$B$1:$ZN$1000,MATCH(data!$A185,Haver_M!$B$1:$B$1000,0),MATCH(data!AY$1,Haver_M!$B$1:$ZN$1,0))),INDEX(Haver_M!$B$1:$ZN$1000,MATCH(data!$A185,Haver_M!$B$1:$B$1000,0),MATCH(data!AY$1,Haver_M!$B$1:$ZN$1,0)),"na")</f>
        <v>1035</v>
      </c>
      <c r="AZ185">
        <f>IF(ISNUMBER(INDEX(Haver_M!$B$1:$ZN$1000,MATCH(data!$A185,Haver_M!$B$1:$B$1000,0),MATCH(data!AZ$1,Haver_M!$B$1:$ZN$1,0))),INDEX(Haver_M!$B$1:$ZN$1000,MATCH(data!$A185,Haver_M!$B$1:$B$1000,0),MATCH(data!AZ$1,Haver_M!$B$1:$ZN$1,0)),"na")</f>
        <v>55.3</v>
      </c>
      <c r="BA185">
        <f>IF(ISNUMBER(INDEX(Haver_M!$B$1:$ZN$1000,MATCH(data!$A185,Haver_M!$B$1:$B$1000,0),MATCH(data!BA$1,Haver_M!$B$1:$ZN$1,0))),INDEX(Haver_M!$B$1:$ZN$1000,MATCH(data!$A185,Haver_M!$B$1:$B$1000,0),MATCH(data!BA$1,Haver_M!$B$1:$ZN$1,0)),"na")</f>
        <v>26.815911134728694</v>
      </c>
      <c r="BB185" t="str">
        <f>IF(ISNUMBER(INDEX(Haver_M!$B$1:$ZN$1000,MATCH(data!$A185,Haver_M!$B$1:$B$1000,0),MATCH(data!BB$1,Haver_M!$B$1:$ZN$1,0))),INDEX(Haver_M!$B$1:$ZN$1000,MATCH(data!$A185,Haver_M!$B$1:$B$1000,0),MATCH(data!BB$1,Haver_M!$B$1:$ZN$1,0)),"")</f>
        <v/>
      </c>
    </row>
    <row r="186" spans="1:54" x14ac:dyDescent="0.25">
      <c r="A186" s="2">
        <v>42155</v>
      </c>
      <c r="B186" t="str">
        <f>IF(ISNUMBER(INDEX(Haver_Q!$B$1:$BD$1000,MATCH(data!$A186,Haver_Q!$B$1:$B$1000,0),MATCH(data!B$1,Haver_Q!$B$1:$BD$1,0))),100*INDEX(Haver_Q!$B$1:$BD$1000,MATCH(data!$A186,Haver_Q!$B$1:$B$1000,0),MATCH(data!B$1,Haver_Q!$B$1:$BD$1,0)),"na")</f>
        <v>na</v>
      </c>
      <c r="C186" t="str">
        <f>IF(ISNUMBER(INDEX(Haver_Q!$B$1:$BD$1000,MATCH(data!$A186,Haver_Q!$B$1:$B$1000,0),MATCH(data!C$1,Haver_Q!$B$1:$BD$1,0))),100*INDEX(Haver_Q!$B$1:$BD$1000,MATCH(data!$A186,Haver_Q!$B$1:$B$1000,0),MATCH(data!C$1,Haver_Q!$B$1:$BD$1,0)),"na")</f>
        <v>na</v>
      </c>
      <c r="D186" t="str">
        <f>IF(ISNUMBER(INDEX(Haver_Q!$B$1:$BD$1000,MATCH(data!$A186,Haver_Q!$B$1:$B$1000,0),MATCH(data!D$1,Haver_Q!$B$1:$BD$1,0))),100*INDEX(Haver_Q!$B$1:$BD$1000,MATCH(data!$A186,Haver_Q!$B$1:$B$1000,0),MATCH(data!D$1,Haver_Q!$B$1:$BD$1,0)),"na")</f>
        <v>na</v>
      </c>
      <c r="E186" t="str">
        <f>IF(ISNUMBER(INDEX(Haver_Q!$B$1:$BD$1000,MATCH(data!$A186,Haver_Q!$B$1:$B$1000,0),MATCH(data!E$1,Haver_Q!$B$1:$BD$1,0))),100*INDEX(Haver_Q!$B$1:$BD$1000,MATCH(data!$A186,Haver_Q!$B$1:$B$1000,0),MATCH(data!E$1,Haver_Q!$B$1:$BD$1,0)),"na")</f>
        <v>na</v>
      </c>
      <c r="F186" t="str">
        <f>IF(ISNUMBER(INDEX(Haver_Q!$B$1:$BD$1000,MATCH(data!$A186,Haver_Q!$B$1:$B$1000,0),MATCH(data!F$1,Haver_Q!$B$1:$BD$1,0))),100*INDEX(Haver_Q!$B$1:$BD$1000,MATCH(data!$A186,Haver_Q!$B$1:$B$1000,0),MATCH(data!F$1,Haver_Q!$B$1:$BD$1,0)),"na")</f>
        <v>na</v>
      </c>
      <c r="G186" t="str">
        <f>IF(ISNUMBER(INDEX(Haver_Q!$B$1:$BD$1000,MATCH(data!$A186,Haver_Q!$B$1:$B$1000,0),MATCH(data!G$1,Haver_Q!$B$1:$BD$1,0))),100*INDEX(Haver_Q!$B$1:$BD$1000,MATCH(data!$A186,Haver_Q!$B$1:$B$1000,0),MATCH(data!G$1,Haver_Q!$B$1:$BD$1,0)),"na")</f>
        <v>na</v>
      </c>
      <c r="H186" t="str">
        <f>IF(ISNUMBER(INDEX(Haver_Q!$B$1:$BD$1000,MATCH(data!$A186,Haver_Q!$B$1:$B$1000,0),MATCH(data!H$1,Haver_Q!$B$1:$BD$1,0))),100*INDEX(Haver_Q!$B$1:$BD$1000,MATCH(data!$A186,Haver_Q!$B$1:$B$1000,0),MATCH(data!H$1,Haver_Q!$B$1:$BD$1,0)),"na")</f>
        <v>na</v>
      </c>
      <c r="I186" s="3">
        <f>IF(ISNUMBER(Bloomberg_m!C202),Bloomberg_m!C202,"na")</f>
        <v>597</v>
      </c>
      <c r="J186" s="3">
        <f>IF(ISNUMBER(Bloomberg_m!D202),Bloomberg_m!D202,"na")</f>
        <v>1438.01</v>
      </c>
      <c r="K186" s="3">
        <f>IF(ISNUMBER(Bloomberg_m!E202),Bloomberg_m!E202,"na")</f>
        <v>731.35</v>
      </c>
      <c r="L186" s="3">
        <f>IF(ISNUMBER(Bloomberg_m!L202),Bloomberg_m!L202,"na")</f>
        <v>59.27</v>
      </c>
      <c r="M186">
        <f>IF(ISNUMBER(INDEX(Haver_M!$B$1:$ZN$1000,MATCH(data!$A186,Haver_M!$B$1:$B$1000,0),MATCH(data!M$1,Haver_M!$B$1:$ZN$1,0))),INDEX(Haver_M!$B$1:$ZN$1000,MATCH(data!$A186,Haver_M!$B$1:$B$1000,0),MATCH(data!M$1,Haver_M!$B$1:$ZN$1,0)),"na")</f>
        <v>3</v>
      </c>
      <c r="N186">
        <f>IF(ISNUMBER(INDEX(Haver_M!$B$1:$ZN$1000,MATCH(data!$A186,Haver_M!$B$1:$B$1000,0),MATCH(data!N$1,Haver_M!$B$1:$ZN$1,0))),INDEX(Haver_M!$B$1:$ZN$1000,MATCH(data!$A186,Haver_M!$B$1:$B$1000,0),MATCH(data!N$1,Haver_M!$B$1:$ZN$1,0)),"na")</f>
        <v>5.9089999999999998</v>
      </c>
      <c r="O186">
        <f>IF(ISNUMBER(INDEX(Haver_M!$B$1:$ZN$1000,MATCH(data!$A186,Haver_M!$B$1:$B$1000,0),MATCH(data!O$1,Haver_M!$B$1:$ZN$1,0))),INDEX(Haver_M!$B$1:$ZN$1000,MATCH(data!$A186,Haver_M!$B$1:$B$1000,0),MATCH(data!O$1,Haver_M!$B$1:$ZN$1,0)),"na")</f>
        <v>92.453999999999994</v>
      </c>
      <c r="P186">
        <f>IF(ISNUMBER(INDEX(Haver_M!$B$1:$ZN$1000,MATCH(data!$A186,Haver_M!$B$1:$B$1000,0),MATCH(data!P$1,Haver_M!$B$1:$ZN$1,0))),INDEX(Haver_M!$B$1:$ZN$1000,MATCH(data!$A186,Haver_M!$B$1:$B$1000,0),MATCH(data!P$1,Haver_M!$B$1:$ZN$1,0)),"na")</f>
        <v>87.318200000000004</v>
      </c>
      <c r="Q186">
        <f>IF(ISNUMBER(INDEX(Haver_M!$B$1:$ZN$1000,MATCH(data!$A186,Haver_M!$B$1:$B$1000,0),MATCH(data!Q$1,Haver_M!$B$1:$ZN$1,0))),INDEX(Haver_M!$B$1:$ZN$1000,MATCH(data!$A186,Haver_M!$B$1:$B$1000,0),MATCH(data!Q$1,Haver_M!$B$1:$ZN$1,0)),"na")</f>
        <v>88.872200000000007</v>
      </c>
      <c r="R186">
        <f>IF(ISNUMBER(INDEX(Haver_M!$B$1:$ZN$1000,MATCH(data!$A186,Haver_M!$B$1:$B$1000,0),MATCH(data!R$1,Haver_M!$B$1:$ZN$1,0))),INDEX(Haver_M!$B$1:$ZN$1000,MATCH(data!$A186,Haver_M!$B$1:$B$1000,0),MATCH(data!R$1,Haver_M!$B$1:$ZN$1,0)),"na")</f>
        <v>102.613</v>
      </c>
      <c r="S186">
        <f>IF(ISNUMBER(INDEX(Haver_M!$B$1:$ZN$1000,MATCH(data!$A186,Haver_M!$B$1:$B$1000,0),MATCH(data!S$1,Haver_M!$B$1:$ZN$1,0))),INDEX(Haver_M!$B$1:$ZN$1000,MATCH(data!$A186,Haver_M!$B$1:$B$1000,0),MATCH(data!S$1,Haver_M!$B$1:$ZN$1,0)),"na")</f>
        <v>92.662199999999999</v>
      </c>
      <c r="T186">
        <f>IF(ISNUMBER(INDEX(Haver_M!$B$1:$ZN$1000,MATCH(data!$A186,Haver_M!$B$1:$B$1000,0),MATCH(data!T$1,Haver_M!$B$1:$ZN$1,0))),INDEX(Haver_M!$B$1:$ZN$1000,MATCH(data!$A186,Haver_M!$B$1:$B$1000,0),MATCH(data!T$1,Haver_M!$B$1:$ZN$1,0)),"na")</f>
        <v>107.72199999999999</v>
      </c>
      <c r="U186">
        <f>IF(ISNUMBER(INDEX(Haver_M!$B$1:$ZN$1000,MATCH(data!$A186,Haver_M!$B$1:$B$1000,0),MATCH(data!U$1,Haver_M!$B$1:$ZN$1,0))),INDEX(Haver_M!$B$1:$ZN$1000,MATCH(data!$A186,Haver_M!$B$1:$B$1000,0),MATCH(data!U$1,Haver_M!$B$1:$ZN$1,0)),"na")</f>
        <v>103.1199</v>
      </c>
      <c r="V186">
        <f>IF(ISNUMBER(INDEX(Haver_M!$B$1:$ZN$1000,MATCH(data!$A186,Haver_M!$B$1:$B$1000,0),MATCH(data!V$1,Haver_M!$B$1:$ZN$1,0))),INDEX(Haver_M!$B$1:$ZN$1000,MATCH(data!$A186,Haver_M!$B$1:$B$1000,0),MATCH(data!V$1,Haver_M!$B$1:$ZN$1,0)),"na")</f>
        <v>106.605</v>
      </c>
      <c r="W186">
        <f>IF(ISNUMBER(INDEX(Haver_M!$B$1:$ZN$1000,MATCH(data!$A186,Haver_M!$B$1:$B$1000,0),MATCH(data!W$1,Haver_M!$B$1:$ZN$1,0))),INDEX(Haver_M!$B$1:$ZN$1000,MATCH(data!$A186,Haver_M!$B$1:$B$1000,0),MATCH(data!W$1,Haver_M!$B$1:$ZN$1,0)),"na")</f>
        <v>4.41</v>
      </c>
      <c r="X186">
        <f>IF(ISNUMBER(INDEX(Haver_M!$B$1:$ZN$1000,MATCH(data!$A186,Haver_M!$B$1:$B$1000,0),MATCH(data!X$1,Haver_M!$B$1:$ZN$1,0))),INDEX(Haver_M!$B$1:$ZN$1000,MATCH(data!$A186,Haver_M!$B$1:$B$1000,0),MATCH(data!X$1,Haver_M!$B$1:$ZN$1,0)),"na")</f>
        <v>101.16</v>
      </c>
      <c r="Y186">
        <f>IF(ISNUMBER(INDEX(Haver_M!$B$1:$ZN$1000,MATCH(data!$A186,Haver_M!$B$1:$B$1000,0),MATCH(data!Y$1,Haver_M!$B$1:$ZN$1,0))),INDEX(Haver_M!$B$1:$ZN$1000,MATCH(data!$A186,Haver_M!$B$1:$B$1000,0),MATCH(data!Y$1,Haver_M!$B$1:$ZN$1,0)),"na")</f>
        <v>100.54</v>
      </c>
      <c r="Z186">
        <f>IF(ISNUMBER(INDEX(Haver_M!$B$1:$ZN$1000,MATCH(data!$A186,Haver_M!$B$1:$B$1000,0),MATCH(data!Z$1,Haver_M!$B$1:$ZN$1,0))),INDEX(Haver_M!$B$1:$ZN$1000,MATCH(data!$A186,Haver_M!$B$1:$B$1000,0),MATCH(data!Z$1,Haver_M!$B$1:$ZN$1,0)),"na")</f>
        <v>105.2119</v>
      </c>
      <c r="AA186">
        <f>IF(ISNUMBER(INDEX(Haver_M!$B$1:$ZN$1000,MATCH(data!$A186,Haver_M!$B$1:$B$1000,0),MATCH(data!AA$1,Haver_M!$B$1:$ZN$1,0))),INDEX(Haver_M!$B$1:$ZN$1000,MATCH(data!$A186,Haver_M!$B$1:$B$1000,0),MATCH(data!AA$1,Haver_M!$B$1:$ZN$1,0)),"na")</f>
        <v>105.41459999999999</v>
      </c>
      <c r="AB186">
        <f>IF(ISNUMBER(INDEX(Haver_M!$B$1:$ZN$1000,MATCH(data!$A186,Haver_M!$B$1:$B$1000,0),MATCH(data!AB$1,Haver_M!$B$1:$ZN$1,0))),INDEX(Haver_M!$B$1:$ZN$1000,MATCH(data!$A186,Haver_M!$B$1:$B$1000,0),MATCH(data!AB$1,Haver_M!$B$1:$ZN$1,0)),"na")</f>
        <v>31243.9</v>
      </c>
      <c r="AC186">
        <f>IF(ISNUMBER(INDEX(Haver_M!$B$1:$ZN$1000,MATCH(data!$A186,Haver_M!$B$1:$B$1000,0),MATCH(data!AC$1,Haver_M!$B$1:$ZN$1,0))),INDEX(Haver_M!$B$1:$ZN$1000,MATCH(data!$A186,Haver_M!$B$1:$B$1000,0),MATCH(data!AC$1,Haver_M!$B$1:$ZN$1,0)),"na")</f>
        <v>32999.199999999997</v>
      </c>
      <c r="AD186">
        <f>IF(ISNUMBER(INDEX(Haver_M!$B$1:$ZN$1000,MATCH(data!$A186,Haver_M!$B$1:$B$1000,0),MATCH(data!AD$1,Haver_M!$B$1:$ZN$1,0))),INDEX(Haver_M!$B$1:$ZN$1000,MATCH(data!$A186,Haver_M!$B$1:$B$1000,0),MATCH(data!AD$1,Haver_M!$B$1:$ZN$1,0)),"na")</f>
        <v>100.02</v>
      </c>
      <c r="AE186">
        <f>IF(ISNUMBER(INDEX(Haver_M!$B$1:$ZN$1000,MATCH(data!$A186,Haver_M!$B$1:$B$1000,0),MATCH(data!AE$1,Haver_M!$B$1:$ZN$1,0))),INDEX(Haver_M!$B$1:$ZN$1000,MATCH(data!$A186,Haver_M!$B$1:$B$1000,0),MATCH(data!AE$1,Haver_M!$B$1:$ZN$1,0)),"na")</f>
        <v>37.700000000000003</v>
      </c>
      <c r="AF186">
        <f>IF(ISNUMBER(INDEX(Haver_M!$B$1:$ZN$1000,MATCH(data!$A186,Haver_M!$B$1:$B$1000,0),MATCH(data!AF$1,Haver_M!$B$1:$ZN$1,0))),INDEX(Haver_M!$B$1:$ZN$1000,MATCH(data!$A186,Haver_M!$B$1:$B$1000,0),MATCH(data!AF$1,Haver_M!$B$1:$ZN$1,0)),"na")</f>
        <v>99.3</v>
      </c>
      <c r="AG186">
        <f>IF(ISNUMBER(INDEX(Haver_M!$B$1:$ZN$1000,MATCH(data!$A186,Haver_M!$B$1:$B$1000,0),MATCH(data!AG$1,Haver_M!$B$1:$ZN$1,0))),INDEX(Haver_M!$B$1:$ZN$1000,MATCH(data!$A186,Haver_M!$B$1:$B$1000,0),MATCH(data!AG$1,Haver_M!$B$1:$ZN$1,0)),"na")</f>
        <v>53.320700000000002</v>
      </c>
      <c r="AH186">
        <f>IF(ISNUMBER(INDEX(Haver_M!$B$1:$ZN$1000,MATCH(data!$A186,Haver_M!$B$1:$B$1000,0),MATCH(data!AH$1,Haver_M!$B$1:$ZN$1,0))),INDEX(Haver_M!$B$1:$ZN$1000,MATCH(data!$A186,Haver_M!$B$1:$B$1000,0),MATCH(data!AH$1,Haver_M!$B$1:$ZN$1,0)),"na")</f>
        <v>53.805500000000002</v>
      </c>
      <c r="AI186">
        <f>IF(ISNUMBER(INDEX(Haver_M!$B$1:$ZN$1000,MATCH(data!$A186,Haver_M!$B$1:$B$1000,0),MATCH(data!AI$1,Haver_M!$B$1:$ZN$1,0))),INDEX(Haver_M!$B$1:$ZN$1000,MATCH(data!$A186,Haver_M!$B$1:$B$1000,0),MATCH(data!AI$1,Haver_M!$B$1:$ZN$1,0)),"na")</f>
        <v>55.164900000000003</v>
      </c>
      <c r="AJ186">
        <f>IF(ISNUMBER(INDEX(Haver_M!$B$1:$ZN$1000,MATCH(data!$A186,Haver_M!$B$1:$B$1000,0),MATCH(data!AJ$1,Haver_M!$B$1:$ZN$1,0))),INDEX(Haver_M!$B$1:$ZN$1000,MATCH(data!$A186,Haver_M!$B$1:$B$1000,0),MATCH(data!AJ$1,Haver_M!$B$1:$ZN$1,0)),"na")</f>
        <v>52.483400000000003</v>
      </c>
      <c r="AK186">
        <f>IF(ISNUMBER(INDEX(Haver_M!$B$1:$ZN$1000,MATCH(data!$A186,Haver_M!$B$1:$B$1000,0),MATCH(data!AK$1,Haver_M!$B$1:$ZN$1,0))),INDEX(Haver_M!$B$1:$ZN$1000,MATCH(data!$A186,Haver_M!$B$1:$B$1000,0),MATCH(data!AK$1,Haver_M!$B$1:$ZN$1,0)),"na")</f>
        <v>49.5</v>
      </c>
      <c r="AL186">
        <f>IF(ISNUMBER(INDEX(Haver_M!$B$1:$ZN$1000,MATCH(data!$A186,Haver_M!$B$1:$B$1000,0),MATCH(data!AL$1,Haver_M!$B$1:$ZN$1,0))),INDEX(Haver_M!$B$1:$ZN$1000,MATCH(data!$A186,Haver_M!$B$1:$B$1000,0),MATCH(data!AL$1,Haver_M!$B$1:$ZN$1,0)),"na")</f>
        <v>52.482300000000002</v>
      </c>
      <c r="AM186">
        <f>IF(ISNUMBER(INDEX(Haver_M!$B$1:$ZN$1000,MATCH(data!$A186,Haver_M!$B$1:$B$1000,0),MATCH(data!AM$1,Haver_M!$B$1:$ZN$1,0))),INDEX(Haver_M!$B$1:$ZN$1000,MATCH(data!$A186,Haver_M!$B$1:$B$1000,0),MATCH(data!AM$1,Haver_M!$B$1:$ZN$1,0)),"na")</f>
        <v>61.036799999999999</v>
      </c>
      <c r="AN186">
        <f>IF(ISNUMBER(INDEX(Haver_M!$B$1:$ZN$1000,MATCH(data!$A186,Haver_M!$B$1:$B$1000,0),MATCH(data!AN$1,Haver_M!$B$1:$ZN$1,0))),INDEX(Haver_M!$B$1:$ZN$1000,MATCH(data!$A186,Haver_M!$B$1:$B$1000,0),MATCH(data!AN$1,Haver_M!$B$1:$ZN$1,0)),"na")</f>
        <v>53.030299999999997</v>
      </c>
      <c r="AO186">
        <f>IF(ISNUMBER(INDEX(Haver_M!$B$1:$ZN$1000,MATCH(data!$A186,Haver_M!$B$1:$B$1000,0),MATCH(data!AO$1,Haver_M!$B$1:$ZN$1,0))),INDEX(Haver_M!$B$1:$ZN$1000,MATCH(data!$A186,Haver_M!$B$1:$B$1000,0),MATCH(data!AO$1,Haver_M!$B$1:$ZN$1,0)),"na")</f>
        <v>52.482300000000002</v>
      </c>
      <c r="AP186">
        <f>IF(ISNUMBER(INDEX(Haver_M!$B$1:$ZN$1000,MATCH(data!$A186,Haver_M!$B$1:$B$1000,0),MATCH(data!AP$1,Haver_M!$B$1:$ZN$1,0))),INDEX(Haver_M!$B$1:$ZN$1000,MATCH(data!$A186,Haver_M!$B$1:$B$1000,0),MATCH(data!AP$1,Haver_M!$B$1:$ZN$1,0)),"na")</f>
        <v>53</v>
      </c>
      <c r="AQ186">
        <f>IF(ISNUMBER(INDEX(Haver_M!$B$1:$ZN$1000,MATCH(data!$A186,Haver_M!$B$1:$B$1000,0),MATCH(data!AQ$1,Haver_M!$B$1:$ZN$1,0))),INDEX(Haver_M!$B$1:$ZN$1000,MATCH(data!$A186,Haver_M!$B$1:$B$1000,0),MATCH(data!AQ$1,Haver_M!$B$1:$ZN$1,0)),"na")</f>
        <v>52.317900000000002</v>
      </c>
      <c r="AR186">
        <f>IF(ISNUMBER(INDEX(Haver_M!$B$1:$ZN$1000,MATCH(data!$A186,Haver_M!$B$1:$B$1000,0),MATCH(data!AR$1,Haver_M!$B$1:$ZN$1,0))),INDEX(Haver_M!$B$1:$ZN$1000,MATCH(data!$A186,Haver_M!$B$1:$B$1000,0),MATCH(data!AR$1,Haver_M!$B$1:$ZN$1,0)),"na")</f>
        <v>46.060600000000001</v>
      </c>
      <c r="AS186">
        <f>IF(ISNUMBER(INDEX(Haver_M!$B$1:$ZN$1000,MATCH(data!$A186,Haver_M!$B$1:$B$1000,0),MATCH(data!AS$1,Haver_M!$B$1:$ZN$1,0))),INDEX(Haver_M!$B$1:$ZN$1000,MATCH(data!$A186,Haver_M!$B$1:$B$1000,0),MATCH(data!AS$1,Haver_M!$B$1:$ZN$1,0)),"na")</f>
        <v>45013.64</v>
      </c>
      <c r="AT186">
        <f>IF(ISNUMBER(INDEX(Haver_M!$B$1:$ZN$1000,MATCH(data!$A186,Haver_M!$B$1:$B$1000,0),MATCH(data!AT$1,Haver_M!$B$1:$ZN$1,0))),INDEX(Haver_M!$B$1:$ZN$1000,MATCH(data!$A186,Haver_M!$B$1:$B$1000,0),MATCH(data!AT$1,Haver_M!$B$1:$ZN$1,0)),"na")</f>
        <v>104.602</v>
      </c>
      <c r="AU186">
        <f>IF(ISNUMBER(INDEX(Haver_M!$B$1:$ZN$1000,MATCH(data!$A186,Haver_M!$B$1:$B$1000,0),MATCH(data!AU$1,Haver_M!$B$1:$ZN$1,0))),INDEX(Haver_M!$B$1:$ZN$1000,MATCH(data!$A186,Haver_M!$B$1:$B$1000,0),MATCH(data!AU$1,Haver_M!$B$1:$ZN$1,0)),"na")</f>
        <v>105.249589</v>
      </c>
      <c r="AV186">
        <f>IF(ISNUMBER(INDEX(Haver_M!$B$1:$ZN$1000,MATCH(data!$A186,Haver_M!$B$1:$B$1000,0),MATCH(data!AV$1,Haver_M!$B$1:$ZN$1,0))),INDEX(Haver_M!$B$1:$ZN$1000,MATCH(data!$A186,Haver_M!$B$1:$B$1000,0),MATCH(data!AV$1,Haver_M!$B$1:$ZN$1,0)),"na")</f>
        <v>105.8</v>
      </c>
      <c r="AW186">
        <f>IF(ISNUMBER(INDEX(Haver_M!$B$1:$ZN$1000,MATCH(data!$A186,Haver_M!$B$1:$B$1000,0),MATCH(data!AW$1,Haver_M!$B$1:$ZN$1,0))),INDEX(Haver_M!$B$1:$ZN$1000,MATCH(data!$A186,Haver_M!$B$1:$B$1000,0),MATCH(data!AW$1,Haver_M!$B$1:$ZN$1,0)),"na")</f>
        <v>1503410.1241178161</v>
      </c>
      <c r="AX186">
        <f>IF(ISNUMBER(INDEX(Haver_M!$B$1:$ZN$1000,MATCH(data!$A186,Haver_M!$B$1:$B$1000,0),MATCH(data!AX$1,Haver_M!$B$1:$ZN$1,0))),INDEX(Haver_M!$B$1:$ZN$1000,MATCH(data!$A186,Haver_M!$B$1:$B$1000,0),MATCH(data!AX$1,Haver_M!$B$1:$ZN$1,0)),"na")</f>
        <v>2228</v>
      </c>
      <c r="AY186">
        <f>IF(ISNUMBER(INDEX(Haver_M!$B$1:$ZN$1000,MATCH(data!$A186,Haver_M!$B$1:$B$1000,0),MATCH(data!AY$1,Haver_M!$B$1:$ZN$1,0))),INDEX(Haver_M!$B$1:$ZN$1000,MATCH(data!$A186,Haver_M!$B$1:$B$1000,0),MATCH(data!AY$1,Haver_M!$B$1:$ZN$1,0)),"na")</f>
        <v>1114</v>
      </c>
      <c r="AZ186">
        <f>IF(ISNUMBER(INDEX(Haver_M!$B$1:$ZN$1000,MATCH(data!$A186,Haver_M!$B$1:$B$1000,0),MATCH(data!AZ$1,Haver_M!$B$1:$ZN$1,0))),INDEX(Haver_M!$B$1:$ZN$1000,MATCH(data!$A186,Haver_M!$B$1:$B$1000,0),MATCH(data!AZ$1,Haver_M!$B$1:$ZN$1,0)),"na")</f>
        <v>54.4</v>
      </c>
      <c r="BA186">
        <f>IF(ISNUMBER(INDEX(Haver_M!$B$1:$ZN$1000,MATCH(data!$A186,Haver_M!$B$1:$B$1000,0),MATCH(data!BA$1,Haver_M!$B$1:$ZN$1,0))),INDEX(Haver_M!$B$1:$ZN$1000,MATCH(data!$A186,Haver_M!$B$1:$B$1000,0),MATCH(data!BA$1,Haver_M!$B$1:$ZN$1,0)),"na")</f>
        <v>29.478364168987426</v>
      </c>
      <c r="BB186" t="str">
        <f>IF(ISNUMBER(INDEX(Haver_M!$B$1:$ZN$1000,MATCH(data!$A186,Haver_M!$B$1:$B$1000,0),MATCH(data!BB$1,Haver_M!$B$1:$ZN$1,0))),INDEX(Haver_M!$B$1:$ZN$1000,MATCH(data!$A186,Haver_M!$B$1:$B$1000,0),MATCH(data!BB$1,Haver_M!$B$1:$ZN$1,0)),"")</f>
        <v/>
      </c>
    </row>
    <row r="187" spans="1:54" x14ac:dyDescent="0.25">
      <c r="A187" s="2">
        <v>42185</v>
      </c>
      <c r="B187">
        <f>IF(ISNUMBER(INDEX(Haver_Q!$B$1:$BD$1000,MATCH(data!$A187,Haver_Q!$B$1:$B$1000,0),MATCH(data!B$1,Haver_Q!$B$1:$BD$1,0))),100*INDEX(Haver_Q!$B$1:$BD$1000,MATCH(data!$A187,Haver_Q!$B$1:$B$1000,0),MATCH(data!B$1,Haver_Q!$B$1:$BD$1,0)),"na")</f>
        <v>4.6955341841715459</v>
      </c>
      <c r="C187">
        <f>IF(ISNUMBER(INDEX(Haver_Q!$B$1:$BD$1000,MATCH(data!$A187,Haver_Q!$B$1:$B$1000,0),MATCH(data!C$1,Haver_Q!$B$1:$BD$1,0))),100*INDEX(Haver_Q!$B$1:$BD$1000,MATCH(data!$A187,Haver_Q!$B$1:$B$1000,0),MATCH(data!C$1,Haver_Q!$B$1:$BD$1,0)),"na")</f>
        <v>-3.0075201324126666</v>
      </c>
      <c r="D187">
        <f>IF(ISNUMBER(INDEX(Haver_Q!$B$1:$BD$1000,MATCH(data!$A187,Haver_Q!$B$1:$B$1000,0),MATCH(data!D$1,Haver_Q!$B$1:$BD$1,0))),100*INDEX(Haver_Q!$B$1:$BD$1000,MATCH(data!$A187,Haver_Q!$B$1:$B$1000,0),MATCH(data!D$1,Haver_Q!$B$1:$BD$1,0)),"na")</f>
        <v>3.0255218913177728</v>
      </c>
      <c r="E187">
        <f>IF(ISNUMBER(INDEX(Haver_Q!$B$1:$BD$1000,MATCH(data!$A187,Haver_Q!$B$1:$B$1000,0),MATCH(data!E$1,Haver_Q!$B$1:$BD$1,0))),100*INDEX(Haver_Q!$B$1:$BD$1000,MATCH(data!$A187,Haver_Q!$B$1:$B$1000,0),MATCH(data!E$1,Haver_Q!$B$1:$BD$1,0)),"na")</f>
        <v>14.646687943281499</v>
      </c>
      <c r="F187">
        <f>IF(ISNUMBER(INDEX(Haver_Q!$B$1:$BD$1000,MATCH(data!$A187,Haver_Q!$B$1:$B$1000,0),MATCH(data!F$1,Haver_Q!$B$1:$BD$1,0))),100*INDEX(Haver_Q!$B$1:$BD$1000,MATCH(data!$A187,Haver_Q!$B$1:$B$1000,0),MATCH(data!F$1,Haver_Q!$B$1:$BD$1,0)),"na")</f>
        <v>11.591048835002326</v>
      </c>
      <c r="G187">
        <f>IF(ISNUMBER(INDEX(Haver_Q!$B$1:$BD$1000,MATCH(data!$A187,Haver_Q!$B$1:$B$1000,0),MATCH(data!G$1,Haver_Q!$B$1:$BD$1,0))),100*INDEX(Haver_Q!$B$1:$BD$1000,MATCH(data!$A187,Haver_Q!$B$1:$B$1000,0),MATCH(data!G$1,Haver_Q!$B$1:$BD$1,0)),"na")</f>
        <v>10.644510866039859</v>
      </c>
      <c r="H187">
        <f>IF(ISNUMBER(INDEX(Haver_Q!$B$1:$BD$1000,MATCH(data!$A187,Haver_Q!$B$1:$B$1000,0),MATCH(data!H$1,Haver_Q!$B$1:$BD$1,0))),100*INDEX(Haver_Q!$B$1:$BD$1000,MATCH(data!$A187,Haver_Q!$B$1:$B$1000,0),MATCH(data!H$1,Haver_Q!$B$1:$BD$1,0)),"na")</f>
        <v>374.94042203727543</v>
      </c>
      <c r="I187" s="3">
        <f>IF(ISNUMBER(Bloomberg_m!C203),Bloomberg_m!C203,"na")</f>
        <v>699</v>
      </c>
      <c r="J187" s="3">
        <f>IF(ISNUMBER(Bloomberg_m!D203),Bloomberg_m!D203,"na")</f>
        <v>1109.27</v>
      </c>
      <c r="K187" s="3">
        <f>IF(ISNUMBER(Bloomberg_m!E203),Bloomberg_m!E203,"na")</f>
        <v>600.52</v>
      </c>
      <c r="L187" s="3">
        <f>IF(ISNUMBER(Bloomberg_m!L203),Bloomberg_m!L203,"na")</f>
        <v>59.8</v>
      </c>
      <c r="M187">
        <f>IF(ISNUMBER(INDEX(Haver_M!$B$1:$ZN$1000,MATCH(data!$A187,Haver_M!$B$1:$B$1000,0),MATCH(data!M$1,Haver_M!$B$1:$ZN$1,0))),INDEX(Haver_M!$B$1:$ZN$1000,MATCH(data!$A187,Haver_M!$B$1:$B$1000,0),MATCH(data!M$1,Haver_M!$B$1:$ZN$1,0)),"na")</f>
        <v>3</v>
      </c>
      <c r="N187">
        <f>IF(ISNUMBER(INDEX(Haver_M!$B$1:$ZN$1000,MATCH(data!$A187,Haver_M!$B$1:$B$1000,0),MATCH(data!N$1,Haver_M!$B$1:$ZN$1,0))),INDEX(Haver_M!$B$1:$ZN$1000,MATCH(data!$A187,Haver_M!$B$1:$B$1000,0),MATCH(data!N$1,Haver_M!$B$1:$ZN$1,0)),"na")</f>
        <v>6.0951000000000004</v>
      </c>
      <c r="O187">
        <f>IF(ISNUMBER(INDEX(Haver_M!$B$1:$ZN$1000,MATCH(data!$A187,Haver_M!$B$1:$B$1000,0),MATCH(data!O$1,Haver_M!$B$1:$ZN$1,0))),INDEX(Haver_M!$B$1:$ZN$1000,MATCH(data!$A187,Haver_M!$B$1:$B$1000,0),MATCH(data!O$1,Haver_M!$B$1:$ZN$1,0)),"na")</f>
        <v>91.513149999999996</v>
      </c>
      <c r="P187">
        <f>IF(ISNUMBER(INDEX(Haver_M!$B$1:$ZN$1000,MATCH(data!$A187,Haver_M!$B$1:$B$1000,0),MATCH(data!P$1,Haver_M!$B$1:$ZN$1,0))),INDEX(Haver_M!$B$1:$ZN$1000,MATCH(data!$A187,Haver_M!$B$1:$B$1000,0),MATCH(data!P$1,Haver_M!$B$1:$ZN$1,0)),"na")</f>
        <v>87.594099999999997</v>
      </c>
      <c r="Q187">
        <f>IF(ISNUMBER(INDEX(Haver_M!$B$1:$ZN$1000,MATCH(data!$A187,Haver_M!$B$1:$B$1000,0),MATCH(data!Q$1,Haver_M!$B$1:$ZN$1,0))),INDEX(Haver_M!$B$1:$ZN$1000,MATCH(data!$A187,Haver_M!$B$1:$B$1000,0),MATCH(data!Q$1,Haver_M!$B$1:$ZN$1,0)),"na")</f>
        <v>89.095500000000001</v>
      </c>
      <c r="R187">
        <f>IF(ISNUMBER(INDEX(Haver_M!$B$1:$ZN$1000,MATCH(data!$A187,Haver_M!$B$1:$B$1000,0),MATCH(data!R$1,Haver_M!$B$1:$ZN$1,0))),INDEX(Haver_M!$B$1:$ZN$1000,MATCH(data!$A187,Haver_M!$B$1:$B$1000,0),MATCH(data!R$1,Haver_M!$B$1:$ZN$1,0)),"na")</f>
        <v>103.1502</v>
      </c>
      <c r="S187">
        <f>IF(ISNUMBER(INDEX(Haver_M!$B$1:$ZN$1000,MATCH(data!$A187,Haver_M!$B$1:$B$1000,0),MATCH(data!S$1,Haver_M!$B$1:$ZN$1,0))),INDEX(Haver_M!$B$1:$ZN$1000,MATCH(data!$A187,Haver_M!$B$1:$B$1000,0),MATCH(data!S$1,Haver_M!$B$1:$ZN$1,0)),"na")</f>
        <v>93.512299999999996</v>
      </c>
      <c r="T187">
        <f>IF(ISNUMBER(INDEX(Haver_M!$B$1:$ZN$1000,MATCH(data!$A187,Haver_M!$B$1:$B$1000,0),MATCH(data!T$1,Haver_M!$B$1:$ZN$1,0))),INDEX(Haver_M!$B$1:$ZN$1000,MATCH(data!$A187,Haver_M!$B$1:$B$1000,0),MATCH(data!T$1,Haver_M!$B$1:$ZN$1,0)),"na")</f>
        <v>107.907</v>
      </c>
      <c r="U187">
        <f>IF(ISNUMBER(INDEX(Haver_M!$B$1:$ZN$1000,MATCH(data!$A187,Haver_M!$B$1:$B$1000,0),MATCH(data!U$1,Haver_M!$B$1:$ZN$1,0))),INDEX(Haver_M!$B$1:$ZN$1000,MATCH(data!$A187,Haver_M!$B$1:$B$1000,0),MATCH(data!U$1,Haver_M!$B$1:$ZN$1,0)),"na")</f>
        <v>104.2796</v>
      </c>
      <c r="V187">
        <f>IF(ISNUMBER(INDEX(Haver_M!$B$1:$ZN$1000,MATCH(data!$A187,Haver_M!$B$1:$B$1000,0),MATCH(data!V$1,Haver_M!$B$1:$ZN$1,0))),INDEX(Haver_M!$B$1:$ZN$1000,MATCH(data!$A187,Haver_M!$B$1:$B$1000,0),MATCH(data!V$1,Haver_M!$B$1:$ZN$1,0)),"na")</f>
        <v>106.6044</v>
      </c>
      <c r="W187">
        <f>IF(ISNUMBER(INDEX(Haver_M!$B$1:$ZN$1000,MATCH(data!$A187,Haver_M!$B$1:$B$1000,0),MATCH(data!W$1,Haver_M!$B$1:$ZN$1,0))),INDEX(Haver_M!$B$1:$ZN$1000,MATCH(data!$A187,Haver_M!$B$1:$B$1000,0),MATCH(data!W$1,Haver_M!$B$1:$ZN$1,0)),"na")</f>
        <v>4.41</v>
      </c>
      <c r="X187">
        <f>IF(ISNUMBER(INDEX(Haver_M!$B$1:$ZN$1000,MATCH(data!$A187,Haver_M!$B$1:$B$1000,0),MATCH(data!X$1,Haver_M!$B$1:$ZN$1,0))),INDEX(Haver_M!$B$1:$ZN$1000,MATCH(data!$A187,Haver_M!$B$1:$B$1000,0),MATCH(data!X$1,Haver_M!$B$1:$ZN$1,0)),"na")</f>
        <v>101.28</v>
      </c>
      <c r="Y187">
        <f>IF(ISNUMBER(INDEX(Haver_M!$B$1:$ZN$1000,MATCH(data!$A187,Haver_M!$B$1:$B$1000,0),MATCH(data!Y$1,Haver_M!$B$1:$ZN$1,0))),INDEX(Haver_M!$B$1:$ZN$1000,MATCH(data!$A187,Haver_M!$B$1:$B$1000,0),MATCH(data!Y$1,Haver_M!$B$1:$ZN$1,0)),"na")</f>
        <v>100.48</v>
      </c>
      <c r="Z187">
        <f>IF(ISNUMBER(INDEX(Haver_M!$B$1:$ZN$1000,MATCH(data!$A187,Haver_M!$B$1:$B$1000,0),MATCH(data!Z$1,Haver_M!$B$1:$ZN$1,0))),INDEX(Haver_M!$B$1:$ZN$1000,MATCH(data!$A187,Haver_M!$B$1:$B$1000,0),MATCH(data!Z$1,Haver_M!$B$1:$ZN$1,0)),"na")</f>
        <v>105.9567</v>
      </c>
      <c r="AA187">
        <f>IF(ISNUMBER(INDEX(Haver_M!$B$1:$ZN$1000,MATCH(data!$A187,Haver_M!$B$1:$B$1000,0),MATCH(data!AA$1,Haver_M!$B$1:$ZN$1,0))),INDEX(Haver_M!$B$1:$ZN$1000,MATCH(data!$A187,Haver_M!$B$1:$B$1000,0),MATCH(data!AA$1,Haver_M!$B$1:$ZN$1,0)),"na")</f>
        <v>105.8629</v>
      </c>
      <c r="AB187">
        <f>IF(ISNUMBER(INDEX(Haver_M!$B$1:$ZN$1000,MATCH(data!$A187,Haver_M!$B$1:$B$1000,0),MATCH(data!AB$1,Haver_M!$B$1:$ZN$1,0))),INDEX(Haver_M!$B$1:$ZN$1000,MATCH(data!$A187,Haver_M!$B$1:$B$1000,0),MATCH(data!AB$1,Haver_M!$B$1:$ZN$1,0)),"na")</f>
        <v>32180.7</v>
      </c>
      <c r="AC187">
        <f>IF(ISNUMBER(INDEX(Haver_M!$B$1:$ZN$1000,MATCH(data!$A187,Haver_M!$B$1:$B$1000,0),MATCH(data!AC$1,Haver_M!$B$1:$ZN$1,0))),INDEX(Haver_M!$B$1:$ZN$1000,MATCH(data!$A187,Haver_M!$B$1:$B$1000,0),MATCH(data!AC$1,Haver_M!$B$1:$ZN$1,0)),"na")</f>
        <v>33701.800000000003</v>
      </c>
      <c r="AD187">
        <f>IF(ISNUMBER(INDEX(Haver_M!$B$1:$ZN$1000,MATCH(data!$A187,Haver_M!$B$1:$B$1000,0),MATCH(data!AD$1,Haver_M!$B$1:$ZN$1,0))),INDEX(Haver_M!$B$1:$ZN$1000,MATCH(data!$A187,Haver_M!$B$1:$B$1000,0),MATCH(data!AD$1,Haver_M!$B$1:$ZN$1,0)),"na")</f>
        <v>100.05</v>
      </c>
      <c r="AE187">
        <f>IF(ISNUMBER(INDEX(Haver_M!$B$1:$ZN$1000,MATCH(data!$A187,Haver_M!$B$1:$B$1000,0),MATCH(data!AE$1,Haver_M!$B$1:$ZN$1,0))),INDEX(Haver_M!$B$1:$ZN$1000,MATCH(data!$A187,Haver_M!$B$1:$B$1000,0),MATCH(data!AE$1,Haver_M!$B$1:$ZN$1,0)),"na")</f>
        <v>38.5</v>
      </c>
      <c r="AF187">
        <f>IF(ISNUMBER(INDEX(Haver_M!$B$1:$ZN$1000,MATCH(data!$A187,Haver_M!$B$1:$B$1000,0),MATCH(data!AF$1,Haver_M!$B$1:$ZN$1,0))),INDEX(Haver_M!$B$1:$ZN$1000,MATCH(data!$A187,Haver_M!$B$1:$B$1000,0),MATCH(data!AF$1,Haver_M!$B$1:$ZN$1,0)),"na")</f>
        <v>99.28</v>
      </c>
      <c r="AG187">
        <f>IF(ISNUMBER(INDEX(Haver_M!$B$1:$ZN$1000,MATCH(data!$A187,Haver_M!$B$1:$B$1000,0),MATCH(data!AG$1,Haver_M!$B$1:$ZN$1,0))),INDEX(Haver_M!$B$1:$ZN$1000,MATCH(data!$A187,Haver_M!$B$1:$B$1000,0),MATCH(data!AG$1,Haver_M!$B$1:$ZN$1,0)),"na")</f>
        <v>51.965600000000002</v>
      </c>
      <c r="AH187">
        <f>IF(ISNUMBER(INDEX(Haver_M!$B$1:$ZN$1000,MATCH(data!$A187,Haver_M!$B$1:$B$1000,0),MATCH(data!AH$1,Haver_M!$B$1:$ZN$1,0))),INDEX(Haver_M!$B$1:$ZN$1000,MATCH(data!$A187,Haver_M!$B$1:$B$1000,0),MATCH(data!AH$1,Haver_M!$B$1:$ZN$1,0)),"na")</f>
        <v>52.310200000000002</v>
      </c>
      <c r="AI187">
        <f>IF(ISNUMBER(INDEX(Haver_M!$B$1:$ZN$1000,MATCH(data!$A187,Haver_M!$B$1:$B$1000,0),MATCH(data!AI$1,Haver_M!$B$1:$ZN$1,0))),INDEX(Haver_M!$B$1:$ZN$1000,MATCH(data!$A187,Haver_M!$B$1:$B$1000,0),MATCH(data!AI$1,Haver_M!$B$1:$ZN$1,0)),"na")</f>
        <v>53.061199999999999</v>
      </c>
      <c r="AJ187">
        <f>IF(ISNUMBER(INDEX(Haver_M!$B$1:$ZN$1000,MATCH(data!$A187,Haver_M!$B$1:$B$1000,0),MATCH(data!AJ$1,Haver_M!$B$1:$ZN$1,0))),INDEX(Haver_M!$B$1:$ZN$1000,MATCH(data!$A187,Haver_M!$B$1:$B$1000,0),MATCH(data!AJ$1,Haver_M!$B$1:$ZN$1,0)),"na")</f>
        <v>50.996699999999997</v>
      </c>
      <c r="AK187">
        <f>IF(ISNUMBER(INDEX(Haver_M!$B$1:$ZN$1000,MATCH(data!$A187,Haver_M!$B$1:$B$1000,0),MATCH(data!AK$1,Haver_M!$B$1:$ZN$1,0))),INDEX(Haver_M!$B$1:$ZN$1000,MATCH(data!$A187,Haver_M!$B$1:$B$1000,0),MATCH(data!AK$1,Haver_M!$B$1:$ZN$1,0)),"na")</f>
        <v>49.681800000000003</v>
      </c>
      <c r="AL187">
        <f>IF(ISNUMBER(INDEX(Haver_M!$B$1:$ZN$1000,MATCH(data!$A187,Haver_M!$B$1:$B$1000,0),MATCH(data!AL$1,Haver_M!$B$1:$ZN$1,0))),INDEX(Haver_M!$B$1:$ZN$1000,MATCH(data!$A187,Haver_M!$B$1:$B$1000,0),MATCH(data!AL$1,Haver_M!$B$1:$ZN$1,0)),"na")</f>
        <v>52.225999999999999</v>
      </c>
      <c r="AM187">
        <f>IF(ISNUMBER(INDEX(Haver_M!$B$1:$ZN$1000,MATCH(data!$A187,Haver_M!$B$1:$B$1000,0),MATCH(data!AM$1,Haver_M!$B$1:$ZN$1,0))),INDEX(Haver_M!$B$1:$ZN$1000,MATCH(data!$A187,Haver_M!$B$1:$B$1000,0),MATCH(data!AM$1,Haver_M!$B$1:$ZN$1,0)),"na")</f>
        <v>58.517299999999999</v>
      </c>
      <c r="AN187">
        <f>IF(ISNUMBER(INDEX(Haver_M!$B$1:$ZN$1000,MATCH(data!$A187,Haver_M!$B$1:$B$1000,0),MATCH(data!AN$1,Haver_M!$B$1:$ZN$1,0))),INDEX(Haver_M!$B$1:$ZN$1000,MATCH(data!$A187,Haver_M!$B$1:$B$1000,0),MATCH(data!AN$1,Haver_M!$B$1:$ZN$1,0)),"na")</f>
        <v>51.021000000000001</v>
      </c>
      <c r="AO187">
        <f>IF(ISNUMBER(INDEX(Haver_M!$B$1:$ZN$1000,MATCH(data!$A187,Haver_M!$B$1:$B$1000,0),MATCH(data!AO$1,Haver_M!$B$1:$ZN$1,0))),INDEX(Haver_M!$B$1:$ZN$1000,MATCH(data!$A187,Haver_M!$B$1:$B$1000,0),MATCH(data!AO$1,Haver_M!$B$1:$ZN$1,0)),"na")</f>
        <v>52.225999999999999</v>
      </c>
      <c r="AP187">
        <f>IF(ISNUMBER(INDEX(Haver_M!$B$1:$ZN$1000,MATCH(data!$A187,Haver_M!$B$1:$B$1000,0),MATCH(data!AP$1,Haver_M!$B$1:$ZN$1,0))),INDEX(Haver_M!$B$1:$ZN$1000,MATCH(data!$A187,Haver_M!$B$1:$B$1000,0),MATCH(data!AP$1,Haver_M!$B$1:$ZN$1,0)),"na")</f>
        <v>52.104599999999998</v>
      </c>
      <c r="AQ187">
        <f>IF(ISNUMBER(INDEX(Haver_M!$B$1:$ZN$1000,MATCH(data!$A187,Haver_M!$B$1:$B$1000,0),MATCH(data!AQ$1,Haver_M!$B$1:$ZN$1,0))),INDEX(Haver_M!$B$1:$ZN$1000,MATCH(data!$A187,Haver_M!$B$1:$B$1000,0),MATCH(data!AQ$1,Haver_M!$B$1:$ZN$1,0)),"na")</f>
        <v>52.392699999999998</v>
      </c>
      <c r="AR187">
        <f>IF(ISNUMBER(INDEX(Haver_M!$B$1:$ZN$1000,MATCH(data!$A187,Haver_M!$B$1:$B$1000,0),MATCH(data!AR$1,Haver_M!$B$1:$ZN$1,0))),INDEX(Haver_M!$B$1:$ZN$1000,MATCH(data!$A187,Haver_M!$B$1:$B$1000,0),MATCH(data!AR$1,Haver_M!$B$1:$ZN$1,0)),"na")</f>
        <v>49.668900000000001</v>
      </c>
      <c r="AS187">
        <f>IF(ISNUMBER(INDEX(Haver_M!$B$1:$ZN$1000,MATCH(data!$A187,Haver_M!$B$1:$B$1000,0),MATCH(data!AS$1,Haver_M!$B$1:$ZN$1,0))),INDEX(Haver_M!$B$1:$ZN$1000,MATCH(data!$A187,Haver_M!$B$1:$B$1000,0),MATCH(data!AS$1,Haver_M!$B$1:$ZN$1,0)),"na")</f>
        <v>44878.27</v>
      </c>
      <c r="AT187">
        <f>IF(ISNUMBER(INDEX(Haver_M!$B$1:$ZN$1000,MATCH(data!$A187,Haver_M!$B$1:$B$1000,0),MATCH(data!AT$1,Haver_M!$B$1:$ZN$1,0))),INDEX(Haver_M!$B$1:$ZN$1000,MATCH(data!$A187,Haver_M!$B$1:$B$1000,0),MATCH(data!AT$1,Haver_M!$B$1:$ZN$1,0)),"na")</f>
        <v>105.154</v>
      </c>
      <c r="AU187">
        <f>IF(ISNUMBER(INDEX(Haver_M!$B$1:$ZN$1000,MATCH(data!$A187,Haver_M!$B$1:$B$1000,0),MATCH(data!AU$1,Haver_M!$B$1:$ZN$1,0))),INDEX(Haver_M!$B$1:$ZN$1000,MATCH(data!$A187,Haver_M!$B$1:$B$1000,0),MATCH(data!AU$1,Haver_M!$B$1:$ZN$1,0)),"na")</f>
        <v>105.65278499999999</v>
      </c>
      <c r="AV187">
        <f>IF(ISNUMBER(INDEX(Haver_M!$B$1:$ZN$1000,MATCH(data!$A187,Haver_M!$B$1:$B$1000,0),MATCH(data!AV$1,Haver_M!$B$1:$ZN$1,0))),INDEX(Haver_M!$B$1:$ZN$1000,MATCH(data!$A187,Haver_M!$B$1:$B$1000,0),MATCH(data!AV$1,Haver_M!$B$1:$ZN$1,0)),"na")</f>
        <v>109.3</v>
      </c>
      <c r="AW187">
        <f>IF(ISNUMBER(INDEX(Haver_M!$B$1:$ZN$1000,MATCH(data!$A187,Haver_M!$B$1:$B$1000,0),MATCH(data!AW$1,Haver_M!$B$1:$ZN$1,0))),INDEX(Haver_M!$B$1:$ZN$1000,MATCH(data!$A187,Haver_M!$B$1:$B$1000,0),MATCH(data!AW$1,Haver_M!$B$1:$ZN$1,0)),"na")</f>
        <v>1478648.1169347693</v>
      </c>
      <c r="AX187">
        <f>IF(ISNUMBER(INDEX(Haver_M!$B$1:$ZN$1000,MATCH(data!$A187,Haver_M!$B$1:$B$1000,0),MATCH(data!AX$1,Haver_M!$B$1:$ZN$1,0))),INDEX(Haver_M!$B$1:$ZN$1000,MATCH(data!$A187,Haver_M!$B$1:$B$1000,0),MATCH(data!AX$1,Haver_M!$B$1:$ZN$1,0)),"na")</f>
        <v>2244</v>
      </c>
      <c r="AY187">
        <f>IF(ISNUMBER(INDEX(Haver_M!$B$1:$ZN$1000,MATCH(data!$A187,Haver_M!$B$1:$B$1000,0),MATCH(data!AY$1,Haver_M!$B$1:$ZN$1,0))),INDEX(Haver_M!$B$1:$ZN$1000,MATCH(data!$A187,Haver_M!$B$1:$B$1000,0),MATCH(data!AY$1,Haver_M!$B$1:$ZN$1,0)),"na")</f>
        <v>1047</v>
      </c>
      <c r="AZ187">
        <f>IF(ISNUMBER(INDEX(Haver_M!$B$1:$ZN$1000,MATCH(data!$A187,Haver_M!$B$1:$B$1000,0),MATCH(data!AZ$1,Haver_M!$B$1:$ZN$1,0))),INDEX(Haver_M!$B$1:$ZN$1000,MATCH(data!$A187,Haver_M!$B$1:$B$1000,0),MATCH(data!AZ$1,Haver_M!$B$1:$ZN$1,0)),"na")</f>
        <v>53.3</v>
      </c>
      <c r="BA187">
        <f>IF(ISNUMBER(INDEX(Haver_M!$B$1:$ZN$1000,MATCH(data!$A187,Haver_M!$B$1:$B$1000,0),MATCH(data!BA$1,Haver_M!$B$1:$ZN$1,0))),INDEX(Haver_M!$B$1:$ZN$1000,MATCH(data!$A187,Haver_M!$B$1:$B$1000,0),MATCH(data!BA$1,Haver_M!$B$1:$ZN$1,0)),"na")</f>
        <v>32.698208989849292</v>
      </c>
      <c r="BB187" t="str">
        <f>IF(ISNUMBER(INDEX(Haver_M!$B$1:$ZN$1000,MATCH(data!$A187,Haver_M!$B$1:$B$1000,0),MATCH(data!BB$1,Haver_M!$B$1:$ZN$1,0))),INDEX(Haver_M!$B$1:$ZN$1000,MATCH(data!$A187,Haver_M!$B$1:$B$1000,0),MATCH(data!BB$1,Haver_M!$B$1:$ZN$1,0)),"")</f>
        <v/>
      </c>
    </row>
    <row r="188" spans="1:54" x14ac:dyDescent="0.25">
      <c r="A188" s="2">
        <v>42216</v>
      </c>
      <c r="B188" t="str">
        <f>IF(ISNUMBER(INDEX(Haver_Q!$B$1:$BD$1000,MATCH(data!$A188,Haver_Q!$B$1:$B$1000,0),MATCH(data!B$1,Haver_Q!$B$1:$BD$1,0))),100*INDEX(Haver_Q!$B$1:$BD$1000,MATCH(data!$A188,Haver_Q!$B$1:$B$1000,0),MATCH(data!B$1,Haver_Q!$B$1:$BD$1,0)),"na")</f>
        <v>na</v>
      </c>
      <c r="C188" t="str">
        <f>IF(ISNUMBER(INDEX(Haver_Q!$B$1:$BD$1000,MATCH(data!$A188,Haver_Q!$B$1:$B$1000,0),MATCH(data!C$1,Haver_Q!$B$1:$BD$1,0))),100*INDEX(Haver_Q!$B$1:$BD$1000,MATCH(data!$A188,Haver_Q!$B$1:$B$1000,0),MATCH(data!C$1,Haver_Q!$B$1:$BD$1,0)),"na")</f>
        <v>na</v>
      </c>
      <c r="D188" t="str">
        <f>IF(ISNUMBER(INDEX(Haver_Q!$B$1:$BD$1000,MATCH(data!$A188,Haver_Q!$B$1:$B$1000,0),MATCH(data!D$1,Haver_Q!$B$1:$BD$1,0))),100*INDEX(Haver_Q!$B$1:$BD$1000,MATCH(data!$A188,Haver_Q!$B$1:$B$1000,0),MATCH(data!D$1,Haver_Q!$B$1:$BD$1,0)),"na")</f>
        <v>na</v>
      </c>
      <c r="E188" t="str">
        <f>IF(ISNUMBER(INDEX(Haver_Q!$B$1:$BD$1000,MATCH(data!$A188,Haver_Q!$B$1:$B$1000,0),MATCH(data!E$1,Haver_Q!$B$1:$BD$1,0))),100*INDEX(Haver_Q!$B$1:$BD$1000,MATCH(data!$A188,Haver_Q!$B$1:$B$1000,0),MATCH(data!E$1,Haver_Q!$B$1:$BD$1,0)),"na")</f>
        <v>na</v>
      </c>
      <c r="F188" t="str">
        <f>IF(ISNUMBER(INDEX(Haver_Q!$B$1:$BD$1000,MATCH(data!$A188,Haver_Q!$B$1:$B$1000,0),MATCH(data!F$1,Haver_Q!$B$1:$BD$1,0))),100*INDEX(Haver_Q!$B$1:$BD$1000,MATCH(data!$A188,Haver_Q!$B$1:$B$1000,0),MATCH(data!F$1,Haver_Q!$B$1:$BD$1,0)),"na")</f>
        <v>na</v>
      </c>
      <c r="G188" t="str">
        <f>IF(ISNUMBER(INDEX(Haver_Q!$B$1:$BD$1000,MATCH(data!$A188,Haver_Q!$B$1:$B$1000,0),MATCH(data!G$1,Haver_Q!$B$1:$BD$1,0))),100*INDEX(Haver_Q!$B$1:$BD$1000,MATCH(data!$A188,Haver_Q!$B$1:$B$1000,0),MATCH(data!G$1,Haver_Q!$B$1:$BD$1,0)),"na")</f>
        <v>na</v>
      </c>
      <c r="H188" t="str">
        <f>IF(ISNUMBER(INDEX(Haver_Q!$B$1:$BD$1000,MATCH(data!$A188,Haver_Q!$B$1:$B$1000,0),MATCH(data!H$1,Haver_Q!$B$1:$BD$1,0))),100*INDEX(Haver_Q!$B$1:$BD$1000,MATCH(data!$A188,Haver_Q!$B$1:$B$1000,0),MATCH(data!H$1,Haver_Q!$B$1:$BD$1,0)),"na")</f>
        <v>na</v>
      </c>
      <c r="I188" s="3">
        <f>IF(ISNUMBER(Bloomberg_m!C204),Bloomberg_m!C204,"na")</f>
        <v>975</v>
      </c>
      <c r="J188" s="3">
        <f>IF(ISNUMBER(Bloomberg_m!D204),Bloomberg_m!D204,"na")</f>
        <v>1313.86</v>
      </c>
      <c r="K188" s="3">
        <f>IF(ISNUMBER(Bloomberg_m!E204),Bloomberg_m!E204,"na")</f>
        <v>675.17</v>
      </c>
      <c r="L188" s="3">
        <f>IF(ISNUMBER(Bloomberg_m!L204),Bloomberg_m!L204,"na")</f>
        <v>50.9</v>
      </c>
      <c r="M188">
        <f>IF(ISNUMBER(INDEX(Haver_M!$B$1:$ZN$1000,MATCH(data!$A188,Haver_M!$B$1:$B$1000,0),MATCH(data!M$1,Haver_M!$B$1:$ZN$1,0))),INDEX(Haver_M!$B$1:$ZN$1000,MATCH(data!$A188,Haver_M!$B$1:$B$1000,0),MATCH(data!M$1,Haver_M!$B$1:$ZN$1,0)),"na")</f>
        <v>3</v>
      </c>
      <c r="N188">
        <f>IF(ISNUMBER(INDEX(Haver_M!$B$1:$ZN$1000,MATCH(data!$A188,Haver_M!$B$1:$B$1000,0),MATCH(data!N$1,Haver_M!$B$1:$ZN$1,0))),INDEX(Haver_M!$B$1:$ZN$1000,MATCH(data!$A188,Haver_M!$B$1:$B$1000,0),MATCH(data!N$1,Haver_M!$B$1:$ZN$1,0)),"na")</f>
        <v>6.0021000000000004</v>
      </c>
      <c r="O188">
        <f>IF(ISNUMBER(INDEX(Haver_M!$B$1:$ZN$1000,MATCH(data!$A188,Haver_M!$B$1:$B$1000,0),MATCH(data!O$1,Haver_M!$B$1:$ZN$1,0))),INDEX(Haver_M!$B$1:$ZN$1000,MATCH(data!$A188,Haver_M!$B$1:$B$1000,0),MATCH(data!O$1,Haver_M!$B$1:$ZN$1,0)),"na")</f>
        <v>89.421300000000002</v>
      </c>
      <c r="P188">
        <f>IF(ISNUMBER(INDEX(Haver_M!$B$1:$ZN$1000,MATCH(data!$A188,Haver_M!$B$1:$B$1000,0),MATCH(data!P$1,Haver_M!$B$1:$ZN$1,0))),INDEX(Haver_M!$B$1:$ZN$1000,MATCH(data!$A188,Haver_M!$B$1:$B$1000,0),MATCH(data!P$1,Haver_M!$B$1:$ZN$1,0)),"na")</f>
        <v>87.780900000000003</v>
      </c>
      <c r="Q188">
        <f>IF(ISNUMBER(INDEX(Haver_M!$B$1:$ZN$1000,MATCH(data!$A188,Haver_M!$B$1:$B$1000,0),MATCH(data!Q$1,Haver_M!$B$1:$ZN$1,0))),INDEX(Haver_M!$B$1:$ZN$1000,MATCH(data!$A188,Haver_M!$B$1:$B$1000,0),MATCH(data!Q$1,Haver_M!$B$1:$ZN$1,0)),"na")</f>
        <v>89.319299999999998</v>
      </c>
      <c r="R188">
        <f>IF(ISNUMBER(INDEX(Haver_M!$B$1:$ZN$1000,MATCH(data!$A188,Haver_M!$B$1:$B$1000,0),MATCH(data!R$1,Haver_M!$B$1:$ZN$1,0))),INDEX(Haver_M!$B$1:$ZN$1000,MATCH(data!$A188,Haver_M!$B$1:$B$1000,0),MATCH(data!R$1,Haver_M!$B$1:$ZN$1,0)),"na")</f>
        <v>104.491</v>
      </c>
      <c r="S188">
        <f>IF(ISNUMBER(INDEX(Haver_M!$B$1:$ZN$1000,MATCH(data!$A188,Haver_M!$B$1:$B$1000,0),MATCH(data!S$1,Haver_M!$B$1:$ZN$1,0))),INDEX(Haver_M!$B$1:$ZN$1000,MATCH(data!$A188,Haver_M!$B$1:$B$1000,0),MATCH(data!S$1,Haver_M!$B$1:$ZN$1,0)),"na")</f>
        <v>93.522999999999996</v>
      </c>
      <c r="T188">
        <f>IF(ISNUMBER(INDEX(Haver_M!$B$1:$ZN$1000,MATCH(data!$A188,Haver_M!$B$1:$B$1000,0),MATCH(data!T$1,Haver_M!$B$1:$ZN$1,0))),INDEX(Haver_M!$B$1:$ZN$1000,MATCH(data!$A188,Haver_M!$B$1:$B$1000,0),MATCH(data!T$1,Haver_M!$B$1:$ZN$1,0)),"na")</f>
        <v>109.25279999999999</v>
      </c>
      <c r="U188">
        <f>IF(ISNUMBER(INDEX(Haver_M!$B$1:$ZN$1000,MATCH(data!$A188,Haver_M!$B$1:$B$1000,0),MATCH(data!U$1,Haver_M!$B$1:$ZN$1,0))),INDEX(Haver_M!$B$1:$ZN$1000,MATCH(data!$A188,Haver_M!$B$1:$B$1000,0),MATCH(data!U$1,Haver_M!$B$1:$ZN$1,0)),"na")</f>
        <v>108.63420000000001</v>
      </c>
      <c r="V188">
        <f>IF(ISNUMBER(INDEX(Haver_M!$B$1:$ZN$1000,MATCH(data!$A188,Haver_M!$B$1:$B$1000,0),MATCH(data!V$1,Haver_M!$B$1:$ZN$1,0))),INDEX(Haver_M!$B$1:$ZN$1000,MATCH(data!$A188,Haver_M!$B$1:$B$1000,0),MATCH(data!V$1,Haver_M!$B$1:$ZN$1,0)),"na")</f>
        <v>106.76220000000001</v>
      </c>
      <c r="W188">
        <f>IF(ISNUMBER(INDEX(Haver_M!$B$1:$ZN$1000,MATCH(data!$A188,Haver_M!$B$1:$B$1000,0),MATCH(data!W$1,Haver_M!$B$1:$ZN$1,0))),INDEX(Haver_M!$B$1:$ZN$1000,MATCH(data!$A188,Haver_M!$B$1:$B$1000,0),MATCH(data!W$1,Haver_M!$B$1:$ZN$1,0)),"na")</f>
        <v>4.49</v>
      </c>
      <c r="X188">
        <f>IF(ISNUMBER(INDEX(Haver_M!$B$1:$ZN$1000,MATCH(data!$A188,Haver_M!$B$1:$B$1000,0),MATCH(data!X$1,Haver_M!$B$1:$ZN$1,0))),INDEX(Haver_M!$B$1:$ZN$1000,MATCH(data!$A188,Haver_M!$B$1:$B$1000,0),MATCH(data!X$1,Haver_M!$B$1:$ZN$1,0)),"na")</f>
        <v>101.65</v>
      </c>
      <c r="Y188">
        <f>IF(ISNUMBER(INDEX(Haver_M!$B$1:$ZN$1000,MATCH(data!$A188,Haver_M!$B$1:$B$1000,0),MATCH(data!Y$1,Haver_M!$B$1:$ZN$1,0))),INDEX(Haver_M!$B$1:$ZN$1000,MATCH(data!$A188,Haver_M!$B$1:$B$1000,0),MATCH(data!Y$1,Haver_M!$B$1:$ZN$1,0)),"na")</f>
        <v>100.41</v>
      </c>
      <c r="Z188">
        <f>IF(ISNUMBER(INDEX(Haver_M!$B$1:$ZN$1000,MATCH(data!$A188,Haver_M!$B$1:$B$1000,0),MATCH(data!Z$1,Haver_M!$B$1:$ZN$1,0))),INDEX(Haver_M!$B$1:$ZN$1000,MATCH(data!$A188,Haver_M!$B$1:$B$1000,0),MATCH(data!Z$1,Haver_M!$B$1:$ZN$1,0)),"na")</f>
        <v>106.80670000000001</v>
      </c>
      <c r="AA188">
        <f>IF(ISNUMBER(INDEX(Haver_M!$B$1:$ZN$1000,MATCH(data!$A188,Haver_M!$B$1:$B$1000,0),MATCH(data!AA$1,Haver_M!$B$1:$ZN$1,0))),INDEX(Haver_M!$B$1:$ZN$1000,MATCH(data!$A188,Haver_M!$B$1:$B$1000,0),MATCH(data!AA$1,Haver_M!$B$1:$ZN$1,0)),"na")</f>
        <v>107.9318</v>
      </c>
      <c r="AB188">
        <f>IF(ISNUMBER(INDEX(Haver_M!$B$1:$ZN$1000,MATCH(data!$A188,Haver_M!$B$1:$B$1000,0),MATCH(data!AB$1,Haver_M!$B$1:$ZN$1,0))),INDEX(Haver_M!$B$1:$ZN$1000,MATCH(data!$A188,Haver_M!$B$1:$B$1000,0),MATCH(data!AB$1,Haver_M!$B$1:$ZN$1,0)),"na")</f>
        <v>32302.7</v>
      </c>
      <c r="AC188">
        <f>IF(ISNUMBER(INDEX(Haver_M!$B$1:$ZN$1000,MATCH(data!$A188,Haver_M!$B$1:$B$1000,0),MATCH(data!AC$1,Haver_M!$B$1:$ZN$1,0))),INDEX(Haver_M!$B$1:$ZN$1000,MATCH(data!$A188,Haver_M!$B$1:$B$1000,0),MATCH(data!AC$1,Haver_M!$B$1:$ZN$1,0)),"na")</f>
        <v>33285.300000000003</v>
      </c>
      <c r="AD188">
        <f>IF(ISNUMBER(INDEX(Haver_M!$B$1:$ZN$1000,MATCH(data!$A188,Haver_M!$B$1:$B$1000,0),MATCH(data!AD$1,Haver_M!$B$1:$ZN$1,0))),INDEX(Haver_M!$B$1:$ZN$1000,MATCH(data!$A188,Haver_M!$B$1:$B$1000,0),MATCH(data!AD$1,Haver_M!$B$1:$ZN$1,0)),"na")</f>
        <v>100.07</v>
      </c>
      <c r="AE188">
        <f>IF(ISNUMBER(INDEX(Haver_M!$B$1:$ZN$1000,MATCH(data!$A188,Haver_M!$B$1:$B$1000,0),MATCH(data!AE$1,Haver_M!$B$1:$ZN$1,0))),INDEX(Haver_M!$B$1:$ZN$1000,MATCH(data!$A188,Haver_M!$B$1:$B$1000,0),MATCH(data!AE$1,Haver_M!$B$1:$ZN$1,0)),"na")</f>
        <v>37.6</v>
      </c>
      <c r="AF188">
        <f>IF(ISNUMBER(INDEX(Haver_M!$B$1:$ZN$1000,MATCH(data!$A188,Haver_M!$B$1:$B$1000,0),MATCH(data!AF$1,Haver_M!$B$1:$ZN$1,0))),INDEX(Haver_M!$B$1:$ZN$1000,MATCH(data!$A188,Haver_M!$B$1:$B$1000,0),MATCH(data!AF$1,Haver_M!$B$1:$ZN$1,0)),"na")</f>
        <v>99.29</v>
      </c>
      <c r="AG188">
        <f>IF(ISNUMBER(INDEX(Haver_M!$B$1:$ZN$1000,MATCH(data!$A188,Haver_M!$B$1:$B$1000,0),MATCH(data!AG$1,Haver_M!$B$1:$ZN$1,0))),INDEX(Haver_M!$B$1:$ZN$1000,MATCH(data!$A188,Haver_M!$B$1:$B$1000,0),MATCH(data!AG$1,Haver_M!$B$1:$ZN$1,0)),"na")</f>
        <v>52.941000000000003</v>
      </c>
      <c r="AH188">
        <f>IF(ISNUMBER(INDEX(Haver_M!$B$1:$ZN$1000,MATCH(data!$A188,Haver_M!$B$1:$B$1000,0),MATCH(data!AH$1,Haver_M!$B$1:$ZN$1,0))),INDEX(Haver_M!$B$1:$ZN$1000,MATCH(data!$A188,Haver_M!$B$1:$B$1000,0),MATCH(data!AH$1,Haver_M!$B$1:$ZN$1,0)),"na")</f>
        <v>53.257300000000001</v>
      </c>
      <c r="AI188">
        <f>IF(ISNUMBER(INDEX(Haver_M!$B$1:$ZN$1000,MATCH(data!$A188,Haver_M!$B$1:$B$1000,0),MATCH(data!AI$1,Haver_M!$B$1:$ZN$1,0))),INDEX(Haver_M!$B$1:$ZN$1000,MATCH(data!$A188,Haver_M!$B$1:$B$1000,0),MATCH(data!AI$1,Haver_M!$B$1:$ZN$1,0)),"na")</f>
        <v>54.7879</v>
      </c>
      <c r="AJ188">
        <f>IF(ISNUMBER(INDEX(Haver_M!$B$1:$ZN$1000,MATCH(data!$A188,Haver_M!$B$1:$B$1000,0),MATCH(data!AJ$1,Haver_M!$B$1:$ZN$1,0))),INDEX(Haver_M!$B$1:$ZN$1000,MATCH(data!$A188,Haver_M!$B$1:$B$1000,0),MATCH(data!AJ$1,Haver_M!$B$1:$ZN$1,0)),"na")</f>
        <v>52.442999999999998</v>
      </c>
      <c r="AK188">
        <f>IF(ISNUMBER(INDEX(Haver_M!$B$1:$ZN$1000,MATCH(data!$A188,Haver_M!$B$1:$B$1000,0),MATCH(data!AK$1,Haver_M!$B$1:$ZN$1,0))),INDEX(Haver_M!$B$1:$ZN$1000,MATCH(data!$A188,Haver_M!$B$1:$B$1000,0),MATCH(data!AK$1,Haver_M!$B$1:$ZN$1,0)),"na")</f>
        <v>50.162300000000002</v>
      </c>
      <c r="AL188">
        <f>IF(ISNUMBER(INDEX(Haver_M!$B$1:$ZN$1000,MATCH(data!$A188,Haver_M!$B$1:$B$1000,0),MATCH(data!AL$1,Haver_M!$B$1:$ZN$1,0))),INDEX(Haver_M!$B$1:$ZN$1000,MATCH(data!$A188,Haver_M!$B$1:$B$1000,0),MATCH(data!AL$1,Haver_M!$B$1:$ZN$1,0)),"na")</f>
        <v>52.260899999999999</v>
      </c>
      <c r="AM188">
        <f>IF(ISNUMBER(INDEX(Haver_M!$B$1:$ZN$1000,MATCH(data!$A188,Haver_M!$B$1:$B$1000,0),MATCH(data!AM$1,Haver_M!$B$1:$ZN$1,0))),INDEX(Haver_M!$B$1:$ZN$1000,MATCH(data!$A188,Haver_M!$B$1:$B$1000,0),MATCH(data!AM$1,Haver_M!$B$1:$ZN$1,0)),"na")</f>
        <v>58.279200000000003</v>
      </c>
      <c r="AN188">
        <f>IF(ISNUMBER(INDEX(Haver_M!$B$1:$ZN$1000,MATCH(data!$A188,Haver_M!$B$1:$B$1000,0),MATCH(data!AN$1,Haver_M!$B$1:$ZN$1,0))),INDEX(Haver_M!$B$1:$ZN$1000,MATCH(data!$A188,Haver_M!$B$1:$B$1000,0),MATCH(data!AN$1,Haver_M!$B$1:$ZN$1,0)),"na")</f>
        <v>54.085000000000001</v>
      </c>
      <c r="AO188">
        <f>IF(ISNUMBER(INDEX(Haver_M!$B$1:$ZN$1000,MATCH(data!$A188,Haver_M!$B$1:$B$1000,0),MATCH(data!AO$1,Haver_M!$B$1:$ZN$1,0))),INDEX(Haver_M!$B$1:$ZN$1000,MATCH(data!$A188,Haver_M!$B$1:$B$1000,0),MATCH(data!AO$1,Haver_M!$B$1:$ZN$1,0)),"na")</f>
        <v>52.260899999999999</v>
      </c>
      <c r="AP188">
        <f>IF(ISNUMBER(INDEX(Haver_M!$B$1:$ZN$1000,MATCH(data!$A188,Haver_M!$B$1:$B$1000,0),MATCH(data!AP$1,Haver_M!$B$1:$ZN$1,0))),INDEX(Haver_M!$B$1:$ZN$1000,MATCH(data!$A188,Haver_M!$B$1:$B$1000,0),MATCH(data!AP$1,Haver_M!$B$1:$ZN$1,0)),"na")</f>
        <v>55.6738</v>
      </c>
      <c r="AQ188">
        <f>IF(ISNUMBER(INDEX(Haver_M!$B$1:$ZN$1000,MATCH(data!$A188,Haver_M!$B$1:$B$1000,0),MATCH(data!AQ$1,Haver_M!$B$1:$ZN$1,0))),INDEX(Haver_M!$B$1:$ZN$1000,MATCH(data!$A188,Haver_M!$B$1:$B$1000,0),MATCH(data!AQ$1,Haver_M!$B$1:$ZN$1,0)),"na")</f>
        <v>53.745899999999999</v>
      </c>
      <c r="AR188">
        <f>IF(ISNUMBER(INDEX(Haver_M!$B$1:$ZN$1000,MATCH(data!$A188,Haver_M!$B$1:$B$1000,0),MATCH(data!AR$1,Haver_M!$B$1:$ZN$1,0))),INDEX(Haver_M!$B$1:$ZN$1000,MATCH(data!$A188,Haver_M!$B$1:$B$1000,0),MATCH(data!AR$1,Haver_M!$B$1:$ZN$1,0)),"na")</f>
        <v>49.7059</v>
      </c>
      <c r="AS188">
        <f>IF(ISNUMBER(INDEX(Haver_M!$B$1:$ZN$1000,MATCH(data!$A188,Haver_M!$B$1:$B$1000,0),MATCH(data!AS$1,Haver_M!$B$1:$ZN$1,0))),INDEX(Haver_M!$B$1:$ZN$1000,MATCH(data!$A188,Haver_M!$B$1:$B$1000,0),MATCH(data!AS$1,Haver_M!$B$1:$ZN$1,0)),"na")</f>
        <v>44831.46</v>
      </c>
      <c r="AT188">
        <f>IF(ISNUMBER(INDEX(Haver_M!$B$1:$ZN$1000,MATCH(data!$A188,Haver_M!$B$1:$B$1000,0),MATCH(data!AT$1,Haver_M!$B$1:$ZN$1,0))),INDEX(Haver_M!$B$1:$ZN$1000,MATCH(data!$A188,Haver_M!$B$1:$B$1000,0),MATCH(data!AT$1,Haver_M!$B$1:$ZN$1,0)),"na")</f>
        <v>104.80200000000001</v>
      </c>
      <c r="AU188">
        <f>IF(ISNUMBER(INDEX(Haver_M!$B$1:$ZN$1000,MATCH(data!$A188,Haver_M!$B$1:$B$1000,0),MATCH(data!AU$1,Haver_M!$B$1:$ZN$1,0))),INDEX(Haver_M!$B$1:$ZN$1000,MATCH(data!$A188,Haver_M!$B$1:$B$1000,0),MATCH(data!AU$1,Haver_M!$B$1:$ZN$1,0)),"na")</f>
        <v>106.48936999999999</v>
      </c>
      <c r="AV188">
        <f>IF(ISNUMBER(INDEX(Haver_M!$B$1:$ZN$1000,MATCH(data!$A188,Haver_M!$B$1:$B$1000,0),MATCH(data!AV$1,Haver_M!$B$1:$ZN$1,0))),INDEX(Haver_M!$B$1:$ZN$1000,MATCH(data!$A188,Haver_M!$B$1:$B$1000,0),MATCH(data!AV$1,Haver_M!$B$1:$ZN$1,0)),"na")</f>
        <v>111.3</v>
      </c>
      <c r="AW188">
        <f>IF(ISNUMBER(INDEX(Haver_M!$B$1:$ZN$1000,MATCH(data!$A188,Haver_M!$B$1:$B$1000,0),MATCH(data!AW$1,Haver_M!$B$1:$ZN$1,0))),INDEX(Haver_M!$B$1:$ZN$1000,MATCH(data!$A188,Haver_M!$B$1:$B$1000,0),MATCH(data!AW$1,Haver_M!$B$1:$ZN$1,0)),"na")</f>
        <v>1473610.8566932457</v>
      </c>
      <c r="AX188">
        <f>IF(ISNUMBER(INDEX(Haver_M!$B$1:$ZN$1000,MATCH(data!$A188,Haver_M!$B$1:$B$1000,0),MATCH(data!AX$1,Haver_M!$B$1:$ZN$1,0))),INDEX(Haver_M!$B$1:$ZN$1000,MATCH(data!$A188,Haver_M!$B$1:$B$1000,0),MATCH(data!AX$1,Haver_M!$B$1:$ZN$1,0)),"na")</f>
        <v>2275</v>
      </c>
      <c r="AY188">
        <f>IF(ISNUMBER(INDEX(Haver_M!$B$1:$ZN$1000,MATCH(data!$A188,Haver_M!$B$1:$B$1000,0),MATCH(data!AY$1,Haver_M!$B$1:$ZN$1,0))),INDEX(Haver_M!$B$1:$ZN$1000,MATCH(data!$A188,Haver_M!$B$1:$B$1000,0),MATCH(data!AY$1,Haver_M!$B$1:$ZN$1,0)),"na")</f>
        <v>1187</v>
      </c>
      <c r="AZ188">
        <f>IF(ISNUMBER(INDEX(Haver_M!$B$1:$ZN$1000,MATCH(data!$A188,Haver_M!$B$1:$B$1000,0),MATCH(data!AZ$1,Haver_M!$B$1:$ZN$1,0))),INDEX(Haver_M!$B$1:$ZN$1000,MATCH(data!$A188,Haver_M!$B$1:$B$1000,0),MATCH(data!AZ$1,Haver_M!$B$1:$ZN$1,0)),"na")</f>
        <v>53.6</v>
      </c>
      <c r="BA188">
        <f>IF(ISNUMBER(INDEX(Haver_M!$B$1:$ZN$1000,MATCH(data!$A188,Haver_M!$B$1:$B$1000,0),MATCH(data!BA$1,Haver_M!$B$1:$ZN$1,0))),INDEX(Haver_M!$B$1:$ZN$1000,MATCH(data!$A188,Haver_M!$B$1:$B$1000,0),MATCH(data!BA$1,Haver_M!$B$1:$ZN$1,0)),"na")</f>
        <v>51.963805064611499</v>
      </c>
      <c r="BB188" t="str">
        <f>IF(ISNUMBER(INDEX(Haver_M!$B$1:$ZN$1000,MATCH(data!$A188,Haver_M!$B$1:$B$1000,0),MATCH(data!BB$1,Haver_M!$B$1:$ZN$1,0))),INDEX(Haver_M!$B$1:$ZN$1000,MATCH(data!$A188,Haver_M!$B$1:$B$1000,0),MATCH(data!BB$1,Haver_M!$B$1:$ZN$1,0)),"")</f>
        <v/>
      </c>
    </row>
    <row r="189" spans="1:54" x14ac:dyDescent="0.25">
      <c r="A189" s="2">
        <v>42247</v>
      </c>
      <c r="B189" t="str">
        <f>IF(ISNUMBER(INDEX(Haver_Q!$B$1:$BD$1000,MATCH(data!$A189,Haver_Q!$B$1:$B$1000,0),MATCH(data!B$1,Haver_Q!$B$1:$BD$1,0))),100*INDEX(Haver_Q!$B$1:$BD$1000,MATCH(data!$A189,Haver_Q!$B$1:$B$1000,0),MATCH(data!B$1,Haver_Q!$B$1:$BD$1,0)),"na")</f>
        <v>na</v>
      </c>
      <c r="C189" t="str">
        <f>IF(ISNUMBER(INDEX(Haver_Q!$B$1:$BD$1000,MATCH(data!$A189,Haver_Q!$B$1:$B$1000,0),MATCH(data!C$1,Haver_Q!$B$1:$BD$1,0))),100*INDEX(Haver_Q!$B$1:$BD$1000,MATCH(data!$A189,Haver_Q!$B$1:$B$1000,0),MATCH(data!C$1,Haver_Q!$B$1:$BD$1,0)),"na")</f>
        <v>na</v>
      </c>
      <c r="D189" t="str">
        <f>IF(ISNUMBER(INDEX(Haver_Q!$B$1:$BD$1000,MATCH(data!$A189,Haver_Q!$B$1:$B$1000,0),MATCH(data!D$1,Haver_Q!$B$1:$BD$1,0))),100*INDEX(Haver_Q!$B$1:$BD$1000,MATCH(data!$A189,Haver_Q!$B$1:$B$1000,0),MATCH(data!D$1,Haver_Q!$B$1:$BD$1,0)),"na")</f>
        <v>na</v>
      </c>
      <c r="E189" t="str">
        <f>IF(ISNUMBER(INDEX(Haver_Q!$B$1:$BD$1000,MATCH(data!$A189,Haver_Q!$B$1:$B$1000,0),MATCH(data!E$1,Haver_Q!$B$1:$BD$1,0))),100*INDEX(Haver_Q!$B$1:$BD$1000,MATCH(data!$A189,Haver_Q!$B$1:$B$1000,0),MATCH(data!E$1,Haver_Q!$B$1:$BD$1,0)),"na")</f>
        <v>na</v>
      </c>
      <c r="F189" t="str">
        <f>IF(ISNUMBER(INDEX(Haver_Q!$B$1:$BD$1000,MATCH(data!$A189,Haver_Q!$B$1:$B$1000,0),MATCH(data!F$1,Haver_Q!$B$1:$BD$1,0))),100*INDEX(Haver_Q!$B$1:$BD$1000,MATCH(data!$A189,Haver_Q!$B$1:$B$1000,0),MATCH(data!F$1,Haver_Q!$B$1:$BD$1,0)),"na")</f>
        <v>na</v>
      </c>
      <c r="G189" t="str">
        <f>IF(ISNUMBER(INDEX(Haver_Q!$B$1:$BD$1000,MATCH(data!$A189,Haver_Q!$B$1:$B$1000,0),MATCH(data!G$1,Haver_Q!$B$1:$BD$1,0))),100*INDEX(Haver_Q!$B$1:$BD$1000,MATCH(data!$A189,Haver_Q!$B$1:$B$1000,0),MATCH(data!G$1,Haver_Q!$B$1:$BD$1,0)),"na")</f>
        <v>na</v>
      </c>
      <c r="H189" t="str">
        <f>IF(ISNUMBER(INDEX(Haver_Q!$B$1:$BD$1000,MATCH(data!$A189,Haver_Q!$B$1:$B$1000,0),MATCH(data!H$1,Haver_Q!$B$1:$BD$1,0))),100*INDEX(Haver_Q!$B$1:$BD$1000,MATCH(data!$A189,Haver_Q!$B$1:$B$1000,0),MATCH(data!H$1,Haver_Q!$B$1:$BD$1,0)),"na")</f>
        <v>na</v>
      </c>
      <c r="I189" s="3">
        <f>IF(ISNUMBER(Bloomberg_m!C205),Bloomberg_m!C205,"na")</f>
        <v>1066</v>
      </c>
      <c r="J189" s="3">
        <f>IF(ISNUMBER(Bloomberg_m!D205),Bloomberg_m!D205,"na")</f>
        <v>1461.46</v>
      </c>
      <c r="K189" s="3">
        <f>IF(ISNUMBER(Bloomberg_m!E205),Bloomberg_m!E205,"na")</f>
        <v>715.04</v>
      </c>
      <c r="L189" s="3">
        <f>IF(ISNUMBER(Bloomberg_m!L205),Bloomberg_m!L205,"na")</f>
        <v>42.86</v>
      </c>
      <c r="M189">
        <f>IF(ISNUMBER(INDEX(Haver_M!$B$1:$ZN$1000,MATCH(data!$A189,Haver_M!$B$1:$B$1000,0),MATCH(data!M$1,Haver_M!$B$1:$ZN$1,0))),INDEX(Haver_M!$B$1:$ZN$1000,MATCH(data!$A189,Haver_M!$B$1:$B$1000,0),MATCH(data!M$1,Haver_M!$B$1:$ZN$1,0)),"na")</f>
        <v>3</v>
      </c>
      <c r="N189">
        <f>IF(ISNUMBER(INDEX(Haver_M!$B$1:$ZN$1000,MATCH(data!$A189,Haver_M!$B$1:$B$1000,0),MATCH(data!N$1,Haver_M!$B$1:$ZN$1,0))),INDEX(Haver_M!$B$1:$ZN$1000,MATCH(data!$A189,Haver_M!$B$1:$B$1000,0),MATCH(data!N$1,Haver_M!$B$1:$ZN$1,0)),"na")</f>
        <v>5.9907000000000004</v>
      </c>
      <c r="O189">
        <f>IF(ISNUMBER(INDEX(Haver_M!$B$1:$ZN$1000,MATCH(data!$A189,Haver_M!$B$1:$B$1000,0),MATCH(data!O$1,Haver_M!$B$1:$ZN$1,0))),INDEX(Haver_M!$B$1:$ZN$1000,MATCH(data!$A189,Haver_M!$B$1:$B$1000,0),MATCH(data!O$1,Haver_M!$B$1:$ZN$1,0)),"na")</f>
        <v>87.099080000000001</v>
      </c>
      <c r="P189">
        <f>IF(ISNUMBER(INDEX(Haver_M!$B$1:$ZN$1000,MATCH(data!$A189,Haver_M!$B$1:$B$1000,0),MATCH(data!P$1,Haver_M!$B$1:$ZN$1,0))),INDEX(Haver_M!$B$1:$ZN$1000,MATCH(data!$A189,Haver_M!$B$1:$B$1000,0),MATCH(data!P$1,Haver_M!$B$1:$ZN$1,0)),"na")</f>
        <v>87.960300000000004</v>
      </c>
      <c r="Q189">
        <f>IF(ISNUMBER(INDEX(Haver_M!$B$1:$ZN$1000,MATCH(data!$A189,Haver_M!$B$1:$B$1000,0),MATCH(data!Q$1,Haver_M!$B$1:$ZN$1,0))),INDEX(Haver_M!$B$1:$ZN$1000,MATCH(data!$A189,Haver_M!$B$1:$B$1000,0),MATCH(data!Q$1,Haver_M!$B$1:$ZN$1,0)),"na")</f>
        <v>89.560299999999998</v>
      </c>
      <c r="R189">
        <f>IF(ISNUMBER(INDEX(Haver_M!$B$1:$ZN$1000,MATCH(data!$A189,Haver_M!$B$1:$B$1000,0),MATCH(data!R$1,Haver_M!$B$1:$ZN$1,0))),INDEX(Haver_M!$B$1:$ZN$1000,MATCH(data!$A189,Haver_M!$B$1:$B$1000,0),MATCH(data!R$1,Haver_M!$B$1:$ZN$1,0)),"na")</f>
        <v>104.6148</v>
      </c>
      <c r="S189">
        <f>IF(ISNUMBER(INDEX(Haver_M!$B$1:$ZN$1000,MATCH(data!$A189,Haver_M!$B$1:$B$1000,0),MATCH(data!S$1,Haver_M!$B$1:$ZN$1,0))),INDEX(Haver_M!$B$1:$ZN$1000,MATCH(data!$A189,Haver_M!$B$1:$B$1000,0),MATCH(data!S$1,Haver_M!$B$1:$ZN$1,0)),"na")</f>
        <v>94.006</v>
      </c>
      <c r="T189">
        <f>IF(ISNUMBER(INDEX(Haver_M!$B$1:$ZN$1000,MATCH(data!$A189,Haver_M!$B$1:$B$1000,0),MATCH(data!T$1,Haver_M!$B$1:$ZN$1,0))),INDEX(Haver_M!$B$1:$ZN$1000,MATCH(data!$A189,Haver_M!$B$1:$B$1000,0),MATCH(data!T$1,Haver_M!$B$1:$ZN$1,0)),"na")</f>
        <v>110.962</v>
      </c>
      <c r="U189">
        <f>IF(ISNUMBER(INDEX(Haver_M!$B$1:$ZN$1000,MATCH(data!$A189,Haver_M!$B$1:$B$1000,0),MATCH(data!U$1,Haver_M!$B$1:$ZN$1,0))),INDEX(Haver_M!$B$1:$ZN$1000,MATCH(data!$A189,Haver_M!$B$1:$B$1000,0),MATCH(data!U$1,Haver_M!$B$1:$ZN$1,0)),"na")</f>
        <v>108.65300000000001</v>
      </c>
      <c r="V189">
        <f>IF(ISNUMBER(INDEX(Haver_M!$B$1:$ZN$1000,MATCH(data!$A189,Haver_M!$B$1:$B$1000,0),MATCH(data!V$1,Haver_M!$B$1:$ZN$1,0))),INDEX(Haver_M!$B$1:$ZN$1000,MATCH(data!$A189,Haver_M!$B$1:$B$1000,0),MATCH(data!V$1,Haver_M!$B$1:$ZN$1,0)),"na")</f>
        <v>107.05070000000001</v>
      </c>
      <c r="W189">
        <f>IF(ISNUMBER(INDEX(Haver_M!$B$1:$ZN$1000,MATCH(data!$A189,Haver_M!$B$1:$B$1000,0),MATCH(data!W$1,Haver_M!$B$1:$ZN$1,0))),INDEX(Haver_M!$B$1:$ZN$1000,MATCH(data!$A189,Haver_M!$B$1:$B$1000,0),MATCH(data!W$1,Haver_M!$B$1:$ZN$1,0)),"na")</f>
        <v>4.38</v>
      </c>
      <c r="X189">
        <f>IF(ISNUMBER(INDEX(Haver_M!$B$1:$ZN$1000,MATCH(data!$A189,Haver_M!$B$1:$B$1000,0),MATCH(data!X$1,Haver_M!$B$1:$ZN$1,0))),INDEX(Haver_M!$B$1:$ZN$1000,MATCH(data!$A189,Haver_M!$B$1:$B$1000,0),MATCH(data!X$1,Haver_M!$B$1:$ZN$1,0)),"na")</f>
        <v>101.51</v>
      </c>
      <c r="Y189">
        <f>IF(ISNUMBER(INDEX(Haver_M!$B$1:$ZN$1000,MATCH(data!$A189,Haver_M!$B$1:$B$1000,0),MATCH(data!Y$1,Haver_M!$B$1:$ZN$1,0))),INDEX(Haver_M!$B$1:$ZN$1000,MATCH(data!$A189,Haver_M!$B$1:$B$1000,0),MATCH(data!Y$1,Haver_M!$B$1:$ZN$1,0)),"na")</f>
        <v>100.34</v>
      </c>
      <c r="Z189">
        <f>IF(ISNUMBER(INDEX(Haver_M!$B$1:$ZN$1000,MATCH(data!$A189,Haver_M!$B$1:$B$1000,0),MATCH(data!Z$1,Haver_M!$B$1:$ZN$1,0))),INDEX(Haver_M!$B$1:$ZN$1000,MATCH(data!$A189,Haver_M!$B$1:$B$1000,0),MATCH(data!Z$1,Haver_M!$B$1:$ZN$1,0)),"na")</f>
        <v>107.9241</v>
      </c>
      <c r="AA189">
        <f>IF(ISNUMBER(INDEX(Haver_M!$B$1:$ZN$1000,MATCH(data!$A189,Haver_M!$B$1:$B$1000,0),MATCH(data!AA$1,Haver_M!$B$1:$ZN$1,0))),INDEX(Haver_M!$B$1:$ZN$1000,MATCH(data!$A189,Haver_M!$B$1:$B$1000,0),MATCH(data!AA$1,Haver_M!$B$1:$ZN$1,0)),"na")</f>
        <v>105.7621</v>
      </c>
      <c r="AB189">
        <f>IF(ISNUMBER(INDEX(Haver_M!$B$1:$ZN$1000,MATCH(data!$A189,Haver_M!$B$1:$B$1000,0),MATCH(data!AB$1,Haver_M!$B$1:$ZN$1,0))),INDEX(Haver_M!$B$1:$ZN$1000,MATCH(data!$A189,Haver_M!$B$1:$B$1000,0),MATCH(data!AB$1,Haver_M!$B$1:$ZN$1,0)),"na")</f>
        <v>31685.5</v>
      </c>
      <c r="AC189">
        <f>IF(ISNUMBER(INDEX(Haver_M!$B$1:$ZN$1000,MATCH(data!$A189,Haver_M!$B$1:$B$1000,0),MATCH(data!AC$1,Haver_M!$B$1:$ZN$1,0))),INDEX(Haver_M!$B$1:$ZN$1000,MATCH(data!$A189,Haver_M!$B$1:$B$1000,0),MATCH(data!AC$1,Haver_M!$B$1:$ZN$1,0)),"na")</f>
        <v>34047.1</v>
      </c>
      <c r="AD189">
        <f>IF(ISNUMBER(INDEX(Haver_M!$B$1:$ZN$1000,MATCH(data!$A189,Haver_M!$B$1:$B$1000,0),MATCH(data!AD$1,Haver_M!$B$1:$ZN$1,0))),INDEX(Haver_M!$B$1:$ZN$1000,MATCH(data!$A189,Haver_M!$B$1:$B$1000,0),MATCH(data!AD$1,Haver_M!$B$1:$ZN$1,0)),"na")</f>
        <v>100.08</v>
      </c>
      <c r="AE189">
        <f>IF(ISNUMBER(INDEX(Haver_M!$B$1:$ZN$1000,MATCH(data!$A189,Haver_M!$B$1:$B$1000,0),MATCH(data!AE$1,Haver_M!$B$1:$ZN$1,0))),INDEX(Haver_M!$B$1:$ZN$1000,MATCH(data!$A189,Haver_M!$B$1:$B$1000,0),MATCH(data!AE$1,Haver_M!$B$1:$ZN$1,0)),"na")</f>
        <v>37.299999999999997</v>
      </c>
      <c r="AF189">
        <f>IF(ISNUMBER(INDEX(Haver_M!$B$1:$ZN$1000,MATCH(data!$A189,Haver_M!$B$1:$B$1000,0),MATCH(data!AF$1,Haver_M!$B$1:$ZN$1,0))),INDEX(Haver_M!$B$1:$ZN$1000,MATCH(data!$A189,Haver_M!$B$1:$B$1000,0),MATCH(data!AF$1,Haver_M!$B$1:$ZN$1,0)),"na")</f>
        <v>99.33</v>
      </c>
      <c r="AG189">
        <f>IF(ISNUMBER(INDEX(Haver_M!$B$1:$ZN$1000,MATCH(data!$A189,Haver_M!$B$1:$B$1000,0),MATCH(data!AG$1,Haver_M!$B$1:$ZN$1,0))),INDEX(Haver_M!$B$1:$ZN$1000,MATCH(data!$A189,Haver_M!$B$1:$B$1000,0),MATCH(data!AG$1,Haver_M!$B$1:$ZN$1,0)),"na")</f>
        <v>52.372700000000002</v>
      </c>
      <c r="AH189">
        <f>IF(ISNUMBER(INDEX(Haver_M!$B$1:$ZN$1000,MATCH(data!$A189,Haver_M!$B$1:$B$1000,0),MATCH(data!AH$1,Haver_M!$B$1:$ZN$1,0))),INDEX(Haver_M!$B$1:$ZN$1000,MATCH(data!$A189,Haver_M!$B$1:$B$1000,0),MATCH(data!AH$1,Haver_M!$B$1:$ZN$1,0)),"na")</f>
        <v>51.183700000000002</v>
      </c>
      <c r="AI189">
        <f>IF(ISNUMBER(INDEX(Haver_M!$B$1:$ZN$1000,MATCH(data!$A189,Haver_M!$B$1:$B$1000,0),MATCH(data!AI$1,Haver_M!$B$1:$ZN$1,0))),INDEX(Haver_M!$B$1:$ZN$1000,MATCH(data!$A189,Haver_M!$B$1:$B$1000,0),MATCH(data!AI$1,Haver_M!$B$1:$ZN$1,0)),"na")</f>
        <v>54.639200000000002</v>
      </c>
      <c r="AJ189">
        <f>IF(ISNUMBER(INDEX(Haver_M!$B$1:$ZN$1000,MATCH(data!$A189,Haver_M!$B$1:$B$1000,0),MATCH(data!AJ$1,Haver_M!$B$1:$ZN$1,0))),INDEX(Haver_M!$B$1:$ZN$1000,MATCH(data!$A189,Haver_M!$B$1:$B$1000,0),MATCH(data!AJ$1,Haver_M!$B$1:$ZN$1,0)),"na")</f>
        <v>53.278700000000001</v>
      </c>
      <c r="AK189">
        <f>IF(ISNUMBER(INDEX(Haver_M!$B$1:$ZN$1000,MATCH(data!$A189,Haver_M!$B$1:$B$1000,0),MATCH(data!AK$1,Haver_M!$B$1:$ZN$1,0))),INDEX(Haver_M!$B$1:$ZN$1000,MATCH(data!$A189,Haver_M!$B$1:$B$1000,0),MATCH(data!AK$1,Haver_M!$B$1:$ZN$1,0)),"na")</f>
        <v>49.688099999999999</v>
      </c>
      <c r="AL189">
        <f>IF(ISNUMBER(INDEX(Haver_M!$B$1:$ZN$1000,MATCH(data!$A189,Haver_M!$B$1:$B$1000,0),MATCH(data!AL$1,Haver_M!$B$1:$ZN$1,0))),INDEX(Haver_M!$B$1:$ZN$1000,MATCH(data!$A189,Haver_M!$B$1:$B$1000,0),MATCH(data!AL$1,Haver_M!$B$1:$ZN$1,0)),"na")</f>
        <v>49.825200000000002</v>
      </c>
      <c r="AM189">
        <f>IF(ISNUMBER(INDEX(Haver_M!$B$1:$ZN$1000,MATCH(data!$A189,Haver_M!$B$1:$B$1000,0),MATCH(data!AM$1,Haver_M!$B$1:$ZN$1,0))),INDEX(Haver_M!$B$1:$ZN$1000,MATCH(data!$A189,Haver_M!$B$1:$B$1000,0),MATCH(data!AM$1,Haver_M!$B$1:$ZN$1,0)),"na")</f>
        <v>62.254899999999999</v>
      </c>
      <c r="AN189">
        <f>IF(ISNUMBER(INDEX(Haver_M!$B$1:$ZN$1000,MATCH(data!$A189,Haver_M!$B$1:$B$1000,0),MATCH(data!AN$1,Haver_M!$B$1:$ZN$1,0))),INDEX(Haver_M!$B$1:$ZN$1000,MATCH(data!$A189,Haver_M!$B$1:$B$1000,0),MATCH(data!AN$1,Haver_M!$B$1:$ZN$1,0)),"na")</f>
        <v>51.470599999999997</v>
      </c>
      <c r="AO189">
        <f>IF(ISNUMBER(INDEX(Haver_M!$B$1:$ZN$1000,MATCH(data!$A189,Haver_M!$B$1:$B$1000,0),MATCH(data!AO$1,Haver_M!$B$1:$ZN$1,0))),INDEX(Haver_M!$B$1:$ZN$1000,MATCH(data!$A189,Haver_M!$B$1:$B$1000,0),MATCH(data!AO$1,Haver_M!$B$1:$ZN$1,0)),"na")</f>
        <v>49.825200000000002</v>
      </c>
      <c r="AP189">
        <f>IF(ISNUMBER(INDEX(Haver_M!$B$1:$ZN$1000,MATCH(data!$A189,Haver_M!$B$1:$B$1000,0),MATCH(data!AP$1,Haver_M!$B$1:$ZN$1,0))),INDEX(Haver_M!$B$1:$ZN$1000,MATCH(data!$A189,Haver_M!$B$1:$B$1000,0),MATCH(data!AP$1,Haver_M!$B$1:$ZN$1,0)),"na")</f>
        <v>54.421799999999998</v>
      </c>
      <c r="AQ189">
        <f>IF(ISNUMBER(INDEX(Haver_M!$B$1:$ZN$1000,MATCH(data!$A189,Haver_M!$B$1:$B$1000,0),MATCH(data!AQ$1,Haver_M!$B$1:$ZN$1,0))),INDEX(Haver_M!$B$1:$ZN$1000,MATCH(data!$A189,Haver_M!$B$1:$B$1000,0),MATCH(data!AQ$1,Haver_M!$B$1:$ZN$1,0)),"na")</f>
        <v>54.590200000000003</v>
      </c>
      <c r="AR189">
        <f>IF(ISNUMBER(INDEX(Haver_M!$B$1:$ZN$1000,MATCH(data!$A189,Haver_M!$B$1:$B$1000,0),MATCH(data!AR$1,Haver_M!$B$1:$ZN$1,0))),INDEX(Haver_M!$B$1:$ZN$1000,MATCH(data!$A189,Haver_M!$B$1:$B$1000,0),MATCH(data!AR$1,Haver_M!$B$1:$ZN$1,0)),"na")</f>
        <v>46.333300000000001</v>
      </c>
      <c r="AS189">
        <f>IF(ISNUMBER(INDEX(Haver_M!$B$1:$ZN$1000,MATCH(data!$A189,Haver_M!$B$1:$B$1000,0),MATCH(data!AS$1,Haver_M!$B$1:$ZN$1,0))),INDEX(Haver_M!$B$1:$ZN$1000,MATCH(data!$A189,Haver_M!$B$1:$B$1000,0),MATCH(data!AS$1,Haver_M!$B$1:$ZN$1,0)),"na")</f>
        <v>43758.25</v>
      </c>
      <c r="AT189">
        <f>IF(ISNUMBER(INDEX(Haver_M!$B$1:$ZN$1000,MATCH(data!$A189,Haver_M!$B$1:$B$1000,0),MATCH(data!AT$1,Haver_M!$B$1:$ZN$1,0))),INDEX(Haver_M!$B$1:$ZN$1000,MATCH(data!$A189,Haver_M!$B$1:$B$1000,0),MATCH(data!AT$1,Haver_M!$B$1:$ZN$1,0)),"na")</f>
        <v>106.655</v>
      </c>
      <c r="AU189">
        <f>IF(ISNUMBER(INDEX(Haver_M!$B$1:$ZN$1000,MATCH(data!$A189,Haver_M!$B$1:$B$1000,0),MATCH(data!AU$1,Haver_M!$B$1:$ZN$1,0))),INDEX(Haver_M!$B$1:$ZN$1000,MATCH(data!$A189,Haver_M!$B$1:$B$1000,0),MATCH(data!AU$1,Haver_M!$B$1:$ZN$1,0)),"na")</f>
        <v>106.643153</v>
      </c>
      <c r="AV189">
        <f>IF(ISNUMBER(INDEX(Haver_M!$B$1:$ZN$1000,MATCH(data!$A189,Haver_M!$B$1:$B$1000,0),MATCH(data!AV$1,Haver_M!$B$1:$ZN$1,0))),INDEX(Haver_M!$B$1:$ZN$1000,MATCH(data!$A189,Haver_M!$B$1:$B$1000,0),MATCH(data!AV$1,Haver_M!$B$1:$ZN$1,0)),"na")</f>
        <v>111</v>
      </c>
      <c r="AW189">
        <f>IF(ISNUMBER(INDEX(Haver_M!$B$1:$ZN$1000,MATCH(data!$A189,Haver_M!$B$1:$B$1000,0),MATCH(data!AW$1,Haver_M!$B$1:$ZN$1,0))),INDEX(Haver_M!$B$1:$ZN$1000,MATCH(data!$A189,Haver_M!$B$1:$B$1000,0),MATCH(data!AW$1,Haver_M!$B$1:$ZN$1,0)),"na")</f>
        <v>1467156.2736726347</v>
      </c>
      <c r="AX189">
        <f>IF(ISNUMBER(INDEX(Haver_M!$B$1:$ZN$1000,MATCH(data!$A189,Haver_M!$B$1:$B$1000,0),MATCH(data!AX$1,Haver_M!$B$1:$ZN$1,0))),INDEX(Haver_M!$B$1:$ZN$1000,MATCH(data!$A189,Haver_M!$B$1:$B$1000,0),MATCH(data!AX$1,Haver_M!$B$1:$ZN$1,0)),"na")</f>
        <v>2252</v>
      </c>
      <c r="AY189">
        <f>IF(ISNUMBER(INDEX(Haver_M!$B$1:$ZN$1000,MATCH(data!$A189,Haver_M!$B$1:$B$1000,0),MATCH(data!AY$1,Haver_M!$B$1:$ZN$1,0))),INDEX(Haver_M!$B$1:$ZN$1000,MATCH(data!$A189,Haver_M!$B$1:$B$1000,0),MATCH(data!AY$1,Haver_M!$B$1:$ZN$1,0)),"na")</f>
        <v>1261</v>
      </c>
      <c r="AZ189">
        <f>IF(ISNUMBER(INDEX(Haver_M!$B$1:$ZN$1000,MATCH(data!$A189,Haver_M!$B$1:$B$1000,0),MATCH(data!AZ$1,Haver_M!$B$1:$ZN$1,0))),INDEX(Haver_M!$B$1:$ZN$1000,MATCH(data!$A189,Haver_M!$B$1:$B$1000,0),MATCH(data!AZ$1,Haver_M!$B$1:$ZN$1,0)),"na")</f>
        <v>51.3</v>
      </c>
      <c r="BA189">
        <f>IF(ISNUMBER(INDEX(Haver_M!$B$1:$ZN$1000,MATCH(data!$A189,Haver_M!$B$1:$B$1000,0),MATCH(data!BA$1,Haver_M!$B$1:$ZN$1,0))),INDEX(Haver_M!$B$1:$ZN$1000,MATCH(data!$A189,Haver_M!$B$1:$B$1000,0),MATCH(data!BA$1,Haver_M!$B$1:$ZN$1,0)),"na")</f>
        <v>47.864978972606153</v>
      </c>
      <c r="BB189" t="str">
        <f>IF(ISNUMBER(INDEX(Haver_M!$B$1:$ZN$1000,MATCH(data!$A189,Haver_M!$B$1:$B$1000,0),MATCH(data!BB$1,Haver_M!$B$1:$ZN$1,0))),INDEX(Haver_M!$B$1:$ZN$1000,MATCH(data!$A189,Haver_M!$B$1:$B$1000,0),MATCH(data!BB$1,Haver_M!$B$1:$ZN$1,0)),"")</f>
        <v/>
      </c>
    </row>
    <row r="190" spans="1:54" x14ac:dyDescent="0.25">
      <c r="A190" s="2">
        <v>42277</v>
      </c>
      <c r="B190">
        <f>IF(ISNUMBER(INDEX(Haver_Q!$B$1:$BD$1000,MATCH(data!$A190,Haver_Q!$B$1:$B$1000,0),MATCH(data!B$1,Haver_Q!$B$1:$BD$1,0))),100*INDEX(Haver_Q!$B$1:$BD$1000,MATCH(data!$A190,Haver_Q!$B$1:$B$1000,0),MATCH(data!B$1,Haver_Q!$B$1:$BD$1,0)),"na")</f>
        <v>4.8808696960678688</v>
      </c>
      <c r="C190">
        <f>IF(ISNUMBER(INDEX(Haver_Q!$B$1:$BD$1000,MATCH(data!$A190,Haver_Q!$B$1:$B$1000,0),MATCH(data!C$1,Haver_Q!$B$1:$BD$1,0))),100*INDEX(Haver_Q!$B$1:$BD$1000,MATCH(data!$A190,Haver_Q!$B$1:$B$1000,0),MATCH(data!C$1,Haver_Q!$B$1:$BD$1,0)),"na")</f>
        <v>-9.4397670871604333E-2</v>
      </c>
      <c r="D190">
        <f>IF(ISNUMBER(INDEX(Haver_Q!$B$1:$BD$1000,MATCH(data!$A190,Haver_Q!$B$1:$B$1000,0),MATCH(data!D$1,Haver_Q!$B$1:$BD$1,0))),100*INDEX(Haver_Q!$B$1:$BD$1000,MATCH(data!$A190,Haver_Q!$B$1:$B$1000,0),MATCH(data!D$1,Haver_Q!$B$1:$BD$1,0)),"na")</f>
        <v>3.737889133269201</v>
      </c>
      <c r="E190">
        <f>IF(ISNUMBER(INDEX(Haver_Q!$B$1:$BD$1000,MATCH(data!$A190,Haver_Q!$B$1:$B$1000,0),MATCH(data!E$1,Haver_Q!$B$1:$BD$1,0))),100*INDEX(Haver_Q!$B$1:$BD$1000,MATCH(data!$A190,Haver_Q!$B$1:$B$1000,0),MATCH(data!E$1,Haver_Q!$B$1:$BD$1,0)),"na")</f>
        <v>13.306137009193231</v>
      </c>
      <c r="F190">
        <f>IF(ISNUMBER(INDEX(Haver_Q!$B$1:$BD$1000,MATCH(data!$A190,Haver_Q!$B$1:$B$1000,0),MATCH(data!F$1,Haver_Q!$B$1:$BD$1,0))),100*INDEX(Haver_Q!$B$1:$BD$1000,MATCH(data!$A190,Haver_Q!$B$1:$B$1000,0),MATCH(data!F$1,Haver_Q!$B$1:$BD$1,0)),"na")</f>
        <v>-0.33458339888953192</v>
      </c>
      <c r="G190">
        <f>IF(ISNUMBER(INDEX(Haver_Q!$B$1:$BD$1000,MATCH(data!$A190,Haver_Q!$B$1:$B$1000,0),MATCH(data!G$1,Haver_Q!$B$1:$BD$1,0))),100*INDEX(Haver_Q!$B$1:$BD$1000,MATCH(data!$A190,Haver_Q!$B$1:$B$1000,0),MATCH(data!G$1,Haver_Q!$B$1:$BD$1,0)),"na")</f>
        <v>6.8911050077081093</v>
      </c>
      <c r="H190">
        <f>IF(ISNUMBER(INDEX(Haver_Q!$B$1:$BD$1000,MATCH(data!$A190,Haver_Q!$B$1:$B$1000,0),MATCH(data!H$1,Haver_Q!$B$1:$BD$1,0))),100*INDEX(Haver_Q!$B$1:$BD$1000,MATCH(data!$A190,Haver_Q!$B$1:$B$1000,0),MATCH(data!H$1,Haver_Q!$B$1:$BD$1,0)),"na")</f>
        <v>346.66353992788947</v>
      </c>
      <c r="I190" s="3">
        <f>IF(ISNUMBER(Bloomberg_m!C206),Bloomberg_m!C206,"na")</f>
        <v>889</v>
      </c>
      <c r="J190" s="3">
        <f>IF(ISNUMBER(Bloomberg_m!D206),Bloomberg_m!D206,"na")</f>
        <v>1261.01</v>
      </c>
      <c r="K190" s="3">
        <f>IF(ISNUMBER(Bloomberg_m!E206),Bloomberg_m!E206,"na")</f>
        <v>646.69000000000005</v>
      </c>
      <c r="L190" s="3">
        <f>IF(ISNUMBER(Bloomberg_m!L206),Bloomberg_m!L206,"na")</f>
        <v>45.45</v>
      </c>
      <c r="M190">
        <f>IF(ISNUMBER(INDEX(Haver_M!$B$1:$ZN$1000,MATCH(data!$A190,Haver_M!$B$1:$B$1000,0),MATCH(data!M$1,Haver_M!$B$1:$ZN$1,0))),INDEX(Haver_M!$B$1:$ZN$1000,MATCH(data!$A190,Haver_M!$B$1:$B$1000,0),MATCH(data!M$1,Haver_M!$B$1:$ZN$1,0)),"na")</f>
        <v>3</v>
      </c>
      <c r="N190">
        <f>IF(ISNUMBER(INDEX(Haver_M!$B$1:$ZN$1000,MATCH(data!$A190,Haver_M!$B$1:$B$1000,0),MATCH(data!N$1,Haver_M!$B$1:$ZN$1,0))),INDEX(Haver_M!$B$1:$ZN$1000,MATCH(data!$A190,Haver_M!$B$1:$B$1000,0),MATCH(data!N$1,Haver_M!$B$1:$ZN$1,0)),"na")</f>
        <v>6.0498000000000003</v>
      </c>
      <c r="O190">
        <f>IF(ISNUMBER(INDEX(Haver_M!$B$1:$ZN$1000,MATCH(data!$A190,Haver_M!$B$1:$B$1000,0),MATCH(data!O$1,Haver_M!$B$1:$ZN$1,0))),INDEX(Haver_M!$B$1:$ZN$1000,MATCH(data!$A190,Haver_M!$B$1:$B$1000,0),MATCH(data!O$1,Haver_M!$B$1:$ZN$1,0)),"na")</f>
        <v>86.152199999999993</v>
      </c>
      <c r="P190">
        <f>IF(ISNUMBER(INDEX(Haver_M!$B$1:$ZN$1000,MATCH(data!$A190,Haver_M!$B$1:$B$1000,0),MATCH(data!P$1,Haver_M!$B$1:$ZN$1,0))),INDEX(Haver_M!$B$1:$ZN$1000,MATCH(data!$A190,Haver_M!$B$1:$B$1000,0),MATCH(data!P$1,Haver_M!$B$1:$ZN$1,0)),"na")</f>
        <v>88.189800000000005</v>
      </c>
      <c r="Q190">
        <f>IF(ISNUMBER(INDEX(Haver_M!$B$1:$ZN$1000,MATCH(data!$A190,Haver_M!$B$1:$B$1000,0),MATCH(data!Q$1,Haver_M!$B$1:$ZN$1,0))),INDEX(Haver_M!$B$1:$ZN$1000,MATCH(data!$A190,Haver_M!$B$1:$B$1000,0),MATCH(data!Q$1,Haver_M!$B$1:$ZN$1,0)),"na")</f>
        <v>89.827600000000004</v>
      </c>
      <c r="R190">
        <f>IF(ISNUMBER(INDEX(Haver_M!$B$1:$ZN$1000,MATCH(data!$A190,Haver_M!$B$1:$B$1000,0),MATCH(data!R$1,Haver_M!$B$1:$ZN$1,0))),INDEX(Haver_M!$B$1:$ZN$1000,MATCH(data!$A190,Haver_M!$B$1:$B$1000,0),MATCH(data!R$1,Haver_M!$B$1:$ZN$1,0)),"na")</f>
        <v>105.97799999999999</v>
      </c>
      <c r="S190">
        <f>IF(ISNUMBER(INDEX(Haver_M!$B$1:$ZN$1000,MATCH(data!$A190,Haver_M!$B$1:$B$1000,0),MATCH(data!S$1,Haver_M!$B$1:$ZN$1,0))),INDEX(Haver_M!$B$1:$ZN$1000,MATCH(data!$A190,Haver_M!$B$1:$B$1000,0),MATCH(data!S$1,Haver_M!$B$1:$ZN$1,0)),"na")</f>
        <v>93.488699999999994</v>
      </c>
      <c r="T190">
        <f>IF(ISNUMBER(INDEX(Haver_M!$B$1:$ZN$1000,MATCH(data!$A190,Haver_M!$B$1:$B$1000,0),MATCH(data!T$1,Haver_M!$B$1:$ZN$1,0))),INDEX(Haver_M!$B$1:$ZN$1000,MATCH(data!$A190,Haver_M!$B$1:$B$1000,0),MATCH(data!T$1,Haver_M!$B$1:$ZN$1,0)),"na")</f>
        <v>111.4697</v>
      </c>
      <c r="U190">
        <f>IF(ISNUMBER(INDEX(Haver_M!$B$1:$ZN$1000,MATCH(data!$A190,Haver_M!$B$1:$B$1000,0),MATCH(data!U$1,Haver_M!$B$1:$ZN$1,0))),INDEX(Haver_M!$B$1:$ZN$1000,MATCH(data!$A190,Haver_M!$B$1:$B$1000,0),MATCH(data!U$1,Haver_M!$B$1:$ZN$1,0)),"na")</f>
        <v>108.8587</v>
      </c>
      <c r="V190">
        <f>IF(ISNUMBER(INDEX(Haver_M!$B$1:$ZN$1000,MATCH(data!$A190,Haver_M!$B$1:$B$1000,0),MATCH(data!V$1,Haver_M!$B$1:$ZN$1,0))),INDEX(Haver_M!$B$1:$ZN$1000,MATCH(data!$A190,Haver_M!$B$1:$B$1000,0),MATCH(data!V$1,Haver_M!$B$1:$ZN$1,0)),"na")</f>
        <v>108.68470000000001</v>
      </c>
      <c r="W190">
        <f>IF(ISNUMBER(INDEX(Haver_M!$B$1:$ZN$1000,MATCH(data!$A190,Haver_M!$B$1:$B$1000,0),MATCH(data!W$1,Haver_M!$B$1:$ZN$1,0))),INDEX(Haver_M!$B$1:$ZN$1000,MATCH(data!$A190,Haver_M!$B$1:$B$1000,0),MATCH(data!W$1,Haver_M!$B$1:$ZN$1,0)),"na")</f>
        <v>4.2</v>
      </c>
      <c r="X190">
        <f>IF(ISNUMBER(INDEX(Haver_M!$B$1:$ZN$1000,MATCH(data!$A190,Haver_M!$B$1:$B$1000,0),MATCH(data!X$1,Haver_M!$B$1:$ZN$1,0))),INDEX(Haver_M!$B$1:$ZN$1000,MATCH(data!$A190,Haver_M!$B$1:$B$1000,0),MATCH(data!X$1,Haver_M!$B$1:$ZN$1,0)),"na")</f>
        <v>101.25</v>
      </c>
      <c r="Y190">
        <f>IF(ISNUMBER(INDEX(Haver_M!$B$1:$ZN$1000,MATCH(data!$A190,Haver_M!$B$1:$B$1000,0),MATCH(data!Y$1,Haver_M!$B$1:$ZN$1,0))),INDEX(Haver_M!$B$1:$ZN$1000,MATCH(data!$A190,Haver_M!$B$1:$B$1000,0),MATCH(data!Y$1,Haver_M!$B$1:$ZN$1,0)),"na")</f>
        <v>100.27</v>
      </c>
      <c r="Z190">
        <f>IF(ISNUMBER(INDEX(Haver_M!$B$1:$ZN$1000,MATCH(data!$A190,Haver_M!$B$1:$B$1000,0),MATCH(data!Z$1,Haver_M!$B$1:$ZN$1,0))),INDEX(Haver_M!$B$1:$ZN$1000,MATCH(data!$A190,Haver_M!$B$1:$B$1000,0),MATCH(data!Z$1,Haver_M!$B$1:$ZN$1,0)),"na")</f>
        <v>106.9423</v>
      </c>
      <c r="AA190">
        <f>IF(ISNUMBER(INDEX(Haver_M!$B$1:$ZN$1000,MATCH(data!$A190,Haver_M!$B$1:$B$1000,0),MATCH(data!AA$1,Haver_M!$B$1:$ZN$1,0))),INDEX(Haver_M!$B$1:$ZN$1000,MATCH(data!$A190,Haver_M!$B$1:$B$1000,0),MATCH(data!AA$1,Haver_M!$B$1:$ZN$1,0)),"na")</f>
        <v>104.62220000000001</v>
      </c>
      <c r="AB190">
        <f>IF(ISNUMBER(INDEX(Haver_M!$B$1:$ZN$1000,MATCH(data!$A190,Haver_M!$B$1:$B$1000,0),MATCH(data!AB$1,Haver_M!$B$1:$ZN$1,0))),INDEX(Haver_M!$B$1:$ZN$1000,MATCH(data!$A190,Haver_M!$B$1:$B$1000,0),MATCH(data!AB$1,Haver_M!$B$1:$ZN$1,0)),"na")</f>
        <v>31383.9</v>
      </c>
      <c r="AC190">
        <f>IF(ISNUMBER(INDEX(Haver_M!$B$1:$ZN$1000,MATCH(data!$A190,Haver_M!$B$1:$B$1000,0),MATCH(data!AC$1,Haver_M!$B$1:$ZN$1,0))),INDEX(Haver_M!$B$1:$ZN$1000,MATCH(data!$A190,Haver_M!$B$1:$B$1000,0),MATCH(data!AC$1,Haver_M!$B$1:$ZN$1,0)),"na")</f>
        <v>32544.1</v>
      </c>
      <c r="AD190">
        <f>IF(ISNUMBER(INDEX(Haver_M!$B$1:$ZN$1000,MATCH(data!$A190,Haver_M!$B$1:$B$1000,0),MATCH(data!AD$1,Haver_M!$B$1:$ZN$1,0))),INDEX(Haver_M!$B$1:$ZN$1000,MATCH(data!$A190,Haver_M!$B$1:$B$1000,0),MATCH(data!AD$1,Haver_M!$B$1:$ZN$1,0)),"na")</f>
        <v>100.07</v>
      </c>
      <c r="AE190">
        <f>IF(ISNUMBER(INDEX(Haver_M!$B$1:$ZN$1000,MATCH(data!$A190,Haver_M!$B$1:$B$1000,0),MATCH(data!AE$1,Haver_M!$B$1:$ZN$1,0))),INDEX(Haver_M!$B$1:$ZN$1000,MATCH(data!$A190,Haver_M!$B$1:$B$1000,0),MATCH(data!AE$1,Haver_M!$B$1:$ZN$1,0)),"na")</f>
        <v>37.5</v>
      </c>
      <c r="AF190">
        <f>IF(ISNUMBER(INDEX(Haver_M!$B$1:$ZN$1000,MATCH(data!$A190,Haver_M!$B$1:$B$1000,0),MATCH(data!AF$1,Haver_M!$B$1:$ZN$1,0))),INDEX(Haver_M!$B$1:$ZN$1000,MATCH(data!$A190,Haver_M!$B$1:$B$1000,0),MATCH(data!AF$1,Haver_M!$B$1:$ZN$1,0)),"na")</f>
        <v>99.39</v>
      </c>
      <c r="AG190">
        <f>IF(ISNUMBER(INDEX(Haver_M!$B$1:$ZN$1000,MATCH(data!$A190,Haver_M!$B$1:$B$1000,0),MATCH(data!AG$1,Haver_M!$B$1:$ZN$1,0))),INDEX(Haver_M!$B$1:$ZN$1000,MATCH(data!$A190,Haver_M!$B$1:$B$1000,0),MATCH(data!AG$1,Haver_M!$B$1:$ZN$1,0)),"na")</f>
        <v>52.1068</v>
      </c>
      <c r="AH190">
        <f>IF(ISNUMBER(INDEX(Haver_M!$B$1:$ZN$1000,MATCH(data!$A190,Haver_M!$B$1:$B$1000,0),MATCH(data!AH$1,Haver_M!$B$1:$ZN$1,0))),INDEX(Haver_M!$B$1:$ZN$1000,MATCH(data!$A190,Haver_M!$B$1:$B$1000,0),MATCH(data!AH$1,Haver_M!$B$1:$ZN$1,0)),"na")</f>
        <v>51.333799999999997</v>
      </c>
      <c r="AI190">
        <f>IF(ISNUMBER(INDEX(Haver_M!$B$1:$ZN$1000,MATCH(data!$A190,Haver_M!$B$1:$B$1000,0),MATCH(data!AI$1,Haver_M!$B$1:$ZN$1,0))),INDEX(Haver_M!$B$1:$ZN$1000,MATCH(data!$A190,Haver_M!$B$1:$B$1000,0),MATCH(data!AI$1,Haver_M!$B$1:$ZN$1,0)),"na")</f>
        <v>53.239199999999997</v>
      </c>
      <c r="AJ190">
        <f>IF(ISNUMBER(INDEX(Haver_M!$B$1:$ZN$1000,MATCH(data!$A190,Haver_M!$B$1:$B$1000,0),MATCH(data!AJ$1,Haver_M!$B$1:$ZN$1,0))),INDEX(Haver_M!$B$1:$ZN$1000,MATCH(data!$A190,Haver_M!$B$1:$B$1000,0),MATCH(data!AJ$1,Haver_M!$B$1:$ZN$1,0)),"na")</f>
        <v>52.622999999999998</v>
      </c>
      <c r="AK190">
        <f>IF(ISNUMBER(INDEX(Haver_M!$B$1:$ZN$1000,MATCH(data!$A190,Haver_M!$B$1:$B$1000,0),MATCH(data!AK$1,Haver_M!$B$1:$ZN$1,0))),INDEX(Haver_M!$B$1:$ZN$1000,MATCH(data!$A190,Haver_M!$B$1:$B$1000,0),MATCH(data!AK$1,Haver_M!$B$1:$ZN$1,0)),"na")</f>
        <v>48.379899999999999</v>
      </c>
      <c r="AL190">
        <f>IF(ISNUMBER(INDEX(Haver_M!$B$1:$ZN$1000,MATCH(data!$A190,Haver_M!$B$1:$B$1000,0),MATCH(data!AL$1,Haver_M!$B$1:$ZN$1,0))),INDEX(Haver_M!$B$1:$ZN$1000,MATCH(data!$A190,Haver_M!$B$1:$B$1000,0),MATCH(data!AL$1,Haver_M!$B$1:$ZN$1,0)),"na")</f>
        <v>50.3401</v>
      </c>
      <c r="AM190">
        <f>IF(ISNUMBER(INDEX(Haver_M!$B$1:$ZN$1000,MATCH(data!$A190,Haver_M!$B$1:$B$1000,0),MATCH(data!AM$1,Haver_M!$B$1:$ZN$1,0))),INDEX(Haver_M!$B$1:$ZN$1000,MATCH(data!$A190,Haver_M!$B$1:$B$1000,0),MATCH(data!AM$1,Haver_M!$B$1:$ZN$1,0)),"na")</f>
        <v>64.169399999999996</v>
      </c>
      <c r="AN190">
        <f>IF(ISNUMBER(INDEX(Haver_M!$B$1:$ZN$1000,MATCH(data!$A190,Haver_M!$B$1:$B$1000,0),MATCH(data!AN$1,Haver_M!$B$1:$ZN$1,0))),INDEX(Haver_M!$B$1:$ZN$1000,MATCH(data!$A190,Haver_M!$B$1:$B$1000,0),MATCH(data!AN$1,Haver_M!$B$1:$ZN$1,0)),"na")</f>
        <v>51.815199999999997</v>
      </c>
      <c r="AO190">
        <f>IF(ISNUMBER(INDEX(Haver_M!$B$1:$ZN$1000,MATCH(data!$A190,Haver_M!$B$1:$B$1000,0),MATCH(data!AO$1,Haver_M!$B$1:$ZN$1,0))),INDEX(Haver_M!$B$1:$ZN$1000,MATCH(data!$A190,Haver_M!$B$1:$B$1000,0),MATCH(data!AO$1,Haver_M!$B$1:$ZN$1,0)),"na")</f>
        <v>50.3401</v>
      </c>
      <c r="AP190">
        <f>IF(ISNUMBER(INDEX(Haver_M!$B$1:$ZN$1000,MATCH(data!$A190,Haver_M!$B$1:$B$1000,0),MATCH(data!AP$1,Haver_M!$B$1:$ZN$1,0))),INDEX(Haver_M!$B$1:$ZN$1000,MATCH(data!$A190,Haver_M!$B$1:$B$1000,0),MATCH(data!AP$1,Haver_M!$B$1:$ZN$1,0)),"na")</f>
        <v>53.453800000000001</v>
      </c>
      <c r="AQ190">
        <f>IF(ISNUMBER(INDEX(Haver_M!$B$1:$ZN$1000,MATCH(data!$A190,Haver_M!$B$1:$B$1000,0),MATCH(data!AQ$1,Haver_M!$B$1:$ZN$1,0))),INDEX(Haver_M!$B$1:$ZN$1000,MATCH(data!$A190,Haver_M!$B$1:$B$1000,0),MATCH(data!AQ$1,Haver_M!$B$1:$ZN$1,0)),"na")</f>
        <v>53.583100000000002</v>
      </c>
      <c r="AR190">
        <f>IF(ISNUMBER(INDEX(Haver_M!$B$1:$ZN$1000,MATCH(data!$A190,Haver_M!$B$1:$B$1000,0),MATCH(data!AR$1,Haver_M!$B$1:$ZN$1,0))),INDEX(Haver_M!$B$1:$ZN$1000,MATCH(data!$A190,Haver_M!$B$1:$B$1000,0),MATCH(data!AR$1,Haver_M!$B$1:$ZN$1,0)),"na")</f>
        <v>45.8065</v>
      </c>
      <c r="AS190">
        <f>IF(ISNUMBER(INDEX(Haver_M!$B$1:$ZN$1000,MATCH(data!$A190,Haver_M!$B$1:$B$1000,0),MATCH(data!AS$1,Haver_M!$B$1:$ZN$1,0))),INDEX(Haver_M!$B$1:$ZN$1000,MATCH(data!$A190,Haver_M!$B$1:$B$1000,0),MATCH(data!AS$1,Haver_M!$B$1:$ZN$1,0)),"na")</f>
        <v>42914.13</v>
      </c>
      <c r="AT190">
        <f>IF(ISNUMBER(INDEX(Haver_M!$B$1:$ZN$1000,MATCH(data!$A190,Haver_M!$B$1:$B$1000,0),MATCH(data!AT$1,Haver_M!$B$1:$ZN$1,0))),INDEX(Haver_M!$B$1:$ZN$1000,MATCH(data!$A190,Haver_M!$B$1:$B$1000,0),MATCH(data!AT$1,Haver_M!$B$1:$ZN$1,0)),"na")</f>
        <v>106.658</v>
      </c>
      <c r="AU190">
        <f>IF(ISNUMBER(INDEX(Haver_M!$B$1:$ZN$1000,MATCH(data!$A190,Haver_M!$B$1:$B$1000,0),MATCH(data!AU$1,Haver_M!$B$1:$ZN$1,0))),INDEX(Haver_M!$B$1:$ZN$1000,MATCH(data!$A190,Haver_M!$B$1:$B$1000,0),MATCH(data!AU$1,Haver_M!$B$1:$ZN$1,0)),"na")</f>
        <v>107.734667</v>
      </c>
      <c r="AV190">
        <f>IF(ISNUMBER(INDEX(Haver_M!$B$1:$ZN$1000,MATCH(data!$A190,Haver_M!$B$1:$B$1000,0),MATCH(data!AV$1,Haver_M!$B$1:$ZN$1,0))),INDEX(Haver_M!$B$1:$ZN$1000,MATCH(data!$A190,Haver_M!$B$1:$B$1000,0),MATCH(data!AV$1,Haver_M!$B$1:$ZN$1,0)),"na")</f>
        <v>111.7</v>
      </c>
      <c r="AW190">
        <f>IF(ISNUMBER(INDEX(Haver_M!$B$1:$ZN$1000,MATCH(data!$A190,Haver_M!$B$1:$B$1000,0),MATCH(data!AW$1,Haver_M!$B$1:$ZN$1,0))),INDEX(Haver_M!$B$1:$ZN$1000,MATCH(data!$A190,Haver_M!$B$1:$B$1000,0),MATCH(data!AW$1,Haver_M!$B$1:$ZN$1,0)),"na")</f>
        <v>1472213.3358958643</v>
      </c>
      <c r="AX190">
        <f>IF(ISNUMBER(INDEX(Haver_M!$B$1:$ZN$1000,MATCH(data!$A190,Haver_M!$B$1:$B$1000,0),MATCH(data!AX$1,Haver_M!$B$1:$ZN$1,0))),INDEX(Haver_M!$B$1:$ZN$1000,MATCH(data!$A190,Haver_M!$B$1:$B$1000,0),MATCH(data!AX$1,Haver_M!$B$1:$ZN$1,0)),"na")</f>
        <v>2269</v>
      </c>
      <c r="AY190">
        <f>IF(ISNUMBER(INDEX(Haver_M!$B$1:$ZN$1000,MATCH(data!$A190,Haver_M!$B$1:$B$1000,0),MATCH(data!AY$1,Haver_M!$B$1:$ZN$1,0))),INDEX(Haver_M!$B$1:$ZN$1000,MATCH(data!$A190,Haver_M!$B$1:$B$1000,0),MATCH(data!AY$1,Haver_M!$B$1:$ZN$1,0)),"na")</f>
        <v>1169</v>
      </c>
      <c r="AZ190">
        <f>IF(ISNUMBER(INDEX(Haver_M!$B$1:$ZN$1000,MATCH(data!$A190,Haver_M!$B$1:$B$1000,0),MATCH(data!AZ$1,Haver_M!$B$1:$ZN$1,0))),INDEX(Haver_M!$B$1:$ZN$1000,MATCH(data!$A190,Haver_M!$B$1:$B$1000,0),MATCH(data!AZ$1,Haver_M!$B$1:$ZN$1,0)),"na")</f>
        <v>52</v>
      </c>
      <c r="BA190">
        <f>IF(ISNUMBER(INDEX(Haver_M!$B$1:$ZN$1000,MATCH(data!$A190,Haver_M!$B$1:$B$1000,0),MATCH(data!BA$1,Haver_M!$B$1:$ZN$1,0))),INDEX(Haver_M!$B$1:$ZN$1000,MATCH(data!$A190,Haver_M!$B$1:$B$1000,0),MATCH(data!BA$1,Haver_M!$B$1:$ZN$1,0)),"na")</f>
        <v>74.069186321199723</v>
      </c>
      <c r="BB190" t="str">
        <f>IF(ISNUMBER(INDEX(Haver_M!$B$1:$ZN$1000,MATCH(data!$A190,Haver_M!$B$1:$B$1000,0),MATCH(data!BB$1,Haver_M!$B$1:$ZN$1,0))),INDEX(Haver_M!$B$1:$ZN$1000,MATCH(data!$A190,Haver_M!$B$1:$B$1000,0),MATCH(data!BB$1,Haver_M!$B$1:$ZN$1,0)),"")</f>
        <v/>
      </c>
    </row>
    <row r="191" spans="1:54" x14ac:dyDescent="0.25">
      <c r="A191" s="2">
        <v>42308</v>
      </c>
      <c r="B191" t="str">
        <f>IF(ISNUMBER(INDEX(Haver_Q!$B$1:$BD$1000,MATCH(data!$A191,Haver_Q!$B$1:$B$1000,0),MATCH(data!B$1,Haver_Q!$B$1:$BD$1,0))),100*INDEX(Haver_Q!$B$1:$BD$1000,MATCH(data!$A191,Haver_Q!$B$1:$B$1000,0),MATCH(data!B$1,Haver_Q!$B$1:$BD$1,0)),"na")</f>
        <v>na</v>
      </c>
      <c r="C191" t="str">
        <f>IF(ISNUMBER(INDEX(Haver_Q!$B$1:$BD$1000,MATCH(data!$A191,Haver_Q!$B$1:$B$1000,0),MATCH(data!C$1,Haver_Q!$B$1:$BD$1,0))),100*INDEX(Haver_Q!$B$1:$BD$1000,MATCH(data!$A191,Haver_Q!$B$1:$B$1000,0),MATCH(data!C$1,Haver_Q!$B$1:$BD$1,0)),"na")</f>
        <v>na</v>
      </c>
      <c r="D191" t="str">
        <f>IF(ISNUMBER(INDEX(Haver_Q!$B$1:$BD$1000,MATCH(data!$A191,Haver_Q!$B$1:$B$1000,0),MATCH(data!D$1,Haver_Q!$B$1:$BD$1,0))),100*INDEX(Haver_Q!$B$1:$BD$1000,MATCH(data!$A191,Haver_Q!$B$1:$B$1000,0),MATCH(data!D$1,Haver_Q!$B$1:$BD$1,0)),"na")</f>
        <v>na</v>
      </c>
      <c r="E191" t="str">
        <f>IF(ISNUMBER(INDEX(Haver_Q!$B$1:$BD$1000,MATCH(data!$A191,Haver_Q!$B$1:$B$1000,0),MATCH(data!E$1,Haver_Q!$B$1:$BD$1,0))),100*INDEX(Haver_Q!$B$1:$BD$1000,MATCH(data!$A191,Haver_Q!$B$1:$B$1000,0),MATCH(data!E$1,Haver_Q!$B$1:$BD$1,0)),"na")</f>
        <v>na</v>
      </c>
      <c r="F191" t="str">
        <f>IF(ISNUMBER(INDEX(Haver_Q!$B$1:$BD$1000,MATCH(data!$A191,Haver_Q!$B$1:$B$1000,0),MATCH(data!F$1,Haver_Q!$B$1:$BD$1,0))),100*INDEX(Haver_Q!$B$1:$BD$1000,MATCH(data!$A191,Haver_Q!$B$1:$B$1000,0),MATCH(data!F$1,Haver_Q!$B$1:$BD$1,0)),"na")</f>
        <v>na</v>
      </c>
      <c r="G191" t="str">
        <f>IF(ISNUMBER(INDEX(Haver_Q!$B$1:$BD$1000,MATCH(data!$A191,Haver_Q!$B$1:$B$1000,0),MATCH(data!G$1,Haver_Q!$B$1:$BD$1,0))),100*INDEX(Haver_Q!$B$1:$BD$1000,MATCH(data!$A191,Haver_Q!$B$1:$B$1000,0),MATCH(data!G$1,Haver_Q!$B$1:$BD$1,0)),"na")</f>
        <v>na</v>
      </c>
      <c r="H191" t="str">
        <f>IF(ISNUMBER(INDEX(Haver_Q!$B$1:$BD$1000,MATCH(data!$A191,Haver_Q!$B$1:$B$1000,0),MATCH(data!H$1,Haver_Q!$B$1:$BD$1,0))),100*INDEX(Haver_Q!$B$1:$BD$1000,MATCH(data!$A191,Haver_Q!$B$1:$B$1000,0),MATCH(data!H$1,Haver_Q!$B$1:$BD$1,0)),"na")</f>
        <v>na</v>
      </c>
      <c r="I191" s="3">
        <f>IF(ISNUMBER(Bloomberg_m!C207),Bloomberg_m!C207,"na")</f>
        <v>793</v>
      </c>
      <c r="J191" s="3">
        <f>IF(ISNUMBER(Bloomberg_m!D207),Bloomberg_m!D207,"na")</f>
        <v>959.45</v>
      </c>
      <c r="K191" s="3">
        <f>IF(ISNUMBER(Bloomberg_m!E207),Bloomberg_m!E207,"na")</f>
        <v>599.84</v>
      </c>
      <c r="L191" s="3">
        <f>IF(ISNUMBER(Bloomberg_m!L207),Bloomberg_m!L207,"na")</f>
        <v>46.2</v>
      </c>
      <c r="M191">
        <f>IF(ISNUMBER(INDEX(Haver_M!$B$1:$ZN$1000,MATCH(data!$A191,Haver_M!$B$1:$B$1000,0),MATCH(data!M$1,Haver_M!$B$1:$ZN$1,0))),INDEX(Haver_M!$B$1:$ZN$1000,MATCH(data!$A191,Haver_M!$B$1:$B$1000,0),MATCH(data!M$1,Haver_M!$B$1:$ZN$1,0)),"na")</f>
        <v>3</v>
      </c>
      <c r="N191">
        <f>IF(ISNUMBER(INDEX(Haver_M!$B$1:$ZN$1000,MATCH(data!$A191,Haver_M!$B$1:$B$1000,0),MATCH(data!N$1,Haver_M!$B$1:$ZN$1,0))),INDEX(Haver_M!$B$1:$ZN$1000,MATCH(data!$A191,Haver_M!$B$1:$B$1000,0),MATCH(data!N$1,Haver_M!$B$1:$ZN$1,0)),"na")</f>
        <v>5.8819999999999997</v>
      </c>
      <c r="O191">
        <f>IF(ISNUMBER(INDEX(Haver_M!$B$1:$ZN$1000,MATCH(data!$A191,Haver_M!$B$1:$B$1000,0),MATCH(data!O$1,Haver_M!$B$1:$ZN$1,0))),INDEX(Haver_M!$B$1:$ZN$1000,MATCH(data!$A191,Haver_M!$B$1:$B$1000,0),MATCH(data!O$1,Haver_M!$B$1:$ZN$1,0)),"na")</f>
        <v>87.603300000000004</v>
      </c>
      <c r="P191">
        <f>IF(ISNUMBER(INDEX(Haver_M!$B$1:$ZN$1000,MATCH(data!$A191,Haver_M!$B$1:$B$1000,0),MATCH(data!P$1,Haver_M!$B$1:$ZN$1,0))),INDEX(Haver_M!$B$1:$ZN$1000,MATCH(data!$A191,Haver_M!$B$1:$B$1000,0),MATCH(data!P$1,Haver_M!$B$1:$ZN$1,0)),"na")</f>
        <v>88.440100000000001</v>
      </c>
      <c r="Q191">
        <f>IF(ISNUMBER(INDEX(Haver_M!$B$1:$ZN$1000,MATCH(data!$A191,Haver_M!$B$1:$B$1000,0),MATCH(data!Q$1,Haver_M!$B$1:$ZN$1,0))),INDEX(Haver_M!$B$1:$ZN$1000,MATCH(data!$A191,Haver_M!$B$1:$B$1000,0),MATCH(data!Q$1,Haver_M!$B$1:$ZN$1,0)),"na")</f>
        <v>90.088300000000004</v>
      </c>
      <c r="R191">
        <f>IF(ISNUMBER(INDEX(Haver_M!$B$1:$ZN$1000,MATCH(data!$A191,Haver_M!$B$1:$B$1000,0),MATCH(data!R$1,Haver_M!$B$1:$ZN$1,0))),INDEX(Haver_M!$B$1:$ZN$1000,MATCH(data!$A191,Haver_M!$B$1:$B$1000,0),MATCH(data!R$1,Haver_M!$B$1:$ZN$1,0)),"na")</f>
        <v>104.06659999999999</v>
      </c>
      <c r="S191">
        <f>IF(ISNUMBER(INDEX(Haver_M!$B$1:$ZN$1000,MATCH(data!$A191,Haver_M!$B$1:$B$1000,0),MATCH(data!S$1,Haver_M!$B$1:$ZN$1,0))),INDEX(Haver_M!$B$1:$ZN$1000,MATCH(data!$A191,Haver_M!$B$1:$B$1000,0),MATCH(data!S$1,Haver_M!$B$1:$ZN$1,0)),"na")</f>
        <v>93.273200000000003</v>
      </c>
      <c r="T191">
        <f>IF(ISNUMBER(INDEX(Haver_M!$B$1:$ZN$1000,MATCH(data!$A191,Haver_M!$B$1:$B$1000,0),MATCH(data!T$1,Haver_M!$B$1:$ZN$1,0))),INDEX(Haver_M!$B$1:$ZN$1000,MATCH(data!$A191,Haver_M!$B$1:$B$1000,0),MATCH(data!T$1,Haver_M!$B$1:$ZN$1,0)),"na")</f>
        <v>112.3552</v>
      </c>
      <c r="U191">
        <f>IF(ISNUMBER(INDEX(Haver_M!$B$1:$ZN$1000,MATCH(data!$A191,Haver_M!$B$1:$B$1000,0),MATCH(data!U$1,Haver_M!$B$1:$ZN$1,0))),INDEX(Haver_M!$B$1:$ZN$1000,MATCH(data!$A191,Haver_M!$B$1:$B$1000,0),MATCH(data!U$1,Haver_M!$B$1:$ZN$1,0)),"na")</f>
        <v>102.2893</v>
      </c>
      <c r="V191">
        <f>IF(ISNUMBER(INDEX(Haver_M!$B$1:$ZN$1000,MATCH(data!$A191,Haver_M!$B$1:$B$1000,0),MATCH(data!V$1,Haver_M!$B$1:$ZN$1,0))),INDEX(Haver_M!$B$1:$ZN$1000,MATCH(data!$A191,Haver_M!$B$1:$B$1000,0),MATCH(data!V$1,Haver_M!$B$1:$ZN$1,0)),"na")</f>
        <v>108.4674</v>
      </c>
      <c r="W191">
        <f>IF(ISNUMBER(INDEX(Haver_M!$B$1:$ZN$1000,MATCH(data!$A191,Haver_M!$B$1:$B$1000,0),MATCH(data!W$1,Haver_M!$B$1:$ZN$1,0))),INDEX(Haver_M!$B$1:$ZN$1000,MATCH(data!$A191,Haver_M!$B$1:$B$1000,0),MATCH(data!W$1,Haver_M!$B$1:$ZN$1,0)),"na")</f>
        <v>4.43</v>
      </c>
      <c r="X191">
        <f>IF(ISNUMBER(INDEX(Haver_M!$B$1:$ZN$1000,MATCH(data!$A191,Haver_M!$B$1:$B$1000,0),MATCH(data!X$1,Haver_M!$B$1:$ZN$1,0))),INDEX(Haver_M!$B$1:$ZN$1000,MATCH(data!$A191,Haver_M!$B$1:$B$1000,0),MATCH(data!X$1,Haver_M!$B$1:$ZN$1,0)),"na")</f>
        <v>102.2</v>
      </c>
      <c r="Y191">
        <f>IF(ISNUMBER(INDEX(Haver_M!$B$1:$ZN$1000,MATCH(data!$A191,Haver_M!$B$1:$B$1000,0),MATCH(data!Y$1,Haver_M!$B$1:$ZN$1,0))),INDEX(Haver_M!$B$1:$ZN$1000,MATCH(data!$A191,Haver_M!$B$1:$B$1000,0),MATCH(data!Y$1,Haver_M!$B$1:$ZN$1,0)),"na")</f>
        <v>100.22</v>
      </c>
      <c r="Z191">
        <f>IF(ISNUMBER(INDEX(Haver_M!$B$1:$ZN$1000,MATCH(data!$A191,Haver_M!$B$1:$B$1000,0),MATCH(data!Z$1,Haver_M!$B$1:$ZN$1,0))),INDEX(Haver_M!$B$1:$ZN$1000,MATCH(data!$A191,Haver_M!$B$1:$B$1000,0),MATCH(data!Z$1,Haver_M!$B$1:$ZN$1,0)),"na")</f>
        <v>106.8755</v>
      </c>
      <c r="AA191">
        <f>IF(ISNUMBER(INDEX(Haver_M!$B$1:$ZN$1000,MATCH(data!$A191,Haver_M!$B$1:$B$1000,0),MATCH(data!AA$1,Haver_M!$B$1:$ZN$1,0))),INDEX(Haver_M!$B$1:$ZN$1000,MATCH(data!$A191,Haver_M!$B$1:$B$1000,0),MATCH(data!AA$1,Haver_M!$B$1:$ZN$1,0)),"na")</f>
        <v>105.20569999999999</v>
      </c>
      <c r="AB191">
        <f>IF(ISNUMBER(INDEX(Haver_M!$B$1:$ZN$1000,MATCH(data!$A191,Haver_M!$B$1:$B$1000,0),MATCH(data!AB$1,Haver_M!$B$1:$ZN$1,0))),INDEX(Haver_M!$B$1:$ZN$1000,MATCH(data!$A191,Haver_M!$B$1:$B$1000,0),MATCH(data!AB$1,Haver_M!$B$1:$ZN$1,0)),"na")</f>
        <v>32195.5</v>
      </c>
      <c r="AC191">
        <f>IF(ISNUMBER(INDEX(Haver_M!$B$1:$ZN$1000,MATCH(data!$A191,Haver_M!$B$1:$B$1000,0),MATCH(data!AC$1,Haver_M!$B$1:$ZN$1,0))),INDEX(Haver_M!$B$1:$ZN$1000,MATCH(data!$A191,Haver_M!$B$1:$B$1000,0),MATCH(data!AC$1,Haver_M!$B$1:$ZN$1,0)),"na")</f>
        <v>32996.9</v>
      </c>
      <c r="AD191">
        <f>IF(ISNUMBER(INDEX(Haver_M!$B$1:$ZN$1000,MATCH(data!$A191,Haver_M!$B$1:$B$1000,0),MATCH(data!AD$1,Haver_M!$B$1:$ZN$1,0))),INDEX(Haver_M!$B$1:$ZN$1000,MATCH(data!$A191,Haver_M!$B$1:$B$1000,0),MATCH(data!AD$1,Haver_M!$B$1:$ZN$1,0)),"na")</f>
        <v>100.03</v>
      </c>
      <c r="AE191">
        <f>IF(ISNUMBER(INDEX(Haver_M!$B$1:$ZN$1000,MATCH(data!$A191,Haver_M!$B$1:$B$1000,0),MATCH(data!AE$1,Haver_M!$B$1:$ZN$1,0))),INDEX(Haver_M!$B$1:$ZN$1000,MATCH(data!$A191,Haver_M!$B$1:$B$1000,0),MATCH(data!AE$1,Haver_M!$B$1:$ZN$1,0)),"na")</f>
        <v>38</v>
      </c>
      <c r="AF191">
        <f>IF(ISNUMBER(INDEX(Haver_M!$B$1:$ZN$1000,MATCH(data!$A191,Haver_M!$B$1:$B$1000,0),MATCH(data!AF$1,Haver_M!$B$1:$ZN$1,0))),INDEX(Haver_M!$B$1:$ZN$1000,MATCH(data!$A191,Haver_M!$B$1:$B$1000,0),MATCH(data!AF$1,Haver_M!$B$1:$ZN$1,0)),"na")</f>
        <v>99.48</v>
      </c>
      <c r="AG191">
        <f>IF(ISNUMBER(INDEX(Haver_M!$B$1:$ZN$1000,MATCH(data!$A191,Haver_M!$B$1:$B$1000,0),MATCH(data!AG$1,Haver_M!$B$1:$ZN$1,0))),INDEX(Haver_M!$B$1:$ZN$1000,MATCH(data!$A191,Haver_M!$B$1:$B$1000,0),MATCH(data!AG$1,Haver_M!$B$1:$ZN$1,0)),"na")</f>
        <v>52.992800000000003</v>
      </c>
      <c r="AH191">
        <f>IF(ISNUMBER(INDEX(Haver_M!$B$1:$ZN$1000,MATCH(data!$A191,Haver_M!$B$1:$B$1000,0),MATCH(data!AH$1,Haver_M!$B$1:$ZN$1,0))),INDEX(Haver_M!$B$1:$ZN$1000,MATCH(data!$A191,Haver_M!$B$1:$B$1000,0),MATCH(data!AH$1,Haver_M!$B$1:$ZN$1,0)),"na")</f>
        <v>53.627800000000001</v>
      </c>
      <c r="AI191">
        <f>IF(ISNUMBER(INDEX(Haver_M!$B$1:$ZN$1000,MATCH(data!$A191,Haver_M!$B$1:$B$1000,0),MATCH(data!AI$1,Haver_M!$B$1:$ZN$1,0))),INDEX(Haver_M!$B$1:$ZN$1000,MATCH(data!$A191,Haver_M!$B$1:$B$1000,0),MATCH(data!AI$1,Haver_M!$B$1:$ZN$1,0)),"na")</f>
        <v>54.111800000000002</v>
      </c>
      <c r="AJ191">
        <f>IF(ISNUMBER(INDEX(Haver_M!$B$1:$ZN$1000,MATCH(data!$A191,Haver_M!$B$1:$B$1000,0),MATCH(data!AJ$1,Haver_M!$B$1:$ZN$1,0))),INDEX(Haver_M!$B$1:$ZN$1000,MATCH(data!$A191,Haver_M!$B$1:$B$1000,0),MATCH(data!AJ$1,Haver_M!$B$1:$ZN$1,0)),"na")</f>
        <v>53.7789</v>
      </c>
      <c r="AK191">
        <f>IF(ISNUMBER(INDEX(Haver_M!$B$1:$ZN$1000,MATCH(data!$A191,Haver_M!$B$1:$B$1000,0),MATCH(data!AK$1,Haver_M!$B$1:$ZN$1,0))),INDEX(Haver_M!$B$1:$ZN$1000,MATCH(data!$A191,Haver_M!$B$1:$B$1000,0),MATCH(data!AK$1,Haver_M!$B$1:$ZN$1,0)),"na")</f>
        <v>50.142000000000003</v>
      </c>
      <c r="AL191">
        <f>IF(ISNUMBER(INDEX(Haver_M!$B$1:$ZN$1000,MATCH(data!$A191,Haver_M!$B$1:$B$1000,0),MATCH(data!AL$1,Haver_M!$B$1:$ZN$1,0))),INDEX(Haver_M!$B$1:$ZN$1000,MATCH(data!$A191,Haver_M!$B$1:$B$1000,0),MATCH(data!AL$1,Haver_M!$B$1:$ZN$1,0)),"na")</f>
        <v>51.1785</v>
      </c>
      <c r="AM191">
        <f>IF(ISNUMBER(INDEX(Haver_M!$B$1:$ZN$1000,MATCH(data!$A191,Haver_M!$B$1:$B$1000,0),MATCH(data!AM$1,Haver_M!$B$1:$ZN$1,0))),INDEX(Haver_M!$B$1:$ZN$1000,MATCH(data!$A191,Haver_M!$B$1:$B$1000,0),MATCH(data!AM$1,Haver_M!$B$1:$ZN$1,0)),"na")</f>
        <v>60.995899999999999</v>
      </c>
      <c r="AN191">
        <f>IF(ISNUMBER(INDEX(Haver_M!$B$1:$ZN$1000,MATCH(data!$A191,Haver_M!$B$1:$B$1000,0),MATCH(data!AN$1,Haver_M!$B$1:$ZN$1,0))),INDEX(Haver_M!$B$1:$ZN$1000,MATCH(data!$A191,Haver_M!$B$1:$B$1000,0),MATCH(data!AN$1,Haver_M!$B$1:$ZN$1,0)),"na")</f>
        <v>52.866199999999999</v>
      </c>
      <c r="AO191">
        <f>IF(ISNUMBER(INDEX(Haver_M!$B$1:$ZN$1000,MATCH(data!$A191,Haver_M!$B$1:$B$1000,0),MATCH(data!AO$1,Haver_M!$B$1:$ZN$1,0))),INDEX(Haver_M!$B$1:$ZN$1000,MATCH(data!$A191,Haver_M!$B$1:$B$1000,0),MATCH(data!AO$1,Haver_M!$B$1:$ZN$1,0)),"na")</f>
        <v>51.1785</v>
      </c>
      <c r="AP191">
        <f>IF(ISNUMBER(INDEX(Haver_M!$B$1:$ZN$1000,MATCH(data!$A191,Haver_M!$B$1:$B$1000,0),MATCH(data!AP$1,Haver_M!$B$1:$ZN$1,0))),INDEX(Haver_M!$B$1:$ZN$1000,MATCH(data!$A191,Haver_M!$B$1:$B$1000,0),MATCH(data!AP$1,Haver_M!$B$1:$ZN$1,0)),"na")</f>
        <v>52.158099999999997</v>
      </c>
      <c r="AQ191">
        <f>IF(ISNUMBER(INDEX(Haver_M!$B$1:$ZN$1000,MATCH(data!$A191,Haver_M!$B$1:$B$1000,0),MATCH(data!AQ$1,Haver_M!$B$1:$ZN$1,0))),INDEX(Haver_M!$B$1:$ZN$1000,MATCH(data!$A191,Haver_M!$B$1:$B$1000,0),MATCH(data!AQ$1,Haver_M!$B$1:$ZN$1,0)),"na")</f>
        <v>53.9557</v>
      </c>
      <c r="AR191">
        <f>IF(ISNUMBER(INDEX(Haver_M!$B$1:$ZN$1000,MATCH(data!$A191,Haver_M!$B$1:$B$1000,0),MATCH(data!AR$1,Haver_M!$B$1:$ZN$1,0))),INDEX(Haver_M!$B$1:$ZN$1000,MATCH(data!$A191,Haver_M!$B$1:$B$1000,0),MATCH(data!AR$1,Haver_M!$B$1:$ZN$1,0)),"na")</f>
        <v>48.684199999999997</v>
      </c>
      <c r="AS191">
        <f>IF(ISNUMBER(INDEX(Haver_M!$B$1:$ZN$1000,MATCH(data!$A191,Haver_M!$B$1:$B$1000,0),MATCH(data!AS$1,Haver_M!$B$1:$ZN$1,0))),INDEX(Haver_M!$B$1:$ZN$1000,MATCH(data!$A191,Haver_M!$B$1:$B$1000,0),MATCH(data!AS$1,Haver_M!$B$1:$ZN$1,0)),"na")</f>
        <v>44222.13</v>
      </c>
      <c r="AT191">
        <f>IF(ISNUMBER(INDEX(Haver_M!$B$1:$ZN$1000,MATCH(data!$A191,Haver_M!$B$1:$B$1000,0),MATCH(data!AT$1,Haver_M!$B$1:$ZN$1,0))),INDEX(Haver_M!$B$1:$ZN$1000,MATCH(data!$A191,Haver_M!$B$1:$B$1000,0),MATCH(data!AT$1,Haver_M!$B$1:$ZN$1,0)),"na")</f>
        <v>108.068</v>
      </c>
      <c r="AU191">
        <f>IF(ISNUMBER(INDEX(Haver_M!$B$1:$ZN$1000,MATCH(data!$A191,Haver_M!$B$1:$B$1000,0),MATCH(data!AU$1,Haver_M!$B$1:$ZN$1,0))),INDEX(Haver_M!$B$1:$ZN$1000,MATCH(data!$A191,Haver_M!$B$1:$B$1000,0),MATCH(data!AU$1,Haver_M!$B$1:$ZN$1,0)),"na")</f>
        <v>106.788504</v>
      </c>
      <c r="AV191">
        <f>IF(ISNUMBER(INDEX(Haver_M!$B$1:$ZN$1000,MATCH(data!$A191,Haver_M!$B$1:$B$1000,0),MATCH(data!AV$1,Haver_M!$B$1:$ZN$1,0))),INDEX(Haver_M!$B$1:$ZN$1000,MATCH(data!$A191,Haver_M!$B$1:$B$1000,0),MATCH(data!AV$1,Haver_M!$B$1:$ZN$1,0)),"na")</f>
        <v>108.6</v>
      </c>
      <c r="AW191">
        <f>IF(ISNUMBER(INDEX(Haver_M!$B$1:$ZN$1000,MATCH(data!$A191,Haver_M!$B$1:$B$1000,0),MATCH(data!AW$1,Haver_M!$B$1:$ZN$1,0))),INDEX(Haver_M!$B$1:$ZN$1000,MATCH(data!$A191,Haver_M!$B$1:$B$1000,0),MATCH(data!AW$1,Haver_M!$B$1:$ZN$1,0)),"na")</f>
        <v>1501956.3599680678</v>
      </c>
      <c r="AX191">
        <f>IF(ISNUMBER(INDEX(Haver_M!$B$1:$ZN$1000,MATCH(data!$A191,Haver_M!$B$1:$B$1000,0),MATCH(data!AX$1,Haver_M!$B$1:$ZN$1,0))),INDEX(Haver_M!$B$1:$ZN$1000,MATCH(data!$A191,Haver_M!$B$1:$B$1000,0),MATCH(data!AX$1,Haver_M!$B$1:$ZN$1,0)),"na")</f>
        <v>2271</v>
      </c>
      <c r="AY191">
        <f>IF(ISNUMBER(INDEX(Haver_M!$B$1:$ZN$1000,MATCH(data!$A191,Haver_M!$B$1:$B$1000,0),MATCH(data!AY$1,Haver_M!$B$1:$ZN$1,0))),INDEX(Haver_M!$B$1:$ZN$1000,MATCH(data!$A191,Haver_M!$B$1:$B$1000,0),MATCH(data!AY$1,Haver_M!$B$1:$ZN$1,0)),"na")</f>
        <v>1280</v>
      </c>
      <c r="AZ191">
        <f>IF(ISNUMBER(INDEX(Haver_M!$B$1:$ZN$1000,MATCH(data!$A191,Haver_M!$B$1:$B$1000,0),MATCH(data!AZ$1,Haver_M!$B$1:$ZN$1,0))),INDEX(Haver_M!$B$1:$ZN$1000,MATCH(data!$A191,Haver_M!$B$1:$B$1000,0),MATCH(data!AZ$1,Haver_M!$B$1:$ZN$1,0)),"na")</f>
        <v>52</v>
      </c>
      <c r="BA191">
        <f>IF(ISNUMBER(INDEX(Haver_M!$B$1:$ZN$1000,MATCH(data!$A191,Haver_M!$B$1:$B$1000,0),MATCH(data!BA$1,Haver_M!$B$1:$ZN$1,0))),INDEX(Haver_M!$B$1:$ZN$1000,MATCH(data!$A191,Haver_M!$B$1:$B$1000,0),MATCH(data!BA$1,Haver_M!$B$1:$ZN$1,0)),"na")</f>
        <v>22.609988199746944</v>
      </c>
      <c r="BB191" t="str">
        <f>IF(ISNUMBER(INDEX(Haver_M!$B$1:$ZN$1000,MATCH(data!$A191,Haver_M!$B$1:$B$1000,0),MATCH(data!BB$1,Haver_M!$B$1:$ZN$1,0))),INDEX(Haver_M!$B$1:$ZN$1000,MATCH(data!$A191,Haver_M!$B$1:$B$1000,0),MATCH(data!BB$1,Haver_M!$B$1:$ZN$1,0)),"")</f>
        <v/>
      </c>
    </row>
    <row r="192" spans="1:54" x14ac:dyDescent="0.25">
      <c r="A192" s="2">
        <v>42338</v>
      </c>
      <c r="B192" t="str">
        <f>IF(ISNUMBER(INDEX(Haver_Q!$B$1:$BD$1000,MATCH(data!$A192,Haver_Q!$B$1:$B$1000,0),MATCH(data!B$1,Haver_Q!$B$1:$BD$1,0))),100*INDEX(Haver_Q!$B$1:$BD$1000,MATCH(data!$A192,Haver_Q!$B$1:$B$1000,0),MATCH(data!B$1,Haver_Q!$B$1:$BD$1,0)),"na")</f>
        <v>na</v>
      </c>
      <c r="C192" t="str">
        <f>IF(ISNUMBER(INDEX(Haver_Q!$B$1:$BD$1000,MATCH(data!$A192,Haver_Q!$B$1:$B$1000,0),MATCH(data!C$1,Haver_Q!$B$1:$BD$1,0))),100*INDEX(Haver_Q!$B$1:$BD$1000,MATCH(data!$A192,Haver_Q!$B$1:$B$1000,0),MATCH(data!C$1,Haver_Q!$B$1:$BD$1,0)),"na")</f>
        <v>na</v>
      </c>
      <c r="D192" t="str">
        <f>IF(ISNUMBER(INDEX(Haver_Q!$B$1:$BD$1000,MATCH(data!$A192,Haver_Q!$B$1:$B$1000,0),MATCH(data!D$1,Haver_Q!$B$1:$BD$1,0))),100*INDEX(Haver_Q!$B$1:$BD$1000,MATCH(data!$A192,Haver_Q!$B$1:$B$1000,0),MATCH(data!D$1,Haver_Q!$B$1:$BD$1,0)),"na")</f>
        <v>na</v>
      </c>
      <c r="E192" t="str">
        <f>IF(ISNUMBER(INDEX(Haver_Q!$B$1:$BD$1000,MATCH(data!$A192,Haver_Q!$B$1:$B$1000,0),MATCH(data!E$1,Haver_Q!$B$1:$BD$1,0))),100*INDEX(Haver_Q!$B$1:$BD$1000,MATCH(data!$A192,Haver_Q!$B$1:$B$1000,0),MATCH(data!E$1,Haver_Q!$B$1:$BD$1,0)),"na")</f>
        <v>na</v>
      </c>
      <c r="F192" t="str">
        <f>IF(ISNUMBER(INDEX(Haver_Q!$B$1:$BD$1000,MATCH(data!$A192,Haver_Q!$B$1:$B$1000,0),MATCH(data!F$1,Haver_Q!$B$1:$BD$1,0))),100*INDEX(Haver_Q!$B$1:$BD$1000,MATCH(data!$A192,Haver_Q!$B$1:$B$1000,0),MATCH(data!F$1,Haver_Q!$B$1:$BD$1,0)),"na")</f>
        <v>na</v>
      </c>
      <c r="G192" t="str">
        <f>IF(ISNUMBER(INDEX(Haver_Q!$B$1:$BD$1000,MATCH(data!$A192,Haver_Q!$B$1:$B$1000,0),MATCH(data!G$1,Haver_Q!$B$1:$BD$1,0))),100*INDEX(Haver_Q!$B$1:$BD$1000,MATCH(data!$A192,Haver_Q!$B$1:$B$1000,0),MATCH(data!G$1,Haver_Q!$B$1:$BD$1,0)),"na")</f>
        <v>na</v>
      </c>
      <c r="H192" t="str">
        <f>IF(ISNUMBER(INDEX(Haver_Q!$B$1:$BD$1000,MATCH(data!$A192,Haver_Q!$B$1:$B$1000,0),MATCH(data!H$1,Haver_Q!$B$1:$BD$1,0))),100*INDEX(Haver_Q!$B$1:$BD$1000,MATCH(data!$A192,Haver_Q!$B$1:$B$1000,0),MATCH(data!H$1,Haver_Q!$B$1:$BD$1,0)),"na")</f>
        <v>na</v>
      </c>
      <c r="I192" s="3">
        <f>IF(ISNUMBER(Bloomberg_m!C208),Bloomberg_m!C208,"na")</f>
        <v>582</v>
      </c>
      <c r="J192" s="3">
        <f>IF(ISNUMBER(Bloomberg_m!D208),Bloomberg_m!D208,"na")</f>
        <v>1021.45</v>
      </c>
      <c r="K192" s="3">
        <f>IF(ISNUMBER(Bloomberg_m!E208),Bloomberg_m!E208,"na")</f>
        <v>551.29999999999995</v>
      </c>
      <c r="L192" s="3">
        <f>IF(ISNUMBER(Bloomberg_m!L208),Bloomberg_m!L208,"na")</f>
        <v>42.7</v>
      </c>
      <c r="M192">
        <f>IF(ISNUMBER(INDEX(Haver_M!$B$1:$ZN$1000,MATCH(data!$A192,Haver_M!$B$1:$B$1000,0),MATCH(data!M$1,Haver_M!$B$1:$ZN$1,0))),INDEX(Haver_M!$B$1:$ZN$1000,MATCH(data!$A192,Haver_M!$B$1:$B$1000,0),MATCH(data!M$1,Haver_M!$B$1:$ZN$1,0)),"na")</f>
        <v>3</v>
      </c>
      <c r="N192">
        <f>IF(ISNUMBER(INDEX(Haver_M!$B$1:$ZN$1000,MATCH(data!$A192,Haver_M!$B$1:$B$1000,0),MATCH(data!N$1,Haver_M!$B$1:$ZN$1,0))),INDEX(Haver_M!$B$1:$ZN$1000,MATCH(data!$A192,Haver_M!$B$1:$B$1000,0),MATCH(data!N$1,Haver_M!$B$1:$ZN$1,0)),"na")</f>
        <v>6.0364000000000004</v>
      </c>
      <c r="O192">
        <f>IF(ISNUMBER(INDEX(Haver_M!$B$1:$ZN$1000,MATCH(data!$A192,Haver_M!$B$1:$B$1000,0),MATCH(data!O$1,Haver_M!$B$1:$ZN$1,0))),INDEX(Haver_M!$B$1:$ZN$1000,MATCH(data!$A192,Haver_M!$B$1:$B$1000,0),MATCH(data!O$1,Haver_M!$B$1:$ZN$1,0)),"na")</f>
        <v>88.560040000000001</v>
      </c>
      <c r="P192">
        <f>IF(ISNUMBER(INDEX(Haver_M!$B$1:$ZN$1000,MATCH(data!$A192,Haver_M!$B$1:$B$1000,0),MATCH(data!P$1,Haver_M!$B$1:$ZN$1,0))),INDEX(Haver_M!$B$1:$ZN$1000,MATCH(data!$A192,Haver_M!$B$1:$B$1000,0),MATCH(data!P$1,Haver_M!$B$1:$ZN$1,0)),"na")</f>
        <v>88.503399999999999</v>
      </c>
      <c r="Q192">
        <f>IF(ISNUMBER(INDEX(Haver_M!$B$1:$ZN$1000,MATCH(data!$A192,Haver_M!$B$1:$B$1000,0),MATCH(data!Q$1,Haver_M!$B$1:$ZN$1,0))),INDEX(Haver_M!$B$1:$ZN$1000,MATCH(data!$A192,Haver_M!$B$1:$B$1000,0),MATCH(data!Q$1,Haver_M!$B$1:$ZN$1,0)),"na")</f>
        <v>90.221400000000003</v>
      </c>
      <c r="R192">
        <f>IF(ISNUMBER(INDEX(Haver_M!$B$1:$ZN$1000,MATCH(data!$A192,Haver_M!$B$1:$B$1000,0),MATCH(data!R$1,Haver_M!$B$1:$ZN$1,0))),INDEX(Haver_M!$B$1:$ZN$1000,MATCH(data!$A192,Haver_M!$B$1:$B$1000,0),MATCH(data!R$1,Haver_M!$B$1:$ZN$1,0)),"na")</f>
        <v>103.7898</v>
      </c>
      <c r="S192">
        <f>IF(ISNUMBER(INDEX(Haver_M!$B$1:$ZN$1000,MATCH(data!$A192,Haver_M!$B$1:$B$1000,0),MATCH(data!S$1,Haver_M!$B$1:$ZN$1,0))),INDEX(Haver_M!$B$1:$ZN$1000,MATCH(data!$A192,Haver_M!$B$1:$B$1000,0),MATCH(data!S$1,Haver_M!$B$1:$ZN$1,0)),"na")</f>
        <v>92.760499999999993</v>
      </c>
      <c r="T192">
        <f>IF(ISNUMBER(INDEX(Haver_M!$B$1:$ZN$1000,MATCH(data!$A192,Haver_M!$B$1:$B$1000,0),MATCH(data!T$1,Haver_M!$B$1:$ZN$1,0))),INDEX(Haver_M!$B$1:$ZN$1000,MATCH(data!$A192,Haver_M!$B$1:$B$1000,0),MATCH(data!T$1,Haver_M!$B$1:$ZN$1,0)),"na")</f>
        <v>111.6314</v>
      </c>
      <c r="U192">
        <f>IF(ISNUMBER(INDEX(Haver_M!$B$1:$ZN$1000,MATCH(data!$A192,Haver_M!$B$1:$B$1000,0),MATCH(data!U$1,Haver_M!$B$1:$ZN$1,0))),INDEX(Haver_M!$B$1:$ZN$1000,MATCH(data!$A192,Haver_M!$B$1:$B$1000,0),MATCH(data!U$1,Haver_M!$B$1:$ZN$1,0)),"na")</f>
        <v>105.56</v>
      </c>
      <c r="V192">
        <f>IF(ISNUMBER(INDEX(Haver_M!$B$1:$ZN$1000,MATCH(data!$A192,Haver_M!$B$1:$B$1000,0),MATCH(data!V$1,Haver_M!$B$1:$ZN$1,0))),INDEX(Haver_M!$B$1:$ZN$1000,MATCH(data!$A192,Haver_M!$B$1:$B$1000,0),MATCH(data!V$1,Haver_M!$B$1:$ZN$1,0)),"na")</f>
        <v>107.532</v>
      </c>
      <c r="W192">
        <f>IF(ISNUMBER(INDEX(Haver_M!$B$1:$ZN$1000,MATCH(data!$A192,Haver_M!$B$1:$B$1000,0),MATCH(data!W$1,Haver_M!$B$1:$ZN$1,0))),INDEX(Haver_M!$B$1:$ZN$1000,MATCH(data!$A192,Haver_M!$B$1:$B$1000,0),MATCH(data!W$1,Haver_M!$B$1:$ZN$1,0)),"na")</f>
        <v>4.0599999999999996</v>
      </c>
      <c r="X192">
        <f>IF(ISNUMBER(INDEX(Haver_M!$B$1:$ZN$1000,MATCH(data!$A192,Haver_M!$B$1:$B$1000,0),MATCH(data!X$1,Haver_M!$B$1:$ZN$1,0))),INDEX(Haver_M!$B$1:$ZN$1000,MATCH(data!$A192,Haver_M!$B$1:$B$1000,0),MATCH(data!X$1,Haver_M!$B$1:$ZN$1,0)),"na")</f>
        <v>102.53</v>
      </c>
      <c r="Y192">
        <f>IF(ISNUMBER(INDEX(Haver_M!$B$1:$ZN$1000,MATCH(data!$A192,Haver_M!$B$1:$B$1000,0),MATCH(data!Y$1,Haver_M!$B$1:$ZN$1,0))),INDEX(Haver_M!$B$1:$ZN$1000,MATCH(data!$A192,Haver_M!$B$1:$B$1000,0),MATCH(data!Y$1,Haver_M!$B$1:$ZN$1,0)),"na")</f>
        <v>100.16</v>
      </c>
      <c r="Z192">
        <f>IF(ISNUMBER(INDEX(Haver_M!$B$1:$ZN$1000,MATCH(data!$A192,Haver_M!$B$1:$B$1000,0),MATCH(data!Z$1,Haver_M!$B$1:$ZN$1,0))),INDEX(Haver_M!$B$1:$ZN$1000,MATCH(data!$A192,Haver_M!$B$1:$B$1000,0),MATCH(data!Z$1,Haver_M!$B$1:$ZN$1,0)),"na")</f>
        <v>107.0459</v>
      </c>
      <c r="AA192">
        <f>IF(ISNUMBER(INDEX(Haver_M!$B$1:$ZN$1000,MATCH(data!$A192,Haver_M!$B$1:$B$1000,0),MATCH(data!AA$1,Haver_M!$B$1:$ZN$1,0))),INDEX(Haver_M!$B$1:$ZN$1000,MATCH(data!$A192,Haver_M!$B$1:$B$1000,0),MATCH(data!AA$1,Haver_M!$B$1:$ZN$1,0)),"na")</f>
        <v>104.7097</v>
      </c>
      <c r="AB192">
        <f>IF(ISNUMBER(INDEX(Haver_M!$B$1:$ZN$1000,MATCH(data!$A192,Haver_M!$B$1:$B$1000,0),MATCH(data!AB$1,Haver_M!$B$1:$ZN$1,0))),INDEX(Haver_M!$B$1:$ZN$1000,MATCH(data!$A192,Haver_M!$B$1:$B$1000,0),MATCH(data!AB$1,Haver_M!$B$1:$ZN$1,0)),"na")</f>
        <v>30931.5</v>
      </c>
      <c r="AC192">
        <f>IF(ISNUMBER(INDEX(Haver_M!$B$1:$ZN$1000,MATCH(data!$A192,Haver_M!$B$1:$B$1000,0),MATCH(data!AC$1,Haver_M!$B$1:$ZN$1,0))),INDEX(Haver_M!$B$1:$ZN$1000,MATCH(data!$A192,Haver_M!$B$1:$B$1000,0),MATCH(data!AC$1,Haver_M!$B$1:$ZN$1,0)),"na")</f>
        <v>32653.599999999999</v>
      </c>
      <c r="AD192">
        <f>IF(ISNUMBER(INDEX(Haver_M!$B$1:$ZN$1000,MATCH(data!$A192,Haver_M!$B$1:$B$1000,0),MATCH(data!AD$1,Haver_M!$B$1:$ZN$1,0))),INDEX(Haver_M!$B$1:$ZN$1000,MATCH(data!$A192,Haver_M!$B$1:$B$1000,0),MATCH(data!AD$1,Haver_M!$B$1:$ZN$1,0)),"na")</f>
        <v>99.98</v>
      </c>
      <c r="AE192">
        <f>IF(ISNUMBER(INDEX(Haver_M!$B$1:$ZN$1000,MATCH(data!$A192,Haver_M!$B$1:$B$1000,0),MATCH(data!AE$1,Haver_M!$B$1:$ZN$1,0))),INDEX(Haver_M!$B$1:$ZN$1000,MATCH(data!$A192,Haver_M!$B$1:$B$1000,0),MATCH(data!AE$1,Haver_M!$B$1:$ZN$1,0)),"na")</f>
        <v>38.1</v>
      </c>
      <c r="AF192">
        <f>IF(ISNUMBER(INDEX(Haver_M!$B$1:$ZN$1000,MATCH(data!$A192,Haver_M!$B$1:$B$1000,0),MATCH(data!AF$1,Haver_M!$B$1:$ZN$1,0))),INDEX(Haver_M!$B$1:$ZN$1000,MATCH(data!$A192,Haver_M!$B$1:$B$1000,0),MATCH(data!AF$1,Haver_M!$B$1:$ZN$1,0)),"na")</f>
        <v>99.54</v>
      </c>
      <c r="AG192">
        <f>IF(ISNUMBER(INDEX(Haver_M!$B$1:$ZN$1000,MATCH(data!$A192,Haver_M!$B$1:$B$1000,0),MATCH(data!AG$1,Haver_M!$B$1:$ZN$1,0))),INDEX(Haver_M!$B$1:$ZN$1000,MATCH(data!$A192,Haver_M!$B$1:$B$1000,0),MATCH(data!AG$1,Haver_M!$B$1:$ZN$1,0)),"na")</f>
        <v>52.977600000000002</v>
      </c>
      <c r="AH192">
        <f>IF(ISNUMBER(INDEX(Haver_M!$B$1:$ZN$1000,MATCH(data!$A192,Haver_M!$B$1:$B$1000,0),MATCH(data!AH$1,Haver_M!$B$1:$ZN$1,0))),INDEX(Haver_M!$B$1:$ZN$1000,MATCH(data!$A192,Haver_M!$B$1:$B$1000,0),MATCH(data!AH$1,Haver_M!$B$1:$ZN$1,0)),"na")</f>
        <v>54.092500000000001</v>
      </c>
      <c r="AI192">
        <f>IF(ISNUMBER(INDEX(Haver_M!$B$1:$ZN$1000,MATCH(data!$A192,Haver_M!$B$1:$B$1000,0),MATCH(data!AI$1,Haver_M!$B$1:$ZN$1,0))),INDEX(Haver_M!$B$1:$ZN$1000,MATCH(data!$A192,Haver_M!$B$1:$B$1000,0),MATCH(data!AI$1,Haver_M!$B$1:$ZN$1,0)),"na")</f>
        <v>54.421999999999997</v>
      </c>
      <c r="AJ192">
        <f>IF(ISNUMBER(INDEX(Haver_M!$B$1:$ZN$1000,MATCH(data!$A192,Haver_M!$B$1:$B$1000,0),MATCH(data!AJ$1,Haver_M!$B$1:$ZN$1,0))),INDEX(Haver_M!$B$1:$ZN$1000,MATCH(data!$A192,Haver_M!$B$1:$B$1000,0),MATCH(data!AJ$1,Haver_M!$B$1:$ZN$1,0)),"na")</f>
        <v>52.188600000000001</v>
      </c>
      <c r="AK192">
        <f>IF(ISNUMBER(INDEX(Haver_M!$B$1:$ZN$1000,MATCH(data!$A192,Haver_M!$B$1:$B$1000,0),MATCH(data!AK$1,Haver_M!$B$1:$ZN$1,0))),INDEX(Haver_M!$B$1:$ZN$1000,MATCH(data!$A192,Haver_M!$B$1:$B$1000,0),MATCH(data!AK$1,Haver_M!$B$1:$ZN$1,0)),"na")</f>
        <v>49.724499999999999</v>
      </c>
      <c r="AL192">
        <f>IF(ISNUMBER(INDEX(Haver_M!$B$1:$ZN$1000,MATCH(data!$A192,Haver_M!$B$1:$B$1000,0),MATCH(data!AL$1,Haver_M!$B$1:$ZN$1,0))),INDEX(Haver_M!$B$1:$ZN$1000,MATCH(data!$A192,Haver_M!$B$1:$B$1000,0),MATCH(data!AL$1,Haver_M!$B$1:$ZN$1,0)),"na")</f>
        <v>51.487900000000003</v>
      </c>
      <c r="AM192">
        <f>IF(ISNUMBER(INDEX(Haver_M!$B$1:$ZN$1000,MATCH(data!$A192,Haver_M!$B$1:$B$1000,0),MATCH(data!AM$1,Haver_M!$B$1:$ZN$1,0))),INDEX(Haver_M!$B$1:$ZN$1000,MATCH(data!$A192,Haver_M!$B$1:$B$1000,0),MATCH(data!AM$1,Haver_M!$B$1:$ZN$1,0)),"na")</f>
        <v>57.046999999999997</v>
      </c>
      <c r="AN192">
        <f>IF(ISNUMBER(INDEX(Haver_M!$B$1:$ZN$1000,MATCH(data!$A192,Haver_M!$B$1:$B$1000,0),MATCH(data!AN$1,Haver_M!$B$1:$ZN$1,0))),INDEX(Haver_M!$B$1:$ZN$1000,MATCH(data!$A192,Haver_M!$B$1:$B$1000,0),MATCH(data!AN$1,Haver_M!$B$1:$ZN$1,0)),"na")</f>
        <v>52.434800000000003</v>
      </c>
      <c r="AO192">
        <f>IF(ISNUMBER(INDEX(Haver_M!$B$1:$ZN$1000,MATCH(data!$A192,Haver_M!$B$1:$B$1000,0),MATCH(data!AO$1,Haver_M!$B$1:$ZN$1,0))),INDEX(Haver_M!$B$1:$ZN$1000,MATCH(data!$A192,Haver_M!$B$1:$B$1000,0),MATCH(data!AO$1,Haver_M!$B$1:$ZN$1,0)),"na")</f>
        <v>51.487900000000003</v>
      </c>
      <c r="AP192">
        <f>IF(ISNUMBER(INDEX(Haver_M!$B$1:$ZN$1000,MATCH(data!$A192,Haver_M!$B$1:$B$1000,0),MATCH(data!AP$1,Haver_M!$B$1:$ZN$1,0))),INDEX(Haver_M!$B$1:$ZN$1000,MATCH(data!$A192,Haver_M!$B$1:$B$1000,0),MATCH(data!AP$1,Haver_M!$B$1:$ZN$1,0)),"na")</f>
        <v>51.196300000000001</v>
      </c>
      <c r="AQ192">
        <f>IF(ISNUMBER(INDEX(Haver_M!$B$1:$ZN$1000,MATCH(data!$A192,Haver_M!$B$1:$B$1000,0),MATCH(data!AQ$1,Haver_M!$B$1:$ZN$1,0))),INDEX(Haver_M!$B$1:$ZN$1000,MATCH(data!$A192,Haver_M!$B$1:$B$1000,0),MATCH(data!AQ$1,Haver_M!$B$1:$ZN$1,0)),"na")</f>
        <v>50.811</v>
      </c>
      <c r="AR192">
        <f>IF(ISNUMBER(INDEX(Haver_M!$B$1:$ZN$1000,MATCH(data!$A192,Haver_M!$B$1:$B$1000,0),MATCH(data!AR$1,Haver_M!$B$1:$ZN$1,0))),INDEX(Haver_M!$B$1:$ZN$1000,MATCH(data!$A192,Haver_M!$B$1:$B$1000,0),MATCH(data!AR$1,Haver_M!$B$1:$ZN$1,0)),"na")</f>
        <v>48.275300000000001</v>
      </c>
      <c r="AS192">
        <f>IF(ISNUMBER(INDEX(Haver_M!$B$1:$ZN$1000,MATCH(data!$A192,Haver_M!$B$1:$B$1000,0),MATCH(data!AS$1,Haver_M!$B$1:$ZN$1,0))),INDEX(Haver_M!$B$1:$ZN$1000,MATCH(data!$A192,Haver_M!$B$1:$B$1000,0),MATCH(data!AS$1,Haver_M!$B$1:$ZN$1,0)),"na")</f>
        <v>44517.56</v>
      </c>
      <c r="AT192">
        <f>IF(ISNUMBER(INDEX(Haver_M!$B$1:$ZN$1000,MATCH(data!$A192,Haver_M!$B$1:$B$1000,0),MATCH(data!AT$1,Haver_M!$B$1:$ZN$1,0))),INDEX(Haver_M!$B$1:$ZN$1000,MATCH(data!$A192,Haver_M!$B$1:$B$1000,0),MATCH(data!AT$1,Haver_M!$B$1:$ZN$1,0)),"na")</f>
        <v>107.398</v>
      </c>
      <c r="AU192">
        <f>IF(ISNUMBER(INDEX(Haver_M!$B$1:$ZN$1000,MATCH(data!$A192,Haver_M!$B$1:$B$1000,0),MATCH(data!AU$1,Haver_M!$B$1:$ZN$1,0))),INDEX(Haver_M!$B$1:$ZN$1000,MATCH(data!$A192,Haver_M!$B$1:$B$1000,0),MATCH(data!AU$1,Haver_M!$B$1:$ZN$1,0)),"na")</f>
        <v>106.00369999999999</v>
      </c>
      <c r="AV192">
        <f>IF(ISNUMBER(INDEX(Haver_M!$B$1:$ZN$1000,MATCH(data!$A192,Haver_M!$B$1:$B$1000,0),MATCH(data!AV$1,Haver_M!$B$1:$ZN$1,0))),INDEX(Haver_M!$B$1:$ZN$1000,MATCH(data!$A192,Haver_M!$B$1:$B$1000,0),MATCH(data!AV$1,Haver_M!$B$1:$ZN$1,0)),"na")</f>
        <v>108.3</v>
      </c>
      <c r="AW192">
        <f>IF(ISNUMBER(INDEX(Haver_M!$B$1:$ZN$1000,MATCH(data!$A192,Haver_M!$B$1:$B$1000,0),MATCH(data!AW$1,Haver_M!$B$1:$ZN$1,0))),INDEX(Haver_M!$B$1:$ZN$1000,MATCH(data!$A192,Haver_M!$B$1:$B$1000,0),MATCH(data!AW$1,Haver_M!$B$1:$ZN$1,0)),"na")</f>
        <v>1497345.2391383881</v>
      </c>
      <c r="AX192">
        <f>IF(ISNUMBER(INDEX(Haver_M!$B$1:$ZN$1000,MATCH(data!$A192,Haver_M!$B$1:$B$1000,0),MATCH(data!AX$1,Haver_M!$B$1:$ZN$1,0))),INDEX(Haver_M!$B$1:$ZN$1000,MATCH(data!$A192,Haver_M!$B$1:$B$1000,0),MATCH(data!AX$1,Haver_M!$B$1:$ZN$1,0)),"na")</f>
        <v>2277</v>
      </c>
      <c r="AY192">
        <f>IF(ISNUMBER(INDEX(Haver_M!$B$1:$ZN$1000,MATCH(data!$A192,Haver_M!$B$1:$B$1000,0),MATCH(data!AY$1,Haver_M!$B$1:$ZN$1,0))),INDEX(Haver_M!$B$1:$ZN$1000,MATCH(data!$A192,Haver_M!$B$1:$B$1000,0),MATCH(data!AY$1,Haver_M!$B$1:$ZN$1,0)),"na")</f>
        <v>1178</v>
      </c>
      <c r="AZ192">
        <f>IF(ISNUMBER(INDEX(Haver_M!$B$1:$ZN$1000,MATCH(data!$A192,Haver_M!$B$1:$B$1000,0),MATCH(data!AZ$1,Haver_M!$B$1:$ZN$1,0))),INDEX(Haver_M!$B$1:$ZN$1000,MATCH(data!$A192,Haver_M!$B$1:$B$1000,0),MATCH(data!AZ$1,Haver_M!$B$1:$ZN$1,0)),"na")</f>
        <v>52.3</v>
      </c>
      <c r="BA192">
        <f>IF(ISNUMBER(INDEX(Haver_M!$B$1:$ZN$1000,MATCH(data!$A192,Haver_M!$B$1:$B$1000,0),MATCH(data!BA$1,Haver_M!$B$1:$ZN$1,0))),INDEX(Haver_M!$B$1:$ZN$1000,MATCH(data!$A192,Haver_M!$B$1:$B$1000,0),MATCH(data!BA$1,Haver_M!$B$1:$ZN$1,0)),"na")</f>
        <v>12.20704319709475</v>
      </c>
      <c r="BB192" t="str">
        <f>IF(ISNUMBER(INDEX(Haver_M!$B$1:$ZN$1000,MATCH(data!$A192,Haver_M!$B$1:$B$1000,0),MATCH(data!BB$1,Haver_M!$B$1:$ZN$1,0))),INDEX(Haver_M!$B$1:$ZN$1000,MATCH(data!$A192,Haver_M!$B$1:$B$1000,0),MATCH(data!BB$1,Haver_M!$B$1:$ZN$1,0)),"")</f>
        <v/>
      </c>
    </row>
    <row r="193" spans="1:54" x14ac:dyDescent="0.25">
      <c r="A193" s="2">
        <v>42369</v>
      </c>
      <c r="B193">
        <f>IF(ISNUMBER(INDEX(Haver_Q!$B$1:$BD$1000,MATCH(data!$A193,Haver_Q!$B$1:$B$1000,0),MATCH(data!B$1,Haver_Q!$B$1:$BD$1,0))),100*INDEX(Haver_Q!$B$1:$BD$1000,MATCH(data!$A193,Haver_Q!$B$1:$B$1000,0),MATCH(data!B$1,Haver_Q!$B$1:$BD$1,0)),"na")</f>
        <v>-0.86345097510929225</v>
      </c>
      <c r="C193">
        <f>IF(ISNUMBER(INDEX(Haver_Q!$B$1:$BD$1000,MATCH(data!$A193,Haver_Q!$B$1:$B$1000,0),MATCH(data!C$1,Haver_Q!$B$1:$BD$1,0))),100*INDEX(Haver_Q!$B$1:$BD$1000,MATCH(data!$A193,Haver_Q!$B$1:$B$1000,0),MATCH(data!C$1,Haver_Q!$B$1:$BD$1,0)),"na")</f>
        <v>1.218758563938116</v>
      </c>
      <c r="D193">
        <f>IF(ISNUMBER(INDEX(Haver_Q!$B$1:$BD$1000,MATCH(data!$A193,Haver_Q!$B$1:$B$1000,0),MATCH(data!D$1,Haver_Q!$B$1:$BD$1,0))),100*INDEX(Haver_Q!$B$1:$BD$1000,MATCH(data!$A193,Haver_Q!$B$1:$B$1000,0),MATCH(data!D$1,Haver_Q!$B$1:$BD$1,0)),"na")</f>
        <v>5.7862180636005567</v>
      </c>
      <c r="E193">
        <f>IF(ISNUMBER(INDEX(Haver_Q!$B$1:$BD$1000,MATCH(data!$A193,Haver_Q!$B$1:$B$1000,0),MATCH(data!E$1,Haver_Q!$B$1:$BD$1,0))),100*INDEX(Haver_Q!$B$1:$BD$1000,MATCH(data!$A193,Haver_Q!$B$1:$B$1000,0),MATCH(data!E$1,Haver_Q!$B$1:$BD$1,0)),"na")</f>
        <v>-13.625012396671888</v>
      </c>
      <c r="F193">
        <f>IF(ISNUMBER(INDEX(Haver_Q!$B$1:$BD$1000,MATCH(data!$A193,Haver_Q!$B$1:$B$1000,0),MATCH(data!F$1,Haver_Q!$B$1:$BD$1,0))),100*INDEX(Haver_Q!$B$1:$BD$1000,MATCH(data!$A193,Haver_Q!$B$1:$B$1000,0),MATCH(data!F$1,Haver_Q!$B$1:$BD$1,0)),"na")</f>
        <v>4.8907263294784453</v>
      </c>
      <c r="G193">
        <f>IF(ISNUMBER(INDEX(Haver_Q!$B$1:$BD$1000,MATCH(data!$A193,Haver_Q!$B$1:$B$1000,0),MATCH(data!G$1,Haver_Q!$B$1:$BD$1,0))),100*INDEX(Haver_Q!$B$1:$BD$1000,MATCH(data!$A193,Haver_Q!$B$1:$B$1000,0),MATCH(data!G$1,Haver_Q!$B$1:$BD$1,0)),"na")</f>
        <v>-2.9073014547130738</v>
      </c>
      <c r="H193">
        <f>IF(ISNUMBER(INDEX(Haver_Q!$B$1:$BD$1000,MATCH(data!$A193,Haver_Q!$B$1:$B$1000,0),MATCH(data!H$1,Haver_Q!$B$1:$BD$1,0))),100*INDEX(Haver_Q!$B$1:$BD$1000,MATCH(data!$A193,Haver_Q!$B$1:$B$1000,0),MATCH(data!H$1,Haver_Q!$B$1:$BD$1,0)),"na")</f>
        <v>277.11883371334346</v>
      </c>
      <c r="I193" s="3">
        <f>IF(ISNUMBER(Bloomberg_m!C209),Bloomberg_m!C209,"na")</f>
        <v>519</v>
      </c>
      <c r="J193" s="3">
        <f>IF(ISNUMBER(Bloomberg_m!D209),Bloomberg_m!D209,"na")</f>
        <v>891.94</v>
      </c>
      <c r="K193" s="3">
        <f>IF(ISNUMBER(Bloomberg_m!E209),Bloomberg_m!E209,"na")</f>
        <v>566.83000000000004</v>
      </c>
      <c r="L193" s="3">
        <f>IF(ISNUMBER(Bloomberg_m!L209),Bloomberg_m!L209,"na")</f>
        <v>37.229999999999997</v>
      </c>
      <c r="M193">
        <f>IF(ISNUMBER(INDEX(Haver_M!$B$1:$ZN$1000,MATCH(data!$A193,Haver_M!$B$1:$B$1000,0),MATCH(data!M$1,Haver_M!$B$1:$ZN$1,0))),INDEX(Haver_M!$B$1:$ZN$1000,MATCH(data!$A193,Haver_M!$B$1:$B$1000,0),MATCH(data!M$1,Haver_M!$B$1:$ZN$1,0)),"na")</f>
        <v>3.25</v>
      </c>
      <c r="N193">
        <f>IF(ISNUMBER(INDEX(Haver_M!$B$1:$ZN$1000,MATCH(data!$A193,Haver_M!$B$1:$B$1000,0),MATCH(data!N$1,Haver_M!$B$1:$ZN$1,0))),INDEX(Haver_M!$B$1:$ZN$1000,MATCH(data!$A193,Haver_M!$B$1:$B$1000,0),MATCH(data!N$1,Haver_M!$B$1:$ZN$1,0)),"na")</f>
        <v>6.2579000000000002</v>
      </c>
      <c r="O193">
        <f>IF(ISNUMBER(INDEX(Haver_M!$B$1:$ZN$1000,MATCH(data!$A193,Haver_M!$B$1:$B$1000,0),MATCH(data!O$1,Haver_M!$B$1:$ZN$1,0))),INDEX(Haver_M!$B$1:$ZN$1000,MATCH(data!$A193,Haver_M!$B$1:$B$1000,0),MATCH(data!O$1,Haver_M!$B$1:$ZN$1,0)),"na")</f>
        <v>86.860699999999994</v>
      </c>
      <c r="P193">
        <f>IF(ISNUMBER(INDEX(Haver_M!$B$1:$ZN$1000,MATCH(data!$A193,Haver_M!$B$1:$B$1000,0),MATCH(data!P$1,Haver_M!$B$1:$ZN$1,0))),INDEX(Haver_M!$B$1:$ZN$1000,MATCH(data!$A193,Haver_M!$B$1:$B$1000,0),MATCH(data!P$1,Haver_M!$B$1:$ZN$1,0)),"na")</f>
        <v>88.6922</v>
      </c>
      <c r="Q193">
        <f>IF(ISNUMBER(INDEX(Haver_M!$B$1:$ZN$1000,MATCH(data!$A193,Haver_M!$B$1:$B$1000,0),MATCH(data!Q$1,Haver_M!$B$1:$ZN$1,0))),INDEX(Haver_M!$B$1:$ZN$1000,MATCH(data!$A193,Haver_M!$B$1:$B$1000,0),MATCH(data!Q$1,Haver_M!$B$1:$ZN$1,0)),"na")</f>
        <v>90.3767</v>
      </c>
      <c r="R193">
        <f>IF(ISNUMBER(INDEX(Haver_M!$B$1:$ZN$1000,MATCH(data!$A193,Haver_M!$B$1:$B$1000,0),MATCH(data!R$1,Haver_M!$B$1:$ZN$1,0))),INDEX(Haver_M!$B$1:$ZN$1000,MATCH(data!$A193,Haver_M!$B$1:$B$1000,0),MATCH(data!R$1,Haver_M!$B$1:$ZN$1,0)),"na")</f>
        <v>103.83669999999999</v>
      </c>
      <c r="S193">
        <f>IF(ISNUMBER(INDEX(Haver_M!$B$1:$ZN$1000,MATCH(data!$A193,Haver_M!$B$1:$B$1000,0),MATCH(data!S$1,Haver_M!$B$1:$ZN$1,0))),INDEX(Haver_M!$B$1:$ZN$1000,MATCH(data!$A193,Haver_M!$B$1:$B$1000,0),MATCH(data!S$1,Haver_M!$B$1:$ZN$1,0)),"na")</f>
        <v>92.775999999999996</v>
      </c>
      <c r="T193">
        <f>IF(ISNUMBER(INDEX(Haver_M!$B$1:$ZN$1000,MATCH(data!$A193,Haver_M!$B$1:$B$1000,0),MATCH(data!T$1,Haver_M!$B$1:$ZN$1,0))),INDEX(Haver_M!$B$1:$ZN$1000,MATCH(data!$A193,Haver_M!$B$1:$B$1000,0),MATCH(data!T$1,Haver_M!$B$1:$ZN$1,0)),"na")</f>
        <v>111.01519999999999</v>
      </c>
      <c r="U193">
        <f>IF(ISNUMBER(INDEX(Haver_M!$B$1:$ZN$1000,MATCH(data!$A193,Haver_M!$B$1:$B$1000,0),MATCH(data!U$1,Haver_M!$B$1:$ZN$1,0))),INDEX(Haver_M!$B$1:$ZN$1000,MATCH(data!$A193,Haver_M!$B$1:$B$1000,0),MATCH(data!U$1,Haver_M!$B$1:$ZN$1,0)),"na")</f>
        <v>104.12220000000001</v>
      </c>
      <c r="V193">
        <f>IF(ISNUMBER(INDEX(Haver_M!$B$1:$ZN$1000,MATCH(data!$A193,Haver_M!$B$1:$B$1000,0),MATCH(data!V$1,Haver_M!$B$1:$ZN$1,0))),INDEX(Haver_M!$B$1:$ZN$1000,MATCH(data!$A193,Haver_M!$B$1:$B$1000,0),MATCH(data!V$1,Haver_M!$B$1:$ZN$1,0)),"na")</f>
        <v>107.9751</v>
      </c>
      <c r="W193">
        <f>IF(ISNUMBER(INDEX(Haver_M!$B$1:$ZN$1000,MATCH(data!$A193,Haver_M!$B$1:$B$1000,0),MATCH(data!W$1,Haver_M!$B$1:$ZN$1,0))),INDEX(Haver_M!$B$1:$ZN$1000,MATCH(data!$A193,Haver_M!$B$1:$B$1000,0),MATCH(data!W$1,Haver_M!$B$1:$ZN$1,0)),"na")</f>
        <v>4.3499999999999996</v>
      </c>
      <c r="X193">
        <f>IF(ISNUMBER(INDEX(Haver_M!$B$1:$ZN$1000,MATCH(data!$A193,Haver_M!$B$1:$B$1000,0),MATCH(data!X$1,Haver_M!$B$1:$ZN$1,0))),INDEX(Haver_M!$B$1:$ZN$1000,MATCH(data!$A193,Haver_M!$B$1:$B$1000,0),MATCH(data!X$1,Haver_M!$B$1:$ZN$1,0)),"na")</f>
        <v>101.8</v>
      </c>
      <c r="Y193">
        <f>IF(ISNUMBER(INDEX(Haver_M!$B$1:$ZN$1000,MATCH(data!$A193,Haver_M!$B$1:$B$1000,0),MATCH(data!Y$1,Haver_M!$B$1:$ZN$1,0))),INDEX(Haver_M!$B$1:$ZN$1000,MATCH(data!$A193,Haver_M!$B$1:$B$1000,0),MATCH(data!Y$1,Haver_M!$B$1:$ZN$1,0)),"na")</f>
        <v>100.07</v>
      </c>
      <c r="Z193">
        <f>IF(ISNUMBER(INDEX(Haver_M!$B$1:$ZN$1000,MATCH(data!$A193,Haver_M!$B$1:$B$1000,0),MATCH(data!Z$1,Haver_M!$B$1:$ZN$1,0))),INDEX(Haver_M!$B$1:$ZN$1000,MATCH(data!$A193,Haver_M!$B$1:$B$1000,0),MATCH(data!Z$1,Haver_M!$B$1:$ZN$1,0)),"na")</f>
        <v>107.79049999999999</v>
      </c>
      <c r="AA193">
        <f>IF(ISNUMBER(INDEX(Haver_M!$B$1:$ZN$1000,MATCH(data!$A193,Haver_M!$B$1:$B$1000,0),MATCH(data!AA$1,Haver_M!$B$1:$ZN$1,0))),INDEX(Haver_M!$B$1:$ZN$1000,MATCH(data!$A193,Haver_M!$B$1:$B$1000,0),MATCH(data!AA$1,Haver_M!$B$1:$ZN$1,0)),"na")</f>
        <v>102.15219999999999</v>
      </c>
      <c r="AB193">
        <f>IF(ISNUMBER(INDEX(Haver_M!$B$1:$ZN$1000,MATCH(data!$A193,Haver_M!$B$1:$B$1000,0),MATCH(data!AB$1,Haver_M!$B$1:$ZN$1,0))),INDEX(Haver_M!$B$1:$ZN$1000,MATCH(data!$A193,Haver_M!$B$1:$B$1000,0),MATCH(data!AB$1,Haver_M!$B$1:$ZN$1,0)),"na")</f>
        <v>29794.7</v>
      </c>
      <c r="AC193">
        <f>IF(ISNUMBER(INDEX(Haver_M!$B$1:$ZN$1000,MATCH(data!$A193,Haver_M!$B$1:$B$1000,0),MATCH(data!AC$1,Haver_M!$B$1:$ZN$1,0))),INDEX(Haver_M!$B$1:$ZN$1000,MATCH(data!$A193,Haver_M!$B$1:$B$1000,0),MATCH(data!AC$1,Haver_M!$B$1:$ZN$1,0)),"na")</f>
        <v>31399.5</v>
      </c>
      <c r="AD193">
        <f>IF(ISNUMBER(INDEX(Haver_M!$B$1:$ZN$1000,MATCH(data!$A193,Haver_M!$B$1:$B$1000,0),MATCH(data!AD$1,Haver_M!$B$1:$ZN$1,0))),INDEX(Haver_M!$B$1:$ZN$1000,MATCH(data!$A193,Haver_M!$B$1:$B$1000,0),MATCH(data!AD$1,Haver_M!$B$1:$ZN$1,0)),"na")</f>
        <v>99.94</v>
      </c>
      <c r="AE193">
        <f>IF(ISNUMBER(INDEX(Haver_M!$B$1:$ZN$1000,MATCH(data!$A193,Haver_M!$B$1:$B$1000,0),MATCH(data!AE$1,Haver_M!$B$1:$ZN$1,0))),INDEX(Haver_M!$B$1:$ZN$1000,MATCH(data!$A193,Haver_M!$B$1:$B$1000,0),MATCH(data!AE$1,Haver_M!$B$1:$ZN$1,0)),"na")</f>
        <v>38.1</v>
      </c>
      <c r="AF193">
        <f>IF(ISNUMBER(INDEX(Haver_M!$B$1:$ZN$1000,MATCH(data!$A193,Haver_M!$B$1:$B$1000,0),MATCH(data!AF$1,Haver_M!$B$1:$ZN$1,0))),INDEX(Haver_M!$B$1:$ZN$1000,MATCH(data!$A193,Haver_M!$B$1:$B$1000,0),MATCH(data!AF$1,Haver_M!$B$1:$ZN$1,0)),"na")</f>
        <v>99.56</v>
      </c>
      <c r="AG193">
        <f>IF(ISNUMBER(INDEX(Haver_M!$B$1:$ZN$1000,MATCH(data!$A193,Haver_M!$B$1:$B$1000,0),MATCH(data!AG$1,Haver_M!$B$1:$ZN$1,0))),INDEX(Haver_M!$B$1:$ZN$1000,MATCH(data!$A193,Haver_M!$B$1:$B$1000,0),MATCH(data!AG$1,Haver_M!$B$1:$ZN$1,0)),"na")</f>
        <v>52.414999999999999</v>
      </c>
      <c r="AH193">
        <f>IF(ISNUMBER(INDEX(Haver_M!$B$1:$ZN$1000,MATCH(data!$A193,Haver_M!$B$1:$B$1000,0),MATCH(data!AH$1,Haver_M!$B$1:$ZN$1,0))),INDEX(Haver_M!$B$1:$ZN$1000,MATCH(data!$A193,Haver_M!$B$1:$B$1000,0),MATCH(data!AH$1,Haver_M!$B$1:$ZN$1,0)),"na")</f>
        <v>52.252600000000001</v>
      </c>
      <c r="AI193">
        <f>IF(ISNUMBER(INDEX(Haver_M!$B$1:$ZN$1000,MATCH(data!$A193,Haver_M!$B$1:$B$1000,0),MATCH(data!AI$1,Haver_M!$B$1:$ZN$1,0))),INDEX(Haver_M!$B$1:$ZN$1000,MATCH(data!$A193,Haver_M!$B$1:$B$1000,0),MATCH(data!AI$1,Haver_M!$B$1:$ZN$1,0)),"na")</f>
        <v>54.639600000000002</v>
      </c>
      <c r="AJ193">
        <f>IF(ISNUMBER(INDEX(Haver_M!$B$1:$ZN$1000,MATCH(data!$A193,Haver_M!$B$1:$B$1000,0),MATCH(data!AJ$1,Haver_M!$B$1:$ZN$1,0))),INDEX(Haver_M!$B$1:$ZN$1000,MATCH(data!$A193,Haver_M!$B$1:$B$1000,0),MATCH(data!AJ$1,Haver_M!$B$1:$ZN$1,0)),"na")</f>
        <v>51.877600000000001</v>
      </c>
      <c r="AK193">
        <f>IF(ISNUMBER(INDEX(Haver_M!$B$1:$ZN$1000,MATCH(data!$A193,Haver_M!$B$1:$B$1000,0),MATCH(data!AK$1,Haver_M!$B$1:$ZN$1,0))),INDEX(Haver_M!$B$1:$ZN$1000,MATCH(data!$A193,Haver_M!$B$1:$B$1000,0),MATCH(data!AK$1,Haver_M!$B$1:$ZN$1,0)),"na")</f>
        <v>50.372</v>
      </c>
      <c r="AL193">
        <f>IF(ISNUMBER(INDEX(Haver_M!$B$1:$ZN$1000,MATCH(data!$A193,Haver_M!$B$1:$B$1000,0),MATCH(data!AL$1,Haver_M!$B$1:$ZN$1,0))),INDEX(Haver_M!$B$1:$ZN$1000,MATCH(data!$A193,Haver_M!$B$1:$B$1000,0),MATCH(data!AL$1,Haver_M!$B$1:$ZN$1,0)),"na")</f>
        <v>51.402799999999999</v>
      </c>
      <c r="AM193">
        <f>IF(ISNUMBER(INDEX(Haver_M!$B$1:$ZN$1000,MATCH(data!$A193,Haver_M!$B$1:$B$1000,0),MATCH(data!AM$1,Haver_M!$B$1:$ZN$1,0))),INDEX(Haver_M!$B$1:$ZN$1000,MATCH(data!$A193,Haver_M!$B$1:$B$1000,0),MATCH(data!AM$1,Haver_M!$B$1:$ZN$1,0)),"na")</f>
        <v>57.391800000000003</v>
      </c>
      <c r="AN193">
        <f>IF(ISNUMBER(INDEX(Haver_M!$B$1:$ZN$1000,MATCH(data!$A193,Haver_M!$B$1:$B$1000,0),MATCH(data!AN$1,Haver_M!$B$1:$ZN$1,0))),INDEX(Haver_M!$B$1:$ZN$1000,MATCH(data!$A193,Haver_M!$B$1:$B$1000,0),MATCH(data!AN$1,Haver_M!$B$1:$ZN$1,0)),"na")</f>
        <v>52.092199999999998</v>
      </c>
      <c r="AO193">
        <f>IF(ISNUMBER(INDEX(Haver_M!$B$1:$ZN$1000,MATCH(data!$A193,Haver_M!$B$1:$B$1000,0),MATCH(data!AO$1,Haver_M!$B$1:$ZN$1,0))),INDEX(Haver_M!$B$1:$ZN$1000,MATCH(data!$A193,Haver_M!$B$1:$B$1000,0),MATCH(data!AO$1,Haver_M!$B$1:$ZN$1,0)),"na")</f>
        <v>51.402799999999999</v>
      </c>
      <c r="AP193">
        <f>IF(ISNUMBER(INDEX(Haver_M!$B$1:$ZN$1000,MATCH(data!$A193,Haver_M!$B$1:$B$1000,0),MATCH(data!AP$1,Haver_M!$B$1:$ZN$1,0))),INDEX(Haver_M!$B$1:$ZN$1000,MATCH(data!$A193,Haver_M!$B$1:$B$1000,0),MATCH(data!AP$1,Haver_M!$B$1:$ZN$1,0)),"na")</f>
        <v>52.547800000000002</v>
      </c>
      <c r="AQ193">
        <f>IF(ISNUMBER(INDEX(Haver_M!$B$1:$ZN$1000,MATCH(data!$A193,Haver_M!$B$1:$B$1000,0),MATCH(data!AQ$1,Haver_M!$B$1:$ZN$1,0))),INDEX(Haver_M!$B$1:$ZN$1000,MATCH(data!$A193,Haver_M!$B$1:$B$1000,0),MATCH(data!AQ$1,Haver_M!$B$1:$ZN$1,0)),"na")</f>
        <v>51.308900000000001</v>
      </c>
      <c r="AR193">
        <f>IF(ISNUMBER(INDEX(Haver_M!$B$1:$ZN$1000,MATCH(data!$A193,Haver_M!$B$1:$B$1000,0),MATCH(data!AR$1,Haver_M!$B$1:$ZN$1,0))),INDEX(Haver_M!$B$1:$ZN$1000,MATCH(data!$A193,Haver_M!$B$1:$B$1000,0),MATCH(data!AR$1,Haver_M!$B$1:$ZN$1,0)),"na")</f>
        <v>46.357599999999998</v>
      </c>
      <c r="AS193">
        <f>IF(ISNUMBER(INDEX(Haver_M!$B$1:$ZN$1000,MATCH(data!$A193,Haver_M!$B$1:$B$1000,0),MATCH(data!AS$1,Haver_M!$B$1:$ZN$1,0))),INDEX(Haver_M!$B$1:$ZN$1000,MATCH(data!$A193,Haver_M!$B$1:$B$1000,0),MATCH(data!AS$1,Haver_M!$B$1:$ZN$1,0)),"na")</f>
        <v>43009.73</v>
      </c>
      <c r="AT193">
        <f>IF(ISNUMBER(INDEX(Haver_M!$B$1:$ZN$1000,MATCH(data!$A193,Haver_M!$B$1:$B$1000,0),MATCH(data!AT$1,Haver_M!$B$1:$ZN$1,0))),INDEX(Haver_M!$B$1:$ZN$1000,MATCH(data!$A193,Haver_M!$B$1:$B$1000,0),MATCH(data!AT$1,Haver_M!$B$1:$ZN$1,0)),"na")</f>
        <v>107.486</v>
      </c>
      <c r="AU193">
        <f>IF(ISNUMBER(INDEX(Haver_M!$B$1:$ZN$1000,MATCH(data!$A193,Haver_M!$B$1:$B$1000,0),MATCH(data!AU$1,Haver_M!$B$1:$ZN$1,0))),INDEX(Haver_M!$B$1:$ZN$1000,MATCH(data!$A193,Haver_M!$B$1:$B$1000,0),MATCH(data!AU$1,Haver_M!$B$1:$ZN$1,0)),"na")</f>
        <v>106.41545600000001</v>
      </c>
      <c r="AV193">
        <f>IF(ISNUMBER(INDEX(Haver_M!$B$1:$ZN$1000,MATCH(data!$A193,Haver_M!$B$1:$B$1000,0),MATCH(data!AV$1,Haver_M!$B$1:$ZN$1,0))),INDEX(Haver_M!$B$1:$ZN$1000,MATCH(data!$A193,Haver_M!$B$1:$B$1000,0),MATCH(data!AV$1,Haver_M!$B$1:$ZN$1,0)),"na")</f>
        <v>106</v>
      </c>
      <c r="AW193">
        <f>IF(ISNUMBER(INDEX(Haver_M!$B$1:$ZN$1000,MATCH(data!$A193,Haver_M!$B$1:$B$1000,0),MATCH(data!AW$1,Haver_M!$B$1:$ZN$1,0))),INDEX(Haver_M!$B$1:$ZN$1000,MATCH(data!$A193,Haver_M!$B$1:$B$1000,0),MATCH(data!AW$1,Haver_M!$B$1:$ZN$1,0)),"na")</f>
        <v>1528483.663810859</v>
      </c>
      <c r="AX193">
        <f>IF(ISNUMBER(INDEX(Haver_M!$B$1:$ZN$1000,MATCH(data!$A193,Haver_M!$B$1:$B$1000,0),MATCH(data!AX$1,Haver_M!$B$1:$ZN$1,0))),INDEX(Haver_M!$B$1:$ZN$1000,MATCH(data!$A193,Haver_M!$B$1:$B$1000,0),MATCH(data!AX$1,Haver_M!$B$1:$ZN$1,0)),"na")</f>
        <v>2272</v>
      </c>
      <c r="AY193">
        <f>IF(ISNUMBER(INDEX(Haver_M!$B$1:$ZN$1000,MATCH(data!$A193,Haver_M!$B$1:$B$1000,0),MATCH(data!AY$1,Haver_M!$B$1:$ZN$1,0))),INDEX(Haver_M!$B$1:$ZN$1000,MATCH(data!$A193,Haver_M!$B$1:$B$1000,0),MATCH(data!AY$1,Haver_M!$B$1:$ZN$1,0)),"na")</f>
        <v>1008</v>
      </c>
      <c r="AZ193">
        <f>IF(ISNUMBER(INDEX(Haver_M!$B$1:$ZN$1000,MATCH(data!$A193,Haver_M!$B$1:$B$1000,0),MATCH(data!AZ$1,Haver_M!$B$1:$ZN$1,0))),INDEX(Haver_M!$B$1:$ZN$1000,MATCH(data!$A193,Haver_M!$B$1:$B$1000,0),MATCH(data!AZ$1,Haver_M!$B$1:$ZN$1,0)),"na")</f>
        <v>52.1</v>
      </c>
      <c r="BA193">
        <f>IF(ISNUMBER(INDEX(Haver_M!$B$1:$ZN$1000,MATCH(data!$A193,Haver_M!$B$1:$B$1000,0),MATCH(data!BA$1,Haver_M!$B$1:$ZN$1,0))),INDEX(Haver_M!$B$1:$ZN$1000,MATCH(data!$A193,Haver_M!$B$1:$B$1000,0),MATCH(data!BA$1,Haver_M!$B$1:$ZN$1,0)),"na")</f>
        <v>27.436875108535496</v>
      </c>
      <c r="BB193" t="str">
        <f>IF(ISNUMBER(INDEX(Haver_M!$B$1:$ZN$1000,MATCH(data!$A193,Haver_M!$B$1:$B$1000,0),MATCH(data!BB$1,Haver_M!$B$1:$ZN$1,0))),INDEX(Haver_M!$B$1:$ZN$1000,MATCH(data!$A193,Haver_M!$B$1:$B$1000,0),MATCH(data!BB$1,Haver_M!$B$1:$ZN$1,0)),"")</f>
        <v/>
      </c>
    </row>
    <row r="194" spans="1:54" x14ac:dyDescent="0.25">
      <c r="A194" s="2">
        <v>42400</v>
      </c>
      <c r="B194" t="str">
        <f>IF(ISNUMBER(INDEX(Haver_Q!$B$1:$BD$1000,MATCH(data!$A194,Haver_Q!$B$1:$B$1000,0),MATCH(data!B$1,Haver_Q!$B$1:$BD$1,0))),100*INDEX(Haver_Q!$B$1:$BD$1000,MATCH(data!$A194,Haver_Q!$B$1:$B$1000,0),MATCH(data!B$1,Haver_Q!$B$1:$BD$1,0)),"na")</f>
        <v>na</v>
      </c>
      <c r="C194" t="str">
        <f>IF(ISNUMBER(INDEX(Haver_Q!$B$1:$BD$1000,MATCH(data!$A194,Haver_Q!$B$1:$B$1000,0),MATCH(data!C$1,Haver_Q!$B$1:$BD$1,0))),100*INDEX(Haver_Q!$B$1:$BD$1000,MATCH(data!$A194,Haver_Q!$B$1:$B$1000,0),MATCH(data!C$1,Haver_Q!$B$1:$BD$1,0)),"na")</f>
        <v>na</v>
      </c>
      <c r="D194" t="str">
        <f>IF(ISNUMBER(INDEX(Haver_Q!$B$1:$BD$1000,MATCH(data!$A194,Haver_Q!$B$1:$B$1000,0),MATCH(data!D$1,Haver_Q!$B$1:$BD$1,0))),100*INDEX(Haver_Q!$B$1:$BD$1000,MATCH(data!$A194,Haver_Q!$B$1:$B$1000,0),MATCH(data!D$1,Haver_Q!$B$1:$BD$1,0)),"na")</f>
        <v>na</v>
      </c>
      <c r="E194" t="str">
        <f>IF(ISNUMBER(INDEX(Haver_Q!$B$1:$BD$1000,MATCH(data!$A194,Haver_Q!$B$1:$B$1000,0),MATCH(data!E$1,Haver_Q!$B$1:$BD$1,0))),100*INDEX(Haver_Q!$B$1:$BD$1000,MATCH(data!$A194,Haver_Q!$B$1:$B$1000,0),MATCH(data!E$1,Haver_Q!$B$1:$BD$1,0)),"na")</f>
        <v>na</v>
      </c>
      <c r="F194" t="str">
        <f>IF(ISNUMBER(INDEX(Haver_Q!$B$1:$BD$1000,MATCH(data!$A194,Haver_Q!$B$1:$B$1000,0),MATCH(data!F$1,Haver_Q!$B$1:$BD$1,0))),100*INDEX(Haver_Q!$B$1:$BD$1000,MATCH(data!$A194,Haver_Q!$B$1:$B$1000,0),MATCH(data!F$1,Haver_Q!$B$1:$BD$1,0)),"na")</f>
        <v>na</v>
      </c>
      <c r="G194" t="str">
        <f>IF(ISNUMBER(INDEX(Haver_Q!$B$1:$BD$1000,MATCH(data!$A194,Haver_Q!$B$1:$B$1000,0),MATCH(data!G$1,Haver_Q!$B$1:$BD$1,0))),100*INDEX(Haver_Q!$B$1:$BD$1000,MATCH(data!$A194,Haver_Q!$B$1:$B$1000,0),MATCH(data!G$1,Haver_Q!$B$1:$BD$1,0)),"na")</f>
        <v>na</v>
      </c>
      <c r="H194" t="str">
        <f>IF(ISNUMBER(INDEX(Haver_Q!$B$1:$BD$1000,MATCH(data!$A194,Haver_Q!$B$1:$B$1000,0),MATCH(data!H$1,Haver_Q!$B$1:$BD$1,0))),100*INDEX(Haver_Q!$B$1:$BD$1000,MATCH(data!$A194,Haver_Q!$B$1:$B$1000,0),MATCH(data!H$1,Haver_Q!$B$1:$BD$1,0)),"na")</f>
        <v>na</v>
      </c>
      <c r="I194" s="3">
        <f>IF(ISNUMBER(Bloomberg_m!C210),Bloomberg_m!C210,"na")</f>
        <v>386</v>
      </c>
      <c r="J194" s="3">
        <f>IF(ISNUMBER(Bloomberg_m!D210),Bloomberg_m!D210,"na")</f>
        <v>1393.37</v>
      </c>
      <c r="K194" s="3">
        <f>IF(ISNUMBER(Bloomberg_m!E210),Bloomberg_m!E210,"na")</f>
        <v>658.35</v>
      </c>
      <c r="L194" s="3">
        <f>IF(ISNUMBER(Bloomberg_m!L210),Bloomberg_m!L210,"na")</f>
        <v>31.54</v>
      </c>
      <c r="M194">
        <f>IF(ISNUMBER(INDEX(Haver_M!$B$1:$ZN$1000,MATCH(data!$A194,Haver_M!$B$1:$B$1000,0),MATCH(data!M$1,Haver_M!$B$1:$ZN$1,0))),INDEX(Haver_M!$B$1:$ZN$1000,MATCH(data!$A194,Haver_M!$B$1:$B$1000,0),MATCH(data!M$1,Haver_M!$B$1:$ZN$1,0)),"na")</f>
        <v>3.25</v>
      </c>
      <c r="N194">
        <f>IF(ISNUMBER(INDEX(Haver_M!$B$1:$ZN$1000,MATCH(data!$A194,Haver_M!$B$1:$B$1000,0),MATCH(data!N$1,Haver_M!$B$1:$ZN$1,0))),INDEX(Haver_M!$B$1:$ZN$1000,MATCH(data!$A194,Haver_M!$B$1:$B$1000,0),MATCH(data!N$1,Haver_M!$B$1:$ZN$1,0)),"na")</f>
        <v>6.1973000000000003</v>
      </c>
      <c r="O194">
        <f>IF(ISNUMBER(INDEX(Haver_M!$B$1:$ZN$1000,MATCH(data!$A194,Haver_M!$B$1:$B$1000,0),MATCH(data!O$1,Haver_M!$B$1:$ZN$1,0))),INDEX(Haver_M!$B$1:$ZN$1000,MATCH(data!$A194,Haver_M!$B$1:$B$1000,0),MATCH(data!O$1,Haver_M!$B$1:$ZN$1,0)),"na")</f>
        <v>83.075029999999998</v>
      </c>
      <c r="P194">
        <f>IF(ISNUMBER(INDEX(Haver_M!$B$1:$ZN$1000,MATCH(data!$A194,Haver_M!$B$1:$B$1000,0),MATCH(data!P$1,Haver_M!$B$1:$ZN$1,0))),INDEX(Haver_M!$B$1:$ZN$1000,MATCH(data!$A194,Haver_M!$B$1:$B$1000,0),MATCH(data!P$1,Haver_M!$B$1:$ZN$1,0)),"na")</f>
        <v>88.863100000000003</v>
      </c>
      <c r="Q194">
        <f>IF(ISNUMBER(INDEX(Haver_M!$B$1:$ZN$1000,MATCH(data!$A194,Haver_M!$B$1:$B$1000,0),MATCH(data!Q$1,Haver_M!$B$1:$ZN$1,0))),INDEX(Haver_M!$B$1:$ZN$1000,MATCH(data!$A194,Haver_M!$B$1:$B$1000,0),MATCH(data!Q$1,Haver_M!$B$1:$ZN$1,0)),"na")</f>
        <v>90.548699999999997</v>
      </c>
      <c r="R194">
        <f>IF(ISNUMBER(INDEX(Haver_M!$B$1:$ZN$1000,MATCH(data!$A194,Haver_M!$B$1:$B$1000,0),MATCH(data!R$1,Haver_M!$B$1:$ZN$1,0))),INDEX(Haver_M!$B$1:$ZN$1000,MATCH(data!$A194,Haver_M!$B$1:$B$1000,0),MATCH(data!R$1,Haver_M!$B$1:$ZN$1,0)),"na")</f>
        <v>104.2745</v>
      </c>
      <c r="S194">
        <f>IF(ISNUMBER(INDEX(Haver_M!$B$1:$ZN$1000,MATCH(data!$A194,Haver_M!$B$1:$B$1000,0),MATCH(data!S$1,Haver_M!$B$1:$ZN$1,0))),INDEX(Haver_M!$B$1:$ZN$1000,MATCH(data!$A194,Haver_M!$B$1:$B$1000,0),MATCH(data!S$1,Haver_M!$B$1:$ZN$1,0)),"na")</f>
        <v>92.123000000000005</v>
      </c>
      <c r="T194">
        <f>IF(ISNUMBER(INDEX(Haver_M!$B$1:$ZN$1000,MATCH(data!$A194,Haver_M!$B$1:$B$1000,0),MATCH(data!T$1,Haver_M!$B$1:$ZN$1,0))),INDEX(Haver_M!$B$1:$ZN$1000,MATCH(data!$A194,Haver_M!$B$1:$B$1000,0),MATCH(data!T$1,Haver_M!$B$1:$ZN$1,0)),"na")</f>
        <v>108.4503</v>
      </c>
      <c r="U194">
        <f>IF(ISNUMBER(INDEX(Haver_M!$B$1:$ZN$1000,MATCH(data!$A194,Haver_M!$B$1:$B$1000,0),MATCH(data!U$1,Haver_M!$B$1:$ZN$1,0))),INDEX(Haver_M!$B$1:$ZN$1000,MATCH(data!$A194,Haver_M!$B$1:$B$1000,0),MATCH(data!U$1,Haver_M!$B$1:$ZN$1,0)),"na")</f>
        <v>106.1734</v>
      </c>
      <c r="V194">
        <f>IF(ISNUMBER(INDEX(Haver_M!$B$1:$ZN$1000,MATCH(data!$A194,Haver_M!$B$1:$B$1000,0),MATCH(data!V$1,Haver_M!$B$1:$ZN$1,0))),INDEX(Haver_M!$B$1:$ZN$1000,MATCH(data!$A194,Haver_M!$B$1:$B$1000,0),MATCH(data!V$1,Haver_M!$B$1:$ZN$1,0)),"na")</f>
        <v>108.4251</v>
      </c>
      <c r="W194">
        <f>IF(ISNUMBER(INDEX(Haver_M!$B$1:$ZN$1000,MATCH(data!$A194,Haver_M!$B$1:$B$1000,0),MATCH(data!W$1,Haver_M!$B$1:$ZN$1,0))),INDEX(Haver_M!$B$1:$ZN$1000,MATCH(data!$A194,Haver_M!$B$1:$B$1000,0),MATCH(data!W$1,Haver_M!$B$1:$ZN$1,0)),"na")</f>
        <v>4.1500000000000004</v>
      </c>
      <c r="X194">
        <f>IF(ISNUMBER(INDEX(Haver_M!$B$1:$ZN$1000,MATCH(data!$A194,Haver_M!$B$1:$B$1000,0),MATCH(data!X$1,Haver_M!$B$1:$ZN$1,0))),INDEX(Haver_M!$B$1:$ZN$1000,MATCH(data!$A194,Haver_M!$B$1:$B$1000,0),MATCH(data!X$1,Haver_M!$B$1:$ZN$1,0)),"na")</f>
        <v>102.11</v>
      </c>
      <c r="Y194">
        <f>IF(ISNUMBER(INDEX(Haver_M!$B$1:$ZN$1000,MATCH(data!$A194,Haver_M!$B$1:$B$1000,0),MATCH(data!Y$1,Haver_M!$B$1:$ZN$1,0))),INDEX(Haver_M!$B$1:$ZN$1000,MATCH(data!$A194,Haver_M!$B$1:$B$1000,0),MATCH(data!Y$1,Haver_M!$B$1:$ZN$1,0)),"na")</f>
        <v>99.98</v>
      </c>
      <c r="Z194">
        <f>IF(ISNUMBER(INDEX(Haver_M!$B$1:$ZN$1000,MATCH(data!$A194,Haver_M!$B$1:$B$1000,0),MATCH(data!Z$1,Haver_M!$B$1:$ZN$1,0))),INDEX(Haver_M!$B$1:$ZN$1000,MATCH(data!$A194,Haver_M!$B$1:$B$1000,0),MATCH(data!Z$1,Haver_M!$B$1:$ZN$1,0)),"na")</f>
        <v>108.89449999999999</v>
      </c>
      <c r="AA194">
        <f>IF(ISNUMBER(INDEX(Haver_M!$B$1:$ZN$1000,MATCH(data!$A194,Haver_M!$B$1:$B$1000,0),MATCH(data!AA$1,Haver_M!$B$1:$ZN$1,0))),INDEX(Haver_M!$B$1:$ZN$1000,MATCH(data!$A194,Haver_M!$B$1:$B$1000,0),MATCH(data!AA$1,Haver_M!$B$1:$ZN$1,0)),"na")</f>
        <v>104.36790000000001</v>
      </c>
      <c r="AB194">
        <f>IF(ISNUMBER(INDEX(Haver_M!$B$1:$ZN$1000,MATCH(data!$A194,Haver_M!$B$1:$B$1000,0),MATCH(data!AB$1,Haver_M!$B$1:$ZN$1,0))),INDEX(Haver_M!$B$1:$ZN$1000,MATCH(data!$A194,Haver_M!$B$1:$B$1000,0),MATCH(data!AB$1,Haver_M!$B$1:$ZN$1,0)),"na")</f>
        <v>31148.7</v>
      </c>
      <c r="AC194">
        <f>IF(ISNUMBER(INDEX(Haver_M!$B$1:$ZN$1000,MATCH(data!$A194,Haver_M!$B$1:$B$1000,0),MATCH(data!AC$1,Haver_M!$B$1:$ZN$1,0))),INDEX(Haver_M!$B$1:$ZN$1000,MATCH(data!$A194,Haver_M!$B$1:$B$1000,0),MATCH(data!AC$1,Haver_M!$B$1:$ZN$1,0)),"na")</f>
        <v>31921.599999999999</v>
      </c>
      <c r="AD194">
        <f>IF(ISNUMBER(INDEX(Haver_M!$B$1:$ZN$1000,MATCH(data!$A194,Haver_M!$B$1:$B$1000,0),MATCH(data!AD$1,Haver_M!$B$1:$ZN$1,0))),INDEX(Haver_M!$B$1:$ZN$1000,MATCH(data!$A194,Haver_M!$B$1:$B$1000,0),MATCH(data!AD$1,Haver_M!$B$1:$ZN$1,0)),"na")</f>
        <v>99.92</v>
      </c>
      <c r="AE194">
        <f>IF(ISNUMBER(INDEX(Haver_M!$B$1:$ZN$1000,MATCH(data!$A194,Haver_M!$B$1:$B$1000,0),MATCH(data!AE$1,Haver_M!$B$1:$ZN$1,0))),INDEX(Haver_M!$B$1:$ZN$1000,MATCH(data!$A194,Haver_M!$B$1:$B$1000,0),MATCH(data!AE$1,Haver_M!$B$1:$ZN$1,0)),"na")</f>
        <v>38.4</v>
      </c>
      <c r="AF194">
        <f>IF(ISNUMBER(INDEX(Haver_M!$B$1:$ZN$1000,MATCH(data!$A194,Haver_M!$B$1:$B$1000,0),MATCH(data!AF$1,Haver_M!$B$1:$ZN$1,0))),INDEX(Haver_M!$B$1:$ZN$1000,MATCH(data!$A194,Haver_M!$B$1:$B$1000,0),MATCH(data!AF$1,Haver_M!$B$1:$ZN$1,0)),"na")</f>
        <v>99.53</v>
      </c>
      <c r="AG194">
        <f>IF(ISNUMBER(INDEX(Haver_M!$B$1:$ZN$1000,MATCH(data!$A194,Haver_M!$B$1:$B$1000,0),MATCH(data!AG$1,Haver_M!$B$1:$ZN$1,0))),INDEX(Haver_M!$B$1:$ZN$1000,MATCH(data!$A194,Haver_M!$B$1:$B$1000,0),MATCH(data!AG$1,Haver_M!$B$1:$ZN$1,0)),"na")</f>
        <v>52.227499999999999</v>
      </c>
      <c r="AH194">
        <f>IF(ISNUMBER(INDEX(Haver_M!$B$1:$ZN$1000,MATCH(data!$A194,Haver_M!$B$1:$B$1000,0),MATCH(data!AH$1,Haver_M!$B$1:$ZN$1,0))),INDEX(Haver_M!$B$1:$ZN$1000,MATCH(data!$A194,Haver_M!$B$1:$B$1000,0),MATCH(data!AH$1,Haver_M!$B$1:$ZN$1,0)),"na")</f>
        <v>51.309399999999997</v>
      </c>
      <c r="AI194">
        <f>IF(ISNUMBER(INDEX(Haver_M!$B$1:$ZN$1000,MATCH(data!$A194,Haver_M!$B$1:$B$1000,0),MATCH(data!AI$1,Haver_M!$B$1:$ZN$1,0))),INDEX(Haver_M!$B$1:$ZN$1000,MATCH(data!$A194,Haver_M!$B$1:$B$1000,0),MATCH(data!AI$1,Haver_M!$B$1:$ZN$1,0)),"na")</f>
        <v>55.424500000000002</v>
      </c>
      <c r="AJ194">
        <f>IF(ISNUMBER(INDEX(Haver_M!$B$1:$ZN$1000,MATCH(data!$A194,Haver_M!$B$1:$B$1000,0),MATCH(data!AJ$1,Haver_M!$B$1:$ZN$1,0))),INDEX(Haver_M!$B$1:$ZN$1000,MATCH(data!$A194,Haver_M!$B$1:$B$1000,0),MATCH(data!AJ$1,Haver_M!$B$1:$ZN$1,0)),"na")</f>
        <v>51.205199999999998</v>
      </c>
      <c r="AK194">
        <f>IF(ISNUMBER(INDEX(Haver_M!$B$1:$ZN$1000,MATCH(data!$A194,Haver_M!$B$1:$B$1000,0),MATCH(data!AK$1,Haver_M!$B$1:$ZN$1,0))),INDEX(Haver_M!$B$1:$ZN$1000,MATCH(data!$A194,Haver_M!$B$1:$B$1000,0),MATCH(data!AK$1,Haver_M!$B$1:$ZN$1,0)),"na")</f>
        <v>50.160800000000002</v>
      </c>
      <c r="AL194">
        <f>IF(ISNUMBER(INDEX(Haver_M!$B$1:$ZN$1000,MATCH(data!$A194,Haver_M!$B$1:$B$1000,0),MATCH(data!AL$1,Haver_M!$B$1:$ZN$1,0))),INDEX(Haver_M!$B$1:$ZN$1000,MATCH(data!$A194,Haver_M!$B$1:$B$1000,0),MATCH(data!AL$1,Haver_M!$B$1:$ZN$1,0)),"na")</f>
        <v>50.558599999999998</v>
      </c>
      <c r="AM194">
        <f>IF(ISNUMBER(INDEX(Haver_M!$B$1:$ZN$1000,MATCH(data!$A194,Haver_M!$B$1:$B$1000,0),MATCH(data!AM$1,Haver_M!$B$1:$ZN$1,0))),INDEX(Haver_M!$B$1:$ZN$1000,MATCH(data!$A194,Haver_M!$B$1:$B$1000,0),MATCH(data!AM$1,Haver_M!$B$1:$ZN$1,0)),"na")</f>
        <v>59.774000000000001</v>
      </c>
      <c r="AN194">
        <f>IF(ISNUMBER(INDEX(Haver_M!$B$1:$ZN$1000,MATCH(data!$A194,Haver_M!$B$1:$B$1000,0),MATCH(data!AN$1,Haver_M!$B$1:$ZN$1,0))),INDEX(Haver_M!$B$1:$ZN$1000,MATCH(data!$A194,Haver_M!$B$1:$B$1000,0),MATCH(data!AN$1,Haver_M!$B$1:$ZN$1,0)),"na")</f>
        <v>50.401699999999998</v>
      </c>
      <c r="AO194">
        <f>IF(ISNUMBER(INDEX(Haver_M!$B$1:$ZN$1000,MATCH(data!$A194,Haver_M!$B$1:$B$1000,0),MATCH(data!AO$1,Haver_M!$B$1:$ZN$1,0))),INDEX(Haver_M!$B$1:$ZN$1000,MATCH(data!$A194,Haver_M!$B$1:$B$1000,0),MATCH(data!AO$1,Haver_M!$B$1:$ZN$1,0)),"na")</f>
        <v>50.558599999999998</v>
      </c>
      <c r="AP194">
        <f>IF(ISNUMBER(INDEX(Haver_M!$B$1:$ZN$1000,MATCH(data!$A194,Haver_M!$B$1:$B$1000,0),MATCH(data!AP$1,Haver_M!$B$1:$ZN$1,0))),INDEX(Haver_M!$B$1:$ZN$1000,MATCH(data!$A194,Haver_M!$B$1:$B$1000,0),MATCH(data!AP$1,Haver_M!$B$1:$ZN$1,0)),"na")</f>
        <v>53.649700000000003</v>
      </c>
      <c r="AQ194">
        <f>IF(ISNUMBER(INDEX(Haver_M!$B$1:$ZN$1000,MATCH(data!$A194,Haver_M!$B$1:$B$1000,0),MATCH(data!AQ$1,Haver_M!$B$1:$ZN$1,0))),INDEX(Haver_M!$B$1:$ZN$1000,MATCH(data!$A194,Haver_M!$B$1:$B$1000,0),MATCH(data!AQ$1,Haver_M!$B$1:$ZN$1,0)),"na")</f>
        <v>53.611699999999999</v>
      </c>
      <c r="AR194">
        <f>IF(ISNUMBER(INDEX(Haver_M!$B$1:$ZN$1000,MATCH(data!$A194,Haver_M!$B$1:$B$1000,0),MATCH(data!AR$1,Haver_M!$B$1:$ZN$1,0))),INDEX(Haver_M!$B$1:$ZN$1000,MATCH(data!$A194,Haver_M!$B$1:$B$1000,0),MATCH(data!AR$1,Haver_M!$B$1:$ZN$1,0)),"na")</f>
        <v>47.494999999999997</v>
      </c>
      <c r="AS194">
        <f>IF(ISNUMBER(INDEX(Haver_M!$B$1:$ZN$1000,MATCH(data!$A194,Haver_M!$B$1:$B$1000,0),MATCH(data!AS$1,Haver_M!$B$1:$ZN$1,0))),INDEX(Haver_M!$B$1:$ZN$1000,MATCH(data!$A194,Haver_M!$B$1:$B$1000,0),MATCH(data!AS$1,Haver_M!$B$1:$ZN$1,0)),"na")</f>
        <v>41415.07</v>
      </c>
      <c r="AT194">
        <f>IF(ISNUMBER(INDEX(Haver_M!$B$1:$ZN$1000,MATCH(data!$A194,Haver_M!$B$1:$B$1000,0),MATCH(data!AT$1,Haver_M!$B$1:$ZN$1,0))),INDEX(Haver_M!$B$1:$ZN$1000,MATCH(data!$A194,Haver_M!$B$1:$B$1000,0),MATCH(data!AT$1,Haver_M!$B$1:$ZN$1,0)),"na")</f>
        <v>108.20099999999999</v>
      </c>
      <c r="AU194">
        <f>IF(ISNUMBER(INDEX(Haver_M!$B$1:$ZN$1000,MATCH(data!$A194,Haver_M!$B$1:$B$1000,0),MATCH(data!AU$1,Haver_M!$B$1:$ZN$1,0))),INDEX(Haver_M!$B$1:$ZN$1000,MATCH(data!$A194,Haver_M!$B$1:$B$1000,0),MATCH(data!AU$1,Haver_M!$B$1:$ZN$1,0)),"na")</f>
        <v>107.017753</v>
      </c>
      <c r="AV194">
        <f>IF(ISNUMBER(INDEX(Haver_M!$B$1:$ZN$1000,MATCH(data!$A194,Haver_M!$B$1:$B$1000,0),MATCH(data!AV$1,Haver_M!$B$1:$ZN$1,0))),INDEX(Haver_M!$B$1:$ZN$1000,MATCH(data!$A194,Haver_M!$B$1:$B$1000,0),MATCH(data!AV$1,Haver_M!$B$1:$ZN$1,0)),"na")</f>
        <v>106.3</v>
      </c>
      <c r="AW194">
        <f>IF(ISNUMBER(INDEX(Haver_M!$B$1:$ZN$1000,MATCH(data!$A194,Haver_M!$B$1:$B$1000,0),MATCH(data!AW$1,Haver_M!$B$1:$ZN$1,0))),INDEX(Haver_M!$B$1:$ZN$1000,MATCH(data!$A194,Haver_M!$B$1:$B$1000,0),MATCH(data!AW$1,Haver_M!$B$1:$ZN$1,0)),"na")</f>
        <v>1548213.3240910626</v>
      </c>
      <c r="AX194">
        <f>IF(ISNUMBER(INDEX(Haver_M!$B$1:$ZN$1000,MATCH(data!$A194,Haver_M!$B$1:$B$1000,0),MATCH(data!AX$1,Haver_M!$B$1:$ZN$1,0))),INDEX(Haver_M!$B$1:$ZN$1000,MATCH(data!$A194,Haver_M!$B$1:$B$1000,0),MATCH(data!AX$1,Haver_M!$B$1:$ZN$1,0)),"na")</f>
        <v>2262</v>
      </c>
      <c r="AY194">
        <f>IF(ISNUMBER(INDEX(Haver_M!$B$1:$ZN$1000,MATCH(data!$A194,Haver_M!$B$1:$B$1000,0),MATCH(data!AY$1,Haver_M!$B$1:$ZN$1,0))),INDEX(Haver_M!$B$1:$ZN$1000,MATCH(data!$A194,Haver_M!$B$1:$B$1000,0),MATCH(data!AY$1,Haver_M!$B$1:$ZN$1,0)),"na")</f>
        <v>1119</v>
      </c>
      <c r="AZ194">
        <f>IF(ISNUMBER(INDEX(Haver_M!$B$1:$ZN$1000,MATCH(data!$A194,Haver_M!$B$1:$B$1000,0),MATCH(data!AZ$1,Haver_M!$B$1:$ZN$1,0))),INDEX(Haver_M!$B$1:$ZN$1000,MATCH(data!$A194,Haver_M!$B$1:$B$1000,0),MATCH(data!AZ$1,Haver_M!$B$1:$ZN$1,0)),"na")</f>
        <v>53.7</v>
      </c>
      <c r="BA194">
        <f>IF(ISNUMBER(INDEX(Haver_M!$B$1:$ZN$1000,MATCH(data!$A194,Haver_M!$B$1:$B$1000,0),MATCH(data!BA$1,Haver_M!$B$1:$ZN$1,0))),INDEX(Haver_M!$B$1:$ZN$1000,MATCH(data!$A194,Haver_M!$B$1:$B$1000,0),MATCH(data!BA$1,Haver_M!$B$1:$ZN$1,0)),"na")</f>
        <v>36.678793727432904</v>
      </c>
      <c r="BB194" t="str">
        <f>IF(ISNUMBER(INDEX(Haver_M!$B$1:$ZN$1000,MATCH(data!$A194,Haver_M!$B$1:$B$1000,0),MATCH(data!BB$1,Haver_M!$B$1:$ZN$1,0))),INDEX(Haver_M!$B$1:$ZN$1000,MATCH(data!$A194,Haver_M!$B$1:$B$1000,0),MATCH(data!BB$1,Haver_M!$B$1:$ZN$1,0)),"")</f>
        <v/>
      </c>
    </row>
    <row r="195" spans="1:54" x14ac:dyDescent="0.25">
      <c r="A195" s="2">
        <v>42429</v>
      </c>
      <c r="B195" t="str">
        <f>IF(ISNUMBER(INDEX(Haver_Q!$B$1:$BD$1000,MATCH(data!$A195,Haver_Q!$B$1:$B$1000,0),MATCH(data!B$1,Haver_Q!$B$1:$BD$1,0))),100*INDEX(Haver_Q!$B$1:$BD$1000,MATCH(data!$A195,Haver_Q!$B$1:$B$1000,0),MATCH(data!B$1,Haver_Q!$B$1:$BD$1,0)),"na")</f>
        <v>na</v>
      </c>
      <c r="C195" t="str">
        <f>IF(ISNUMBER(INDEX(Haver_Q!$B$1:$BD$1000,MATCH(data!$A195,Haver_Q!$B$1:$B$1000,0),MATCH(data!C$1,Haver_Q!$B$1:$BD$1,0))),100*INDEX(Haver_Q!$B$1:$BD$1000,MATCH(data!$A195,Haver_Q!$B$1:$B$1000,0),MATCH(data!C$1,Haver_Q!$B$1:$BD$1,0)),"na")</f>
        <v>na</v>
      </c>
      <c r="D195" t="str">
        <f>IF(ISNUMBER(INDEX(Haver_Q!$B$1:$BD$1000,MATCH(data!$A195,Haver_Q!$B$1:$B$1000,0),MATCH(data!D$1,Haver_Q!$B$1:$BD$1,0))),100*INDEX(Haver_Q!$B$1:$BD$1000,MATCH(data!$A195,Haver_Q!$B$1:$B$1000,0),MATCH(data!D$1,Haver_Q!$B$1:$BD$1,0)),"na")</f>
        <v>na</v>
      </c>
      <c r="E195" t="str">
        <f>IF(ISNUMBER(INDEX(Haver_Q!$B$1:$BD$1000,MATCH(data!$A195,Haver_Q!$B$1:$B$1000,0),MATCH(data!E$1,Haver_Q!$B$1:$BD$1,0))),100*INDEX(Haver_Q!$B$1:$BD$1000,MATCH(data!$A195,Haver_Q!$B$1:$B$1000,0),MATCH(data!E$1,Haver_Q!$B$1:$BD$1,0)),"na")</f>
        <v>na</v>
      </c>
      <c r="F195" t="str">
        <f>IF(ISNUMBER(INDEX(Haver_Q!$B$1:$BD$1000,MATCH(data!$A195,Haver_Q!$B$1:$B$1000,0),MATCH(data!F$1,Haver_Q!$B$1:$BD$1,0))),100*INDEX(Haver_Q!$B$1:$BD$1000,MATCH(data!$A195,Haver_Q!$B$1:$B$1000,0),MATCH(data!F$1,Haver_Q!$B$1:$BD$1,0)),"na")</f>
        <v>na</v>
      </c>
      <c r="G195" t="str">
        <f>IF(ISNUMBER(INDEX(Haver_Q!$B$1:$BD$1000,MATCH(data!$A195,Haver_Q!$B$1:$B$1000,0),MATCH(data!G$1,Haver_Q!$B$1:$BD$1,0))),100*INDEX(Haver_Q!$B$1:$BD$1000,MATCH(data!$A195,Haver_Q!$B$1:$B$1000,0),MATCH(data!G$1,Haver_Q!$B$1:$BD$1,0)),"na")</f>
        <v>na</v>
      </c>
      <c r="H195" t="str">
        <f>IF(ISNUMBER(INDEX(Haver_Q!$B$1:$BD$1000,MATCH(data!$A195,Haver_Q!$B$1:$B$1000,0),MATCH(data!H$1,Haver_Q!$B$1:$BD$1,0))),100*INDEX(Haver_Q!$B$1:$BD$1000,MATCH(data!$A195,Haver_Q!$B$1:$B$1000,0),MATCH(data!H$1,Haver_Q!$B$1:$BD$1,0)),"na")</f>
        <v>na</v>
      </c>
      <c r="I195" s="3">
        <f>IF(ISNUMBER(Bloomberg_m!C211),Bloomberg_m!C211,"na")</f>
        <v>307</v>
      </c>
      <c r="J195" s="3">
        <f>IF(ISNUMBER(Bloomberg_m!D211),Bloomberg_m!D211,"na")</f>
        <v>1013.25</v>
      </c>
      <c r="K195" s="3">
        <f>IF(ISNUMBER(Bloomberg_m!E211),Bloomberg_m!E211,"na")</f>
        <v>507.05</v>
      </c>
      <c r="L195" s="3">
        <f>IF(ISNUMBER(Bloomberg_m!L211),Bloomberg_m!L211,"na")</f>
        <v>30.39</v>
      </c>
      <c r="M195">
        <f>IF(ISNUMBER(INDEX(Haver_M!$B$1:$ZN$1000,MATCH(data!$A195,Haver_M!$B$1:$B$1000,0),MATCH(data!M$1,Haver_M!$B$1:$ZN$1,0))),INDEX(Haver_M!$B$1:$ZN$1000,MATCH(data!$A195,Haver_M!$B$1:$B$1000,0),MATCH(data!M$1,Haver_M!$B$1:$ZN$1,0)),"na")</f>
        <v>3.75</v>
      </c>
      <c r="N195">
        <f>IF(ISNUMBER(INDEX(Haver_M!$B$1:$ZN$1000,MATCH(data!$A195,Haver_M!$B$1:$B$1000,0),MATCH(data!N$1,Haver_M!$B$1:$ZN$1,0))),INDEX(Haver_M!$B$1:$ZN$1000,MATCH(data!$A195,Haver_M!$B$1:$B$1000,0),MATCH(data!N$1,Haver_M!$B$1:$ZN$1,0)),"na")</f>
        <v>6.0773999999999999</v>
      </c>
      <c r="O195">
        <f>IF(ISNUMBER(INDEX(Haver_M!$B$1:$ZN$1000,MATCH(data!$A195,Haver_M!$B$1:$B$1000,0),MATCH(data!O$1,Haver_M!$B$1:$ZN$1,0))),INDEX(Haver_M!$B$1:$ZN$1000,MATCH(data!$A195,Haver_M!$B$1:$B$1000,0),MATCH(data!O$1,Haver_M!$B$1:$ZN$1,0)),"na")</f>
        <v>80.966290000000001</v>
      </c>
      <c r="P195">
        <f>IF(ISNUMBER(INDEX(Haver_M!$B$1:$ZN$1000,MATCH(data!$A195,Haver_M!$B$1:$B$1000,0),MATCH(data!P$1,Haver_M!$B$1:$ZN$1,0))),INDEX(Haver_M!$B$1:$ZN$1000,MATCH(data!$A195,Haver_M!$B$1:$B$1000,0),MATCH(data!P$1,Haver_M!$B$1:$ZN$1,0)),"na")</f>
        <v>89.123199999999997</v>
      </c>
      <c r="Q195">
        <f>IF(ISNUMBER(INDEX(Haver_M!$B$1:$ZN$1000,MATCH(data!$A195,Haver_M!$B$1:$B$1000,0),MATCH(data!Q$1,Haver_M!$B$1:$ZN$1,0))),INDEX(Haver_M!$B$1:$ZN$1000,MATCH(data!$A195,Haver_M!$B$1:$B$1000,0),MATCH(data!Q$1,Haver_M!$B$1:$ZN$1,0)),"na")</f>
        <v>90.698099999999997</v>
      </c>
      <c r="R195">
        <f>IF(ISNUMBER(INDEX(Haver_M!$B$1:$ZN$1000,MATCH(data!$A195,Haver_M!$B$1:$B$1000,0),MATCH(data!R$1,Haver_M!$B$1:$ZN$1,0))),INDEX(Haver_M!$B$1:$ZN$1000,MATCH(data!$A195,Haver_M!$B$1:$B$1000,0),MATCH(data!R$1,Haver_M!$B$1:$ZN$1,0)),"na")</f>
        <v>104.51090000000001</v>
      </c>
      <c r="S195">
        <f>IF(ISNUMBER(INDEX(Haver_M!$B$1:$ZN$1000,MATCH(data!$A195,Haver_M!$B$1:$B$1000,0),MATCH(data!S$1,Haver_M!$B$1:$ZN$1,0))),INDEX(Haver_M!$B$1:$ZN$1000,MATCH(data!$A195,Haver_M!$B$1:$B$1000,0),MATCH(data!S$1,Haver_M!$B$1:$ZN$1,0)),"na")</f>
        <v>92.766900000000007</v>
      </c>
      <c r="T195">
        <f>IF(ISNUMBER(INDEX(Haver_M!$B$1:$ZN$1000,MATCH(data!$A195,Haver_M!$B$1:$B$1000,0),MATCH(data!T$1,Haver_M!$B$1:$ZN$1,0))),INDEX(Haver_M!$B$1:$ZN$1000,MATCH(data!$A195,Haver_M!$B$1:$B$1000,0),MATCH(data!T$1,Haver_M!$B$1:$ZN$1,0)),"na")</f>
        <v>109.6947</v>
      </c>
      <c r="U195">
        <f>IF(ISNUMBER(INDEX(Haver_M!$B$1:$ZN$1000,MATCH(data!$A195,Haver_M!$B$1:$B$1000,0),MATCH(data!U$1,Haver_M!$B$1:$ZN$1,0))),INDEX(Haver_M!$B$1:$ZN$1000,MATCH(data!$A195,Haver_M!$B$1:$B$1000,0),MATCH(data!U$1,Haver_M!$B$1:$ZN$1,0)),"na")</f>
        <v>106.952</v>
      </c>
      <c r="V195">
        <f>IF(ISNUMBER(INDEX(Haver_M!$B$1:$ZN$1000,MATCH(data!$A195,Haver_M!$B$1:$B$1000,0),MATCH(data!V$1,Haver_M!$B$1:$ZN$1,0))),INDEX(Haver_M!$B$1:$ZN$1000,MATCH(data!$A195,Haver_M!$B$1:$B$1000,0),MATCH(data!V$1,Haver_M!$B$1:$ZN$1,0)),"na")</f>
        <v>108.2602</v>
      </c>
      <c r="W195">
        <f>IF(ISNUMBER(INDEX(Haver_M!$B$1:$ZN$1000,MATCH(data!$A195,Haver_M!$B$1:$B$1000,0),MATCH(data!W$1,Haver_M!$B$1:$ZN$1,0))),INDEX(Haver_M!$B$1:$ZN$1000,MATCH(data!$A195,Haver_M!$B$1:$B$1000,0),MATCH(data!W$1,Haver_M!$B$1:$ZN$1,0)),"na")</f>
        <v>4.2699999999999996</v>
      </c>
      <c r="X195">
        <f>IF(ISNUMBER(INDEX(Haver_M!$B$1:$ZN$1000,MATCH(data!$A195,Haver_M!$B$1:$B$1000,0),MATCH(data!X$1,Haver_M!$B$1:$ZN$1,0))),INDEX(Haver_M!$B$1:$ZN$1000,MATCH(data!$A195,Haver_M!$B$1:$B$1000,0),MATCH(data!X$1,Haver_M!$B$1:$ZN$1,0)),"na")</f>
        <v>101.99</v>
      </c>
      <c r="Y195">
        <f>IF(ISNUMBER(INDEX(Haver_M!$B$1:$ZN$1000,MATCH(data!$A195,Haver_M!$B$1:$B$1000,0),MATCH(data!Y$1,Haver_M!$B$1:$ZN$1,0))),INDEX(Haver_M!$B$1:$ZN$1000,MATCH(data!$A195,Haver_M!$B$1:$B$1000,0),MATCH(data!Y$1,Haver_M!$B$1:$ZN$1,0)),"na")</f>
        <v>99.91</v>
      </c>
      <c r="Z195">
        <f>IF(ISNUMBER(INDEX(Haver_M!$B$1:$ZN$1000,MATCH(data!$A195,Haver_M!$B$1:$B$1000,0),MATCH(data!Z$1,Haver_M!$B$1:$ZN$1,0))),INDEX(Haver_M!$B$1:$ZN$1000,MATCH(data!$A195,Haver_M!$B$1:$B$1000,0),MATCH(data!Z$1,Haver_M!$B$1:$ZN$1,0)),"na")</f>
        <v>108.913</v>
      </c>
      <c r="AA195">
        <f>IF(ISNUMBER(INDEX(Haver_M!$B$1:$ZN$1000,MATCH(data!$A195,Haver_M!$B$1:$B$1000,0),MATCH(data!AA$1,Haver_M!$B$1:$ZN$1,0))),INDEX(Haver_M!$B$1:$ZN$1000,MATCH(data!$A195,Haver_M!$B$1:$B$1000,0),MATCH(data!AA$1,Haver_M!$B$1:$ZN$1,0)),"na")</f>
        <v>104.3755</v>
      </c>
      <c r="AB195">
        <f>IF(ISNUMBER(INDEX(Haver_M!$B$1:$ZN$1000,MATCH(data!$A195,Haver_M!$B$1:$B$1000,0),MATCH(data!AB$1,Haver_M!$B$1:$ZN$1,0))),INDEX(Haver_M!$B$1:$ZN$1000,MATCH(data!$A195,Haver_M!$B$1:$B$1000,0),MATCH(data!AB$1,Haver_M!$B$1:$ZN$1,0)),"na")</f>
        <v>29759.7</v>
      </c>
      <c r="AC195">
        <f>IF(ISNUMBER(INDEX(Haver_M!$B$1:$ZN$1000,MATCH(data!$A195,Haver_M!$B$1:$B$1000,0),MATCH(data!AC$1,Haver_M!$B$1:$ZN$1,0))),INDEX(Haver_M!$B$1:$ZN$1000,MATCH(data!$A195,Haver_M!$B$1:$B$1000,0),MATCH(data!AC$1,Haver_M!$B$1:$ZN$1,0)),"na")</f>
        <v>31591.5</v>
      </c>
      <c r="AD195">
        <f>IF(ISNUMBER(INDEX(Haver_M!$B$1:$ZN$1000,MATCH(data!$A195,Haver_M!$B$1:$B$1000,0),MATCH(data!AD$1,Haver_M!$B$1:$ZN$1,0))),INDEX(Haver_M!$B$1:$ZN$1000,MATCH(data!$A195,Haver_M!$B$1:$B$1000,0),MATCH(data!AD$1,Haver_M!$B$1:$ZN$1,0)),"na")</f>
        <v>99.91</v>
      </c>
      <c r="AE195">
        <f>IF(ISNUMBER(INDEX(Haver_M!$B$1:$ZN$1000,MATCH(data!$A195,Haver_M!$B$1:$B$1000,0),MATCH(data!AE$1,Haver_M!$B$1:$ZN$1,0))),INDEX(Haver_M!$B$1:$ZN$1000,MATCH(data!$A195,Haver_M!$B$1:$B$1000,0),MATCH(data!AE$1,Haver_M!$B$1:$ZN$1,0)),"na")</f>
        <v>37.700000000000003</v>
      </c>
      <c r="AF195">
        <f>IF(ISNUMBER(INDEX(Haver_M!$B$1:$ZN$1000,MATCH(data!$A195,Haver_M!$B$1:$B$1000,0),MATCH(data!AF$1,Haver_M!$B$1:$ZN$1,0))),INDEX(Haver_M!$B$1:$ZN$1000,MATCH(data!$A195,Haver_M!$B$1:$B$1000,0),MATCH(data!AF$1,Haver_M!$B$1:$ZN$1,0)),"na")</f>
        <v>99.51</v>
      </c>
      <c r="AG195">
        <f>IF(ISNUMBER(INDEX(Haver_M!$B$1:$ZN$1000,MATCH(data!$A195,Haver_M!$B$1:$B$1000,0),MATCH(data!AG$1,Haver_M!$B$1:$ZN$1,0))),INDEX(Haver_M!$B$1:$ZN$1000,MATCH(data!$A195,Haver_M!$B$1:$B$1000,0),MATCH(data!AG$1,Haver_M!$B$1:$ZN$1,0)),"na")</f>
        <v>53.077399999999997</v>
      </c>
      <c r="AH195">
        <f>IF(ISNUMBER(INDEX(Haver_M!$B$1:$ZN$1000,MATCH(data!$A195,Haver_M!$B$1:$B$1000,0),MATCH(data!AH$1,Haver_M!$B$1:$ZN$1,0))),INDEX(Haver_M!$B$1:$ZN$1000,MATCH(data!$A195,Haver_M!$B$1:$B$1000,0),MATCH(data!AH$1,Haver_M!$B$1:$ZN$1,0)),"na")</f>
        <v>52.357500000000002</v>
      </c>
      <c r="AI195">
        <f>IF(ISNUMBER(INDEX(Haver_M!$B$1:$ZN$1000,MATCH(data!$A195,Haver_M!$B$1:$B$1000,0),MATCH(data!AI$1,Haver_M!$B$1:$ZN$1,0))),INDEX(Haver_M!$B$1:$ZN$1000,MATCH(data!$A195,Haver_M!$B$1:$B$1000,0),MATCH(data!AI$1,Haver_M!$B$1:$ZN$1,0)),"na")</f>
        <v>55.719900000000003</v>
      </c>
      <c r="AJ195">
        <f>IF(ISNUMBER(INDEX(Haver_M!$B$1:$ZN$1000,MATCH(data!$A195,Haver_M!$B$1:$B$1000,0),MATCH(data!AJ$1,Haver_M!$B$1:$ZN$1,0))),INDEX(Haver_M!$B$1:$ZN$1000,MATCH(data!$A195,Haver_M!$B$1:$B$1000,0),MATCH(data!AJ$1,Haver_M!$B$1:$ZN$1,0)),"na")</f>
        <v>52.884700000000002</v>
      </c>
      <c r="AK195">
        <f>IF(ISNUMBER(INDEX(Haver_M!$B$1:$ZN$1000,MATCH(data!$A195,Haver_M!$B$1:$B$1000,0),MATCH(data!AK$1,Haver_M!$B$1:$ZN$1,0))),INDEX(Haver_M!$B$1:$ZN$1000,MATCH(data!$A195,Haver_M!$B$1:$B$1000,0),MATCH(data!AK$1,Haver_M!$B$1:$ZN$1,0)),"na")</f>
        <v>48.868099999999998</v>
      </c>
      <c r="AL195">
        <f>IF(ISNUMBER(INDEX(Haver_M!$B$1:$ZN$1000,MATCH(data!$A195,Haver_M!$B$1:$B$1000,0),MATCH(data!AL$1,Haver_M!$B$1:$ZN$1,0))),INDEX(Haver_M!$B$1:$ZN$1000,MATCH(data!$A195,Haver_M!$B$1:$B$1000,0),MATCH(data!AL$1,Haver_M!$B$1:$ZN$1,0)),"na")</f>
        <v>50.253</v>
      </c>
      <c r="AM195">
        <f>IF(ISNUMBER(INDEX(Haver_M!$B$1:$ZN$1000,MATCH(data!$A195,Haver_M!$B$1:$B$1000,0),MATCH(data!AM$1,Haver_M!$B$1:$ZN$1,0))),INDEX(Haver_M!$B$1:$ZN$1000,MATCH(data!$A195,Haver_M!$B$1:$B$1000,0),MATCH(data!AM$1,Haver_M!$B$1:$ZN$1,0)),"na")</f>
        <v>64.030500000000004</v>
      </c>
      <c r="AN195">
        <f>IF(ISNUMBER(INDEX(Haver_M!$B$1:$ZN$1000,MATCH(data!$A195,Haver_M!$B$1:$B$1000,0),MATCH(data!AN$1,Haver_M!$B$1:$ZN$1,0))),INDEX(Haver_M!$B$1:$ZN$1000,MATCH(data!$A195,Haver_M!$B$1:$B$1000,0),MATCH(data!AN$1,Haver_M!$B$1:$ZN$1,0)),"na")</f>
        <v>51.707900000000002</v>
      </c>
      <c r="AO195">
        <f>IF(ISNUMBER(INDEX(Haver_M!$B$1:$ZN$1000,MATCH(data!$A195,Haver_M!$B$1:$B$1000,0),MATCH(data!AO$1,Haver_M!$B$1:$ZN$1,0))),INDEX(Haver_M!$B$1:$ZN$1000,MATCH(data!$A195,Haver_M!$B$1:$B$1000,0),MATCH(data!AO$1,Haver_M!$B$1:$ZN$1,0)),"na")</f>
        <v>50.253</v>
      </c>
      <c r="AP195">
        <f>IF(ISNUMBER(INDEX(Haver_M!$B$1:$ZN$1000,MATCH(data!$A195,Haver_M!$B$1:$B$1000,0),MATCH(data!AP$1,Haver_M!$B$1:$ZN$1,0))),INDEX(Haver_M!$B$1:$ZN$1000,MATCH(data!$A195,Haver_M!$B$1:$B$1000,0),MATCH(data!AP$1,Haver_M!$B$1:$ZN$1,0)),"na")</f>
        <v>52.972000000000001</v>
      </c>
      <c r="AQ195">
        <f>IF(ISNUMBER(INDEX(Haver_M!$B$1:$ZN$1000,MATCH(data!$A195,Haver_M!$B$1:$B$1000,0),MATCH(data!AQ$1,Haver_M!$B$1:$ZN$1,0))),INDEX(Haver_M!$B$1:$ZN$1000,MATCH(data!$A195,Haver_M!$B$1:$B$1000,0),MATCH(data!AQ$1,Haver_M!$B$1:$ZN$1,0)),"na")</f>
        <v>53.823500000000003</v>
      </c>
      <c r="AR195">
        <f>IF(ISNUMBER(INDEX(Haver_M!$B$1:$ZN$1000,MATCH(data!$A195,Haver_M!$B$1:$B$1000,0),MATCH(data!AR$1,Haver_M!$B$1:$ZN$1,0))),INDEX(Haver_M!$B$1:$ZN$1000,MATCH(data!$A195,Haver_M!$B$1:$B$1000,0),MATCH(data!AR$1,Haver_M!$B$1:$ZN$1,0)),"na")</f>
        <v>49.005299999999998</v>
      </c>
      <c r="AS195">
        <f>IF(ISNUMBER(INDEX(Haver_M!$B$1:$ZN$1000,MATCH(data!$A195,Haver_M!$B$1:$B$1000,0),MATCH(data!AS$1,Haver_M!$B$1:$ZN$1,0))),INDEX(Haver_M!$B$1:$ZN$1000,MATCH(data!$A195,Haver_M!$B$1:$B$1000,0),MATCH(data!AS$1,Haver_M!$B$1:$ZN$1,0)),"na")</f>
        <v>43158.02</v>
      </c>
      <c r="AT195">
        <f>IF(ISNUMBER(INDEX(Haver_M!$B$1:$ZN$1000,MATCH(data!$A195,Haver_M!$B$1:$B$1000,0),MATCH(data!AT$1,Haver_M!$B$1:$ZN$1,0))),INDEX(Haver_M!$B$1:$ZN$1000,MATCH(data!$A195,Haver_M!$B$1:$B$1000,0),MATCH(data!AT$1,Haver_M!$B$1:$ZN$1,0)),"na")</f>
        <v>108.65600000000001</v>
      </c>
      <c r="AU195">
        <f>IF(ISNUMBER(INDEX(Haver_M!$B$1:$ZN$1000,MATCH(data!$A195,Haver_M!$B$1:$B$1000,0),MATCH(data!AU$1,Haver_M!$B$1:$ZN$1,0))),INDEX(Haver_M!$B$1:$ZN$1000,MATCH(data!$A195,Haver_M!$B$1:$B$1000,0),MATCH(data!AU$1,Haver_M!$B$1:$ZN$1,0)),"na")</f>
        <v>107.69347</v>
      </c>
      <c r="AV195">
        <f>IF(ISNUMBER(INDEX(Haver_M!$B$1:$ZN$1000,MATCH(data!$A195,Haver_M!$B$1:$B$1000,0),MATCH(data!AV$1,Haver_M!$B$1:$ZN$1,0))),INDEX(Haver_M!$B$1:$ZN$1000,MATCH(data!$A195,Haver_M!$B$1:$B$1000,0),MATCH(data!AV$1,Haver_M!$B$1:$ZN$1,0)),"na")</f>
        <v>108.8</v>
      </c>
      <c r="AW195">
        <f>IF(ISNUMBER(INDEX(Haver_M!$B$1:$ZN$1000,MATCH(data!$A195,Haver_M!$B$1:$B$1000,0),MATCH(data!AW$1,Haver_M!$B$1:$ZN$1,0))),INDEX(Haver_M!$B$1:$ZN$1000,MATCH(data!$A195,Haver_M!$B$1:$B$1000,0),MATCH(data!AW$1,Haver_M!$B$1:$ZN$1,0)),"na")</f>
        <v>1554051.020668474</v>
      </c>
      <c r="AX195">
        <f>IF(ISNUMBER(INDEX(Haver_M!$B$1:$ZN$1000,MATCH(data!$A195,Haver_M!$B$1:$B$1000,0),MATCH(data!AX$1,Haver_M!$B$1:$ZN$1,0))),INDEX(Haver_M!$B$1:$ZN$1000,MATCH(data!$A195,Haver_M!$B$1:$B$1000,0),MATCH(data!AX$1,Haver_M!$B$1:$ZN$1,0)),"na")</f>
        <v>2218</v>
      </c>
      <c r="AY195">
        <f>IF(ISNUMBER(INDEX(Haver_M!$B$1:$ZN$1000,MATCH(data!$A195,Haver_M!$B$1:$B$1000,0),MATCH(data!AY$1,Haver_M!$B$1:$ZN$1,0))),INDEX(Haver_M!$B$1:$ZN$1000,MATCH(data!$A195,Haver_M!$B$1:$B$1000,0),MATCH(data!AY$1,Haver_M!$B$1:$ZN$1,0)),"na")</f>
        <v>1241</v>
      </c>
      <c r="AZ195">
        <f>IF(ISNUMBER(INDEX(Haver_M!$B$1:$ZN$1000,MATCH(data!$A195,Haver_M!$B$1:$B$1000,0),MATCH(data!AZ$1,Haver_M!$B$1:$ZN$1,0))),INDEX(Haver_M!$B$1:$ZN$1000,MATCH(data!$A195,Haver_M!$B$1:$B$1000,0),MATCH(data!AZ$1,Haver_M!$B$1:$ZN$1,0)),"na")</f>
        <v>53.4</v>
      </c>
      <c r="BA195">
        <f>IF(ISNUMBER(INDEX(Haver_M!$B$1:$ZN$1000,MATCH(data!$A195,Haver_M!$B$1:$B$1000,0),MATCH(data!BA$1,Haver_M!$B$1:$ZN$1,0))),INDEX(Haver_M!$B$1:$ZN$1000,MATCH(data!$A195,Haver_M!$B$1:$B$1000,0),MATCH(data!BA$1,Haver_M!$B$1:$ZN$1,0)),"na")</f>
        <v>38.647437378918191</v>
      </c>
      <c r="BB195" t="str">
        <f>IF(ISNUMBER(INDEX(Haver_M!$B$1:$ZN$1000,MATCH(data!$A195,Haver_M!$B$1:$B$1000,0),MATCH(data!BB$1,Haver_M!$B$1:$ZN$1,0))),INDEX(Haver_M!$B$1:$ZN$1000,MATCH(data!$A195,Haver_M!$B$1:$B$1000,0),MATCH(data!BB$1,Haver_M!$B$1:$ZN$1,0)),"")</f>
        <v/>
      </c>
    </row>
    <row r="196" spans="1:54" x14ac:dyDescent="0.25">
      <c r="A196" s="2">
        <v>42460</v>
      </c>
      <c r="B196">
        <f>IF(ISNUMBER(INDEX(Haver_Q!$B$1:$BD$1000,MATCH(data!$A196,Haver_Q!$B$1:$B$1000,0),MATCH(data!B$1,Haver_Q!$B$1:$BD$1,0))),100*INDEX(Haver_Q!$B$1:$BD$1000,MATCH(data!$A196,Haver_Q!$B$1:$B$1000,0),MATCH(data!B$1,Haver_Q!$B$1:$BD$1,0)),"na")</f>
        <v>2.3841820867841035</v>
      </c>
      <c r="C196">
        <f>IF(ISNUMBER(INDEX(Haver_Q!$B$1:$BD$1000,MATCH(data!$A196,Haver_Q!$B$1:$B$1000,0),MATCH(data!C$1,Haver_Q!$B$1:$BD$1,0))),100*INDEX(Haver_Q!$B$1:$BD$1000,MATCH(data!$A196,Haver_Q!$B$1:$B$1000,0),MATCH(data!C$1,Haver_Q!$B$1:$BD$1,0)),"na")</f>
        <v>3.2979395083306606</v>
      </c>
      <c r="D196">
        <f>IF(ISNUMBER(INDEX(Haver_Q!$B$1:$BD$1000,MATCH(data!$A196,Haver_Q!$B$1:$B$1000,0),MATCH(data!D$1,Haver_Q!$B$1:$BD$1,0))),100*INDEX(Haver_Q!$B$1:$BD$1000,MATCH(data!$A196,Haver_Q!$B$1:$B$1000,0),MATCH(data!D$1,Haver_Q!$B$1:$BD$1,0)),"na")</f>
        <v>2.653772266630039</v>
      </c>
      <c r="E196">
        <f>IF(ISNUMBER(INDEX(Haver_Q!$B$1:$BD$1000,MATCH(data!$A196,Haver_Q!$B$1:$B$1000,0),MATCH(data!E$1,Haver_Q!$B$1:$BD$1,0))),100*INDEX(Haver_Q!$B$1:$BD$1000,MATCH(data!$A196,Haver_Q!$B$1:$B$1000,0),MATCH(data!E$1,Haver_Q!$B$1:$BD$1,0)),"na")</f>
        <v>6.0872031372513513</v>
      </c>
      <c r="F196">
        <f>IF(ISNUMBER(INDEX(Haver_Q!$B$1:$BD$1000,MATCH(data!$A196,Haver_Q!$B$1:$B$1000,0),MATCH(data!F$1,Haver_Q!$B$1:$BD$1,0))),100*INDEX(Haver_Q!$B$1:$BD$1000,MATCH(data!$A196,Haver_Q!$B$1:$B$1000,0),MATCH(data!F$1,Haver_Q!$B$1:$BD$1,0)),"na")</f>
        <v>-0.13603477214516602</v>
      </c>
      <c r="G196">
        <f>IF(ISNUMBER(INDEX(Haver_Q!$B$1:$BD$1000,MATCH(data!$A196,Haver_Q!$B$1:$B$1000,0),MATCH(data!G$1,Haver_Q!$B$1:$BD$1,0))),100*INDEX(Haver_Q!$B$1:$BD$1000,MATCH(data!$A196,Haver_Q!$B$1:$B$1000,0),MATCH(data!G$1,Haver_Q!$B$1:$BD$1,0)),"na")</f>
        <v>-2.2339888121712503</v>
      </c>
      <c r="H196">
        <f>IF(ISNUMBER(INDEX(Haver_Q!$B$1:$BD$1000,MATCH(data!$A196,Haver_Q!$B$1:$B$1000,0),MATCH(data!H$1,Haver_Q!$B$1:$BD$1,0))),100*INDEX(Haver_Q!$B$1:$BD$1000,MATCH(data!$A196,Haver_Q!$B$1:$B$1000,0),MATCH(data!H$1,Haver_Q!$B$1:$BD$1,0)),"na")</f>
        <v>409.79582458981588</v>
      </c>
      <c r="I196" s="3">
        <f>IF(ISNUMBER(Bloomberg_m!C212),Bloomberg_m!C212,"na")</f>
        <v>383</v>
      </c>
      <c r="J196" s="3">
        <f>IF(ISNUMBER(Bloomberg_m!D212),Bloomberg_m!D212,"na")</f>
        <v>723.69</v>
      </c>
      <c r="K196" s="3">
        <f>IF(ISNUMBER(Bloomberg_m!E212),Bloomberg_m!E212,"na")</f>
        <v>414.13</v>
      </c>
      <c r="L196" s="3">
        <f>IF(ISNUMBER(Bloomberg_m!L212),Bloomberg_m!L212,"na")</f>
        <v>37.770000000000003</v>
      </c>
      <c r="M196">
        <f>IF(ISNUMBER(INDEX(Haver_M!$B$1:$ZN$1000,MATCH(data!$A196,Haver_M!$B$1:$B$1000,0),MATCH(data!M$1,Haver_M!$B$1:$ZN$1,0))),INDEX(Haver_M!$B$1:$ZN$1000,MATCH(data!$A196,Haver_M!$B$1:$B$1000,0),MATCH(data!M$1,Haver_M!$B$1:$ZN$1,0)),"na")</f>
        <v>3.75</v>
      </c>
      <c r="N196">
        <f>IF(ISNUMBER(INDEX(Haver_M!$B$1:$ZN$1000,MATCH(data!$A196,Haver_M!$B$1:$B$1000,0),MATCH(data!N$1,Haver_M!$B$1:$ZN$1,0))),INDEX(Haver_M!$B$1:$ZN$1000,MATCH(data!$A196,Haver_M!$B$1:$B$1000,0),MATCH(data!N$1,Haver_M!$B$1:$ZN$1,0)),"na")</f>
        <v>6.0865</v>
      </c>
      <c r="O196">
        <f>IF(ISNUMBER(INDEX(Haver_M!$B$1:$ZN$1000,MATCH(data!$A196,Haver_M!$B$1:$B$1000,0),MATCH(data!O$1,Haver_M!$B$1:$ZN$1,0))),INDEX(Haver_M!$B$1:$ZN$1000,MATCH(data!$A196,Haver_M!$B$1:$B$1000,0),MATCH(data!O$1,Haver_M!$B$1:$ZN$1,0)),"na")</f>
        <v>83.943010000000001</v>
      </c>
      <c r="P196">
        <f>IF(ISNUMBER(INDEX(Haver_M!$B$1:$ZN$1000,MATCH(data!$A196,Haver_M!$B$1:$B$1000,0),MATCH(data!P$1,Haver_M!$B$1:$ZN$1,0))),INDEX(Haver_M!$B$1:$ZN$1000,MATCH(data!$A196,Haver_M!$B$1:$B$1000,0),MATCH(data!P$1,Haver_M!$B$1:$ZN$1,0)),"na")</f>
        <v>89.202100000000002</v>
      </c>
      <c r="Q196">
        <f>IF(ISNUMBER(INDEX(Haver_M!$B$1:$ZN$1000,MATCH(data!$A196,Haver_M!$B$1:$B$1000,0),MATCH(data!Q$1,Haver_M!$B$1:$ZN$1,0))),INDEX(Haver_M!$B$1:$ZN$1000,MATCH(data!$A196,Haver_M!$B$1:$B$1000,0),MATCH(data!Q$1,Haver_M!$B$1:$ZN$1,0)),"na")</f>
        <v>90.9392</v>
      </c>
      <c r="R196">
        <f>IF(ISNUMBER(INDEX(Haver_M!$B$1:$ZN$1000,MATCH(data!$A196,Haver_M!$B$1:$B$1000,0),MATCH(data!R$1,Haver_M!$B$1:$ZN$1,0))),INDEX(Haver_M!$B$1:$ZN$1000,MATCH(data!$A196,Haver_M!$B$1:$B$1000,0),MATCH(data!R$1,Haver_M!$B$1:$ZN$1,0)),"na")</f>
        <v>103.7871</v>
      </c>
      <c r="S196">
        <f>IF(ISNUMBER(INDEX(Haver_M!$B$1:$ZN$1000,MATCH(data!$A196,Haver_M!$B$1:$B$1000,0),MATCH(data!S$1,Haver_M!$B$1:$ZN$1,0))),INDEX(Haver_M!$B$1:$ZN$1000,MATCH(data!$A196,Haver_M!$B$1:$B$1000,0),MATCH(data!S$1,Haver_M!$B$1:$ZN$1,0)),"na")</f>
        <v>92.433999999999997</v>
      </c>
      <c r="T196">
        <f>IF(ISNUMBER(INDEX(Haver_M!$B$1:$ZN$1000,MATCH(data!$A196,Haver_M!$B$1:$B$1000,0),MATCH(data!T$1,Haver_M!$B$1:$ZN$1,0))),INDEX(Haver_M!$B$1:$ZN$1000,MATCH(data!$A196,Haver_M!$B$1:$B$1000,0),MATCH(data!T$1,Haver_M!$B$1:$ZN$1,0)),"na")</f>
        <v>109.2932</v>
      </c>
      <c r="U196">
        <f>IF(ISNUMBER(INDEX(Haver_M!$B$1:$ZN$1000,MATCH(data!$A196,Haver_M!$B$1:$B$1000,0),MATCH(data!U$1,Haver_M!$B$1:$ZN$1,0))),INDEX(Haver_M!$B$1:$ZN$1000,MATCH(data!$A196,Haver_M!$B$1:$B$1000,0),MATCH(data!U$1,Haver_M!$B$1:$ZN$1,0)),"na")</f>
        <v>106.4979</v>
      </c>
      <c r="V196">
        <f>IF(ISNUMBER(INDEX(Haver_M!$B$1:$ZN$1000,MATCH(data!$A196,Haver_M!$B$1:$B$1000,0),MATCH(data!V$1,Haver_M!$B$1:$ZN$1,0))),INDEX(Haver_M!$B$1:$ZN$1000,MATCH(data!$A196,Haver_M!$B$1:$B$1000,0),MATCH(data!V$1,Haver_M!$B$1:$ZN$1,0)),"na")</f>
        <v>107.6691</v>
      </c>
      <c r="W196">
        <f>IF(ISNUMBER(INDEX(Haver_M!$B$1:$ZN$1000,MATCH(data!$A196,Haver_M!$B$1:$B$1000,0),MATCH(data!W$1,Haver_M!$B$1:$ZN$1,0))),INDEX(Haver_M!$B$1:$ZN$1000,MATCH(data!$A196,Haver_M!$B$1:$B$1000,0),MATCH(data!W$1,Haver_M!$B$1:$ZN$1,0)),"na")</f>
        <v>4.13</v>
      </c>
      <c r="X196">
        <f>IF(ISNUMBER(INDEX(Haver_M!$B$1:$ZN$1000,MATCH(data!$A196,Haver_M!$B$1:$B$1000,0),MATCH(data!X$1,Haver_M!$B$1:$ZN$1,0))),INDEX(Haver_M!$B$1:$ZN$1000,MATCH(data!$A196,Haver_M!$B$1:$B$1000,0),MATCH(data!X$1,Haver_M!$B$1:$ZN$1,0)),"na")</f>
        <v>102.47</v>
      </c>
      <c r="Y196">
        <f>IF(ISNUMBER(INDEX(Haver_M!$B$1:$ZN$1000,MATCH(data!$A196,Haver_M!$B$1:$B$1000,0),MATCH(data!Y$1,Haver_M!$B$1:$ZN$1,0))),INDEX(Haver_M!$B$1:$ZN$1000,MATCH(data!$A196,Haver_M!$B$1:$B$1000,0),MATCH(data!Y$1,Haver_M!$B$1:$ZN$1,0)),"na")</f>
        <v>99.86</v>
      </c>
      <c r="Z196">
        <f>IF(ISNUMBER(INDEX(Haver_M!$B$1:$ZN$1000,MATCH(data!$A196,Haver_M!$B$1:$B$1000,0),MATCH(data!Z$1,Haver_M!$B$1:$ZN$1,0))),INDEX(Haver_M!$B$1:$ZN$1000,MATCH(data!$A196,Haver_M!$B$1:$B$1000,0),MATCH(data!Z$1,Haver_M!$B$1:$ZN$1,0)),"na")</f>
        <v>109.6746</v>
      </c>
      <c r="AA196">
        <f>IF(ISNUMBER(INDEX(Haver_M!$B$1:$ZN$1000,MATCH(data!$A196,Haver_M!$B$1:$B$1000,0),MATCH(data!AA$1,Haver_M!$B$1:$ZN$1,0))),INDEX(Haver_M!$B$1:$ZN$1000,MATCH(data!$A196,Haver_M!$B$1:$B$1000,0),MATCH(data!AA$1,Haver_M!$B$1:$ZN$1,0)),"na")</f>
        <v>104.2689</v>
      </c>
      <c r="AB196">
        <f>IF(ISNUMBER(INDEX(Haver_M!$B$1:$ZN$1000,MATCH(data!$A196,Haver_M!$B$1:$B$1000,0),MATCH(data!AB$1,Haver_M!$B$1:$ZN$1,0))),INDEX(Haver_M!$B$1:$ZN$1000,MATCH(data!$A196,Haver_M!$B$1:$B$1000,0),MATCH(data!AB$1,Haver_M!$B$1:$ZN$1,0)),"na")</f>
        <v>29163.8</v>
      </c>
      <c r="AC196">
        <f>IF(ISNUMBER(INDEX(Haver_M!$B$1:$ZN$1000,MATCH(data!$A196,Haver_M!$B$1:$B$1000,0),MATCH(data!AC$1,Haver_M!$B$1:$ZN$1,0))),INDEX(Haver_M!$B$1:$ZN$1000,MATCH(data!$A196,Haver_M!$B$1:$B$1000,0),MATCH(data!AC$1,Haver_M!$B$1:$ZN$1,0)),"na")</f>
        <v>31132.3</v>
      </c>
      <c r="AD196">
        <f>IF(ISNUMBER(INDEX(Haver_M!$B$1:$ZN$1000,MATCH(data!$A196,Haver_M!$B$1:$B$1000,0),MATCH(data!AD$1,Haver_M!$B$1:$ZN$1,0))),INDEX(Haver_M!$B$1:$ZN$1000,MATCH(data!$A196,Haver_M!$B$1:$B$1000,0),MATCH(data!AD$1,Haver_M!$B$1:$ZN$1,0)),"na")</f>
        <v>99.9</v>
      </c>
      <c r="AE196">
        <f>IF(ISNUMBER(INDEX(Haver_M!$B$1:$ZN$1000,MATCH(data!$A196,Haver_M!$B$1:$B$1000,0),MATCH(data!AE$1,Haver_M!$B$1:$ZN$1,0))),INDEX(Haver_M!$B$1:$ZN$1000,MATCH(data!$A196,Haver_M!$B$1:$B$1000,0),MATCH(data!AE$1,Haver_M!$B$1:$ZN$1,0)),"na")</f>
        <v>37.200000000000003</v>
      </c>
      <c r="AF196">
        <f>IF(ISNUMBER(INDEX(Haver_M!$B$1:$ZN$1000,MATCH(data!$A196,Haver_M!$B$1:$B$1000,0),MATCH(data!AF$1,Haver_M!$B$1:$ZN$1,0))),INDEX(Haver_M!$B$1:$ZN$1000,MATCH(data!$A196,Haver_M!$B$1:$B$1000,0),MATCH(data!AF$1,Haver_M!$B$1:$ZN$1,0)),"na")</f>
        <v>99.51</v>
      </c>
      <c r="AG196">
        <f>IF(ISNUMBER(INDEX(Haver_M!$B$1:$ZN$1000,MATCH(data!$A196,Haver_M!$B$1:$B$1000,0),MATCH(data!AG$1,Haver_M!$B$1:$ZN$1,0))),INDEX(Haver_M!$B$1:$ZN$1000,MATCH(data!$A196,Haver_M!$B$1:$B$1000,0),MATCH(data!AG$1,Haver_M!$B$1:$ZN$1,0)),"na")</f>
        <v>53.165199999999999</v>
      </c>
      <c r="AH196">
        <f>IF(ISNUMBER(INDEX(Haver_M!$B$1:$ZN$1000,MATCH(data!$A196,Haver_M!$B$1:$B$1000,0),MATCH(data!AH$1,Haver_M!$B$1:$ZN$1,0))),INDEX(Haver_M!$B$1:$ZN$1000,MATCH(data!$A196,Haver_M!$B$1:$B$1000,0),MATCH(data!AH$1,Haver_M!$B$1:$ZN$1,0)),"na")</f>
        <v>53.789099999999998</v>
      </c>
      <c r="AI196">
        <f>IF(ISNUMBER(INDEX(Haver_M!$B$1:$ZN$1000,MATCH(data!$A196,Haver_M!$B$1:$B$1000,0),MATCH(data!AI$1,Haver_M!$B$1:$ZN$1,0))),INDEX(Haver_M!$B$1:$ZN$1000,MATCH(data!$A196,Haver_M!$B$1:$B$1000,0),MATCH(data!AI$1,Haver_M!$B$1:$ZN$1,0)),"na")</f>
        <v>56.593699999999998</v>
      </c>
      <c r="AJ196">
        <f>IF(ISNUMBER(INDEX(Haver_M!$B$1:$ZN$1000,MATCH(data!$A196,Haver_M!$B$1:$B$1000,0),MATCH(data!AJ$1,Haver_M!$B$1:$ZN$1,0))),INDEX(Haver_M!$B$1:$ZN$1000,MATCH(data!$A196,Haver_M!$B$1:$B$1000,0),MATCH(data!AJ$1,Haver_M!$B$1:$ZN$1,0)),"na")</f>
        <v>51.731000000000002</v>
      </c>
      <c r="AK196">
        <f>IF(ISNUMBER(INDEX(Haver_M!$B$1:$ZN$1000,MATCH(data!$A196,Haver_M!$B$1:$B$1000,0),MATCH(data!AK$1,Haver_M!$B$1:$ZN$1,0))),INDEX(Haver_M!$B$1:$ZN$1000,MATCH(data!$A196,Haver_M!$B$1:$B$1000,0),MATCH(data!AK$1,Haver_M!$B$1:$ZN$1,0)),"na")</f>
        <v>50.458300000000001</v>
      </c>
      <c r="AL196">
        <f>IF(ISNUMBER(INDEX(Haver_M!$B$1:$ZN$1000,MATCH(data!$A196,Haver_M!$B$1:$B$1000,0),MATCH(data!AL$1,Haver_M!$B$1:$ZN$1,0))),INDEX(Haver_M!$B$1:$ZN$1000,MATCH(data!$A196,Haver_M!$B$1:$B$1000,0),MATCH(data!AL$1,Haver_M!$B$1:$ZN$1,0)),"na")</f>
        <v>49.623899999999999</v>
      </c>
      <c r="AM196">
        <f>IF(ISNUMBER(INDEX(Haver_M!$B$1:$ZN$1000,MATCH(data!$A196,Haver_M!$B$1:$B$1000,0),MATCH(data!AM$1,Haver_M!$B$1:$ZN$1,0))),INDEX(Haver_M!$B$1:$ZN$1000,MATCH(data!$A196,Haver_M!$B$1:$B$1000,0),MATCH(data!AM$1,Haver_M!$B$1:$ZN$1,0)),"na")</f>
        <v>63.311399999999999</v>
      </c>
      <c r="AN196">
        <f>IF(ISNUMBER(INDEX(Haver_M!$B$1:$ZN$1000,MATCH(data!$A196,Haver_M!$B$1:$B$1000,0),MATCH(data!AN$1,Haver_M!$B$1:$ZN$1,0))),INDEX(Haver_M!$B$1:$ZN$1000,MATCH(data!$A196,Haver_M!$B$1:$B$1000,0),MATCH(data!AN$1,Haver_M!$B$1:$ZN$1,0)),"na")</f>
        <v>54.168500000000002</v>
      </c>
      <c r="AO196">
        <f>IF(ISNUMBER(INDEX(Haver_M!$B$1:$ZN$1000,MATCH(data!$A196,Haver_M!$B$1:$B$1000,0),MATCH(data!AO$1,Haver_M!$B$1:$ZN$1,0))),INDEX(Haver_M!$B$1:$ZN$1000,MATCH(data!$A196,Haver_M!$B$1:$B$1000,0),MATCH(data!AO$1,Haver_M!$B$1:$ZN$1,0)),"na")</f>
        <v>49.623899999999999</v>
      </c>
      <c r="AP196">
        <f>IF(ISNUMBER(INDEX(Haver_M!$B$1:$ZN$1000,MATCH(data!$A196,Haver_M!$B$1:$B$1000,0),MATCH(data!AP$1,Haver_M!$B$1:$ZN$1,0))),INDEX(Haver_M!$B$1:$ZN$1000,MATCH(data!$A196,Haver_M!$B$1:$B$1000,0),MATCH(data!AP$1,Haver_M!$B$1:$ZN$1,0)),"na")</f>
        <v>53.031300000000002</v>
      </c>
      <c r="AQ196">
        <f>IF(ISNUMBER(INDEX(Haver_M!$B$1:$ZN$1000,MATCH(data!$A196,Haver_M!$B$1:$B$1000,0),MATCH(data!AQ$1,Haver_M!$B$1:$ZN$1,0))),INDEX(Haver_M!$B$1:$ZN$1000,MATCH(data!$A196,Haver_M!$B$1:$B$1000,0),MATCH(data!AQ$1,Haver_M!$B$1:$ZN$1,0)),"na")</f>
        <v>54.4146</v>
      </c>
      <c r="AR196">
        <f>IF(ISNUMBER(INDEX(Haver_M!$B$1:$ZN$1000,MATCH(data!$A196,Haver_M!$B$1:$B$1000,0),MATCH(data!AR$1,Haver_M!$B$1:$ZN$1,0))),INDEX(Haver_M!$B$1:$ZN$1000,MATCH(data!$A196,Haver_M!$B$1:$B$1000,0),MATCH(data!AR$1,Haver_M!$B$1:$ZN$1,0)),"na")</f>
        <v>49.438600000000001</v>
      </c>
      <c r="AS196">
        <f>IF(ISNUMBER(INDEX(Haver_M!$B$1:$ZN$1000,MATCH(data!$A196,Haver_M!$B$1:$B$1000,0),MATCH(data!AS$1,Haver_M!$B$1:$ZN$1,0))),INDEX(Haver_M!$B$1:$ZN$1000,MATCH(data!$A196,Haver_M!$B$1:$B$1000,0),MATCH(data!AS$1,Haver_M!$B$1:$ZN$1,0)),"na")</f>
        <v>45056.34</v>
      </c>
      <c r="AT196">
        <f>IF(ISNUMBER(INDEX(Haver_M!$B$1:$ZN$1000,MATCH(data!$A196,Haver_M!$B$1:$B$1000,0),MATCH(data!AT$1,Haver_M!$B$1:$ZN$1,0))),INDEX(Haver_M!$B$1:$ZN$1000,MATCH(data!$A196,Haver_M!$B$1:$B$1000,0),MATCH(data!AT$1,Haver_M!$B$1:$ZN$1,0)),"na")</f>
        <v>109.31</v>
      </c>
      <c r="AU196">
        <f>IF(ISNUMBER(INDEX(Haver_M!$B$1:$ZN$1000,MATCH(data!$A196,Haver_M!$B$1:$B$1000,0),MATCH(data!AU$1,Haver_M!$B$1:$ZN$1,0))),INDEX(Haver_M!$B$1:$ZN$1000,MATCH(data!$A196,Haver_M!$B$1:$B$1000,0),MATCH(data!AU$1,Haver_M!$B$1:$ZN$1,0)),"na")</f>
        <v>107.368973</v>
      </c>
      <c r="AV196">
        <f>IF(ISNUMBER(INDEX(Haver_M!$B$1:$ZN$1000,MATCH(data!$A196,Haver_M!$B$1:$B$1000,0),MATCH(data!AV$1,Haver_M!$B$1:$ZN$1,0))),INDEX(Haver_M!$B$1:$ZN$1000,MATCH(data!$A196,Haver_M!$B$1:$B$1000,0),MATCH(data!AV$1,Haver_M!$B$1:$ZN$1,0)),"na")</f>
        <v>107.8</v>
      </c>
      <c r="AW196">
        <f>IF(ISNUMBER(INDEX(Haver_M!$B$1:$ZN$1000,MATCH(data!$A196,Haver_M!$B$1:$B$1000,0),MATCH(data!AW$1,Haver_M!$B$1:$ZN$1,0))),INDEX(Haver_M!$B$1:$ZN$1000,MATCH(data!$A196,Haver_M!$B$1:$B$1000,0),MATCH(data!AW$1,Haver_M!$B$1:$ZN$1,0)),"na")</f>
        <v>1556689.8044191743</v>
      </c>
      <c r="AX196">
        <f>IF(ISNUMBER(INDEX(Haver_M!$B$1:$ZN$1000,MATCH(data!$A196,Haver_M!$B$1:$B$1000,0),MATCH(data!AX$1,Haver_M!$B$1:$ZN$1,0))),INDEX(Haver_M!$B$1:$ZN$1000,MATCH(data!$A196,Haver_M!$B$1:$B$1000,0),MATCH(data!AX$1,Haver_M!$B$1:$ZN$1,0)),"na")</f>
        <v>2226</v>
      </c>
      <c r="AY196">
        <f>IF(ISNUMBER(INDEX(Haver_M!$B$1:$ZN$1000,MATCH(data!$A196,Haver_M!$B$1:$B$1000,0),MATCH(data!AY$1,Haver_M!$B$1:$ZN$1,0))),INDEX(Haver_M!$B$1:$ZN$1000,MATCH(data!$A196,Haver_M!$B$1:$B$1000,0),MATCH(data!AY$1,Haver_M!$B$1:$ZN$1,0)),"na")</f>
        <v>1062</v>
      </c>
      <c r="AZ196">
        <f>IF(ISNUMBER(INDEX(Haver_M!$B$1:$ZN$1000,MATCH(data!$A196,Haver_M!$B$1:$B$1000,0),MATCH(data!AZ$1,Haver_M!$B$1:$ZN$1,0))),INDEX(Haver_M!$B$1:$ZN$1000,MATCH(data!$A196,Haver_M!$B$1:$B$1000,0),MATCH(data!AZ$1,Haver_M!$B$1:$ZN$1,0)),"na")</f>
        <v>51.9</v>
      </c>
      <c r="BA196">
        <f>IF(ISNUMBER(INDEX(Haver_M!$B$1:$ZN$1000,MATCH(data!$A196,Haver_M!$B$1:$B$1000,0),MATCH(data!BA$1,Haver_M!$B$1:$ZN$1,0))),INDEX(Haver_M!$B$1:$ZN$1000,MATCH(data!$A196,Haver_M!$B$1:$B$1000,0),MATCH(data!BA$1,Haver_M!$B$1:$ZN$1,0)),"na")</f>
        <v>45.26770360276052</v>
      </c>
      <c r="BB196" t="str">
        <f>IF(ISNUMBER(INDEX(Haver_M!$B$1:$ZN$1000,MATCH(data!$A196,Haver_M!$B$1:$B$1000,0),MATCH(data!BB$1,Haver_M!$B$1:$ZN$1,0))),INDEX(Haver_M!$B$1:$ZN$1000,MATCH(data!$A196,Haver_M!$B$1:$B$1000,0),MATCH(data!BB$1,Haver_M!$B$1:$ZN$1,0)),"")</f>
        <v/>
      </c>
    </row>
    <row r="197" spans="1:54" x14ac:dyDescent="0.25">
      <c r="A197" s="2">
        <v>42490</v>
      </c>
      <c r="B197" t="str">
        <f>IF(ISNUMBER(INDEX(Haver_Q!$B$1:$BD$1000,MATCH(data!$A197,Haver_Q!$B$1:$B$1000,0),MATCH(data!B$1,Haver_Q!$B$1:$BD$1,0))),100*INDEX(Haver_Q!$B$1:$BD$1000,MATCH(data!$A197,Haver_Q!$B$1:$B$1000,0),MATCH(data!B$1,Haver_Q!$B$1:$BD$1,0)),"na")</f>
        <v>na</v>
      </c>
      <c r="C197" t="str">
        <f>IF(ISNUMBER(INDEX(Haver_Q!$B$1:$BD$1000,MATCH(data!$A197,Haver_Q!$B$1:$B$1000,0),MATCH(data!C$1,Haver_Q!$B$1:$BD$1,0))),100*INDEX(Haver_Q!$B$1:$BD$1000,MATCH(data!$A197,Haver_Q!$B$1:$B$1000,0),MATCH(data!C$1,Haver_Q!$B$1:$BD$1,0)),"na")</f>
        <v>na</v>
      </c>
      <c r="D197" t="str">
        <f>IF(ISNUMBER(INDEX(Haver_Q!$B$1:$BD$1000,MATCH(data!$A197,Haver_Q!$B$1:$B$1000,0),MATCH(data!D$1,Haver_Q!$B$1:$BD$1,0))),100*INDEX(Haver_Q!$B$1:$BD$1000,MATCH(data!$A197,Haver_Q!$B$1:$B$1000,0),MATCH(data!D$1,Haver_Q!$B$1:$BD$1,0)),"na")</f>
        <v>na</v>
      </c>
      <c r="E197" t="str">
        <f>IF(ISNUMBER(INDEX(Haver_Q!$B$1:$BD$1000,MATCH(data!$A197,Haver_Q!$B$1:$B$1000,0),MATCH(data!E$1,Haver_Q!$B$1:$BD$1,0))),100*INDEX(Haver_Q!$B$1:$BD$1000,MATCH(data!$A197,Haver_Q!$B$1:$B$1000,0),MATCH(data!E$1,Haver_Q!$B$1:$BD$1,0)),"na")</f>
        <v>na</v>
      </c>
      <c r="F197" t="str">
        <f>IF(ISNUMBER(INDEX(Haver_Q!$B$1:$BD$1000,MATCH(data!$A197,Haver_Q!$B$1:$B$1000,0),MATCH(data!F$1,Haver_Q!$B$1:$BD$1,0))),100*INDEX(Haver_Q!$B$1:$BD$1000,MATCH(data!$A197,Haver_Q!$B$1:$B$1000,0),MATCH(data!F$1,Haver_Q!$B$1:$BD$1,0)),"na")</f>
        <v>na</v>
      </c>
      <c r="G197" t="str">
        <f>IF(ISNUMBER(INDEX(Haver_Q!$B$1:$BD$1000,MATCH(data!$A197,Haver_Q!$B$1:$B$1000,0),MATCH(data!G$1,Haver_Q!$B$1:$BD$1,0))),100*INDEX(Haver_Q!$B$1:$BD$1000,MATCH(data!$A197,Haver_Q!$B$1:$B$1000,0),MATCH(data!G$1,Haver_Q!$B$1:$BD$1,0)),"na")</f>
        <v>na</v>
      </c>
      <c r="H197" t="str">
        <f>IF(ISNUMBER(INDEX(Haver_Q!$B$1:$BD$1000,MATCH(data!$A197,Haver_Q!$B$1:$B$1000,0),MATCH(data!H$1,Haver_Q!$B$1:$BD$1,0))),100*INDEX(Haver_Q!$B$1:$BD$1000,MATCH(data!$A197,Haver_Q!$B$1:$B$1000,0),MATCH(data!H$1,Haver_Q!$B$1:$BD$1,0)),"na")</f>
        <v>na</v>
      </c>
      <c r="I197" s="3">
        <f>IF(ISNUMBER(Bloomberg_m!C213),Bloomberg_m!C213,"na")</f>
        <v>607</v>
      </c>
      <c r="J197" s="3">
        <f>IF(ISNUMBER(Bloomberg_m!D213),Bloomberg_m!D213,"na")</f>
        <v>794.28</v>
      </c>
      <c r="K197" s="3">
        <f>IF(ISNUMBER(Bloomberg_m!E213),Bloomberg_m!E213,"na")</f>
        <v>507.02</v>
      </c>
      <c r="L197" s="3">
        <f>IF(ISNUMBER(Bloomberg_m!L213),Bloomberg_m!L213,"na")</f>
        <v>40.96</v>
      </c>
      <c r="M197">
        <f>IF(ISNUMBER(INDEX(Haver_M!$B$1:$ZN$1000,MATCH(data!$A197,Haver_M!$B$1:$B$1000,0),MATCH(data!M$1,Haver_M!$B$1:$ZN$1,0))),INDEX(Haver_M!$B$1:$ZN$1000,MATCH(data!$A197,Haver_M!$B$1:$B$1000,0),MATCH(data!M$1,Haver_M!$B$1:$ZN$1,0)),"na")</f>
        <v>3.75</v>
      </c>
      <c r="N197">
        <f>IF(ISNUMBER(INDEX(Haver_M!$B$1:$ZN$1000,MATCH(data!$A197,Haver_M!$B$1:$B$1000,0),MATCH(data!N$1,Haver_M!$B$1:$ZN$1,0))),INDEX(Haver_M!$B$1:$ZN$1000,MATCH(data!$A197,Haver_M!$B$1:$B$1000,0),MATCH(data!N$1,Haver_M!$B$1:$ZN$1,0)),"na")</f>
        <v>5.8719999999999999</v>
      </c>
      <c r="O197">
        <f>IF(ISNUMBER(INDEX(Haver_M!$B$1:$ZN$1000,MATCH(data!$A197,Haver_M!$B$1:$B$1000,0),MATCH(data!O$1,Haver_M!$B$1:$ZN$1,0))),INDEX(Haver_M!$B$1:$ZN$1000,MATCH(data!$A197,Haver_M!$B$1:$B$1000,0),MATCH(data!O$1,Haver_M!$B$1:$ZN$1,0)),"na")</f>
        <v>83.427030000000002</v>
      </c>
      <c r="P197">
        <f>IF(ISNUMBER(INDEX(Haver_M!$B$1:$ZN$1000,MATCH(data!$A197,Haver_M!$B$1:$B$1000,0),MATCH(data!P$1,Haver_M!$B$1:$ZN$1,0))),INDEX(Haver_M!$B$1:$ZN$1000,MATCH(data!$A197,Haver_M!$B$1:$B$1000,0),MATCH(data!P$1,Haver_M!$B$1:$ZN$1,0)),"na")</f>
        <v>89.456699999999998</v>
      </c>
      <c r="Q197">
        <f>IF(ISNUMBER(INDEX(Haver_M!$B$1:$ZN$1000,MATCH(data!$A197,Haver_M!$B$1:$B$1000,0),MATCH(data!Q$1,Haver_M!$B$1:$ZN$1,0))),INDEX(Haver_M!$B$1:$ZN$1000,MATCH(data!$A197,Haver_M!$B$1:$B$1000,0),MATCH(data!Q$1,Haver_M!$B$1:$ZN$1,0)),"na")</f>
        <v>91.2316</v>
      </c>
      <c r="R197">
        <f>IF(ISNUMBER(INDEX(Haver_M!$B$1:$ZN$1000,MATCH(data!$A197,Haver_M!$B$1:$B$1000,0),MATCH(data!R$1,Haver_M!$B$1:$ZN$1,0))),INDEX(Haver_M!$B$1:$ZN$1000,MATCH(data!$A197,Haver_M!$B$1:$B$1000,0),MATCH(data!R$1,Haver_M!$B$1:$ZN$1,0)),"na")</f>
        <v>103.5026</v>
      </c>
      <c r="S197">
        <f>IF(ISNUMBER(INDEX(Haver_M!$B$1:$ZN$1000,MATCH(data!$A197,Haver_M!$B$1:$B$1000,0),MATCH(data!S$1,Haver_M!$B$1:$ZN$1,0))),INDEX(Haver_M!$B$1:$ZN$1000,MATCH(data!$A197,Haver_M!$B$1:$B$1000,0),MATCH(data!S$1,Haver_M!$B$1:$ZN$1,0)),"na")</f>
        <v>90.458600000000004</v>
      </c>
      <c r="T197">
        <f>IF(ISNUMBER(INDEX(Haver_M!$B$1:$ZN$1000,MATCH(data!$A197,Haver_M!$B$1:$B$1000,0),MATCH(data!T$1,Haver_M!$B$1:$ZN$1,0))),INDEX(Haver_M!$B$1:$ZN$1000,MATCH(data!$A197,Haver_M!$B$1:$B$1000,0),MATCH(data!T$1,Haver_M!$B$1:$ZN$1,0)),"na")</f>
        <v>109.27889999999999</v>
      </c>
      <c r="U197">
        <f>IF(ISNUMBER(INDEX(Haver_M!$B$1:$ZN$1000,MATCH(data!$A197,Haver_M!$B$1:$B$1000,0),MATCH(data!U$1,Haver_M!$B$1:$ZN$1,0))),INDEX(Haver_M!$B$1:$ZN$1000,MATCH(data!$A197,Haver_M!$B$1:$B$1000,0),MATCH(data!U$1,Haver_M!$B$1:$ZN$1,0)),"na")</f>
        <v>106.65689999999999</v>
      </c>
      <c r="V197">
        <f>IF(ISNUMBER(INDEX(Haver_M!$B$1:$ZN$1000,MATCH(data!$A197,Haver_M!$B$1:$B$1000,0),MATCH(data!V$1,Haver_M!$B$1:$ZN$1,0))),INDEX(Haver_M!$B$1:$ZN$1000,MATCH(data!$A197,Haver_M!$B$1:$B$1000,0),MATCH(data!V$1,Haver_M!$B$1:$ZN$1,0)),"na")</f>
        <v>107.2462</v>
      </c>
      <c r="W197">
        <f>IF(ISNUMBER(INDEX(Haver_M!$B$1:$ZN$1000,MATCH(data!$A197,Haver_M!$B$1:$B$1000,0),MATCH(data!W$1,Haver_M!$B$1:$ZN$1,0))),INDEX(Haver_M!$B$1:$ZN$1000,MATCH(data!$A197,Haver_M!$B$1:$B$1000,0),MATCH(data!W$1,Haver_M!$B$1:$ZN$1,0)),"na")</f>
        <v>3.86</v>
      </c>
      <c r="X197">
        <f>IF(ISNUMBER(INDEX(Haver_M!$B$1:$ZN$1000,MATCH(data!$A197,Haver_M!$B$1:$B$1000,0),MATCH(data!X$1,Haver_M!$B$1:$ZN$1,0))),INDEX(Haver_M!$B$1:$ZN$1000,MATCH(data!$A197,Haver_M!$B$1:$B$1000,0),MATCH(data!X$1,Haver_M!$B$1:$ZN$1,0)),"na")</f>
        <v>103.83</v>
      </c>
      <c r="Y197">
        <f>IF(ISNUMBER(INDEX(Haver_M!$B$1:$ZN$1000,MATCH(data!$A197,Haver_M!$B$1:$B$1000,0),MATCH(data!Y$1,Haver_M!$B$1:$ZN$1,0))),INDEX(Haver_M!$B$1:$ZN$1000,MATCH(data!$A197,Haver_M!$B$1:$B$1000,0),MATCH(data!Y$1,Haver_M!$B$1:$ZN$1,0)),"na")</f>
        <v>99.83</v>
      </c>
      <c r="Z197">
        <f>IF(ISNUMBER(INDEX(Haver_M!$B$1:$ZN$1000,MATCH(data!$A197,Haver_M!$B$1:$B$1000,0),MATCH(data!Z$1,Haver_M!$B$1:$ZN$1,0))),INDEX(Haver_M!$B$1:$ZN$1000,MATCH(data!$A197,Haver_M!$B$1:$B$1000,0),MATCH(data!Z$1,Haver_M!$B$1:$ZN$1,0)),"na")</f>
        <v>109.9778</v>
      </c>
      <c r="AA197">
        <f>IF(ISNUMBER(INDEX(Haver_M!$B$1:$ZN$1000,MATCH(data!$A197,Haver_M!$B$1:$B$1000,0),MATCH(data!AA$1,Haver_M!$B$1:$ZN$1,0))),INDEX(Haver_M!$B$1:$ZN$1000,MATCH(data!$A197,Haver_M!$B$1:$B$1000,0),MATCH(data!AA$1,Haver_M!$B$1:$ZN$1,0)),"na")</f>
        <v>105.3563</v>
      </c>
      <c r="AB197">
        <f>IF(ISNUMBER(INDEX(Haver_M!$B$1:$ZN$1000,MATCH(data!$A197,Haver_M!$B$1:$B$1000,0),MATCH(data!AB$1,Haver_M!$B$1:$ZN$1,0))),INDEX(Haver_M!$B$1:$ZN$1000,MATCH(data!$A197,Haver_M!$B$1:$B$1000,0),MATCH(data!AB$1,Haver_M!$B$1:$ZN$1,0)),"na")</f>
        <v>30235.5</v>
      </c>
      <c r="AC197">
        <f>IF(ISNUMBER(INDEX(Haver_M!$B$1:$ZN$1000,MATCH(data!$A197,Haver_M!$B$1:$B$1000,0),MATCH(data!AC$1,Haver_M!$B$1:$ZN$1,0))),INDEX(Haver_M!$B$1:$ZN$1000,MATCH(data!$A197,Haver_M!$B$1:$B$1000,0),MATCH(data!AC$1,Haver_M!$B$1:$ZN$1,0)),"na")</f>
        <v>32345.599999999999</v>
      </c>
      <c r="AD197">
        <f>IF(ISNUMBER(INDEX(Haver_M!$B$1:$ZN$1000,MATCH(data!$A197,Haver_M!$B$1:$B$1000,0),MATCH(data!AD$1,Haver_M!$B$1:$ZN$1,0))),INDEX(Haver_M!$B$1:$ZN$1000,MATCH(data!$A197,Haver_M!$B$1:$B$1000,0),MATCH(data!AD$1,Haver_M!$B$1:$ZN$1,0)),"na")</f>
        <v>99.91</v>
      </c>
      <c r="AE197">
        <f>IF(ISNUMBER(INDEX(Haver_M!$B$1:$ZN$1000,MATCH(data!$A197,Haver_M!$B$1:$B$1000,0),MATCH(data!AE$1,Haver_M!$B$1:$ZN$1,0))),INDEX(Haver_M!$B$1:$ZN$1000,MATCH(data!$A197,Haver_M!$B$1:$B$1000,0),MATCH(data!AE$1,Haver_M!$B$1:$ZN$1,0)),"na")</f>
        <v>36.799999999999997</v>
      </c>
      <c r="AF197">
        <f>IF(ISNUMBER(INDEX(Haver_M!$B$1:$ZN$1000,MATCH(data!$A197,Haver_M!$B$1:$B$1000,0),MATCH(data!AF$1,Haver_M!$B$1:$ZN$1,0))),INDEX(Haver_M!$B$1:$ZN$1000,MATCH(data!$A197,Haver_M!$B$1:$B$1000,0),MATCH(data!AF$1,Haver_M!$B$1:$ZN$1,0)),"na")</f>
        <v>99.55</v>
      </c>
      <c r="AG197">
        <f>IF(ISNUMBER(INDEX(Haver_M!$B$1:$ZN$1000,MATCH(data!$A197,Haver_M!$B$1:$B$1000,0),MATCH(data!AG$1,Haver_M!$B$1:$ZN$1,0))),INDEX(Haver_M!$B$1:$ZN$1000,MATCH(data!$A197,Haver_M!$B$1:$B$1000,0),MATCH(data!AG$1,Haver_M!$B$1:$ZN$1,0)),"na")</f>
        <v>52.354100000000003</v>
      </c>
      <c r="AH197">
        <f>IF(ISNUMBER(INDEX(Haver_M!$B$1:$ZN$1000,MATCH(data!$A197,Haver_M!$B$1:$B$1000,0),MATCH(data!AH$1,Haver_M!$B$1:$ZN$1,0))),INDEX(Haver_M!$B$1:$ZN$1000,MATCH(data!$A197,Haver_M!$B$1:$B$1000,0),MATCH(data!AH$1,Haver_M!$B$1:$ZN$1,0)),"na")</f>
        <v>51.381700000000002</v>
      </c>
      <c r="AI197">
        <f>IF(ISNUMBER(INDEX(Haver_M!$B$1:$ZN$1000,MATCH(data!$A197,Haver_M!$B$1:$B$1000,0),MATCH(data!AI$1,Haver_M!$B$1:$ZN$1,0))),INDEX(Haver_M!$B$1:$ZN$1000,MATCH(data!$A197,Haver_M!$B$1:$B$1000,0),MATCH(data!AI$1,Haver_M!$B$1:$ZN$1,0)),"na")</f>
        <v>54.338299999999997</v>
      </c>
      <c r="AJ197">
        <f>IF(ISNUMBER(INDEX(Haver_M!$B$1:$ZN$1000,MATCH(data!$A197,Haver_M!$B$1:$B$1000,0),MATCH(data!AJ$1,Haver_M!$B$1:$ZN$1,0))),INDEX(Haver_M!$B$1:$ZN$1000,MATCH(data!$A197,Haver_M!$B$1:$B$1000,0),MATCH(data!AJ$1,Haver_M!$B$1:$ZN$1,0)),"na")</f>
        <v>52.466999999999999</v>
      </c>
      <c r="AK197">
        <f>IF(ISNUMBER(INDEX(Haver_M!$B$1:$ZN$1000,MATCH(data!$A197,Haver_M!$B$1:$B$1000,0),MATCH(data!AK$1,Haver_M!$B$1:$ZN$1,0))),INDEX(Haver_M!$B$1:$ZN$1000,MATCH(data!$A197,Haver_M!$B$1:$B$1000,0),MATCH(data!AK$1,Haver_M!$B$1:$ZN$1,0)),"na")</f>
        <v>49.603200000000001</v>
      </c>
      <c r="AL197">
        <f>IF(ISNUMBER(INDEX(Haver_M!$B$1:$ZN$1000,MATCH(data!$A197,Haver_M!$B$1:$B$1000,0),MATCH(data!AL$1,Haver_M!$B$1:$ZN$1,0))),INDEX(Haver_M!$B$1:$ZN$1000,MATCH(data!$A197,Haver_M!$B$1:$B$1000,0),MATCH(data!AL$1,Haver_M!$B$1:$ZN$1,0)),"na")</f>
        <v>51.542499999999997</v>
      </c>
      <c r="AM197">
        <f>IF(ISNUMBER(INDEX(Haver_M!$B$1:$ZN$1000,MATCH(data!$A197,Haver_M!$B$1:$B$1000,0),MATCH(data!AM$1,Haver_M!$B$1:$ZN$1,0))),INDEX(Haver_M!$B$1:$ZN$1000,MATCH(data!$A197,Haver_M!$B$1:$B$1000,0),MATCH(data!AM$1,Haver_M!$B$1:$ZN$1,0)),"na")</f>
        <v>60.174900000000001</v>
      </c>
      <c r="AN197">
        <f>IF(ISNUMBER(INDEX(Haver_M!$B$1:$ZN$1000,MATCH(data!$A197,Haver_M!$B$1:$B$1000,0),MATCH(data!AN$1,Haver_M!$B$1:$ZN$1,0))),INDEX(Haver_M!$B$1:$ZN$1000,MATCH(data!$A197,Haver_M!$B$1:$B$1000,0),MATCH(data!AN$1,Haver_M!$B$1:$ZN$1,0)),"na")</f>
        <v>54.208599999999997</v>
      </c>
      <c r="AO197">
        <f>IF(ISNUMBER(INDEX(Haver_M!$B$1:$ZN$1000,MATCH(data!$A197,Haver_M!$B$1:$B$1000,0),MATCH(data!AO$1,Haver_M!$B$1:$ZN$1,0))),INDEX(Haver_M!$B$1:$ZN$1000,MATCH(data!$A197,Haver_M!$B$1:$B$1000,0),MATCH(data!AO$1,Haver_M!$B$1:$ZN$1,0)),"na")</f>
        <v>51.542499999999997</v>
      </c>
      <c r="AP197">
        <f>IF(ISNUMBER(INDEX(Haver_M!$B$1:$ZN$1000,MATCH(data!$A197,Haver_M!$B$1:$B$1000,0),MATCH(data!AP$1,Haver_M!$B$1:$ZN$1,0))),INDEX(Haver_M!$B$1:$ZN$1000,MATCH(data!$A197,Haver_M!$B$1:$B$1000,0),MATCH(data!AP$1,Haver_M!$B$1:$ZN$1,0)),"na")</f>
        <v>52.0715</v>
      </c>
      <c r="AQ197">
        <f>IF(ISNUMBER(INDEX(Haver_M!$B$1:$ZN$1000,MATCH(data!$A197,Haver_M!$B$1:$B$1000,0),MATCH(data!AQ$1,Haver_M!$B$1:$ZN$1,0))),INDEX(Haver_M!$B$1:$ZN$1000,MATCH(data!$A197,Haver_M!$B$1:$B$1000,0),MATCH(data!AQ$1,Haver_M!$B$1:$ZN$1,0)),"na")</f>
        <v>52.796700000000001</v>
      </c>
      <c r="AR197">
        <f>IF(ISNUMBER(INDEX(Haver_M!$B$1:$ZN$1000,MATCH(data!$A197,Haver_M!$B$1:$B$1000,0),MATCH(data!AR$1,Haver_M!$B$1:$ZN$1,0))),INDEX(Haver_M!$B$1:$ZN$1000,MATCH(data!$A197,Haver_M!$B$1:$B$1000,0),MATCH(data!AR$1,Haver_M!$B$1:$ZN$1,0)),"na")</f>
        <v>47.4938</v>
      </c>
      <c r="AS197">
        <f>IF(ISNUMBER(INDEX(Haver_M!$B$1:$ZN$1000,MATCH(data!$A197,Haver_M!$B$1:$B$1000,0),MATCH(data!AS$1,Haver_M!$B$1:$ZN$1,0))),INDEX(Haver_M!$B$1:$ZN$1000,MATCH(data!$A197,Haver_M!$B$1:$B$1000,0),MATCH(data!AS$1,Haver_M!$B$1:$ZN$1,0)),"na")</f>
        <v>45438.080000000002</v>
      </c>
      <c r="AT197">
        <f>IF(ISNUMBER(INDEX(Haver_M!$B$1:$ZN$1000,MATCH(data!$A197,Haver_M!$B$1:$B$1000,0),MATCH(data!AT$1,Haver_M!$B$1:$ZN$1,0))),INDEX(Haver_M!$B$1:$ZN$1000,MATCH(data!$A197,Haver_M!$B$1:$B$1000,0),MATCH(data!AT$1,Haver_M!$B$1:$ZN$1,0)),"na")</f>
        <v>107.666</v>
      </c>
      <c r="AU197">
        <f>IF(ISNUMBER(INDEX(Haver_M!$B$1:$ZN$1000,MATCH(data!$A197,Haver_M!$B$1:$B$1000,0),MATCH(data!AU$1,Haver_M!$B$1:$ZN$1,0))),INDEX(Haver_M!$B$1:$ZN$1000,MATCH(data!$A197,Haver_M!$B$1:$B$1000,0),MATCH(data!AU$1,Haver_M!$B$1:$ZN$1,0)),"na")</f>
        <v>107.376087</v>
      </c>
      <c r="AV197">
        <f>IF(ISNUMBER(INDEX(Haver_M!$B$1:$ZN$1000,MATCH(data!$A197,Haver_M!$B$1:$B$1000,0),MATCH(data!AV$1,Haver_M!$B$1:$ZN$1,0))),INDEX(Haver_M!$B$1:$ZN$1000,MATCH(data!$A197,Haver_M!$B$1:$B$1000,0),MATCH(data!AV$1,Haver_M!$B$1:$ZN$1,0)),"na")</f>
        <v>107.8</v>
      </c>
      <c r="AW197">
        <f>IF(ISNUMBER(INDEX(Haver_M!$B$1:$ZN$1000,MATCH(data!$A197,Haver_M!$B$1:$B$1000,0),MATCH(data!AW$1,Haver_M!$B$1:$ZN$1,0))),INDEX(Haver_M!$B$1:$ZN$1000,MATCH(data!$A197,Haver_M!$B$1:$B$1000,0),MATCH(data!AW$1,Haver_M!$B$1:$ZN$1,0)),"na")</f>
        <v>1607643.3375670535</v>
      </c>
      <c r="AX197">
        <f>IF(ISNUMBER(INDEX(Haver_M!$B$1:$ZN$1000,MATCH(data!$A197,Haver_M!$B$1:$B$1000,0),MATCH(data!AX$1,Haver_M!$B$1:$ZN$1,0))),INDEX(Haver_M!$B$1:$ZN$1000,MATCH(data!$A197,Haver_M!$B$1:$B$1000,0),MATCH(data!AX$1,Haver_M!$B$1:$ZN$1,0)),"na")</f>
        <v>2182</v>
      </c>
      <c r="AY197">
        <f>IF(ISNUMBER(INDEX(Haver_M!$B$1:$ZN$1000,MATCH(data!$A197,Haver_M!$B$1:$B$1000,0),MATCH(data!AY$1,Haver_M!$B$1:$ZN$1,0))),INDEX(Haver_M!$B$1:$ZN$1000,MATCH(data!$A197,Haver_M!$B$1:$B$1000,0),MATCH(data!AY$1,Haver_M!$B$1:$ZN$1,0)),"na")</f>
        <v>1081</v>
      </c>
      <c r="AZ197">
        <f>IF(ISNUMBER(INDEX(Haver_M!$B$1:$ZN$1000,MATCH(data!$A197,Haver_M!$B$1:$B$1000,0),MATCH(data!AZ$1,Haver_M!$B$1:$ZN$1,0))),INDEX(Haver_M!$B$1:$ZN$1000,MATCH(data!$A197,Haver_M!$B$1:$B$1000,0),MATCH(data!AZ$1,Haver_M!$B$1:$ZN$1,0)),"na")</f>
        <v>54.1</v>
      </c>
      <c r="BA197">
        <f>IF(ISNUMBER(INDEX(Haver_M!$B$1:$ZN$1000,MATCH(data!$A197,Haver_M!$B$1:$B$1000,0),MATCH(data!BA$1,Haver_M!$B$1:$ZN$1,0))),INDEX(Haver_M!$B$1:$ZN$1000,MATCH(data!$A197,Haver_M!$B$1:$B$1000,0),MATCH(data!BA$1,Haver_M!$B$1:$ZN$1,0)),"na")</f>
        <v>41.308808069167</v>
      </c>
      <c r="BB197" t="str">
        <f>IF(ISNUMBER(INDEX(Haver_M!$B$1:$ZN$1000,MATCH(data!$A197,Haver_M!$B$1:$B$1000,0),MATCH(data!BB$1,Haver_M!$B$1:$ZN$1,0))),INDEX(Haver_M!$B$1:$ZN$1000,MATCH(data!$A197,Haver_M!$B$1:$B$1000,0),MATCH(data!BB$1,Haver_M!$B$1:$ZN$1,0)),"")</f>
        <v/>
      </c>
    </row>
    <row r="198" spans="1:54" x14ac:dyDescent="0.25">
      <c r="A198" s="2">
        <v>42521</v>
      </c>
      <c r="B198" t="str">
        <f>IF(ISNUMBER(INDEX(Haver_Q!$B$1:$BD$1000,MATCH(data!$A198,Haver_Q!$B$1:$B$1000,0),MATCH(data!B$1,Haver_Q!$B$1:$BD$1,0))),100*INDEX(Haver_Q!$B$1:$BD$1000,MATCH(data!$A198,Haver_Q!$B$1:$B$1000,0),MATCH(data!B$1,Haver_Q!$B$1:$BD$1,0)),"na")</f>
        <v>na</v>
      </c>
      <c r="C198" t="str">
        <f>IF(ISNUMBER(INDEX(Haver_Q!$B$1:$BD$1000,MATCH(data!$A198,Haver_Q!$B$1:$B$1000,0),MATCH(data!C$1,Haver_Q!$B$1:$BD$1,0))),100*INDEX(Haver_Q!$B$1:$BD$1000,MATCH(data!$A198,Haver_Q!$B$1:$B$1000,0),MATCH(data!C$1,Haver_Q!$B$1:$BD$1,0)),"na")</f>
        <v>na</v>
      </c>
      <c r="D198" t="str">
        <f>IF(ISNUMBER(INDEX(Haver_Q!$B$1:$BD$1000,MATCH(data!$A198,Haver_Q!$B$1:$B$1000,0),MATCH(data!D$1,Haver_Q!$B$1:$BD$1,0))),100*INDEX(Haver_Q!$B$1:$BD$1000,MATCH(data!$A198,Haver_Q!$B$1:$B$1000,0),MATCH(data!D$1,Haver_Q!$B$1:$BD$1,0)),"na")</f>
        <v>na</v>
      </c>
      <c r="E198" t="str">
        <f>IF(ISNUMBER(INDEX(Haver_Q!$B$1:$BD$1000,MATCH(data!$A198,Haver_Q!$B$1:$B$1000,0),MATCH(data!E$1,Haver_Q!$B$1:$BD$1,0))),100*INDEX(Haver_Q!$B$1:$BD$1000,MATCH(data!$A198,Haver_Q!$B$1:$B$1000,0),MATCH(data!E$1,Haver_Q!$B$1:$BD$1,0)),"na")</f>
        <v>na</v>
      </c>
      <c r="F198" t="str">
        <f>IF(ISNUMBER(INDEX(Haver_Q!$B$1:$BD$1000,MATCH(data!$A198,Haver_Q!$B$1:$B$1000,0),MATCH(data!F$1,Haver_Q!$B$1:$BD$1,0))),100*INDEX(Haver_Q!$B$1:$BD$1000,MATCH(data!$A198,Haver_Q!$B$1:$B$1000,0),MATCH(data!F$1,Haver_Q!$B$1:$BD$1,0)),"na")</f>
        <v>na</v>
      </c>
      <c r="G198" t="str">
        <f>IF(ISNUMBER(INDEX(Haver_Q!$B$1:$BD$1000,MATCH(data!$A198,Haver_Q!$B$1:$B$1000,0),MATCH(data!G$1,Haver_Q!$B$1:$BD$1,0))),100*INDEX(Haver_Q!$B$1:$BD$1000,MATCH(data!$A198,Haver_Q!$B$1:$B$1000,0),MATCH(data!G$1,Haver_Q!$B$1:$BD$1,0)),"na")</f>
        <v>na</v>
      </c>
      <c r="H198" t="str">
        <f>IF(ISNUMBER(INDEX(Haver_Q!$B$1:$BD$1000,MATCH(data!$A198,Haver_Q!$B$1:$B$1000,0),MATCH(data!H$1,Haver_Q!$B$1:$BD$1,0))),100*INDEX(Haver_Q!$B$1:$BD$1000,MATCH(data!$A198,Haver_Q!$B$1:$B$1000,0),MATCH(data!H$1,Haver_Q!$B$1:$BD$1,0)),"na")</f>
        <v>na</v>
      </c>
      <c r="I198" s="3">
        <f>IF(ISNUMBER(Bloomberg_m!C214),Bloomberg_m!C214,"na")</f>
        <v>620</v>
      </c>
      <c r="J198" s="3">
        <f>IF(ISNUMBER(Bloomberg_m!D214),Bloomberg_m!D214,"na")</f>
        <v>1064.6500000000001</v>
      </c>
      <c r="K198" s="3">
        <f>IF(ISNUMBER(Bloomberg_m!E214),Bloomberg_m!E214,"na")</f>
        <v>561.76</v>
      </c>
      <c r="L198" s="3">
        <f>IF(ISNUMBER(Bloomberg_m!L214),Bloomberg_m!L214,"na")</f>
        <v>46.73</v>
      </c>
      <c r="M198">
        <f>IF(ISNUMBER(INDEX(Haver_M!$B$1:$ZN$1000,MATCH(data!$A198,Haver_M!$B$1:$B$1000,0),MATCH(data!M$1,Haver_M!$B$1:$ZN$1,0))),INDEX(Haver_M!$B$1:$ZN$1000,MATCH(data!$A198,Haver_M!$B$1:$B$1000,0),MATCH(data!M$1,Haver_M!$B$1:$ZN$1,0)),"na")</f>
        <v>3.75</v>
      </c>
      <c r="N198">
        <f>IF(ISNUMBER(INDEX(Haver_M!$B$1:$ZN$1000,MATCH(data!$A198,Haver_M!$B$1:$B$1000,0),MATCH(data!N$1,Haver_M!$B$1:$ZN$1,0))),INDEX(Haver_M!$B$1:$ZN$1000,MATCH(data!$A198,Haver_M!$B$1:$B$1000,0),MATCH(data!N$1,Haver_M!$B$1:$ZN$1,0)),"na")</f>
        <v>5.9911000000000003</v>
      </c>
      <c r="O198">
        <f>IF(ISNUMBER(INDEX(Haver_M!$B$1:$ZN$1000,MATCH(data!$A198,Haver_M!$B$1:$B$1000,0),MATCH(data!O$1,Haver_M!$B$1:$ZN$1,0))),INDEX(Haver_M!$B$1:$ZN$1000,MATCH(data!$A198,Haver_M!$B$1:$B$1000,0),MATCH(data!O$1,Haver_M!$B$1:$ZN$1,0)),"na")</f>
        <v>80.281009999999995</v>
      </c>
      <c r="P198">
        <f>IF(ISNUMBER(INDEX(Haver_M!$B$1:$ZN$1000,MATCH(data!$A198,Haver_M!$B$1:$B$1000,0),MATCH(data!P$1,Haver_M!$B$1:$ZN$1,0))),INDEX(Haver_M!$B$1:$ZN$1000,MATCH(data!$A198,Haver_M!$B$1:$B$1000,0),MATCH(data!P$1,Haver_M!$B$1:$ZN$1,0)),"na")</f>
        <v>89.583699999999993</v>
      </c>
      <c r="Q198">
        <f>IF(ISNUMBER(INDEX(Haver_M!$B$1:$ZN$1000,MATCH(data!$A198,Haver_M!$B$1:$B$1000,0),MATCH(data!Q$1,Haver_M!$B$1:$ZN$1,0))),INDEX(Haver_M!$B$1:$ZN$1000,MATCH(data!$A198,Haver_M!$B$1:$B$1000,0),MATCH(data!Q$1,Haver_M!$B$1:$ZN$1,0)),"na")</f>
        <v>91.4679</v>
      </c>
      <c r="R198">
        <f>IF(ISNUMBER(INDEX(Haver_M!$B$1:$ZN$1000,MATCH(data!$A198,Haver_M!$B$1:$B$1000,0),MATCH(data!R$1,Haver_M!$B$1:$ZN$1,0))),INDEX(Haver_M!$B$1:$ZN$1000,MATCH(data!$A198,Haver_M!$B$1:$B$1000,0),MATCH(data!R$1,Haver_M!$B$1:$ZN$1,0)),"na")</f>
        <v>103.8586</v>
      </c>
      <c r="S198">
        <f>IF(ISNUMBER(INDEX(Haver_M!$B$1:$ZN$1000,MATCH(data!$A198,Haver_M!$B$1:$B$1000,0),MATCH(data!S$1,Haver_M!$B$1:$ZN$1,0))),INDEX(Haver_M!$B$1:$ZN$1000,MATCH(data!$A198,Haver_M!$B$1:$B$1000,0),MATCH(data!S$1,Haver_M!$B$1:$ZN$1,0)),"na")</f>
        <v>89.860500000000002</v>
      </c>
      <c r="T198">
        <f>IF(ISNUMBER(INDEX(Haver_M!$B$1:$ZN$1000,MATCH(data!$A198,Haver_M!$B$1:$B$1000,0),MATCH(data!T$1,Haver_M!$B$1:$ZN$1,0))),INDEX(Haver_M!$B$1:$ZN$1000,MATCH(data!$A198,Haver_M!$B$1:$B$1000,0),MATCH(data!T$1,Haver_M!$B$1:$ZN$1,0)),"na")</f>
        <v>110.5771</v>
      </c>
      <c r="U198">
        <f>IF(ISNUMBER(INDEX(Haver_M!$B$1:$ZN$1000,MATCH(data!$A198,Haver_M!$B$1:$B$1000,0),MATCH(data!U$1,Haver_M!$B$1:$ZN$1,0))),INDEX(Haver_M!$B$1:$ZN$1000,MATCH(data!$A198,Haver_M!$B$1:$B$1000,0),MATCH(data!U$1,Haver_M!$B$1:$ZN$1,0)),"na")</f>
        <v>107.7358</v>
      </c>
      <c r="V198">
        <f>IF(ISNUMBER(INDEX(Haver_M!$B$1:$ZN$1000,MATCH(data!$A198,Haver_M!$B$1:$B$1000,0),MATCH(data!V$1,Haver_M!$B$1:$ZN$1,0))),INDEX(Haver_M!$B$1:$ZN$1000,MATCH(data!$A198,Haver_M!$B$1:$B$1000,0),MATCH(data!V$1,Haver_M!$B$1:$ZN$1,0)),"na")</f>
        <v>107.8571</v>
      </c>
      <c r="W198">
        <f>IF(ISNUMBER(INDEX(Haver_M!$B$1:$ZN$1000,MATCH(data!$A198,Haver_M!$B$1:$B$1000,0),MATCH(data!W$1,Haver_M!$B$1:$ZN$1,0))),INDEX(Haver_M!$B$1:$ZN$1000,MATCH(data!$A198,Haver_M!$B$1:$B$1000,0),MATCH(data!W$1,Haver_M!$B$1:$ZN$1,0)),"na")</f>
        <v>3.96</v>
      </c>
      <c r="X198">
        <f>IF(ISNUMBER(INDEX(Haver_M!$B$1:$ZN$1000,MATCH(data!$A198,Haver_M!$B$1:$B$1000,0),MATCH(data!X$1,Haver_M!$B$1:$ZN$1,0))),INDEX(Haver_M!$B$1:$ZN$1000,MATCH(data!$A198,Haver_M!$B$1:$B$1000,0),MATCH(data!X$1,Haver_M!$B$1:$ZN$1,0)),"na")</f>
        <v>103.57</v>
      </c>
      <c r="Y198">
        <f>IF(ISNUMBER(INDEX(Haver_M!$B$1:$ZN$1000,MATCH(data!$A198,Haver_M!$B$1:$B$1000,0),MATCH(data!Y$1,Haver_M!$B$1:$ZN$1,0))),INDEX(Haver_M!$B$1:$ZN$1000,MATCH(data!$A198,Haver_M!$B$1:$B$1000,0),MATCH(data!Y$1,Haver_M!$B$1:$ZN$1,0)),"na")</f>
        <v>99.81</v>
      </c>
      <c r="Z198">
        <f>IF(ISNUMBER(INDEX(Haver_M!$B$1:$ZN$1000,MATCH(data!$A198,Haver_M!$B$1:$B$1000,0),MATCH(data!Z$1,Haver_M!$B$1:$ZN$1,0))),INDEX(Haver_M!$B$1:$ZN$1000,MATCH(data!$A198,Haver_M!$B$1:$B$1000,0),MATCH(data!Z$1,Haver_M!$B$1:$ZN$1,0)),"na")</f>
        <v>110.33320000000001</v>
      </c>
      <c r="AA198">
        <f>IF(ISNUMBER(INDEX(Haver_M!$B$1:$ZN$1000,MATCH(data!$A198,Haver_M!$B$1:$B$1000,0),MATCH(data!AA$1,Haver_M!$B$1:$ZN$1,0))),INDEX(Haver_M!$B$1:$ZN$1000,MATCH(data!$A198,Haver_M!$B$1:$B$1000,0),MATCH(data!AA$1,Haver_M!$B$1:$ZN$1,0)),"na")</f>
        <v>106.3036</v>
      </c>
      <c r="AB198">
        <f>IF(ISNUMBER(INDEX(Haver_M!$B$1:$ZN$1000,MATCH(data!$A198,Haver_M!$B$1:$B$1000,0),MATCH(data!AB$1,Haver_M!$B$1:$ZN$1,0))),INDEX(Haver_M!$B$1:$ZN$1000,MATCH(data!$A198,Haver_M!$B$1:$B$1000,0),MATCH(data!AB$1,Haver_M!$B$1:$ZN$1,0)),"na")</f>
        <v>30394.3</v>
      </c>
      <c r="AC198">
        <f>IF(ISNUMBER(INDEX(Haver_M!$B$1:$ZN$1000,MATCH(data!$A198,Haver_M!$B$1:$B$1000,0),MATCH(data!AC$1,Haver_M!$B$1:$ZN$1,0))),INDEX(Haver_M!$B$1:$ZN$1000,MATCH(data!$A198,Haver_M!$B$1:$B$1000,0),MATCH(data!AC$1,Haver_M!$B$1:$ZN$1,0)),"na")</f>
        <v>31437.8</v>
      </c>
      <c r="AD198">
        <f>IF(ISNUMBER(INDEX(Haver_M!$B$1:$ZN$1000,MATCH(data!$A198,Haver_M!$B$1:$B$1000,0),MATCH(data!AD$1,Haver_M!$B$1:$ZN$1,0))),INDEX(Haver_M!$B$1:$ZN$1000,MATCH(data!$A198,Haver_M!$B$1:$B$1000,0),MATCH(data!AD$1,Haver_M!$B$1:$ZN$1,0)),"na")</f>
        <v>99.92</v>
      </c>
      <c r="AE198">
        <f>IF(ISNUMBER(INDEX(Haver_M!$B$1:$ZN$1000,MATCH(data!$A198,Haver_M!$B$1:$B$1000,0),MATCH(data!AE$1,Haver_M!$B$1:$ZN$1,0))),INDEX(Haver_M!$B$1:$ZN$1000,MATCH(data!$A198,Haver_M!$B$1:$B$1000,0),MATCH(data!AE$1,Haver_M!$B$1:$ZN$1,0)),"na")</f>
        <v>37.1</v>
      </c>
      <c r="AF198">
        <f>IF(ISNUMBER(INDEX(Haver_M!$B$1:$ZN$1000,MATCH(data!$A198,Haver_M!$B$1:$B$1000,0),MATCH(data!AF$1,Haver_M!$B$1:$ZN$1,0))),INDEX(Haver_M!$B$1:$ZN$1000,MATCH(data!$A198,Haver_M!$B$1:$B$1000,0),MATCH(data!AF$1,Haver_M!$B$1:$ZN$1,0)),"na")</f>
        <v>99.58</v>
      </c>
      <c r="AG198">
        <f>IF(ISNUMBER(INDEX(Haver_M!$B$1:$ZN$1000,MATCH(data!$A198,Haver_M!$B$1:$B$1000,0),MATCH(data!AG$1,Haver_M!$B$1:$ZN$1,0))),INDEX(Haver_M!$B$1:$ZN$1000,MATCH(data!$A198,Haver_M!$B$1:$B$1000,0),MATCH(data!AG$1,Haver_M!$B$1:$ZN$1,0)),"na")</f>
        <v>53.556199999999997</v>
      </c>
      <c r="AH198">
        <f>IF(ISNUMBER(INDEX(Haver_M!$B$1:$ZN$1000,MATCH(data!$A198,Haver_M!$B$1:$B$1000,0),MATCH(data!AH$1,Haver_M!$B$1:$ZN$1,0))),INDEX(Haver_M!$B$1:$ZN$1000,MATCH(data!$A198,Haver_M!$B$1:$B$1000,0),MATCH(data!AH$1,Haver_M!$B$1:$ZN$1,0)),"na")</f>
        <v>53.820700000000002</v>
      </c>
      <c r="AI198">
        <f>IF(ISNUMBER(INDEX(Haver_M!$B$1:$ZN$1000,MATCH(data!$A198,Haver_M!$B$1:$B$1000,0),MATCH(data!AI$1,Haver_M!$B$1:$ZN$1,0))),INDEX(Haver_M!$B$1:$ZN$1000,MATCH(data!$A198,Haver_M!$B$1:$B$1000,0),MATCH(data!AI$1,Haver_M!$B$1:$ZN$1,0)),"na")</f>
        <v>56.005600000000001</v>
      </c>
      <c r="AJ198">
        <f>IF(ISNUMBER(INDEX(Haver_M!$B$1:$ZN$1000,MATCH(data!$A198,Haver_M!$B$1:$B$1000,0),MATCH(data!AJ$1,Haver_M!$B$1:$ZN$1,0))),INDEX(Haver_M!$B$1:$ZN$1000,MATCH(data!$A198,Haver_M!$B$1:$B$1000,0),MATCH(data!AJ$1,Haver_M!$B$1:$ZN$1,0)),"na")</f>
        <v>51.884300000000003</v>
      </c>
      <c r="AK198">
        <f>IF(ISNUMBER(INDEX(Haver_M!$B$1:$ZN$1000,MATCH(data!$A198,Haver_M!$B$1:$B$1000,0),MATCH(data!AK$1,Haver_M!$B$1:$ZN$1,0))),INDEX(Haver_M!$B$1:$ZN$1000,MATCH(data!$A198,Haver_M!$B$1:$B$1000,0),MATCH(data!AK$1,Haver_M!$B$1:$ZN$1,0)),"na")</f>
        <v>49.067100000000003</v>
      </c>
      <c r="AL198">
        <f>IF(ISNUMBER(INDEX(Haver_M!$B$1:$ZN$1000,MATCH(data!$A198,Haver_M!$B$1:$B$1000,0),MATCH(data!AL$1,Haver_M!$B$1:$ZN$1,0))),INDEX(Haver_M!$B$1:$ZN$1000,MATCH(data!$A198,Haver_M!$B$1:$B$1000,0),MATCH(data!AL$1,Haver_M!$B$1:$ZN$1,0)),"na")</f>
        <v>52.825000000000003</v>
      </c>
      <c r="AM198">
        <f>IF(ISNUMBER(INDEX(Haver_M!$B$1:$ZN$1000,MATCH(data!$A198,Haver_M!$B$1:$B$1000,0),MATCH(data!AM$1,Haver_M!$B$1:$ZN$1,0))),INDEX(Haver_M!$B$1:$ZN$1000,MATCH(data!$A198,Haver_M!$B$1:$B$1000,0),MATCH(data!AM$1,Haver_M!$B$1:$ZN$1,0)),"na")</f>
        <v>61.935200000000002</v>
      </c>
      <c r="AN198">
        <f>IF(ISNUMBER(INDEX(Haver_M!$B$1:$ZN$1000,MATCH(data!$A198,Haver_M!$B$1:$B$1000,0),MATCH(data!AN$1,Haver_M!$B$1:$ZN$1,0))),INDEX(Haver_M!$B$1:$ZN$1000,MATCH(data!$A198,Haver_M!$B$1:$B$1000,0),MATCH(data!AN$1,Haver_M!$B$1:$ZN$1,0)),"na")</f>
        <v>54.300600000000003</v>
      </c>
      <c r="AO198">
        <f>IF(ISNUMBER(INDEX(Haver_M!$B$1:$ZN$1000,MATCH(data!$A198,Haver_M!$B$1:$B$1000,0),MATCH(data!AO$1,Haver_M!$B$1:$ZN$1,0))),INDEX(Haver_M!$B$1:$ZN$1000,MATCH(data!$A198,Haver_M!$B$1:$B$1000,0),MATCH(data!AO$1,Haver_M!$B$1:$ZN$1,0)),"na")</f>
        <v>52.825000000000003</v>
      </c>
      <c r="AP198">
        <f>IF(ISNUMBER(INDEX(Haver_M!$B$1:$ZN$1000,MATCH(data!$A198,Haver_M!$B$1:$B$1000,0),MATCH(data!AP$1,Haver_M!$B$1:$ZN$1,0))),INDEX(Haver_M!$B$1:$ZN$1000,MATCH(data!$A198,Haver_M!$B$1:$B$1000,0),MATCH(data!AP$1,Haver_M!$B$1:$ZN$1,0)),"na")</f>
        <v>52.494300000000003</v>
      </c>
      <c r="AQ198">
        <f>IF(ISNUMBER(INDEX(Haver_M!$B$1:$ZN$1000,MATCH(data!$A198,Haver_M!$B$1:$B$1000,0),MATCH(data!AQ$1,Haver_M!$B$1:$ZN$1,0))),INDEX(Haver_M!$B$1:$ZN$1000,MATCH(data!$A198,Haver_M!$B$1:$B$1000,0),MATCH(data!AQ$1,Haver_M!$B$1:$ZN$1,0)),"na")</f>
        <v>51.233499999999999</v>
      </c>
      <c r="AR198">
        <f>IF(ISNUMBER(INDEX(Haver_M!$B$1:$ZN$1000,MATCH(data!$A198,Haver_M!$B$1:$B$1000,0),MATCH(data!AR$1,Haver_M!$B$1:$ZN$1,0))),INDEX(Haver_M!$B$1:$ZN$1000,MATCH(data!$A198,Haver_M!$B$1:$B$1000,0),MATCH(data!AR$1,Haver_M!$B$1:$ZN$1,0)),"na")</f>
        <v>50.544800000000002</v>
      </c>
      <c r="AS198">
        <f>IF(ISNUMBER(INDEX(Haver_M!$B$1:$ZN$1000,MATCH(data!$A198,Haver_M!$B$1:$B$1000,0),MATCH(data!AS$1,Haver_M!$B$1:$ZN$1,0))),INDEX(Haver_M!$B$1:$ZN$1000,MATCH(data!$A198,Haver_M!$B$1:$B$1000,0),MATCH(data!AS$1,Haver_M!$B$1:$ZN$1,0)),"na")</f>
        <v>45551.96</v>
      </c>
      <c r="AT198">
        <f>IF(ISNUMBER(INDEX(Haver_M!$B$1:$ZN$1000,MATCH(data!$A198,Haver_M!$B$1:$B$1000,0),MATCH(data!AT$1,Haver_M!$B$1:$ZN$1,0))),INDEX(Haver_M!$B$1:$ZN$1000,MATCH(data!$A198,Haver_M!$B$1:$B$1000,0),MATCH(data!AT$1,Haver_M!$B$1:$ZN$1,0)),"na")</f>
        <v>108.773</v>
      </c>
      <c r="AU198">
        <f>IF(ISNUMBER(INDEX(Haver_M!$B$1:$ZN$1000,MATCH(data!$A198,Haver_M!$B$1:$B$1000,0),MATCH(data!AU$1,Haver_M!$B$1:$ZN$1,0))),INDEX(Haver_M!$B$1:$ZN$1000,MATCH(data!$A198,Haver_M!$B$1:$B$1000,0),MATCH(data!AU$1,Haver_M!$B$1:$ZN$1,0)),"na")</f>
        <v>107.719748</v>
      </c>
      <c r="AV198">
        <f>IF(ISNUMBER(INDEX(Haver_M!$B$1:$ZN$1000,MATCH(data!$A198,Haver_M!$B$1:$B$1000,0),MATCH(data!AV$1,Haver_M!$B$1:$ZN$1,0))),INDEX(Haver_M!$B$1:$ZN$1000,MATCH(data!$A198,Haver_M!$B$1:$B$1000,0),MATCH(data!AV$1,Haver_M!$B$1:$ZN$1,0)),"na")</f>
        <v>108.1</v>
      </c>
      <c r="AW198">
        <f>IF(ISNUMBER(INDEX(Haver_M!$B$1:$ZN$1000,MATCH(data!$A198,Haver_M!$B$1:$B$1000,0),MATCH(data!AW$1,Haver_M!$B$1:$ZN$1,0))),INDEX(Haver_M!$B$1:$ZN$1000,MATCH(data!$A198,Haver_M!$B$1:$B$1000,0),MATCH(data!AW$1,Haver_M!$B$1:$ZN$1,0)),"na")</f>
        <v>1641135.6701422213</v>
      </c>
      <c r="AX198">
        <f>IF(ISNUMBER(INDEX(Haver_M!$B$1:$ZN$1000,MATCH(data!$A198,Haver_M!$B$1:$B$1000,0),MATCH(data!AX$1,Haver_M!$B$1:$ZN$1,0))),INDEX(Haver_M!$B$1:$ZN$1000,MATCH(data!$A198,Haver_M!$B$1:$B$1000,0),MATCH(data!AX$1,Haver_M!$B$1:$ZN$1,0)),"na")</f>
        <v>2173</v>
      </c>
      <c r="AY198">
        <f>IF(ISNUMBER(INDEX(Haver_M!$B$1:$ZN$1000,MATCH(data!$A198,Haver_M!$B$1:$B$1000,0),MATCH(data!AY$1,Haver_M!$B$1:$ZN$1,0))),INDEX(Haver_M!$B$1:$ZN$1000,MATCH(data!$A198,Haver_M!$B$1:$B$1000,0),MATCH(data!AY$1,Haver_M!$B$1:$ZN$1,0)),"na")</f>
        <v>1204</v>
      </c>
      <c r="AZ198">
        <f>IF(ISNUMBER(INDEX(Haver_M!$B$1:$ZN$1000,MATCH(data!$A198,Haver_M!$B$1:$B$1000,0),MATCH(data!AZ$1,Haver_M!$B$1:$ZN$1,0))),INDEX(Haver_M!$B$1:$ZN$1000,MATCH(data!$A198,Haver_M!$B$1:$B$1000,0),MATCH(data!AZ$1,Haver_M!$B$1:$ZN$1,0)),"na")</f>
        <v>51.4</v>
      </c>
      <c r="BA198">
        <f>IF(ISNUMBER(INDEX(Haver_M!$B$1:$ZN$1000,MATCH(data!$A198,Haver_M!$B$1:$B$1000,0),MATCH(data!BA$1,Haver_M!$B$1:$ZN$1,0))),INDEX(Haver_M!$B$1:$ZN$1000,MATCH(data!$A198,Haver_M!$B$1:$B$1000,0),MATCH(data!BA$1,Haver_M!$B$1:$ZN$1,0)),"na")</f>
        <v>27.069757164309269</v>
      </c>
      <c r="BB198" t="str">
        <f>IF(ISNUMBER(INDEX(Haver_M!$B$1:$ZN$1000,MATCH(data!$A198,Haver_M!$B$1:$B$1000,0),MATCH(data!BB$1,Haver_M!$B$1:$ZN$1,0))),INDEX(Haver_M!$B$1:$ZN$1000,MATCH(data!$A198,Haver_M!$B$1:$B$1000,0),MATCH(data!BB$1,Haver_M!$B$1:$ZN$1,0)),"")</f>
        <v/>
      </c>
    </row>
    <row r="199" spans="1:54" x14ac:dyDescent="0.25">
      <c r="A199" s="2">
        <v>42551</v>
      </c>
      <c r="B199">
        <f>IF(ISNUMBER(INDEX(Haver_Q!$B$1:$BD$1000,MATCH(data!$A199,Haver_Q!$B$1:$B$1000,0),MATCH(data!B$1,Haver_Q!$B$1:$BD$1,0))),100*INDEX(Haver_Q!$B$1:$BD$1000,MATCH(data!$A199,Haver_Q!$B$1:$B$1000,0),MATCH(data!B$1,Haver_Q!$B$1:$BD$1,0)),"na")</f>
        <v>1.5651009801665117</v>
      </c>
      <c r="C199">
        <f>IF(ISNUMBER(INDEX(Haver_Q!$B$1:$BD$1000,MATCH(data!$A199,Haver_Q!$B$1:$B$1000,0),MATCH(data!C$1,Haver_Q!$B$1:$BD$1,0))),100*INDEX(Haver_Q!$B$1:$BD$1000,MATCH(data!$A199,Haver_Q!$B$1:$B$1000,0),MATCH(data!C$1,Haver_Q!$B$1:$BD$1,0)),"na")</f>
        <v>5.1030310373930909</v>
      </c>
      <c r="D199">
        <f>IF(ISNUMBER(INDEX(Haver_Q!$B$1:$BD$1000,MATCH(data!$A199,Haver_Q!$B$1:$B$1000,0),MATCH(data!D$1,Haver_Q!$B$1:$BD$1,0))),100*INDEX(Haver_Q!$B$1:$BD$1000,MATCH(data!$A199,Haver_Q!$B$1:$B$1000,0),MATCH(data!D$1,Haver_Q!$B$1:$BD$1,0)),"na")</f>
        <v>-0.28455869674675061</v>
      </c>
      <c r="E199">
        <f>IF(ISNUMBER(INDEX(Haver_Q!$B$1:$BD$1000,MATCH(data!$A199,Haver_Q!$B$1:$B$1000,0),MATCH(data!E$1,Haver_Q!$B$1:$BD$1,0))),100*INDEX(Haver_Q!$B$1:$BD$1000,MATCH(data!$A199,Haver_Q!$B$1:$B$1000,0),MATCH(data!E$1,Haver_Q!$B$1:$BD$1,0)),"na")</f>
        <v>-4.7362814672491922</v>
      </c>
      <c r="F199">
        <f>IF(ISNUMBER(INDEX(Haver_Q!$B$1:$BD$1000,MATCH(data!$A199,Haver_Q!$B$1:$B$1000,0),MATCH(data!F$1,Haver_Q!$B$1:$BD$1,0))),100*INDEX(Haver_Q!$B$1:$BD$1000,MATCH(data!$A199,Haver_Q!$B$1:$B$1000,0),MATCH(data!F$1,Haver_Q!$B$1:$BD$1,0)),"na")</f>
        <v>-1.8703756420799689</v>
      </c>
      <c r="G199">
        <f>IF(ISNUMBER(INDEX(Haver_Q!$B$1:$BD$1000,MATCH(data!$A199,Haver_Q!$B$1:$B$1000,0),MATCH(data!G$1,Haver_Q!$B$1:$BD$1,0))),100*INDEX(Haver_Q!$B$1:$BD$1000,MATCH(data!$A199,Haver_Q!$B$1:$B$1000,0),MATCH(data!G$1,Haver_Q!$B$1:$BD$1,0)),"na")</f>
        <v>3.7734746911996186</v>
      </c>
      <c r="H199">
        <f>IF(ISNUMBER(INDEX(Haver_Q!$B$1:$BD$1000,MATCH(data!$A199,Haver_Q!$B$1:$B$1000,0),MATCH(data!H$1,Haver_Q!$B$1:$BD$1,0))),100*INDEX(Haver_Q!$B$1:$BD$1000,MATCH(data!$A199,Haver_Q!$B$1:$B$1000,0),MATCH(data!H$1,Haver_Q!$B$1:$BD$1,0)),"na")</f>
        <v>367.00242708192832</v>
      </c>
      <c r="I199" s="3">
        <f>IF(ISNUMBER(Bloomberg_m!C215),Bloomberg_m!C215,"na")</f>
        <v>608</v>
      </c>
      <c r="J199" s="3">
        <f>IF(ISNUMBER(Bloomberg_m!D215),Bloomberg_m!D215,"na")</f>
        <v>1117.52</v>
      </c>
      <c r="K199" s="3">
        <f>IF(ISNUMBER(Bloomberg_m!E215),Bloomberg_m!E215,"na")</f>
        <v>554.61</v>
      </c>
      <c r="L199" s="3">
        <f>IF(ISNUMBER(Bloomberg_m!L215),Bloomberg_m!L215,"na")</f>
        <v>48.75</v>
      </c>
      <c r="M199">
        <f>IF(ISNUMBER(INDEX(Haver_M!$B$1:$ZN$1000,MATCH(data!$A199,Haver_M!$B$1:$B$1000,0),MATCH(data!M$1,Haver_M!$B$1:$ZN$1,0))),INDEX(Haver_M!$B$1:$ZN$1000,MATCH(data!$A199,Haver_M!$B$1:$B$1000,0),MATCH(data!M$1,Haver_M!$B$1:$ZN$1,0)),"na")</f>
        <v>4.25</v>
      </c>
      <c r="N199">
        <f>IF(ISNUMBER(INDEX(Haver_M!$B$1:$ZN$1000,MATCH(data!$A199,Haver_M!$B$1:$B$1000,0),MATCH(data!N$1,Haver_M!$B$1:$ZN$1,0))),INDEX(Haver_M!$B$1:$ZN$1000,MATCH(data!$A199,Haver_M!$B$1:$B$1000,0),MATCH(data!N$1,Haver_M!$B$1:$ZN$1,0)),"na")</f>
        <v>6.0492999999999997</v>
      </c>
      <c r="O199">
        <f>IF(ISNUMBER(INDEX(Haver_M!$B$1:$ZN$1000,MATCH(data!$A199,Haver_M!$B$1:$B$1000,0),MATCH(data!O$1,Haver_M!$B$1:$ZN$1,0))),INDEX(Haver_M!$B$1:$ZN$1000,MATCH(data!$A199,Haver_M!$B$1:$B$1000,0),MATCH(data!O$1,Haver_M!$B$1:$ZN$1,0)),"na")</f>
        <v>77.952709999999996</v>
      </c>
      <c r="P199">
        <f>IF(ISNUMBER(INDEX(Haver_M!$B$1:$ZN$1000,MATCH(data!$A199,Haver_M!$B$1:$B$1000,0),MATCH(data!P$1,Haver_M!$B$1:$ZN$1,0))),INDEX(Haver_M!$B$1:$ZN$1000,MATCH(data!$A199,Haver_M!$B$1:$B$1000,0),MATCH(data!P$1,Haver_M!$B$1:$ZN$1,0)),"na")</f>
        <v>89.816000000000003</v>
      </c>
      <c r="Q199">
        <f>IF(ISNUMBER(INDEX(Haver_M!$B$1:$ZN$1000,MATCH(data!$A199,Haver_M!$B$1:$B$1000,0),MATCH(data!Q$1,Haver_M!$B$1:$ZN$1,0))),INDEX(Haver_M!$B$1:$ZN$1000,MATCH(data!$A199,Haver_M!$B$1:$B$1000,0),MATCH(data!Q$1,Haver_M!$B$1:$ZN$1,0)),"na")</f>
        <v>91.736699999999999</v>
      </c>
      <c r="R199">
        <f>IF(ISNUMBER(INDEX(Haver_M!$B$1:$ZN$1000,MATCH(data!$A199,Haver_M!$B$1:$B$1000,0),MATCH(data!R$1,Haver_M!$B$1:$ZN$1,0))),INDEX(Haver_M!$B$1:$ZN$1000,MATCH(data!$A199,Haver_M!$B$1:$B$1000,0),MATCH(data!R$1,Haver_M!$B$1:$ZN$1,0)),"na")</f>
        <v>103.373</v>
      </c>
      <c r="S199">
        <f>IF(ISNUMBER(INDEX(Haver_M!$B$1:$ZN$1000,MATCH(data!$A199,Haver_M!$B$1:$B$1000,0),MATCH(data!S$1,Haver_M!$B$1:$ZN$1,0))),INDEX(Haver_M!$B$1:$ZN$1000,MATCH(data!$A199,Haver_M!$B$1:$B$1000,0),MATCH(data!S$1,Haver_M!$B$1:$ZN$1,0)),"na")</f>
        <v>89.431899999999999</v>
      </c>
      <c r="T199">
        <f>IF(ISNUMBER(INDEX(Haver_M!$B$1:$ZN$1000,MATCH(data!$A199,Haver_M!$B$1:$B$1000,0),MATCH(data!T$1,Haver_M!$B$1:$ZN$1,0))),INDEX(Haver_M!$B$1:$ZN$1000,MATCH(data!$A199,Haver_M!$B$1:$B$1000,0),MATCH(data!T$1,Haver_M!$B$1:$ZN$1,0)),"na")</f>
        <v>110.7791</v>
      </c>
      <c r="U199">
        <f>IF(ISNUMBER(INDEX(Haver_M!$B$1:$ZN$1000,MATCH(data!$A199,Haver_M!$B$1:$B$1000,0),MATCH(data!U$1,Haver_M!$B$1:$ZN$1,0))),INDEX(Haver_M!$B$1:$ZN$1000,MATCH(data!$A199,Haver_M!$B$1:$B$1000,0),MATCH(data!U$1,Haver_M!$B$1:$ZN$1,0)),"na")</f>
        <v>105.81310000000001</v>
      </c>
      <c r="V199">
        <f>IF(ISNUMBER(INDEX(Haver_M!$B$1:$ZN$1000,MATCH(data!$A199,Haver_M!$B$1:$B$1000,0),MATCH(data!V$1,Haver_M!$B$1:$ZN$1,0))),INDEX(Haver_M!$B$1:$ZN$1000,MATCH(data!$A199,Haver_M!$B$1:$B$1000,0),MATCH(data!V$1,Haver_M!$B$1:$ZN$1,0)),"na")</f>
        <v>108.0724</v>
      </c>
      <c r="W199">
        <f>IF(ISNUMBER(INDEX(Haver_M!$B$1:$ZN$1000,MATCH(data!$A199,Haver_M!$B$1:$B$1000,0),MATCH(data!W$1,Haver_M!$B$1:$ZN$1,0))),INDEX(Haver_M!$B$1:$ZN$1000,MATCH(data!$A199,Haver_M!$B$1:$B$1000,0),MATCH(data!W$1,Haver_M!$B$1:$ZN$1,0)),"na")</f>
        <v>3.93</v>
      </c>
      <c r="X199">
        <f>IF(ISNUMBER(INDEX(Haver_M!$B$1:$ZN$1000,MATCH(data!$A199,Haver_M!$B$1:$B$1000,0),MATCH(data!X$1,Haver_M!$B$1:$ZN$1,0))),INDEX(Haver_M!$B$1:$ZN$1000,MATCH(data!$A199,Haver_M!$B$1:$B$1000,0),MATCH(data!X$1,Haver_M!$B$1:$ZN$1,0)),"na")</f>
        <v>103.77</v>
      </c>
      <c r="Y199">
        <f>IF(ISNUMBER(INDEX(Haver_M!$B$1:$ZN$1000,MATCH(data!$A199,Haver_M!$B$1:$B$1000,0),MATCH(data!Y$1,Haver_M!$B$1:$ZN$1,0))),INDEX(Haver_M!$B$1:$ZN$1000,MATCH(data!$A199,Haver_M!$B$1:$B$1000,0),MATCH(data!Y$1,Haver_M!$B$1:$ZN$1,0)),"na")</f>
        <v>99.78</v>
      </c>
      <c r="Z199">
        <f>IF(ISNUMBER(INDEX(Haver_M!$B$1:$ZN$1000,MATCH(data!$A199,Haver_M!$B$1:$B$1000,0),MATCH(data!Z$1,Haver_M!$B$1:$ZN$1,0))),INDEX(Haver_M!$B$1:$ZN$1000,MATCH(data!$A199,Haver_M!$B$1:$B$1000,0),MATCH(data!Z$1,Haver_M!$B$1:$ZN$1,0)),"na")</f>
        <v>111.93129999999999</v>
      </c>
      <c r="AA199">
        <f>IF(ISNUMBER(INDEX(Haver_M!$B$1:$ZN$1000,MATCH(data!$A199,Haver_M!$B$1:$B$1000,0),MATCH(data!AA$1,Haver_M!$B$1:$ZN$1,0))),INDEX(Haver_M!$B$1:$ZN$1000,MATCH(data!$A199,Haver_M!$B$1:$B$1000,0),MATCH(data!AA$1,Haver_M!$B$1:$ZN$1,0)),"na")</f>
        <v>106.2602</v>
      </c>
      <c r="AB199">
        <f>IF(ISNUMBER(INDEX(Haver_M!$B$1:$ZN$1000,MATCH(data!$A199,Haver_M!$B$1:$B$1000,0),MATCH(data!AB$1,Haver_M!$B$1:$ZN$1,0))),INDEX(Haver_M!$B$1:$ZN$1000,MATCH(data!$A199,Haver_M!$B$1:$B$1000,0),MATCH(data!AB$1,Haver_M!$B$1:$ZN$1,0)),"na")</f>
        <v>30660.6</v>
      </c>
      <c r="AC199">
        <f>IF(ISNUMBER(INDEX(Haver_M!$B$1:$ZN$1000,MATCH(data!$A199,Haver_M!$B$1:$B$1000,0),MATCH(data!AC$1,Haver_M!$B$1:$ZN$1,0))),INDEX(Haver_M!$B$1:$ZN$1000,MATCH(data!$A199,Haver_M!$B$1:$B$1000,0),MATCH(data!AC$1,Haver_M!$B$1:$ZN$1,0)),"na")</f>
        <v>31857.200000000001</v>
      </c>
      <c r="AD199">
        <f>IF(ISNUMBER(INDEX(Haver_M!$B$1:$ZN$1000,MATCH(data!$A199,Haver_M!$B$1:$B$1000,0),MATCH(data!AD$1,Haver_M!$B$1:$ZN$1,0))),INDEX(Haver_M!$B$1:$ZN$1000,MATCH(data!$A199,Haver_M!$B$1:$B$1000,0),MATCH(data!AD$1,Haver_M!$B$1:$ZN$1,0)),"na")</f>
        <v>99.95</v>
      </c>
      <c r="AE199">
        <f>IF(ISNUMBER(INDEX(Haver_M!$B$1:$ZN$1000,MATCH(data!$A199,Haver_M!$B$1:$B$1000,0),MATCH(data!AE$1,Haver_M!$B$1:$ZN$1,0))),INDEX(Haver_M!$B$1:$ZN$1000,MATCH(data!$A199,Haver_M!$B$1:$B$1000,0),MATCH(data!AE$1,Haver_M!$B$1:$ZN$1,0)),"na")</f>
        <v>37.799999999999997</v>
      </c>
      <c r="AF199">
        <f>IF(ISNUMBER(INDEX(Haver_M!$B$1:$ZN$1000,MATCH(data!$A199,Haver_M!$B$1:$B$1000,0),MATCH(data!AF$1,Haver_M!$B$1:$ZN$1,0))),INDEX(Haver_M!$B$1:$ZN$1000,MATCH(data!$A199,Haver_M!$B$1:$B$1000,0),MATCH(data!AF$1,Haver_M!$B$1:$ZN$1,0)),"na")</f>
        <v>99.58</v>
      </c>
      <c r="AG199">
        <f>IF(ISNUMBER(INDEX(Haver_M!$B$1:$ZN$1000,MATCH(data!$A199,Haver_M!$B$1:$B$1000,0),MATCH(data!AG$1,Haver_M!$B$1:$ZN$1,0))),INDEX(Haver_M!$B$1:$ZN$1000,MATCH(data!$A199,Haver_M!$B$1:$B$1000,0),MATCH(data!AG$1,Haver_M!$B$1:$ZN$1,0)),"na")</f>
        <v>51.125399999999999</v>
      </c>
      <c r="AH199">
        <f>IF(ISNUMBER(INDEX(Haver_M!$B$1:$ZN$1000,MATCH(data!$A199,Haver_M!$B$1:$B$1000,0),MATCH(data!AH$1,Haver_M!$B$1:$ZN$1,0))),INDEX(Haver_M!$B$1:$ZN$1000,MATCH(data!$A199,Haver_M!$B$1:$B$1000,0),MATCH(data!AH$1,Haver_M!$B$1:$ZN$1,0)),"na")</f>
        <v>49.819699999999997</v>
      </c>
      <c r="AI199">
        <f>IF(ISNUMBER(INDEX(Haver_M!$B$1:$ZN$1000,MATCH(data!$A199,Haver_M!$B$1:$B$1000,0),MATCH(data!AI$1,Haver_M!$B$1:$ZN$1,0))),INDEX(Haver_M!$B$1:$ZN$1000,MATCH(data!$A199,Haver_M!$B$1:$B$1000,0),MATCH(data!AI$1,Haver_M!$B$1:$ZN$1,0)),"na")</f>
        <v>52.3142</v>
      </c>
      <c r="AJ199">
        <f>IF(ISNUMBER(INDEX(Haver_M!$B$1:$ZN$1000,MATCH(data!$A199,Haver_M!$B$1:$B$1000,0),MATCH(data!AJ$1,Haver_M!$B$1:$ZN$1,0))),INDEX(Haver_M!$B$1:$ZN$1000,MATCH(data!$A199,Haver_M!$B$1:$B$1000,0),MATCH(data!AJ$1,Haver_M!$B$1:$ZN$1,0)),"na")</f>
        <v>50.823700000000002</v>
      </c>
      <c r="AK199">
        <f>IF(ISNUMBER(INDEX(Haver_M!$B$1:$ZN$1000,MATCH(data!$A199,Haver_M!$B$1:$B$1000,0),MATCH(data!AK$1,Haver_M!$B$1:$ZN$1,0))),INDEX(Haver_M!$B$1:$ZN$1000,MATCH(data!$A199,Haver_M!$B$1:$B$1000,0),MATCH(data!AK$1,Haver_M!$B$1:$ZN$1,0)),"na")</f>
        <v>48.102699999999999</v>
      </c>
      <c r="AL199">
        <f>IF(ISNUMBER(INDEX(Haver_M!$B$1:$ZN$1000,MATCH(data!$A199,Haver_M!$B$1:$B$1000,0),MATCH(data!AL$1,Haver_M!$B$1:$ZN$1,0))),INDEX(Haver_M!$B$1:$ZN$1000,MATCH(data!$A199,Haver_M!$B$1:$B$1000,0),MATCH(data!AL$1,Haver_M!$B$1:$ZN$1,0)),"na")</f>
        <v>50.268999999999998</v>
      </c>
      <c r="AM199">
        <f>IF(ISNUMBER(INDEX(Haver_M!$B$1:$ZN$1000,MATCH(data!$A199,Haver_M!$B$1:$B$1000,0),MATCH(data!AM$1,Haver_M!$B$1:$ZN$1,0))),INDEX(Haver_M!$B$1:$ZN$1000,MATCH(data!$A199,Haver_M!$B$1:$B$1000,0),MATCH(data!AM$1,Haver_M!$B$1:$ZN$1,0)),"na")</f>
        <v>60.9283</v>
      </c>
      <c r="AN199">
        <f>IF(ISNUMBER(INDEX(Haver_M!$B$1:$ZN$1000,MATCH(data!$A199,Haver_M!$B$1:$B$1000,0),MATCH(data!AN$1,Haver_M!$B$1:$ZN$1,0))),INDEX(Haver_M!$B$1:$ZN$1000,MATCH(data!$A199,Haver_M!$B$1:$B$1000,0),MATCH(data!AN$1,Haver_M!$B$1:$ZN$1,0)),"na")</f>
        <v>51.406199999999998</v>
      </c>
      <c r="AO199">
        <f>IF(ISNUMBER(INDEX(Haver_M!$B$1:$ZN$1000,MATCH(data!$A199,Haver_M!$B$1:$B$1000,0),MATCH(data!AO$1,Haver_M!$B$1:$ZN$1,0))),INDEX(Haver_M!$B$1:$ZN$1000,MATCH(data!$A199,Haver_M!$B$1:$B$1000,0),MATCH(data!AO$1,Haver_M!$B$1:$ZN$1,0)),"na")</f>
        <v>50.268999999999998</v>
      </c>
      <c r="AP199">
        <f>IF(ISNUMBER(INDEX(Haver_M!$B$1:$ZN$1000,MATCH(data!$A199,Haver_M!$B$1:$B$1000,0),MATCH(data!AP$1,Haver_M!$B$1:$ZN$1,0))),INDEX(Haver_M!$B$1:$ZN$1000,MATCH(data!$A199,Haver_M!$B$1:$B$1000,0),MATCH(data!AP$1,Haver_M!$B$1:$ZN$1,0)),"na")</f>
        <v>50.426000000000002</v>
      </c>
      <c r="AQ199">
        <f>IF(ISNUMBER(INDEX(Haver_M!$B$1:$ZN$1000,MATCH(data!$A199,Haver_M!$B$1:$B$1000,0),MATCH(data!AQ$1,Haver_M!$B$1:$ZN$1,0))),INDEX(Haver_M!$B$1:$ZN$1000,MATCH(data!$A199,Haver_M!$B$1:$B$1000,0),MATCH(data!AQ$1,Haver_M!$B$1:$ZN$1,0)),"na")</f>
        <v>51.892000000000003</v>
      </c>
      <c r="AR199">
        <f>IF(ISNUMBER(INDEX(Haver_M!$B$1:$ZN$1000,MATCH(data!$A199,Haver_M!$B$1:$B$1000,0),MATCH(data!AR$1,Haver_M!$B$1:$ZN$1,0))),INDEX(Haver_M!$B$1:$ZN$1000,MATCH(data!$A199,Haver_M!$B$1:$B$1000,0),MATCH(data!AR$1,Haver_M!$B$1:$ZN$1,0)),"na")</f>
        <v>49.095999999999997</v>
      </c>
      <c r="AS199">
        <f>IF(ISNUMBER(INDEX(Haver_M!$B$1:$ZN$1000,MATCH(data!$A199,Haver_M!$B$1:$B$1000,0),MATCH(data!AS$1,Haver_M!$B$1:$ZN$1,0))),INDEX(Haver_M!$B$1:$ZN$1000,MATCH(data!$A199,Haver_M!$B$1:$B$1000,0),MATCH(data!AS$1,Haver_M!$B$1:$ZN$1,0)),"na")</f>
        <v>45448.94</v>
      </c>
      <c r="AT199">
        <f>IF(ISNUMBER(INDEX(Haver_M!$B$1:$ZN$1000,MATCH(data!$A199,Haver_M!$B$1:$B$1000,0),MATCH(data!AT$1,Haver_M!$B$1:$ZN$1,0))),INDEX(Haver_M!$B$1:$ZN$1000,MATCH(data!$A199,Haver_M!$B$1:$B$1000,0),MATCH(data!AT$1,Haver_M!$B$1:$ZN$1,0)),"na")</f>
        <v>109.58199999999999</v>
      </c>
      <c r="AU199">
        <f>IF(ISNUMBER(INDEX(Haver_M!$B$1:$ZN$1000,MATCH(data!$A199,Haver_M!$B$1:$B$1000,0),MATCH(data!AU$1,Haver_M!$B$1:$ZN$1,0))),INDEX(Haver_M!$B$1:$ZN$1000,MATCH(data!$A199,Haver_M!$B$1:$B$1000,0),MATCH(data!AU$1,Haver_M!$B$1:$ZN$1,0)),"na")</f>
        <v>108.220378</v>
      </c>
      <c r="AV199">
        <f>IF(ISNUMBER(INDEX(Haver_M!$B$1:$ZN$1000,MATCH(data!$A199,Haver_M!$B$1:$B$1000,0),MATCH(data!AV$1,Haver_M!$B$1:$ZN$1,0))),INDEX(Haver_M!$B$1:$ZN$1000,MATCH(data!$A199,Haver_M!$B$1:$B$1000,0),MATCH(data!AV$1,Haver_M!$B$1:$ZN$1,0)),"na")</f>
        <v>109</v>
      </c>
      <c r="AW199">
        <f>IF(ISNUMBER(INDEX(Haver_M!$B$1:$ZN$1000,MATCH(data!$A199,Haver_M!$B$1:$B$1000,0),MATCH(data!AW$1,Haver_M!$B$1:$ZN$1,0))),INDEX(Haver_M!$B$1:$ZN$1000,MATCH(data!$A199,Haver_M!$B$1:$B$1000,0),MATCH(data!AW$1,Haver_M!$B$1:$ZN$1,0)),"na")</f>
        <v>1664269.8538030926</v>
      </c>
      <c r="AX199">
        <f>IF(ISNUMBER(INDEX(Haver_M!$B$1:$ZN$1000,MATCH(data!$A199,Haver_M!$B$1:$B$1000,0),MATCH(data!AX$1,Haver_M!$B$1:$ZN$1,0))),INDEX(Haver_M!$B$1:$ZN$1000,MATCH(data!$A199,Haver_M!$B$1:$B$1000,0),MATCH(data!AX$1,Haver_M!$B$1:$ZN$1,0)),"na")</f>
        <v>2171</v>
      </c>
      <c r="AY199">
        <f>IF(ISNUMBER(INDEX(Haver_M!$B$1:$ZN$1000,MATCH(data!$A199,Haver_M!$B$1:$B$1000,0),MATCH(data!AY$1,Haver_M!$B$1:$ZN$1,0))),INDEX(Haver_M!$B$1:$ZN$1000,MATCH(data!$A199,Haver_M!$B$1:$B$1000,0),MATCH(data!AY$1,Haver_M!$B$1:$ZN$1,0)),"na")</f>
        <v>1098</v>
      </c>
      <c r="AZ199">
        <f>IF(ISNUMBER(INDEX(Haver_M!$B$1:$ZN$1000,MATCH(data!$A199,Haver_M!$B$1:$B$1000,0),MATCH(data!AZ$1,Haver_M!$B$1:$ZN$1,0))),INDEX(Haver_M!$B$1:$ZN$1000,MATCH(data!$A199,Haver_M!$B$1:$B$1000,0),MATCH(data!AZ$1,Haver_M!$B$1:$ZN$1,0)),"na")</f>
        <v>48</v>
      </c>
      <c r="BA199">
        <f>IF(ISNUMBER(INDEX(Haver_M!$B$1:$ZN$1000,MATCH(data!$A199,Haver_M!$B$1:$B$1000,0),MATCH(data!BA$1,Haver_M!$B$1:$ZN$1,0))),INDEX(Haver_M!$B$1:$ZN$1000,MATCH(data!$A199,Haver_M!$B$1:$B$1000,0),MATCH(data!BA$1,Haver_M!$B$1:$ZN$1,0)),"na")</f>
        <v>51.281747724053382</v>
      </c>
      <c r="BB199" t="str">
        <f>IF(ISNUMBER(INDEX(Haver_M!$B$1:$ZN$1000,MATCH(data!$A199,Haver_M!$B$1:$B$1000,0),MATCH(data!BB$1,Haver_M!$B$1:$ZN$1,0))),INDEX(Haver_M!$B$1:$ZN$1000,MATCH(data!$A199,Haver_M!$B$1:$B$1000,0),MATCH(data!BB$1,Haver_M!$B$1:$ZN$1,0)),"")</f>
        <v/>
      </c>
    </row>
    <row r="200" spans="1:54" x14ac:dyDescent="0.25">
      <c r="A200" s="2">
        <v>42582</v>
      </c>
      <c r="B200" t="str">
        <f>IF(ISNUMBER(INDEX(Haver_Q!$B$1:$BD$1000,MATCH(data!$A200,Haver_Q!$B$1:$B$1000,0),MATCH(data!B$1,Haver_Q!$B$1:$BD$1,0))),100*INDEX(Haver_Q!$B$1:$BD$1000,MATCH(data!$A200,Haver_Q!$B$1:$B$1000,0),MATCH(data!B$1,Haver_Q!$B$1:$BD$1,0)),"na")</f>
        <v>na</v>
      </c>
      <c r="C200" t="str">
        <f>IF(ISNUMBER(INDEX(Haver_Q!$B$1:$BD$1000,MATCH(data!$A200,Haver_Q!$B$1:$B$1000,0),MATCH(data!C$1,Haver_Q!$B$1:$BD$1,0))),100*INDEX(Haver_Q!$B$1:$BD$1000,MATCH(data!$A200,Haver_Q!$B$1:$B$1000,0),MATCH(data!C$1,Haver_Q!$B$1:$BD$1,0)),"na")</f>
        <v>na</v>
      </c>
      <c r="D200" t="str">
        <f>IF(ISNUMBER(INDEX(Haver_Q!$B$1:$BD$1000,MATCH(data!$A200,Haver_Q!$B$1:$B$1000,0),MATCH(data!D$1,Haver_Q!$B$1:$BD$1,0))),100*INDEX(Haver_Q!$B$1:$BD$1000,MATCH(data!$A200,Haver_Q!$B$1:$B$1000,0),MATCH(data!D$1,Haver_Q!$B$1:$BD$1,0)),"na")</f>
        <v>na</v>
      </c>
      <c r="E200" t="str">
        <f>IF(ISNUMBER(INDEX(Haver_Q!$B$1:$BD$1000,MATCH(data!$A200,Haver_Q!$B$1:$B$1000,0),MATCH(data!E$1,Haver_Q!$B$1:$BD$1,0))),100*INDEX(Haver_Q!$B$1:$BD$1000,MATCH(data!$A200,Haver_Q!$B$1:$B$1000,0),MATCH(data!E$1,Haver_Q!$B$1:$BD$1,0)),"na")</f>
        <v>na</v>
      </c>
      <c r="F200" t="str">
        <f>IF(ISNUMBER(INDEX(Haver_Q!$B$1:$BD$1000,MATCH(data!$A200,Haver_Q!$B$1:$B$1000,0),MATCH(data!F$1,Haver_Q!$B$1:$BD$1,0))),100*INDEX(Haver_Q!$B$1:$BD$1000,MATCH(data!$A200,Haver_Q!$B$1:$B$1000,0),MATCH(data!F$1,Haver_Q!$B$1:$BD$1,0)),"na")</f>
        <v>na</v>
      </c>
      <c r="G200" t="str">
        <f>IF(ISNUMBER(INDEX(Haver_Q!$B$1:$BD$1000,MATCH(data!$A200,Haver_Q!$B$1:$B$1000,0),MATCH(data!G$1,Haver_Q!$B$1:$BD$1,0))),100*INDEX(Haver_Q!$B$1:$BD$1000,MATCH(data!$A200,Haver_Q!$B$1:$B$1000,0),MATCH(data!G$1,Haver_Q!$B$1:$BD$1,0)),"na")</f>
        <v>na</v>
      </c>
      <c r="H200" t="str">
        <f>IF(ISNUMBER(INDEX(Haver_Q!$B$1:$BD$1000,MATCH(data!$A200,Haver_Q!$B$1:$B$1000,0),MATCH(data!H$1,Haver_Q!$B$1:$BD$1,0))),100*INDEX(Haver_Q!$B$1:$BD$1000,MATCH(data!$A200,Haver_Q!$B$1:$B$1000,0),MATCH(data!H$1,Haver_Q!$B$1:$BD$1,0)),"na")</f>
        <v>na</v>
      </c>
      <c r="I200" s="3">
        <f>IF(ISNUMBER(Bloomberg_m!C216),Bloomberg_m!C216,"na")</f>
        <v>707</v>
      </c>
      <c r="J200" s="3">
        <f>IF(ISNUMBER(Bloomberg_m!D216),Bloomberg_m!D216,"na")</f>
        <v>1296.54</v>
      </c>
      <c r="K200" s="3">
        <f>IF(ISNUMBER(Bloomberg_m!E216),Bloomberg_m!E216,"na")</f>
        <v>694.89</v>
      </c>
      <c r="L200" s="3">
        <f>IF(ISNUMBER(Bloomberg_m!L216),Bloomberg_m!L216,"na")</f>
        <v>44.69</v>
      </c>
      <c r="M200">
        <f>IF(ISNUMBER(INDEX(Haver_M!$B$1:$ZN$1000,MATCH(data!$A200,Haver_M!$B$1:$B$1000,0),MATCH(data!M$1,Haver_M!$B$1:$ZN$1,0))),INDEX(Haver_M!$B$1:$ZN$1000,MATCH(data!$A200,Haver_M!$B$1:$B$1000,0),MATCH(data!M$1,Haver_M!$B$1:$ZN$1,0)),"na")</f>
        <v>4.25</v>
      </c>
      <c r="N200">
        <f>IF(ISNUMBER(INDEX(Haver_M!$B$1:$ZN$1000,MATCH(data!$A200,Haver_M!$B$1:$B$1000,0),MATCH(data!N$1,Haver_M!$B$1:$ZN$1,0))),INDEX(Haver_M!$B$1:$ZN$1000,MATCH(data!$A200,Haver_M!$B$1:$B$1000,0),MATCH(data!N$1,Haver_M!$B$1:$ZN$1,0)),"na")</f>
        <v>5.8958000000000004</v>
      </c>
      <c r="O200">
        <f>IF(ISNUMBER(INDEX(Haver_M!$B$1:$ZN$1000,MATCH(data!$A200,Haver_M!$B$1:$B$1000,0),MATCH(data!O$1,Haver_M!$B$1:$ZN$1,0))),INDEX(Haver_M!$B$1:$ZN$1000,MATCH(data!$A200,Haver_M!$B$1:$B$1000,0),MATCH(data!O$1,Haver_M!$B$1:$ZN$1,0)),"na")</f>
        <v>78.597840000000005</v>
      </c>
      <c r="P200">
        <f>IF(ISNUMBER(INDEX(Haver_M!$B$1:$ZN$1000,MATCH(data!$A200,Haver_M!$B$1:$B$1000,0),MATCH(data!P$1,Haver_M!$B$1:$ZN$1,0))),INDEX(Haver_M!$B$1:$ZN$1000,MATCH(data!$A200,Haver_M!$B$1:$B$1000,0),MATCH(data!P$1,Haver_M!$B$1:$ZN$1,0)),"na")</f>
        <v>90.100700000000003</v>
      </c>
      <c r="Q200">
        <f>IF(ISNUMBER(INDEX(Haver_M!$B$1:$ZN$1000,MATCH(data!$A200,Haver_M!$B$1:$B$1000,0),MATCH(data!Q$1,Haver_M!$B$1:$ZN$1,0))),INDEX(Haver_M!$B$1:$ZN$1000,MATCH(data!$A200,Haver_M!$B$1:$B$1000,0),MATCH(data!Q$1,Haver_M!$B$1:$ZN$1,0)),"na")</f>
        <v>91.9636</v>
      </c>
      <c r="R200">
        <f>IF(ISNUMBER(INDEX(Haver_M!$B$1:$ZN$1000,MATCH(data!$A200,Haver_M!$B$1:$B$1000,0),MATCH(data!R$1,Haver_M!$B$1:$ZN$1,0))),INDEX(Haver_M!$B$1:$ZN$1000,MATCH(data!$A200,Haver_M!$B$1:$B$1000,0),MATCH(data!R$1,Haver_M!$B$1:$ZN$1,0)),"na")</f>
        <v>103.7183</v>
      </c>
      <c r="S200">
        <f>IF(ISNUMBER(INDEX(Haver_M!$B$1:$ZN$1000,MATCH(data!$A200,Haver_M!$B$1:$B$1000,0),MATCH(data!S$1,Haver_M!$B$1:$ZN$1,0))),INDEX(Haver_M!$B$1:$ZN$1000,MATCH(data!$A200,Haver_M!$B$1:$B$1000,0),MATCH(data!S$1,Haver_M!$B$1:$ZN$1,0)),"na")</f>
        <v>89.880399999999995</v>
      </c>
      <c r="T200">
        <f>IF(ISNUMBER(INDEX(Haver_M!$B$1:$ZN$1000,MATCH(data!$A200,Haver_M!$B$1:$B$1000,0),MATCH(data!T$1,Haver_M!$B$1:$ZN$1,0))),INDEX(Haver_M!$B$1:$ZN$1000,MATCH(data!$A200,Haver_M!$B$1:$B$1000,0),MATCH(data!T$1,Haver_M!$B$1:$ZN$1,0)),"na")</f>
        <v>111.4413</v>
      </c>
      <c r="U200">
        <f>IF(ISNUMBER(INDEX(Haver_M!$B$1:$ZN$1000,MATCH(data!$A200,Haver_M!$B$1:$B$1000,0),MATCH(data!U$1,Haver_M!$B$1:$ZN$1,0))),INDEX(Haver_M!$B$1:$ZN$1000,MATCH(data!$A200,Haver_M!$B$1:$B$1000,0),MATCH(data!U$1,Haver_M!$B$1:$ZN$1,0)),"na")</f>
        <v>105.1802</v>
      </c>
      <c r="V200">
        <f>IF(ISNUMBER(INDEX(Haver_M!$B$1:$ZN$1000,MATCH(data!$A200,Haver_M!$B$1:$B$1000,0),MATCH(data!V$1,Haver_M!$B$1:$ZN$1,0))),INDEX(Haver_M!$B$1:$ZN$1000,MATCH(data!$A200,Haver_M!$B$1:$B$1000,0),MATCH(data!V$1,Haver_M!$B$1:$ZN$1,0)),"na")</f>
        <v>108.4406</v>
      </c>
      <c r="W200">
        <f>IF(ISNUMBER(INDEX(Haver_M!$B$1:$ZN$1000,MATCH(data!$A200,Haver_M!$B$1:$B$1000,0),MATCH(data!W$1,Haver_M!$B$1:$ZN$1,0))),INDEX(Haver_M!$B$1:$ZN$1000,MATCH(data!$A200,Haver_M!$B$1:$B$1000,0),MATCH(data!W$1,Haver_M!$B$1:$ZN$1,0)),"na")</f>
        <v>3.8</v>
      </c>
      <c r="X200">
        <f>IF(ISNUMBER(INDEX(Haver_M!$B$1:$ZN$1000,MATCH(data!$A200,Haver_M!$B$1:$B$1000,0),MATCH(data!X$1,Haver_M!$B$1:$ZN$1,0))),INDEX(Haver_M!$B$1:$ZN$1000,MATCH(data!$A200,Haver_M!$B$1:$B$1000,0),MATCH(data!X$1,Haver_M!$B$1:$ZN$1,0)),"na")</f>
        <v>103.95</v>
      </c>
      <c r="Y200">
        <f>IF(ISNUMBER(INDEX(Haver_M!$B$1:$ZN$1000,MATCH(data!$A200,Haver_M!$B$1:$B$1000,0),MATCH(data!Y$1,Haver_M!$B$1:$ZN$1,0))),INDEX(Haver_M!$B$1:$ZN$1000,MATCH(data!$A200,Haver_M!$B$1:$B$1000,0),MATCH(data!Y$1,Haver_M!$B$1:$ZN$1,0)),"na")</f>
        <v>99.73</v>
      </c>
      <c r="Z200">
        <f>IF(ISNUMBER(INDEX(Haver_M!$B$1:$ZN$1000,MATCH(data!$A200,Haver_M!$B$1:$B$1000,0),MATCH(data!Z$1,Haver_M!$B$1:$ZN$1,0))),INDEX(Haver_M!$B$1:$ZN$1000,MATCH(data!$A200,Haver_M!$B$1:$B$1000,0),MATCH(data!Z$1,Haver_M!$B$1:$ZN$1,0)),"na")</f>
        <v>111.2651</v>
      </c>
      <c r="AA200">
        <f>IF(ISNUMBER(INDEX(Haver_M!$B$1:$ZN$1000,MATCH(data!$A200,Haver_M!$B$1:$B$1000,0),MATCH(data!AA$1,Haver_M!$B$1:$ZN$1,0))),INDEX(Haver_M!$B$1:$ZN$1000,MATCH(data!$A200,Haver_M!$B$1:$B$1000,0),MATCH(data!AA$1,Haver_M!$B$1:$ZN$1,0)),"na")</f>
        <v>105.80419999999999</v>
      </c>
      <c r="AB200">
        <f>IF(ISNUMBER(INDEX(Haver_M!$B$1:$ZN$1000,MATCH(data!$A200,Haver_M!$B$1:$B$1000,0),MATCH(data!AB$1,Haver_M!$B$1:$ZN$1,0))),INDEX(Haver_M!$B$1:$ZN$1000,MATCH(data!$A200,Haver_M!$B$1:$B$1000,0),MATCH(data!AB$1,Haver_M!$B$1:$ZN$1,0)),"na")</f>
        <v>31208.2</v>
      </c>
      <c r="AC200">
        <f>IF(ISNUMBER(INDEX(Haver_M!$B$1:$ZN$1000,MATCH(data!$A200,Haver_M!$B$1:$B$1000,0),MATCH(data!AC$1,Haver_M!$B$1:$ZN$1,0))),INDEX(Haver_M!$B$1:$ZN$1000,MATCH(data!$A200,Haver_M!$B$1:$B$1000,0),MATCH(data!AC$1,Haver_M!$B$1:$ZN$1,0)),"na")</f>
        <v>32297.7</v>
      </c>
      <c r="AD200">
        <f>IF(ISNUMBER(INDEX(Haver_M!$B$1:$ZN$1000,MATCH(data!$A200,Haver_M!$B$1:$B$1000,0),MATCH(data!AD$1,Haver_M!$B$1:$ZN$1,0))),INDEX(Haver_M!$B$1:$ZN$1000,MATCH(data!$A200,Haver_M!$B$1:$B$1000,0),MATCH(data!AD$1,Haver_M!$B$1:$ZN$1,0)),"na")</f>
        <v>99.99</v>
      </c>
      <c r="AE200">
        <f>IF(ISNUMBER(INDEX(Haver_M!$B$1:$ZN$1000,MATCH(data!$A200,Haver_M!$B$1:$B$1000,0),MATCH(data!AE$1,Haver_M!$B$1:$ZN$1,0))),INDEX(Haver_M!$B$1:$ZN$1000,MATCH(data!$A200,Haver_M!$B$1:$B$1000,0),MATCH(data!AE$1,Haver_M!$B$1:$ZN$1,0)),"na")</f>
        <v>36.1</v>
      </c>
      <c r="AF200">
        <f>IF(ISNUMBER(INDEX(Haver_M!$B$1:$ZN$1000,MATCH(data!$A200,Haver_M!$B$1:$B$1000,0),MATCH(data!AF$1,Haver_M!$B$1:$ZN$1,0))),INDEX(Haver_M!$B$1:$ZN$1000,MATCH(data!$A200,Haver_M!$B$1:$B$1000,0),MATCH(data!AF$1,Haver_M!$B$1:$ZN$1,0)),"na")</f>
        <v>99.55</v>
      </c>
      <c r="AG200">
        <f>IF(ISNUMBER(INDEX(Haver_M!$B$1:$ZN$1000,MATCH(data!$A200,Haver_M!$B$1:$B$1000,0),MATCH(data!AG$1,Haver_M!$B$1:$ZN$1,0))),INDEX(Haver_M!$B$1:$ZN$1000,MATCH(data!$A200,Haver_M!$B$1:$B$1000,0),MATCH(data!AG$1,Haver_M!$B$1:$ZN$1,0)),"na")</f>
        <v>50.6235</v>
      </c>
      <c r="AH200">
        <f>IF(ISNUMBER(INDEX(Haver_M!$B$1:$ZN$1000,MATCH(data!$A200,Haver_M!$B$1:$B$1000,0),MATCH(data!AH$1,Haver_M!$B$1:$ZN$1,0))),INDEX(Haver_M!$B$1:$ZN$1000,MATCH(data!$A200,Haver_M!$B$1:$B$1000,0),MATCH(data!AH$1,Haver_M!$B$1:$ZN$1,0)),"na")</f>
        <v>50.127099999999999</v>
      </c>
      <c r="AI200">
        <f>IF(ISNUMBER(INDEX(Haver_M!$B$1:$ZN$1000,MATCH(data!$A200,Haver_M!$B$1:$B$1000,0),MATCH(data!AI$1,Haver_M!$B$1:$ZN$1,0))),INDEX(Haver_M!$B$1:$ZN$1000,MATCH(data!$A200,Haver_M!$B$1:$B$1000,0),MATCH(data!AI$1,Haver_M!$B$1:$ZN$1,0)),"na")</f>
        <v>50.956400000000002</v>
      </c>
      <c r="AJ200">
        <f>IF(ISNUMBER(INDEX(Haver_M!$B$1:$ZN$1000,MATCH(data!$A200,Haver_M!$B$1:$B$1000,0),MATCH(data!AJ$1,Haver_M!$B$1:$ZN$1,0))),INDEX(Haver_M!$B$1:$ZN$1000,MATCH(data!$A200,Haver_M!$B$1:$B$1000,0),MATCH(data!AJ$1,Haver_M!$B$1:$ZN$1,0)),"na")</f>
        <v>50.6449</v>
      </c>
      <c r="AK200">
        <f>IF(ISNUMBER(INDEX(Haver_M!$B$1:$ZN$1000,MATCH(data!$A200,Haver_M!$B$1:$B$1000,0),MATCH(data!AK$1,Haver_M!$B$1:$ZN$1,0))),INDEX(Haver_M!$B$1:$ZN$1000,MATCH(data!$A200,Haver_M!$B$1:$B$1000,0),MATCH(data!AK$1,Haver_M!$B$1:$ZN$1,0)),"na")</f>
        <v>49.105600000000003</v>
      </c>
      <c r="AL200">
        <f>IF(ISNUMBER(INDEX(Haver_M!$B$1:$ZN$1000,MATCH(data!$A200,Haver_M!$B$1:$B$1000,0),MATCH(data!AL$1,Haver_M!$B$1:$ZN$1,0))),INDEX(Haver_M!$B$1:$ZN$1000,MATCH(data!$A200,Haver_M!$B$1:$B$1000,0),MATCH(data!AL$1,Haver_M!$B$1:$ZN$1,0)),"na")</f>
        <v>50.416899999999998</v>
      </c>
      <c r="AM200">
        <f>IF(ISNUMBER(INDEX(Haver_M!$B$1:$ZN$1000,MATCH(data!$A200,Haver_M!$B$1:$B$1000,0),MATCH(data!AM$1,Haver_M!$B$1:$ZN$1,0))),INDEX(Haver_M!$B$1:$ZN$1000,MATCH(data!$A200,Haver_M!$B$1:$B$1000,0),MATCH(data!AM$1,Haver_M!$B$1:$ZN$1,0)),"na")</f>
        <v>59.296399999999998</v>
      </c>
      <c r="AN200">
        <f>IF(ISNUMBER(INDEX(Haver_M!$B$1:$ZN$1000,MATCH(data!$A200,Haver_M!$B$1:$B$1000,0),MATCH(data!AN$1,Haver_M!$B$1:$ZN$1,0))),INDEX(Haver_M!$B$1:$ZN$1000,MATCH(data!$A200,Haver_M!$B$1:$B$1000,0),MATCH(data!AN$1,Haver_M!$B$1:$ZN$1,0)),"na")</f>
        <v>51.646000000000001</v>
      </c>
      <c r="AO200">
        <f>IF(ISNUMBER(INDEX(Haver_M!$B$1:$ZN$1000,MATCH(data!$A200,Haver_M!$B$1:$B$1000,0),MATCH(data!AO$1,Haver_M!$B$1:$ZN$1,0))),INDEX(Haver_M!$B$1:$ZN$1000,MATCH(data!$A200,Haver_M!$B$1:$B$1000,0),MATCH(data!AO$1,Haver_M!$B$1:$ZN$1,0)),"na")</f>
        <v>50.416899999999998</v>
      </c>
      <c r="AP200">
        <f>IF(ISNUMBER(INDEX(Haver_M!$B$1:$ZN$1000,MATCH(data!$A200,Haver_M!$B$1:$B$1000,0),MATCH(data!AP$1,Haver_M!$B$1:$ZN$1,0))),INDEX(Haver_M!$B$1:$ZN$1000,MATCH(data!$A200,Haver_M!$B$1:$B$1000,0),MATCH(data!AP$1,Haver_M!$B$1:$ZN$1,0)),"na")</f>
        <v>47.219900000000003</v>
      </c>
      <c r="AQ200">
        <f>IF(ISNUMBER(INDEX(Haver_M!$B$1:$ZN$1000,MATCH(data!$A200,Haver_M!$B$1:$B$1000,0),MATCH(data!AQ$1,Haver_M!$B$1:$ZN$1,0))),INDEX(Haver_M!$B$1:$ZN$1000,MATCH(data!$A200,Haver_M!$B$1:$B$1000,0),MATCH(data!AQ$1,Haver_M!$B$1:$ZN$1,0)),"na")</f>
        <v>50.959499999999998</v>
      </c>
      <c r="AR200">
        <f>IF(ISNUMBER(INDEX(Haver_M!$B$1:$ZN$1000,MATCH(data!$A200,Haver_M!$B$1:$B$1000,0),MATCH(data!AR$1,Haver_M!$B$1:$ZN$1,0))),INDEX(Haver_M!$B$1:$ZN$1000,MATCH(data!$A200,Haver_M!$B$1:$B$1000,0),MATCH(data!AR$1,Haver_M!$B$1:$ZN$1,0)),"na")</f>
        <v>49.497700000000002</v>
      </c>
      <c r="AS200">
        <f>IF(ISNUMBER(INDEX(Haver_M!$B$1:$ZN$1000,MATCH(data!$A200,Haver_M!$B$1:$B$1000,0),MATCH(data!AS$1,Haver_M!$B$1:$ZN$1,0))),INDEX(Haver_M!$B$1:$ZN$1000,MATCH(data!$A200,Haver_M!$B$1:$B$1000,0),MATCH(data!AS$1,Haver_M!$B$1:$ZN$1,0)),"na")</f>
        <v>46550.720000000001</v>
      </c>
      <c r="AT200">
        <f>IF(ISNUMBER(INDEX(Haver_M!$B$1:$ZN$1000,MATCH(data!$A200,Haver_M!$B$1:$B$1000,0),MATCH(data!AT$1,Haver_M!$B$1:$ZN$1,0))),INDEX(Haver_M!$B$1:$ZN$1000,MATCH(data!$A200,Haver_M!$B$1:$B$1000,0),MATCH(data!AT$1,Haver_M!$B$1:$ZN$1,0)),"na")</f>
        <v>109.702</v>
      </c>
      <c r="AU200">
        <f>IF(ISNUMBER(INDEX(Haver_M!$B$1:$ZN$1000,MATCH(data!$A200,Haver_M!$B$1:$B$1000,0),MATCH(data!AU$1,Haver_M!$B$1:$ZN$1,0))),INDEX(Haver_M!$B$1:$ZN$1000,MATCH(data!$A200,Haver_M!$B$1:$B$1000,0),MATCH(data!AU$1,Haver_M!$B$1:$ZN$1,0)),"na")</f>
        <v>108.243352</v>
      </c>
      <c r="AV200">
        <f>IF(ISNUMBER(INDEX(Haver_M!$B$1:$ZN$1000,MATCH(data!$A200,Haver_M!$B$1:$B$1000,0),MATCH(data!AV$1,Haver_M!$B$1:$ZN$1,0))),INDEX(Haver_M!$B$1:$ZN$1000,MATCH(data!$A200,Haver_M!$B$1:$B$1000,0),MATCH(data!AV$1,Haver_M!$B$1:$ZN$1,0)),"na")</f>
        <v>106.3</v>
      </c>
      <c r="AW200">
        <f>IF(ISNUMBER(INDEX(Haver_M!$B$1:$ZN$1000,MATCH(data!$A200,Haver_M!$B$1:$B$1000,0),MATCH(data!AW$1,Haver_M!$B$1:$ZN$1,0))),INDEX(Haver_M!$B$1:$ZN$1000,MATCH(data!$A200,Haver_M!$B$1:$B$1000,0),MATCH(data!AW$1,Haver_M!$B$1:$ZN$1,0)),"na")</f>
        <v>1709180.9211804031</v>
      </c>
      <c r="AX200">
        <f>IF(ISNUMBER(INDEX(Haver_M!$B$1:$ZN$1000,MATCH(data!$A200,Haver_M!$B$1:$B$1000,0),MATCH(data!AX$1,Haver_M!$B$1:$ZN$1,0))),INDEX(Haver_M!$B$1:$ZN$1000,MATCH(data!$A200,Haver_M!$B$1:$B$1000,0),MATCH(data!AX$1,Haver_M!$B$1:$ZN$1,0)),"na")</f>
        <v>2151</v>
      </c>
      <c r="AY200">
        <f>IF(ISNUMBER(INDEX(Haver_M!$B$1:$ZN$1000,MATCH(data!$A200,Haver_M!$B$1:$B$1000,0),MATCH(data!AY$1,Haver_M!$B$1:$ZN$1,0))),INDEX(Haver_M!$B$1:$ZN$1000,MATCH(data!$A200,Haver_M!$B$1:$B$1000,0),MATCH(data!AY$1,Haver_M!$B$1:$ZN$1,0)),"na")</f>
        <v>1146</v>
      </c>
      <c r="AZ200">
        <f>IF(ISNUMBER(INDEX(Haver_M!$B$1:$ZN$1000,MATCH(data!$A200,Haver_M!$B$1:$B$1000,0),MATCH(data!AZ$1,Haver_M!$B$1:$ZN$1,0))),INDEX(Haver_M!$B$1:$ZN$1000,MATCH(data!$A200,Haver_M!$B$1:$B$1000,0),MATCH(data!AZ$1,Haver_M!$B$1:$ZN$1,0)),"na")</f>
        <v>49</v>
      </c>
      <c r="BA200">
        <f>IF(ISNUMBER(INDEX(Haver_M!$B$1:$ZN$1000,MATCH(data!$A200,Haver_M!$B$1:$B$1000,0),MATCH(data!BA$1,Haver_M!$B$1:$ZN$1,0))),INDEX(Haver_M!$B$1:$ZN$1000,MATCH(data!$A200,Haver_M!$B$1:$B$1000,0),MATCH(data!BA$1,Haver_M!$B$1:$ZN$1,0)),"na")</f>
        <v>46.700062142637918</v>
      </c>
      <c r="BB200" t="str">
        <f>IF(ISNUMBER(INDEX(Haver_M!$B$1:$ZN$1000,MATCH(data!$A200,Haver_M!$B$1:$B$1000,0),MATCH(data!BB$1,Haver_M!$B$1:$ZN$1,0))),INDEX(Haver_M!$B$1:$ZN$1000,MATCH(data!$A200,Haver_M!$B$1:$B$1000,0),MATCH(data!BB$1,Haver_M!$B$1:$ZN$1,0)),"")</f>
        <v/>
      </c>
    </row>
    <row r="201" spans="1:54" x14ac:dyDescent="0.25">
      <c r="A201" s="2">
        <v>42613</v>
      </c>
      <c r="B201" t="str">
        <f>IF(ISNUMBER(INDEX(Haver_Q!$B$1:$BD$1000,MATCH(data!$A201,Haver_Q!$B$1:$B$1000,0),MATCH(data!B$1,Haver_Q!$B$1:$BD$1,0))),100*INDEX(Haver_Q!$B$1:$BD$1000,MATCH(data!$A201,Haver_Q!$B$1:$B$1000,0),MATCH(data!B$1,Haver_Q!$B$1:$BD$1,0)),"na")</f>
        <v>na</v>
      </c>
      <c r="C201" t="str">
        <f>IF(ISNUMBER(INDEX(Haver_Q!$B$1:$BD$1000,MATCH(data!$A201,Haver_Q!$B$1:$B$1000,0),MATCH(data!C$1,Haver_Q!$B$1:$BD$1,0))),100*INDEX(Haver_Q!$B$1:$BD$1000,MATCH(data!$A201,Haver_Q!$B$1:$B$1000,0),MATCH(data!C$1,Haver_Q!$B$1:$BD$1,0)),"na")</f>
        <v>na</v>
      </c>
      <c r="D201" t="str">
        <f>IF(ISNUMBER(INDEX(Haver_Q!$B$1:$BD$1000,MATCH(data!$A201,Haver_Q!$B$1:$B$1000,0),MATCH(data!D$1,Haver_Q!$B$1:$BD$1,0))),100*INDEX(Haver_Q!$B$1:$BD$1000,MATCH(data!$A201,Haver_Q!$B$1:$B$1000,0),MATCH(data!D$1,Haver_Q!$B$1:$BD$1,0)),"na")</f>
        <v>na</v>
      </c>
      <c r="E201" t="str">
        <f>IF(ISNUMBER(INDEX(Haver_Q!$B$1:$BD$1000,MATCH(data!$A201,Haver_Q!$B$1:$B$1000,0),MATCH(data!E$1,Haver_Q!$B$1:$BD$1,0))),100*INDEX(Haver_Q!$B$1:$BD$1000,MATCH(data!$A201,Haver_Q!$B$1:$B$1000,0),MATCH(data!E$1,Haver_Q!$B$1:$BD$1,0)),"na")</f>
        <v>na</v>
      </c>
      <c r="F201" t="str">
        <f>IF(ISNUMBER(INDEX(Haver_Q!$B$1:$BD$1000,MATCH(data!$A201,Haver_Q!$B$1:$B$1000,0),MATCH(data!F$1,Haver_Q!$B$1:$BD$1,0))),100*INDEX(Haver_Q!$B$1:$BD$1000,MATCH(data!$A201,Haver_Q!$B$1:$B$1000,0),MATCH(data!F$1,Haver_Q!$B$1:$BD$1,0)),"na")</f>
        <v>na</v>
      </c>
      <c r="G201" t="str">
        <f>IF(ISNUMBER(INDEX(Haver_Q!$B$1:$BD$1000,MATCH(data!$A201,Haver_Q!$B$1:$B$1000,0),MATCH(data!G$1,Haver_Q!$B$1:$BD$1,0))),100*INDEX(Haver_Q!$B$1:$BD$1000,MATCH(data!$A201,Haver_Q!$B$1:$B$1000,0),MATCH(data!G$1,Haver_Q!$B$1:$BD$1,0)),"na")</f>
        <v>na</v>
      </c>
      <c r="H201" t="str">
        <f>IF(ISNUMBER(INDEX(Haver_Q!$B$1:$BD$1000,MATCH(data!$A201,Haver_Q!$B$1:$B$1000,0),MATCH(data!H$1,Haver_Q!$B$1:$BD$1,0))),100*INDEX(Haver_Q!$B$1:$BD$1000,MATCH(data!$A201,Haver_Q!$B$1:$B$1000,0),MATCH(data!H$1,Haver_Q!$B$1:$BD$1,0)),"na")</f>
        <v>na</v>
      </c>
      <c r="I201" s="3">
        <f>IF(ISNUMBER(Bloomberg_m!C217),Bloomberg_m!C217,"na")</f>
        <v>673</v>
      </c>
      <c r="J201" s="3">
        <f>IF(ISNUMBER(Bloomberg_m!D217),Bloomberg_m!D217,"na")</f>
        <v>1245.9000000000001</v>
      </c>
      <c r="K201" s="3">
        <f>IF(ISNUMBER(Bloomberg_m!E217),Bloomberg_m!E217,"na")</f>
        <v>627.23</v>
      </c>
      <c r="L201" s="3">
        <f>IF(ISNUMBER(Bloomberg_m!L217),Bloomberg_m!L217,"na")</f>
        <v>44.75</v>
      </c>
      <c r="M201">
        <f>IF(ISNUMBER(INDEX(Haver_M!$B$1:$ZN$1000,MATCH(data!$A201,Haver_M!$B$1:$B$1000,0),MATCH(data!M$1,Haver_M!$B$1:$ZN$1,0))),INDEX(Haver_M!$B$1:$ZN$1000,MATCH(data!$A201,Haver_M!$B$1:$B$1000,0),MATCH(data!M$1,Haver_M!$B$1:$ZN$1,0)),"na")</f>
        <v>4.25</v>
      </c>
      <c r="N201">
        <f>IF(ISNUMBER(INDEX(Haver_M!$B$1:$ZN$1000,MATCH(data!$A201,Haver_M!$B$1:$B$1000,0),MATCH(data!N$1,Haver_M!$B$1:$ZN$1,0))),INDEX(Haver_M!$B$1:$ZN$1000,MATCH(data!$A201,Haver_M!$B$1:$B$1000,0),MATCH(data!N$1,Haver_M!$B$1:$ZN$1,0)),"na")</f>
        <v>5.8716999999999997</v>
      </c>
      <c r="O201">
        <f>IF(ISNUMBER(INDEX(Haver_M!$B$1:$ZN$1000,MATCH(data!$A201,Haver_M!$B$1:$B$1000,0),MATCH(data!O$1,Haver_M!$B$1:$ZN$1,0))),INDEX(Haver_M!$B$1:$ZN$1000,MATCH(data!$A201,Haver_M!$B$1:$B$1000,0),MATCH(data!O$1,Haver_M!$B$1:$ZN$1,0)),"na")</f>
        <v>78.844719999999995</v>
      </c>
      <c r="P201">
        <f>IF(ISNUMBER(INDEX(Haver_M!$B$1:$ZN$1000,MATCH(data!$A201,Haver_M!$B$1:$B$1000,0),MATCH(data!P$1,Haver_M!$B$1:$ZN$1,0))),INDEX(Haver_M!$B$1:$ZN$1000,MATCH(data!$A201,Haver_M!$B$1:$B$1000,0),MATCH(data!P$1,Haver_M!$B$1:$ZN$1,0)),"na")</f>
        <v>90.340800000000002</v>
      </c>
      <c r="Q201">
        <f>IF(ISNUMBER(INDEX(Haver_M!$B$1:$ZN$1000,MATCH(data!$A201,Haver_M!$B$1:$B$1000,0),MATCH(data!Q$1,Haver_M!$B$1:$ZN$1,0))),INDEX(Haver_M!$B$1:$ZN$1000,MATCH(data!$A201,Haver_M!$B$1:$B$1000,0),MATCH(data!Q$1,Haver_M!$B$1:$ZN$1,0)),"na")</f>
        <v>92.206400000000002</v>
      </c>
      <c r="R201">
        <f>IF(ISNUMBER(INDEX(Haver_M!$B$1:$ZN$1000,MATCH(data!$A201,Haver_M!$B$1:$B$1000,0),MATCH(data!R$1,Haver_M!$B$1:$ZN$1,0))),INDEX(Haver_M!$B$1:$ZN$1000,MATCH(data!$A201,Haver_M!$B$1:$B$1000,0),MATCH(data!R$1,Haver_M!$B$1:$ZN$1,0)),"na")</f>
        <v>103.5825</v>
      </c>
      <c r="S201">
        <f>IF(ISNUMBER(INDEX(Haver_M!$B$1:$ZN$1000,MATCH(data!$A201,Haver_M!$B$1:$B$1000,0),MATCH(data!S$1,Haver_M!$B$1:$ZN$1,0))),INDEX(Haver_M!$B$1:$ZN$1000,MATCH(data!$A201,Haver_M!$B$1:$B$1000,0),MATCH(data!S$1,Haver_M!$B$1:$ZN$1,0)),"na")</f>
        <v>88.242999999999995</v>
      </c>
      <c r="T201">
        <f>IF(ISNUMBER(INDEX(Haver_M!$B$1:$ZN$1000,MATCH(data!$A201,Haver_M!$B$1:$B$1000,0),MATCH(data!T$1,Haver_M!$B$1:$ZN$1,0))),INDEX(Haver_M!$B$1:$ZN$1000,MATCH(data!$A201,Haver_M!$B$1:$B$1000,0),MATCH(data!T$1,Haver_M!$B$1:$ZN$1,0)),"na")</f>
        <v>110.44</v>
      </c>
      <c r="U201">
        <f>IF(ISNUMBER(INDEX(Haver_M!$B$1:$ZN$1000,MATCH(data!$A201,Haver_M!$B$1:$B$1000,0),MATCH(data!U$1,Haver_M!$B$1:$ZN$1,0))),INDEX(Haver_M!$B$1:$ZN$1000,MATCH(data!$A201,Haver_M!$B$1:$B$1000,0),MATCH(data!U$1,Haver_M!$B$1:$ZN$1,0)),"na")</f>
        <v>104.976</v>
      </c>
      <c r="V201">
        <f>IF(ISNUMBER(INDEX(Haver_M!$B$1:$ZN$1000,MATCH(data!$A201,Haver_M!$B$1:$B$1000,0),MATCH(data!V$1,Haver_M!$B$1:$ZN$1,0))),INDEX(Haver_M!$B$1:$ZN$1000,MATCH(data!$A201,Haver_M!$B$1:$B$1000,0),MATCH(data!V$1,Haver_M!$B$1:$ZN$1,0)),"na")</f>
        <v>108.871</v>
      </c>
      <c r="W201">
        <f>IF(ISNUMBER(INDEX(Haver_M!$B$1:$ZN$1000,MATCH(data!$A201,Haver_M!$B$1:$B$1000,0),MATCH(data!W$1,Haver_M!$B$1:$ZN$1,0))),INDEX(Haver_M!$B$1:$ZN$1000,MATCH(data!$A201,Haver_M!$B$1:$B$1000,0),MATCH(data!W$1,Haver_M!$B$1:$ZN$1,0)),"na")</f>
        <v>3.75</v>
      </c>
      <c r="X201">
        <f>IF(ISNUMBER(INDEX(Haver_M!$B$1:$ZN$1000,MATCH(data!$A201,Haver_M!$B$1:$B$1000,0),MATCH(data!X$1,Haver_M!$B$1:$ZN$1,0))),INDEX(Haver_M!$B$1:$ZN$1000,MATCH(data!$A201,Haver_M!$B$1:$B$1000,0),MATCH(data!X$1,Haver_M!$B$1:$ZN$1,0)),"na")</f>
        <v>103.64</v>
      </c>
      <c r="Y201">
        <f>IF(ISNUMBER(INDEX(Haver_M!$B$1:$ZN$1000,MATCH(data!$A201,Haver_M!$B$1:$B$1000,0),MATCH(data!Y$1,Haver_M!$B$1:$ZN$1,0))),INDEX(Haver_M!$B$1:$ZN$1000,MATCH(data!$A201,Haver_M!$B$1:$B$1000,0),MATCH(data!Y$1,Haver_M!$B$1:$ZN$1,0)),"na")</f>
        <v>99.67</v>
      </c>
      <c r="Z201">
        <f>IF(ISNUMBER(INDEX(Haver_M!$B$1:$ZN$1000,MATCH(data!$A201,Haver_M!$B$1:$B$1000,0),MATCH(data!Z$1,Haver_M!$B$1:$ZN$1,0))),INDEX(Haver_M!$B$1:$ZN$1000,MATCH(data!$A201,Haver_M!$B$1:$B$1000,0),MATCH(data!Z$1,Haver_M!$B$1:$ZN$1,0)),"na")</f>
        <v>112.5204</v>
      </c>
      <c r="AA201">
        <f>IF(ISNUMBER(INDEX(Haver_M!$B$1:$ZN$1000,MATCH(data!$A201,Haver_M!$B$1:$B$1000,0),MATCH(data!AA$1,Haver_M!$B$1:$ZN$1,0))),INDEX(Haver_M!$B$1:$ZN$1000,MATCH(data!$A201,Haver_M!$B$1:$B$1000,0),MATCH(data!AA$1,Haver_M!$B$1:$ZN$1,0)),"na")</f>
        <v>106.15089999999999</v>
      </c>
      <c r="AB201">
        <f>IF(ISNUMBER(INDEX(Haver_M!$B$1:$ZN$1000,MATCH(data!$A201,Haver_M!$B$1:$B$1000,0),MATCH(data!AB$1,Haver_M!$B$1:$ZN$1,0))),INDEX(Haver_M!$B$1:$ZN$1000,MATCH(data!$A201,Haver_M!$B$1:$B$1000,0),MATCH(data!AB$1,Haver_M!$B$1:$ZN$1,0)),"na")</f>
        <v>31002.1</v>
      </c>
      <c r="AC201">
        <f>IF(ISNUMBER(INDEX(Haver_M!$B$1:$ZN$1000,MATCH(data!$A201,Haver_M!$B$1:$B$1000,0),MATCH(data!AC$1,Haver_M!$B$1:$ZN$1,0))),INDEX(Haver_M!$B$1:$ZN$1000,MATCH(data!$A201,Haver_M!$B$1:$B$1000,0),MATCH(data!AC$1,Haver_M!$B$1:$ZN$1,0)),"na")</f>
        <v>31825.4</v>
      </c>
      <c r="AD201">
        <f>IF(ISNUMBER(INDEX(Haver_M!$B$1:$ZN$1000,MATCH(data!$A201,Haver_M!$B$1:$B$1000,0),MATCH(data!AD$1,Haver_M!$B$1:$ZN$1,0))),INDEX(Haver_M!$B$1:$ZN$1000,MATCH(data!$A201,Haver_M!$B$1:$B$1000,0),MATCH(data!AD$1,Haver_M!$B$1:$ZN$1,0)),"na")</f>
        <v>100.03</v>
      </c>
      <c r="AE201">
        <f>IF(ISNUMBER(INDEX(Haver_M!$B$1:$ZN$1000,MATCH(data!$A201,Haver_M!$B$1:$B$1000,0),MATCH(data!AE$1,Haver_M!$B$1:$ZN$1,0))),INDEX(Haver_M!$B$1:$ZN$1000,MATCH(data!$A201,Haver_M!$B$1:$B$1000,0),MATCH(data!AE$1,Haver_M!$B$1:$ZN$1,0)),"na")</f>
        <v>35.700000000000003</v>
      </c>
      <c r="AF201">
        <f>IF(ISNUMBER(INDEX(Haver_M!$B$1:$ZN$1000,MATCH(data!$A201,Haver_M!$B$1:$B$1000,0),MATCH(data!AF$1,Haver_M!$B$1:$ZN$1,0))),INDEX(Haver_M!$B$1:$ZN$1000,MATCH(data!$A201,Haver_M!$B$1:$B$1000,0),MATCH(data!AF$1,Haver_M!$B$1:$ZN$1,0)),"na")</f>
        <v>99.47</v>
      </c>
      <c r="AG201">
        <f>IF(ISNUMBER(INDEX(Haver_M!$B$1:$ZN$1000,MATCH(data!$A201,Haver_M!$B$1:$B$1000,0),MATCH(data!AG$1,Haver_M!$B$1:$ZN$1,0))),INDEX(Haver_M!$B$1:$ZN$1000,MATCH(data!$A201,Haver_M!$B$1:$B$1000,0),MATCH(data!AG$1,Haver_M!$B$1:$ZN$1,0)),"na")</f>
        <v>50.883200000000002</v>
      </c>
      <c r="AH201">
        <f>IF(ISNUMBER(INDEX(Haver_M!$B$1:$ZN$1000,MATCH(data!$A201,Haver_M!$B$1:$B$1000,0),MATCH(data!AH$1,Haver_M!$B$1:$ZN$1,0))),INDEX(Haver_M!$B$1:$ZN$1000,MATCH(data!$A201,Haver_M!$B$1:$B$1000,0),MATCH(data!AH$1,Haver_M!$B$1:$ZN$1,0)),"na")</f>
        <v>49.811199999999999</v>
      </c>
      <c r="AI201">
        <f>IF(ISNUMBER(INDEX(Haver_M!$B$1:$ZN$1000,MATCH(data!$A201,Haver_M!$B$1:$B$1000,0),MATCH(data!AI$1,Haver_M!$B$1:$ZN$1,0))),INDEX(Haver_M!$B$1:$ZN$1000,MATCH(data!$A201,Haver_M!$B$1:$B$1000,0),MATCH(data!AI$1,Haver_M!$B$1:$ZN$1,0)),"na")</f>
        <v>52.591299999999997</v>
      </c>
      <c r="AJ201">
        <f>IF(ISNUMBER(INDEX(Haver_M!$B$1:$ZN$1000,MATCH(data!$A201,Haver_M!$B$1:$B$1000,0),MATCH(data!AJ$1,Haver_M!$B$1:$ZN$1,0))),INDEX(Haver_M!$B$1:$ZN$1000,MATCH(data!$A201,Haver_M!$B$1:$B$1000,0),MATCH(data!AJ$1,Haver_M!$B$1:$ZN$1,0)),"na")</f>
        <v>51.171700000000001</v>
      </c>
      <c r="AK201">
        <f>IF(ISNUMBER(INDEX(Haver_M!$B$1:$ZN$1000,MATCH(data!$A201,Haver_M!$B$1:$B$1000,0),MATCH(data!AK$1,Haver_M!$B$1:$ZN$1,0))),INDEX(Haver_M!$B$1:$ZN$1000,MATCH(data!$A201,Haver_M!$B$1:$B$1000,0),MATCH(data!AK$1,Haver_M!$B$1:$ZN$1,0)),"na")</f>
        <v>49.779499999999999</v>
      </c>
      <c r="AL201">
        <f>IF(ISNUMBER(INDEX(Haver_M!$B$1:$ZN$1000,MATCH(data!$A201,Haver_M!$B$1:$B$1000,0),MATCH(data!AL$1,Haver_M!$B$1:$ZN$1,0))),INDEX(Haver_M!$B$1:$ZN$1000,MATCH(data!$A201,Haver_M!$B$1:$B$1000,0),MATCH(data!AL$1,Haver_M!$B$1:$ZN$1,0)),"na")</f>
        <v>48.855699999999999</v>
      </c>
      <c r="AM201">
        <f>IF(ISNUMBER(INDEX(Haver_M!$B$1:$ZN$1000,MATCH(data!$A201,Haver_M!$B$1:$B$1000,0),MATCH(data!AM$1,Haver_M!$B$1:$ZN$1,0))),INDEX(Haver_M!$B$1:$ZN$1000,MATCH(data!$A201,Haver_M!$B$1:$B$1000,0),MATCH(data!AM$1,Haver_M!$B$1:$ZN$1,0)),"na")</f>
        <v>60.098500000000001</v>
      </c>
      <c r="AN201">
        <f>IF(ISNUMBER(INDEX(Haver_M!$B$1:$ZN$1000,MATCH(data!$A201,Haver_M!$B$1:$B$1000,0),MATCH(data!AN$1,Haver_M!$B$1:$ZN$1,0))),INDEX(Haver_M!$B$1:$ZN$1000,MATCH(data!$A201,Haver_M!$B$1:$B$1000,0),MATCH(data!AN$1,Haver_M!$B$1:$ZN$1,0)),"na")</f>
        <v>50.440899999999999</v>
      </c>
      <c r="AO201">
        <f>IF(ISNUMBER(INDEX(Haver_M!$B$1:$ZN$1000,MATCH(data!$A201,Haver_M!$B$1:$B$1000,0),MATCH(data!AO$1,Haver_M!$B$1:$ZN$1,0))),INDEX(Haver_M!$B$1:$ZN$1000,MATCH(data!$A201,Haver_M!$B$1:$B$1000,0),MATCH(data!AO$1,Haver_M!$B$1:$ZN$1,0)),"na")</f>
        <v>48.855699999999999</v>
      </c>
      <c r="AP201">
        <f>IF(ISNUMBER(INDEX(Haver_M!$B$1:$ZN$1000,MATCH(data!$A201,Haver_M!$B$1:$B$1000,0),MATCH(data!AP$1,Haver_M!$B$1:$ZN$1,0))),INDEX(Haver_M!$B$1:$ZN$1000,MATCH(data!$A201,Haver_M!$B$1:$B$1000,0),MATCH(data!AP$1,Haver_M!$B$1:$ZN$1,0)),"na")</f>
        <v>50.808300000000003</v>
      </c>
      <c r="AQ201">
        <f>IF(ISNUMBER(INDEX(Haver_M!$B$1:$ZN$1000,MATCH(data!$A201,Haver_M!$B$1:$B$1000,0),MATCH(data!AQ$1,Haver_M!$B$1:$ZN$1,0))),INDEX(Haver_M!$B$1:$ZN$1000,MATCH(data!$A201,Haver_M!$B$1:$B$1000,0),MATCH(data!AQ$1,Haver_M!$B$1:$ZN$1,0)),"na")</f>
        <v>52.396700000000003</v>
      </c>
      <c r="AR201">
        <f>IF(ISNUMBER(INDEX(Haver_M!$B$1:$ZN$1000,MATCH(data!$A201,Haver_M!$B$1:$B$1000,0),MATCH(data!AR$1,Haver_M!$B$1:$ZN$1,0))),INDEX(Haver_M!$B$1:$ZN$1000,MATCH(data!$A201,Haver_M!$B$1:$B$1000,0),MATCH(data!AR$1,Haver_M!$B$1:$ZN$1,0)),"na")</f>
        <v>45.296500000000002</v>
      </c>
      <c r="AS201">
        <f>IF(ISNUMBER(INDEX(Haver_M!$B$1:$ZN$1000,MATCH(data!$A201,Haver_M!$B$1:$B$1000,0),MATCH(data!AS$1,Haver_M!$B$1:$ZN$1,0))),INDEX(Haver_M!$B$1:$ZN$1000,MATCH(data!$A201,Haver_M!$B$1:$B$1000,0),MATCH(data!AS$1,Haver_M!$B$1:$ZN$1,0)),"na")</f>
        <v>47716.81</v>
      </c>
      <c r="AT201">
        <f>IF(ISNUMBER(INDEX(Haver_M!$B$1:$ZN$1000,MATCH(data!$A201,Haver_M!$B$1:$B$1000,0),MATCH(data!AT$1,Haver_M!$B$1:$ZN$1,0))),INDEX(Haver_M!$B$1:$ZN$1000,MATCH(data!$A201,Haver_M!$B$1:$B$1000,0),MATCH(data!AT$1,Haver_M!$B$1:$ZN$1,0)),"na")</f>
        <v>110.34699999999999</v>
      </c>
      <c r="AU201">
        <f>IF(ISNUMBER(INDEX(Haver_M!$B$1:$ZN$1000,MATCH(data!$A201,Haver_M!$B$1:$B$1000,0),MATCH(data!AU$1,Haver_M!$B$1:$ZN$1,0))),INDEX(Haver_M!$B$1:$ZN$1000,MATCH(data!$A201,Haver_M!$B$1:$B$1000,0),MATCH(data!AU$1,Haver_M!$B$1:$ZN$1,0)),"na")</f>
        <v>108.25633500000001</v>
      </c>
      <c r="AV201">
        <f>IF(ISNUMBER(INDEX(Haver_M!$B$1:$ZN$1000,MATCH(data!$A201,Haver_M!$B$1:$B$1000,0),MATCH(data!AV$1,Haver_M!$B$1:$ZN$1,0))),INDEX(Haver_M!$B$1:$ZN$1000,MATCH(data!$A201,Haver_M!$B$1:$B$1000,0),MATCH(data!AV$1,Haver_M!$B$1:$ZN$1,0)),"na")</f>
        <v>109</v>
      </c>
      <c r="AW201">
        <f>IF(ISNUMBER(INDEX(Haver_M!$B$1:$ZN$1000,MATCH(data!$A201,Haver_M!$B$1:$B$1000,0),MATCH(data!AW$1,Haver_M!$B$1:$ZN$1,0))),INDEX(Haver_M!$B$1:$ZN$1000,MATCH(data!$A201,Haver_M!$B$1:$B$1000,0),MATCH(data!AW$1,Haver_M!$B$1:$ZN$1,0)),"na")</f>
        <v>1633370.832210771</v>
      </c>
      <c r="AX201">
        <f>IF(ISNUMBER(INDEX(Haver_M!$B$1:$ZN$1000,MATCH(data!$A201,Haver_M!$B$1:$B$1000,0),MATCH(data!AX$1,Haver_M!$B$1:$ZN$1,0))),INDEX(Haver_M!$B$1:$ZN$1000,MATCH(data!$A201,Haver_M!$B$1:$B$1000,0),MATCH(data!AX$1,Haver_M!$B$1:$ZN$1,0)),"na")</f>
        <v>2141</v>
      </c>
      <c r="AY201">
        <f>IF(ISNUMBER(INDEX(Haver_M!$B$1:$ZN$1000,MATCH(data!$A201,Haver_M!$B$1:$B$1000,0),MATCH(data!AY$1,Haver_M!$B$1:$ZN$1,0))),INDEX(Haver_M!$B$1:$ZN$1000,MATCH(data!$A201,Haver_M!$B$1:$B$1000,0),MATCH(data!AY$1,Haver_M!$B$1:$ZN$1,0)),"na")</f>
        <v>1261</v>
      </c>
      <c r="AZ201">
        <f>IF(ISNUMBER(INDEX(Haver_M!$B$1:$ZN$1000,MATCH(data!$A201,Haver_M!$B$1:$B$1000,0),MATCH(data!AZ$1,Haver_M!$B$1:$ZN$1,0))),INDEX(Haver_M!$B$1:$ZN$1000,MATCH(data!$A201,Haver_M!$B$1:$B$1000,0),MATCH(data!AZ$1,Haver_M!$B$1:$ZN$1,0)),"na")</f>
        <v>49.2</v>
      </c>
      <c r="BA201">
        <f>IF(ISNUMBER(INDEX(Haver_M!$B$1:$ZN$1000,MATCH(data!$A201,Haver_M!$B$1:$B$1000,0),MATCH(data!BA$1,Haver_M!$B$1:$ZN$1,0))),INDEX(Haver_M!$B$1:$ZN$1000,MATCH(data!$A201,Haver_M!$B$1:$B$1000,0),MATCH(data!BA$1,Haver_M!$B$1:$ZN$1,0)),"na")</f>
        <v>25.199765547165153</v>
      </c>
      <c r="BB201" t="str">
        <f>IF(ISNUMBER(INDEX(Haver_M!$B$1:$ZN$1000,MATCH(data!$A201,Haver_M!$B$1:$B$1000,0),MATCH(data!BB$1,Haver_M!$B$1:$ZN$1,0))),INDEX(Haver_M!$B$1:$ZN$1000,MATCH(data!$A201,Haver_M!$B$1:$B$1000,0),MATCH(data!BB$1,Haver_M!$B$1:$ZN$1,0)),"")</f>
        <v/>
      </c>
    </row>
    <row r="202" spans="1:54" x14ac:dyDescent="0.25">
      <c r="A202" s="2">
        <v>42643</v>
      </c>
      <c r="B202">
        <f>IF(ISNUMBER(INDEX(Haver_Q!$B$1:$BD$1000,MATCH(data!$A202,Haver_Q!$B$1:$B$1000,0),MATCH(data!B$1,Haver_Q!$B$1:$BD$1,0))),100*INDEX(Haver_Q!$B$1:$BD$1000,MATCH(data!$A202,Haver_Q!$B$1:$B$1000,0),MATCH(data!B$1,Haver_Q!$B$1:$BD$1,0)),"na")</f>
        <v>3.9346774495075065</v>
      </c>
      <c r="C202">
        <f>IF(ISNUMBER(INDEX(Haver_Q!$B$1:$BD$1000,MATCH(data!$A202,Haver_Q!$B$1:$B$1000,0),MATCH(data!C$1,Haver_Q!$B$1:$BD$1,0))),100*INDEX(Haver_Q!$B$1:$BD$1000,MATCH(data!$A202,Haver_Q!$B$1:$B$1000,0),MATCH(data!C$1,Haver_Q!$B$1:$BD$1,0)),"na")</f>
        <v>6.1976281083544915</v>
      </c>
      <c r="D202">
        <f>IF(ISNUMBER(INDEX(Haver_Q!$B$1:$BD$1000,MATCH(data!$A202,Haver_Q!$B$1:$B$1000,0),MATCH(data!D$1,Haver_Q!$B$1:$BD$1,0))),100*INDEX(Haver_Q!$B$1:$BD$1000,MATCH(data!$A202,Haver_Q!$B$1:$B$1000,0),MATCH(data!D$1,Haver_Q!$B$1:$BD$1,0)),"na")</f>
        <v>6.494527592122501</v>
      </c>
      <c r="E202">
        <f>IF(ISNUMBER(INDEX(Haver_Q!$B$1:$BD$1000,MATCH(data!$A202,Haver_Q!$B$1:$B$1000,0),MATCH(data!E$1,Haver_Q!$B$1:$BD$1,0))),100*INDEX(Haver_Q!$B$1:$BD$1000,MATCH(data!$A202,Haver_Q!$B$1:$B$1000,0),MATCH(data!E$1,Haver_Q!$B$1:$BD$1,0)),"na")</f>
        <v>2.1189748632372218</v>
      </c>
      <c r="F202">
        <f>IF(ISNUMBER(INDEX(Haver_Q!$B$1:$BD$1000,MATCH(data!$A202,Haver_Q!$B$1:$B$1000,0),MATCH(data!F$1,Haver_Q!$B$1:$BD$1,0))),100*INDEX(Haver_Q!$B$1:$BD$1000,MATCH(data!$A202,Haver_Q!$B$1:$B$1000,0),MATCH(data!F$1,Haver_Q!$B$1:$BD$1,0)),"na")</f>
        <v>20.032782804832607</v>
      </c>
      <c r="G202">
        <f>IF(ISNUMBER(INDEX(Haver_Q!$B$1:$BD$1000,MATCH(data!$A202,Haver_Q!$B$1:$B$1000,0),MATCH(data!G$1,Haver_Q!$B$1:$BD$1,0))),100*INDEX(Haver_Q!$B$1:$BD$1000,MATCH(data!$A202,Haver_Q!$B$1:$B$1000,0),MATCH(data!G$1,Haver_Q!$B$1:$BD$1,0)),"na")</f>
        <v>9.8110194290793586</v>
      </c>
      <c r="H202">
        <f>IF(ISNUMBER(INDEX(Haver_Q!$B$1:$BD$1000,MATCH(data!$A202,Haver_Q!$B$1:$B$1000,0),MATCH(data!H$1,Haver_Q!$B$1:$BD$1,0))),100*INDEX(Haver_Q!$B$1:$BD$1000,MATCH(data!$A202,Haver_Q!$B$1:$B$1000,0),MATCH(data!H$1,Haver_Q!$B$1:$BD$1,0)),"na")</f>
        <v>361.74156707559524</v>
      </c>
      <c r="I202" s="3">
        <f>IF(ISNUMBER(Bloomberg_m!C218),Bloomberg_m!C218,"na")</f>
        <v>828</v>
      </c>
      <c r="J202" s="3">
        <f>IF(ISNUMBER(Bloomberg_m!D218),Bloomberg_m!D218,"na")</f>
        <v>1419.62</v>
      </c>
      <c r="K202" s="3">
        <f>IF(ISNUMBER(Bloomberg_m!E218),Bloomberg_m!E218,"na")</f>
        <v>755.92</v>
      </c>
      <c r="L202" s="3">
        <f>IF(ISNUMBER(Bloomberg_m!L218),Bloomberg_m!L218,"na")</f>
        <v>45.2</v>
      </c>
      <c r="M202">
        <f>IF(ISNUMBER(INDEX(Haver_M!$B$1:$ZN$1000,MATCH(data!$A202,Haver_M!$B$1:$B$1000,0),MATCH(data!M$1,Haver_M!$B$1:$ZN$1,0))),INDEX(Haver_M!$B$1:$ZN$1000,MATCH(data!$A202,Haver_M!$B$1:$B$1000,0),MATCH(data!M$1,Haver_M!$B$1:$ZN$1,0)),"na")</f>
        <v>4.75</v>
      </c>
      <c r="N202">
        <f>IF(ISNUMBER(INDEX(Haver_M!$B$1:$ZN$1000,MATCH(data!$A202,Haver_M!$B$1:$B$1000,0),MATCH(data!N$1,Haver_M!$B$1:$ZN$1,0))),INDEX(Haver_M!$B$1:$ZN$1000,MATCH(data!$A202,Haver_M!$B$1:$B$1000,0),MATCH(data!N$1,Haver_M!$B$1:$ZN$1,0)),"na")</f>
        <v>5.9794</v>
      </c>
      <c r="O202">
        <f>IF(ISNUMBER(INDEX(Haver_M!$B$1:$ZN$1000,MATCH(data!$A202,Haver_M!$B$1:$B$1000,0),MATCH(data!O$1,Haver_M!$B$1:$ZN$1,0))),INDEX(Haver_M!$B$1:$ZN$1000,MATCH(data!$A202,Haver_M!$B$1:$B$1000,0),MATCH(data!O$1,Haver_M!$B$1:$ZN$1,0)),"na")</f>
        <v>76.047309999999996</v>
      </c>
      <c r="P202">
        <f>IF(ISNUMBER(INDEX(Haver_M!$B$1:$ZN$1000,MATCH(data!$A202,Haver_M!$B$1:$B$1000,0),MATCH(data!P$1,Haver_M!$B$1:$ZN$1,0))),INDEX(Haver_M!$B$1:$ZN$1000,MATCH(data!$A202,Haver_M!$B$1:$B$1000,0),MATCH(data!P$1,Haver_M!$B$1:$ZN$1,0)),"na")</f>
        <v>90.810900000000004</v>
      </c>
      <c r="Q202">
        <f>IF(ISNUMBER(INDEX(Haver_M!$B$1:$ZN$1000,MATCH(data!$A202,Haver_M!$B$1:$B$1000,0),MATCH(data!Q$1,Haver_M!$B$1:$ZN$1,0))),INDEX(Haver_M!$B$1:$ZN$1000,MATCH(data!$A202,Haver_M!$B$1:$B$1000,0),MATCH(data!Q$1,Haver_M!$B$1:$ZN$1,0)),"na")</f>
        <v>92.588300000000004</v>
      </c>
      <c r="R202">
        <f>IF(ISNUMBER(INDEX(Haver_M!$B$1:$ZN$1000,MATCH(data!$A202,Haver_M!$B$1:$B$1000,0),MATCH(data!R$1,Haver_M!$B$1:$ZN$1,0))),INDEX(Haver_M!$B$1:$ZN$1000,MATCH(data!$A202,Haver_M!$B$1:$B$1000,0),MATCH(data!R$1,Haver_M!$B$1:$ZN$1,0)),"na")</f>
        <v>103.6708</v>
      </c>
      <c r="S202">
        <f>IF(ISNUMBER(INDEX(Haver_M!$B$1:$ZN$1000,MATCH(data!$A202,Haver_M!$B$1:$B$1000,0),MATCH(data!S$1,Haver_M!$B$1:$ZN$1,0))),INDEX(Haver_M!$B$1:$ZN$1000,MATCH(data!$A202,Haver_M!$B$1:$B$1000,0),MATCH(data!S$1,Haver_M!$B$1:$ZN$1,0)),"na")</f>
        <v>88.039100000000005</v>
      </c>
      <c r="T202">
        <f>IF(ISNUMBER(INDEX(Haver_M!$B$1:$ZN$1000,MATCH(data!$A202,Haver_M!$B$1:$B$1000,0),MATCH(data!T$1,Haver_M!$B$1:$ZN$1,0))),INDEX(Haver_M!$B$1:$ZN$1000,MATCH(data!$A202,Haver_M!$B$1:$B$1000,0),MATCH(data!T$1,Haver_M!$B$1:$ZN$1,0)),"na")</f>
        <v>109.535</v>
      </c>
      <c r="U202">
        <f>IF(ISNUMBER(INDEX(Haver_M!$B$1:$ZN$1000,MATCH(data!$A202,Haver_M!$B$1:$B$1000,0),MATCH(data!U$1,Haver_M!$B$1:$ZN$1,0))),INDEX(Haver_M!$B$1:$ZN$1000,MATCH(data!$A202,Haver_M!$B$1:$B$1000,0),MATCH(data!U$1,Haver_M!$B$1:$ZN$1,0)),"na")</f>
        <v>105.477</v>
      </c>
      <c r="V202">
        <f>IF(ISNUMBER(INDEX(Haver_M!$B$1:$ZN$1000,MATCH(data!$A202,Haver_M!$B$1:$B$1000,0),MATCH(data!V$1,Haver_M!$B$1:$ZN$1,0))),INDEX(Haver_M!$B$1:$ZN$1000,MATCH(data!$A202,Haver_M!$B$1:$B$1000,0),MATCH(data!V$1,Haver_M!$B$1:$ZN$1,0)),"na")</f>
        <v>108.5536</v>
      </c>
      <c r="W202">
        <f>IF(ISNUMBER(INDEX(Haver_M!$B$1:$ZN$1000,MATCH(data!$A202,Haver_M!$B$1:$B$1000,0),MATCH(data!W$1,Haver_M!$B$1:$ZN$1,0))),INDEX(Haver_M!$B$1:$ZN$1000,MATCH(data!$A202,Haver_M!$B$1:$B$1000,0),MATCH(data!W$1,Haver_M!$B$1:$ZN$1,0)),"na")</f>
        <v>3.81</v>
      </c>
      <c r="X202">
        <f>IF(ISNUMBER(INDEX(Haver_M!$B$1:$ZN$1000,MATCH(data!$A202,Haver_M!$B$1:$B$1000,0),MATCH(data!X$1,Haver_M!$B$1:$ZN$1,0))),INDEX(Haver_M!$B$1:$ZN$1000,MATCH(data!$A202,Haver_M!$B$1:$B$1000,0),MATCH(data!X$1,Haver_M!$B$1:$ZN$1,0)),"na")</f>
        <v>105.17</v>
      </c>
      <c r="Y202">
        <f>IF(ISNUMBER(INDEX(Haver_M!$B$1:$ZN$1000,MATCH(data!$A202,Haver_M!$B$1:$B$1000,0),MATCH(data!Y$1,Haver_M!$B$1:$ZN$1,0))),INDEX(Haver_M!$B$1:$ZN$1000,MATCH(data!$A202,Haver_M!$B$1:$B$1000,0),MATCH(data!Y$1,Haver_M!$B$1:$ZN$1,0)),"na")</f>
        <v>99.59</v>
      </c>
      <c r="Z202">
        <f>IF(ISNUMBER(INDEX(Haver_M!$B$1:$ZN$1000,MATCH(data!$A202,Haver_M!$B$1:$B$1000,0),MATCH(data!Z$1,Haver_M!$B$1:$ZN$1,0))),INDEX(Haver_M!$B$1:$ZN$1000,MATCH(data!$A202,Haver_M!$B$1:$B$1000,0),MATCH(data!Z$1,Haver_M!$B$1:$ZN$1,0)),"na")</f>
        <v>112.4474</v>
      </c>
      <c r="AA202">
        <f>IF(ISNUMBER(INDEX(Haver_M!$B$1:$ZN$1000,MATCH(data!$A202,Haver_M!$B$1:$B$1000,0),MATCH(data!AA$1,Haver_M!$B$1:$ZN$1,0))),INDEX(Haver_M!$B$1:$ZN$1000,MATCH(data!$A202,Haver_M!$B$1:$B$1000,0),MATCH(data!AA$1,Haver_M!$B$1:$ZN$1,0)),"na")</f>
        <v>106.7645</v>
      </c>
      <c r="AB202">
        <f>IF(ISNUMBER(INDEX(Haver_M!$B$1:$ZN$1000,MATCH(data!$A202,Haver_M!$B$1:$B$1000,0),MATCH(data!AB$1,Haver_M!$B$1:$ZN$1,0))),INDEX(Haver_M!$B$1:$ZN$1000,MATCH(data!$A202,Haver_M!$B$1:$B$1000,0),MATCH(data!AB$1,Haver_M!$B$1:$ZN$1,0)),"na")</f>
        <v>32317.599999999999</v>
      </c>
      <c r="AC202">
        <f>IF(ISNUMBER(INDEX(Haver_M!$B$1:$ZN$1000,MATCH(data!$A202,Haver_M!$B$1:$B$1000,0),MATCH(data!AC$1,Haver_M!$B$1:$ZN$1,0))),INDEX(Haver_M!$B$1:$ZN$1000,MATCH(data!$A202,Haver_M!$B$1:$B$1000,0),MATCH(data!AC$1,Haver_M!$B$1:$ZN$1,0)),"na")</f>
        <v>33028.300000000003</v>
      </c>
      <c r="AD202">
        <f>IF(ISNUMBER(INDEX(Haver_M!$B$1:$ZN$1000,MATCH(data!$A202,Haver_M!$B$1:$B$1000,0),MATCH(data!AD$1,Haver_M!$B$1:$ZN$1,0))),INDEX(Haver_M!$B$1:$ZN$1000,MATCH(data!$A202,Haver_M!$B$1:$B$1000,0),MATCH(data!AD$1,Haver_M!$B$1:$ZN$1,0)),"na")</f>
        <v>100.09</v>
      </c>
      <c r="AE202">
        <f>IF(ISNUMBER(INDEX(Haver_M!$B$1:$ZN$1000,MATCH(data!$A202,Haver_M!$B$1:$B$1000,0),MATCH(data!AE$1,Haver_M!$B$1:$ZN$1,0))),INDEX(Haver_M!$B$1:$ZN$1000,MATCH(data!$A202,Haver_M!$B$1:$B$1000,0),MATCH(data!AE$1,Haver_M!$B$1:$ZN$1,0)),"na")</f>
        <v>34.9</v>
      </c>
      <c r="AF202">
        <f>IF(ISNUMBER(INDEX(Haver_M!$B$1:$ZN$1000,MATCH(data!$A202,Haver_M!$B$1:$B$1000,0),MATCH(data!AF$1,Haver_M!$B$1:$ZN$1,0))),INDEX(Haver_M!$B$1:$ZN$1000,MATCH(data!$A202,Haver_M!$B$1:$B$1000,0),MATCH(data!AF$1,Haver_M!$B$1:$ZN$1,0)),"na")</f>
        <v>99.36</v>
      </c>
      <c r="AG202">
        <f>IF(ISNUMBER(INDEX(Haver_M!$B$1:$ZN$1000,MATCH(data!$A202,Haver_M!$B$1:$B$1000,0),MATCH(data!AG$1,Haver_M!$B$1:$ZN$1,0))),INDEX(Haver_M!$B$1:$ZN$1000,MATCH(data!$A202,Haver_M!$B$1:$B$1000,0),MATCH(data!AG$1,Haver_M!$B$1:$ZN$1,0)),"na")</f>
        <v>51.883899999999997</v>
      </c>
      <c r="AH202">
        <f>IF(ISNUMBER(INDEX(Haver_M!$B$1:$ZN$1000,MATCH(data!$A202,Haver_M!$B$1:$B$1000,0),MATCH(data!AH$1,Haver_M!$B$1:$ZN$1,0))),INDEX(Haver_M!$B$1:$ZN$1000,MATCH(data!$A202,Haver_M!$B$1:$B$1000,0),MATCH(data!AH$1,Haver_M!$B$1:$ZN$1,0)),"na")</f>
        <v>51.704300000000003</v>
      </c>
      <c r="AI202">
        <f>IF(ISNUMBER(INDEX(Haver_M!$B$1:$ZN$1000,MATCH(data!$A202,Haver_M!$B$1:$B$1000,0),MATCH(data!AI$1,Haver_M!$B$1:$ZN$1,0))),INDEX(Haver_M!$B$1:$ZN$1000,MATCH(data!$A202,Haver_M!$B$1:$B$1000,0),MATCH(data!AI$1,Haver_M!$B$1:$ZN$1,0)),"na")</f>
        <v>53.440199999999997</v>
      </c>
      <c r="AJ202">
        <f>IF(ISNUMBER(INDEX(Haver_M!$B$1:$ZN$1000,MATCH(data!$A202,Haver_M!$B$1:$B$1000,0),MATCH(data!AJ$1,Haver_M!$B$1:$ZN$1,0))),INDEX(Haver_M!$B$1:$ZN$1000,MATCH(data!$A202,Haver_M!$B$1:$B$1000,0),MATCH(data!AJ$1,Haver_M!$B$1:$ZN$1,0)),"na")</f>
        <v>51.872399999999999</v>
      </c>
      <c r="AK202">
        <f>IF(ISNUMBER(INDEX(Haver_M!$B$1:$ZN$1000,MATCH(data!$A202,Haver_M!$B$1:$B$1000,0),MATCH(data!AK$1,Haver_M!$B$1:$ZN$1,0))),INDEX(Haver_M!$B$1:$ZN$1000,MATCH(data!$A202,Haver_M!$B$1:$B$1000,0),MATCH(data!AK$1,Haver_M!$B$1:$ZN$1,0)),"na")</f>
        <v>50.170499999999997</v>
      </c>
      <c r="AL202">
        <f>IF(ISNUMBER(INDEX(Haver_M!$B$1:$ZN$1000,MATCH(data!$A202,Haver_M!$B$1:$B$1000,0),MATCH(data!AL$1,Haver_M!$B$1:$ZN$1,0))),INDEX(Haver_M!$B$1:$ZN$1000,MATCH(data!$A202,Haver_M!$B$1:$B$1000,0),MATCH(data!AL$1,Haver_M!$B$1:$ZN$1,0)),"na")</f>
        <v>50.768599999999999</v>
      </c>
      <c r="AM202">
        <f>IF(ISNUMBER(INDEX(Haver_M!$B$1:$ZN$1000,MATCH(data!$A202,Haver_M!$B$1:$B$1000,0),MATCH(data!AM$1,Haver_M!$B$1:$ZN$1,0))),INDEX(Haver_M!$B$1:$ZN$1000,MATCH(data!$A202,Haver_M!$B$1:$B$1000,0),MATCH(data!AM$1,Haver_M!$B$1:$ZN$1,0)),"na")</f>
        <v>59.787799999999997</v>
      </c>
      <c r="AN202">
        <f>IF(ISNUMBER(INDEX(Haver_M!$B$1:$ZN$1000,MATCH(data!$A202,Haver_M!$B$1:$B$1000,0),MATCH(data!AN$1,Haver_M!$B$1:$ZN$1,0))),INDEX(Haver_M!$B$1:$ZN$1000,MATCH(data!$A202,Haver_M!$B$1:$B$1000,0),MATCH(data!AN$1,Haver_M!$B$1:$ZN$1,0)),"na")</f>
        <v>52.116100000000003</v>
      </c>
      <c r="AO202">
        <f>IF(ISNUMBER(INDEX(Haver_M!$B$1:$ZN$1000,MATCH(data!$A202,Haver_M!$B$1:$B$1000,0),MATCH(data!AO$1,Haver_M!$B$1:$ZN$1,0))),INDEX(Haver_M!$B$1:$ZN$1000,MATCH(data!$A202,Haver_M!$B$1:$B$1000,0),MATCH(data!AO$1,Haver_M!$B$1:$ZN$1,0)),"na")</f>
        <v>50.768599999999999</v>
      </c>
      <c r="AP202">
        <f>IF(ISNUMBER(INDEX(Haver_M!$B$1:$ZN$1000,MATCH(data!$A202,Haver_M!$B$1:$B$1000,0),MATCH(data!AP$1,Haver_M!$B$1:$ZN$1,0))),INDEX(Haver_M!$B$1:$ZN$1000,MATCH(data!$A202,Haver_M!$B$1:$B$1000,0),MATCH(data!AP$1,Haver_M!$B$1:$ZN$1,0)),"na")</f>
        <v>51.5779</v>
      </c>
      <c r="AQ202">
        <f>IF(ISNUMBER(INDEX(Haver_M!$B$1:$ZN$1000,MATCH(data!$A202,Haver_M!$B$1:$B$1000,0),MATCH(data!AQ$1,Haver_M!$B$1:$ZN$1,0))),INDEX(Haver_M!$B$1:$ZN$1000,MATCH(data!$A202,Haver_M!$B$1:$B$1000,0),MATCH(data!AQ$1,Haver_M!$B$1:$ZN$1,0)),"na")</f>
        <v>53.023299999999999</v>
      </c>
      <c r="AR202">
        <f>IF(ISNUMBER(INDEX(Haver_M!$B$1:$ZN$1000,MATCH(data!$A202,Haver_M!$B$1:$B$1000,0),MATCH(data!AR$1,Haver_M!$B$1:$ZN$1,0))),INDEX(Haver_M!$B$1:$ZN$1000,MATCH(data!$A202,Haver_M!$B$1:$B$1000,0),MATCH(data!AR$1,Haver_M!$B$1:$ZN$1,0)),"na")</f>
        <v>47.529800000000002</v>
      </c>
      <c r="AS202">
        <f>IF(ISNUMBER(INDEX(Haver_M!$B$1:$ZN$1000,MATCH(data!$A202,Haver_M!$B$1:$B$1000,0),MATCH(data!AS$1,Haver_M!$B$1:$ZN$1,0))),INDEX(Haver_M!$B$1:$ZN$1000,MATCH(data!$A202,Haver_M!$B$1:$B$1000,0),MATCH(data!AS$1,Haver_M!$B$1:$ZN$1,0)),"na")</f>
        <v>47119.28</v>
      </c>
      <c r="AT202">
        <f>IF(ISNUMBER(INDEX(Haver_M!$B$1:$ZN$1000,MATCH(data!$A202,Haver_M!$B$1:$B$1000,0),MATCH(data!AT$1,Haver_M!$B$1:$ZN$1,0))),INDEX(Haver_M!$B$1:$ZN$1000,MATCH(data!$A202,Haver_M!$B$1:$B$1000,0),MATCH(data!AT$1,Haver_M!$B$1:$ZN$1,0)),"na")</f>
        <v>110.616</v>
      </c>
      <c r="AU202">
        <f>IF(ISNUMBER(INDEX(Haver_M!$B$1:$ZN$1000,MATCH(data!$A202,Haver_M!$B$1:$B$1000,0),MATCH(data!AU$1,Haver_M!$B$1:$ZN$1,0))),INDEX(Haver_M!$B$1:$ZN$1000,MATCH(data!$A202,Haver_M!$B$1:$B$1000,0),MATCH(data!AU$1,Haver_M!$B$1:$ZN$1,0)),"na")</f>
        <v>108.959322</v>
      </c>
      <c r="AV202">
        <f>IF(ISNUMBER(INDEX(Haver_M!$B$1:$ZN$1000,MATCH(data!$A202,Haver_M!$B$1:$B$1000,0),MATCH(data!AV$1,Haver_M!$B$1:$ZN$1,0))),INDEX(Haver_M!$B$1:$ZN$1000,MATCH(data!$A202,Haver_M!$B$1:$B$1000,0),MATCH(data!AV$1,Haver_M!$B$1:$ZN$1,0)),"na")</f>
        <v>109.9</v>
      </c>
      <c r="AW202">
        <f>IF(ISNUMBER(INDEX(Haver_M!$B$1:$ZN$1000,MATCH(data!$A202,Haver_M!$B$1:$B$1000,0),MATCH(data!AW$1,Haver_M!$B$1:$ZN$1,0))),INDEX(Haver_M!$B$1:$ZN$1000,MATCH(data!$A202,Haver_M!$B$1:$B$1000,0),MATCH(data!AW$1,Haver_M!$B$1:$ZN$1,0)),"na")</f>
        <v>1659118.9892847878</v>
      </c>
      <c r="AX202">
        <f>IF(ISNUMBER(INDEX(Haver_M!$B$1:$ZN$1000,MATCH(data!$A202,Haver_M!$B$1:$B$1000,0),MATCH(data!AX$1,Haver_M!$B$1:$ZN$1,0))),INDEX(Haver_M!$B$1:$ZN$1000,MATCH(data!$A202,Haver_M!$B$1:$B$1000,0),MATCH(data!AX$1,Haver_M!$B$1:$ZN$1,0)),"na")</f>
        <v>2111</v>
      </c>
      <c r="AY202">
        <f>IF(ISNUMBER(INDEX(Haver_M!$B$1:$ZN$1000,MATCH(data!$A202,Haver_M!$B$1:$B$1000,0),MATCH(data!AY$1,Haver_M!$B$1:$ZN$1,0))),INDEX(Haver_M!$B$1:$ZN$1000,MATCH(data!$A202,Haver_M!$B$1:$B$1000,0),MATCH(data!AY$1,Haver_M!$B$1:$ZN$1,0)),"na")</f>
        <v>1425</v>
      </c>
      <c r="AZ202">
        <f>IF(ISNUMBER(INDEX(Haver_M!$B$1:$ZN$1000,MATCH(data!$A202,Haver_M!$B$1:$B$1000,0),MATCH(data!AZ$1,Haver_M!$B$1:$ZN$1,0))),INDEX(Haver_M!$B$1:$ZN$1000,MATCH(data!$A202,Haver_M!$B$1:$B$1000,0),MATCH(data!AZ$1,Haver_M!$B$1:$ZN$1,0)),"na")</f>
        <v>51</v>
      </c>
      <c r="BA202">
        <f>IF(ISNUMBER(INDEX(Haver_M!$B$1:$ZN$1000,MATCH(data!$A202,Haver_M!$B$1:$B$1000,0),MATCH(data!BA$1,Haver_M!$B$1:$ZN$1,0))),INDEX(Haver_M!$B$1:$ZN$1000,MATCH(data!$A202,Haver_M!$B$1:$B$1000,0),MATCH(data!BA$1,Haver_M!$B$1:$ZN$1,0)),"na")</f>
        <v>66.926448312996214</v>
      </c>
      <c r="BB202" t="str">
        <f>IF(ISNUMBER(INDEX(Haver_M!$B$1:$ZN$1000,MATCH(data!$A202,Haver_M!$B$1:$B$1000,0),MATCH(data!BB$1,Haver_M!$B$1:$ZN$1,0))),INDEX(Haver_M!$B$1:$ZN$1000,MATCH(data!$A202,Haver_M!$B$1:$B$1000,0),MATCH(data!BB$1,Haver_M!$B$1:$ZN$1,0)),"")</f>
        <v/>
      </c>
    </row>
    <row r="203" spans="1:54" x14ac:dyDescent="0.25">
      <c r="A203" s="2">
        <v>42674</v>
      </c>
      <c r="B203" t="str">
        <f>IF(ISNUMBER(INDEX(Haver_Q!$B$1:$BD$1000,MATCH(data!$A203,Haver_Q!$B$1:$B$1000,0),MATCH(data!B$1,Haver_Q!$B$1:$BD$1,0))),100*INDEX(Haver_Q!$B$1:$BD$1000,MATCH(data!$A203,Haver_Q!$B$1:$B$1000,0),MATCH(data!B$1,Haver_Q!$B$1:$BD$1,0)),"na")</f>
        <v>na</v>
      </c>
      <c r="C203" t="str">
        <f>IF(ISNUMBER(INDEX(Haver_Q!$B$1:$BD$1000,MATCH(data!$A203,Haver_Q!$B$1:$B$1000,0),MATCH(data!C$1,Haver_Q!$B$1:$BD$1,0))),100*INDEX(Haver_Q!$B$1:$BD$1000,MATCH(data!$A203,Haver_Q!$B$1:$B$1000,0),MATCH(data!C$1,Haver_Q!$B$1:$BD$1,0)),"na")</f>
        <v>na</v>
      </c>
      <c r="D203" t="str">
        <f>IF(ISNUMBER(INDEX(Haver_Q!$B$1:$BD$1000,MATCH(data!$A203,Haver_Q!$B$1:$B$1000,0),MATCH(data!D$1,Haver_Q!$B$1:$BD$1,0))),100*INDEX(Haver_Q!$B$1:$BD$1000,MATCH(data!$A203,Haver_Q!$B$1:$B$1000,0),MATCH(data!D$1,Haver_Q!$B$1:$BD$1,0)),"na")</f>
        <v>na</v>
      </c>
      <c r="E203" t="str">
        <f>IF(ISNUMBER(INDEX(Haver_Q!$B$1:$BD$1000,MATCH(data!$A203,Haver_Q!$B$1:$B$1000,0),MATCH(data!E$1,Haver_Q!$B$1:$BD$1,0))),100*INDEX(Haver_Q!$B$1:$BD$1000,MATCH(data!$A203,Haver_Q!$B$1:$B$1000,0),MATCH(data!E$1,Haver_Q!$B$1:$BD$1,0)),"na")</f>
        <v>na</v>
      </c>
      <c r="F203" t="str">
        <f>IF(ISNUMBER(INDEX(Haver_Q!$B$1:$BD$1000,MATCH(data!$A203,Haver_Q!$B$1:$B$1000,0),MATCH(data!F$1,Haver_Q!$B$1:$BD$1,0))),100*INDEX(Haver_Q!$B$1:$BD$1000,MATCH(data!$A203,Haver_Q!$B$1:$B$1000,0),MATCH(data!F$1,Haver_Q!$B$1:$BD$1,0)),"na")</f>
        <v>na</v>
      </c>
      <c r="G203" t="str">
        <f>IF(ISNUMBER(INDEX(Haver_Q!$B$1:$BD$1000,MATCH(data!$A203,Haver_Q!$B$1:$B$1000,0),MATCH(data!G$1,Haver_Q!$B$1:$BD$1,0))),100*INDEX(Haver_Q!$B$1:$BD$1000,MATCH(data!$A203,Haver_Q!$B$1:$B$1000,0),MATCH(data!G$1,Haver_Q!$B$1:$BD$1,0)),"na")</f>
        <v>na</v>
      </c>
      <c r="H203" t="str">
        <f>IF(ISNUMBER(INDEX(Haver_Q!$B$1:$BD$1000,MATCH(data!$A203,Haver_Q!$B$1:$B$1000,0),MATCH(data!H$1,Haver_Q!$B$1:$BD$1,0))),100*INDEX(Haver_Q!$B$1:$BD$1000,MATCH(data!$A203,Haver_Q!$B$1:$B$1000,0),MATCH(data!H$1,Haver_Q!$B$1:$BD$1,0)),"na")</f>
        <v>na</v>
      </c>
      <c r="I203" s="3">
        <f>IF(ISNUMBER(Bloomberg_m!C219),Bloomberg_m!C219,"na")</f>
        <v>868</v>
      </c>
      <c r="J203" s="3">
        <f>IF(ISNUMBER(Bloomberg_m!D219),Bloomberg_m!D219,"na")</f>
        <v>1307.1500000000001</v>
      </c>
      <c r="K203" s="3">
        <f>IF(ISNUMBER(Bloomberg_m!E219),Bloomberg_m!E219,"na")</f>
        <v>819.01</v>
      </c>
      <c r="L203" s="3">
        <f>IF(ISNUMBER(Bloomberg_m!L219),Bloomberg_m!L219,"na")</f>
        <v>49.89</v>
      </c>
      <c r="M203">
        <f>IF(ISNUMBER(INDEX(Haver_M!$B$1:$ZN$1000,MATCH(data!$A203,Haver_M!$B$1:$B$1000,0),MATCH(data!M$1,Haver_M!$B$1:$ZN$1,0))),INDEX(Haver_M!$B$1:$ZN$1000,MATCH(data!$A203,Haver_M!$B$1:$B$1000,0),MATCH(data!M$1,Haver_M!$B$1:$ZN$1,0)),"na")</f>
        <v>4.75</v>
      </c>
      <c r="N203">
        <f>IF(ISNUMBER(INDEX(Haver_M!$B$1:$ZN$1000,MATCH(data!$A203,Haver_M!$B$1:$B$1000,0),MATCH(data!N$1,Haver_M!$B$1:$ZN$1,0))),INDEX(Haver_M!$B$1:$ZN$1000,MATCH(data!$A203,Haver_M!$B$1:$B$1000,0),MATCH(data!N$1,Haver_M!$B$1:$ZN$1,0)),"na")</f>
        <v>6.0945</v>
      </c>
      <c r="O203">
        <f>IF(ISNUMBER(INDEX(Haver_M!$B$1:$ZN$1000,MATCH(data!$A203,Haver_M!$B$1:$B$1000,0),MATCH(data!O$1,Haver_M!$B$1:$ZN$1,0))),INDEX(Haver_M!$B$1:$ZN$1000,MATCH(data!$A203,Haver_M!$B$1:$B$1000,0),MATCH(data!O$1,Haver_M!$B$1:$ZN$1,0)),"na")</f>
        <v>78.318250000000006</v>
      </c>
      <c r="P203">
        <f>IF(ISNUMBER(INDEX(Haver_M!$B$1:$ZN$1000,MATCH(data!$A203,Haver_M!$B$1:$B$1000,0),MATCH(data!P$1,Haver_M!$B$1:$ZN$1,0))),INDEX(Haver_M!$B$1:$ZN$1000,MATCH(data!$A203,Haver_M!$B$1:$B$1000,0),MATCH(data!P$1,Haver_M!$B$1:$ZN$1,0)),"na")</f>
        <v>91.153199999999998</v>
      </c>
      <c r="Q203">
        <f>IF(ISNUMBER(INDEX(Haver_M!$B$1:$ZN$1000,MATCH(data!$A203,Haver_M!$B$1:$B$1000,0),MATCH(data!Q$1,Haver_M!$B$1:$ZN$1,0))),INDEX(Haver_M!$B$1:$ZN$1000,MATCH(data!$A203,Haver_M!$B$1:$B$1000,0),MATCH(data!Q$1,Haver_M!$B$1:$ZN$1,0)),"na")</f>
        <v>92.883499999999998</v>
      </c>
      <c r="R203">
        <f>IF(ISNUMBER(INDEX(Haver_M!$B$1:$ZN$1000,MATCH(data!$A203,Haver_M!$B$1:$B$1000,0),MATCH(data!R$1,Haver_M!$B$1:$ZN$1,0))),INDEX(Haver_M!$B$1:$ZN$1000,MATCH(data!$A203,Haver_M!$B$1:$B$1000,0),MATCH(data!R$1,Haver_M!$B$1:$ZN$1,0)),"na")</f>
        <v>103.96210000000001</v>
      </c>
      <c r="S203">
        <f>IF(ISNUMBER(INDEX(Haver_M!$B$1:$ZN$1000,MATCH(data!$A203,Haver_M!$B$1:$B$1000,0),MATCH(data!S$1,Haver_M!$B$1:$ZN$1,0))),INDEX(Haver_M!$B$1:$ZN$1000,MATCH(data!$A203,Haver_M!$B$1:$B$1000,0),MATCH(data!S$1,Haver_M!$B$1:$ZN$1,0)),"na")</f>
        <v>88.407399999999996</v>
      </c>
      <c r="T203">
        <f>IF(ISNUMBER(INDEX(Haver_M!$B$1:$ZN$1000,MATCH(data!$A203,Haver_M!$B$1:$B$1000,0),MATCH(data!T$1,Haver_M!$B$1:$ZN$1,0))),INDEX(Haver_M!$B$1:$ZN$1000,MATCH(data!$A203,Haver_M!$B$1:$B$1000,0),MATCH(data!T$1,Haver_M!$B$1:$ZN$1,0)),"na")</f>
        <v>110.6729</v>
      </c>
      <c r="U203">
        <f>IF(ISNUMBER(INDEX(Haver_M!$B$1:$ZN$1000,MATCH(data!$A203,Haver_M!$B$1:$B$1000,0),MATCH(data!U$1,Haver_M!$B$1:$ZN$1,0))),INDEX(Haver_M!$B$1:$ZN$1000,MATCH(data!$A203,Haver_M!$B$1:$B$1000,0),MATCH(data!U$1,Haver_M!$B$1:$ZN$1,0)),"na")</f>
        <v>106.30419999999999</v>
      </c>
      <c r="V203">
        <f>IF(ISNUMBER(INDEX(Haver_M!$B$1:$ZN$1000,MATCH(data!$A203,Haver_M!$B$1:$B$1000,0),MATCH(data!V$1,Haver_M!$B$1:$ZN$1,0))),INDEX(Haver_M!$B$1:$ZN$1000,MATCH(data!$A203,Haver_M!$B$1:$B$1000,0),MATCH(data!V$1,Haver_M!$B$1:$ZN$1,0)),"na")</f>
        <v>109.0474</v>
      </c>
      <c r="W203">
        <f>IF(ISNUMBER(INDEX(Haver_M!$B$1:$ZN$1000,MATCH(data!$A203,Haver_M!$B$1:$B$1000,0),MATCH(data!W$1,Haver_M!$B$1:$ZN$1,0))),INDEX(Haver_M!$B$1:$ZN$1000,MATCH(data!$A203,Haver_M!$B$1:$B$1000,0),MATCH(data!W$1,Haver_M!$B$1:$ZN$1,0)),"na")</f>
        <v>3.58</v>
      </c>
      <c r="X203">
        <f>IF(ISNUMBER(INDEX(Haver_M!$B$1:$ZN$1000,MATCH(data!$A203,Haver_M!$B$1:$B$1000,0),MATCH(data!X$1,Haver_M!$B$1:$ZN$1,0))),INDEX(Haver_M!$B$1:$ZN$1000,MATCH(data!$A203,Haver_M!$B$1:$B$1000,0),MATCH(data!X$1,Haver_M!$B$1:$ZN$1,0)),"na")</f>
        <v>104.7</v>
      </c>
      <c r="Y203">
        <f>IF(ISNUMBER(INDEX(Haver_M!$B$1:$ZN$1000,MATCH(data!$A203,Haver_M!$B$1:$B$1000,0),MATCH(data!Y$1,Haver_M!$B$1:$ZN$1,0))),INDEX(Haver_M!$B$1:$ZN$1000,MATCH(data!$A203,Haver_M!$B$1:$B$1000,0),MATCH(data!Y$1,Haver_M!$B$1:$ZN$1,0)),"na")</f>
        <v>99.49</v>
      </c>
      <c r="Z203">
        <f>IF(ISNUMBER(INDEX(Haver_M!$B$1:$ZN$1000,MATCH(data!$A203,Haver_M!$B$1:$B$1000,0),MATCH(data!Z$1,Haver_M!$B$1:$ZN$1,0))),INDEX(Haver_M!$B$1:$ZN$1000,MATCH(data!$A203,Haver_M!$B$1:$B$1000,0),MATCH(data!Z$1,Haver_M!$B$1:$ZN$1,0)),"na")</f>
        <v>114.4709</v>
      </c>
      <c r="AA203">
        <f>IF(ISNUMBER(INDEX(Haver_M!$B$1:$ZN$1000,MATCH(data!$A203,Haver_M!$B$1:$B$1000,0),MATCH(data!AA$1,Haver_M!$B$1:$ZN$1,0))),INDEX(Haver_M!$B$1:$ZN$1000,MATCH(data!$A203,Haver_M!$B$1:$B$1000,0),MATCH(data!AA$1,Haver_M!$B$1:$ZN$1,0)),"na")</f>
        <v>106.3449</v>
      </c>
      <c r="AB203">
        <f>IF(ISNUMBER(INDEX(Haver_M!$B$1:$ZN$1000,MATCH(data!$A203,Haver_M!$B$1:$B$1000,0),MATCH(data!AB$1,Haver_M!$B$1:$ZN$1,0))),INDEX(Haver_M!$B$1:$ZN$1000,MATCH(data!$A203,Haver_M!$B$1:$B$1000,0),MATCH(data!AB$1,Haver_M!$B$1:$ZN$1,0)),"na")</f>
        <v>31980</v>
      </c>
      <c r="AC203">
        <f>IF(ISNUMBER(INDEX(Haver_M!$B$1:$ZN$1000,MATCH(data!$A203,Haver_M!$B$1:$B$1000,0),MATCH(data!AC$1,Haver_M!$B$1:$ZN$1,0))),INDEX(Haver_M!$B$1:$ZN$1000,MATCH(data!$A203,Haver_M!$B$1:$B$1000,0),MATCH(data!AC$1,Haver_M!$B$1:$ZN$1,0)),"na")</f>
        <v>32402.3</v>
      </c>
      <c r="AD203">
        <f>IF(ISNUMBER(INDEX(Haver_M!$B$1:$ZN$1000,MATCH(data!$A203,Haver_M!$B$1:$B$1000,0),MATCH(data!AD$1,Haver_M!$B$1:$ZN$1,0))),INDEX(Haver_M!$B$1:$ZN$1000,MATCH(data!$A203,Haver_M!$B$1:$B$1000,0),MATCH(data!AD$1,Haver_M!$B$1:$ZN$1,0)),"na")</f>
        <v>100.16</v>
      </c>
      <c r="AE203">
        <f>IF(ISNUMBER(INDEX(Haver_M!$B$1:$ZN$1000,MATCH(data!$A203,Haver_M!$B$1:$B$1000,0),MATCH(data!AE$1,Haver_M!$B$1:$ZN$1,0))),INDEX(Haver_M!$B$1:$ZN$1000,MATCH(data!$A203,Haver_M!$B$1:$B$1000,0),MATCH(data!AE$1,Haver_M!$B$1:$ZN$1,0)),"na")</f>
        <v>35.1</v>
      </c>
      <c r="AF203">
        <f>IF(ISNUMBER(INDEX(Haver_M!$B$1:$ZN$1000,MATCH(data!$A203,Haver_M!$B$1:$B$1000,0),MATCH(data!AF$1,Haver_M!$B$1:$ZN$1,0))),INDEX(Haver_M!$B$1:$ZN$1000,MATCH(data!$A203,Haver_M!$B$1:$B$1000,0),MATCH(data!AF$1,Haver_M!$B$1:$ZN$1,0)),"na")</f>
        <v>99.21</v>
      </c>
      <c r="AG203">
        <f>IF(ISNUMBER(INDEX(Haver_M!$B$1:$ZN$1000,MATCH(data!$A203,Haver_M!$B$1:$B$1000,0),MATCH(data!AG$1,Haver_M!$B$1:$ZN$1,0))),INDEX(Haver_M!$B$1:$ZN$1000,MATCH(data!$A203,Haver_M!$B$1:$B$1000,0),MATCH(data!AG$1,Haver_M!$B$1:$ZN$1,0)),"na")</f>
        <v>51.801000000000002</v>
      </c>
      <c r="AH203">
        <f>IF(ISNUMBER(INDEX(Haver_M!$B$1:$ZN$1000,MATCH(data!$A203,Haver_M!$B$1:$B$1000,0),MATCH(data!AH$1,Haver_M!$B$1:$ZN$1,0))),INDEX(Haver_M!$B$1:$ZN$1000,MATCH(data!$A203,Haver_M!$B$1:$B$1000,0),MATCH(data!AH$1,Haver_M!$B$1:$ZN$1,0)),"na")</f>
        <v>52.991</v>
      </c>
      <c r="AI203">
        <f>IF(ISNUMBER(INDEX(Haver_M!$B$1:$ZN$1000,MATCH(data!$A203,Haver_M!$B$1:$B$1000,0),MATCH(data!AI$1,Haver_M!$B$1:$ZN$1,0))),INDEX(Haver_M!$B$1:$ZN$1000,MATCH(data!$A203,Haver_M!$B$1:$B$1000,0),MATCH(data!AI$1,Haver_M!$B$1:$ZN$1,0)),"na")</f>
        <v>52.694299999999998</v>
      </c>
      <c r="AJ203">
        <f>IF(ISNUMBER(INDEX(Haver_M!$B$1:$ZN$1000,MATCH(data!$A203,Haver_M!$B$1:$B$1000,0),MATCH(data!AJ$1,Haver_M!$B$1:$ZN$1,0))),INDEX(Haver_M!$B$1:$ZN$1000,MATCH(data!$A203,Haver_M!$B$1:$B$1000,0),MATCH(data!AJ$1,Haver_M!$B$1:$ZN$1,0)),"na")</f>
        <v>51.502800000000001</v>
      </c>
      <c r="AK203">
        <f>IF(ISNUMBER(INDEX(Haver_M!$B$1:$ZN$1000,MATCH(data!$A203,Haver_M!$B$1:$B$1000,0),MATCH(data!AK$1,Haver_M!$B$1:$ZN$1,0))),INDEX(Haver_M!$B$1:$ZN$1000,MATCH(data!$A203,Haver_M!$B$1:$B$1000,0),MATCH(data!AK$1,Haver_M!$B$1:$ZN$1,0)),"na")</f>
        <v>50.033700000000003</v>
      </c>
      <c r="AL203">
        <f>IF(ISNUMBER(INDEX(Haver_M!$B$1:$ZN$1000,MATCH(data!$A203,Haver_M!$B$1:$B$1000,0),MATCH(data!AL$1,Haver_M!$B$1:$ZN$1,0))),INDEX(Haver_M!$B$1:$ZN$1000,MATCH(data!$A203,Haver_M!$B$1:$B$1000,0),MATCH(data!AL$1,Haver_M!$B$1:$ZN$1,0)),"na")</f>
        <v>49.494799999999998</v>
      </c>
      <c r="AM203">
        <f>IF(ISNUMBER(INDEX(Haver_M!$B$1:$ZN$1000,MATCH(data!$A203,Haver_M!$B$1:$B$1000,0),MATCH(data!AM$1,Haver_M!$B$1:$ZN$1,0))),INDEX(Haver_M!$B$1:$ZN$1000,MATCH(data!$A203,Haver_M!$B$1:$B$1000,0),MATCH(data!AM$1,Haver_M!$B$1:$ZN$1,0)),"na")</f>
        <v>62.8718</v>
      </c>
      <c r="AN203">
        <f>IF(ISNUMBER(INDEX(Haver_M!$B$1:$ZN$1000,MATCH(data!$A203,Haver_M!$B$1:$B$1000,0),MATCH(data!AN$1,Haver_M!$B$1:$ZN$1,0))),INDEX(Haver_M!$B$1:$ZN$1000,MATCH(data!$A203,Haver_M!$B$1:$B$1000,0),MATCH(data!AN$1,Haver_M!$B$1:$ZN$1,0)),"na")</f>
        <v>51.328000000000003</v>
      </c>
      <c r="AO203">
        <f>IF(ISNUMBER(INDEX(Haver_M!$B$1:$ZN$1000,MATCH(data!$A203,Haver_M!$B$1:$B$1000,0),MATCH(data!AO$1,Haver_M!$B$1:$ZN$1,0))),INDEX(Haver_M!$B$1:$ZN$1000,MATCH(data!$A203,Haver_M!$B$1:$B$1000,0),MATCH(data!AO$1,Haver_M!$B$1:$ZN$1,0)),"na")</f>
        <v>49.494799999999998</v>
      </c>
      <c r="AP203">
        <f>IF(ISNUMBER(INDEX(Haver_M!$B$1:$ZN$1000,MATCH(data!$A203,Haver_M!$B$1:$B$1000,0),MATCH(data!AP$1,Haver_M!$B$1:$ZN$1,0))),INDEX(Haver_M!$B$1:$ZN$1000,MATCH(data!$A203,Haver_M!$B$1:$B$1000,0),MATCH(data!AP$1,Haver_M!$B$1:$ZN$1,0)),"na")</f>
        <v>53.000500000000002</v>
      </c>
      <c r="AQ203">
        <f>IF(ISNUMBER(INDEX(Haver_M!$B$1:$ZN$1000,MATCH(data!$A203,Haver_M!$B$1:$B$1000,0),MATCH(data!AQ$1,Haver_M!$B$1:$ZN$1,0))),INDEX(Haver_M!$B$1:$ZN$1000,MATCH(data!$A203,Haver_M!$B$1:$B$1000,0),MATCH(data!AQ$1,Haver_M!$B$1:$ZN$1,0)),"na")</f>
        <v>53.437199999999997</v>
      </c>
      <c r="AR203">
        <f>IF(ISNUMBER(INDEX(Haver_M!$B$1:$ZN$1000,MATCH(data!$A203,Haver_M!$B$1:$B$1000,0),MATCH(data!AR$1,Haver_M!$B$1:$ZN$1,0))),INDEX(Haver_M!$B$1:$ZN$1000,MATCH(data!$A203,Haver_M!$B$1:$B$1000,0),MATCH(data!AR$1,Haver_M!$B$1:$ZN$1,0)),"na")</f>
        <v>45.850700000000003</v>
      </c>
      <c r="AS203">
        <f>IF(ISNUMBER(INDEX(Haver_M!$B$1:$ZN$1000,MATCH(data!$A203,Haver_M!$B$1:$B$1000,0),MATCH(data!AS$1,Haver_M!$B$1:$ZN$1,0))),INDEX(Haver_M!$B$1:$ZN$1000,MATCH(data!$A203,Haver_M!$B$1:$B$1000,0),MATCH(data!AS$1,Haver_M!$B$1:$ZN$1,0)),"na")</f>
        <v>48011.5</v>
      </c>
      <c r="AT203">
        <f>IF(ISNUMBER(INDEX(Haver_M!$B$1:$ZN$1000,MATCH(data!$A203,Haver_M!$B$1:$B$1000,0),MATCH(data!AT$1,Haver_M!$B$1:$ZN$1,0))),INDEX(Haver_M!$B$1:$ZN$1000,MATCH(data!$A203,Haver_M!$B$1:$B$1000,0),MATCH(data!AT$1,Haver_M!$B$1:$ZN$1,0)),"na")</f>
        <v>111.374</v>
      </c>
      <c r="AU203">
        <f>IF(ISNUMBER(INDEX(Haver_M!$B$1:$ZN$1000,MATCH(data!$A203,Haver_M!$B$1:$B$1000,0),MATCH(data!AU$1,Haver_M!$B$1:$ZN$1,0))),INDEX(Haver_M!$B$1:$ZN$1000,MATCH(data!$A203,Haver_M!$B$1:$B$1000,0),MATCH(data!AU$1,Haver_M!$B$1:$ZN$1,0)),"na")</f>
        <v>109.345589</v>
      </c>
      <c r="AV203">
        <f>IF(ISNUMBER(INDEX(Haver_M!$B$1:$ZN$1000,MATCH(data!$A203,Haver_M!$B$1:$B$1000,0),MATCH(data!AV$1,Haver_M!$B$1:$ZN$1,0))),INDEX(Haver_M!$B$1:$ZN$1000,MATCH(data!$A203,Haver_M!$B$1:$B$1000,0),MATCH(data!AV$1,Haver_M!$B$1:$ZN$1,0)),"na")</f>
        <v>109.7</v>
      </c>
      <c r="AW203">
        <f>IF(ISNUMBER(INDEX(Haver_M!$B$1:$ZN$1000,MATCH(data!$A203,Haver_M!$B$1:$B$1000,0),MATCH(data!AW$1,Haver_M!$B$1:$ZN$1,0))),INDEX(Haver_M!$B$1:$ZN$1000,MATCH(data!$A203,Haver_M!$B$1:$B$1000,0),MATCH(data!AW$1,Haver_M!$B$1:$ZN$1,0)),"na")</f>
        <v>1716277.1236498719</v>
      </c>
      <c r="AX203">
        <f>IF(ISNUMBER(INDEX(Haver_M!$B$1:$ZN$1000,MATCH(data!$A203,Haver_M!$B$1:$B$1000,0),MATCH(data!AX$1,Haver_M!$B$1:$ZN$1,0))),INDEX(Haver_M!$B$1:$ZN$1000,MATCH(data!$A203,Haver_M!$B$1:$B$1000,0),MATCH(data!AX$1,Haver_M!$B$1:$ZN$1,0)),"na")</f>
        <v>2099</v>
      </c>
      <c r="AY203">
        <f>IF(ISNUMBER(INDEX(Haver_M!$B$1:$ZN$1000,MATCH(data!$A203,Haver_M!$B$1:$B$1000,0),MATCH(data!AY$1,Haver_M!$B$1:$ZN$1,0))),INDEX(Haver_M!$B$1:$ZN$1000,MATCH(data!$A203,Haver_M!$B$1:$B$1000,0),MATCH(data!AY$1,Haver_M!$B$1:$ZN$1,0)),"na")</f>
        <v>1312</v>
      </c>
      <c r="AZ203">
        <f>IF(ISNUMBER(INDEX(Haver_M!$B$1:$ZN$1000,MATCH(data!$A203,Haver_M!$B$1:$B$1000,0),MATCH(data!AZ$1,Haver_M!$B$1:$ZN$1,0))),INDEX(Haver_M!$B$1:$ZN$1000,MATCH(data!$A203,Haver_M!$B$1:$B$1000,0),MATCH(data!AZ$1,Haver_M!$B$1:$ZN$1,0)),"na")</f>
        <v>49.5</v>
      </c>
      <c r="BA203">
        <f>IF(ISNUMBER(INDEX(Haver_M!$B$1:$ZN$1000,MATCH(data!$A203,Haver_M!$B$1:$B$1000,0),MATCH(data!BA$1,Haver_M!$B$1:$ZN$1,0))),INDEX(Haver_M!$B$1:$ZN$1000,MATCH(data!$A203,Haver_M!$B$1:$B$1000,0),MATCH(data!BA$1,Haver_M!$B$1:$ZN$1,0)),"na")</f>
        <v>42.421554427268923</v>
      </c>
      <c r="BB203" t="str">
        <f>IF(ISNUMBER(INDEX(Haver_M!$B$1:$ZN$1000,MATCH(data!$A203,Haver_M!$B$1:$B$1000,0),MATCH(data!BB$1,Haver_M!$B$1:$ZN$1,0))),INDEX(Haver_M!$B$1:$ZN$1000,MATCH(data!$A203,Haver_M!$B$1:$B$1000,0),MATCH(data!BB$1,Haver_M!$B$1:$ZN$1,0)),"")</f>
        <v/>
      </c>
    </row>
    <row r="204" spans="1:54" x14ac:dyDescent="0.25">
      <c r="A204" s="2">
        <v>42704</v>
      </c>
      <c r="B204" t="str">
        <f>IF(ISNUMBER(INDEX(Haver_Q!$B$1:$BD$1000,MATCH(data!$A204,Haver_Q!$B$1:$B$1000,0),MATCH(data!B$1,Haver_Q!$B$1:$BD$1,0))),100*INDEX(Haver_Q!$B$1:$BD$1000,MATCH(data!$A204,Haver_Q!$B$1:$B$1000,0),MATCH(data!B$1,Haver_Q!$B$1:$BD$1,0)),"na")</f>
        <v>na</v>
      </c>
      <c r="C204" t="str">
        <f>IF(ISNUMBER(INDEX(Haver_Q!$B$1:$BD$1000,MATCH(data!$A204,Haver_Q!$B$1:$B$1000,0),MATCH(data!C$1,Haver_Q!$B$1:$BD$1,0))),100*INDEX(Haver_Q!$B$1:$BD$1000,MATCH(data!$A204,Haver_Q!$B$1:$B$1000,0),MATCH(data!C$1,Haver_Q!$B$1:$BD$1,0)),"na")</f>
        <v>na</v>
      </c>
      <c r="D204" t="str">
        <f>IF(ISNUMBER(INDEX(Haver_Q!$B$1:$BD$1000,MATCH(data!$A204,Haver_Q!$B$1:$B$1000,0),MATCH(data!D$1,Haver_Q!$B$1:$BD$1,0))),100*INDEX(Haver_Q!$B$1:$BD$1000,MATCH(data!$A204,Haver_Q!$B$1:$B$1000,0),MATCH(data!D$1,Haver_Q!$B$1:$BD$1,0)),"na")</f>
        <v>na</v>
      </c>
      <c r="E204" t="str">
        <f>IF(ISNUMBER(INDEX(Haver_Q!$B$1:$BD$1000,MATCH(data!$A204,Haver_Q!$B$1:$B$1000,0),MATCH(data!E$1,Haver_Q!$B$1:$BD$1,0))),100*INDEX(Haver_Q!$B$1:$BD$1000,MATCH(data!$A204,Haver_Q!$B$1:$B$1000,0),MATCH(data!E$1,Haver_Q!$B$1:$BD$1,0)),"na")</f>
        <v>na</v>
      </c>
      <c r="F204" t="str">
        <f>IF(ISNUMBER(INDEX(Haver_Q!$B$1:$BD$1000,MATCH(data!$A204,Haver_Q!$B$1:$B$1000,0),MATCH(data!F$1,Haver_Q!$B$1:$BD$1,0))),100*INDEX(Haver_Q!$B$1:$BD$1000,MATCH(data!$A204,Haver_Q!$B$1:$B$1000,0),MATCH(data!F$1,Haver_Q!$B$1:$BD$1,0)),"na")</f>
        <v>na</v>
      </c>
      <c r="G204" t="str">
        <f>IF(ISNUMBER(INDEX(Haver_Q!$B$1:$BD$1000,MATCH(data!$A204,Haver_Q!$B$1:$B$1000,0),MATCH(data!G$1,Haver_Q!$B$1:$BD$1,0))),100*INDEX(Haver_Q!$B$1:$BD$1000,MATCH(data!$A204,Haver_Q!$B$1:$B$1000,0),MATCH(data!G$1,Haver_Q!$B$1:$BD$1,0)),"na")</f>
        <v>na</v>
      </c>
      <c r="H204" t="str">
        <f>IF(ISNUMBER(INDEX(Haver_Q!$B$1:$BD$1000,MATCH(data!$A204,Haver_Q!$B$1:$B$1000,0),MATCH(data!H$1,Haver_Q!$B$1:$BD$1,0))),100*INDEX(Haver_Q!$B$1:$BD$1000,MATCH(data!$A204,Haver_Q!$B$1:$B$1000,0),MATCH(data!H$1,Haver_Q!$B$1:$BD$1,0)),"na")</f>
        <v>na</v>
      </c>
      <c r="I204" s="3">
        <f>IF(ISNUMBER(Bloomberg_m!C220),Bloomberg_m!C220,"na")</f>
        <v>1072</v>
      </c>
      <c r="J204" s="3">
        <f>IF(ISNUMBER(Bloomberg_m!D220),Bloomberg_m!D220,"na")</f>
        <v>1475.17</v>
      </c>
      <c r="K204" s="3">
        <f>IF(ISNUMBER(Bloomberg_m!E220),Bloomberg_m!E220,"na")</f>
        <v>820.42</v>
      </c>
      <c r="L204" s="3">
        <f>IF(ISNUMBER(Bloomberg_m!L220),Bloomberg_m!L220,"na")</f>
        <v>45.57</v>
      </c>
      <c r="M204">
        <f>IF(ISNUMBER(INDEX(Haver_M!$B$1:$ZN$1000,MATCH(data!$A204,Haver_M!$B$1:$B$1000,0),MATCH(data!M$1,Haver_M!$B$1:$ZN$1,0))),INDEX(Haver_M!$B$1:$ZN$1000,MATCH(data!$A204,Haver_M!$B$1:$B$1000,0),MATCH(data!M$1,Haver_M!$B$1:$ZN$1,0)),"na")</f>
        <v>5.25</v>
      </c>
      <c r="N204">
        <f>IF(ISNUMBER(INDEX(Haver_M!$B$1:$ZN$1000,MATCH(data!$A204,Haver_M!$B$1:$B$1000,0),MATCH(data!N$1,Haver_M!$B$1:$ZN$1,0))),INDEX(Haver_M!$B$1:$ZN$1000,MATCH(data!$A204,Haver_M!$B$1:$B$1000,0),MATCH(data!N$1,Haver_M!$B$1:$ZN$1,0)),"na")</f>
        <v>6.9539</v>
      </c>
      <c r="O204">
        <f>IF(ISNUMBER(INDEX(Haver_M!$B$1:$ZN$1000,MATCH(data!$A204,Haver_M!$B$1:$B$1000,0),MATCH(data!O$1,Haver_M!$B$1:$ZN$1,0))),INDEX(Haver_M!$B$1:$ZN$1000,MATCH(data!$A204,Haver_M!$B$1:$B$1000,0),MATCH(data!O$1,Haver_M!$B$1:$ZN$1,0)),"na")</f>
        <v>75.1571</v>
      </c>
      <c r="P204">
        <f>IF(ISNUMBER(INDEX(Haver_M!$B$1:$ZN$1000,MATCH(data!$A204,Haver_M!$B$1:$B$1000,0),MATCH(data!P$1,Haver_M!$B$1:$ZN$1,0))),INDEX(Haver_M!$B$1:$ZN$1000,MATCH(data!$A204,Haver_M!$B$1:$B$1000,0),MATCH(data!P$1,Haver_M!$B$1:$ZN$1,0)),"na")</f>
        <v>91.428100000000001</v>
      </c>
      <c r="Q204">
        <f>IF(ISNUMBER(INDEX(Haver_M!$B$1:$ZN$1000,MATCH(data!$A204,Haver_M!$B$1:$B$1000,0),MATCH(data!Q$1,Haver_M!$B$1:$ZN$1,0))),INDEX(Haver_M!$B$1:$ZN$1000,MATCH(data!$A204,Haver_M!$B$1:$B$1000,0),MATCH(data!Q$1,Haver_M!$B$1:$ZN$1,0)),"na")</f>
        <v>93.184799999999996</v>
      </c>
      <c r="R204">
        <f>IF(ISNUMBER(INDEX(Haver_M!$B$1:$ZN$1000,MATCH(data!$A204,Haver_M!$B$1:$B$1000,0),MATCH(data!R$1,Haver_M!$B$1:$ZN$1,0))),INDEX(Haver_M!$B$1:$ZN$1000,MATCH(data!$A204,Haver_M!$B$1:$B$1000,0),MATCH(data!R$1,Haver_M!$B$1:$ZN$1,0)),"na")</f>
        <v>105.2878</v>
      </c>
      <c r="S204">
        <f>IF(ISNUMBER(INDEX(Haver_M!$B$1:$ZN$1000,MATCH(data!$A204,Haver_M!$B$1:$B$1000,0),MATCH(data!S$1,Haver_M!$B$1:$ZN$1,0))),INDEX(Haver_M!$B$1:$ZN$1000,MATCH(data!$A204,Haver_M!$B$1:$B$1000,0),MATCH(data!S$1,Haver_M!$B$1:$ZN$1,0)),"na")</f>
        <v>86.878200000000007</v>
      </c>
      <c r="T204">
        <f>IF(ISNUMBER(INDEX(Haver_M!$B$1:$ZN$1000,MATCH(data!$A204,Haver_M!$B$1:$B$1000,0),MATCH(data!T$1,Haver_M!$B$1:$ZN$1,0))),INDEX(Haver_M!$B$1:$ZN$1000,MATCH(data!$A204,Haver_M!$B$1:$B$1000,0),MATCH(data!T$1,Haver_M!$B$1:$ZN$1,0)),"na")</f>
        <v>109.4221</v>
      </c>
      <c r="U204">
        <f>IF(ISNUMBER(INDEX(Haver_M!$B$1:$ZN$1000,MATCH(data!$A204,Haver_M!$B$1:$B$1000,0),MATCH(data!U$1,Haver_M!$B$1:$ZN$1,0))),INDEX(Haver_M!$B$1:$ZN$1000,MATCH(data!$A204,Haver_M!$B$1:$B$1000,0),MATCH(data!U$1,Haver_M!$B$1:$ZN$1,0)),"na")</f>
        <v>111.5149</v>
      </c>
      <c r="V204">
        <f>IF(ISNUMBER(INDEX(Haver_M!$B$1:$ZN$1000,MATCH(data!$A204,Haver_M!$B$1:$B$1000,0),MATCH(data!V$1,Haver_M!$B$1:$ZN$1,0))),INDEX(Haver_M!$B$1:$ZN$1000,MATCH(data!$A204,Haver_M!$B$1:$B$1000,0),MATCH(data!V$1,Haver_M!$B$1:$ZN$1,0)),"na")</f>
        <v>110.03100000000001</v>
      </c>
      <c r="W204">
        <f>IF(ISNUMBER(INDEX(Haver_M!$B$1:$ZN$1000,MATCH(data!$A204,Haver_M!$B$1:$B$1000,0),MATCH(data!W$1,Haver_M!$B$1:$ZN$1,0))),INDEX(Haver_M!$B$1:$ZN$1000,MATCH(data!$A204,Haver_M!$B$1:$B$1000,0),MATCH(data!W$1,Haver_M!$B$1:$ZN$1,0)),"na")</f>
        <v>3.6</v>
      </c>
      <c r="X204">
        <f>IF(ISNUMBER(INDEX(Haver_M!$B$1:$ZN$1000,MATCH(data!$A204,Haver_M!$B$1:$B$1000,0),MATCH(data!X$1,Haver_M!$B$1:$ZN$1,0))),INDEX(Haver_M!$B$1:$ZN$1000,MATCH(data!$A204,Haver_M!$B$1:$B$1000,0),MATCH(data!X$1,Haver_M!$B$1:$ZN$1,0)),"na")</f>
        <v>103.56</v>
      </c>
      <c r="Y204">
        <f>IF(ISNUMBER(INDEX(Haver_M!$B$1:$ZN$1000,MATCH(data!$A204,Haver_M!$B$1:$B$1000,0),MATCH(data!Y$1,Haver_M!$B$1:$ZN$1,0))),INDEX(Haver_M!$B$1:$ZN$1000,MATCH(data!$A204,Haver_M!$B$1:$B$1000,0),MATCH(data!Y$1,Haver_M!$B$1:$ZN$1,0)),"na")</f>
        <v>99.41</v>
      </c>
      <c r="Z204">
        <f>IF(ISNUMBER(INDEX(Haver_M!$B$1:$ZN$1000,MATCH(data!$A204,Haver_M!$B$1:$B$1000,0),MATCH(data!Z$1,Haver_M!$B$1:$ZN$1,0))),INDEX(Haver_M!$B$1:$ZN$1000,MATCH(data!$A204,Haver_M!$B$1:$B$1000,0),MATCH(data!Z$1,Haver_M!$B$1:$ZN$1,0)),"na")</f>
        <v>113.2784</v>
      </c>
      <c r="AA204">
        <f>IF(ISNUMBER(INDEX(Haver_M!$B$1:$ZN$1000,MATCH(data!$A204,Haver_M!$B$1:$B$1000,0),MATCH(data!AA$1,Haver_M!$B$1:$ZN$1,0))),INDEX(Haver_M!$B$1:$ZN$1000,MATCH(data!$A204,Haver_M!$B$1:$B$1000,0),MATCH(data!AA$1,Haver_M!$B$1:$ZN$1,0)),"na")</f>
        <v>104.8069</v>
      </c>
      <c r="AB204">
        <f>IF(ISNUMBER(INDEX(Haver_M!$B$1:$ZN$1000,MATCH(data!$A204,Haver_M!$B$1:$B$1000,0),MATCH(data!AB$1,Haver_M!$B$1:$ZN$1,0))),INDEX(Haver_M!$B$1:$ZN$1000,MATCH(data!$A204,Haver_M!$B$1:$B$1000,0),MATCH(data!AB$1,Haver_M!$B$1:$ZN$1,0)),"na")</f>
        <v>32743.599999999999</v>
      </c>
      <c r="AC204">
        <f>IF(ISNUMBER(INDEX(Haver_M!$B$1:$ZN$1000,MATCH(data!$A204,Haver_M!$B$1:$B$1000,0),MATCH(data!AC$1,Haver_M!$B$1:$ZN$1,0))),INDEX(Haver_M!$B$1:$ZN$1000,MATCH(data!$A204,Haver_M!$B$1:$B$1000,0),MATCH(data!AC$1,Haver_M!$B$1:$ZN$1,0)),"na")</f>
        <v>32957</v>
      </c>
      <c r="AD204">
        <f>IF(ISNUMBER(INDEX(Haver_M!$B$1:$ZN$1000,MATCH(data!$A204,Haver_M!$B$1:$B$1000,0),MATCH(data!AD$1,Haver_M!$B$1:$ZN$1,0))),INDEX(Haver_M!$B$1:$ZN$1000,MATCH(data!$A204,Haver_M!$B$1:$B$1000,0),MATCH(data!AD$1,Haver_M!$B$1:$ZN$1,0)),"na")</f>
        <v>100.23</v>
      </c>
      <c r="AE204">
        <f>IF(ISNUMBER(INDEX(Haver_M!$B$1:$ZN$1000,MATCH(data!$A204,Haver_M!$B$1:$B$1000,0),MATCH(data!AE$1,Haver_M!$B$1:$ZN$1,0))),INDEX(Haver_M!$B$1:$ZN$1000,MATCH(data!$A204,Haver_M!$B$1:$B$1000,0),MATCH(data!AE$1,Haver_M!$B$1:$ZN$1,0)),"na")</f>
        <v>34.700000000000003</v>
      </c>
      <c r="AF204">
        <f>IF(ISNUMBER(INDEX(Haver_M!$B$1:$ZN$1000,MATCH(data!$A204,Haver_M!$B$1:$B$1000,0),MATCH(data!AF$1,Haver_M!$B$1:$ZN$1,0))),INDEX(Haver_M!$B$1:$ZN$1000,MATCH(data!$A204,Haver_M!$B$1:$B$1000,0),MATCH(data!AF$1,Haver_M!$B$1:$ZN$1,0)),"na")</f>
        <v>99.04</v>
      </c>
      <c r="AG204">
        <f>IF(ISNUMBER(INDEX(Haver_M!$B$1:$ZN$1000,MATCH(data!$A204,Haver_M!$B$1:$B$1000,0),MATCH(data!AG$1,Haver_M!$B$1:$ZN$1,0))),INDEX(Haver_M!$B$1:$ZN$1000,MATCH(data!$A204,Haver_M!$B$1:$B$1000,0),MATCH(data!AG$1,Haver_M!$B$1:$ZN$1,0)),"na")</f>
        <v>51.136200000000002</v>
      </c>
      <c r="AH204">
        <f>IF(ISNUMBER(INDEX(Haver_M!$B$1:$ZN$1000,MATCH(data!$A204,Haver_M!$B$1:$B$1000,0),MATCH(data!AH$1,Haver_M!$B$1:$ZN$1,0))),INDEX(Haver_M!$B$1:$ZN$1000,MATCH(data!$A204,Haver_M!$B$1:$B$1000,0),MATCH(data!AH$1,Haver_M!$B$1:$ZN$1,0)),"na")</f>
        <v>50.943800000000003</v>
      </c>
      <c r="AI204">
        <f>IF(ISNUMBER(INDEX(Haver_M!$B$1:$ZN$1000,MATCH(data!$A204,Haver_M!$B$1:$B$1000,0),MATCH(data!AI$1,Haver_M!$B$1:$ZN$1,0))),INDEX(Haver_M!$B$1:$ZN$1000,MATCH(data!$A204,Haver_M!$B$1:$B$1000,0),MATCH(data!AI$1,Haver_M!$B$1:$ZN$1,0)),"na")</f>
        <v>52.388199999999998</v>
      </c>
      <c r="AJ204">
        <f>IF(ISNUMBER(INDEX(Haver_M!$B$1:$ZN$1000,MATCH(data!$A204,Haver_M!$B$1:$B$1000,0),MATCH(data!AJ$1,Haver_M!$B$1:$ZN$1,0))),INDEX(Haver_M!$B$1:$ZN$1000,MATCH(data!$A204,Haver_M!$B$1:$B$1000,0),MATCH(data!AJ$1,Haver_M!$B$1:$ZN$1,0)),"na")</f>
        <v>51.666899999999998</v>
      </c>
      <c r="AK204">
        <f>IF(ISNUMBER(INDEX(Haver_M!$B$1:$ZN$1000,MATCH(data!$A204,Haver_M!$B$1:$B$1000,0),MATCH(data!AK$1,Haver_M!$B$1:$ZN$1,0))),INDEX(Haver_M!$B$1:$ZN$1000,MATCH(data!$A204,Haver_M!$B$1:$B$1000,0),MATCH(data!AK$1,Haver_M!$B$1:$ZN$1,0)),"na")</f>
        <v>50.866700000000002</v>
      </c>
      <c r="AL204">
        <f>IF(ISNUMBER(INDEX(Haver_M!$B$1:$ZN$1000,MATCH(data!$A204,Haver_M!$B$1:$B$1000,0),MATCH(data!AL$1,Haver_M!$B$1:$ZN$1,0))),INDEX(Haver_M!$B$1:$ZN$1000,MATCH(data!$A204,Haver_M!$B$1:$B$1000,0),MATCH(data!AL$1,Haver_M!$B$1:$ZN$1,0)),"na")</f>
        <v>49.804600000000001</v>
      </c>
      <c r="AM204">
        <f>IF(ISNUMBER(INDEX(Haver_M!$B$1:$ZN$1000,MATCH(data!$A204,Haver_M!$B$1:$B$1000,0),MATCH(data!AM$1,Haver_M!$B$1:$ZN$1,0))),INDEX(Haver_M!$B$1:$ZN$1000,MATCH(data!$A204,Haver_M!$B$1:$B$1000,0),MATCH(data!AM$1,Haver_M!$B$1:$ZN$1,0)),"na")</f>
        <v>61.868899999999996</v>
      </c>
      <c r="AN204">
        <f>IF(ISNUMBER(INDEX(Haver_M!$B$1:$ZN$1000,MATCH(data!$A204,Haver_M!$B$1:$B$1000,0),MATCH(data!AN$1,Haver_M!$B$1:$ZN$1,0))),INDEX(Haver_M!$B$1:$ZN$1000,MATCH(data!$A204,Haver_M!$B$1:$B$1000,0),MATCH(data!AN$1,Haver_M!$B$1:$ZN$1,0)),"na")</f>
        <v>49.017600000000002</v>
      </c>
      <c r="AO204">
        <f>IF(ISNUMBER(INDEX(Haver_M!$B$1:$ZN$1000,MATCH(data!$A204,Haver_M!$B$1:$B$1000,0),MATCH(data!AO$1,Haver_M!$B$1:$ZN$1,0))),INDEX(Haver_M!$B$1:$ZN$1000,MATCH(data!$A204,Haver_M!$B$1:$B$1000,0),MATCH(data!AO$1,Haver_M!$B$1:$ZN$1,0)),"na")</f>
        <v>49.804600000000001</v>
      </c>
      <c r="AP204">
        <f>IF(ISNUMBER(INDEX(Haver_M!$B$1:$ZN$1000,MATCH(data!$A204,Haver_M!$B$1:$B$1000,0),MATCH(data!AP$1,Haver_M!$B$1:$ZN$1,0))),INDEX(Haver_M!$B$1:$ZN$1000,MATCH(data!$A204,Haver_M!$B$1:$B$1000,0),MATCH(data!AP$1,Haver_M!$B$1:$ZN$1,0)),"na")</f>
        <v>51.467300000000002</v>
      </c>
      <c r="AQ204">
        <f>IF(ISNUMBER(INDEX(Haver_M!$B$1:$ZN$1000,MATCH(data!$A204,Haver_M!$B$1:$B$1000,0),MATCH(data!AQ$1,Haver_M!$B$1:$ZN$1,0))),INDEX(Haver_M!$B$1:$ZN$1000,MATCH(data!$A204,Haver_M!$B$1:$B$1000,0),MATCH(data!AQ$1,Haver_M!$B$1:$ZN$1,0)),"na")</f>
        <v>52.844099999999997</v>
      </c>
      <c r="AR204">
        <f>IF(ISNUMBER(INDEX(Haver_M!$B$1:$ZN$1000,MATCH(data!$A204,Haver_M!$B$1:$B$1000,0),MATCH(data!AR$1,Haver_M!$B$1:$ZN$1,0))),INDEX(Haver_M!$B$1:$ZN$1000,MATCH(data!$A204,Haver_M!$B$1:$B$1000,0),MATCH(data!AR$1,Haver_M!$B$1:$ZN$1,0)),"na")</f>
        <v>49.080100000000002</v>
      </c>
      <c r="AS204">
        <f>IF(ISNUMBER(INDEX(Haver_M!$B$1:$ZN$1000,MATCH(data!$A204,Haver_M!$B$1:$B$1000,0),MATCH(data!AS$1,Haver_M!$B$1:$ZN$1,0))),INDEX(Haver_M!$B$1:$ZN$1000,MATCH(data!$A204,Haver_M!$B$1:$B$1000,0),MATCH(data!AS$1,Haver_M!$B$1:$ZN$1,0)),"na")</f>
        <v>45807.37</v>
      </c>
      <c r="AT204">
        <f>IF(ISNUMBER(INDEX(Haver_M!$B$1:$ZN$1000,MATCH(data!$A204,Haver_M!$B$1:$B$1000,0),MATCH(data!AT$1,Haver_M!$B$1:$ZN$1,0))),INDEX(Haver_M!$B$1:$ZN$1000,MATCH(data!$A204,Haver_M!$B$1:$B$1000,0),MATCH(data!AT$1,Haver_M!$B$1:$ZN$1,0)),"na")</f>
        <v>111.15</v>
      </c>
      <c r="AU204">
        <f>IF(ISNUMBER(INDEX(Haver_M!$B$1:$ZN$1000,MATCH(data!$A204,Haver_M!$B$1:$B$1000,0),MATCH(data!AU$1,Haver_M!$B$1:$ZN$1,0))),INDEX(Haver_M!$B$1:$ZN$1000,MATCH(data!$A204,Haver_M!$B$1:$B$1000,0),MATCH(data!AU$1,Haver_M!$B$1:$ZN$1,0)),"na")</f>
        <v>109.48898</v>
      </c>
      <c r="AV204">
        <f>IF(ISNUMBER(INDEX(Haver_M!$B$1:$ZN$1000,MATCH(data!$A204,Haver_M!$B$1:$B$1000,0),MATCH(data!AV$1,Haver_M!$B$1:$ZN$1,0))),INDEX(Haver_M!$B$1:$ZN$1000,MATCH(data!$A204,Haver_M!$B$1:$B$1000,0),MATCH(data!AV$1,Haver_M!$B$1:$ZN$1,0)),"na")</f>
        <v>110.6</v>
      </c>
      <c r="AW204">
        <f>IF(ISNUMBER(INDEX(Haver_M!$B$1:$ZN$1000,MATCH(data!$A204,Haver_M!$B$1:$B$1000,0),MATCH(data!AW$1,Haver_M!$B$1:$ZN$1,0))),INDEX(Haver_M!$B$1:$ZN$1000,MATCH(data!$A204,Haver_M!$B$1:$B$1000,0),MATCH(data!AW$1,Haver_M!$B$1:$ZN$1,0)),"na")</f>
        <v>1683854.7696892109</v>
      </c>
      <c r="AX204">
        <f>IF(ISNUMBER(INDEX(Haver_M!$B$1:$ZN$1000,MATCH(data!$A204,Haver_M!$B$1:$B$1000,0),MATCH(data!AX$1,Haver_M!$B$1:$ZN$1,0))),INDEX(Haver_M!$B$1:$ZN$1000,MATCH(data!$A204,Haver_M!$B$1:$B$1000,0),MATCH(data!AX$1,Haver_M!$B$1:$ZN$1,0)),"na")</f>
        <v>2078</v>
      </c>
      <c r="AY204">
        <f>IF(ISNUMBER(INDEX(Haver_M!$B$1:$ZN$1000,MATCH(data!$A204,Haver_M!$B$1:$B$1000,0),MATCH(data!AY$1,Haver_M!$B$1:$ZN$1,0))),INDEX(Haver_M!$B$1:$ZN$1000,MATCH(data!$A204,Haver_M!$B$1:$B$1000,0),MATCH(data!AY$1,Haver_M!$B$1:$ZN$1,0)),"na")</f>
        <v>1273</v>
      </c>
      <c r="AZ204">
        <f>IF(ISNUMBER(INDEX(Haver_M!$B$1:$ZN$1000,MATCH(data!$A204,Haver_M!$B$1:$B$1000,0),MATCH(data!AZ$1,Haver_M!$B$1:$ZN$1,0))),INDEX(Haver_M!$B$1:$ZN$1000,MATCH(data!$A204,Haver_M!$B$1:$B$1000,0),MATCH(data!AZ$1,Haver_M!$B$1:$ZN$1,0)),"na")</f>
        <v>50.1</v>
      </c>
      <c r="BA204">
        <f>IF(ISNUMBER(INDEX(Haver_M!$B$1:$ZN$1000,MATCH(data!$A204,Haver_M!$B$1:$B$1000,0),MATCH(data!BA$1,Haver_M!$B$1:$ZN$1,0))),INDEX(Haver_M!$B$1:$ZN$1000,MATCH(data!$A204,Haver_M!$B$1:$B$1000,0),MATCH(data!BA$1,Haver_M!$B$1:$ZN$1,0)),"na")</f>
        <v>75.492996194601261</v>
      </c>
      <c r="BB204" t="str">
        <f>IF(ISNUMBER(INDEX(Haver_M!$B$1:$ZN$1000,MATCH(data!$A204,Haver_M!$B$1:$B$1000,0),MATCH(data!BB$1,Haver_M!$B$1:$ZN$1,0))),INDEX(Haver_M!$B$1:$ZN$1000,MATCH(data!$A204,Haver_M!$B$1:$B$1000,0),MATCH(data!BB$1,Haver_M!$B$1:$ZN$1,0)),"")</f>
        <v/>
      </c>
    </row>
    <row r="205" spans="1:54" x14ac:dyDescent="0.25">
      <c r="A205" s="2">
        <v>42735</v>
      </c>
      <c r="B205">
        <f>IF(ISNUMBER(INDEX(Haver_Q!$B$1:$BD$1000,MATCH(data!$A205,Haver_Q!$B$1:$B$1000,0),MATCH(data!B$1,Haver_Q!$B$1:$BD$1,0))),100*INDEX(Haver_Q!$B$1:$BD$1000,MATCH(data!$A205,Haver_Q!$B$1:$B$1000,0),MATCH(data!B$1,Haver_Q!$B$1:$BD$1,0)),"na")</f>
        <v>4.5796313268360533</v>
      </c>
      <c r="C205">
        <f>IF(ISNUMBER(INDEX(Haver_Q!$B$1:$BD$1000,MATCH(data!$A205,Haver_Q!$B$1:$B$1000,0),MATCH(data!C$1,Haver_Q!$B$1:$BD$1,0))),100*INDEX(Haver_Q!$B$1:$BD$1000,MATCH(data!$A205,Haver_Q!$B$1:$B$1000,0),MATCH(data!C$1,Haver_Q!$B$1:$BD$1,0)),"na")</f>
        <v>0.64723114187386077</v>
      </c>
      <c r="D205">
        <f>IF(ISNUMBER(INDEX(Haver_Q!$B$1:$BD$1000,MATCH(data!$A205,Haver_Q!$B$1:$B$1000,0),MATCH(data!D$1,Haver_Q!$B$1:$BD$1,0))),100*INDEX(Haver_Q!$B$1:$BD$1000,MATCH(data!$A205,Haver_Q!$B$1:$B$1000,0),MATCH(data!D$1,Haver_Q!$B$1:$BD$1,0)),"na")</f>
        <v>5.1646607960515123</v>
      </c>
      <c r="E205">
        <f>IF(ISNUMBER(INDEX(Haver_Q!$B$1:$BD$1000,MATCH(data!$A205,Haver_Q!$B$1:$B$1000,0),MATCH(data!E$1,Haver_Q!$B$1:$BD$1,0))),100*INDEX(Haver_Q!$B$1:$BD$1000,MATCH(data!$A205,Haver_Q!$B$1:$B$1000,0),MATCH(data!E$1,Haver_Q!$B$1:$BD$1,0)),"na")</f>
        <v>6.1923724943913072</v>
      </c>
      <c r="F205">
        <f>IF(ISNUMBER(INDEX(Haver_Q!$B$1:$BD$1000,MATCH(data!$A205,Haver_Q!$B$1:$B$1000,0),MATCH(data!F$1,Haver_Q!$B$1:$BD$1,0))),100*INDEX(Haver_Q!$B$1:$BD$1000,MATCH(data!$A205,Haver_Q!$B$1:$B$1000,0),MATCH(data!F$1,Haver_Q!$B$1:$BD$1,0)),"na")</f>
        <v>1.4796622600111498</v>
      </c>
      <c r="G205">
        <f>IF(ISNUMBER(INDEX(Haver_Q!$B$1:$BD$1000,MATCH(data!$A205,Haver_Q!$B$1:$B$1000,0),MATCH(data!G$1,Haver_Q!$B$1:$BD$1,0))),100*INDEX(Haver_Q!$B$1:$BD$1000,MATCH(data!$A205,Haver_Q!$B$1:$B$1000,0),MATCH(data!G$1,Haver_Q!$B$1:$BD$1,0)),"na")</f>
        <v>2.2153452730157452</v>
      </c>
      <c r="H205">
        <f>IF(ISNUMBER(INDEX(Haver_Q!$B$1:$BD$1000,MATCH(data!$A205,Haver_Q!$B$1:$B$1000,0),MATCH(data!H$1,Haver_Q!$B$1:$BD$1,0))),100*INDEX(Haver_Q!$B$1:$BD$1000,MATCH(data!$A205,Haver_Q!$B$1:$B$1000,0),MATCH(data!H$1,Haver_Q!$B$1:$BD$1,0)),"na")</f>
        <v>417.65519058043043</v>
      </c>
      <c r="I205" s="3">
        <f>IF(ISNUMBER(Bloomberg_m!C221),Bloomberg_m!C221,"na")</f>
        <v>1050</v>
      </c>
      <c r="J205" s="3">
        <f>IF(ISNUMBER(Bloomberg_m!D221),Bloomberg_m!D221,"na")</f>
        <v>1471.45</v>
      </c>
      <c r="K205" s="3">
        <f>IF(ISNUMBER(Bloomberg_m!E221),Bloomberg_m!E221,"na")</f>
        <v>838.53</v>
      </c>
      <c r="L205" s="3">
        <f>IF(ISNUMBER(Bloomberg_m!L221),Bloomberg_m!L221,"na")</f>
        <v>52.01</v>
      </c>
      <c r="M205">
        <f>IF(ISNUMBER(INDEX(Haver_M!$B$1:$ZN$1000,MATCH(data!$A205,Haver_M!$B$1:$B$1000,0),MATCH(data!M$1,Haver_M!$B$1:$ZN$1,0))),INDEX(Haver_M!$B$1:$ZN$1000,MATCH(data!$A205,Haver_M!$B$1:$B$1000,0),MATCH(data!M$1,Haver_M!$B$1:$ZN$1,0)),"na")</f>
        <v>5.75</v>
      </c>
      <c r="N205">
        <f>IF(ISNUMBER(INDEX(Haver_M!$B$1:$ZN$1000,MATCH(data!$A205,Haver_M!$B$1:$B$1000,0),MATCH(data!N$1,Haver_M!$B$1:$ZN$1,0))),INDEX(Haver_M!$B$1:$ZN$1000,MATCH(data!$A205,Haver_M!$B$1:$B$1000,0),MATCH(data!N$1,Haver_M!$B$1:$ZN$1,0)),"na")</f>
        <v>7.3367000000000004</v>
      </c>
      <c r="O205">
        <f>IF(ISNUMBER(INDEX(Haver_M!$B$1:$ZN$1000,MATCH(data!$A205,Haver_M!$B$1:$B$1000,0),MATCH(data!O$1,Haver_M!$B$1:$ZN$1,0))),INDEX(Haver_M!$B$1:$ZN$1000,MATCH(data!$A205,Haver_M!$B$1:$B$1000,0),MATCH(data!O$1,Haver_M!$B$1:$ZN$1,0)),"na")</f>
        <v>74.355140000000006</v>
      </c>
      <c r="P205">
        <f>IF(ISNUMBER(INDEX(Haver_M!$B$1:$ZN$1000,MATCH(data!$A205,Haver_M!$B$1:$B$1000,0),MATCH(data!P$1,Haver_M!$B$1:$ZN$1,0))),INDEX(Haver_M!$B$1:$ZN$1000,MATCH(data!$A205,Haver_M!$B$1:$B$1000,0),MATCH(data!P$1,Haver_M!$B$1:$ZN$1,0)),"na")</f>
        <v>91.651799999999994</v>
      </c>
      <c r="Q205">
        <f>IF(ISNUMBER(INDEX(Haver_M!$B$1:$ZN$1000,MATCH(data!$A205,Haver_M!$B$1:$B$1000,0),MATCH(data!Q$1,Haver_M!$B$1:$ZN$1,0))),INDEX(Haver_M!$B$1:$ZN$1000,MATCH(data!$A205,Haver_M!$B$1:$B$1000,0),MATCH(data!Q$1,Haver_M!$B$1:$ZN$1,0)),"na")</f>
        <v>93.486800000000002</v>
      </c>
      <c r="R205">
        <f>IF(ISNUMBER(INDEX(Haver_M!$B$1:$ZN$1000,MATCH(data!$A205,Haver_M!$B$1:$B$1000,0),MATCH(data!R$1,Haver_M!$B$1:$ZN$1,0))),INDEX(Haver_M!$B$1:$ZN$1000,MATCH(data!$A205,Haver_M!$B$1:$B$1000,0),MATCH(data!R$1,Haver_M!$B$1:$ZN$1,0)),"na")</f>
        <v>104.20489999999999</v>
      </c>
      <c r="S205">
        <f>IF(ISNUMBER(INDEX(Haver_M!$B$1:$ZN$1000,MATCH(data!$A205,Haver_M!$B$1:$B$1000,0),MATCH(data!S$1,Haver_M!$B$1:$ZN$1,0))),INDEX(Haver_M!$B$1:$ZN$1000,MATCH(data!$A205,Haver_M!$B$1:$B$1000,0),MATCH(data!S$1,Haver_M!$B$1:$ZN$1,0)),"na")</f>
        <v>85.960400000000007</v>
      </c>
      <c r="T205">
        <f>IF(ISNUMBER(INDEX(Haver_M!$B$1:$ZN$1000,MATCH(data!$A205,Haver_M!$B$1:$B$1000,0),MATCH(data!T$1,Haver_M!$B$1:$ZN$1,0))),INDEX(Haver_M!$B$1:$ZN$1000,MATCH(data!$A205,Haver_M!$B$1:$B$1000,0),MATCH(data!T$1,Haver_M!$B$1:$ZN$1,0)),"na")</f>
        <v>110.5843</v>
      </c>
      <c r="U205">
        <f>IF(ISNUMBER(INDEX(Haver_M!$B$1:$ZN$1000,MATCH(data!$A205,Haver_M!$B$1:$B$1000,0),MATCH(data!U$1,Haver_M!$B$1:$ZN$1,0))),INDEX(Haver_M!$B$1:$ZN$1000,MATCH(data!$A205,Haver_M!$B$1:$B$1000,0),MATCH(data!U$1,Haver_M!$B$1:$ZN$1,0)),"na")</f>
        <v>106.01739999999999</v>
      </c>
      <c r="V205">
        <f>IF(ISNUMBER(INDEX(Haver_M!$B$1:$ZN$1000,MATCH(data!$A205,Haver_M!$B$1:$B$1000,0),MATCH(data!V$1,Haver_M!$B$1:$ZN$1,0))),INDEX(Haver_M!$B$1:$ZN$1000,MATCH(data!$A205,Haver_M!$B$1:$B$1000,0),MATCH(data!V$1,Haver_M!$B$1:$ZN$1,0)),"na")</f>
        <v>111.1237</v>
      </c>
      <c r="W205">
        <f>IF(ISNUMBER(INDEX(Haver_M!$B$1:$ZN$1000,MATCH(data!$A205,Haver_M!$B$1:$B$1000,0),MATCH(data!W$1,Haver_M!$B$1:$ZN$1,0))),INDEX(Haver_M!$B$1:$ZN$1000,MATCH(data!$A205,Haver_M!$B$1:$B$1000,0),MATCH(data!W$1,Haver_M!$B$1:$ZN$1,0)),"na")</f>
        <v>3.7</v>
      </c>
      <c r="X205">
        <f>IF(ISNUMBER(INDEX(Haver_M!$B$1:$ZN$1000,MATCH(data!$A205,Haver_M!$B$1:$B$1000,0),MATCH(data!X$1,Haver_M!$B$1:$ZN$1,0))),INDEX(Haver_M!$B$1:$ZN$1000,MATCH(data!$A205,Haver_M!$B$1:$B$1000,0),MATCH(data!X$1,Haver_M!$B$1:$ZN$1,0)),"na")</f>
        <v>104.28</v>
      </c>
      <c r="Y205">
        <f>IF(ISNUMBER(INDEX(Haver_M!$B$1:$ZN$1000,MATCH(data!$A205,Haver_M!$B$1:$B$1000,0),MATCH(data!Y$1,Haver_M!$B$1:$ZN$1,0))),INDEX(Haver_M!$B$1:$ZN$1000,MATCH(data!$A205,Haver_M!$B$1:$B$1000,0),MATCH(data!Y$1,Haver_M!$B$1:$ZN$1,0)),"na")</f>
        <v>99.36</v>
      </c>
      <c r="Z205">
        <f>IF(ISNUMBER(INDEX(Haver_M!$B$1:$ZN$1000,MATCH(data!$A205,Haver_M!$B$1:$B$1000,0),MATCH(data!Z$1,Haver_M!$B$1:$ZN$1,0))),INDEX(Haver_M!$B$1:$ZN$1000,MATCH(data!$A205,Haver_M!$B$1:$B$1000,0),MATCH(data!Z$1,Haver_M!$B$1:$ZN$1,0)),"na")</f>
        <v>113.2299</v>
      </c>
      <c r="AA205">
        <f>IF(ISNUMBER(INDEX(Haver_M!$B$1:$ZN$1000,MATCH(data!$A205,Haver_M!$B$1:$B$1000,0),MATCH(data!AA$1,Haver_M!$B$1:$ZN$1,0))),INDEX(Haver_M!$B$1:$ZN$1000,MATCH(data!$A205,Haver_M!$B$1:$B$1000,0),MATCH(data!AA$1,Haver_M!$B$1:$ZN$1,0)),"na")</f>
        <v>107.33410000000001</v>
      </c>
      <c r="AB205">
        <f>IF(ISNUMBER(INDEX(Haver_M!$B$1:$ZN$1000,MATCH(data!$A205,Haver_M!$B$1:$B$1000,0),MATCH(data!AB$1,Haver_M!$B$1:$ZN$1,0))),INDEX(Haver_M!$B$1:$ZN$1000,MATCH(data!$A205,Haver_M!$B$1:$B$1000,0),MATCH(data!AB$1,Haver_M!$B$1:$ZN$1,0)),"na")</f>
        <v>32885.300000000003</v>
      </c>
      <c r="AC205">
        <f>IF(ISNUMBER(INDEX(Haver_M!$B$1:$ZN$1000,MATCH(data!$A205,Haver_M!$B$1:$B$1000,0),MATCH(data!AC$1,Haver_M!$B$1:$ZN$1,0))),INDEX(Haver_M!$B$1:$ZN$1000,MATCH(data!$A205,Haver_M!$B$1:$B$1000,0),MATCH(data!AC$1,Haver_M!$B$1:$ZN$1,0)),"na")</f>
        <v>33798.6</v>
      </c>
      <c r="AD205">
        <f>IF(ISNUMBER(INDEX(Haver_M!$B$1:$ZN$1000,MATCH(data!$A205,Haver_M!$B$1:$B$1000,0),MATCH(data!AD$1,Haver_M!$B$1:$ZN$1,0))),INDEX(Haver_M!$B$1:$ZN$1000,MATCH(data!$A205,Haver_M!$B$1:$B$1000,0),MATCH(data!AD$1,Haver_M!$B$1:$ZN$1,0)),"na")</f>
        <v>100.28</v>
      </c>
      <c r="AE205">
        <f>IF(ISNUMBER(INDEX(Haver_M!$B$1:$ZN$1000,MATCH(data!$A205,Haver_M!$B$1:$B$1000,0),MATCH(data!AE$1,Haver_M!$B$1:$ZN$1,0))),INDEX(Haver_M!$B$1:$ZN$1000,MATCH(data!$A205,Haver_M!$B$1:$B$1000,0),MATCH(data!AE$1,Haver_M!$B$1:$ZN$1,0)),"na")</f>
        <v>35.200000000000003</v>
      </c>
      <c r="AF205">
        <f>IF(ISNUMBER(INDEX(Haver_M!$B$1:$ZN$1000,MATCH(data!$A205,Haver_M!$B$1:$B$1000,0),MATCH(data!AF$1,Haver_M!$B$1:$ZN$1,0))),INDEX(Haver_M!$B$1:$ZN$1000,MATCH(data!$A205,Haver_M!$B$1:$B$1000,0),MATCH(data!AF$1,Haver_M!$B$1:$ZN$1,0)),"na")</f>
        <v>98.87</v>
      </c>
      <c r="AG205">
        <f>IF(ISNUMBER(INDEX(Haver_M!$B$1:$ZN$1000,MATCH(data!$A205,Haver_M!$B$1:$B$1000,0),MATCH(data!AG$1,Haver_M!$B$1:$ZN$1,0))),INDEX(Haver_M!$B$1:$ZN$1000,MATCH(data!$A205,Haver_M!$B$1:$B$1000,0),MATCH(data!AG$1,Haver_M!$B$1:$ZN$1,0)),"na")</f>
        <v>50.179299999999998</v>
      </c>
      <c r="AH205">
        <f>IF(ISNUMBER(INDEX(Haver_M!$B$1:$ZN$1000,MATCH(data!$A205,Haver_M!$B$1:$B$1000,0),MATCH(data!AH$1,Haver_M!$B$1:$ZN$1,0))),INDEX(Haver_M!$B$1:$ZN$1000,MATCH(data!$A205,Haver_M!$B$1:$B$1000,0),MATCH(data!AH$1,Haver_M!$B$1:$ZN$1,0)),"na")</f>
        <v>49.506700000000002</v>
      </c>
      <c r="AI205">
        <f>IF(ISNUMBER(INDEX(Haver_M!$B$1:$ZN$1000,MATCH(data!$A205,Haver_M!$B$1:$B$1000,0),MATCH(data!AI$1,Haver_M!$B$1:$ZN$1,0))),INDEX(Haver_M!$B$1:$ZN$1000,MATCH(data!$A205,Haver_M!$B$1:$B$1000,0),MATCH(data!AI$1,Haver_M!$B$1:$ZN$1,0)),"na")</f>
        <v>50.373800000000003</v>
      </c>
      <c r="AJ205">
        <f>IF(ISNUMBER(INDEX(Haver_M!$B$1:$ZN$1000,MATCH(data!$A205,Haver_M!$B$1:$B$1000,0),MATCH(data!AJ$1,Haver_M!$B$1:$ZN$1,0))),INDEX(Haver_M!$B$1:$ZN$1000,MATCH(data!$A205,Haver_M!$B$1:$B$1000,0),MATCH(data!AJ$1,Haver_M!$B$1:$ZN$1,0)),"na")</f>
        <v>51.546700000000001</v>
      </c>
      <c r="AK205">
        <f>IF(ISNUMBER(INDEX(Haver_M!$B$1:$ZN$1000,MATCH(data!$A205,Haver_M!$B$1:$B$1000,0),MATCH(data!AK$1,Haver_M!$B$1:$ZN$1,0))),INDEX(Haver_M!$B$1:$ZN$1000,MATCH(data!$A205,Haver_M!$B$1:$B$1000,0),MATCH(data!AK$1,Haver_M!$B$1:$ZN$1,0)),"na")</f>
        <v>50.874200000000002</v>
      </c>
      <c r="AL205">
        <f>IF(ISNUMBER(INDEX(Haver_M!$B$1:$ZN$1000,MATCH(data!$A205,Haver_M!$B$1:$B$1000,0),MATCH(data!AL$1,Haver_M!$B$1:$ZN$1,0))),INDEX(Haver_M!$B$1:$ZN$1000,MATCH(data!$A205,Haver_M!$B$1:$B$1000,0),MATCH(data!AL$1,Haver_M!$B$1:$ZN$1,0)),"na")</f>
        <v>50.122799999999998</v>
      </c>
      <c r="AM205">
        <f>IF(ISNUMBER(INDEX(Haver_M!$B$1:$ZN$1000,MATCH(data!$A205,Haver_M!$B$1:$B$1000,0),MATCH(data!AM$1,Haver_M!$B$1:$ZN$1,0))),INDEX(Haver_M!$B$1:$ZN$1000,MATCH(data!$A205,Haver_M!$B$1:$B$1000,0),MATCH(data!AM$1,Haver_M!$B$1:$ZN$1,0)),"na")</f>
        <v>62.671199999999999</v>
      </c>
      <c r="AN205">
        <f>IF(ISNUMBER(INDEX(Haver_M!$B$1:$ZN$1000,MATCH(data!$A205,Haver_M!$B$1:$B$1000,0),MATCH(data!AN$1,Haver_M!$B$1:$ZN$1,0))),INDEX(Haver_M!$B$1:$ZN$1000,MATCH(data!$A205,Haver_M!$B$1:$B$1000,0),MATCH(data!AN$1,Haver_M!$B$1:$ZN$1,0)),"na")</f>
        <v>50.417000000000002</v>
      </c>
      <c r="AO205">
        <f>IF(ISNUMBER(INDEX(Haver_M!$B$1:$ZN$1000,MATCH(data!$A205,Haver_M!$B$1:$B$1000,0),MATCH(data!AO$1,Haver_M!$B$1:$ZN$1,0))),INDEX(Haver_M!$B$1:$ZN$1000,MATCH(data!$A205,Haver_M!$B$1:$B$1000,0),MATCH(data!AO$1,Haver_M!$B$1:$ZN$1,0)),"na")</f>
        <v>50.122799999999998</v>
      </c>
      <c r="AP205">
        <f>IF(ISNUMBER(INDEX(Haver_M!$B$1:$ZN$1000,MATCH(data!$A205,Haver_M!$B$1:$B$1000,0),MATCH(data!AP$1,Haver_M!$B$1:$ZN$1,0))),INDEX(Haver_M!$B$1:$ZN$1000,MATCH(data!$A205,Haver_M!$B$1:$B$1000,0),MATCH(data!AP$1,Haver_M!$B$1:$ZN$1,0)),"na")</f>
        <v>51.771299999999997</v>
      </c>
      <c r="AQ205">
        <f>IF(ISNUMBER(INDEX(Haver_M!$B$1:$ZN$1000,MATCH(data!$A205,Haver_M!$B$1:$B$1000,0),MATCH(data!AQ$1,Haver_M!$B$1:$ZN$1,0))),INDEX(Haver_M!$B$1:$ZN$1000,MATCH(data!$A205,Haver_M!$B$1:$B$1000,0),MATCH(data!AQ$1,Haver_M!$B$1:$ZN$1,0)),"na")</f>
        <v>53.516599999999997</v>
      </c>
      <c r="AR205">
        <f>IF(ISNUMBER(INDEX(Haver_M!$B$1:$ZN$1000,MATCH(data!$A205,Haver_M!$B$1:$B$1000,0),MATCH(data!AR$1,Haver_M!$B$1:$ZN$1,0))),INDEX(Haver_M!$B$1:$ZN$1000,MATCH(data!$A205,Haver_M!$B$1:$B$1000,0),MATCH(data!AR$1,Haver_M!$B$1:$ZN$1,0)),"na")</f>
        <v>48.515900000000002</v>
      </c>
      <c r="AS205">
        <f>IF(ISNUMBER(INDEX(Haver_M!$B$1:$ZN$1000,MATCH(data!$A205,Haver_M!$B$1:$B$1000,0),MATCH(data!AS$1,Haver_M!$B$1:$ZN$1,0))),INDEX(Haver_M!$B$1:$ZN$1000,MATCH(data!$A205,Haver_M!$B$1:$B$1000,0),MATCH(data!AS$1,Haver_M!$B$1:$ZN$1,0)),"na")</f>
        <v>45468.73</v>
      </c>
      <c r="AT205">
        <f>IF(ISNUMBER(INDEX(Haver_M!$B$1:$ZN$1000,MATCH(data!$A205,Haver_M!$B$1:$B$1000,0),MATCH(data!AT$1,Haver_M!$B$1:$ZN$1,0))),INDEX(Haver_M!$B$1:$ZN$1000,MATCH(data!$A205,Haver_M!$B$1:$B$1000,0),MATCH(data!AT$1,Haver_M!$B$1:$ZN$1,0)),"na")</f>
        <v>113.803</v>
      </c>
      <c r="AU205">
        <f>IF(ISNUMBER(INDEX(Haver_M!$B$1:$ZN$1000,MATCH(data!$A205,Haver_M!$B$1:$B$1000,0),MATCH(data!AU$1,Haver_M!$B$1:$ZN$1,0))),INDEX(Haver_M!$B$1:$ZN$1000,MATCH(data!$A205,Haver_M!$B$1:$B$1000,0),MATCH(data!AU$1,Haver_M!$B$1:$ZN$1,0)),"na")</f>
        <v>110.175112</v>
      </c>
      <c r="AV205">
        <f>IF(ISNUMBER(INDEX(Haver_M!$B$1:$ZN$1000,MATCH(data!$A205,Haver_M!$B$1:$B$1000,0),MATCH(data!AV$1,Haver_M!$B$1:$ZN$1,0))),INDEX(Haver_M!$B$1:$ZN$1000,MATCH(data!$A205,Haver_M!$B$1:$B$1000,0),MATCH(data!AV$1,Haver_M!$B$1:$ZN$1,0)),"na")</f>
        <v>110</v>
      </c>
      <c r="AW205">
        <f>IF(ISNUMBER(INDEX(Haver_M!$B$1:$ZN$1000,MATCH(data!$A205,Haver_M!$B$1:$B$1000,0),MATCH(data!AW$1,Haver_M!$B$1:$ZN$1,0))),INDEX(Haver_M!$B$1:$ZN$1000,MATCH(data!$A205,Haver_M!$B$1:$B$1000,0),MATCH(data!AW$1,Haver_M!$B$1:$ZN$1,0)),"na")</f>
        <v>1697064.2833550593</v>
      </c>
      <c r="AX205">
        <f>IF(ISNUMBER(INDEX(Haver_M!$B$1:$ZN$1000,MATCH(data!$A205,Haver_M!$B$1:$B$1000,0),MATCH(data!AX$1,Haver_M!$B$1:$ZN$1,0))),INDEX(Haver_M!$B$1:$ZN$1000,MATCH(data!$A205,Haver_M!$B$1:$B$1000,0),MATCH(data!AX$1,Haver_M!$B$1:$ZN$1,0)),"na")</f>
        <v>2036</v>
      </c>
      <c r="AY205">
        <f>IF(ISNUMBER(INDEX(Haver_M!$B$1:$ZN$1000,MATCH(data!$A205,Haver_M!$B$1:$B$1000,0),MATCH(data!AY$1,Haver_M!$B$1:$ZN$1,0))),INDEX(Haver_M!$B$1:$ZN$1000,MATCH(data!$A205,Haver_M!$B$1:$B$1000,0),MATCH(data!AY$1,Haver_M!$B$1:$ZN$1,0)),"na")</f>
        <v>1115</v>
      </c>
      <c r="AZ205">
        <f>IF(ISNUMBER(INDEX(Haver_M!$B$1:$ZN$1000,MATCH(data!$A205,Haver_M!$B$1:$B$1000,0),MATCH(data!AZ$1,Haver_M!$B$1:$ZN$1,0))),INDEX(Haver_M!$B$1:$ZN$1000,MATCH(data!$A205,Haver_M!$B$1:$B$1000,0),MATCH(data!AZ$1,Haver_M!$B$1:$ZN$1,0)),"na")</f>
        <v>49.1</v>
      </c>
      <c r="BA205">
        <f>IF(ISNUMBER(INDEX(Haver_M!$B$1:$ZN$1000,MATCH(data!$A205,Haver_M!$B$1:$B$1000,0),MATCH(data!BA$1,Haver_M!$B$1:$ZN$1,0))),INDEX(Haver_M!$B$1:$ZN$1000,MATCH(data!$A205,Haver_M!$B$1:$B$1000,0),MATCH(data!BA$1,Haver_M!$B$1:$ZN$1,0)),"na")</f>
        <v>100.82712114018145</v>
      </c>
      <c r="BB205" t="str">
        <f>IF(ISNUMBER(INDEX(Haver_M!$B$1:$ZN$1000,MATCH(data!$A205,Haver_M!$B$1:$B$1000,0),MATCH(data!BB$1,Haver_M!$B$1:$ZN$1,0))),INDEX(Haver_M!$B$1:$ZN$1000,MATCH(data!$A205,Haver_M!$B$1:$B$1000,0),MATCH(data!BB$1,Haver_M!$B$1:$ZN$1,0)),"")</f>
        <v/>
      </c>
    </row>
    <row r="206" spans="1:54" x14ac:dyDescent="0.25">
      <c r="A206" s="2">
        <v>42766</v>
      </c>
      <c r="B206" t="str">
        <f>IF(ISNUMBER(INDEX(Haver_Q!$B$1:$BD$1000,MATCH(data!$A206,Haver_Q!$B$1:$B$1000,0),MATCH(data!B$1,Haver_Q!$B$1:$BD$1,0))),100*INDEX(Haver_Q!$B$1:$BD$1000,MATCH(data!$A206,Haver_Q!$B$1:$B$1000,0),MATCH(data!B$1,Haver_Q!$B$1:$BD$1,0)),"na")</f>
        <v>na</v>
      </c>
      <c r="C206" t="str">
        <f>IF(ISNUMBER(INDEX(Haver_Q!$B$1:$BD$1000,MATCH(data!$A206,Haver_Q!$B$1:$B$1000,0),MATCH(data!C$1,Haver_Q!$B$1:$BD$1,0))),100*INDEX(Haver_Q!$B$1:$BD$1000,MATCH(data!$A206,Haver_Q!$B$1:$B$1000,0),MATCH(data!C$1,Haver_Q!$B$1:$BD$1,0)),"na")</f>
        <v>na</v>
      </c>
      <c r="D206" t="str">
        <f>IF(ISNUMBER(INDEX(Haver_Q!$B$1:$BD$1000,MATCH(data!$A206,Haver_Q!$B$1:$B$1000,0),MATCH(data!D$1,Haver_Q!$B$1:$BD$1,0))),100*INDEX(Haver_Q!$B$1:$BD$1000,MATCH(data!$A206,Haver_Q!$B$1:$B$1000,0),MATCH(data!D$1,Haver_Q!$B$1:$BD$1,0)),"na")</f>
        <v>na</v>
      </c>
      <c r="E206" t="str">
        <f>IF(ISNUMBER(INDEX(Haver_Q!$B$1:$BD$1000,MATCH(data!$A206,Haver_Q!$B$1:$B$1000,0),MATCH(data!E$1,Haver_Q!$B$1:$BD$1,0))),100*INDEX(Haver_Q!$B$1:$BD$1000,MATCH(data!$A206,Haver_Q!$B$1:$B$1000,0),MATCH(data!E$1,Haver_Q!$B$1:$BD$1,0)),"na")</f>
        <v>na</v>
      </c>
      <c r="F206" t="str">
        <f>IF(ISNUMBER(INDEX(Haver_Q!$B$1:$BD$1000,MATCH(data!$A206,Haver_Q!$B$1:$B$1000,0),MATCH(data!F$1,Haver_Q!$B$1:$BD$1,0))),100*INDEX(Haver_Q!$B$1:$BD$1000,MATCH(data!$A206,Haver_Q!$B$1:$B$1000,0),MATCH(data!F$1,Haver_Q!$B$1:$BD$1,0)),"na")</f>
        <v>na</v>
      </c>
      <c r="G206" t="str">
        <f>IF(ISNUMBER(INDEX(Haver_Q!$B$1:$BD$1000,MATCH(data!$A206,Haver_Q!$B$1:$B$1000,0),MATCH(data!G$1,Haver_Q!$B$1:$BD$1,0))),100*INDEX(Haver_Q!$B$1:$BD$1000,MATCH(data!$A206,Haver_Q!$B$1:$B$1000,0),MATCH(data!G$1,Haver_Q!$B$1:$BD$1,0)),"na")</f>
        <v>na</v>
      </c>
      <c r="H206" t="str">
        <f>IF(ISNUMBER(INDEX(Haver_Q!$B$1:$BD$1000,MATCH(data!$A206,Haver_Q!$B$1:$B$1000,0),MATCH(data!H$1,Haver_Q!$B$1:$BD$1,0))),100*INDEX(Haver_Q!$B$1:$BD$1000,MATCH(data!$A206,Haver_Q!$B$1:$B$1000,0),MATCH(data!H$1,Haver_Q!$B$1:$BD$1,0)),"na")</f>
        <v>na</v>
      </c>
      <c r="I206" s="3">
        <f>IF(ISNUMBER(Bloomberg_m!C222),Bloomberg_m!C222,"na")</f>
        <v>907</v>
      </c>
      <c r="J206" s="3">
        <f>IF(ISNUMBER(Bloomberg_m!D222),Bloomberg_m!D222,"na")</f>
        <v>1821.32</v>
      </c>
      <c r="K206" s="3">
        <f>IF(ISNUMBER(Bloomberg_m!E222),Bloomberg_m!E222,"na")</f>
        <v>971.14</v>
      </c>
      <c r="L206" s="3">
        <f>IF(ISNUMBER(Bloomberg_m!L222),Bloomberg_m!L222,"na")</f>
        <v>52.51</v>
      </c>
      <c r="M206">
        <f>IF(ISNUMBER(INDEX(Haver_M!$B$1:$ZN$1000,MATCH(data!$A206,Haver_M!$B$1:$B$1000,0),MATCH(data!M$1,Haver_M!$B$1:$ZN$1,0))),INDEX(Haver_M!$B$1:$ZN$1000,MATCH(data!$A206,Haver_M!$B$1:$B$1000,0),MATCH(data!M$1,Haver_M!$B$1:$ZN$1,0)),"na")</f>
        <v>5.75</v>
      </c>
      <c r="N206">
        <f>IF(ISNUMBER(INDEX(Haver_M!$B$1:$ZN$1000,MATCH(data!$A206,Haver_M!$B$1:$B$1000,0),MATCH(data!N$1,Haver_M!$B$1:$ZN$1,0))),INDEX(Haver_M!$B$1:$ZN$1000,MATCH(data!$A206,Haver_M!$B$1:$B$1000,0),MATCH(data!N$1,Haver_M!$B$1:$ZN$1,0)),"na")</f>
        <v>7.6117999999999997</v>
      </c>
      <c r="O206">
        <f>IF(ISNUMBER(INDEX(Haver_M!$B$1:$ZN$1000,MATCH(data!$A206,Haver_M!$B$1:$B$1000,0),MATCH(data!O$1,Haver_M!$B$1:$ZN$1,0))),INDEX(Haver_M!$B$1:$ZN$1000,MATCH(data!$A206,Haver_M!$B$1:$B$1000,0),MATCH(data!O$1,Haver_M!$B$1:$ZN$1,0)),"na")</f>
        <v>71.871189999999999</v>
      </c>
      <c r="P206">
        <f>IF(ISNUMBER(INDEX(Haver_M!$B$1:$ZN$1000,MATCH(data!$A206,Haver_M!$B$1:$B$1000,0),MATCH(data!P$1,Haver_M!$B$1:$ZN$1,0))),INDEX(Haver_M!$B$1:$ZN$1000,MATCH(data!$A206,Haver_M!$B$1:$B$1000,0),MATCH(data!P$1,Haver_M!$B$1:$ZN$1,0)),"na")</f>
        <v>93.043499999999995</v>
      </c>
      <c r="Q206">
        <f>IF(ISNUMBER(INDEX(Haver_M!$B$1:$ZN$1000,MATCH(data!$A206,Haver_M!$B$1:$B$1000,0),MATCH(data!Q$1,Haver_M!$B$1:$ZN$1,0))),INDEX(Haver_M!$B$1:$ZN$1000,MATCH(data!$A206,Haver_M!$B$1:$B$1000,0),MATCH(data!Q$1,Haver_M!$B$1:$ZN$1,0)),"na")</f>
        <v>94.031999999999996</v>
      </c>
      <c r="R206">
        <f>IF(ISNUMBER(INDEX(Haver_M!$B$1:$ZN$1000,MATCH(data!$A206,Haver_M!$B$1:$B$1000,0),MATCH(data!R$1,Haver_M!$B$1:$ZN$1,0))),INDEX(Haver_M!$B$1:$ZN$1000,MATCH(data!$A206,Haver_M!$B$1:$B$1000,0),MATCH(data!R$1,Haver_M!$B$1:$ZN$1,0)),"na")</f>
        <v>104.4207</v>
      </c>
      <c r="S206">
        <f>IF(ISNUMBER(INDEX(Haver_M!$B$1:$ZN$1000,MATCH(data!$A206,Haver_M!$B$1:$B$1000,0),MATCH(data!S$1,Haver_M!$B$1:$ZN$1,0))),INDEX(Haver_M!$B$1:$ZN$1000,MATCH(data!$A206,Haver_M!$B$1:$B$1000,0),MATCH(data!S$1,Haver_M!$B$1:$ZN$1,0)),"na")</f>
        <v>85.816100000000006</v>
      </c>
      <c r="T206">
        <f>IF(ISNUMBER(INDEX(Haver_M!$B$1:$ZN$1000,MATCH(data!$A206,Haver_M!$B$1:$B$1000,0),MATCH(data!T$1,Haver_M!$B$1:$ZN$1,0))),INDEX(Haver_M!$B$1:$ZN$1000,MATCH(data!$A206,Haver_M!$B$1:$B$1000,0),MATCH(data!T$1,Haver_M!$B$1:$ZN$1,0)),"na")</f>
        <v>110.2595</v>
      </c>
      <c r="U206">
        <f>IF(ISNUMBER(INDEX(Haver_M!$B$1:$ZN$1000,MATCH(data!$A206,Haver_M!$B$1:$B$1000,0),MATCH(data!U$1,Haver_M!$B$1:$ZN$1,0))),INDEX(Haver_M!$B$1:$ZN$1000,MATCH(data!$A206,Haver_M!$B$1:$B$1000,0),MATCH(data!U$1,Haver_M!$B$1:$ZN$1,0)),"na")</f>
        <v>105.8121</v>
      </c>
      <c r="V206">
        <f>IF(ISNUMBER(INDEX(Haver_M!$B$1:$ZN$1000,MATCH(data!$A206,Haver_M!$B$1:$B$1000,0),MATCH(data!V$1,Haver_M!$B$1:$ZN$1,0))),INDEX(Haver_M!$B$1:$ZN$1000,MATCH(data!$A206,Haver_M!$B$1:$B$1000,0),MATCH(data!V$1,Haver_M!$B$1:$ZN$1,0)),"na")</f>
        <v>111.8518</v>
      </c>
      <c r="W206">
        <f>IF(ISNUMBER(INDEX(Haver_M!$B$1:$ZN$1000,MATCH(data!$A206,Haver_M!$B$1:$B$1000,0),MATCH(data!W$1,Haver_M!$B$1:$ZN$1,0))),INDEX(Haver_M!$B$1:$ZN$1000,MATCH(data!$A206,Haver_M!$B$1:$B$1000,0),MATCH(data!W$1,Haver_M!$B$1:$ZN$1,0)),"na")</f>
        <v>3.53</v>
      </c>
      <c r="X206">
        <f>IF(ISNUMBER(INDEX(Haver_M!$B$1:$ZN$1000,MATCH(data!$A206,Haver_M!$B$1:$B$1000,0),MATCH(data!X$1,Haver_M!$B$1:$ZN$1,0))),INDEX(Haver_M!$B$1:$ZN$1000,MATCH(data!$A206,Haver_M!$B$1:$B$1000,0),MATCH(data!X$1,Haver_M!$B$1:$ZN$1,0)),"na")</f>
        <v>104.14</v>
      </c>
      <c r="Y206">
        <f>IF(ISNUMBER(INDEX(Haver_M!$B$1:$ZN$1000,MATCH(data!$A206,Haver_M!$B$1:$B$1000,0),MATCH(data!Y$1,Haver_M!$B$1:$ZN$1,0))),INDEX(Haver_M!$B$1:$ZN$1000,MATCH(data!$A206,Haver_M!$B$1:$B$1000,0),MATCH(data!Y$1,Haver_M!$B$1:$ZN$1,0)),"na")</f>
        <v>99.38</v>
      </c>
      <c r="Z206">
        <f>IF(ISNUMBER(INDEX(Haver_M!$B$1:$ZN$1000,MATCH(data!$A206,Haver_M!$B$1:$B$1000,0),MATCH(data!Z$1,Haver_M!$B$1:$ZN$1,0))),INDEX(Haver_M!$B$1:$ZN$1000,MATCH(data!$A206,Haver_M!$B$1:$B$1000,0),MATCH(data!Z$1,Haver_M!$B$1:$ZN$1,0)),"na")</f>
        <v>112.34480000000001</v>
      </c>
      <c r="AA206">
        <f>IF(ISNUMBER(INDEX(Haver_M!$B$1:$ZN$1000,MATCH(data!$A206,Haver_M!$B$1:$B$1000,0),MATCH(data!AA$1,Haver_M!$B$1:$ZN$1,0))),INDEX(Haver_M!$B$1:$ZN$1000,MATCH(data!$A206,Haver_M!$B$1:$B$1000,0),MATCH(data!AA$1,Haver_M!$B$1:$ZN$1,0)),"na")</f>
        <v>107.9559</v>
      </c>
      <c r="AB206">
        <f>IF(ISNUMBER(INDEX(Haver_M!$B$1:$ZN$1000,MATCH(data!$A206,Haver_M!$B$1:$B$1000,0),MATCH(data!AB$1,Haver_M!$B$1:$ZN$1,0))),INDEX(Haver_M!$B$1:$ZN$1000,MATCH(data!$A206,Haver_M!$B$1:$B$1000,0),MATCH(data!AB$1,Haver_M!$B$1:$ZN$1,0)),"na")</f>
        <v>33191.699999999997</v>
      </c>
      <c r="AC206">
        <f>IF(ISNUMBER(INDEX(Haver_M!$B$1:$ZN$1000,MATCH(data!$A206,Haver_M!$B$1:$B$1000,0),MATCH(data!AC$1,Haver_M!$B$1:$ZN$1,0))),INDEX(Haver_M!$B$1:$ZN$1000,MATCH(data!$A206,Haver_M!$B$1:$B$1000,0),MATCH(data!AC$1,Haver_M!$B$1:$ZN$1,0)),"na")</f>
        <v>33698.400000000001</v>
      </c>
      <c r="AD206">
        <f>IF(ISNUMBER(INDEX(Haver_M!$B$1:$ZN$1000,MATCH(data!$A206,Haver_M!$B$1:$B$1000,0),MATCH(data!AD$1,Haver_M!$B$1:$ZN$1,0))),INDEX(Haver_M!$B$1:$ZN$1000,MATCH(data!$A206,Haver_M!$B$1:$B$1000,0),MATCH(data!AD$1,Haver_M!$B$1:$ZN$1,0)),"na")</f>
        <v>100.32</v>
      </c>
      <c r="AE206">
        <f>IF(ISNUMBER(INDEX(Haver_M!$B$1:$ZN$1000,MATCH(data!$A206,Haver_M!$B$1:$B$1000,0),MATCH(data!AE$1,Haver_M!$B$1:$ZN$1,0))),INDEX(Haver_M!$B$1:$ZN$1000,MATCH(data!$A206,Haver_M!$B$1:$B$1000,0),MATCH(data!AE$1,Haver_M!$B$1:$ZN$1,0)),"na")</f>
        <v>28.8</v>
      </c>
      <c r="AF206">
        <f>IF(ISNUMBER(INDEX(Haver_M!$B$1:$ZN$1000,MATCH(data!$A206,Haver_M!$B$1:$B$1000,0),MATCH(data!AF$1,Haver_M!$B$1:$ZN$1,0))),INDEX(Haver_M!$B$1:$ZN$1000,MATCH(data!$A206,Haver_M!$B$1:$B$1000,0),MATCH(data!AF$1,Haver_M!$B$1:$ZN$1,0)),"na")</f>
        <v>98.75</v>
      </c>
      <c r="AG206">
        <f>IF(ISNUMBER(INDEX(Haver_M!$B$1:$ZN$1000,MATCH(data!$A206,Haver_M!$B$1:$B$1000,0),MATCH(data!AG$1,Haver_M!$B$1:$ZN$1,0))),INDEX(Haver_M!$B$1:$ZN$1000,MATCH(data!$A206,Haver_M!$B$1:$B$1000,0),MATCH(data!AG$1,Haver_M!$B$1:$ZN$1,0)),"na")</f>
        <v>50.808999999999997</v>
      </c>
      <c r="AH206">
        <f>IF(ISNUMBER(INDEX(Haver_M!$B$1:$ZN$1000,MATCH(data!$A206,Haver_M!$B$1:$B$1000,0),MATCH(data!AH$1,Haver_M!$B$1:$ZN$1,0))),INDEX(Haver_M!$B$1:$ZN$1000,MATCH(data!$A206,Haver_M!$B$1:$B$1000,0),MATCH(data!AH$1,Haver_M!$B$1:$ZN$1,0)),"na")</f>
        <v>51.3172</v>
      </c>
      <c r="AI206">
        <f>IF(ISNUMBER(INDEX(Haver_M!$B$1:$ZN$1000,MATCH(data!$A206,Haver_M!$B$1:$B$1000,0),MATCH(data!AI$1,Haver_M!$B$1:$ZN$1,0))),INDEX(Haver_M!$B$1:$ZN$1000,MATCH(data!$A206,Haver_M!$B$1:$B$1000,0),MATCH(data!AI$1,Haver_M!$B$1:$ZN$1,0)),"na")</f>
        <v>51.056100000000001</v>
      </c>
      <c r="AJ206">
        <f>IF(ISNUMBER(INDEX(Haver_M!$B$1:$ZN$1000,MATCH(data!$A206,Haver_M!$B$1:$B$1000,0),MATCH(data!AJ$1,Haver_M!$B$1:$ZN$1,0))),INDEX(Haver_M!$B$1:$ZN$1000,MATCH(data!$A206,Haver_M!$B$1:$B$1000,0),MATCH(data!AJ$1,Haver_M!$B$1:$ZN$1,0)),"na")</f>
        <v>51.685200000000002</v>
      </c>
      <c r="AK206">
        <f>IF(ISNUMBER(INDEX(Haver_M!$B$1:$ZN$1000,MATCH(data!$A206,Haver_M!$B$1:$B$1000,0),MATCH(data!AK$1,Haver_M!$B$1:$ZN$1,0))),INDEX(Haver_M!$B$1:$ZN$1000,MATCH(data!$A206,Haver_M!$B$1:$B$1000,0),MATCH(data!AK$1,Haver_M!$B$1:$ZN$1,0)),"na")</f>
        <v>50.173900000000003</v>
      </c>
      <c r="AL206">
        <f>IF(ISNUMBER(INDEX(Haver_M!$B$1:$ZN$1000,MATCH(data!$A206,Haver_M!$B$1:$B$1000,0),MATCH(data!AL$1,Haver_M!$B$1:$ZN$1,0))),INDEX(Haver_M!$B$1:$ZN$1000,MATCH(data!$A206,Haver_M!$B$1:$B$1000,0),MATCH(data!AL$1,Haver_M!$B$1:$ZN$1,0)),"na")</f>
        <v>48.5197</v>
      </c>
      <c r="AM206">
        <f>IF(ISNUMBER(INDEX(Haver_M!$B$1:$ZN$1000,MATCH(data!$A206,Haver_M!$B$1:$B$1000,0),MATCH(data!AM$1,Haver_M!$B$1:$ZN$1,0))),INDEX(Haver_M!$B$1:$ZN$1000,MATCH(data!$A206,Haver_M!$B$1:$B$1000,0),MATCH(data!AM$1,Haver_M!$B$1:$ZN$1,0)),"na")</f>
        <v>68.102599999999995</v>
      </c>
      <c r="AN206">
        <f>IF(ISNUMBER(INDEX(Haver_M!$B$1:$ZN$1000,MATCH(data!$A206,Haver_M!$B$1:$B$1000,0),MATCH(data!AN$1,Haver_M!$B$1:$ZN$1,0))),INDEX(Haver_M!$B$1:$ZN$1000,MATCH(data!$A206,Haver_M!$B$1:$B$1000,0),MATCH(data!AN$1,Haver_M!$B$1:$ZN$1,0)),"na")</f>
        <v>51.276899999999998</v>
      </c>
      <c r="AO206">
        <f>IF(ISNUMBER(INDEX(Haver_M!$B$1:$ZN$1000,MATCH(data!$A206,Haver_M!$B$1:$B$1000,0),MATCH(data!AO$1,Haver_M!$B$1:$ZN$1,0))),INDEX(Haver_M!$B$1:$ZN$1000,MATCH(data!$A206,Haver_M!$B$1:$B$1000,0),MATCH(data!AO$1,Haver_M!$B$1:$ZN$1,0)),"na")</f>
        <v>48.5197</v>
      </c>
      <c r="AP206">
        <f>IF(ISNUMBER(INDEX(Haver_M!$B$1:$ZN$1000,MATCH(data!$A206,Haver_M!$B$1:$B$1000,0),MATCH(data!AP$1,Haver_M!$B$1:$ZN$1,0))),INDEX(Haver_M!$B$1:$ZN$1000,MATCH(data!$A206,Haver_M!$B$1:$B$1000,0),MATCH(data!AP$1,Haver_M!$B$1:$ZN$1,0)),"na")</f>
        <v>52.785600000000002</v>
      </c>
      <c r="AQ206">
        <f>IF(ISNUMBER(INDEX(Haver_M!$B$1:$ZN$1000,MATCH(data!$A206,Haver_M!$B$1:$B$1000,0),MATCH(data!AQ$1,Haver_M!$B$1:$ZN$1,0))),INDEX(Haver_M!$B$1:$ZN$1000,MATCH(data!$A206,Haver_M!$B$1:$B$1000,0),MATCH(data!AQ$1,Haver_M!$B$1:$ZN$1,0)),"na")</f>
        <v>53.7547</v>
      </c>
      <c r="AR206">
        <f>IF(ISNUMBER(INDEX(Haver_M!$B$1:$ZN$1000,MATCH(data!$A206,Haver_M!$B$1:$B$1000,0),MATCH(data!AR$1,Haver_M!$B$1:$ZN$1,0))),INDEX(Haver_M!$B$1:$ZN$1000,MATCH(data!$A206,Haver_M!$B$1:$B$1000,0),MATCH(data!AR$1,Haver_M!$B$1:$ZN$1,0)),"na")</f>
        <v>50.811399999999999</v>
      </c>
      <c r="AS206">
        <f>IF(ISNUMBER(INDEX(Haver_M!$B$1:$ZN$1000,MATCH(data!$A206,Haver_M!$B$1:$B$1000,0),MATCH(data!AS$1,Haver_M!$B$1:$ZN$1,0))),INDEX(Haver_M!$B$1:$ZN$1000,MATCH(data!$A206,Haver_M!$B$1:$B$1000,0),MATCH(data!AS$1,Haver_M!$B$1:$ZN$1,0)),"na")</f>
        <v>46553.73</v>
      </c>
      <c r="AT206">
        <f>IF(ISNUMBER(INDEX(Haver_M!$B$1:$ZN$1000,MATCH(data!$A206,Haver_M!$B$1:$B$1000,0),MATCH(data!AT$1,Haver_M!$B$1:$ZN$1,0))),INDEX(Haver_M!$B$1:$ZN$1000,MATCH(data!$A206,Haver_M!$B$1:$B$1000,0),MATCH(data!AT$1,Haver_M!$B$1:$ZN$1,0)),"na")</f>
        <v>113.06699999999999</v>
      </c>
      <c r="AU206">
        <f>IF(ISNUMBER(INDEX(Haver_M!$B$1:$ZN$1000,MATCH(data!$A206,Haver_M!$B$1:$B$1000,0),MATCH(data!AU$1,Haver_M!$B$1:$ZN$1,0))),INDEX(Haver_M!$B$1:$ZN$1000,MATCH(data!$A206,Haver_M!$B$1:$B$1000,0),MATCH(data!AU$1,Haver_M!$B$1:$ZN$1,0)),"na")</f>
        <v>110.38346300000001</v>
      </c>
      <c r="AV206">
        <f>IF(ISNUMBER(INDEX(Haver_M!$B$1:$ZN$1000,MATCH(data!$A206,Haver_M!$B$1:$B$1000,0),MATCH(data!AV$1,Haver_M!$B$1:$ZN$1,0))),INDEX(Haver_M!$B$1:$ZN$1000,MATCH(data!$A206,Haver_M!$B$1:$B$1000,0),MATCH(data!AV$1,Haver_M!$B$1:$ZN$1,0)),"na")</f>
        <v>108.3</v>
      </c>
      <c r="AW206">
        <f>IF(ISNUMBER(INDEX(Haver_M!$B$1:$ZN$1000,MATCH(data!$A206,Haver_M!$B$1:$B$1000,0),MATCH(data!AW$1,Haver_M!$B$1:$ZN$1,0))),INDEX(Haver_M!$B$1:$ZN$1000,MATCH(data!$A206,Haver_M!$B$1:$B$1000,0),MATCH(data!AW$1,Haver_M!$B$1:$ZN$1,0)),"na")</f>
        <v>1722014.0547341381</v>
      </c>
      <c r="AX206">
        <f>IF(ISNUMBER(INDEX(Haver_M!$B$1:$ZN$1000,MATCH(data!$A206,Haver_M!$B$1:$B$1000,0),MATCH(data!AX$1,Haver_M!$B$1:$ZN$1,0))),INDEX(Haver_M!$B$1:$ZN$1000,MATCH(data!$A206,Haver_M!$B$1:$B$1000,0),MATCH(data!AX$1,Haver_M!$B$1:$ZN$1,0)),"na")</f>
        <v>2025</v>
      </c>
      <c r="AY206">
        <f>IF(ISNUMBER(INDEX(Haver_M!$B$1:$ZN$1000,MATCH(data!$A206,Haver_M!$B$1:$B$1000,0),MATCH(data!AY$1,Haver_M!$B$1:$ZN$1,0))),INDEX(Haver_M!$B$1:$ZN$1000,MATCH(data!$A206,Haver_M!$B$1:$B$1000,0),MATCH(data!AY$1,Haver_M!$B$1:$ZN$1,0)),"na")</f>
        <v>1085</v>
      </c>
      <c r="AZ206">
        <f>IF(ISNUMBER(INDEX(Haver_M!$B$1:$ZN$1000,MATCH(data!$A206,Haver_M!$B$1:$B$1000,0),MATCH(data!AZ$1,Haver_M!$B$1:$ZN$1,0))),INDEX(Haver_M!$B$1:$ZN$1000,MATCH(data!$A206,Haver_M!$B$1:$B$1000,0),MATCH(data!AZ$1,Haver_M!$B$1:$ZN$1,0)),"na")</f>
        <v>49.8</v>
      </c>
      <c r="BA206">
        <f>IF(ISNUMBER(INDEX(Haver_M!$B$1:$ZN$1000,MATCH(data!$A206,Haver_M!$B$1:$B$1000,0),MATCH(data!BA$1,Haver_M!$B$1:$ZN$1,0))),INDEX(Haver_M!$B$1:$ZN$1000,MATCH(data!$A206,Haver_M!$B$1:$B$1000,0),MATCH(data!BA$1,Haver_M!$B$1:$ZN$1,0)),"na")</f>
        <v>113.81676836604724</v>
      </c>
      <c r="BB206" t="str">
        <f>IF(ISNUMBER(INDEX(Haver_M!$B$1:$ZN$1000,MATCH(data!$A206,Haver_M!$B$1:$B$1000,0),MATCH(data!BB$1,Haver_M!$B$1:$ZN$1,0))),INDEX(Haver_M!$B$1:$ZN$1000,MATCH(data!$A206,Haver_M!$B$1:$B$1000,0),MATCH(data!BB$1,Haver_M!$B$1:$ZN$1,0)),"")</f>
        <v/>
      </c>
    </row>
    <row r="207" spans="1:54" x14ac:dyDescent="0.25">
      <c r="A207" s="2">
        <v>42794</v>
      </c>
      <c r="B207" t="str">
        <f>IF(ISNUMBER(INDEX(Haver_Q!$B$1:$BD$1000,MATCH(data!$A207,Haver_Q!$B$1:$B$1000,0),MATCH(data!B$1,Haver_Q!$B$1:$BD$1,0))),100*INDEX(Haver_Q!$B$1:$BD$1000,MATCH(data!$A207,Haver_Q!$B$1:$B$1000,0),MATCH(data!B$1,Haver_Q!$B$1:$BD$1,0)),"na")</f>
        <v>na</v>
      </c>
      <c r="C207" t="str">
        <f>IF(ISNUMBER(INDEX(Haver_Q!$B$1:$BD$1000,MATCH(data!$A207,Haver_Q!$B$1:$B$1000,0),MATCH(data!C$1,Haver_Q!$B$1:$BD$1,0))),100*INDEX(Haver_Q!$B$1:$BD$1000,MATCH(data!$A207,Haver_Q!$B$1:$B$1000,0),MATCH(data!C$1,Haver_Q!$B$1:$BD$1,0)),"na")</f>
        <v>na</v>
      </c>
      <c r="D207" t="str">
        <f>IF(ISNUMBER(INDEX(Haver_Q!$B$1:$BD$1000,MATCH(data!$A207,Haver_Q!$B$1:$B$1000,0),MATCH(data!D$1,Haver_Q!$B$1:$BD$1,0))),100*INDEX(Haver_Q!$B$1:$BD$1000,MATCH(data!$A207,Haver_Q!$B$1:$B$1000,0),MATCH(data!D$1,Haver_Q!$B$1:$BD$1,0)),"na")</f>
        <v>na</v>
      </c>
      <c r="E207" t="str">
        <f>IF(ISNUMBER(INDEX(Haver_Q!$B$1:$BD$1000,MATCH(data!$A207,Haver_Q!$B$1:$B$1000,0),MATCH(data!E$1,Haver_Q!$B$1:$BD$1,0))),100*INDEX(Haver_Q!$B$1:$BD$1000,MATCH(data!$A207,Haver_Q!$B$1:$B$1000,0),MATCH(data!E$1,Haver_Q!$B$1:$BD$1,0)),"na")</f>
        <v>na</v>
      </c>
      <c r="F207" t="str">
        <f>IF(ISNUMBER(INDEX(Haver_Q!$B$1:$BD$1000,MATCH(data!$A207,Haver_Q!$B$1:$B$1000,0),MATCH(data!F$1,Haver_Q!$B$1:$BD$1,0))),100*INDEX(Haver_Q!$B$1:$BD$1000,MATCH(data!$A207,Haver_Q!$B$1:$B$1000,0),MATCH(data!F$1,Haver_Q!$B$1:$BD$1,0)),"na")</f>
        <v>na</v>
      </c>
      <c r="G207" t="str">
        <f>IF(ISNUMBER(INDEX(Haver_Q!$B$1:$BD$1000,MATCH(data!$A207,Haver_Q!$B$1:$B$1000,0),MATCH(data!G$1,Haver_Q!$B$1:$BD$1,0))),100*INDEX(Haver_Q!$B$1:$BD$1000,MATCH(data!$A207,Haver_Q!$B$1:$B$1000,0),MATCH(data!G$1,Haver_Q!$B$1:$BD$1,0)),"na")</f>
        <v>na</v>
      </c>
      <c r="H207" t="str">
        <f>IF(ISNUMBER(INDEX(Haver_Q!$B$1:$BD$1000,MATCH(data!$A207,Haver_Q!$B$1:$B$1000,0),MATCH(data!H$1,Haver_Q!$B$1:$BD$1,0))),100*INDEX(Haver_Q!$B$1:$BD$1000,MATCH(data!$A207,Haver_Q!$B$1:$B$1000,0),MATCH(data!H$1,Haver_Q!$B$1:$BD$1,0)),"na")</f>
        <v>na</v>
      </c>
      <c r="I207" s="3">
        <f>IF(ISNUMBER(Bloomberg_m!C223),Bloomberg_m!C223,"na")</f>
        <v>759</v>
      </c>
      <c r="J207" s="3">
        <f>IF(ISNUMBER(Bloomberg_m!D223),Bloomberg_m!D223,"na")</f>
        <v>1676.16</v>
      </c>
      <c r="K207" s="3">
        <f>IF(ISNUMBER(Bloomberg_m!E223),Bloomberg_m!E223,"na")</f>
        <v>869.98</v>
      </c>
      <c r="L207" s="3">
        <f>IF(ISNUMBER(Bloomberg_m!L223),Bloomberg_m!L223,"na")</f>
        <v>53.4</v>
      </c>
      <c r="M207">
        <f>IF(ISNUMBER(INDEX(Haver_M!$B$1:$ZN$1000,MATCH(data!$A207,Haver_M!$B$1:$B$1000,0),MATCH(data!M$1,Haver_M!$B$1:$ZN$1,0))),INDEX(Haver_M!$B$1:$ZN$1000,MATCH(data!$A207,Haver_M!$B$1:$B$1000,0),MATCH(data!M$1,Haver_M!$B$1:$ZN$1,0)),"na")</f>
        <v>6.25</v>
      </c>
      <c r="N207">
        <f>IF(ISNUMBER(INDEX(Haver_M!$B$1:$ZN$1000,MATCH(data!$A207,Haver_M!$B$1:$B$1000,0),MATCH(data!N$1,Haver_M!$B$1:$ZN$1,0))),INDEX(Haver_M!$B$1:$ZN$1000,MATCH(data!$A207,Haver_M!$B$1:$B$1000,0),MATCH(data!N$1,Haver_M!$B$1:$ZN$1,0)),"na")</f>
        <v>7.3723000000000001</v>
      </c>
      <c r="O207">
        <f>IF(ISNUMBER(INDEX(Haver_M!$B$1:$ZN$1000,MATCH(data!$A207,Haver_M!$B$1:$B$1000,0),MATCH(data!O$1,Haver_M!$B$1:$ZN$1,0))),INDEX(Haver_M!$B$1:$ZN$1000,MATCH(data!$A207,Haver_M!$B$1:$B$1000,0),MATCH(data!O$1,Haver_M!$B$1:$ZN$1,0)),"na")</f>
        <v>75.778149999999997</v>
      </c>
      <c r="P207">
        <f>IF(ISNUMBER(INDEX(Haver_M!$B$1:$ZN$1000,MATCH(data!$A207,Haver_M!$B$1:$B$1000,0),MATCH(data!P$1,Haver_M!$B$1:$ZN$1,0))),INDEX(Haver_M!$B$1:$ZN$1000,MATCH(data!$A207,Haver_M!$B$1:$B$1000,0),MATCH(data!P$1,Haver_M!$B$1:$ZN$1,0)),"na")</f>
        <v>93.466899999999995</v>
      </c>
      <c r="Q207">
        <f>IF(ISNUMBER(INDEX(Haver_M!$B$1:$ZN$1000,MATCH(data!$A207,Haver_M!$B$1:$B$1000,0),MATCH(data!Q$1,Haver_M!$B$1:$ZN$1,0))),INDEX(Haver_M!$B$1:$ZN$1000,MATCH(data!$A207,Haver_M!$B$1:$B$1000,0),MATCH(data!Q$1,Haver_M!$B$1:$ZN$1,0)),"na")</f>
        <v>94.572400000000002</v>
      </c>
      <c r="R207">
        <f>IF(ISNUMBER(INDEX(Haver_M!$B$1:$ZN$1000,MATCH(data!$A207,Haver_M!$B$1:$B$1000,0),MATCH(data!R$1,Haver_M!$B$1:$ZN$1,0))),INDEX(Haver_M!$B$1:$ZN$1000,MATCH(data!$A207,Haver_M!$B$1:$B$1000,0),MATCH(data!R$1,Haver_M!$B$1:$ZN$1,0)),"na")</f>
        <v>103.9426</v>
      </c>
      <c r="S207">
        <f>IF(ISNUMBER(INDEX(Haver_M!$B$1:$ZN$1000,MATCH(data!$A207,Haver_M!$B$1:$B$1000,0),MATCH(data!S$1,Haver_M!$B$1:$ZN$1,0))),INDEX(Haver_M!$B$1:$ZN$1000,MATCH(data!$A207,Haver_M!$B$1:$B$1000,0),MATCH(data!S$1,Haver_M!$B$1:$ZN$1,0)),"na")</f>
        <v>83.796400000000006</v>
      </c>
      <c r="T207">
        <f>IF(ISNUMBER(INDEX(Haver_M!$B$1:$ZN$1000,MATCH(data!$A207,Haver_M!$B$1:$B$1000,0),MATCH(data!T$1,Haver_M!$B$1:$ZN$1,0))),INDEX(Haver_M!$B$1:$ZN$1000,MATCH(data!$A207,Haver_M!$B$1:$B$1000,0),MATCH(data!T$1,Haver_M!$B$1:$ZN$1,0)),"na")</f>
        <v>109.19070000000001</v>
      </c>
      <c r="U207">
        <f>IF(ISNUMBER(INDEX(Haver_M!$B$1:$ZN$1000,MATCH(data!$A207,Haver_M!$B$1:$B$1000,0),MATCH(data!U$1,Haver_M!$B$1:$ZN$1,0))),INDEX(Haver_M!$B$1:$ZN$1000,MATCH(data!$A207,Haver_M!$B$1:$B$1000,0),MATCH(data!U$1,Haver_M!$B$1:$ZN$1,0)),"na")</f>
        <v>104.8689</v>
      </c>
      <c r="V207">
        <f>IF(ISNUMBER(INDEX(Haver_M!$B$1:$ZN$1000,MATCH(data!$A207,Haver_M!$B$1:$B$1000,0),MATCH(data!V$1,Haver_M!$B$1:$ZN$1,0))),INDEX(Haver_M!$B$1:$ZN$1000,MATCH(data!$A207,Haver_M!$B$1:$B$1000,0),MATCH(data!V$1,Haver_M!$B$1:$ZN$1,0)),"na")</f>
        <v>111.6703</v>
      </c>
      <c r="W207">
        <f>IF(ISNUMBER(INDEX(Haver_M!$B$1:$ZN$1000,MATCH(data!$A207,Haver_M!$B$1:$B$1000,0),MATCH(data!W$1,Haver_M!$B$1:$ZN$1,0))),INDEX(Haver_M!$B$1:$ZN$1000,MATCH(data!$A207,Haver_M!$B$1:$B$1000,0),MATCH(data!W$1,Haver_M!$B$1:$ZN$1,0)),"na")</f>
        <v>3.48</v>
      </c>
      <c r="X207">
        <f>IF(ISNUMBER(INDEX(Haver_M!$B$1:$ZN$1000,MATCH(data!$A207,Haver_M!$B$1:$B$1000,0),MATCH(data!X$1,Haver_M!$B$1:$ZN$1,0))),INDEX(Haver_M!$B$1:$ZN$1000,MATCH(data!$A207,Haver_M!$B$1:$B$1000,0),MATCH(data!X$1,Haver_M!$B$1:$ZN$1,0)),"na")</f>
        <v>103.62</v>
      </c>
      <c r="Y207">
        <f>IF(ISNUMBER(INDEX(Haver_M!$B$1:$ZN$1000,MATCH(data!$A207,Haver_M!$B$1:$B$1000,0),MATCH(data!Y$1,Haver_M!$B$1:$ZN$1,0))),INDEX(Haver_M!$B$1:$ZN$1000,MATCH(data!$A207,Haver_M!$B$1:$B$1000,0),MATCH(data!Y$1,Haver_M!$B$1:$ZN$1,0)),"na")</f>
        <v>99.48</v>
      </c>
      <c r="Z207">
        <f>IF(ISNUMBER(INDEX(Haver_M!$B$1:$ZN$1000,MATCH(data!$A207,Haver_M!$B$1:$B$1000,0),MATCH(data!Z$1,Haver_M!$B$1:$ZN$1,0))),INDEX(Haver_M!$B$1:$ZN$1000,MATCH(data!$A207,Haver_M!$B$1:$B$1000,0),MATCH(data!Z$1,Haver_M!$B$1:$ZN$1,0)),"na")</f>
        <v>112.1647</v>
      </c>
      <c r="AA207">
        <f>IF(ISNUMBER(INDEX(Haver_M!$B$1:$ZN$1000,MATCH(data!$A207,Haver_M!$B$1:$B$1000,0),MATCH(data!AA$1,Haver_M!$B$1:$ZN$1,0))),INDEX(Haver_M!$B$1:$ZN$1000,MATCH(data!$A207,Haver_M!$B$1:$B$1000,0),MATCH(data!AA$1,Haver_M!$B$1:$ZN$1,0)),"na")</f>
        <v>107.62050000000001</v>
      </c>
      <c r="AB207">
        <f>IF(ISNUMBER(INDEX(Haver_M!$B$1:$ZN$1000,MATCH(data!$A207,Haver_M!$B$1:$B$1000,0),MATCH(data!AB$1,Haver_M!$B$1:$ZN$1,0))),INDEX(Haver_M!$B$1:$ZN$1000,MATCH(data!$A207,Haver_M!$B$1:$B$1000,0),MATCH(data!AB$1,Haver_M!$B$1:$ZN$1,0)),"na")</f>
        <v>33334.699999999997</v>
      </c>
      <c r="AC207">
        <f>IF(ISNUMBER(INDEX(Haver_M!$B$1:$ZN$1000,MATCH(data!$A207,Haver_M!$B$1:$B$1000,0),MATCH(data!AC$1,Haver_M!$B$1:$ZN$1,0))),INDEX(Haver_M!$B$1:$ZN$1000,MATCH(data!$A207,Haver_M!$B$1:$B$1000,0),MATCH(data!AC$1,Haver_M!$B$1:$ZN$1,0)),"na")</f>
        <v>33778.300000000003</v>
      </c>
      <c r="AD207">
        <f>IF(ISNUMBER(INDEX(Haver_M!$B$1:$ZN$1000,MATCH(data!$A207,Haver_M!$B$1:$B$1000,0),MATCH(data!AD$1,Haver_M!$B$1:$ZN$1,0))),INDEX(Haver_M!$B$1:$ZN$1000,MATCH(data!$A207,Haver_M!$B$1:$B$1000,0),MATCH(data!AD$1,Haver_M!$B$1:$ZN$1,0)),"na")</f>
        <v>100.34</v>
      </c>
      <c r="AE207">
        <f>IF(ISNUMBER(INDEX(Haver_M!$B$1:$ZN$1000,MATCH(data!$A207,Haver_M!$B$1:$B$1000,0),MATCH(data!AE$1,Haver_M!$B$1:$ZN$1,0))),INDEX(Haver_M!$B$1:$ZN$1000,MATCH(data!$A207,Haver_M!$B$1:$B$1000,0),MATCH(data!AE$1,Haver_M!$B$1:$ZN$1,0)),"na")</f>
        <v>32.200000000000003</v>
      </c>
      <c r="AF207">
        <f>IF(ISNUMBER(INDEX(Haver_M!$B$1:$ZN$1000,MATCH(data!$A207,Haver_M!$B$1:$B$1000,0),MATCH(data!AF$1,Haver_M!$B$1:$ZN$1,0))),INDEX(Haver_M!$B$1:$ZN$1000,MATCH(data!$A207,Haver_M!$B$1:$B$1000,0),MATCH(data!AF$1,Haver_M!$B$1:$ZN$1,0)),"na")</f>
        <v>98.75</v>
      </c>
      <c r="AG207">
        <f>IF(ISNUMBER(INDEX(Haver_M!$B$1:$ZN$1000,MATCH(data!$A207,Haver_M!$B$1:$B$1000,0),MATCH(data!AG$1,Haver_M!$B$1:$ZN$1,0))),INDEX(Haver_M!$B$1:$ZN$1000,MATCH(data!$A207,Haver_M!$B$1:$B$1000,0),MATCH(data!AG$1,Haver_M!$B$1:$ZN$1,0)),"na")</f>
        <v>50.593899999999998</v>
      </c>
      <c r="AH207">
        <f>IF(ISNUMBER(INDEX(Haver_M!$B$1:$ZN$1000,MATCH(data!$A207,Haver_M!$B$1:$B$1000,0),MATCH(data!AH$1,Haver_M!$B$1:$ZN$1,0))),INDEX(Haver_M!$B$1:$ZN$1000,MATCH(data!$A207,Haver_M!$B$1:$B$1000,0),MATCH(data!AH$1,Haver_M!$B$1:$ZN$1,0)),"na")</f>
        <v>49.7667</v>
      </c>
      <c r="AI207">
        <f>IF(ISNUMBER(INDEX(Haver_M!$B$1:$ZN$1000,MATCH(data!$A207,Haver_M!$B$1:$B$1000,0),MATCH(data!AI$1,Haver_M!$B$1:$ZN$1,0))),INDEX(Haver_M!$B$1:$ZN$1000,MATCH(data!$A207,Haver_M!$B$1:$B$1000,0),MATCH(data!AI$1,Haver_M!$B$1:$ZN$1,0)),"na")</f>
        <v>50.933</v>
      </c>
      <c r="AJ207">
        <f>IF(ISNUMBER(INDEX(Haver_M!$B$1:$ZN$1000,MATCH(data!$A207,Haver_M!$B$1:$B$1000,0),MATCH(data!AJ$1,Haver_M!$B$1:$ZN$1,0))),INDEX(Haver_M!$B$1:$ZN$1000,MATCH(data!$A207,Haver_M!$B$1:$B$1000,0),MATCH(data!AJ$1,Haver_M!$B$1:$ZN$1,0)),"na")</f>
        <v>51.285400000000003</v>
      </c>
      <c r="AK207">
        <f>IF(ISNUMBER(INDEX(Haver_M!$B$1:$ZN$1000,MATCH(data!$A207,Haver_M!$B$1:$B$1000,0),MATCH(data!AK$1,Haver_M!$B$1:$ZN$1,0))),INDEX(Haver_M!$B$1:$ZN$1000,MATCH(data!$A207,Haver_M!$B$1:$B$1000,0),MATCH(data!AK$1,Haver_M!$B$1:$ZN$1,0)),"na")</f>
        <v>48.060299999999998</v>
      </c>
      <c r="AL207">
        <f>IF(ISNUMBER(INDEX(Haver_M!$B$1:$ZN$1000,MATCH(data!$A207,Haver_M!$B$1:$B$1000,0),MATCH(data!AL$1,Haver_M!$B$1:$ZN$1,0))),INDEX(Haver_M!$B$1:$ZN$1000,MATCH(data!$A207,Haver_M!$B$1:$B$1000,0),MATCH(data!AL$1,Haver_M!$B$1:$ZN$1,0)),"na")</f>
        <v>48.242400000000004</v>
      </c>
      <c r="AM207">
        <f>IF(ISNUMBER(INDEX(Haver_M!$B$1:$ZN$1000,MATCH(data!$A207,Haver_M!$B$1:$B$1000,0),MATCH(data!AM$1,Haver_M!$B$1:$ZN$1,0))),INDEX(Haver_M!$B$1:$ZN$1000,MATCH(data!$A207,Haver_M!$B$1:$B$1000,0),MATCH(data!AM$1,Haver_M!$B$1:$ZN$1,0)),"na")</f>
        <v>66.898300000000006</v>
      </c>
      <c r="AN207">
        <f>IF(ISNUMBER(INDEX(Haver_M!$B$1:$ZN$1000,MATCH(data!$A207,Haver_M!$B$1:$B$1000,0),MATCH(data!AN$1,Haver_M!$B$1:$ZN$1,0))),INDEX(Haver_M!$B$1:$ZN$1000,MATCH(data!$A207,Haver_M!$B$1:$B$1000,0),MATCH(data!AN$1,Haver_M!$B$1:$ZN$1,0)),"na")</f>
        <v>49.602699999999999</v>
      </c>
      <c r="AO207">
        <f>IF(ISNUMBER(INDEX(Haver_M!$B$1:$ZN$1000,MATCH(data!$A207,Haver_M!$B$1:$B$1000,0),MATCH(data!AO$1,Haver_M!$B$1:$ZN$1,0))),INDEX(Haver_M!$B$1:$ZN$1000,MATCH(data!$A207,Haver_M!$B$1:$B$1000,0),MATCH(data!AO$1,Haver_M!$B$1:$ZN$1,0)),"na")</f>
        <v>48.242400000000004</v>
      </c>
      <c r="AP207">
        <f>IF(ISNUMBER(INDEX(Haver_M!$B$1:$ZN$1000,MATCH(data!$A207,Haver_M!$B$1:$B$1000,0),MATCH(data!AP$1,Haver_M!$B$1:$ZN$1,0))),INDEX(Haver_M!$B$1:$ZN$1000,MATCH(data!$A207,Haver_M!$B$1:$B$1000,0),MATCH(data!AP$1,Haver_M!$B$1:$ZN$1,0)),"na")</f>
        <v>53.162300000000002</v>
      </c>
      <c r="AQ207">
        <f>IF(ISNUMBER(INDEX(Haver_M!$B$1:$ZN$1000,MATCH(data!$A207,Haver_M!$B$1:$B$1000,0),MATCH(data!AQ$1,Haver_M!$B$1:$ZN$1,0))),INDEX(Haver_M!$B$1:$ZN$1000,MATCH(data!$A207,Haver_M!$B$1:$B$1000,0),MATCH(data!AQ$1,Haver_M!$B$1:$ZN$1,0)),"na")</f>
        <v>54.974400000000003</v>
      </c>
      <c r="AR207">
        <f>IF(ISNUMBER(INDEX(Haver_M!$B$1:$ZN$1000,MATCH(data!$A207,Haver_M!$B$1:$B$1000,0),MATCH(data!AR$1,Haver_M!$B$1:$ZN$1,0))),INDEX(Haver_M!$B$1:$ZN$1000,MATCH(data!$A207,Haver_M!$B$1:$B$1000,0),MATCH(data!AR$1,Haver_M!$B$1:$ZN$1,0)),"na")</f>
        <v>49.874099999999999</v>
      </c>
      <c r="AS207">
        <f>IF(ISNUMBER(INDEX(Haver_M!$B$1:$ZN$1000,MATCH(data!$A207,Haver_M!$B$1:$B$1000,0),MATCH(data!AS$1,Haver_M!$B$1:$ZN$1,0))),INDEX(Haver_M!$B$1:$ZN$1000,MATCH(data!$A207,Haver_M!$B$1:$B$1000,0),MATCH(data!AS$1,Haver_M!$B$1:$ZN$1,0)),"na")</f>
        <v>47212.49</v>
      </c>
      <c r="AT207">
        <f>IF(ISNUMBER(INDEX(Haver_M!$B$1:$ZN$1000,MATCH(data!$A207,Haver_M!$B$1:$B$1000,0),MATCH(data!AT$1,Haver_M!$B$1:$ZN$1,0))),INDEX(Haver_M!$B$1:$ZN$1000,MATCH(data!$A207,Haver_M!$B$1:$B$1000,0),MATCH(data!AT$1,Haver_M!$B$1:$ZN$1,0)),"na")</f>
        <v>112.80800000000001</v>
      </c>
      <c r="AU207">
        <f>IF(ISNUMBER(INDEX(Haver_M!$B$1:$ZN$1000,MATCH(data!$A207,Haver_M!$B$1:$B$1000,0),MATCH(data!AU$1,Haver_M!$B$1:$ZN$1,0))),INDEX(Haver_M!$B$1:$ZN$1000,MATCH(data!$A207,Haver_M!$B$1:$B$1000,0),MATCH(data!AU$1,Haver_M!$B$1:$ZN$1,0)),"na")</f>
        <v>109.862786</v>
      </c>
      <c r="AV207">
        <f>IF(ISNUMBER(INDEX(Haver_M!$B$1:$ZN$1000,MATCH(data!$A207,Haver_M!$B$1:$B$1000,0),MATCH(data!AV$1,Haver_M!$B$1:$ZN$1,0))),INDEX(Haver_M!$B$1:$ZN$1000,MATCH(data!$A207,Haver_M!$B$1:$B$1000,0),MATCH(data!AV$1,Haver_M!$B$1:$ZN$1,0)),"na")</f>
        <v>105.5</v>
      </c>
      <c r="AW207">
        <f>IF(ISNUMBER(INDEX(Haver_M!$B$1:$ZN$1000,MATCH(data!$A207,Haver_M!$B$1:$B$1000,0),MATCH(data!AW$1,Haver_M!$B$1:$ZN$1,0))),INDEX(Haver_M!$B$1:$ZN$1000,MATCH(data!$A207,Haver_M!$B$1:$B$1000,0),MATCH(data!AW$1,Haver_M!$B$1:$ZN$1,0)),"na")</f>
        <v>1695880.3304610946</v>
      </c>
      <c r="AX207">
        <f>IF(ISNUMBER(INDEX(Haver_M!$B$1:$ZN$1000,MATCH(data!$A207,Haver_M!$B$1:$B$1000,0),MATCH(data!AX$1,Haver_M!$B$1:$ZN$1,0))),INDEX(Haver_M!$B$1:$ZN$1000,MATCH(data!$A207,Haver_M!$B$1:$B$1000,0),MATCH(data!AX$1,Haver_M!$B$1:$ZN$1,0)),"na")</f>
        <v>2020</v>
      </c>
      <c r="AY207">
        <f>IF(ISNUMBER(INDEX(Haver_M!$B$1:$ZN$1000,MATCH(data!$A207,Haver_M!$B$1:$B$1000,0),MATCH(data!AY$1,Haver_M!$B$1:$ZN$1,0))),INDEX(Haver_M!$B$1:$ZN$1000,MATCH(data!$A207,Haver_M!$B$1:$B$1000,0),MATCH(data!AY$1,Haver_M!$B$1:$ZN$1,0)),"na")</f>
        <v>1217</v>
      </c>
      <c r="AZ207">
        <f>IF(ISNUMBER(INDEX(Haver_M!$B$1:$ZN$1000,MATCH(data!$A207,Haver_M!$B$1:$B$1000,0),MATCH(data!AZ$1,Haver_M!$B$1:$ZN$1,0))),INDEX(Haver_M!$B$1:$ZN$1000,MATCH(data!$A207,Haver_M!$B$1:$B$1000,0),MATCH(data!AZ$1,Haver_M!$B$1:$ZN$1,0)),"na")</f>
        <v>45.2</v>
      </c>
      <c r="BA207">
        <f>IF(ISNUMBER(INDEX(Haver_M!$B$1:$ZN$1000,MATCH(data!$A207,Haver_M!$B$1:$B$1000,0),MATCH(data!BA$1,Haver_M!$B$1:$ZN$1,0))),INDEX(Haver_M!$B$1:$ZN$1000,MATCH(data!$A207,Haver_M!$B$1:$B$1000,0),MATCH(data!BA$1,Haver_M!$B$1:$ZN$1,0)),"na")</f>
        <v>88.16299808039328</v>
      </c>
      <c r="BB207" t="str">
        <f>IF(ISNUMBER(INDEX(Haver_M!$B$1:$ZN$1000,MATCH(data!$A207,Haver_M!$B$1:$B$1000,0),MATCH(data!BB$1,Haver_M!$B$1:$ZN$1,0))),INDEX(Haver_M!$B$1:$ZN$1000,MATCH(data!$A207,Haver_M!$B$1:$B$1000,0),MATCH(data!BB$1,Haver_M!$B$1:$ZN$1,0)),"")</f>
        <v/>
      </c>
    </row>
    <row r="208" spans="1:54" x14ac:dyDescent="0.25">
      <c r="A208" s="2">
        <v>42825</v>
      </c>
      <c r="B208">
        <f>IF(ISNUMBER(INDEX(Haver_Q!$B$1:$BD$1000,MATCH(data!$A208,Haver_Q!$B$1:$B$1000,0),MATCH(data!B$1,Haver_Q!$B$1:$BD$1,0))),100*INDEX(Haver_Q!$B$1:$BD$1000,MATCH(data!$A208,Haver_Q!$B$1:$B$1000,0),MATCH(data!B$1,Haver_Q!$B$1:$BD$1,0)),"na")</f>
        <v>2.1466694457014768</v>
      </c>
      <c r="C208">
        <f>IF(ISNUMBER(INDEX(Haver_Q!$B$1:$BD$1000,MATCH(data!$A208,Haver_Q!$B$1:$B$1000,0),MATCH(data!C$1,Haver_Q!$B$1:$BD$1,0))),100*INDEX(Haver_Q!$B$1:$BD$1000,MATCH(data!$A208,Haver_Q!$B$1:$B$1000,0),MATCH(data!C$1,Haver_Q!$B$1:$BD$1,0)),"na")</f>
        <v>-3.7050996338205744</v>
      </c>
      <c r="D208">
        <f>IF(ISNUMBER(INDEX(Haver_Q!$B$1:$BD$1000,MATCH(data!$A208,Haver_Q!$B$1:$B$1000,0),MATCH(data!D$1,Haver_Q!$B$1:$BD$1,0))),100*INDEX(Haver_Q!$B$1:$BD$1000,MATCH(data!$A208,Haver_Q!$B$1:$B$1000,0),MATCH(data!D$1,Haver_Q!$B$1:$BD$1,0)),"na")</f>
        <v>3.8134314414068449</v>
      </c>
      <c r="E208">
        <f>IF(ISNUMBER(INDEX(Haver_Q!$B$1:$BD$1000,MATCH(data!$A208,Haver_Q!$B$1:$B$1000,0),MATCH(data!E$1,Haver_Q!$B$1:$BD$1,0))),100*INDEX(Haver_Q!$B$1:$BD$1000,MATCH(data!$A208,Haver_Q!$B$1:$B$1000,0),MATCH(data!E$1,Haver_Q!$B$1:$BD$1,0)),"na")</f>
        <v>-9.1886507063652196</v>
      </c>
      <c r="F208">
        <f>IF(ISNUMBER(INDEX(Haver_Q!$B$1:$BD$1000,MATCH(data!$A208,Haver_Q!$B$1:$B$1000,0),MATCH(data!F$1,Haver_Q!$B$1:$BD$1,0))),100*INDEX(Haver_Q!$B$1:$BD$1000,MATCH(data!$A208,Haver_Q!$B$1:$B$1000,0),MATCH(data!F$1,Haver_Q!$B$1:$BD$1,0)),"na")</f>
        <v>13.983646958039264</v>
      </c>
      <c r="G208">
        <f>IF(ISNUMBER(INDEX(Haver_Q!$B$1:$BD$1000,MATCH(data!$A208,Haver_Q!$B$1:$B$1000,0),MATCH(data!G$1,Haver_Q!$B$1:$BD$1,0))),100*INDEX(Haver_Q!$B$1:$BD$1000,MATCH(data!$A208,Haver_Q!$B$1:$B$1000,0),MATCH(data!G$1,Haver_Q!$B$1:$BD$1,0)),"na")</f>
        <v>16.402570661104466</v>
      </c>
      <c r="H208">
        <f>IF(ISNUMBER(INDEX(Haver_Q!$B$1:$BD$1000,MATCH(data!$A208,Haver_Q!$B$1:$B$1000,0),MATCH(data!H$1,Haver_Q!$B$1:$BD$1,0))),100*INDEX(Haver_Q!$B$1:$BD$1000,MATCH(data!$A208,Haver_Q!$B$1:$B$1000,0),MATCH(data!H$1,Haver_Q!$B$1:$BD$1,0)),"na")</f>
        <v>362.82714028363029</v>
      </c>
      <c r="I208" s="3">
        <f>IF(ISNUMBER(Bloomberg_m!C224),Bloomberg_m!C224,"na")</f>
        <v>1141</v>
      </c>
      <c r="J208" s="3">
        <f>IF(ISNUMBER(Bloomberg_m!D224),Bloomberg_m!D224,"na")</f>
        <v>1443.6</v>
      </c>
      <c r="K208" s="3">
        <f>IF(ISNUMBER(Bloomberg_m!E224),Bloomberg_m!E224,"na")</f>
        <v>775.17</v>
      </c>
      <c r="L208" s="3">
        <f>IF(ISNUMBER(Bloomberg_m!L224),Bloomberg_m!L224,"na")</f>
        <v>49.58</v>
      </c>
      <c r="M208">
        <f>IF(ISNUMBER(INDEX(Haver_M!$B$1:$ZN$1000,MATCH(data!$A208,Haver_M!$B$1:$B$1000,0),MATCH(data!M$1,Haver_M!$B$1:$ZN$1,0))),INDEX(Haver_M!$B$1:$ZN$1000,MATCH(data!$A208,Haver_M!$B$1:$B$1000,0),MATCH(data!M$1,Haver_M!$B$1:$ZN$1,0)),"na")</f>
        <v>6.5</v>
      </c>
      <c r="N208">
        <f>IF(ISNUMBER(INDEX(Haver_M!$B$1:$ZN$1000,MATCH(data!$A208,Haver_M!$B$1:$B$1000,0),MATCH(data!N$1,Haver_M!$B$1:$ZN$1,0))),INDEX(Haver_M!$B$1:$ZN$1000,MATCH(data!$A208,Haver_M!$B$1:$B$1000,0),MATCH(data!N$1,Haver_M!$B$1:$ZN$1,0)),"na")</f>
        <v>7.2492000000000001</v>
      </c>
      <c r="O208">
        <f>IF(ISNUMBER(INDEX(Haver_M!$B$1:$ZN$1000,MATCH(data!$A208,Haver_M!$B$1:$B$1000,0),MATCH(data!O$1,Haver_M!$B$1:$ZN$1,0))),INDEX(Haver_M!$B$1:$ZN$1000,MATCH(data!$A208,Haver_M!$B$1:$B$1000,0),MATCH(data!O$1,Haver_M!$B$1:$ZN$1,0)),"na")</f>
        <v>80.307699999999997</v>
      </c>
      <c r="P208">
        <f>IF(ISNUMBER(INDEX(Haver_M!$B$1:$ZN$1000,MATCH(data!$A208,Haver_M!$B$1:$B$1000,0),MATCH(data!P$1,Haver_M!$B$1:$ZN$1,0))),INDEX(Haver_M!$B$1:$ZN$1000,MATCH(data!$A208,Haver_M!$B$1:$B$1000,0),MATCH(data!P$1,Haver_M!$B$1:$ZN$1,0)),"na")</f>
        <v>94.1083</v>
      </c>
      <c r="Q208">
        <f>IF(ISNUMBER(INDEX(Haver_M!$B$1:$ZN$1000,MATCH(data!$A208,Haver_M!$B$1:$B$1000,0),MATCH(data!Q$1,Haver_M!$B$1:$ZN$1,0))),INDEX(Haver_M!$B$1:$ZN$1000,MATCH(data!$A208,Haver_M!$B$1:$B$1000,0),MATCH(data!Q$1,Haver_M!$B$1:$ZN$1,0)),"na")</f>
        <v>95.109499999999997</v>
      </c>
      <c r="R208">
        <f>IF(ISNUMBER(INDEX(Haver_M!$B$1:$ZN$1000,MATCH(data!$A208,Haver_M!$B$1:$B$1000,0),MATCH(data!R$1,Haver_M!$B$1:$ZN$1,0))),INDEX(Haver_M!$B$1:$ZN$1000,MATCH(data!$A208,Haver_M!$B$1:$B$1000,0),MATCH(data!R$1,Haver_M!$B$1:$ZN$1,0)),"na")</f>
        <v>104.8009</v>
      </c>
      <c r="S208">
        <f>IF(ISNUMBER(INDEX(Haver_M!$B$1:$ZN$1000,MATCH(data!$A208,Haver_M!$B$1:$B$1000,0),MATCH(data!S$1,Haver_M!$B$1:$ZN$1,0))),INDEX(Haver_M!$B$1:$ZN$1000,MATCH(data!$A208,Haver_M!$B$1:$B$1000,0),MATCH(data!S$1,Haver_M!$B$1:$ZN$1,0)),"na")</f>
        <v>84.668700000000001</v>
      </c>
      <c r="T208">
        <f>IF(ISNUMBER(INDEX(Haver_M!$B$1:$ZN$1000,MATCH(data!$A208,Haver_M!$B$1:$B$1000,0),MATCH(data!T$1,Haver_M!$B$1:$ZN$1,0))),INDEX(Haver_M!$B$1:$ZN$1000,MATCH(data!$A208,Haver_M!$B$1:$B$1000,0),MATCH(data!T$1,Haver_M!$B$1:$ZN$1,0)),"na")</f>
        <v>111.52979999999999</v>
      </c>
      <c r="U208">
        <f>IF(ISNUMBER(INDEX(Haver_M!$B$1:$ZN$1000,MATCH(data!$A208,Haver_M!$B$1:$B$1000,0),MATCH(data!U$1,Haver_M!$B$1:$ZN$1,0))),INDEX(Haver_M!$B$1:$ZN$1000,MATCH(data!$A208,Haver_M!$B$1:$B$1000,0),MATCH(data!U$1,Haver_M!$B$1:$ZN$1,0)),"na")</f>
        <v>106.3807</v>
      </c>
      <c r="V208">
        <f>IF(ISNUMBER(INDEX(Haver_M!$B$1:$ZN$1000,MATCH(data!$A208,Haver_M!$B$1:$B$1000,0),MATCH(data!V$1,Haver_M!$B$1:$ZN$1,0))),INDEX(Haver_M!$B$1:$ZN$1000,MATCH(data!$A208,Haver_M!$B$1:$B$1000,0),MATCH(data!V$1,Haver_M!$B$1:$ZN$1,0)),"na")</f>
        <v>112.5402</v>
      </c>
      <c r="W208">
        <f>IF(ISNUMBER(INDEX(Haver_M!$B$1:$ZN$1000,MATCH(data!$A208,Haver_M!$B$1:$B$1000,0),MATCH(data!W$1,Haver_M!$B$1:$ZN$1,0))),INDEX(Haver_M!$B$1:$ZN$1000,MATCH(data!$A208,Haver_M!$B$1:$B$1000,0),MATCH(data!W$1,Haver_M!$B$1:$ZN$1,0)),"na")</f>
        <v>3.55</v>
      </c>
      <c r="X208">
        <f>IF(ISNUMBER(INDEX(Haver_M!$B$1:$ZN$1000,MATCH(data!$A208,Haver_M!$B$1:$B$1000,0),MATCH(data!X$1,Haver_M!$B$1:$ZN$1,0))),INDEX(Haver_M!$B$1:$ZN$1000,MATCH(data!$A208,Haver_M!$B$1:$B$1000,0),MATCH(data!X$1,Haver_M!$B$1:$ZN$1,0)),"na")</f>
        <v>103.58</v>
      </c>
      <c r="Y208">
        <f>IF(ISNUMBER(INDEX(Haver_M!$B$1:$ZN$1000,MATCH(data!$A208,Haver_M!$B$1:$B$1000,0),MATCH(data!Y$1,Haver_M!$B$1:$ZN$1,0))),INDEX(Haver_M!$B$1:$ZN$1000,MATCH(data!$A208,Haver_M!$B$1:$B$1000,0),MATCH(data!Y$1,Haver_M!$B$1:$ZN$1,0)),"na")</f>
        <v>99.65</v>
      </c>
      <c r="Z208">
        <f>IF(ISNUMBER(INDEX(Haver_M!$B$1:$ZN$1000,MATCH(data!$A208,Haver_M!$B$1:$B$1000,0),MATCH(data!Z$1,Haver_M!$B$1:$ZN$1,0))),INDEX(Haver_M!$B$1:$ZN$1000,MATCH(data!$A208,Haver_M!$B$1:$B$1000,0),MATCH(data!Z$1,Haver_M!$B$1:$ZN$1,0)),"na")</f>
        <v>111.6769</v>
      </c>
      <c r="AA208">
        <f>IF(ISNUMBER(INDEX(Haver_M!$B$1:$ZN$1000,MATCH(data!$A208,Haver_M!$B$1:$B$1000,0),MATCH(data!AA$1,Haver_M!$B$1:$ZN$1,0))),INDEX(Haver_M!$B$1:$ZN$1000,MATCH(data!$A208,Haver_M!$B$1:$B$1000,0),MATCH(data!AA$1,Haver_M!$B$1:$ZN$1,0)),"na")</f>
        <v>107.20820000000001</v>
      </c>
      <c r="AB208">
        <f>IF(ISNUMBER(INDEX(Haver_M!$B$1:$ZN$1000,MATCH(data!$A208,Haver_M!$B$1:$B$1000,0),MATCH(data!AB$1,Haver_M!$B$1:$ZN$1,0))),INDEX(Haver_M!$B$1:$ZN$1000,MATCH(data!$A208,Haver_M!$B$1:$B$1000,0),MATCH(data!AB$1,Haver_M!$B$1:$ZN$1,0)),"na")</f>
        <v>33228.9</v>
      </c>
      <c r="AC208">
        <f>IF(ISNUMBER(INDEX(Haver_M!$B$1:$ZN$1000,MATCH(data!$A208,Haver_M!$B$1:$B$1000,0),MATCH(data!AC$1,Haver_M!$B$1:$ZN$1,0))),INDEX(Haver_M!$B$1:$ZN$1000,MATCH(data!$A208,Haver_M!$B$1:$B$1000,0),MATCH(data!AC$1,Haver_M!$B$1:$ZN$1,0)),"na")</f>
        <v>34108.800000000003</v>
      </c>
      <c r="AD208">
        <f>IF(ISNUMBER(INDEX(Haver_M!$B$1:$ZN$1000,MATCH(data!$A208,Haver_M!$B$1:$B$1000,0),MATCH(data!AD$1,Haver_M!$B$1:$ZN$1,0))),INDEX(Haver_M!$B$1:$ZN$1000,MATCH(data!$A208,Haver_M!$B$1:$B$1000,0),MATCH(data!AD$1,Haver_M!$B$1:$ZN$1,0)),"na")</f>
        <v>100.32</v>
      </c>
      <c r="AE208">
        <f>IF(ISNUMBER(INDEX(Haver_M!$B$1:$ZN$1000,MATCH(data!$A208,Haver_M!$B$1:$B$1000,0),MATCH(data!AE$1,Haver_M!$B$1:$ZN$1,0))),INDEX(Haver_M!$B$1:$ZN$1000,MATCH(data!$A208,Haver_M!$B$1:$B$1000,0),MATCH(data!AE$1,Haver_M!$B$1:$ZN$1,0)),"na")</f>
        <v>34.200000000000003</v>
      </c>
      <c r="AF208">
        <f>IF(ISNUMBER(INDEX(Haver_M!$B$1:$ZN$1000,MATCH(data!$A208,Haver_M!$B$1:$B$1000,0),MATCH(data!AF$1,Haver_M!$B$1:$ZN$1,0))),INDEX(Haver_M!$B$1:$ZN$1000,MATCH(data!$A208,Haver_M!$B$1:$B$1000,0),MATCH(data!AF$1,Haver_M!$B$1:$ZN$1,0)),"na")</f>
        <v>98.89</v>
      </c>
      <c r="AG208">
        <f>IF(ISNUMBER(INDEX(Haver_M!$B$1:$ZN$1000,MATCH(data!$A208,Haver_M!$B$1:$B$1000,0),MATCH(data!AG$1,Haver_M!$B$1:$ZN$1,0))),INDEX(Haver_M!$B$1:$ZN$1000,MATCH(data!$A208,Haver_M!$B$1:$B$1000,0),MATCH(data!AG$1,Haver_M!$B$1:$ZN$1,0)),"na")</f>
        <v>51.513300000000001</v>
      </c>
      <c r="AH208">
        <f>IF(ISNUMBER(INDEX(Haver_M!$B$1:$ZN$1000,MATCH(data!$A208,Haver_M!$B$1:$B$1000,0),MATCH(data!AH$1,Haver_M!$B$1:$ZN$1,0))),INDEX(Haver_M!$B$1:$ZN$1000,MATCH(data!$A208,Haver_M!$B$1:$B$1000,0),MATCH(data!AH$1,Haver_M!$B$1:$ZN$1,0)),"na")</f>
        <v>51.053199999999997</v>
      </c>
      <c r="AI208">
        <f>IF(ISNUMBER(INDEX(Haver_M!$B$1:$ZN$1000,MATCH(data!$A208,Haver_M!$B$1:$B$1000,0),MATCH(data!AI$1,Haver_M!$B$1:$ZN$1,0))),INDEX(Haver_M!$B$1:$ZN$1000,MATCH(data!$A208,Haver_M!$B$1:$B$1000,0),MATCH(data!AI$1,Haver_M!$B$1:$ZN$1,0)),"na")</f>
        <v>52.755800000000001</v>
      </c>
      <c r="AJ208">
        <f>IF(ISNUMBER(INDEX(Haver_M!$B$1:$ZN$1000,MATCH(data!$A208,Haver_M!$B$1:$B$1000,0),MATCH(data!AJ$1,Haver_M!$B$1:$ZN$1,0))),INDEX(Haver_M!$B$1:$ZN$1000,MATCH(data!$A208,Haver_M!$B$1:$B$1000,0),MATCH(data!AJ$1,Haver_M!$B$1:$ZN$1,0)),"na")</f>
        <v>50.371000000000002</v>
      </c>
      <c r="AK208">
        <f>IF(ISNUMBER(INDEX(Haver_M!$B$1:$ZN$1000,MATCH(data!$A208,Haver_M!$B$1:$B$1000,0),MATCH(data!AK$1,Haver_M!$B$1:$ZN$1,0))),INDEX(Haver_M!$B$1:$ZN$1000,MATCH(data!$A208,Haver_M!$B$1:$B$1000,0),MATCH(data!AK$1,Haver_M!$B$1:$ZN$1,0)),"na")</f>
        <v>48.351399999999998</v>
      </c>
      <c r="AL208">
        <f>IF(ISNUMBER(INDEX(Haver_M!$B$1:$ZN$1000,MATCH(data!$A208,Haver_M!$B$1:$B$1000,0),MATCH(data!AL$1,Haver_M!$B$1:$ZN$1,0))),INDEX(Haver_M!$B$1:$ZN$1000,MATCH(data!$A208,Haver_M!$B$1:$B$1000,0),MATCH(data!AL$1,Haver_M!$B$1:$ZN$1,0)),"na")</f>
        <v>51.017600000000002</v>
      </c>
      <c r="AM208">
        <f>IF(ISNUMBER(INDEX(Haver_M!$B$1:$ZN$1000,MATCH(data!$A208,Haver_M!$B$1:$B$1000,0),MATCH(data!AM$1,Haver_M!$B$1:$ZN$1,0))),INDEX(Haver_M!$B$1:$ZN$1000,MATCH(data!$A208,Haver_M!$B$1:$B$1000,0),MATCH(data!AM$1,Haver_M!$B$1:$ZN$1,0)),"na")</f>
        <v>61.117800000000003</v>
      </c>
      <c r="AN208">
        <f>IF(ISNUMBER(INDEX(Haver_M!$B$1:$ZN$1000,MATCH(data!$A208,Haver_M!$B$1:$B$1000,0),MATCH(data!AN$1,Haver_M!$B$1:$ZN$1,0))),INDEX(Haver_M!$B$1:$ZN$1000,MATCH(data!$A208,Haver_M!$B$1:$B$1000,0),MATCH(data!AN$1,Haver_M!$B$1:$ZN$1,0)),"na")</f>
        <v>52.222200000000001</v>
      </c>
      <c r="AO208">
        <f>IF(ISNUMBER(INDEX(Haver_M!$B$1:$ZN$1000,MATCH(data!$A208,Haver_M!$B$1:$B$1000,0),MATCH(data!AO$1,Haver_M!$B$1:$ZN$1,0))),INDEX(Haver_M!$B$1:$ZN$1000,MATCH(data!$A208,Haver_M!$B$1:$B$1000,0),MATCH(data!AO$1,Haver_M!$B$1:$ZN$1,0)),"na")</f>
        <v>51.017600000000002</v>
      </c>
      <c r="AP208">
        <f>IF(ISNUMBER(INDEX(Haver_M!$B$1:$ZN$1000,MATCH(data!$A208,Haver_M!$B$1:$B$1000,0),MATCH(data!AP$1,Haver_M!$B$1:$ZN$1,0))),INDEX(Haver_M!$B$1:$ZN$1000,MATCH(data!$A208,Haver_M!$B$1:$B$1000,0),MATCH(data!AP$1,Haver_M!$B$1:$ZN$1,0)),"na")</f>
        <v>51.019100000000002</v>
      </c>
      <c r="AQ208">
        <f>IF(ISNUMBER(INDEX(Haver_M!$B$1:$ZN$1000,MATCH(data!$A208,Haver_M!$B$1:$B$1000,0),MATCH(data!AQ$1,Haver_M!$B$1:$ZN$1,0))),INDEX(Haver_M!$B$1:$ZN$1000,MATCH(data!$A208,Haver_M!$B$1:$B$1000,0),MATCH(data!AQ$1,Haver_M!$B$1:$ZN$1,0)),"na")</f>
        <v>54.019500000000001</v>
      </c>
      <c r="AR208">
        <f>IF(ISNUMBER(INDEX(Haver_M!$B$1:$ZN$1000,MATCH(data!$A208,Haver_M!$B$1:$B$1000,0),MATCH(data!AR$1,Haver_M!$B$1:$ZN$1,0))),INDEX(Haver_M!$B$1:$ZN$1000,MATCH(data!$A208,Haver_M!$B$1:$B$1000,0),MATCH(data!AR$1,Haver_M!$B$1:$ZN$1,0)),"na")</f>
        <v>50.3065</v>
      </c>
      <c r="AS208">
        <f>IF(ISNUMBER(INDEX(Haver_M!$B$1:$ZN$1000,MATCH(data!$A208,Haver_M!$B$1:$B$1000,0),MATCH(data!AS$1,Haver_M!$B$1:$ZN$1,0))),INDEX(Haver_M!$B$1:$ZN$1000,MATCH(data!$A208,Haver_M!$B$1:$B$1000,0),MATCH(data!AS$1,Haver_M!$B$1:$ZN$1,0)),"na")</f>
        <v>48072.99</v>
      </c>
      <c r="AT208">
        <f>IF(ISNUMBER(INDEX(Haver_M!$B$1:$ZN$1000,MATCH(data!$A208,Haver_M!$B$1:$B$1000,0),MATCH(data!AT$1,Haver_M!$B$1:$ZN$1,0))),INDEX(Haver_M!$B$1:$ZN$1000,MATCH(data!$A208,Haver_M!$B$1:$B$1000,0),MATCH(data!AT$1,Haver_M!$B$1:$ZN$1,0)),"na")</f>
        <v>112.724</v>
      </c>
      <c r="AU208">
        <f>IF(ISNUMBER(INDEX(Haver_M!$B$1:$ZN$1000,MATCH(data!$A208,Haver_M!$B$1:$B$1000,0),MATCH(data!AU$1,Haver_M!$B$1:$ZN$1,0))),INDEX(Haver_M!$B$1:$ZN$1000,MATCH(data!$A208,Haver_M!$B$1:$B$1000,0),MATCH(data!AU$1,Haver_M!$B$1:$ZN$1,0)),"na")</f>
        <v>110.526202</v>
      </c>
      <c r="AV208">
        <f>IF(ISNUMBER(INDEX(Haver_M!$B$1:$ZN$1000,MATCH(data!$A208,Haver_M!$B$1:$B$1000,0),MATCH(data!AV$1,Haver_M!$B$1:$ZN$1,0))),INDEX(Haver_M!$B$1:$ZN$1000,MATCH(data!$A208,Haver_M!$B$1:$B$1000,0),MATCH(data!AV$1,Haver_M!$B$1:$ZN$1,0)),"na")</f>
        <v>108.4</v>
      </c>
      <c r="AW208">
        <f>IF(ISNUMBER(INDEX(Haver_M!$B$1:$ZN$1000,MATCH(data!$A208,Haver_M!$B$1:$B$1000,0),MATCH(data!AW$1,Haver_M!$B$1:$ZN$1,0))),INDEX(Haver_M!$B$1:$ZN$1000,MATCH(data!$A208,Haver_M!$B$1:$B$1000,0),MATCH(data!AW$1,Haver_M!$B$1:$ZN$1,0)),"na")</f>
        <v>1703530.0858249858</v>
      </c>
      <c r="AX208">
        <f>IF(ISNUMBER(INDEX(Haver_M!$B$1:$ZN$1000,MATCH(data!$A208,Haver_M!$B$1:$B$1000,0),MATCH(data!AX$1,Haver_M!$B$1:$ZN$1,0))),INDEX(Haver_M!$B$1:$ZN$1000,MATCH(data!$A208,Haver_M!$B$1:$B$1000,0),MATCH(data!AX$1,Haver_M!$B$1:$ZN$1,0)),"na")</f>
        <v>2024</v>
      </c>
      <c r="AY208">
        <f>IF(ISNUMBER(INDEX(Haver_M!$B$1:$ZN$1000,MATCH(data!$A208,Haver_M!$B$1:$B$1000,0),MATCH(data!AY$1,Haver_M!$B$1:$ZN$1,0))),INDEX(Haver_M!$B$1:$ZN$1000,MATCH(data!$A208,Haver_M!$B$1:$B$1000,0),MATCH(data!AY$1,Haver_M!$B$1:$ZN$1,0)),"na")</f>
        <v>1002</v>
      </c>
      <c r="AZ208">
        <f>IF(ISNUMBER(INDEX(Haver_M!$B$1:$ZN$1000,MATCH(data!$A208,Haver_M!$B$1:$B$1000,0),MATCH(data!AZ$1,Haver_M!$B$1:$ZN$1,0))),INDEX(Haver_M!$B$1:$ZN$1000,MATCH(data!$A208,Haver_M!$B$1:$B$1000,0),MATCH(data!AZ$1,Haver_M!$B$1:$ZN$1,0)),"na")</f>
        <v>45.9</v>
      </c>
      <c r="BA208">
        <f>IF(ISNUMBER(INDEX(Haver_M!$B$1:$ZN$1000,MATCH(data!$A208,Haver_M!$B$1:$B$1000,0),MATCH(data!BA$1,Haver_M!$B$1:$ZN$1,0))),INDEX(Haver_M!$B$1:$ZN$1000,MATCH(data!$A208,Haver_M!$B$1:$B$1000,0),MATCH(data!BA$1,Haver_M!$B$1:$ZN$1,0)),"na")</f>
        <v>75.293981697048736</v>
      </c>
      <c r="BB208" t="str">
        <f>IF(ISNUMBER(INDEX(Haver_M!$B$1:$ZN$1000,MATCH(data!$A208,Haver_M!$B$1:$B$1000,0),MATCH(data!BB$1,Haver_M!$B$1:$ZN$1,0))),INDEX(Haver_M!$B$1:$ZN$1000,MATCH(data!$A208,Haver_M!$B$1:$B$1000,0),MATCH(data!BB$1,Haver_M!$B$1:$ZN$1,0)),"")</f>
        <v/>
      </c>
    </row>
    <row r="209" spans="1:54" x14ac:dyDescent="0.25">
      <c r="A209" s="2">
        <v>42855</v>
      </c>
      <c r="B209" t="str">
        <f>IF(ISNUMBER(INDEX(Haver_Q!$B$1:$BD$1000,MATCH(data!$A209,Haver_Q!$B$1:$B$1000,0),MATCH(data!B$1,Haver_Q!$B$1:$BD$1,0))),100*INDEX(Haver_Q!$B$1:$BD$1000,MATCH(data!$A209,Haver_Q!$B$1:$B$1000,0),MATCH(data!B$1,Haver_Q!$B$1:$BD$1,0)),"na")</f>
        <v>na</v>
      </c>
      <c r="C209" t="str">
        <f>IF(ISNUMBER(INDEX(Haver_Q!$B$1:$BD$1000,MATCH(data!$A209,Haver_Q!$B$1:$B$1000,0),MATCH(data!C$1,Haver_Q!$B$1:$BD$1,0))),100*INDEX(Haver_Q!$B$1:$BD$1000,MATCH(data!$A209,Haver_Q!$B$1:$B$1000,0),MATCH(data!C$1,Haver_Q!$B$1:$BD$1,0)),"na")</f>
        <v>na</v>
      </c>
      <c r="D209" t="str">
        <f>IF(ISNUMBER(INDEX(Haver_Q!$B$1:$BD$1000,MATCH(data!$A209,Haver_Q!$B$1:$B$1000,0),MATCH(data!D$1,Haver_Q!$B$1:$BD$1,0))),100*INDEX(Haver_Q!$B$1:$BD$1000,MATCH(data!$A209,Haver_Q!$B$1:$B$1000,0),MATCH(data!D$1,Haver_Q!$B$1:$BD$1,0)),"na")</f>
        <v>na</v>
      </c>
      <c r="E209" t="str">
        <f>IF(ISNUMBER(INDEX(Haver_Q!$B$1:$BD$1000,MATCH(data!$A209,Haver_Q!$B$1:$B$1000,0),MATCH(data!E$1,Haver_Q!$B$1:$BD$1,0))),100*INDEX(Haver_Q!$B$1:$BD$1000,MATCH(data!$A209,Haver_Q!$B$1:$B$1000,0),MATCH(data!E$1,Haver_Q!$B$1:$BD$1,0)),"na")</f>
        <v>na</v>
      </c>
      <c r="F209" t="str">
        <f>IF(ISNUMBER(INDEX(Haver_Q!$B$1:$BD$1000,MATCH(data!$A209,Haver_Q!$B$1:$B$1000,0),MATCH(data!F$1,Haver_Q!$B$1:$BD$1,0))),100*INDEX(Haver_Q!$B$1:$BD$1000,MATCH(data!$A209,Haver_Q!$B$1:$B$1000,0),MATCH(data!F$1,Haver_Q!$B$1:$BD$1,0)),"na")</f>
        <v>na</v>
      </c>
      <c r="G209" t="str">
        <f>IF(ISNUMBER(INDEX(Haver_Q!$B$1:$BD$1000,MATCH(data!$A209,Haver_Q!$B$1:$B$1000,0),MATCH(data!G$1,Haver_Q!$B$1:$BD$1,0))),100*INDEX(Haver_Q!$B$1:$BD$1000,MATCH(data!$A209,Haver_Q!$B$1:$B$1000,0),MATCH(data!G$1,Haver_Q!$B$1:$BD$1,0)),"na")</f>
        <v>na</v>
      </c>
      <c r="H209" t="str">
        <f>IF(ISNUMBER(INDEX(Haver_Q!$B$1:$BD$1000,MATCH(data!$A209,Haver_Q!$B$1:$B$1000,0),MATCH(data!H$1,Haver_Q!$B$1:$BD$1,0))),100*INDEX(Haver_Q!$B$1:$BD$1000,MATCH(data!$A209,Haver_Q!$B$1:$B$1000,0),MATCH(data!H$1,Haver_Q!$B$1:$BD$1,0)),"na")</f>
        <v>na</v>
      </c>
      <c r="I209" s="3">
        <f>IF(ISNUMBER(Bloomberg_m!C225),Bloomberg_m!C225,"na")</f>
        <v>1222</v>
      </c>
      <c r="J209" s="3">
        <f>IF(ISNUMBER(Bloomberg_m!D225),Bloomberg_m!D225,"na")</f>
        <v>1464.42</v>
      </c>
      <c r="K209" s="3">
        <f>IF(ISNUMBER(Bloomberg_m!E225),Bloomberg_m!E225,"na")</f>
        <v>834.06</v>
      </c>
      <c r="L209" s="3">
        <f>IF(ISNUMBER(Bloomberg_m!L225),Bloomberg_m!L225,"na")</f>
        <v>51.06</v>
      </c>
      <c r="M209">
        <f>IF(ISNUMBER(INDEX(Haver_M!$B$1:$ZN$1000,MATCH(data!$A209,Haver_M!$B$1:$B$1000,0),MATCH(data!M$1,Haver_M!$B$1:$ZN$1,0))),INDEX(Haver_M!$B$1:$ZN$1000,MATCH(data!$A209,Haver_M!$B$1:$B$1000,0),MATCH(data!M$1,Haver_M!$B$1:$ZN$1,0)),"na")</f>
        <v>6.5</v>
      </c>
      <c r="N209">
        <f>IF(ISNUMBER(INDEX(Haver_M!$B$1:$ZN$1000,MATCH(data!$A209,Haver_M!$B$1:$B$1000,0),MATCH(data!N$1,Haver_M!$B$1:$ZN$1,0))),INDEX(Haver_M!$B$1:$ZN$1000,MATCH(data!$A209,Haver_M!$B$1:$B$1000,0),MATCH(data!N$1,Haver_M!$B$1:$ZN$1,0)),"na")</f>
        <v>7.1473000000000004</v>
      </c>
      <c r="O209">
        <f>IF(ISNUMBER(INDEX(Haver_M!$B$1:$ZN$1000,MATCH(data!$A209,Haver_M!$B$1:$B$1000,0),MATCH(data!O$1,Haver_M!$B$1:$ZN$1,0))),INDEX(Haver_M!$B$1:$ZN$1000,MATCH(data!$A209,Haver_M!$B$1:$B$1000,0),MATCH(data!O$1,Haver_M!$B$1:$ZN$1,0)),"na")</f>
        <v>82.255859999999998</v>
      </c>
      <c r="P209">
        <f>IF(ISNUMBER(INDEX(Haver_M!$B$1:$ZN$1000,MATCH(data!$A209,Haver_M!$B$1:$B$1000,0),MATCH(data!P$1,Haver_M!$B$1:$ZN$1,0))),INDEX(Haver_M!$B$1:$ZN$1000,MATCH(data!$A209,Haver_M!$B$1:$B$1000,0),MATCH(data!P$1,Haver_M!$B$1:$ZN$1,0)),"na")</f>
        <v>94.582999999999998</v>
      </c>
      <c r="Q209">
        <f>IF(ISNUMBER(INDEX(Haver_M!$B$1:$ZN$1000,MATCH(data!$A209,Haver_M!$B$1:$B$1000,0),MATCH(data!Q$1,Haver_M!$B$1:$ZN$1,0))),INDEX(Haver_M!$B$1:$ZN$1000,MATCH(data!$A209,Haver_M!$B$1:$B$1000,0),MATCH(data!Q$1,Haver_M!$B$1:$ZN$1,0)),"na")</f>
        <v>95.436999999999998</v>
      </c>
      <c r="R209">
        <f>IF(ISNUMBER(INDEX(Haver_M!$B$1:$ZN$1000,MATCH(data!$A209,Haver_M!$B$1:$B$1000,0),MATCH(data!R$1,Haver_M!$B$1:$ZN$1,0))),INDEX(Haver_M!$B$1:$ZN$1000,MATCH(data!$A209,Haver_M!$B$1:$B$1000,0),MATCH(data!R$1,Haver_M!$B$1:$ZN$1,0)),"na")</f>
        <v>103.9182</v>
      </c>
      <c r="S209">
        <f>IF(ISNUMBER(INDEX(Haver_M!$B$1:$ZN$1000,MATCH(data!$A209,Haver_M!$B$1:$B$1000,0),MATCH(data!S$1,Haver_M!$B$1:$ZN$1,0))),INDEX(Haver_M!$B$1:$ZN$1000,MATCH(data!$A209,Haver_M!$B$1:$B$1000,0),MATCH(data!S$1,Haver_M!$B$1:$ZN$1,0)),"na")</f>
        <v>84.630300000000005</v>
      </c>
      <c r="T209">
        <f>IF(ISNUMBER(INDEX(Haver_M!$B$1:$ZN$1000,MATCH(data!$A209,Haver_M!$B$1:$B$1000,0),MATCH(data!T$1,Haver_M!$B$1:$ZN$1,0))),INDEX(Haver_M!$B$1:$ZN$1000,MATCH(data!$A209,Haver_M!$B$1:$B$1000,0),MATCH(data!T$1,Haver_M!$B$1:$ZN$1,0)),"na")</f>
        <v>108.81910000000001</v>
      </c>
      <c r="U209">
        <f>IF(ISNUMBER(INDEX(Haver_M!$B$1:$ZN$1000,MATCH(data!$A209,Haver_M!$B$1:$B$1000,0),MATCH(data!U$1,Haver_M!$B$1:$ZN$1,0))),INDEX(Haver_M!$B$1:$ZN$1000,MATCH(data!$A209,Haver_M!$B$1:$B$1000,0),MATCH(data!U$1,Haver_M!$B$1:$ZN$1,0)),"na")</f>
        <v>103.8497</v>
      </c>
      <c r="V209">
        <f>IF(ISNUMBER(INDEX(Haver_M!$B$1:$ZN$1000,MATCH(data!$A209,Haver_M!$B$1:$B$1000,0),MATCH(data!V$1,Haver_M!$B$1:$ZN$1,0))),INDEX(Haver_M!$B$1:$ZN$1000,MATCH(data!$A209,Haver_M!$B$1:$B$1000,0),MATCH(data!V$1,Haver_M!$B$1:$ZN$1,0)),"na")</f>
        <v>112.2373</v>
      </c>
      <c r="W209">
        <f>IF(ISNUMBER(INDEX(Haver_M!$B$1:$ZN$1000,MATCH(data!$A209,Haver_M!$B$1:$B$1000,0),MATCH(data!W$1,Haver_M!$B$1:$ZN$1,0))),INDEX(Haver_M!$B$1:$ZN$1000,MATCH(data!$A209,Haver_M!$B$1:$B$1000,0),MATCH(data!W$1,Haver_M!$B$1:$ZN$1,0)),"na")</f>
        <v>3.52</v>
      </c>
      <c r="X209">
        <f>IF(ISNUMBER(INDEX(Haver_M!$B$1:$ZN$1000,MATCH(data!$A209,Haver_M!$B$1:$B$1000,0),MATCH(data!X$1,Haver_M!$B$1:$ZN$1,0))),INDEX(Haver_M!$B$1:$ZN$1000,MATCH(data!$A209,Haver_M!$B$1:$B$1000,0),MATCH(data!X$1,Haver_M!$B$1:$ZN$1,0)),"na")</f>
        <v>103.61</v>
      </c>
      <c r="Y209">
        <f>IF(ISNUMBER(INDEX(Haver_M!$B$1:$ZN$1000,MATCH(data!$A209,Haver_M!$B$1:$B$1000,0),MATCH(data!Y$1,Haver_M!$B$1:$ZN$1,0))),INDEX(Haver_M!$B$1:$ZN$1000,MATCH(data!$A209,Haver_M!$B$1:$B$1000,0),MATCH(data!Y$1,Haver_M!$B$1:$ZN$1,0)),"na")</f>
        <v>99.83</v>
      </c>
      <c r="Z209">
        <f>IF(ISNUMBER(INDEX(Haver_M!$B$1:$ZN$1000,MATCH(data!$A209,Haver_M!$B$1:$B$1000,0),MATCH(data!Z$1,Haver_M!$B$1:$ZN$1,0))),INDEX(Haver_M!$B$1:$ZN$1000,MATCH(data!$A209,Haver_M!$B$1:$B$1000,0),MATCH(data!Z$1,Haver_M!$B$1:$ZN$1,0)),"na")</f>
        <v>111.73909999999999</v>
      </c>
      <c r="AA209">
        <f>IF(ISNUMBER(INDEX(Haver_M!$B$1:$ZN$1000,MATCH(data!$A209,Haver_M!$B$1:$B$1000,0),MATCH(data!AA$1,Haver_M!$B$1:$ZN$1,0))),INDEX(Haver_M!$B$1:$ZN$1000,MATCH(data!$A209,Haver_M!$B$1:$B$1000,0),MATCH(data!AA$1,Haver_M!$B$1:$ZN$1,0)),"na")</f>
        <v>107.1874</v>
      </c>
      <c r="AB209">
        <f>IF(ISNUMBER(INDEX(Haver_M!$B$1:$ZN$1000,MATCH(data!$A209,Haver_M!$B$1:$B$1000,0),MATCH(data!AB$1,Haver_M!$B$1:$ZN$1,0))),INDEX(Haver_M!$B$1:$ZN$1000,MATCH(data!$A209,Haver_M!$B$1:$B$1000,0),MATCH(data!AB$1,Haver_M!$B$1:$ZN$1,0)),"na")</f>
        <v>33276.1</v>
      </c>
      <c r="AC209">
        <f>IF(ISNUMBER(INDEX(Haver_M!$B$1:$ZN$1000,MATCH(data!$A209,Haver_M!$B$1:$B$1000,0),MATCH(data!AC$1,Haver_M!$B$1:$ZN$1,0))),INDEX(Haver_M!$B$1:$ZN$1000,MATCH(data!$A209,Haver_M!$B$1:$B$1000,0),MATCH(data!AC$1,Haver_M!$B$1:$ZN$1,0)),"na")</f>
        <v>33945.1</v>
      </c>
      <c r="AD209">
        <f>IF(ISNUMBER(INDEX(Haver_M!$B$1:$ZN$1000,MATCH(data!$A209,Haver_M!$B$1:$B$1000,0),MATCH(data!AD$1,Haver_M!$B$1:$ZN$1,0))),INDEX(Haver_M!$B$1:$ZN$1000,MATCH(data!$A209,Haver_M!$B$1:$B$1000,0),MATCH(data!AD$1,Haver_M!$B$1:$ZN$1,0)),"na")</f>
        <v>100.29</v>
      </c>
      <c r="AE209">
        <f>IF(ISNUMBER(INDEX(Haver_M!$B$1:$ZN$1000,MATCH(data!$A209,Haver_M!$B$1:$B$1000,0),MATCH(data!AE$1,Haver_M!$B$1:$ZN$1,0))),INDEX(Haver_M!$B$1:$ZN$1000,MATCH(data!$A209,Haver_M!$B$1:$B$1000,0),MATCH(data!AE$1,Haver_M!$B$1:$ZN$1,0)),"na")</f>
        <v>35</v>
      </c>
      <c r="AF209">
        <f>IF(ISNUMBER(INDEX(Haver_M!$B$1:$ZN$1000,MATCH(data!$A209,Haver_M!$B$1:$B$1000,0),MATCH(data!AF$1,Haver_M!$B$1:$ZN$1,0))),INDEX(Haver_M!$B$1:$ZN$1000,MATCH(data!$A209,Haver_M!$B$1:$B$1000,0),MATCH(data!AF$1,Haver_M!$B$1:$ZN$1,0)),"na")</f>
        <v>99.11</v>
      </c>
      <c r="AG209">
        <f>IF(ISNUMBER(INDEX(Haver_M!$B$1:$ZN$1000,MATCH(data!$A209,Haver_M!$B$1:$B$1000,0),MATCH(data!AG$1,Haver_M!$B$1:$ZN$1,0))),INDEX(Haver_M!$B$1:$ZN$1000,MATCH(data!$A209,Haver_M!$B$1:$B$1000,0),MATCH(data!AG$1,Haver_M!$B$1:$ZN$1,0)),"na")</f>
        <v>50.733400000000003</v>
      </c>
      <c r="AH209">
        <f>IF(ISNUMBER(INDEX(Haver_M!$B$1:$ZN$1000,MATCH(data!$A209,Haver_M!$B$1:$B$1000,0),MATCH(data!AH$1,Haver_M!$B$1:$ZN$1,0))),INDEX(Haver_M!$B$1:$ZN$1000,MATCH(data!$A209,Haver_M!$B$1:$B$1000,0),MATCH(data!AH$1,Haver_M!$B$1:$ZN$1,0)),"na")</f>
        <v>49.675899999999999</v>
      </c>
      <c r="AI209">
        <f>IF(ISNUMBER(INDEX(Haver_M!$B$1:$ZN$1000,MATCH(data!$A209,Haver_M!$B$1:$B$1000,0),MATCH(data!AI$1,Haver_M!$B$1:$ZN$1,0))),INDEX(Haver_M!$B$1:$ZN$1000,MATCH(data!$A209,Haver_M!$B$1:$B$1000,0),MATCH(data!AI$1,Haver_M!$B$1:$ZN$1,0)),"na")</f>
        <v>51.829599999999999</v>
      </c>
      <c r="AJ209">
        <f>IF(ISNUMBER(INDEX(Haver_M!$B$1:$ZN$1000,MATCH(data!$A209,Haver_M!$B$1:$B$1000,0),MATCH(data!AJ$1,Haver_M!$B$1:$ZN$1,0))),INDEX(Haver_M!$B$1:$ZN$1000,MATCH(data!$A209,Haver_M!$B$1:$B$1000,0),MATCH(data!AJ$1,Haver_M!$B$1:$ZN$1,0)),"na")</f>
        <v>50.631300000000003</v>
      </c>
      <c r="AK209">
        <f>IF(ISNUMBER(INDEX(Haver_M!$B$1:$ZN$1000,MATCH(data!$A209,Haver_M!$B$1:$B$1000,0),MATCH(data!AK$1,Haver_M!$B$1:$ZN$1,0))),INDEX(Haver_M!$B$1:$ZN$1000,MATCH(data!$A209,Haver_M!$B$1:$B$1000,0),MATCH(data!AK$1,Haver_M!$B$1:$ZN$1,0)),"na")</f>
        <v>49.0291</v>
      </c>
      <c r="AL209">
        <f>IF(ISNUMBER(INDEX(Haver_M!$B$1:$ZN$1000,MATCH(data!$A209,Haver_M!$B$1:$B$1000,0),MATCH(data!AL$1,Haver_M!$B$1:$ZN$1,0))),INDEX(Haver_M!$B$1:$ZN$1000,MATCH(data!$A209,Haver_M!$B$1:$B$1000,0),MATCH(data!AL$1,Haver_M!$B$1:$ZN$1,0)),"na")</f>
        <v>49.936999999999998</v>
      </c>
      <c r="AM209">
        <f>IF(ISNUMBER(INDEX(Haver_M!$B$1:$ZN$1000,MATCH(data!$A209,Haver_M!$B$1:$B$1000,0),MATCH(data!AM$1,Haver_M!$B$1:$ZN$1,0))),INDEX(Haver_M!$B$1:$ZN$1000,MATCH(data!$A209,Haver_M!$B$1:$B$1000,0),MATCH(data!AM$1,Haver_M!$B$1:$ZN$1,0)),"na")</f>
        <v>58.090299999999999</v>
      </c>
      <c r="AN209">
        <f>IF(ISNUMBER(INDEX(Haver_M!$B$1:$ZN$1000,MATCH(data!$A209,Haver_M!$B$1:$B$1000,0),MATCH(data!AN$1,Haver_M!$B$1:$ZN$1,0))),INDEX(Haver_M!$B$1:$ZN$1000,MATCH(data!$A209,Haver_M!$B$1:$B$1000,0),MATCH(data!AN$1,Haver_M!$B$1:$ZN$1,0)),"na")</f>
        <v>49.493400000000001</v>
      </c>
      <c r="AO209">
        <f>IF(ISNUMBER(INDEX(Haver_M!$B$1:$ZN$1000,MATCH(data!$A209,Haver_M!$B$1:$B$1000,0),MATCH(data!AO$1,Haver_M!$B$1:$ZN$1,0))),INDEX(Haver_M!$B$1:$ZN$1000,MATCH(data!$A209,Haver_M!$B$1:$B$1000,0),MATCH(data!AO$1,Haver_M!$B$1:$ZN$1,0)),"na")</f>
        <v>49.936999999999998</v>
      </c>
      <c r="AP209">
        <f>IF(ISNUMBER(INDEX(Haver_M!$B$1:$ZN$1000,MATCH(data!$A209,Haver_M!$B$1:$B$1000,0),MATCH(data!AP$1,Haver_M!$B$1:$ZN$1,0))),INDEX(Haver_M!$B$1:$ZN$1000,MATCH(data!$A209,Haver_M!$B$1:$B$1000,0),MATCH(data!AP$1,Haver_M!$B$1:$ZN$1,0)),"na")</f>
        <v>51.787500000000001</v>
      </c>
      <c r="AQ209">
        <f>IF(ISNUMBER(INDEX(Haver_M!$B$1:$ZN$1000,MATCH(data!$A209,Haver_M!$B$1:$B$1000,0),MATCH(data!AQ$1,Haver_M!$B$1:$ZN$1,0))),INDEX(Haver_M!$B$1:$ZN$1000,MATCH(data!$A209,Haver_M!$B$1:$B$1000,0),MATCH(data!AQ$1,Haver_M!$B$1:$ZN$1,0)),"na")</f>
        <v>53.522799999999997</v>
      </c>
      <c r="AR209">
        <f>IF(ISNUMBER(INDEX(Haver_M!$B$1:$ZN$1000,MATCH(data!$A209,Haver_M!$B$1:$B$1000,0),MATCH(data!AR$1,Haver_M!$B$1:$ZN$1,0))),INDEX(Haver_M!$B$1:$ZN$1000,MATCH(data!$A209,Haver_M!$B$1:$B$1000,0),MATCH(data!AR$1,Haver_M!$B$1:$ZN$1,0)),"na")</f>
        <v>51.745100000000001</v>
      </c>
      <c r="AS209">
        <f>IF(ISNUMBER(INDEX(Haver_M!$B$1:$ZN$1000,MATCH(data!$A209,Haver_M!$B$1:$B$1000,0),MATCH(data!AS$1,Haver_M!$B$1:$ZN$1,0))),INDEX(Haver_M!$B$1:$ZN$1000,MATCH(data!$A209,Haver_M!$B$1:$B$1000,0),MATCH(data!AS$1,Haver_M!$B$1:$ZN$1,0)),"na")</f>
        <v>49228.28</v>
      </c>
      <c r="AT209">
        <f>IF(ISNUMBER(INDEX(Haver_M!$B$1:$ZN$1000,MATCH(data!$A209,Haver_M!$B$1:$B$1000,0),MATCH(data!AT$1,Haver_M!$B$1:$ZN$1,0))),INDEX(Haver_M!$B$1:$ZN$1000,MATCH(data!$A209,Haver_M!$B$1:$B$1000,0),MATCH(data!AT$1,Haver_M!$B$1:$ZN$1,0)),"na")</f>
        <v>113.33199999999999</v>
      </c>
      <c r="AU209">
        <f>IF(ISNUMBER(INDEX(Haver_M!$B$1:$ZN$1000,MATCH(data!$A209,Haver_M!$B$1:$B$1000,0),MATCH(data!AU$1,Haver_M!$B$1:$ZN$1,0))),INDEX(Haver_M!$B$1:$ZN$1000,MATCH(data!$A209,Haver_M!$B$1:$B$1000,0),MATCH(data!AU$1,Haver_M!$B$1:$ZN$1,0)),"na")</f>
        <v>110.51447</v>
      </c>
      <c r="AV209">
        <f>IF(ISNUMBER(INDEX(Haver_M!$B$1:$ZN$1000,MATCH(data!$A209,Haver_M!$B$1:$B$1000,0),MATCH(data!AV$1,Haver_M!$B$1:$ZN$1,0))),INDEX(Haver_M!$B$1:$ZN$1000,MATCH(data!$A209,Haver_M!$B$1:$B$1000,0),MATCH(data!AV$1,Haver_M!$B$1:$ZN$1,0)),"na")</f>
        <v>104</v>
      </c>
      <c r="AW209">
        <f>IF(ISNUMBER(INDEX(Haver_M!$B$1:$ZN$1000,MATCH(data!$A209,Haver_M!$B$1:$B$1000,0),MATCH(data!AW$1,Haver_M!$B$1:$ZN$1,0))),INDEX(Haver_M!$B$1:$ZN$1000,MATCH(data!$A209,Haver_M!$B$1:$B$1000,0),MATCH(data!AW$1,Haver_M!$B$1:$ZN$1,0)),"na")</f>
        <v>1823909.7395360009</v>
      </c>
      <c r="AX209">
        <f>IF(ISNUMBER(INDEX(Haver_M!$B$1:$ZN$1000,MATCH(data!$A209,Haver_M!$B$1:$B$1000,0),MATCH(data!AX$1,Haver_M!$B$1:$ZN$1,0))),INDEX(Haver_M!$B$1:$ZN$1000,MATCH(data!$A209,Haver_M!$B$1:$B$1000,0),MATCH(data!AX$1,Haver_M!$B$1:$ZN$1,0)),"na")</f>
        <v>2014</v>
      </c>
      <c r="AY209">
        <f>IF(ISNUMBER(INDEX(Haver_M!$B$1:$ZN$1000,MATCH(data!$A209,Haver_M!$B$1:$B$1000,0),MATCH(data!AY$1,Haver_M!$B$1:$ZN$1,0))),INDEX(Haver_M!$B$1:$ZN$1000,MATCH(data!$A209,Haver_M!$B$1:$B$1000,0),MATCH(data!AY$1,Haver_M!$B$1:$ZN$1,0)),"na")</f>
        <v>1017</v>
      </c>
      <c r="AZ209">
        <f>IF(ISNUMBER(INDEX(Haver_M!$B$1:$ZN$1000,MATCH(data!$A209,Haver_M!$B$1:$B$1000,0),MATCH(data!AZ$1,Haver_M!$B$1:$ZN$1,0))),INDEX(Haver_M!$B$1:$ZN$1000,MATCH(data!$A209,Haver_M!$B$1:$B$1000,0),MATCH(data!AZ$1,Haver_M!$B$1:$ZN$1,0)),"na")</f>
        <v>45.8</v>
      </c>
      <c r="BA209">
        <f>IF(ISNUMBER(INDEX(Haver_M!$B$1:$ZN$1000,MATCH(data!$A209,Haver_M!$B$1:$B$1000,0),MATCH(data!BA$1,Haver_M!$B$1:$ZN$1,0))),INDEX(Haver_M!$B$1:$ZN$1000,MATCH(data!$A209,Haver_M!$B$1:$B$1000,0),MATCH(data!BA$1,Haver_M!$B$1:$ZN$1,0)),"na")</f>
        <v>64.21017474189803</v>
      </c>
      <c r="BB209" t="str">
        <f>IF(ISNUMBER(INDEX(Haver_M!$B$1:$ZN$1000,MATCH(data!$A209,Haver_M!$B$1:$B$1000,0),MATCH(data!BB$1,Haver_M!$B$1:$ZN$1,0))),INDEX(Haver_M!$B$1:$ZN$1000,MATCH(data!$A209,Haver_M!$B$1:$B$1000,0),MATCH(data!BB$1,Haver_M!$B$1:$ZN$1,0)),"")</f>
        <v/>
      </c>
    </row>
    <row r="210" spans="1:54" x14ac:dyDescent="0.25">
      <c r="A210" s="2">
        <v>42886</v>
      </c>
      <c r="B210" t="str">
        <f>IF(ISNUMBER(INDEX(Haver_Q!$B$1:$BD$1000,MATCH(data!$A210,Haver_Q!$B$1:$B$1000,0),MATCH(data!B$1,Haver_Q!$B$1:$BD$1,0))),100*INDEX(Haver_Q!$B$1:$BD$1000,MATCH(data!$A210,Haver_Q!$B$1:$B$1000,0),MATCH(data!B$1,Haver_Q!$B$1:$BD$1,0)),"na")</f>
        <v>na</v>
      </c>
      <c r="C210" t="str">
        <f>IF(ISNUMBER(INDEX(Haver_Q!$B$1:$BD$1000,MATCH(data!$A210,Haver_Q!$B$1:$B$1000,0),MATCH(data!C$1,Haver_Q!$B$1:$BD$1,0))),100*INDEX(Haver_Q!$B$1:$BD$1000,MATCH(data!$A210,Haver_Q!$B$1:$B$1000,0),MATCH(data!C$1,Haver_Q!$B$1:$BD$1,0)),"na")</f>
        <v>na</v>
      </c>
      <c r="D210" t="str">
        <f>IF(ISNUMBER(INDEX(Haver_Q!$B$1:$BD$1000,MATCH(data!$A210,Haver_Q!$B$1:$B$1000,0),MATCH(data!D$1,Haver_Q!$B$1:$BD$1,0))),100*INDEX(Haver_Q!$B$1:$BD$1000,MATCH(data!$A210,Haver_Q!$B$1:$B$1000,0),MATCH(data!D$1,Haver_Q!$B$1:$BD$1,0)),"na")</f>
        <v>na</v>
      </c>
      <c r="E210" t="str">
        <f>IF(ISNUMBER(INDEX(Haver_Q!$B$1:$BD$1000,MATCH(data!$A210,Haver_Q!$B$1:$B$1000,0),MATCH(data!E$1,Haver_Q!$B$1:$BD$1,0))),100*INDEX(Haver_Q!$B$1:$BD$1000,MATCH(data!$A210,Haver_Q!$B$1:$B$1000,0),MATCH(data!E$1,Haver_Q!$B$1:$BD$1,0)),"na")</f>
        <v>na</v>
      </c>
      <c r="F210" t="str">
        <f>IF(ISNUMBER(INDEX(Haver_Q!$B$1:$BD$1000,MATCH(data!$A210,Haver_Q!$B$1:$B$1000,0),MATCH(data!F$1,Haver_Q!$B$1:$BD$1,0))),100*INDEX(Haver_Q!$B$1:$BD$1000,MATCH(data!$A210,Haver_Q!$B$1:$B$1000,0),MATCH(data!F$1,Haver_Q!$B$1:$BD$1,0)),"na")</f>
        <v>na</v>
      </c>
      <c r="G210" t="str">
        <f>IF(ISNUMBER(INDEX(Haver_Q!$B$1:$BD$1000,MATCH(data!$A210,Haver_Q!$B$1:$B$1000,0),MATCH(data!G$1,Haver_Q!$B$1:$BD$1,0))),100*INDEX(Haver_Q!$B$1:$BD$1000,MATCH(data!$A210,Haver_Q!$B$1:$B$1000,0),MATCH(data!G$1,Haver_Q!$B$1:$BD$1,0)),"na")</f>
        <v>na</v>
      </c>
      <c r="H210" t="str">
        <f>IF(ISNUMBER(INDEX(Haver_Q!$B$1:$BD$1000,MATCH(data!$A210,Haver_Q!$B$1:$B$1000,0),MATCH(data!H$1,Haver_Q!$B$1:$BD$1,0))),100*INDEX(Haver_Q!$B$1:$BD$1000,MATCH(data!$A210,Haver_Q!$B$1:$B$1000,0),MATCH(data!H$1,Haver_Q!$B$1:$BD$1,0)),"na")</f>
        <v>na</v>
      </c>
      <c r="I210" s="3">
        <f>IF(ISNUMBER(Bloomberg_m!C226),Bloomberg_m!C226,"na")</f>
        <v>973</v>
      </c>
      <c r="J210" s="3">
        <f>IF(ISNUMBER(Bloomberg_m!D226),Bloomberg_m!D226,"na")</f>
        <v>1529.47</v>
      </c>
      <c r="K210" s="3">
        <f>IF(ISNUMBER(Bloomberg_m!E226),Bloomberg_m!E226,"na")</f>
        <v>860.92</v>
      </c>
      <c r="L210" s="3">
        <f>IF(ISNUMBER(Bloomberg_m!L226),Bloomberg_m!L226,"na")</f>
        <v>48.5</v>
      </c>
      <c r="M210">
        <f>IF(ISNUMBER(INDEX(Haver_M!$B$1:$ZN$1000,MATCH(data!$A210,Haver_M!$B$1:$B$1000,0),MATCH(data!M$1,Haver_M!$B$1:$ZN$1,0))),INDEX(Haver_M!$B$1:$ZN$1000,MATCH(data!$A210,Haver_M!$B$1:$B$1000,0),MATCH(data!M$1,Haver_M!$B$1:$ZN$1,0)),"na")</f>
        <v>6.75</v>
      </c>
      <c r="N210">
        <f>IF(ISNUMBER(INDEX(Haver_M!$B$1:$ZN$1000,MATCH(data!$A210,Haver_M!$B$1:$B$1000,0),MATCH(data!N$1,Haver_M!$B$1:$ZN$1,0))),INDEX(Haver_M!$B$1:$ZN$1000,MATCH(data!$A210,Haver_M!$B$1:$B$1000,0),MATCH(data!N$1,Haver_M!$B$1:$ZN$1,0)),"na")</f>
        <v>7.2523</v>
      </c>
      <c r="O210">
        <f>IF(ISNUMBER(INDEX(Haver_M!$B$1:$ZN$1000,MATCH(data!$A210,Haver_M!$B$1:$B$1000,0),MATCH(data!O$1,Haver_M!$B$1:$ZN$1,0))),INDEX(Haver_M!$B$1:$ZN$1000,MATCH(data!$A210,Haver_M!$B$1:$B$1000,0),MATCH(data!O$1,Haver_M!$B$1:$ZN$1,0)),"na")</f>
        <v>81.940899999999999</v>
      </c>
      <c r="P210">
        <f>IF(ISNUMBER(INDEX(Haver_M!$B$1:$ZN$1000,MATCH(data!$A210,Haver_M!$B$1:$B$1000,0),MATCH(data!P$1,Haver_M!$B$1:$ZN$1,0))),INDEX(Haver_M!$B$1:$ZN$1000,MATCH(data!$A210,Haver_M!$B$1:$B$1000,0),MATCH(data!P$1,Haver_M!$B$1:$ZN$1,0)),"na")</f>
        <v>95.116200000000006</v>
      </c>
      <c r="Q210">
        <f>IF(ISNUMBER(INDEX(Haver_M!$B$1:$ZN$1000,MATCH(data!$A210,Haver_M!$B$1:$B$1000,0),MATCH(data!Q$1,Haver_M!$B$1:$ZN$1,0))),INDEX(Haver_M!$B$1:$ZN$1000,MATCH(data!$A210,Haver_M!$B$1:$B$1000,0),MATCH(data!Q$1,Haver_M!$B$1:$ZN$1,0)),"na")</f>
        <v>95.835700000000003</v>
      </c>
      <c r="R210">
        <f>IF(ISNUMBER(INDEX(Haver_M!$B$1:$ZN$1000,MATCH(data!$A210,Haver_M!$B$1:$B$1000,0),MATCH(data!R$1,Haver_M!$B$1:$ZN$1,0))),INDEX(Haver_M!$B$1:$ZN$1000,MATCH(data!$A210,Haver_M!$B$1:$B$1000,0),MATCH(data!R$1,Haver_M!$B$1:$ZN$1,0)),"na")</f>
        <v>103.47320000000001</v>
      </c>
      <c r="S210">
        <f>IF(ISNUMBER(INDEX(Haver_M!$B$1:$ZN$1000,MATCH(data!$A210,Haver_M!$B$1:$B$1000,0),MATCH(data!S$1,Haver_M!$B$1:$ZN$1,0))),INDEX(Haver_M!$B$1:$ZN$1000,MATCH(data!$A210,Haver_M!$B$1:$B$1000,0),MATCH(data!S$1,Haver_M!$B$1:$ZN$1,0)),"na")</f>
        <v>84.649699999999996</v>
      </c>
      <c r="T210">
        <f>IF(ISNUMBER(INDEX(Haver_M!$B$1:$ZN$1000,MATCH(data!$A210,Haver_M!$B$1:$B$1000,0),MATCH(data!T$1,Haver_M!$B$1:$ZN$1,0))),INDEX(Haver_M!$B$1:$ZN$1000,MATCH(data!$A210,Haver_M!$B$1:$B$1000,0),MATCH(data!T$1,Haver_M!$B$1:$ZN$1,0)),"na")</f>
        <v>111.11279999999999</v>
      </c>
      <c r="U210">
        <f>IF(ISNUMBER(INDEX(Haver_M!$B$1:$ZN$1000,MATCH(data!$A210,Haver_M!$B$1:$B$1000,0),MATCH(data!U$1,Haver_M!$B$1:$ZN$1,0))),INDEX(Haver_M!$B$1:$ZN$1000,MATCH(data!$A210,Haver_M!$B$1:$B$1000,0),MATCH(data!U$1,Haver_M!$B$1:$ZN$1,0)),"na")</f>
        <v>103.39149999999999</v>
      </c>
      <c r="V210">
        <f>IF(ISNUMBER(INDEX(Haver_M!$B$1:$ZN$1000,MATCH(data!$A210,Haver_M!$B$1:$B$1000,0),MATCH(data!V$1,Haver_M!$B$1:$ZN$1,0))),INDEX(Haver_M!$B$1:$ZN$1000,MATCH(data!$A210,Haver_M!$B$1:$B$1000,0),MATCH(data!V$1,Haver_M!$B$1:$ZN$1,0)),"na")</f>
        <v>111.4008</v>
      </c>
      <c r="W210">
        <f>IF(ISNUMBER(INDEX(Haver_M!$B$1:$ZN$1000,MATCH(data!$A210,Haver_M!$B$1:$B$1000,0),MATCH(data!W$1,Haver_M!$B$1:$ZN$1,0))),INDEX(Haver_M!$B$1:$ZN$1000,MATCH(data!$A210,Haver_M!$B$1:$B$1000,0),MATCH(data!W$1,Haver_M!$B$1:$ZN$1,0)),"na")</f>
        <v>3.53</v>
      </c>
      <c r="X210">
        <f>IF(ISNUMBER(INDEX(Haver_M!$B$1:$ZN$1000,MATCH(data!$A210,Haver_M!$B$1:$B$1000,0),MATCH(data!X$1,Haver_M!$B$1:$ZN$1,0))),INDEX(Haver_M!$B$1:$ZN$1000,MATCH(data!$A210,Haver_M!$B$1:$B$1000,0),MATCH(data!X$1,Haver_M!$B$1:$ZN$1,0)),"na")</f>
        <v>103.79</v>
      </c>
      <c r="Y210">
        <f>IF(ISNUMBER(INDEX(Haver_M!$B$1:$ZN$1000,MATCH(data!$A210,Haver_M!$B$1:$B$1000,0),MATCH(data!Y$1,Haver_M!$B$1:$ZN$1,0))),INDEX(Haver_M!$B$1:$ZN$1000,MATCH(data!$A210,Haver_M!$B$1:$B$1000,0),MATCH(data!Y$1,Haver_M!$B$1:$ZN$1,0)),"na")</f>
        <v>100.01</v>
      </c>
      <c r="Z210">
        <f>IF(ISNUMBER(INDEX(Haver_M!$B$1:$ZN$1000,MATCH(data!$A210,Haver_M!$B$1:$B$1000,0),MATCH(data!Z$1,Haver_M!$B$1:$ZN$1,0))),INDEX(Haver_M!$B$1:$ZN$1000,MATCH(data!$A210,Haver_M!$B$1:$B$1000,0),MATCH(data!Z$1,Haver_M!$B$1:$ZN$1,0)),"na")</f>
        <v>111.6198</v>
      </c>
      <c r="AA210">
        <f>IF(ISNUMBER(INDEX(Haver_M!$B$1:$ZN$1000,MATCH(data!$A210,Haver_M!$B$1:$B$1000,0),MATCH(data!AA$1,Haver_M!$B$1:$ZN$1,0))),INDEX(Haver_M!$B$1:$ZN$1000,MATCH(data!$A210,Haver_M!$B$1:$B$1000,0),MATCH(data!AA$1,Haver_M!$B$1:$ZN$1,0)),"na")</f>
        <v>106.4747</v>
      </c>
      <c r="AB210">
        <f>IF(ISNUMBER(INDEX(Haver_M!$B$1:$ZN$1000,MATCH(data!$A210,Haver_M!$B$1:$B$1000,0),MATCH(data!AB$1,Haver_M!$B$1:$ZN$1,0))),INDEX(Haver_M!$B$1:$ZN$1000,MATCH(data!$A210,Haver_M!$B$1:$B$1000,0),MATCH(data!AB$1,Haver_M!$B$1:$ZN$1,0)),"na")</f>
        <v>33099.4</v>
      </c>
      <c r="AC210">
        <f>IF(ISNUMBER(INDEX(Haver_M!$B$1:$ZN$1000,MATCH(data!$A210,Haver_M!$B$1:$B$1000,0),MATCH(data!AC$1,Haver_M!$B$1:$ZN$1,0))),INDEX(Haver_M!$B$1:$ZN$1000,MATCH(data!$A210,Haver_M!$B$1:$B$1000,0),MATCH(data!AC$1,Haver_M!$B$1:$ZN$1,0)),"na")</f>
        <v>34624</v>
      </c>
      <c r="AD210">
        <f>IF(ISNUMBER(INDEX(Haver_M!$B$1:$ZN$1000,MATCH(data!$A210,Haver_M!$B$1:$B$1000,0),MATCH(data!AD$1,Haver_M!$B$1:$ZN$1,0))),INDEX(Haver_M!$B$1:$ZN$1000,MATCH(data!$A210,Haver_M!$B$1:$B$1000,0),MATCH(data!AD$1,Haver_M!$B$1:$ZN$1,0)),"na")</f>
        <v>100.25</v>
      </c>
      <c r="AE210">
        <f>IF(ISNUMBER(INDEX(Haver_M!$B$1:$ZN$1000,MATCH(data!$A210,Haver_M!$B$1:$B$1000,0),MATCH(data!AE$1,Haver_M!$B$1:$ZN$1,0))),INDEX(Haver_M!$B$1:$ZN$1000,MATCH(data!$A210,Haver_M!$B$1:$B$1000,0),MATCH(data!AE$1,Haver_M!$B$1:$ZN$1,0)),"na")</f>
        <v>35.5</v>
      </c>
      <c r="AF210">
        <f>IF(ISNUMBER(INDEX(Haver_M!$B$1:$ZN$1000,MATCH(data!$A210,Haver_M!$B$1:$B$1000,0),MATCH(data!AF$1,Haver_M!$B$1:$ZN$1,0))),INDEX(Haver_M!$B$1:$ZN$1000,MATCH(data!$A210,Haver_M!$B$1:$B$1000,0),MATCH(data!AF$1,Haver_M!$B$1:$ZN$1,0)),"na")</f>
        <v>99.37</v>
      </c>
      <c r="AG210">
        <f>IF(ISNUMBER(INDEX(Haver_M!$B$1:$ZN$1000,MATCH(data!$A210,Haver_M!$B$1:$B$1000,0),MATCH(data!AG$1,Haver_M!$B$1:$ZN$1,0))),INDEX(Haver_M!$B$1:$ZN$1000,MATCH(data!$A210,Haver_M!$B$1:$B$1000,0),MATCH(data!AG$1,Haver_M!$B$1:$ZN$1,0)),"na")</f>
        <v>51.234200000000001</v>
      </c>
      <c r="AH210">
        <f>IF(ISNUMBER(INDEX(Haver_M!$B$1:$ZN$1000,MATCH(data!$A210,Haver_M!$B$1:$B$1000,0),MATCH(data!AH$1,Haver_M!$B$1:$ZN$1,0))),INDEX(Haver_M!$B$1:$ZN$1000,MATCH(data!$A210,Haver_M!$B$1:$B$1000,0),MATCH(data!AH$1,Haver_M!$B$1:$ZN$1,0)),"na")</f>
        <v>50.717700000000001</v>
      </c>
      <c r="AI210">
        <f>IF(ISNUMBER(INDEX(Haver_M!$B$1:$ZN$1000,MATCH(data!$A210,Haver_M!$B$1:$B$1000,0),MATCH(data!AI$1,Haver_M!$B$1:$ZN$1,0))),INDEX(Haver_M!$B$1:$ZN$1000,MATCH(data!$A210,Haver_M!$B$1:$B$1000,0),MATCH(data!AI$1,Haver_M!$B$1:$ZN$1,0)),"na")</f>
        <v>52.052100000000003</v>
      </c>
      <c r="AJ210">
        <f>IF(ISNUMBER(INDEX(Haver_M!$B$1:$ZN$1000,MATCH(data!$A210,Haver_M!$B$1:$B$1000,0),MATCH(data!AJ$1,Haver_M!$B$1:$ZN$1,0))),INDEX(Haver_M!$B$1:$ZN$1000,MATCH(data!$A210,Haver_M!$B$1:$B$1000,0),MATCH(data!AJ$1,Haver_M!$B$1:$ZN$1,0)),"na")</f>
        <v>51.3309</v>
      </c>
      <c r="AK210">
        <f>IF(ISNUMBER(INDEX(Haver_M!$B$1:$ZN$1000,MATCH(data!$A210,Haver_M!$B$1:$B$1000,0),MATCH(data!AK$1,Haver_M!$B$1:$ZN$1,0))),INDEX(Haver_M!$B$1:$ZN$1000,MATCH(data!$A210,Haver_M!$B$1:$B$1000,0),MATCH(data!AK$1,Haver_M!$B$1:$ZN$1,0)),"na")</f>
        <v>49.1083</v>
      </c>
      <c r="AL210">
        <f>IF(ISNUMBER(INDEX(Haver_M!$B$1:$ZN$1000,MATCH(data!$A210,Haver_M!$B$1:$B$1000,0),MATCH(data!AL$1,Haver_M!$B$1:$ZN$1,0))),INDEX(Haver_M!$B$1:$ZN$1000,MATCH(data!$A210,Haver_M!$B$1:$B$1000,0),MATCH(data!AL$1,Haver_M!$B$1:$ZN$1,0)),"na")</f>
        <v>50.392400000000002</v>
      </c>
      <c r="AM210">
        <f>IF(ISNUMBER(INDEX(Haver_M!$B$1:$ZN$1000,MATCH(data!$A210,Haver_M!$B$1:$B$1000,0),MATCH(data!AM$1,Haver_M!$B$1:$ZN$1,0))),INDEX(Haver_M!$B$1:$ZN$1000,MATCH(data!$A210,Haver_M!$B$1:$B$1000,0),MATCH(data!AM$1,Haver_M!$B$1:$ZN$1,0)),"na")</f>
        <v>60.723199999999999</v>
      </c>
      <c r="AN210">
        <f>IF(ISNUMBER(INDEX(Haver_M!$B$1:$ZN$1000,MATCH(data!$A210,Haver_M!$B$1:$B$1000,0),MATCH(data!AN$1,Haver_M!$B$1:$ZN$1,0))),INDEX(Haver_M!$B$1:$ZN$1000,MATCH(data!$A210,Haver_M!$B$1:$B$1000,0),MATCH(data!AN$1,Haver_M!$B$1:$ZN$1,0)),"na")</f>
        <v>51.505200000000002</v>
      </c>
      <c r="AO210">
        <f>IF(ISNUMBER(INDEX(Haver_M!$B$1:$ZN$1000,MATCH(data!$A210,Haver_M!$B$1:$B$1000,0),MATCH(data!AO$1,Haver_M!$B$1:$ZN$1,0))),INDEX(Haver_M!$B$1:$ZN$1000,MATCH(data!$A210,Haver_M!$B$1:$B$1000,0),MATCH(data!AO$1,Haver_M!$B$1:$ZN$1,0)),"na")</f>
        <v>50.392400000000002</v>
      </c>
      <c r="AP210">
        <f>IF(ISNUMBER(INDEX(Haver_M!$B$1:$ZN$1000,MATCH(data!$A210,Haver_M!$B$1:$B$1000,0),MATCH(data!AP$1,Haver_M!$B$1:$ZN$1,0))),INDEX(Haver_M!$B$1:$ZN$1000,MATCH(data!$A210,Haver_M!$B$1:$B$1000,0),MATCH(data!AP$1,Haver_M!$B$1:$ZN$1,0)),"na")</f>
        <v>52.699599999999997</v>
      </c>
      <c r="AQ210">
        <f>IF(ISNUMBER(INDEX(Haver_M!$B$1:$ZN$1000,MATCH(data!$A210,Haver_M!$B$1:$B$1000,0),MATCH(data!AQ$1,Haver_M!$B$1:$ZN$1,0))),INDEX(Haver_M!$B$1:$ZN$1000,MATCH(data!$A210,Haver_M!$B$1:$B$1000,0),MATCH(data!AQ$1,Haver_M!$B$1:$ZN$1,0)),"na")</f>
        <v>54.270800000000001</v>
      </c>
      <c r="AR210">
        <f>IF(ISNUMBER(INDEX(Haver_M!$B$1:$ZN$1000,MATCH(data!$A210,Haver_M!$B$1:$B$1000,0),MATCH(data!AR$1,Haver_M!$B$1:$ZN$1,0))),INDEX(Haver_M!$B$1:$ZN$1000,MATCH(data!$A210,Haver_M!$B$1:$B$1000,0),MATCH(data!AR$1,Haver_M!$B$1:$ZN$1,0)),"na")</f>
        <v>49.948900000000002</v>
      </c>
      <c r="AS210">
        <f>IF(ISNUMBER(INDEX(Haver_M!$B$1:$ZN$1000,MATCH(data!$A210,Haver_M!$B$1:$B$1000,0),MATCH(data!AS$1,Haver_M!$B$1:$ZN$1,0))),INDEX(Haver_M!$B$1:$ZN$1000,MATCH(data!$A210,Haver_M!$B$1:$B$1000,0),MATCH(data!AS$1,Haver_M!$B$1:$ZN$1,0)),"na")</f>
        <v>49312.63</v>
      </c>
      <c r="AT210">
        <f>IF(ISNUMBER(INDEX(Haver_M!$B$1:$ZN$1000,MATCH(data!$A210,Haver_M!$B$1:$B$1000,0),MATCH(data!AT$1,Haver_M!$B$1:$ZN$1,0))),INDEX(Haver_M!$B$1:$ZN$1000,MATCH(data!$A210,Haver_M!$B$1:$B$1000,0),MATCH(data!AT$1,Haver_M!$B$1:$ZN$1,0)),"na")</f>
        <v>113.246</v>
      </c>
      <c r="AU210">
        <f>IF(ISNUMBER(INDEX(Haver_M!$B$1:$ZN$1000,MATCH(data!$A210,Haver_M!$B$1:$B$1000,0),MATCH(data!AU$1,Haver_M!$B$1:$ZN$1,0))),INDEX(Haver_M!$B$1:$ZN$1000,MATCH(data!$A210,Haver_M!$B$1:$B$1000,0),MATCH(data!AU$1,Haver_M!$B$1:$ZN$1,0)),"na")</f>
        <v>109.952203</v>
      </c>
      <c r="AV210">
        <f>IF(ISNUMBER(INDEX(Haver_M!$B$1:$ZN$1000,MATCH(data!$A210,Haver_M!$B$1:$B$1000,0),MATCH(data!AV$1,Haver_M!$B$1:$ZN$1,0))),INDEX(Haver_M!$B$1:$ZN$1000,MATCH(data!$A210,Haver_M!$B$1:$B$1000,0),MATCH(data!AV$1,Haver_M!$B$1:$ZN$1,0)),"na")</f>
        <v>107.6</v>
      </c>
      <c r="AW210">
        <f>IF(ISNUMBER(INDEX(Haver_M!$B$1:$ZN$1000,MATCH(data!$A210,Haver_M!$B$1:$B$1000,0),MATCH(data!AW$1,Haver_M!$B$1:$ZN$1,0))),INDEX(Haver_M!$B$1:$ZN$1000,MATCH(data!$A210,Haver_M!$B$1:$B$1000,0),MATCH(data!AW$1,Haver_M!$B$1:$ZN$1,0)),"na")</f>
        <v>1812646.1672890007</v>
      </c>
      <c r="AX210">
        <f>IF(ISNUMBER(INDEX(Haver_M!$B$1:$ZN$1000,MATCH(data!$A210,Haver_M!$B$1:$B$1000,0),MATCH(data!AX$1,Haver_M!$B$1:$ZN$1,0))),INDEX(Haver_M!$B$1:$ZN$1000,MATCH(data!$A210,Haver_M!$B$1:$B$1000,0),MATCH(data!AX$1,Haver_M!$B$1:$ZN$1,0)),"na")</f>
        <v>2017</v>
      </c>
      <c r="AY210">
        <f>IF(ISNUMBER(INDEX(Haver_M!$B$1:$ZN$1000,MATCH(data!$A210,Haver_M!$B$1:$B$1000,0),MATCH(data!AY$1,Haver_M!$B$1:$ZN$1,0))),INDEX(Haver_M!$B$1:$ZN$1000,MATCH(data!$A210,Haver_M!$B$1:$B$1000,0),MATCH(data!AY$1,Haver_M!$B$1:$ZN$1,0)),"na")</f>
        <v>958</v>
      </c>
      <c r="AZ210">
        <f>IF(ISNUMBER(INDEX(Haver_M!$B$1:$ZN$1000,MATCH(data!$A210,Haver_M!$B$1:$B$1000,0),MATCH(data!AZ$1,Haver_M!$B$1:$ZN$1,0))),INDEX(Haver_M!$B$1:$ZN$1000,MATCH(data!$A210,Haver_M!$B$1:$B$1000,0),MATCH(data!AZ$1,Haver_M!$B$1:$ZN$1,0)),"na")</f>
        <v>50.1</v>
      </c>
      <c r="BA210">
        <f>IF(ISNUMBER(INDEX(Haver_M!$B$1:$ZN$1000,MATCH(data!$A210,Haver_M!$B$1:$B$1000,0),MATCH(data!BA$1,Haver_M!$B$1:$ZN$1,0))),INDEX(Haver_M!$B$1:$ZN$1000,MATCH(data!$A210,Haver_M!$B$1:$B$1000,0),MATCH(data!BA$1,Haver_M!$B$1:$ZN$1,0)),"na")</f>
        <v>66.554986731014566</v>
      </c>
      <c r="BB210" t="str">
        <f>IF(ISNUMBER(INDEX(Haver_M!$B$1:$ZN$1000,MATCH(data!$A210,Haver_M!$B$1:$B$1000,0),MATCH(data!BB$1,Haver_M!$B$1:$ZN$1,0))),INDEX(Haver_M!$B$1:$ZN$1000,MATCH(data!$A210,Haver_M!$B$1:$B$1000,0),MATCH(data!BB$1,Haver_M!$B$1:$ZN$1,0)),"")</f>
        <v/>
      </c>
    </row>
    <row r="211" spans="1:54" x14ac:dyDescent="0.25">
      <c r="A211" s="2">
        <v>42916</v>
      </c>
      <c r="B211">
        <f>IF(ISNUMBER(INDEX(Haver_Q!$B$1:$BD$1000,MATCH(data!$A211,Haver_Q!$B$1:$B$1000,0),MATCH(data!B$1,Haver_Q!$B$1:$BD$1,0))),100*INDEX(Haver_Q!$B$1:$BD$1000,MATCH(data!$A211,Haver_Q!$B$1:$B$1000,0),MATCH(data!B$1,Haver_Q!$B$1:$BD$1,0)),"na")</f>
        <v>1.1828141766731415</v>
      </c>
      <c r="C211">
        <f>IF(ISNUMBER(INDEX(Haver_Q!$B$1:$BD$1000,MATCH(data!$A211,Haver_Q!$B$1:$B$1000,0),MATCH(data!C$1,Haver_Q!$B$1:$BD$1,0))),100*INDEX(Haver_Q!$B$1:$BD$1000,MATCH(data!$A211,Haver_Q!$B$1:$B$1000,0),MATCH(data!C$1,Haver_Q!$B$1:$BD$1,0)),"na")</f>
        <v>-1.1530590780329142</v>
      </c>
      <c r="D211">
        <f>IF(ISNUMBER(INDEX(Haver_Q!$B$1:$BD$1000,MATCH(data!$A211,Haver_Q!$B$1:$B$1000,0),MATCH(data!D$1,Haver_Q!$B$1:$BD$1,0))),100*INDEX(Haver_Q!$B$1:$BD$1000,MATCH(data!$A211,Haver_Q!$B$1:$B$1000,0),MATCH(data!D$1,Haver_Q!$B$1:$BD$1,0)),"na")</f>
        <v>2.8528609260438431</v>
      </c>
      <c r="E211">
        <f>IF(ISNUMBER(INDEX(Haver_Q!$B$1:$BD$1000,MATCH(data!$A211,Haver_Q!$B$1:$B$1000,0),MATCH(data!E$1,Haver_Q!$B$1:$BD$1,0))),100*INDEX(Haver_Q!$B$1:$BD$1000,MATCH(data!$A211,Haver_Q!$B$1:$B$1000,0),MATCH(data!E$1,Haver_Q!$B$1:$BD$1,0)),"na")</f>
        <v>-1.3484198654958646</v>
      </c>
      <c r="F211">
        <f>IF(ISNUMBER(INDEX(Haver_Q!$B$1:$BD$1000,MATCH(data!$A211,Haver_Q!$B$1:$B$1000,0),MATCH(data!F$1,Haver_Q!$B$1:$BD$1,0))),100*INDEX(Haver_Q!$B$1:$BD$1000,MATCH(data!$A211,Haver_Q!$B$1:$B$1000,0),MATCH(data!F$1,Haver_Q!$B$1:$BD$1,0)),"na")</f>
        <v>-11.725566990879754</v>
      </c>
      <c r="G211">
        <f>IF(ISNUMBER(INDEX(Haver_Q!$B$1:$BD$1000,MATCH(data!$A211,Haver_Q!$B$1:$B$1000,0),MATCH(data!G$1,Haver_Q!$B$1:$BD$1,0))),100*INDEX(Haver_Q!$B$1:$BD$1000,MATCH(data!$A211,Haver_Q!$B$1:$B$1000,0),MATCH(data!G$1,Haver_Q!$B$1:$BD$1,0)),"na")</f>
        <v>2.0666131281390498</v>
      </c>
      <c r="H211">
        <f>IF(ISNUMBER(INDEX(Haver_Q!$B$1:$BD$1000,MATCH(data!$A211,Haver_Q!$B$1:$B$1000,0),MATCH(data!H$1,Haver_Q!$B$1:$BD$1,0))),100*INDEX(Haver_Q!$B$1:$BD$1000,MATCH(data!$A211,Haver_Q!$B$1:$B$1000,0),MATCH(data!H$1,Haver_Q!$B$1:$BD$1,0)),"na")</f>
        <v>438.37468733485264</v>
      </c>
      <c r="I211" s="3">
        <f>IF(ISNUMBER(Bloomberg_m!C227),Bloomberg_m!C227,"na")</f>
        <v>860</v>
      </c>
      <c r="J211" s="3">
        <f>IF(ISNUMBER(Bloomberg_m!D227),Bloomberg_m!D227,"na")</f>
        <v>1434.75</v>
      </c>
      <c r="K211" s="3">
        <f>IF(ISNUMBER(Bloomberg_m!E227),Bloomberg_m!E227,"na")</f>
        <v>869.76</v>
      </c>
      <c r="L211" s="3">
        <f>IF(ISNUMBER(Bloomberg_m!L227),Bloomberg_m!L227,"na")</f>
        <v>45.17</v>
      </c>
      <c r="M211">
        <f>IF(ISNUMBER(INDEX(Haver_M!$B$1:$ZN$1000,MATCH(data!$A211,Haver_M!$B$1:$B$1000,0),MATCH(data!M$1,Haver_M!$B$1:$ZN$1,0))),INDEX(Haver_M!$B$1:$ZN$1000,MATCH(data!$A211,Haver_M!$B$1:$B$1000,0),MATCH(data!M$1,Haver_M!$B$1:$ZN$1,0)),"na")</f>
        <v>7</v>
      </c>
      <c r="N211">
        <f>IF(ISNUMBER(INDEX(Haver_M!$B$1:$ZN$1000,MATCH(data!$A211,Haver_M!$B$1:$B$1000,0),MATCH(data!N$1,Haver_M!$B$1:$ZN$1,0))),INDEX(Haver_M!$B$1:$ZN$1000,MATCH(data!$A211,Haver_M!$B$1:$B$1000,0),MATCH(data!N$1,Haver_M!$B$1:$ZN$1,0)),"na")</f>
        <v>6.9518000000000004</v>
      </c>
      <c r="O211">
        <f>IF(ISNUMBER(INDEX(Haver_M!$B$1:$ZN$1000,MATCH(data!$A211,Haver_M!$B$1:$B$1000,0),MATCH(data!O$1,Haver_M!$B$1:$ZN$1,0))),INDEX(Haver_M!$B$1:$ZN$1000,MATCH(data!$A211,Haver_M!$B$1:$B$1000,0),MATCH(data!O$1,Haver_M!$B$1:$ZN$1,0)),"na")</f>
        <v>84.492940000000004</v>
      </c>
      <c r="P211">
        <f>IF(ISNUMBER(INDEX(Haver_M!$B$1:$ZN$1000,MATCH(data!$A211,Haver_M!$B$1:$B$1000,0),MATCH(data!P$1,Haver_M!$B$1:$ZN$1,0))),INDEX(Haver_M!$B$1:$ZN$1000,MATCH(data!$A211,Haver_M!$B$1:$B$1000,0),MATCH(data!P$1,Haver_M!$B$1:$ZN$1,0)),"na")</f>
        <v>95.489800000000002</v>
      </c>
      <c r="Q211">
        <f>IF(ISNUMBER(INDEX(Haver_M!$B$1:$ZN$1000,MATCH(data!$A211,Haver_M!$B$1:$B$1000,0),MATCH(data!Q$1,Haver_M!$B$1:$ZN$1,0))),INDEX(Haver_M!$B$1:$ZN$1000,MATCH(data!$A211,Haver_M!$B$1:$B$1000,0),MATCH(data!Q$1,Haver_M!$B$1:$ZN$1,0)),"na")</f>
        <v>96.165599999999998</v>
      </c>
      <c r="R211">
        <f>IF(ISNUMBER(INDEX(Haver_M!$B$1:$ZN$1000,MATCH(data!$A211,Haver_M!$B$1:$B$1000,0),MATCH(data!R$1,Haver_M!$B$1:$ZN$1,0))),INDEX(Haver_M!$B$1:$ZN$1000,MATCH(data!$A211,Haver_M!$B$1:$B$1000,0),MATCH(data!R$1,Haver_M!$B$1:$ZN$1,0)),"na")</f>
        <v>104.03019999999999</v>
      </c>
      <c r="S211">
        <f>IF(ISNUMBER(INDEX(Haver_M!$B$1:$ZN$1000,MATCH(data!$A211,Haver_M!$B$1:$B$1000,0),MATCH(data!S$1,Haver_M!$B$1:$ZN$1,0))),INDEX(Haver_M!$B$1:$ZN$1000,MATCH(data!$A211,Haver_M!$B$1:$B$1000,0),MATCH(data!S$1,Haver_M!$B$1:$ZN$1,0)),"na")</f>
        <v>84.184600000000003</v>
      </c>
      <c r="T211">
        <f>IF(ISNUMBER(INDEX(Haver_M!$B$1:$ZN$1000,MATCH(data!$A211,Haver_M!$B$1:$B$1000,0),MATCH(data!T$1,Haver_M!$B$1:$ZN$1,0))),INDEX(Haver_M!$B$1:$ZN$1000,MATCH(data!$A211,Haver_M!$B$1:$B$1000,0),MATCH(data!T$1,Haver_M!$B$1:$ZN$1,0)),"na")</f>
        <v>110.8182</v>
      </c>
      <c r="U211">
        <f>IF(ISNUMBER(INDEX(Haver_M!$B$1:$ZN$1000,MATCH(data!$A211,Haver_M!$B$1:$B$1000,0),MATCH(data!U$1,Haver_M!$B$1:$ZN$1,0))),INDEX(Haver_M!$B$1:$ZN$1000,MATCH(data!$A211,Haver_M!$B$1:$B$1000,0),MATCH(data!U$1,Haver_M!$B$1:$ZN$1,0)),"na")</f>
        <v>106.1361</v>
      </c>
      <c r="V211">
        <f>IF(ISNUMBER(INDEX(Haver_M!$B$1:$ZN$1000,MATCH(data!$A211,Haver_M!$B$1:$B$1000,0),MATCH(data!V$1,Haver_M!$B$1:$ZN$1,0))),INDEX(Haver_M!$B$1:$ZN$1000,MATCH(data!$A211,Haver_M!$B$1:$B$1000,0),MATCH(data!V$1,Haver_M!$B$1:$ZN$1,0)),"na")</f>
        <v>111.4106</v>
      </c>
      <c r="W211">
        <f>IF(ISNUMBER(INDEX(Haver_M!$B$1:$ZN$1000,MATCH(data!$A211,Haver_M!$B$1:$B$1000,0),MATCH(data!W$1,Haver_M!$B$1:$ZN$1,0))),INDEX(Haver_M!$B$1:$ZN$1000,MATCH(data!$A211,Haver_M!$B$1:$B$1000,0),MATCH(data!W$1,Haver_M!$B$1:$ZN$1,0)),"na")</f>
        <v>3.26</v>
      </c>
      <c r="X211">
        <f>IF(ISNUMBER(INDEX(Haver_M!$B$1:$ZN$1000,MATCH(data!$A211,Haver_M!$B$1:$B$1000,0),MATCH(data!X$1,Haver_M!$B$1:$ZN$1,0))),INDEX(Haver_M!$B$1:$ZN$1000,MATCH(data!$A211,Haver_M!$B$1:$B$1000,0),MATCH(data!X$1,Haver_M!$B$1:$ZN$1,0)),"na")</f>
        <v>104.03</v>
      </c>
      <c r="Y211">
        <f>IF(ISNUMBER(INDEX(Haver_M!$B$1:$ZN$1000,MATCH(data!$A211,Haver_M!$B$1:$B$1000,0),MATCH(data!Y$1,Haver_M!$B$1:$ZN$1,0))),INDEX(Haver_M!$B$1:$ZN$1000,MATCH(data!$A211,Haver_M!$B$1:$B$1000,0),MATCH(data!Y$1,Haver_M!$B$1:$ZN$1,0)),"na")</f>
        <v>100.15</v>
      </c>
      <c r="Z211">
        <f>IF(ISNUMBER(INDEX(Haver_M!$B$1:$ZN$1000,MATCH(data!$A211,Haver_M!$B$1:$B$1000,0),MATCH(data!Z$1,Haver_M!$B$1:$ZN$1,0))),INDEX(Haver_M!$B$1:$ZN$1000,MATCH(data!$A211,Haver_M!$B$1:$B$1000,0),MATCH(data!Z$1,Haver_M!$B$1:$ZN$1,0)),"na")</f>
        <v>111.06270000000001</v>
      </c>
      <c r="AA211">
        <f>IF(ISNUMBER(INDEX(Haver_M!$B$1:$ZN$1000,MATCH(data!$A211,Haver_M!$B$1:$B$1000,0),MATCH(data!AA$1,Haver_M!$B$1:$ZN$1,0))),INDEX(Haver_M!$B$1:$ZN$1000,MATCH(data!$A211,Haver_M!$B$1:$B$1000,0),MATCH(data!AA$1,Haver_M!$B$1:$ZN$1,0)),"na")</f>
        <v>106.4633</v>
      </c>
      <c r="AB211">
        <f>IF(ISNUMBER(INDEX(Haver_M!$B$1:$ZN$1000,MATCH(data!$A211,Haver_M!$B$1:$B$1000,0),MATCH(data!AB$1,Haver_M!$B$1:$ZN$1,0))),INDEX(Haver_M!$B$1:$ZN$1000,MATCH(data!$A211,Haver_M!$B$1:$B$1000,0),MATCH(data!AB$1,Haver_M!$B$1:$ZN$1,0)),"na")</f>
        <v>34163.300000000003</v>
      </c>
      <c r="AC211">
        <f>IF(ISNUMBER(INDEX(Haver_M!$B$1:$ZN$1000,MATCH(data!$A211,Haver_M!$B$1:$B$1000,0),MATCH(data!AC$1,Haver_M!$B$1:$ZN$1,0))),INDEX(Haver_M!$B$1:$ZN$1000,MATCH(data!$A211,Haver_M!$B$1:$B$1000,0),MATCH(data!AC$1,Haver_M!$B$1:$ZN$1,0)),"na")</f>
        <v>34819.699999999997</v>
      </c>
      <c r="AD211">
        <f>IF(ISNUMBER(INDEX(Haver_M!$B$1:$ZN$1000,MATCH(data!$A211,Haver_M!$B$1:$B$1000,0),MATCH(data!AD$1,Haver_M!$B$1:$ZN$1,0))),INDEX(Haver_M!$B$1:$ZN$1000,MATCH(data!$A211,Haver_M!$B$1:$B$1000,0),MATCH(data!AD$1,Haver_M!$B$1:$ZN$1,0)),"na")</f>
        <v>100.21</v>
      </c>
      <c r="AE211">
        <f>IF(ISNUMBER(INDEX(Haver_M!$B$1:$ZN$1000,MATCH(data!$A211,Haver_M!$B$1:$B$1000,0),MATCH(data!AE$1,Haver_M!$B$1:$ZN$1,0))),INDEX(Haver_M!$B$1:$ZN$1000,MATCH(data!$A211,Haver_M!$B$1:$B$1000,0),MATCH(data!AE$1,Haver_M!$B$1:$ZN$1,0)),"na")</f>
        <v>35.6</v>
      </c>
      <c r="AF211">
        <f>IF(ISNUMBER(INDEX(Haver_M!$B$1:$ZN$1000,MATCH(data!$A211,Haver_M!$B$1:$B$1000,0),MATCH(data!AF$1,Haver_M!$B$1:$ZN$1,0))),INDEX(Haver_M!$B$1:$ZN$1000,MATCH(data!$A211,Haver_M!$B$1:$B$1000,0),MATCH(data!AF$1,Haver_M!$B$1:$ZN$1,0)),"na")</f>
        <v>99.61</v>
      </c>
      <c r="AG211">
        <f>IF(ISNUMBER(INDEX(Haver_M!$B$1:$ZN$1000,MATCH(data!$A211,Haver_M!$B$1:$B$1000,0),MATCH(data!AG$1,Haver_M!$B$1:$ZN$1,0))),INDEX(Haver_M!$B$1:$ZN$1000,MATCH(data!$A211,Haver_M!$B$1:$B$1000,0),MATCH(data!AG$1,Haver_M!$B$1:$ZN$1,0)),"na")</f>
        <v>52.338000000000001</v>
      </c>
      <c r="AH211">
        <f>IF(ISNUMBER(INDEX(Haver_M!$B$1:$ZN$1000,MATCH(data!$A211,Haver_M!$B$1:$B$1000,0),MATCH(data!AH$1,Haver_M!$B$1:$ZN$1,0))),INDEX(Haver_M!$B$1:$ZN$1000,MATCH(data!$A211,Haver_M!$B$1:$B$1000,0),MATCH(data!AH$1,Haver_M!$B$1:$ZN$1,0)),"na")</f>
        <v>52.6417</v>
      </c>
      <c r="AI211">
        <f>IF(ISNUMBER(INDEX(Haver_M!$B$1:$ZN$1000,MATCH(data!$A211,Haver_M!$B$1:$B$1000,0),MATCH(data!AI$1,Haver_M!$B$1:$ZN$1,0))),INDEX(Haver_M!$B$1:$ZN$1000,MATCH(data!$A211,Haver_M!$B$1:$B$1000,0),MATCH(data!AI$1,Haver_M!$B$1:$ZN$1,0)),"na")</f>
        <v>53.554099999999998</v>
      </c>
      <c r="AJ211">
        <f>IF(ISNUMBER(INDEX(Haver_M!$B$1:$ZN$1000,MATCH(data!$A211,Haver_M!$B$1:$B$1000,0),MATCH(data!AJ$1,Haver_M!$B$1:$ZN$1,0))),INDEX(Haver_M!$B$1:$ZN$1000,MATCH(data!$A211,Haver_M!$B$1:$B$1000,0),MATCH(data!AJ$1,Haver_M!$B$1:$ZN$1,0)),"na")</f>
        <v>52.421999999999997</v>
      </c>
      <c r="AK211">
        <f>IF(ISNUMBER(INDEX(Haver_M!$B$1:$ZN$1000,MATCH(data!$A211,Haver_M!$B$1:$B$1000,0),MATCH(data!AK$1,Haver_M!$B$1:$ZN$1,0))),INDEX(Haver_M!$B$1:$ZN$1000,MATCH(data!$A211,Haver_M!$B$1:$B$1000,0),MATCH(data!AK$1,Haver_M!$B$1:$ZN$1,0)),"na")</f>
        <v>49.643599999999999</v>
      </c>
      <c r="AL211">
        <f>IF(ISNUMBER(INDEX(Haver_M!$B$1:$ZN$1000,MATCH(data!$A211,Haver_M!$B$1:$B$1000,0),MATCH(data!AL$1,Haver_M!$B$1:$ZN$1,0))),INDEX(Haver_M!$B$1:$ZN$1000,MATCH(data!$A211,Haver_M!$B$1:$B$1000,0),MATCH(data!AL$1,Haver_M!$B$1:$ZN$1,0)),"na")</f>
        <v>50.734999999999999</v>
      </c>
      <c r="AM211">
        <f>IF(ISNUMBER(INDEX(Haver_M!$B$1:$ZN$1000,MATCH(data!$A211,Haver_M!$B$1:$B$1000,0),MATCH(data!AM$1,Haver_M!$B$1:$ZN$1,0))),INDEX(Haver_M!$B$1:$ZN$1000,MATCH(data!$A211,Haver_M!$B$1:$B$1000,0),MATCH(data!AM$1,Haver_M!$B$1:$ZN$1,0)),"na")</f>
        <v>58.788499999999999</v>
      </c>
      <c r="AN211">
        <f>IF(ISNUMBER(INDEX(Haver_M!$B$1:$ZN$1000,MATCH(data!$A211,Haver_M!$B$1:$B$1000,0),MATCH(data!AN$1,Haver_M!$B$1:$ZN$1,0))),INDEX(Haver_M!$B$1:$ZN$1000,MATCH(data!$A211,Haver_M!$B$1:$B$1000,0),MATCH(data!AN$1,Haver_M!$B$1:$ZN$1,0)),"na")</f>
        <v>51.9251</v>
      </c>
      <c r="AO211">
        <f>IF(ISNUMBER(INDEX(Haver_M!$B$1:$ZN$1000,MATCH(data!$A211,Haver_M!$B$1:$B$1000,0),MATCH(data!AO$1,Haver_M!$B$1:$ZN$1,0))),INDEX(Haver_M!$B$1:$ZN$1000,MATCH(data!$A211,Haver_M!$B$1:$B$1000,0),MATCH(data!AO$1,Haver_M!$B$1:$ZN$1,0)),"na")</f>
        <v>50.734999999999999</v>
      </c>
      <c r="AP211">
        <f>IF(ISNUMBER(INDEX(Haver_M!$B$1:$ZN$1000,MATCH(data!$A211,Haver_M!$B$1:$B$1000,0),MATCH(data!AP$1,Haver_M!$B$1:$ZN$1,0))),INDEX(Haver_M!$B$1:$ZN$1000,MATCH(data!$A211,Haver_M!$B$1:$B$1000,0),MATCH(data!AP$1,Haver_M!$B$1:$ZN$1,0)),"na")</f>
        <v>51.524799999999999</v>
      </c>
      <c r="AQ211">
        <f>IF(ISNUMBER(INDEX(Haver_M!$B$1:$ZN$1000,MATCH(data!$A211,Haver_M!$B$1:$B$1000,0),MATCH(data!AQ$1,Haver_M!$B$1:$ZN$1,0))),INDEX(Haver_M!$B$1:$ZN$1000,MATCH(data!$A211,Haver_M!$B$1:$B$1000,0),MATCH(data!AQ$1,Haver_M!$B$1:$ZN$1,0)),"na")</f>
        <v>53.868000000000002</v>
      </c>
      <c r="AR211">
        <f>IF(ISNUMBER(INDEX(Haver_M!$B$1:$ZN$1000,MATCH(data!$A211,Haver_M!$B$1:$B$1000,0),MATCH(data!AR$1,Haver_M!$B$1:$ZN$1,0))),INDEX(Haver_M!$B$1:$ZN$1000,MATCH(data!$A211,Haver_M!$B$1:$B$1000,0),MATCH(data!AR$1,Haver_M!$B$1:$ZN$1,0)),"na")</f>
        <v>48.1982</v>
      </c>
      <c r="AS211">
        <f>IF(ISNUMBER(INDEX(Haver_M!$B$1:$ZN$1000,MATCH(data!$A211,Haver_M!$B$1:$B$1000,0),MATCH(data!AS$1,Haver_M!$B$1:$ZN$1,0))),INDEX(Haver_M!$B$1:$ZN$1000,MATCH(data!$A211,Haver_M!$B$1:$B$1000,0),MATCH(data!AS$1,Haver_M!$B$1:$ZN$1,0)),"na")</f>
        <v>49196.14</v>
      </c>
      <c r="AT211">
        <f>IF(ISNUMBER(INDEX(Haver_M!$B$1:$ZN$1000,MATCH(data!$A211,Haver_M!$B$1:$B$1000,0),MATCH(data!AT$1,Haver_M!$B$1:$ZN$1,0))),INDEX(Haver_M!$B$1:$ZN$1000,MATCH(data!$A211,Haver_M!$B$1:$B$1000,0),MATCH(data!AT$1,Haver_M!$B$1:$ZN$1,0)),"na")</f>
        <v>113.718</v>
      </c>
      <c r="AU211">
        <f>IF(ISNUMBER(INDEX(Haver_M!$B$1:$ZN$1000,MATCH(data!$A211,Haver_M!$B$1:$B$1000,0),MATCH(data!AU$1,Haver_M!$B$1:$ZN$1,0))),INDEX(Haver_M!$B$1:$ZN$1000,MATCH(data!$A211,Haver_M!$B$1:$B$1000,0),MATCH(data!AU$1,Haver_M!$B$1:$ZN$1,0)),"na")</f>
        <v>110.923845</v>
      </c>
      <c r="AV211">
        <f>IF(ISNUMBER(INDEX(Haver_M!$B$1:$ZN$1000,MATCH(data!$A211,Haver_M!$B$1:$B$1000,0),MATCH(data!AV$1,Haver_M!$B$1:$ZN$1,0))),INDEX(Haver_M!$B$1:$ZN$1000,MATCH(data!$A211,Haver_M!$B$1:$B$1000,0),MATCH(data!AV$1,Haver_M!$B$1:$ZN$1,0)),"na")</f>
        <v>108.4</v>
      </c>
      <c r="AW211">
        <f>IF(ISNUMBER(INDEX(Haver_M!$B$1:$ZN$1000,MATCH(data!$A211,Haver_M!$B$1:$B$1000,0),MATCH(data!AW$1,Haver_M!$B$1:$ZN$1,0))),INDEX(Haver_M!$B$1:$ZN$1000,MATCH(data!$A211,Haver_M!$B$1:$B$1000,0),MATCH(data!AW$1,Haver_M!$B$1:$ZN$1,0)),"na")</f>
        <v>1804763.4275585827</v>
      </c>
      <c r="AX211">
        <f>IF(ISNUMBER(INDEX(Haver_M!$B$1:$ZN$1000,MATCH(data!$A211,Haver_M!$B$1:$B$1000,0),MATCH(data!AX$1,Haver_M!$B$1:$ZN$1,0))),INDEX(Haver_M!$B$1:$ZN$1000,MATCH(data!$A211,Haver_M!$B$1:$B$1000,0),MATCH(data!AX$1,Haver_M!$B$1:$ZN$1,0)),"na")</f>
        <v>2000</v>
      </c>
      <c r="AY211">
        <f>IF(ISNUMBER(INDEX(Haver_M!$B$1:$ZN$1000,MATCH(data!$A211,Haver_M!$B$1:$B$1000,0),MATCH(data!AY$1,Haver_M!$B$1:$ZN$1,0))),INDEX(Haver_M!$B$1:$ZN$1000,MATCH(data!$A211,Haver_M!$B$1:$B$1000,0),MATCH(data!AY$1,Haver_M!$B$1:$ZN$1,0)),"na")</f>
        <v>1156</v>
      </c>
      <c r="AZ211">
        <f>IF(ISNUMBER(INDEX(Haver_M!$B$1:$ZN$1000,MATCH(data!$A211,Haver_M!$B$1:$B$1000,0),MATCH(data!AZ$1,Haver_M!$B$1:$ZN$1,0))),INDEX(Haver_M!$B$1:$ZN$1000,MATCH(data!$A211,Haver_M!$B$1:$B$1000,0),MATCH(data!AZ$1,Haver_M!$B$1:$ZN$1,0)),"na")</f>
        <v>53.7</v>
      </c>
      <c r="BA211">
        <f>IF(ISNUMBER(INDEX(Haver_M!$B$1:$ZN$1000,MATCH(data!$A211,Haver_M!$B$1:$B$1000,0),MATCH(data!BA$1,Haver_M!$B$1:$ZN$1,0))),INDEX(Haver_M!$B$1:$ZN$1000,MATCH(data!$A211,Haver_M!$B$1:$B$1000,0),MATCH(data!BA$1,Haver_M!$B$1:$ZN$1,0)),"na")</f>
        <v>42.586934559507647</v>
      </c>
      <c r="BB211" t="str">
        <f>IF(ISNUMBER(INDEX(Haver_M!$B$1:$ZN$1000,MATCH(data!$A211,Haver_M!$B$1:$B$1000,0),MATCH(data!BB$1,Haver_M!$B$1:$ZN$1,0))),INDEX(Haver_M!$B$1:$ZN$1000,MATCH(data!$A211,Haver_M!$B$1:$B$1000,0),MATCH(data!BB$1,Haver_M!$B$1:$ZN$1,0)),"")</f>
        <v/>
      </c>
    </row>
    <row r="212" spans="1:54" x14ac:dyDescent="0.25">
      <c r="A212" s="2">
        <v>42947</v>
      </c>
      <c r="B212" t="str">
        <f>IF(ISNUMBER(INDEX(Haver_Q!$B$1:$BD$1000,MATCH(data!$A212,Haver_Q!$B$1:$B$1000,0),MATCH(data!B$1,Haver_Q!$B$1:$BD$1,0))),100*INDEX(Haver_Q!$B$1:$BD$1000,MATCH(data!$A212,Haver_Q!$B$1:$B$1000,0),MATCH(data!B$1,Haver_Q!$B$1:$BD$1,0)),"na")</f>
        <v>na</v>
      </c>
      <c r="C212" t="str">
        <f>IF(ISNUMBER(INDEX(Haver_Q!$B$1:$BD$1000,MATCH(data!$A212,Haver_Q!$B$1:$B$1000,0),MATCH(data!C$1,Haver_Q!$B$1:$BD$1,0))),100*INDEX(Haver_Q!$B$1:$BD$1000,MATCH(data!$A212,Haver_Q!$B$1:$B$1000,0),MATCH(data!C$1,Haver_Q!$B$1:$BD$1,0)),"na")</f>
        <v>na</v>
      </c>
      <c r="D212" t="str">
        <f>IF(ISNUMBER(INDEX(Haver_Q!$B$1:$BD$1000,MATCH(data!$A212,Haver_Q!$B$1:$B$1000,0),MATCH(data!D$1,Haver_Q!$B$1:$BD$1,0))),100*INDEX(Haver_Q!$B$1:$BD$1000,MATCH(data!$A212,Haver_Q!$B$1:$B$1000,0),MATCH(data!D$1,Haver_Q!$B$1:$BD$1,0)),"na")</f>
        <v>na</v>
      </c>
      <c r="E212" t="str">
        <f>IF(ISNUMBER(INDEX(Haver_Q!$B$1:$BD$1000,MATCH(data!$A212,Haver_Q!$B$1:$B$1000,0),MATCH(data!E$1,Haver_Q!$B$1:$BD$1,0))),100*INDEX(Haver_Q!$B$1:$BD$1000,MATCH(data!$A212,Haver_Q!$B$1:$B$1000,0),MATCH(data!E$1,Haver_Q!$B$1:$BD$1,0)),"na")</f>
        <v>na</v>
      </c>
      <c r="F212" t="str">
        <f>IF(ISNUMBER(INDEX(Haver_Q!$B$1:$BD$1000,MATCH(data!$A212,Haver_Q!$B$1:$B$1000,0),MATCH(data!F$1,Haver_Q!$B$1:$BD$1,0))),100*INDEX(Haver_Q!$B$1:$BD$1000,MATCH(data!$A212,Haver_Q!$B$1:$B$1000,0),MATCH(data!F$1,Haver_Q!$B$1:$BD$1,0)),"na")</f>
        <v>na</v>
      </c>
      <c r="G212" t="str">
        <f>IF(ISNUMBER(INDEX(Haver_Q!$B$1:$BD$1000,MATCH(data!$A212,Haver_Q!$B$1:$B$1000,0),MATCH(data!G$1,Haver_Q!$B$1:$BD$1,0))),100*INDEX(Haver_Q!$B$1:$BD$1000,MATCH(data!$A212,Haver_Q!$B$1:$B$1000,0),MATCH(data!G$1,Haver_Q!$B$1:$BD$1,0)),"na")</f>
        <v>na</v>
      </c>
      <c r="H212" t="str">
        <f>IF(ISNUMBER(INDEX(Haver_Q!$B$1:$BD$1000,MATCH(data!$A212,Haver_Q!$B$1:$B$1000,0),MATCH(data!H$1,Haver_Q!$B$1:$BD$1,0))),100*INDEX(Haver_Q!$B$1:$BD$1000,MATCH(data!$A212,Haver_Q!$B$1:$B$1000,0),MATCH(data!H$1,Haver_Q!$B$1:$BD$1,0)),"na")</f>
        <v>na</v>
      </c>
      <c r="I212" s="3">
        <f>IF(ISNUMBER(Bloomberg_m!C228),Bloomberg_m!C228,"na")</f>
        <v>906</v>
      </c>
      <c r="J212" s="3">
        <f>IF(ISNUMBER(Bloomberg_m!D228),Bloomberg_m!D228,"na")</f>
        <v>1473.72</v>
      </c>
      <c r="K212" s="3">
        <f>IF(ISNUMBER(Bloomberg_m!E228),Bloomberg_m!E228,"na")</f>
        <v>878.54</v>
      </c>
      <c r="L212" s="3">
        <f>IF(ISNUMBER(Bloomberg_m!L228),Bloomberg_m!L228,"na")</f>
        <v>46.65</v>
      </c>
      <c r="M212">
        <f>IF(ISNUMBER(INDEX(Haver_M!$B$1:$ZN$1000,MATCH(data!$A212,Haver_M!$B$1:$B$1000,0),MATCH(data!M$1,Haver_M!$B$1:$ZN$1,0))),INDEX(Haver_M!$B$1:$ZN$1000,MATCH(data!$A212,Haver_M!$B$1:$B$1000,0),MATCH(data!M$1,Haver_M!$B$1:$ZN$1,0)),"na")</f>
        <v>7</v>
      </c>
      <c r="N212">
        <f>IF(ISNUMBER(INDEX(Haver_M!$B$1:$ZN$1000,MATCH(data!$A212,Haver_M!$B$1:$B$1000,0),MATCH(data!N$1,Haver_M!$B$1:$ZN$1,0))),INDEX(Haver_M!$B$1:$ZN$1000,MATCH(data!$A212,Haver_M!$B$1:$B$1000,0),MATCH(data!N$1,Haver_M!$B$1:$ZN$1,0)),"na")</f>
        <v>6.8144</v>
      </c>
      <c r="O212">
        <f>IF(ISNUMBER(INDEX(Haver_M!$B$1:$ZN$1000,MATCH(data!$A212,Haver_M!$B$1:$B$1000,0),MATCH(data!O$1,Haver_M!$B$1:$ZN$1,0))),INDEX(Haver_M!$B$1:$ZN$1000,MATCH(data!$A212,Haver_M!$B$1:$B$1000,0),MATCH(data!O$1,Haver_M!$B$1:$ZN$1,0)),"na")</f>
        <v>85.844570000000004</v>
      </c>
      <c r="P212">
        <f>IF(ISNUMBER(INDEX(Haver_M!$B$1:$ZN$1000,MATCH(data!$A212,Haver_M!$B$1:$B$1000,0),MATCH(data!P$1,Haver_M!$B$1:$ZN$1,0))),INDEX(Haver_M!$B$1:$ZN$1000,MATCH(data!$A212,Haver_M!$B$1:$B$1000,0),MATCH(data!P$1,Haver_M!$B$1:$ZN$1,0)),"na")</f>
        <v>95.874799999999993</v>
      </c>
      <c r="Q212">
        <f>IF(ISNUMBER(INDEX(Haver_M!$B$1:$ZN$1000,MATCH(data!$A212,Haver_M!$B$1:$B$1000,0),MATCH(data!Q$1,Haver_M!$B$1:$ZN$1,0))),INDEX(Haver_M!$B$1:$ZN$1000,MATCH(data!$A212,Haver_M!$B$1:$B$1000,0),MATCH(data!Q$1,Haver_M!$B$1:$ZN$1,0)),"na")</f>
        <v>96.487899999999996</v>
      </c>
      <c r="R212">
        <f>IF(ISNUMBER(INDEX(Haver_M!$B$1:$ZN$1000,MATCH(data!$A212,Haver_M!$B$1:$B$1000,0),MATCH(data!R$1,Haver_M!$B$1:$ZN$1,0))),INDEX(Haver_M!$B$1:$ZN$1000,MATCH(data!$A212,Haver_M!$B$1:$B$1000,0),MATCH(data!R$1,Haver_M!$B$1:$ZN$1,0)),"na")</f>
        <v>103.2891</v>
      </c>
      <c r="S212">
        <f>IF(ISNUMBER(INDEX(Haver_M!$B$1:$ZN$1000,MATCH(data!$A212,Haver_M!$B$1:$B$1000,0),MATCH(data!S$1,Haver_M!$B$1:$ZN$1,0))),INDEX(Haver_M!$B$1:$ZN$1000,MATCH(data!$A212,Haver_M!$B$1:$B$1000,0),MATCH(data!S$1,Haver_M!$B$1:$ZN$1,0)),"na")</f>
        <v>83.457899999999995</v>
      </c>
      <c r="T212">
        <f>IF(ISNUMBER(INDEX(Haver_M!$B$1:$ZN$1000,MATCH(data!$A212,Haver_M!$B$1:$B$1000,0),MATCH(data!T$1,Haver_M!$B$1:$ZN$1,0))),INDEX(Haver_M!$B$1:$ZN$1000,MATCH(data!$A212,Haver_M!$B$1:$B$1000,0),MATCH(data!T$1,Haver_M!$B$1:$ZN$1,0)),"na")</f>
        <v>108.4969</v>
      </c>
      <c r="U212">
        <f>IF(ISNUMBER(INDEX(Haver_M!$B$1:$ZN$1000,MATCH(data!$A212,Haver_M!$B$1:$B$1000,0),MATCH(data!U$1,Haver_M!$B$1:$ZN$1,0))),INDEX(Haver_M!$B$1:$ZN$1000,MATCH(data!$A212,Haver_M!$B$1:$B$1000,0),MATCH(data!U$1,Haver_M!$B$1:$ZN$1,0)),"na")</f>
        <v>104.7825</v>
      </c>
      <c r="V212">
        <f>IF(ISNUMBER(INDEX(Haver_M!$B$1:$ZN$1000,MATCH(data!$A212,Haver_M!$B$1:$B$1000,0),MATCH(data!V$1,Haver_M!$B$1:$ZN$1,0))),INDEX(Haver_M!$B$1:$ZN$1000,MATCH(data!$A212,Haver_M!$B$1:$B$1000,0),MATCH(data!V$1,Haver_M!$B$1:$ZN$1,0)),"na")</f>
        <v>111.46420000000001</v>
      </c>
      <c r="W212">
        <f>IF(ISNUMBER(INDEX(Haver_M!$B$1:$ZN$1000,MATCH(data!$A212,Haver_M!$B$1:$B$1000,0),MATCH(data!W$1,Haver_M!$B$1:$ZN$1,0))),INDEX(Haver_M!$B$1:$ZN$1000,MATCH(data!$A212,Haver_M!$B$1:$B$1000,0),MATCH(data!W$1,Haver_M!$B$1:$ZN$1,0)),"na")</f>
        <v>3.23</v>
      </c>
      <c r="X212">
        <f>IF(ISNUMBER(INDEX(Haver_M!$B$1:$ZN$1000,MATCH(data!$A212,Haver_M!$B$1:$B$1000,0),MATCH(data!X$1,Haver_M!$B$1:$ZN$1,0))),INDEX(Haver_M!$B$1:$ZN$1000,MATCH(data!$A212,Haver_M!$B$1:$B$1000,0),MATCH(data!X$1,Haver_M!$B$1:$ZN$1,0)),"na")</f>
        <v>103.86</v>
      </c>
      <c r="Y212">
        <f>IF(ISNUMBER(INDEX(Haver_M!$B$1:$ZN$1000,MATCH(data!$A212,Haver_M!$B$1:$B$1000,0),MATCH(data!Y$1,Haver_M!$B$1:$ZN$1,0))),INDEX(Haver_M!$B$1:$ZN$1000,MATCH(data!$A212,Haver_M!$B$1:$B$1000,0),MATCH(data!Y$1,Haver_M!$B$1:$ZN$1,0)),"na")</f>
        <v>100.24</v>
      </c>
      <c r="Z212">
        <f>IF(ISNUMBER(INDEX(Haver_M!$B$1:$ZN$1000,MATCH(data!$A212,Haver_M!$B$1:$B$1000,0),MATCH(data!Z$1,Haver_M!$B$1:$ZN$1,0))),INDEX(Haver_M!$B$1:$ZN$1000,MATCH(data!$A212,Haver_M!$B$1:$B$1000,0),MATCH(data!Z$1,Haver_M!$B$1:$ZN$1,0)),"na")</f>
        <v>111.5915</v>
      </c>
      <c r="AA212">
        <f>IF(ISNUMBER(INDEX(Haver_M!$B$1:$ZN$1000,MATCH(data!$A212,Haver_M!$B$1:$B$1000,0),MATCH(data!AA$1,Haver_M!$B$1:$ZN$1,0))),INDEX(Haver_M!$B$1:$ZN$1000,MATCH(data!$A212,Haver_M!$B$1:$B$1000,0),MATCH(data!AA$1,Haver_M!$B$1:$ZN$1,0)),"na")</f>
        <v>107.53149999999999</v>
      </c>
      <c r="AB212">
        <f>IF(ISNUMBER(INDEX(Haver_M!$B$1:$ZN$1000,MATCH(data!$A212,Haver_M!$B$1:$B$1000,0),MATCH(data!AB$1,Haver_M!$B$1:$ZN$1,0))),INDEX(Haver_M!$B$1:$ZN$1000,MATCH(data!$A212,Haver_M!$B$1:$B$1000,0),MATCH(data!AB$1,Haver_M!$B$1:$ZN$1,0)),"na")</f>
        <v>33848.800000000003</v>
      </c>
      <c r="AC212">
        <f>IF(ISNUMBER(INDEX(Haver_M!$B$1:$ZN$1000,MATCH(data!$A212,Haver_M!$B$1:$B$1000,0),MATCH(data!AC$1,Haver_M!$B$1:$ZN$1,0))),INDEX(Haver_M!$B$1:$ZN$1000,MATCH(data!$A212,Haver_M!$B$1:$B$1000,0),MATCH(data!AC$1,Haver_M!$B$1:$ZN$1,0)),"na")</f>
        <v>34630.699999999997</v>
      </c>
      <c r="AD212">
        <f>IF(ISNUMBER(INDEX(Haver_M!$B$1:$ZN$1000,MATCH(data!$A212,Haver_M!$B$1:$B$1000,0),MATCH(data!AD$1,Haver_M!$B$1:$ZN$1,0))),INDEX(Haver_M!$B$1:$ZN$1000,MATCH(data!$A212,Haver_M!$B$1:$B$1000,0),MATCH(data!AD$1,Haver_M!$B$1:$ZN$1,0)),"na")</f>
        <v>100.18</v>
      </c>
      <c r="AE212">
        <f>IF(ISNUMBER(INDEX(Haver_M!$B$1:$ZN$1000,MATCH(data!$A212,Haver_M!$B$1:$B$1000,0),MATCH(data!AE$1,Haver_M!$B$1:$ZN$1,0))),INDEX(Haver_M!$B$1:$ZN$1000,MATCH(data!$A212,Haver_M!$B$1:$B$1000,0),MATCH(data!AE$1,Haver_M!$B$1:$ZN$1,0)),"na")</f>
        <v>36.200000000000003</v>
      </c>
      <c r="AF212">
        <f>IF(ISNUMBER(INDEX(Haver_M!$B$1:$ZN$1000,MATCH(data!$A212,Haver_M!$B$1:$B$1000,0),MATCH(data!AF$1,Haver_M!$B$1:$ZN$1,0))),INDEX(Haver_M!$B$1:$ZN$1000,MATCH(data!$A212,Haver_M!$B$1:$B$1000,0),MATCH(data!AF$1,Haver_M!$B$1:$ZN$1,0)),"na")</f>
        <v>99.81</v>
      </c>
      <c r="AG212">
        <f>IF(ISNUMBER(INDEX(Haver_M!$B$1:$ZN$1000,MATCH(data!$A212,Haver_M!$B$1:$B$1000,0),MATCH(data!AG$1,Haver_M!$B$1:$ZN$1,0))),INDEX(Haver_M!$B$1:$ZN$1000,MATCH(data!$A212,Haver_M!$B$1:$B$1000,0),MATCH(data!AG$1,Haver_M!$B$1:$ZN$1,0)),"na")</f>
        <v>51.215499999999999</v>
      </c>
      <c r="AH212">
        <f>IF(ISNUMBER(INDEX(Haver_M!$B$1:$ZN$1000,MATCH(data!$A212,Haver_M!$B$1:$B$1000,0),MATCH(data!AH$1,Haver_M!$B$1:$ZN$1,0))),INDEX(Haver_M!$B$1:$ZN$1000,MATCH(data!$A212,Haver_M!$B$1:$B$1000,0),MATCH(data!AH$1,Haver_M!$B$1:$ZN$1,0)),"na")</f>
        <v>50.671500000000002</v>
      </c>
      <c r="AI212">
        <f>IF(ISNUMBER(INDEX(Haver_M!$B$1:$ZN$1000,MATCH(data!$A212,Haver_M!$B$1:$B$1000,0),MATCH(data!AI$1,Haver_M!$B$1:$ZN$1,0))),INDEX(Haver_M!$B$1:$ZN$1000,MATCH(data!$A212,Haver_M!$B$1:$B$1000,0),MATCH(data!AI$1,Haver_M!$B$1:$ZN$1,0)),"na")</f>
        <v>52.282800000000002</v>
      </c>
      <c r="AJ212">
        <f>IF(ISNUMBER(INDEX(Haver_M!$B$1:$ZN$1000,MATCH(data!$A212,Haver_M!$B$1:$B$1000,0),MATCH(data!AJ$1,Haver_M!$B$1:$ZN$1,0))),INDEX(Haver_M!$B$1:$ZN$1000,MATCH(data!$A212,Haver_M!$B$1:$B$1000,0),MATCH(data!AJ$1,Haver_M!$B$1:$ZN$1,0)),"na")</f>
        <v>52.875700000000002</v>
      </c>
      <c r="AK212">
        <f>IF(ISNUMBER(INDEX(Haver_M!$B$1:$ZN$1000,MATCH(data!$A212,Haver_M!$B$1:$B$1000,0),MATCH(data!AK$1,Haver_M!$B$1:$ZN$1,0))),INDEX(Haver_M!$B$1:$ZN$1000,MATCH(data!$A212,Haver_M!$B$1:$B$1000,0),MATCH(data!AK$1,Haver_M!$B$1:$ZN$1,0)),"na")</f>
        <v>50.878700000000002</v>
      </c>
      <c r="AL212">
        <f>IF(ISNUMBER(INDEX(Haver_M!$B$1:$ZN$1000,MATCH(data!$A212,Haver_M!$B$1:$B$1000,0),MATCH(data!AL$1,Haver_M!$B$1:$ZN$1,0))),INDEX(Haver_M!$B$1:$ZN$1000,MATCH(data!$A212,Haver_M!$B$1:$B$1000,0),MATCH(data!AL$1,Haver_M!$B$1:$ZN$1,0)),"na")</f>
        <v>49.195</v>
      </c>
      <c r="AM212">
        <f>IF(ISNUMBER(INDEX(Haver_M!$B$1:$ZN$1000,MATCH(data!$A212,Haver_M!$B$1:$B$1000,0),MATCH(data!AM$1,Haver_M!$B$1:$ZN$1,0))),INDEX(Haver_M!$B$1:$ZN$1000,MATCH(data!$A212,Haver_M!$B$1:$B$1000,0),MATCH(data!AM$1,Haver_M!$B$1:$ZN$1,0)),"na")</f>
        <v>56.757399999999997</v>
      </c>
      <c r="AN212">
        <f>IF(ISNUMBER(INDEX(Haver_M!$B$1:$ZN$1000,MATCH(data!$A212,Haver_M!$B$1:$B$1000,0),MATCH(data!AN$1,Haver_M!$B$1:$ZN$1,0))),INDEX(Haver_M!$B$1:$ZN$1000,MATCH(data!$A212,Haver_M!$B$1:$B$1000,0),MATCH(data!AN$1,Haver_M!$B$1:$ZN$1,0)),"na")</f>
        <v>50.697699999999998</v>
      </c>
      <c r="AO212">
        <f>IF(ISNUMBER(INDEX(Haver_M!$B$1:$ZN$1000,MATCH(data!$A212,Haver_M!$B$1:$B$1000,0),MATCH(data!AO$1,Haver_M!$B$1:$ZN$1,0))),INDEX(Haver_M!$B$1:$ZN$1000,MATCH(data!$A212,Haver_M!$B$1:$B$1000,0),MATCH(data!AO$1,Haver_M!$B$1:$ZN$1,0)),"na")</f>
        <v>49.195</v>
      </c>
      <c r="AP212">
        <f>IF(ISNUMBER(INDEX(Haver_M!$B$1:$ZN$1000,MATCH(data!$A212,Haver_M!$B$1:$B$1000,0),MATCH(data!AP$1,Haver_M!$B$1:$ZN$1,0))),INDEX(Haver_M!$B$1:$ZN$1000,MATCH(data!$A212,Haver_M!$B$1:$B$1000,0),MATCH(data!AP$1,Haver_M!$B$1:$ZN$1,0)),"na")</f>
        <v>48.306199999999997</v>
      </c>
      <c r="AQ212">
        <f>IF(ISNUMBER(INDEX(Haver_M!$B$1:$ZN$1000,MATCH(data!$A212,Haver_M!$B$1:$B$1000,0),MATCH(data!AQ$1,Haver_M!$B$1:$ZN$1,0))),INDEX(Haver_M!$B$1:$ZN$1000,MATCH(data!$A212,Haver_M!$B$1:$B$1000,0),MATCH(data!AQ$1,Haver_M!$B$1:$ZN$1,0)),"na")</f>
        <v>52.375100000000003</v>
      </c>
      <c r="AR212">
        <f>IF(ISNUMBER(INDEX(Haver_M!$B$1:$ZN$1000,MATCH(data!$A212,Haver_M!$B$1:$B$1000,0),MATCH(data!AR$1,Haver_M!$B$1:$ZN$1,0))),INDEX(Haver_M!$B$1:$ZN$1000,MATCH(data!$A212,Haver_M!$B$1:$B$1000,0),MATCH(data!AR$1,Haver_M!$B$1:$ZN$1,0)),"na")</f>
        <v>48.428600000000003</v>
      </c>
      <c r="AS212">
        <f>IF(ISNUMBER(INDEX(Haver_M!$B$1:$ZN$1000,MATCH(data!$A212,Haver_M!$B$1:$B$1000,0),MATCH(data!AS$1,Haver_M!$B$1:$ZN$1,0))),INDEX(Haver_M!$B$1:$ZN$1000,MATCH(data!$A212,Haver_M!$B$1:$B$1000,0),MATCH(data!AS$1,Haver_M!$B$1:$ZN$1,0)),"na")</f>
        <v>50918.28</v>
      </c>
      <c r="AT212">
        <f>IF(ISNUMBER(INDEX(Haver_M!$B$1:$ZN$1000,MATCH(data!$A212,Haver_M!$B$1:$B$1000,0),MATCH(data!AT$1,Haver_M!$B$1:$ZN$1,0))),INDEX(Haver_M!$B$1:$ZN$1000,MATCH(data!$A212,Haver_M!$B$1:$B$1000,0),MATCH(data!AT$1,Haver_M!$B$1:$ZN$1,0)),"na")</f>
        <v>113.569</v>
      </c>
      <c r="AU212">
        <f>IF(ISNUMBER(INDEX(Haver_M!$B$1:$ZN$1000,MATCH(data!$A212,Haver_M!$B$1:$B$1000,0),MATCH(data!AU$1,Haver_M!$B$1:$ZN$1,0))),INDEX(Haver_M!$B$1:$ZN$1000,MATCH(data!$A212,Haver_M!$B$1:$B$1000,0),MATCH(data!AU$1,Haver_M!$B$1:$ZN$1,0)),"na")</f>
        <v>110.046224</v>
      </c>
      <c r="AV212">
        <f>IF(ISNUMBER(INDEX(Haver_M!$B$1:$ZN$1000,MATCH(data!$A212,Haver_M!$B$1:$B$1000,0),MATCH(data!AV$1,Haver_M!$B$1:$ZN$1,0))),INDEX(Haver_M!$B$1:$ZN$1000,MATCH(data!$A212,Haver_M!$B$1:$B$1000,0),MATCH(data!AV$1,Haver_M!$B$1:$ZN$1,0)),"na")</f>
        <v>107.4</v>
      </c>
      <c r="AW212">
        <f>IF(ISNUMBER(INDEX(Haver_M!$B$1:$ZN$1000,MATCH(data!$A212,Haver_M!$B$1:$B$1000,0),MATCH(data!AW$1,Haver_M!$B$1:$ZN$1,0))),INDEX(Haver_M!$B$1:$ZN$1000,MATCH(data!$A212,Haver_M!$B$1:$B$1000,0),MATCH(data!AW$1,Haver_M!$B$1:$ZN$1,0)),"na")</f>
        <v>1842297.6620705063</v>
      </c>
      <c r="AX212">
        <f>IF(ISNUMBER(INDEX(Haver_M!$B$1:$ZN$1000,MATCH(data!$A212,Haver_M!$B$1:$B$1000,0),MATCH(data!AX$1,Haver_M!$B$1:$ZN$1,0))),INDEX(Haver_M!$B$1:$ZN$1000,MATCH(data!$A212,Haver_M!$B$1:$B$1000,0),MATCH(data!AX$1,Haver_M!$B$1:$ZN$1,0)),"na")</f>
        <v>1976</v>
      </c>
      <c r="AY212">
        <f>IF(ISNUMBER(INDEX(Haver_M!$B$1:$ZN$1000,MATCH(data!$A212,Haver_M!$B$1:$B$1000,0),MATCH(data!AY$1,Haver_M!$B$1:$ZN$1,0))),INDEX(Haver_M!$B$1:$ZN$1000,MATCH(data!$A212,Haver_M!$B$1:$B$1000,0),MATCH(data!AY$1,Haver_M!$B$1:$ZN$1,0)),"na")</f>
        <v>1255</v>
      </c>
      <c r="AZ212">
        <f>IF(ISNUMBER(INDEX(Haver_M!$B$1:$ZN$1000,MATCH(data!$A212,Haver_M!$B$1:$B$1000,0),MATCH(data!AZ$1,Haver_M!$B$1:$ZN$1,0))),INDEX(Haver_M!$B$1:$ZN$1000,MATCH(data!$A212,Haver_M!$B$1:$B$1000,0),MATCH(data!AZ$1,Haver_M!$B$1:$ZN$1,0)),"na")</f>
        <v>53.4</v>
      </c>
      <c r="BA212">
        <f>IF(ISNUMBER(INDEX(Haver_M!$B$1:$ZN$1000,MATCH(data!$A212,Haver_M!$B$1:$B$1000,0),MATCH(data!BA$1,Haver_M!$B$1:$ZN$1,0))),INDEX(Haver_M!$B$1:$ZN$1000,MATCH(data!$A212,Haver_M!$B$1:$B$1000,0),MATCH(data!BA$1,Haver_M!$B$1:$ZN$1,0)),"na")</f>
        <v>33.636892176891308</v>
      </c>
      <c r="BB212" t="str">
        <f>IF(ISNUMBER(INDEX(Haver_M!$B$1:$ZN$1000,MATCH(data!$A212,Haver_M!$B$1:$B$1000,0),MATCH(data!BB$1,Haver_M!$B$1:$ZN$1,0))),INDEX(Haver_M!$B$1:$ZN$1000,MATCH(data!$A212,Haver_M!$B$1:$B$1000,0),MATCH(data!BB$1,Haver_M!$B$1:$ZN$1,0)),"")</f>
        <v/>
      </c>
    </row>
    <row r="213" spans="1:54" x14ac:dyDescent="0.25">
      <c r="A213" s="2">
        <v>42978</v>
      </c>
      <c r="B213" t="str">
        <f>IF(ISNUMBER(INDEX(Haver_Q!$B$1:$BD$1000,MATCH(data!$A213,Haver_Q!$B$1:$B$1000,0),MATCH(data!B$1,Haver_Q!$B$1:$BD$1,0))),100*INDEX(Haver_Q!$B$1:$BD$1000,MATCH(data!$A213,Haver_Q!$B$1:$B$1000,0),MATCH(data!B$1,Haver_Q!$B$1:$BD$1,0)),"na")</f>
        <v>na</v>
      </c>
      <c r="C213" t="str">
        <f>IF(ISNUMBER(INDEX(Haver_Q!$B$1:$BD$1000,MATCH(data!$A213,Haver_Q!$B$1:$B$1000,0),MATCH(data!C$1,Haver_Q!$B$1:$BD$1,0))),100*INDEX(Haver_Q!$B$1:$BD$1000,MATCH(data!$A213,Haver_Q!$B$1:$B$1000,0),MATCH(data!C$1,Haver_Q!$B$1:$BD$1,0)),"na")</f>
        <v>na</v>
      </c>
      <c r="D213" t="str">
        <f>IF(ISNUMBER(INDEX(Haver_Q!$B$1:$BD$1000,MATCH(data!$A213,Haver_Q!$B$1:$B$1000,0),MATCH(data!D$1,Haver_Q!$B$1:$BD$1,0))),100*INDEX(Haver_Q!$B$1:$BD$1000,MATCH(data!$A213,Haver_Q!$B$1:$B$1000,0),MATCH(data!D$1,Haver_Q!$B$1:$BD$1,0)),"na")</f>
        <v>na</v>
      </c>
      <c r="E213" t="str">
        <f>IF(ISNUMBER(INDEX(Haver_Q!$B$1:$BD$1000,MATCH(data!$A213,Haver_Q!$B$1:$B$1000,0),MATCH(data!E$1,Haver_Q!$B$1:$BD$1,0))),100*INDEX(Haver_Q!$B$1:$BD$1000,MATCH(data!$A213,Haver_Q!$B$1:$B$1000,0),MATCH(data!E$1,Haver_Q!$B$1:$BD$1,0)),"na")</f>
        <v>na</v>
      </c>
      <c r="F213" t="str">
        <f>IF(ISNUMBER(INDEX(Haver_Q!$B$1:$BD$1000,MATCH(data!$A213,Haver_Q!$B$1:$B$1000,0),MATCH(data!F$1,Haver_Q!$B$1:$BD$1,0))),100*INDEX(Haver_Q!$B$1:$BD$1000,MATCH(data!$A213,Haver_Q!$B$1:$B$1000,0),MATCH(data!F$1,Haver_Q!$B$1:$BD$1,0)),"na")</f>
        <v>na</v>
      </c>
      <c r="G213" t="str">
        <f>IF(ISNUMBER(INDEX(Haver_Q!$B$1:$BD$1000,MATCH(data!$A213,Haver_Q!$B$1:$B$1000,0),MATCH(data!G$1,Haver_Q!$B$1:$BD$1,0))),100*INDEX(Haver_Q!$B$1:$BD$1000,MATCH(data!$A213,Haver_Q!$B$1:$B$1000,0),MATCH(data!G$1,Haver_Q!$B$1:$BD$1,0)),"na")</f>
        <v>na</v>
      </c>
      <c r="H213" t="str">
        <f>IF(ISNUMBER(INDEX(Haver_Q!$B$1:$BD$1000,MATCH(data!$A213,Haver_Q!$B$1:$B$1000,0),MATCH(data!H$1,Haver_Q!$B$1:$BD$1,0))),100*INDEX(Haver_Q!$B$1:$BD$1000,MATCH(data!$A213,Haver_Q!$B$1:$B$1000,0),MATCH(data!H$1,Haver_Q!$B$1:$BD$1,0)),"na")</f>
        <v>na</v>
      </c>
      <c r="I213" s="3">
        <f>IF(ISNUMBER(Bloomberg_m!C229),Bloomberg_m!C229,"na")</f>
        <v>1142</v>
      </c>
      <c r="J213" s="3">
        <f>IF(ISNUMBER(Bloomberg_m!D229),Bloomberg_m!D229,"na")</f>
        <v>1552.85</v>
      </c>
      <c r="K213" s="3">
        <f>IF(ISNUMBER(Bloomberg_m!E229),Bloomberg_m!E229,"na")</f>
        <v>864.2</v>
      </c>
      <c r="L213" s="3">
        <f>IF(ISNUMBER(Bloomberg_m!L229),Bloomberg_m!L229,"na")</f>
        <v>48.03</v>
      </c>
      <c r="M213">
        <f>IF(ISNUMBER(INDEX(Haver_M!$B$1:$ZN$1000,MATCH(data!$A213,Haver_M!$B$1:$B$1000,0),MATCH(data!M$1,Haver_M!$B$1:$ZN$1,0))),INDEX(Haver_M!$B$1:$ZN$1000,MATCH(data!$A213,Haver_M!$B$1:$B$1000,0),MATCH(data!M$1,Haver_M!$B$1:$ZN$1,0)),"na")</f>
        <v>7</v>
      </c>
      <c r="N213">
        <f>IF(ISNUMBER(INDEX(Haver_M!$B$1:$ZN$1000,MATCH(data!$A213,Haver_M!$B$1:$B$1000,0),MATCH(data!N$1,Haver_M!$B$1:$ZN$1,0))),INDEX(Haver_M!$B$1:$ZN$1000,MATCH(data!$A213,Haver_M!$B$1:$B$1000,0),MATCH(data!N$1,Haver_M!$B$1:$ZN$1,0)),"na")</f>
        <v>6.8127000000000004</v>
      </c>
      <c r="O213">
        <f>IF(ISNUMBER(INDEX(Haver_M!$B$1:$ZN$1000,MATCH(data!$A213,Haver_M!$B$1:$B$1000,0),MATCH(data!O$1,Haver_M!$B$1:$ZN$1,0))),INDEX(Haver_M!$B$1:$ZN$1000,MATCH(data!$A213,Haver_M!$B$1:$B$1000,0),MATCH(data!O$1,Haver_M!$B$1:$ZN$1,0)),"na")</f>
        <v>85.329859999999996</v>
      </c>
      <c r="P213">
        <f>IF(ISNUMBER(INDEX(Haver_M!$B$1:$ZN$1000,MATCH(data!$A213,Haver_M!$B$1:$B$1000,0),MATCH(data!P$1,Haver_M!$B$1:$ZN$1,0))),INDEX(Haver_M!$B$1:$ZN$1000,MATCH(data!$A213,Haver_M!$B$1:$B$1000,0),MATCH(data!P$1,Haver_M!$B$1:$ZN$1,0)),"na")</f>
        <v>96.339399999999998</v>
      </c>
      <c r="Q213">
        <f>IF(ISNUMBER(INDEX(Haver_M!$B$1:$ZN$1000,MATCH(data!$A213,Haver_M!$B$1:$B$1000,0),MATCH(data!Q$1,Haver_M!$B$1:$ZN$1,0))),INDEX(Haver_M!$B$1:$ZN$1000,MATCH(data!$A213,Haver_M!$B$1:$B$1000,0),MATCH(data!Q$1,Haver_M!$B$1:$ZN$1,0)),"na")</f>
        <v>96.810599999999994</v>
      </c>
      <c r="R213">
        <f>IF(ISNUMBER(INDEX(Haver_M!$B$1:$ZN$1000,MATCH(data!$A213,Haver_M!$B$1:$B$1000,0),MATCH(data!R$1,Haver_M!$B$1:$ZN$1,0))),INDEX(Haver_M!$B$1:$ZN$1000,MATCH(data!$A213,Haver_M!$B$1:$B$1000,0),MATCH(data!R$1,Haver_M!$B$1:$ZN$1,0)),"na")</f>
        <v>103.7495</v>
      </c>
      <c r="S213">
        <f>IF(ISNUMBER(INDEX(Haver_M!$B$1:$ZN$1000,MATCH(data!$A213,Haver_M!$B$1:$B$1000,0),MATCH(data!S$1,Haver_M!$B$1:$ZN$1,0))),INDEX(Haver_M!$B$1:$ZN$1000,MATCH(data!$A213,Haver_M!$B$1:$B$1000,0),MATCH(data!S$1,Haver_M!$B$1:$ZN$1,0)),"na")</f>
        <v>81.237200000000001</v>
      </c>
      <c r="T213">
        <f>IF(ISNUMBER(INDEX(Haver_M!$B$1:$ZN$1000,MATCH(data!$A213,Haver_M!$B$1:$B$1000,0),MATCH(data!T$1,Haver_M!$B$1:$ZN$1,0))),INDEX(Haver_M!$B$1:$ZN$1000,MATCH(data!$A213,Haver_M!$B$1:$B$1000,0),MATCH(data!T$1,Haver_M!$B$1:$ZN$1,0)),"na")</f>
        <v>108.3604</v>
      </c>
      <c r="U213">
        <f>IF(ISNUMBER(INDEX(Haver_M!$B$1:$ZN$1000,MATCH(data!$A213,Haver_M!$B$1:$B$1000,0),MATCH(data!U$1,Haver_M!$B$1:$ZN$1,0))),INDEX(Haver_M!$B$1:$ZN$1000,MATCH(data!$A213,Haver_M!$B$1:$B$1000,0),MATCH(data!U$1,Haver_M!$B$1:$ZN$1,0)),"na")</f>
        <v>106.158</v>
      </c>
      <c r="V213">
        <f>IF(ISNUMBER(INDEX(Haver_M!$B$1:$ZN$1000,MATCH(data!$A213,Haver_M!$B$1:$B$1000,0),MATCH(data!V$1,Haver_M!$B$1:$ZN$1,0))),INDEX(Haver_M!$B$1:$ZN$1000,MATCH(data!$A213,Haver_M!$B$1:$B$1000,0),MATCH(data!V$1,Haver_M!$B$1:$ZN$1,0)),"na")</f>
        <v>112.0668</v>
      </c>
      <c r="W213">
        <f>IF(ISNUMBER(INDEX(Haver_M!$B$1:$ZN$1000,MATCH(data!$A213,Haver_M!$B$1:$B$1000,0),MATCH(data!W$1,Haver_M!$B$1:$ZN$1,0))),INDEX(Haver_M!$B$1:$ZN$1000,MATCH(data!$A213,Haver_M!$B$1:$B$1000,0),MATCH(data!W$1,Haver_M!$B$1:$ZN$1,0)),"na")</f>
        <v>3.31</v>
      </c>
      <c r="X213">
        <f>IF(ISNUMBER(INDEX(Haver_M!$B$1:$ZN$1000,MATCH(data!$A213,Haver_M!$B$1:$B$1000,0),MATCH(data!X$1,Haver_M!$B$1:$ZN$1,0))),INDEX(Haver_M!$B$1:$ZN$1000,MATCH(data!$A213,Haver_M!$B$1:$B$1000,0),MATCH(data!X$1,Haver_M!$B$1:$ZN$1,0)),"na")</f>
        <v>103.31</v>
      </c>
      <c r="Y213">
        <f>IF(ISNUMBER(INDEX(Haver_M!$B$1:$ZN$1000,MATCH(data!$A213,Haver_M!$B$1:$B$1000,0),MATCH(data!Y$1,Haver_M!$B$1:$ZN$1,0))),INDEX(Haver_M!$B$1:$ZN$1000,MATCH(data!$A213,Haver_M!$B$1:$B$1000,0),MATCH(data!Y$1,Haver_M!$B$1:$ZN$1,0)),"na")</f>
        <v>100.28</v>
      </c>
      <c r="Z213">
        <f>IF(ISNUMBER(INDEX(Haver_M!$B$1:$ZN$1000,MATCH(data!$A213,Haver_M!$B$1:$B$1000,0),MATCH(data!Z$1,Haver_M!$B$1:$ZN$1,0))),INDEX(Haver_M!$B$1:$ZN$1000,MATCH(data!$A213,Haver_M!$B$1:$B$1000,0),MATCH(data!Z$1,Haver_M!$B$1:$ZN$1,0)),"na")</f>
        <v>111.12569999999999</v>
      </c>
      <c r="AA213">
        <f>IF(ISNUMBER(INDEX(Haver_M!$B$1:$ZN$1000,MATCH(data!$A213,Haver_M!$B$1:$B$1000,0),MATCH(data!AA$1,Haver_M!$B$1:$ZN$1,0))),INDEX(Haver_M!$B$1:$ZN$1000,MATCH(data!$A213,Haver_M!$B$1:$B$1000,0),MATCH(data!AA$1,Haver_M!$B$1:$ZN$1,0)),"na")</f>
        <v>108.09229999999999</v>
      </c>
      <c r="AB213">
        <f>IF(ISNUMBER(INDEX(Haver_M!$B$1:$ZN$1000,MATCH(data!$A213,Haver_M!$B$1:$B$1000,0),MATCH(data!AB$1,Haver_M!$B$1:$ZN$1,0))),INDEX(Haver_M!$B$1:$ZN$1000,MATCH(data!$A213,Haver_M!$B$1:$B$1000,0),MATCH(data!AB$1,Haver_M!$B$1:$ZN$1,0)),"na")</f>
        <v>34256.6</v>
      </c>
      <c r="AC213">
        <f>IF(ISNUMBER(INDEX(Haver_M!$B$1:$ZN$1000,MATCH(data!$A213,Haver_M!$B$1:$B$1000,0),MATCH(data!AC$1,Haver_M!$B$1:$ZN$1,0))),INDEX(Haver_M!$B$1:$ZN$1000,MATCH(data!$A213,Haver_M!$B$1:$B$1000,0),MATCH(data!AC$1,Haver_M!$B$1:$ZN$1,0)),"na")</f>
        <v>35863.9</v>
      </c>
      <c r="AD213">
        <f>IF(ISNUMBER(INDEX(Haver_M!$B$1:$ZN$1000,MATCH(data!$A213,Haver_M!$B$1:$B$1000,0),MATCH(data!AD$1,Haver_M!$B$1:$ZN$1,0))),INDEX(Haver_M!$B$1:$ZN$1000,MATCH(data!$A213,Haver_M!$B$1:$B$1000,0),MATCH(data!AD$1,Haver_M!$B$1:$ZN$1,0)),"na")</f>
        <v>100.15</v>
      </c>
      <c r="AE213">
        <f>IF(ISNUMBER(INDEX(Haver_M!$B$1:$ZN$1000,MATCH(data!$A213,Haver_M!$B$1:$B$1000,0),MATCH(data!AE$1,Haver_M!$B$1:$ZN$1,0))),INDEX(Haver_M!$B$1:$ZN$1000,MATCH(data!$A213,Haver_M!$B$1:$B$1000,0),MATCH(data!AE$1,Haver_M!$B$1:$ZN$1,0)),"na")</f>
        <v>36.5</v>
      </c>
      <c r="AF213">
        <f>IF(ISNUMBER(INDEX(Haver_M!$B$1:$ZN$1000,MATCH(data!$A213,Haver_M!$B$1:$B$1000,0),MATCH(data!AF$1,Haver_M!$B$1:$ZN$1,0))),INDEX(Haver_M!$B$1:$ZN$1000,MATCH(data!$A213,Haver_M!$B$1:$B$1000,0),MATCH(data!AF$1,Haver_M!$B$1:$ZN$1,0)),"na")</f>
        <v>99.97</v>
      </c>
      <c r="AG213">
        <f>IF(ISNUMBER(INDEX(Haver_M!$B$1:$ZN$1000,MATCH(data!$A213,Haver_M!$B$1:$B$1000,0),MATCH(data!AG$1,Haver_M!$B$1:$ZN$1,0))),INDEX(Haver_M!$B$1:$ZN$1000,MATCH(data!$A213,Haver_M!$B$1:$B$1000,0),MATCH(data!AG$1,Haver_M!$B$1:$ZN$1,0)),"na")</f>
        <v>52.1663</v>
      </c>
      <c r="AH213">
        <f>IF(ISNUMBER(INDEX(Haver_M!$B$1:$ZN$1000,MATCH(data!$A213,Haver_M!$B$1:$B$1000,0),MATCH(data!AH$1,Haver_M!$B$1:$ZN$1,0))),INDEX(Haver_M!$B$1:$ZN$1000,MATCH(data!$A213,Haver_M!$B$1:$B$1000,0),MATCH(data!AH$1,Haver_M!$B$1:$ZN$1,0)),"na")</f>
        <v>51.947299999999998</v>
      </c>
      <c r="AI213">
        <f>IF(ISNUMBER(INDEX(Haver_M!$B$1:$ZN$1000,MATCH(data!$A213,Haver_M!$B$1:$B$1000,0),MATCH(data!AI$1,Haver_M!$B$1:$ZN$1,0))),INDEX(Haver_M!$B$1:$ZN$1000,MATCH(data!$A213,Haver_M!$B$1:$B$1000,0),MATCH(data!AI$1,Haver_M!$B$1:$ZN$1,0)),"na")</f>
        <v>52.985199999999999</v>
      </c>
      <c r="AJ213">
        <f>IF(ISNUMBER(INDEX(Haver_M!$B$1:$ZN$1000,MATCH(data!$A213,Haver_M!$B$1:$B$1000,0),MATCH(data!AJ$1,Haver_M!$B$1:$ZN$1,0))),INDEX(Haver_M!$B$1:$ZN$1000,MATCH(data!$A213,Haver_M!$B$1:$B$1000,0),MATCH(data!AJ$1,Haver_M!$B$1:$ZN$1,0)),"na")</f>
        <v>52.8277</v>
      </c>
      <c r="AK213">
        <f>IF(ISNUMBER(INDEX(Haver_M!$B$1:$ZN$1000,MATCH(data!$A213,Haver_M!$B$1:$B$1000,0),MATCH(data!AK$1,Haver_M!$B$1:$ZN$1,0))),INDEX(Haver_M!$B$1:$ZN$1000,MATCH(data!$A213,Haver_M!$B$1:$B$1000,0),MATCH(data!AK$1,Haver_M!$B$1:$ZN$1,0)),"na")</f>
        <v>49.499699999999997</v>
      </c>
      <c r="AL213">
        <f>IF(ISNUMBER(INDEX(Haver_M!$B$1:$ZN$1000,MATCH(data!$A213,Haver_M!$B$1:$B$1000,0),MATCH(data!AL$1,Haver_M!$B$1:$ZN$1,0))),INDEX(Haver_M!$B$1:$ZN$1000,MATCH(data!$A213,Haver_M!$B$1:$B$1000,0),MATCH(data!AL$1,Haver_M!$B$1:$ZN$1,0)),"na")</f>
        <v>51.433300000000003</v>
      </c>
      <c r="AM213">
        <f>IF(ISNUMBER(INDEX(Haver_M!$B$1:$ZN$1000,MATCH(data!$A213,Haver_M!$B$1:$B$1000,0),MATCH(data!AM$1,Haver_M!$B$1:$ZN$1,0))),INDEX(Haver_M!$B$1:$ZN$1000,MATCH(data!$A213,Haver_M!$B$1:$B$1000,0),MATCH(data!AM$1,Haver_M!$B$1:$ZN$1,0)),"na")</f>
        <v>55.523099999999999</v>
      </c>
      <c r="AN213">
        <f>IF(ISNUMBER(INDEX(Haver_M!$B$1:$ZN$1000,MATCH(data!$A213,Haver_M!$B$1:$B$1000,0),MATCH(data!AN$1,Haver_M!$B$1:$ZN$1,0))),INDEX(Haver_M!$B$1:$ZN$1000,MATCH(data!$A213,Haver_M!$B$1:$B$1000,0),MATCH(data!AN$1,Haver_M!$B$1:$ZN$1,0)),"na")</f>
        <v>53.4056</v>
      </c>
      <c r="AO213">
        <f>IF(ISNUMBER(INDEX(Haver_M!$B$1:$ZN$1000,MATCH(data!$A213,Haver_M!$B$1:$B$1000,0),MATCH(data!AO$1,Haver_M!$B$1:$ZN$1,0))),INDEX(Haver_M!$B$1:$ZN$1000,MATCH(data!$A213,Haver_M!$B$1:$B$1000,0),MATCH(data!AO$1,Haver_M!$B$1:$ZN$1,0)),"na")</f>
        <v>51.433300000000003</v>
      </c>
      <c r="AP213">
        <f>IF(ISNUMBER(INDEX(Haver_M!$B$1:$ZN$1000,MATCH(data!$A213,Haver_M!$B$1:$B$1000,0),MATCH(data!AP$1,Haver_M!$B$1:$ZN$1,0))),INDEX(Haver_M!$B$1:$ZN$1000,MATCH(data!$A213,Haver_M!$B$1:$B$1000,0),MATCH(data!AP$1,Haver_M!$B$1:$ZN$1,0)),"na")</f>
        <v>52.013500000000001</v>
      </c>
      <c r="AQ213">
        <f>IF(ISNUMBER(INDEX(Haver_M!$B$1:$ZN$1000,MATCH(data!$A213,Haver_M!$B$1:$B$1000,0),MATCH(data!AQ$1,Haver_M!$B$1:$ZN$1,0))),INDEX(Haver_M!$B$1:$ZN$1000,MATCH(data!$A213,Haver_M!$B$1:$B$1000,0),MATCH(data!AQ$1,Haver_M!$B$1:$ZN$1,0)),"na")</f>
        <v>51.369</v>
      </c>
      <c r="AR213">
        <f>IF(ISNUMBER(INDEX(Haver_M!$B$1:$ZN$1000,MATCH(data!$A213,Haver_M!$B$1:$B$1000,0),MATCH(data!AR$1,Haver_M!$B$1:$ZN$1,0))),INDEX(Haver_M!$B$1:$ZN$1000,MATCH(data!$A213,Haver_M!$B$1:$B$1000,0),MATCH(data!AR$1,Haver_M!$B$1:$ZN$1,0)),"na")</f>
        <v>50.505400000000002</v>
      </c>
      <c r="AS213">
        <f>IF(ISNUMBER(INDEX(Haver_M!$B$1:$ZN$1000,MATCH(data!$A213,Haver_M!$B$1:$B$1000,0),MATCH(data!AS$1,Haver_M!$B$1:$ZN$1,0))),INDEX(Haver_M!$B$1:$ZN$1000,MATCH(data!$A213,Haver_M!$B$1:$B$1000,0),MATCH(data!AS$1,Haver_M!$B$1:$ZN$1,0)),"na")</f>
        <v>51214.74</v>
      </c>
      <c r="AT213">
        <f>IF(ISNUMBER(INDEX(Haver_M!$B$1:$ZN$1000,MATCH(data!$A213,Haver_M!$B$1:$B$1000,0),MATCH(data!AT$1,Haver_M!$B$1:$ZN$1,0))),INDEX(Haver_M!$B$1:$ZN$1000,MATCH(data!$A213,Haver_M!$B$1:$B$1000,0),MATCH(data!AT$1,Haver_M!$B$1:$ZN$1,0)),"na")</f>
        <v>113.724</v>
      </c>
      <c r="AU213">
        <f>IF(ISNUMBER(INDEX(Haver_M!$B$1:$ZN$1000,MATCH(data!$A213,Haver_M!$B$1:$B$1000,0),MATCH(data!AU$1,Haver_M!$B$1:$ZN$1,0))),INDEX(Haver_M!$B$1:$ZN$1000,MATCH(data!$A213,Haver_M!$B$1:$B$1000,0),MATCH(data!AU$1,Haver_M!$B$1:$ZN$1,0)),"na")</f>
        <v>110.940786</v>
      </c>
      <c r="AV213">
        <f>IF(ISNUMBER(INDEX(Haver_M!$B$1:$ZN$1000,MATCH(data!$A213,Haver_M!$B$1:$B$1000,0),MATCH(data!AV$1,Haver_M!$B$1:$ZN$1,0))),INDEX(Haver_M!$B$1:$ZN$1000,MATCH(data!$A213,Haver_M!$B$1:$B$1000,0),MATCH(data!AV$1,Haver_M!$B$1:$ZN$1,0)),"na")</f>
        <v>108.5</v>
      </c>
      <c r="AW213">
        <f>IF(ISNUMBER(INDEX(Haver_M!$B$1:$ZN$1000,MATCH(data!$A213,Haver_M!$B$1:$B$1000,0),MATCH(data!AW$1,Haver_M!$B$1:$ZN$1,0))),INDEX(Haver_M!$B$1:$ZN$1000,MATCH(data!$A213,Haver_M!$B$1:$B$1000,0),MATCH(data!AW$1,Haver_M!$B$1:$ZN$1,0)),"na")</f>
        <v>1776823.3197856236</v>
      </c>
      <c r="AX213">
        <f>IF(ISNUMBER(INDEX(Haver_M!$B$1:$ZN$1000,MATCH(data!$A213,Haver_M!$B$1:$B$1000,0),MATCH(data!AX$1,Haver_M!$B$1:$ZN$1,0))),INDEX(Haver_M!$B$1:$ZN$1000,MATCH(data!$A213,Haver_M!$B$1:$B$1000,0),MATCH(data!AX$1,Haver_M!$B$1:$ZN$1,0)),"na")</f>
        <v>1926</v>
      </c>
      <c r="AY213">
        <f>IF(ISNUMBER(INDEX(Haver_M!$B$1:$ZN$1000,MATCH(data!$A213,Haver_M!$B$1:$B$1000,0),MATCH(data!AY$1,Haver_M!$B$1:$ZN$1,0))),INDEX(Haver_M!$B$1:$ZN$1000,MATCH(data!$A213,Haver_M!$B$1:$B$1000,0),MATCH(data!AY$1,Haver_M!$B$1:$ZN$1,0)),"na")</f>
        <v>1114</v>
      </c>
      <c r="AZ213">
        <f>IF(ISNUMBER(INDEX(Haver_M!$B$1:$ZN$1000,MATCH(data!$A213,Haver_M!$B$1:$B$1000,0),MATCH(data!AZ$1,Haver_M!$B$1:$ZN$1,0))),INDEX(Haver_M!$B$1:$ZN$1000,MATCH(data!$A213,Haver_M!$B$1:$B$1000,0),MATCH(data!AZ$1,Haver_M!$B$1:$ZN$1,0)),"na")</f>
        <v>54.2</v>
      </c>
      <c r="BA213">
        <f>IF(ISNUMBER(INDEX(Haver_M!$B$1:$ZN$1000,MATCH(data!$A213,Haver_M!$B$1:$B$1000,0),MATCH(data!BA$1,Haver_M!$B$1:$ZN$1,0))),INDEX(Haver_M!$B$1:$ZN$1000,MATCH(data!$A213,Haver_M!$B$1:$B$1000,0),MATCH(data!BA$1,Haver_M!$B$1:$ZN$1,0)),"na")</f>
        <v>50.018737506756104</v>
      </c>
      <c r="BB213" t="str">
        <f>IF(ISNUMBER(INDEX(Haver_M!$B$1:$ZN$1000,MATCH(data!$A213,Haver_M!$B$1:$B$1000,0),MATCH(data!BB$1,Haver_M!$B$1:$ZN$1,0))),INDEX(Haver_M!$B$1:$ZN$1000,MATCH(data!$A213,Haver_M!$B$1:$B$1000,0),MATCH(data!BB$1,Haver_M!$B$1:$ZN$1,0)),"")</f>
        <v/>
      </c>
    </row>
    <row r="214" spans="1:54" x14ac:dyDescent="0.25">
      <c r="A214" s="2">
        <v>43008</v>
      </c>
      <c r="B214">
        <f>IF(ISNUMBER(INDEX(Haver_Q!$B$1:$BD$1000,MATCH(data!$A214,Haver_Q!$B$1:$B$1000,0),MATCH(data!B$1,Haver_Q!$B$1:$BD$1,0))),100*INDEX(Haver_Q!$B$1:$BD$1000,MATCH(data!$A214,Haver_Q!$B$1:$B$1000,0),MATCH(data!B$1,Haver_Q!$B$1:$BD$1,0)),"na")</f>
        <v>-1.4932278516185504</v>
      </c>
      <c r="C214">
        <f>IF(ISNUMBER(INDEX(Haver_Q!$B$1:$BD$1000,MATCH(data!$A214,Haver_Q!$B$1:$B$1000,0),MATCH(data!C$1,Haver_Q!$B$1:$BD$1,0))),100*INDEX(Haver_Q!$B$1:$BD$1000,MATCH(data!$A214,Haver_Q!$B$1:$B$1000,0),MATCH(data!C$1,Haver_Q!$B$1:$BD$1,0)),"na")</f>
        <v>2.0953024236697315</v>
      </c>
      <c r="D214">
        <f>IF(ISNUMBER(INDEX(Haver_Q!$B$1:$BD$1000,MATCH(data!$A214,Haver_Q!$B$1:$B$1000,0),MATCH(data!D$1,Haver_Q!$B$1:$BD$1,0))),100*INDEX(Haver_Q!$B$1:$BD$1000,MATCH(data!$A214,Haver_Q!$B$1:$B$1000,0),MATCH(data!D$1,Haver_Q!$B$1:$BD$1,0)),"na")</f>
        <v>0.30590162977928159</v>
      </c>
      <c r="E214">
        <f>IF(ISNUMBER(INDEX(Haver_Q!$B$1:$BD$1000,MATCH(data!$A214,Haver_Q!$B$1:$B$1000,0),MATCH(data!E$1,Haver_Q!$B$1:$BD$1,0))),100*INDEX(Haver_Q!$B$1:$BD$1000,MATCH(data!$A214,Haver_Q!$B$1:$B$1000,0),MATCH(data!E$1,Haver_Q!$B$1:$BD$1,0)),"na")</f>
        <v>3.0380882406607412</v>
      </c>
      <c r="F214">
        <f>IF(ISNUMBER(INDEX(Haver_Q!$B$1:$BD$1000,MATCH(data!$A214,Haver_Q!$B$1:$B$1000,0),MATCH(data!F$1,Haver_Q!$B$1:$BD$1,0))),100*INDEX(Haver_Q!$B$1:$BD$1000,MATCH(data!$A214,Haver_Q!$B$1:$B$1000,0),MATCH(data!F$1,Haver_Q!$B$1:$BD$1,0)),"na")</f>
        <v>-3.5566010462799058</v>
      </c>
      <c r="G214">
        <f>IF(ISNUMBER(INDEX(Haver_Q!$B$1:$BD$1000,MATCH(data!$A214,Haver_Q!$B$1:$B$1000,0),MATCH(data!G$1,Haver_Q!$B$1:$BD$1,0))),100*INDEX(Haver_Q!$B$1:$BD$1000,MATCH(data!$A214,Haver_Q!$B$1:$B$1000,0),MATCH(data!G$1,Haver_Q!$B$1:$BD$1,0)),"na")</f>
        <v>0.93421833532401077</v>
      </c>
      <c r="H214">
        <f>IF(ISNUMBER(INDEX(Haver_Q!$B$1:$BD$1000,MATCH(data!$A214,Haver_Q!$B$1:$B$1000,0),MATCH(data!H$1,Haver_Q!$B$1:$BD$1,0))),100*INDEX(Haver_Q!$B$1:$BD$1000,MATCH(data!$A214,Haver_Q!$B$1:$B$1000,0),MATCH(data!H$1,Haver_Q!$B$1:$BD$1,0)),"na")</f>
        <v>478.0955583754598</v>
      </c>
      <c r="I214" s="3">
        <f>IF(ISNUMBER(Bloomberg_m!C230),Bloomberg_m!C230,"na")</f>
        <v>1364</v>
      </c>
      <c r="J214" s="3">
        <f>IF(ISNUMBER(Bloomberg_m!D230),Bloomberg_m!D230,"na")</f>
        <v>1383.75</v>
      </c>
      <c r="K214" s="3">
        <f>IF(ISNUMBER(Bloomberg_m!E230),Bloomberg_m!E230,"na")</f>
        <v>760.54</v>
      </c>
      <c r="L214" s="3">
        <f>IF(ISNUMBER(Bloomberg_m!L230),Bloomberg_m!L230,"na")</f>
        <v>49.83</v>
      </c>
      <c r="M214">
        <f>IF(ISNUMBER(INDEX(Haver_M!$B$1:$ZN$1000,MATCH(data!$A214,Haver_M!$B$1:$B$1000,0),MATCH(data!M$1,Haver_M!$B$1:$ZN$1,0))),INDEX(Haver_M!$B$1:$ZN$1000,MATCH(data!$A214,Haver_M!$B$1:$B$1000,0),MATCH(data!M$1,Haver_M!$B$1:$ZN$1,0)),"na")</f>
        <v>7</v>
      </c>
      <c r="N214">
        <f>IF(ISNUMBER(INDEX(Haver_M!$B$1:$ZN$1000,MATCH(data!$A214,Haver_M!$B$1:$B$1000,0),MATCH(data!N$1,Haver_M!$B$1:$ZN$1,0))),INDEX(Haver_M!$B$1:$ZN$1000,MATCH(data!$A214,Haver_M!$B$1:$B$1000,0),MATCH(data!N$1,Haver_M!$B$1:$ZN$1,0)),"na")</f>
        <v>6.7930999999999999</v>
      </c>
      <c r="O214">
        <f>IF(ISNUMBER(INDEX(Haver_M!$B$1:$ZN$1000,MATCH(data!$A214,Haver_M!$B$1:$B$1000,0),MATCH(data!O$1,Haver_M!$B$1:$ZN$1,0))),INDEX(Haver_M!$B$1:$ZN$1000,MATCH(data!$A214,Haver_M!$B$1:$B$1000,0),MATCH(data!O$1,Haver_M!$B$1:$ZN$1,0)),"na")</f>
        <v>84.671019999999999</v>
      </c>
      <c r="P214">
        <f>IF(ISNUMBER(INDEX(Haver_M!$B$1:$ZN$1000,MATCH(data!$A214,Haver_M!$B$1:$B$1000,0),MATCH(data!P$1,Haver_M!$B$1:$ZN$1,0))),INDEX(Haver_M!$B$1:$ZN$1000,MATCH(data!$A214,Haver_M!$B$1:$B$1000,0),MATCH(data!P$1,Haver_M!$B$1:$ZN$1,0)),"na")</f>
        <v>96.570700000000002</v>
      </c>
      <c r="Q214">
        <f>IF(ISNUMBER(INDEX(Haver_M!$B$1:$ZN$1000,MATCH(data!$A214,Haver_M!$B$1:$B$1000,0),MATCH(data!Q$1,Haver_M!$B$1:$ZN$1,0))),INDEX(Haver_M!$B$1:$ZN$1000,MATCH(data!$A214,Haver_M!$B$1:$B$1000,0),MATCH(data!Q$1,Haver_M!$B$1:$ZN$1,0)),"na")</f>
        <v>97.041799999999995</v>
      </c>
      <c r="R214">
        <f>IF(ISNUMBER(INDEX(Haver_M!$B$1:$ZN$1000,MATCH(data!$A214,Haver_M!$B$1:$B$1000,0),MATCH(data!R$1,Haver_M!$B$1:$ZN$1,0))),INDEX(Haver_M!$B$1:$ZN$1000,MATCH(data!$A214,Haver_M!$B$1:$B$1000,0),MATCH(data!R$1,Haver_M!$B$1:$ZN$1,0)),"na")</f>
        <v>101.917</v>
      </c>
      <c r="S214">
        <f>IF(ISNUMBER(INDEX(Haver_M!$B$1:$ZN$1000,MATCH(data!$A214,Haver_M!$B$1:$B$1000,0),MATCH(data!S$1,Haver_M!$B$1:$ZN$1,0))),INDEX(Haver_M!$B$1:$ZN$1000,MATCH(data!$A214,Haver_M!$B$1:$B$1000,0),MATCH(data!S$1,Haver_M!$B$1:$ZN$1,0)),"na")</f>
        <v>75.174300000000002</v>
      </c>
      <c r="T214">
        <f>IF(ISNUMBER(INDEX(Haver_M!$B$1:$ZN$1000,MATCH(data!$A214,Haver_M!$B$1:$B$1000,0),MATCH(data!T$1,Haver_M!$B$1:$ZN$1,0))),INDEX(Haver_M!$B$1:$ZN$1000,MATCH(data!$A214,Haver_M!$B$1:$B$1000,0),MATCH(data!T$1,Haver_M!$B$1:$ZN$1,0)),"na")</f>
        <v>109.5205</v>
      </c>
      <c r="U214">
        <f>IF(ISNUMBER(INDEX(Haver_M!$B$1:$ZN$1000,MATCH(data!$A214,Haver_M!$B$1:$B$1000,0),MATCH(data!U$1,Haver_M!$B$1:$ZN$1,0))),INDEX(Haver_M!$B$1:$ZN$1000,MATCH(data!$A214,Haver_M!$B$1:$B$1000,0),MATCH(data!U$1,Haver_M!$B$1:$ZN$1,0)),"na")</f>
        <v>107.9293</v>
      </c>
      <c r="V214">
        <f>IF(ISNUMBER(INDEX(Haver_M!$B$1:$ZN$1000,MATCH(data!$A214,Haver_M!$B$1:$B$1000,0),MATCH(data!V$1,Haver_M!$B$1:$ZN$1,0))),INDEX(Haver_M!$B$1:$ZN$1000,MATCH(data!$A214,Haver_M!$B$1:$B$1000,0),MATCH(data!V$1,Haver_M!$B$1:$ZN$1,0)),"na")</f>
        <v>109.86279999999999</v>
      </c>
      <c r="W214">
        <f>IF(ISNUMBER(INDEX(Haver_M!$B$1:$ZN$1000,MATCH(data!$A214,Haver_M!$B$1:$B$1000,0),MATCH(data!W$1,Haver_M!$B$1:$ZN$1,0))),INDEX(Haver_M!$B$1:$ZN$1000,MATCH(data!$A214,Haver_M!$B$1:$B$1000,0),MATCH(data!W$1,Haver_M!$B$1:$ZN$1,0)),"na")</f>
        <v>3.32</v>
      </c>
      <c r="X214">
        <f>IF(ISNUMBER(INDEX(Haver_M!$B$1:$ZN$1000,MATCH(data!$A214,Haver_M!$B$1:$B$1000,0),MATCH(data!X$1,Haver_M!$B$1:$ZN$1,0))),INDEX(Haver_M!$B$1:$ZN$1000,MATCH(data!$A214,Haver_M!$B$1:$B$1000,0),MATCH(data!X$1,Haver_M!$B$1:$ZN$1,0)),"na")</f>
        <v>104.67</v>
      </c>
      <c r="Y214">
        <f>IF(ISNUMBER(INDEX(Haver_M!$B$1:$ZN$1000,MATCH(data!$A214,Haver_M!$B$1:$B$1000,0),MATCH(data!Y$1,Haver_M!$B$1:$ZN$1,0))),INDEX(Haver_M!$B$1:$ZN$1000,MATCH(data!$A214,Haver_M!$B$1:$B$1000,0),MATCH(data!Y$1,Haver_M!$B$1:$ZN$1,0)),"na")</f>
        <v>100.28</v>
      </c>
      <c r="Z214">
        <f>IF(ISNUMBER(INDEX(Haver_M!$B$1:$ZN$1000,MATCH(data!$A214,Haver_M!$B$1:$B$1000,0),MATCH(data!Z$1,Haver_M!$B$1:$ZN$1,0))),INDEX(Haver_M!$B$1:$ZN$1000,MATCH(data!$A214,Haver_M!$B$1:$B$1000,0),MATCH(data!Z$1,Haver_M!$B$1:$ZN$1,0)),"na")</f>
        <v>110.4526</v>
      </c>
      <c r="AA214">
        <f>IF(ISNUMBER(INDEX(Haver_M!$B$1:$ZN$1000,MATCH(data!$A214,Haver_M!$B$1:$B$1000,0),MATCH(data!AA$1,Haver_M!$B$1:$ZN$1,0))),INDEX(Haver_M!$B$1:$ZN$1000,MATCH(data!$A214,Haver_M!$B$1:$B$1000,0),MATCH(data!AA$1,Haver_M!$B$1:$ZN$1,0)),"na")</f>
        <v>107.18170000000001</v>
      </c>
      <c r="AB214">
        <f>IF(ISNUMBER(INDEX(Haver_M!$B$1:$ZN$1000,MATCH(data!$A214,Haver_M!$B$1:$B$1000,0),MATCH(data!AB$1,Haver_M!$B$1:$ZN$1,0))),INDEX(Haver_M!$B$1:$ZN$1000,MATCH(data!$A214,Haver_M!$B$1:$B$1000,0),MATCH(data!AB$1,Haver_M!$B$1:$ZN$1,0)),"na")</f>
        <v>34196.800000000003</v>
      </c>
      <c r="AC214">
        <f>IF(ISNUMBER(INDEX(Haver_M!$B$1:$ZN$1000,MATCH(data!$A214,Haver_M!$B$1:$B$1000,0),MATCH(data!AC$1,Haver_M!$B$1:$ZN$1,0))),INDEX(Haver_M!$B$1:$ZN$1000,MATCH(data!$A214,Haver_M!$B$1:$B$1000,0),MATCH(data!AC$1,Haver_M!$B$1:$ZN$1,0)),"na")</f>
        <v>35475.800000000003</v>
      </c>
      <c r="AD214">
        <f>IF(ISNUMBER(INDEX(Haver_M!$B$1:$ZN$1000,MATCH(data!$A214,Haver_M!$B$1:$B$1000,0),MATCH(data!AD$1,Haver_M!$B$1:$ZN$1,0))),INDEX(Haver_M!$B$1:$ZN$1000,MATCH(data!$A214,Haver_M!$B$1:$B$1000,0),MATCH(data!AD$1,Haver_M!$B$1:$ZN$1,0)),"na")</f>
        <v>100.15</v>
      </c>
      <c r="AE214">
        <f>IF(ISNUMBER(INDEX(Haver_M!$B$1:$ZN$1000,MATCH(data!$A214,Haver_M!$B$1:$B$1000,0),MATCH(data!AE$1,Haver_M!$B$1:$ZN$1,0))),INDEX(Haver_M!$B$1:$ZN$1000,MATCH(data!$A214,Haver_M!$B$1:$B$1000,0),MATCH(data!AE$1,Haver_M!$B$1:$ZN$1,0)),"na")</f>
        <v>37</v>
      </c>
      <c r="AF214">
        <f>IF(ISNUMBER(INDEX(Haver_M!$B$1:$ZN$1000,MATCH(data!$A214,Haver_M!$B$1:$B$1000,0),MATCH(data!AF$1,Haver_M!$B$1:$ZN$1,0))),INDEX(Haver_M!$B$1:$ZN$1000,MATCH(data!$A214,Haver_M!$B$1:$B$1000,0),MATCH(data!AF$1,Haver_M!$B$1:$ZN$1,0)),"na")</f>
        <v>100.08</v>
      </c>
      <c r="AG214">
        <f>IF(ISNUMBER(INDEX(Haver_M!$B$1:$ZN$1000,MATCH(data!$A214,Haver_M!$B$1:$B$1000,0),MATCH(data!AG$1,Haver_M!$B$1:$ZN$1,0))),INDEX(Haver_M!$B$1:$ZN$1000,MATCH(data!$A214,Haver_M!$B$1:$B$1000,0),MATCH(data!AG$1,Haver_M!$B$1:$ZN$1,0)),"na")</f>
        <v>52.841500000000003</v>
      </c>
      <c r="AH214">
        <f>IF(ISNUMBER(INDEX(Haver_M!$B$1:$ZN$1000,MATCH(data!$A214,Haver_M!$B$1:$B$1000,0),MATCH(data!AH$1,Haver_M!$B$1:$ZN$1,0))),INDEX(Haver_M!$B$1:$ZN$1000,MATCH(data!$A214,Haver_M!$B$1:$B$1000,0),MATCH(data!AH$1,Haver_M!$B$1:$ZN$1,0)),"na")</f>
        <v>53.363599999999998</v>
      </c>
      <c r="AI214">
        <f>IF(ISNUMBER(INDEX(Haver_M!$B$1:$ZN$1000,MATCH(data!$A214,Haver_M!$B$1:$B$1000,0),MATCH(data!AI$1,Haver_M!$B$1:$ZN$1,0))),INDEX(Haver_M!$B$1:$ZN$1000,MATCH(data!$A214,Haver_M!$B$1:$B$1000,0),MATCH(data!AI$1,Haver_M!$B$1:$ZN$1,0)),"na")</f>
        <v>54.0623</v>
      </c>
      <c r="AJ214">
        <f>IF(ISNUMBER(INDEX(Haver_M!$B$1:$ZN$1000,MATCH(data!$A214,Haver_M!$B$1:$B$1000,0),MATCH(data!AJ$1,Haver_M!$B$1:$ZN$1,0))),INDEX(Haver_M!$B$1:$ZN$1000,MATCH(data!$A214,Haver_M!$B$1:$B$1000,0),MATCH(data!AJ$1,Haver_M!$B$1:$ZN$1,0)),"na")</f>
        <v>51.975499999999997</v>
      </c>
      <c r="AK214">
        <f>IF(ISNUMBER(INDEX(Haver_M!$B$1:$ZN$1000,MATCH(data!$A214,Haver_M!$B$1:$B$1000,0),MATCH(data!AK$1,Haver_M!$B$1:$ZN$1,0))),INDEX(Haver_M!$B$1:$ZN$1000,MATCH(data!$A214,Haver_M!$B$1:$B$1000,0),MATCH(data!AK$1,Haver_M!$B$1:$ZN$1,0)),"na")</f>
        <v>48.855600000000003</v>
      </c>
      <c r="AL214">
        <f>IF(ISNUMBER(INDEX(Haver_M!$B$1:$ZN$1000,MATCH(data!$A214,Haver_M!$B$1:$B$1000,0),MATCH(data!AL$1,Haver_M!$B$1:$ZN$1,0))),INDEX(Haver_M!$B$1:$ZN$1000,MATCH(data!$A214,Haver_M!$B$1:$B$1000,0),MATCH(data!AL$1,Haver_M!$B$1:$ZN$1,0)),"na")</f>
        <v>52.151499999999999</v>
      </c>
      <c r="AM214">
        <f>IF(ISNUMBER(INDEX(Haver_M!$B$1:$ZN$1000,MATCH(data!$A214,Haver_M!$B$1:$B$1000,0),MATCH(data!AM$1,Haver_M!$B$1:$ZN$1,0))),INDEX(Haver_M!$B$1:$ZN$1000,MATCH(data!$A214,Haver_M!$B$1:$B$1000,0),MATCH(data!AM$1,Haver_M!$B$1:$ZN$1,0)),"na")</f>
        <v>56.497100000000003</v>
      </c>
      <c r="AN214">
        <f>IF(ISNUMBER(INDEX(Haver_M!$B$1:$ZN$1000,MATCH(data!$A214,Haver_M!$B$1:$B$1000,0),MATCH(data!AN$1,Haver_M!$B$1:$ZN$1,0))),INDEX(Haver_M!$B$1:$ZN$1000,MATCH(data!$A214,Haver_M!$B$1:$B$1000,0),MATCH(data!AN$1,Haver_M!$B$1:$ZN$1,0)),"na")</f>
        <v>53.145699999999998</v>
      </c>
      <c r="AO214">
        <f>IF(ISNUMBER(INDEX(Haver_M!$B$1:$ZN$1000,MATCH(data!$A214,Haver_M!$B$1:$B$1000,0),MATCH(data!AO$1,Haver_M!$B$1:$ZN$1,0))),INDEX(Haver_M!$B$1:$ZN$1000,MATCH(data!$A214,Haver_M!$B$1:$B$1000,0),MATCH(data!AO$1,Haver_M!$B$1:$ZN$1,0)),"na")</f>
        <v>52.151499999999999</v>
      </c>
      <c r="AP214">
        <f>IF(ISNUMBER(INDEX(Haver_M!$B$1:$ZN$1000,MATCH(data!$A214,Haver_M!$B$1:$B$1000,0),MATCH(data!AP$1,Haver_M!$B$1:$ZN$1,0))),INDEX(Haver_M!$B$1:$ZN$1000,MATCH(data!$A214,Haver_M!$B$1:$B$1000,0),MATCH(data!AP$1,Haver_M!$B$1:$ZN$1,0)),"na")</f>
        <v>52.146900000000002</v>
      </c>
      <c r="AQ214">
        <f>IF(ISNUMBER(INDEX(Haver_M!$B$1:$ZN$1000,MATCH(data!$A214,Haver_M!$B$1:$B$1000,0),MATCH(data!AQ$1,Haver_M!$B$1:$ZN$1,0))),INDEX(Haver_M!$B$1:$ZN$1000,MATCH(data!$A214,Haver_M!$B$1:$B$1000,0),MATCH(data!AQ$1,Haver_M!$B$1:$ZN$1,0)),"na")</f>
        <v>51.517899999999997</v>
      </c>
      <c r="AR214">
        <f>IF(ISNUMBER(INDEX(Haver_M!$B$1:$ZN$1000,MATCH(data!$A214,Haver_M!$B$1:$B$1000,0),MATCH(data!AR$1,Haver_M!$B$1:$ZN$1,0))),INDEX(Haver_M!$B$1:$ZN$1000,MATCH(data!$A214,Haver_M!$B$1:$B$1000,0),MATCH(data!AR$1,Haver_M!$B$1:$ZN$1,0)),"na")</f>
        <v>51.267099999999999</v>
      </c>
      <c r="AS214">
        <f>IF(ISNUMBER(INDEX(Haver_M!$B$1:$ZN$1000,MATCH(data!$A214,Haver_M!$B$1:$B$1000,0),MATCH(data!AS$1,Haver_M!$B$1:$ZN$1,0))),INDEX(Haver_M!$B$1:$ZN$1000,MATCH(data!$A214,Haver_M!$B$1:$B$1000,0),MATCH(data!AS$1,Haver_M!$B$1:$ZN$1,0)),"na")</f>
        <v>50343.73</v>
      </c>
      <c r="AT214">
        <f>IF(ISNUMBER(INDEX(Haver_M!$B$1:$ZN$1000,MATCH(data!$A214,Haver_M!$B$1:$B$1000,0),MATCH(data!AT$1,Haver_M!$B$1:$ZN$1,0))),INDEX(Haver_M!$B$1:$ZN$1000,MATCH(data!$A214,Haver_M!$B$1:$B$1000,0),MATCH(data!AT$1,Haver_M!$B$1:$ZN$1,0)),"na")</f>
        <v>113.60899999999999</v>
      </c>
      <c r="AU214">
        <f>IF(ISNUMBER(INDEX(Haver_M!$B$1:$ZN$1000,MATCH(data!$A214,Haver_M!$B$1:$B$1000,0),MATCH(data!AU$1,Haver_M!$B$1:$ZN$1,0))),INDEX(Haver_M!$B$1:$ZN$1000,MATCH(data!$A214,Haver_M!$B$1:$B$1000,0),MATCH(data!AU$1,Haver_M!$B$1:$ZN$1,0)),"na")</f>
        <v>109.633066</v>
      </c>
      <c r="AV214">
        <f>IF(ISNUMBER(INDEX(Haver_M!$B$1:$ZN$1000,MATCH(data!$A214,Haver_M!$B$1:$B$1000,0),MATCH(data!AV$1,Haver_M!$B$1:$ZN$1,0))),INDEX(Haver_M!$B$1:$ZN$1000,MATCH(data!$A214,Haver_M!$B$1:$B$1000,0),MATCH(data!AV$1,Haver_M!$B$1:$ZN$1,0)),"na")</f>
        <v>108.4</v>
      </c>
      <c r="AW214">
        <f>IF(ISNUMBER(INDEX(Haver_M!$B$1:$ZN$1000,MATCH(data!$A214,Haver_M!$B$1:$B$1000,0),MATCH(data!AW$1,Haver_M!$B$1:$ZN$1,0))),INDEX(Haver_M!$B$1:$ZN$1000,MATCH(data!$A214,Haver_M!$B$1:$B$1000,0),MATCH(data!AW$1,Haver_M!$B$1:$ZN$1,0)),"na")</f>
        <v>1791989.8171995506</v>
      </c>
      <c r="AX214">
        <f>IF(ISNUMBER(INDEX(Haver_M!$B$1:$ZN$1000,MATCH(data!$A214,Haver_M!$B$1:$B$1000,0),MATCH(data!AX$1,Haver_M!$B$1:$ZN$1,0))),INDEX(Haver_M!$B$1:$ZN$1000,MATCH(data!$A214,Haver_M!$B$1:$B$1000,0),MATCH(data!AX$1,Haver_M!$B$1:$ZN$1,0)),"na")</f>
        <v>1728</v>
      </c>
      <c r="AY214">
        <f>IF(ISNUMBER(INDEX(Haver_M!$B$1:$ZN$1000,MATCH(data!$A214,Haver_M!$B$1:$B$1000,0),MATCH(data!AY$1,Haver_M!$B$1:$ZN$1,0))),INDEX(Haver_M!$B$1:$ZN$1000,MATCH(data!$A214,Haver_M!$B$1:$B$1000,0),MATCH(data!AY$1,Haver_M!$B$1:$ZN$1,0)),"na")</f>
        <v>1159</v>
      </c>
      <c r="AZ214">
        <f>IF(ISNUMBER(INDEX(Haver_M!$B$1:$ZN$1000,MATCH(data!$A214,Haver_M!$B$1:$B$1000,0),MATCH(data!AZ$1,Haver_M!$B$1:$ZN$1,0))),INDEX(Haver_M!$B$1:$ZN$1000,MATCH(data!$A214,Haver_M!$B$1:$B$1000,0),MATCH(data!AZ$1,Haver_M!$B$1:$ZN$1,0)),"na")</f>
        <v>50.5</v>
      </c>
      <c r="BA214">
        <f>IF(ISNUMBER(INDEX(Haver_M!$B$1:$ZN$1000,MATCH(data!$A214,Haver_M!$B$1:$B$1000,0),MATCH(data!BA$1,Haver_M!$B$1:$ZN$1,0))),INDEX(Haver_M!$B$1:$ZN$1000,MATCH(data!$A214,Haver_M!$B$1:$B$1000,0),MATCH(data!BA$1,Haver_M!$B$1:$ZN$1,0)),"na")</f>
        <v>39.553653564493708</v>
      </c>
      <c r="BB214" t="str">
        <f>IF(ISNUMBER(INDEX(Haver_M!$B$1:$ZN$1000,MATCH(data!$A214,Haver_M!$B$1:$B$1000,0),MATCH(data!BB$1,Haver_M!$B$1:$ZN$1,0))),INDEX(Haver_M!$B$1:$ZN$1000,MATCH(data!$A214,Haver_M!$B$1:$B$1000,0),MATCH(data!BB$1,Haver_M!$B$1:$ZN$1,0)),"")</f>
        <v/>
      </c>
    </row>
    <row r="215" spans="1:54" x14ac:dyDescent="0.25">
      <c r="A215" s="2">
        <v>43039</v>
      </c>
      <c r="B215" t="str">
        <f>IF(ISNUMBER(INDEX(Haver_Q!$B$1:$BD$1000,MATCH(data!$A215,Haver_Q!$B$1:$B$1000,0),MATCH(data!B$1,Haver_Q!$B$1:$BD$1,0))),100*INDEX(Haver_Q!$B$1:$BD$1000,MATCH(data!$A215,Haver_Q!$B$1:$B$1000,0),MATCH(data!B$1,Haver_Q!$B$1:$BD$1,0)),"na")</f>
        <v>na</v>
      </c>
      <c r="C215" t="str">
        <f>IF(ISNUMBER(INDEX(Haver_Q!$B$1:$BD$1000,MATCH(data!$A215,Haver_Q!$B$1:$B$1000,0),MATCH(data!C$1,Haver_Q!$B$1:$BD$1,0))),100*INDEX(Haver_Q!$B$1:$BD$1000,MATCH(data!$A215,Haver_Q!$B$1:$B$1000,0),MATCH(data!C$1,Haver_Q!$B$1:$BD$1,0)),"na")</f>
        <v>na</v>
      </c>
      <c r="D215" t="str">
        <f>IF(ISNUMBER(INDEX(Haver_Q!$B$1:$BD$1000,MATCH(data!$A215,Haver_Q!$B$1:$B$1000,0),MATCH(data!D$1,Haver_Q!$B$1:$BD$1,0))),100*INDEX(Haver_Q!$B$1:$BD$1000,MATCH(data!$A215,Haver_Q!$B$1:$B$1000,0),MATCH(data!D$1,Haver_Q!$B$1:$BD$1,0)),"na")</f>
        <v>na</v>
      </c>
      <c r="E215" t="str">
        <f>IF(ISNUMBER(INDEX(Haver_Q!$B$1:$BD$1000,MATCH(data!$A215,Haver_Q!$B$1:$B$1000,0),MATCH(data!E$1,Haver_Q!$B$1:$BD$1,0))),100*INDEX(Haver_Q!$B$1:$BD$1000,MATCH(data!$A215,Haver_Q!$B$1:$B$1000,0),MATCH(data!E$1,Haver_Q!$B$1:$BD$1,0)),"na")</f>
        <v>na</v>
      </c>
      <c r="F215" t="str">
        <f>IF(ISNUMBER(INDEX(Haver_Q!$B$1:$BD$1000,MATCH(data!$A215,Haver_Q!$B$1:$B$1000,0),MATCH(data!F$1,Haver_Q!$B$1:$BD$1,0))),100*INDEX(Haver_Q!$B$1:$BD$1000,MATCH(data!$A215,Haver_Q!$B$1:$B$1000,0),MATCH(data!F$1,Haver_Q!$B$1:$BD$1,0)),"na")</f>
        <v>na</v>
      </c>
      <c r="G215" t="str">
        <f>IF(ISNUMBER(INDEX(Haver_Q!$B$1:$BD$1000,MATCH(data!$A215,Haver_Q!$B$1:$B$1000,0),MATCH(data!G$1,Haver_Q!$B$1:$BD$1,0))),100*INDEX(Haver_Q!$B$1:$BD$1000,MATCH(data!$A215,Haver_Q!$B$1:$B$1000,0),MATCH(data!G$1,Haver_Q!$B$1:$BD$1,0)),"na")</f>
        <v>na</v>
      </c>
      <c r="H215" t="str">
        <f>IF(ISNUMBER(INDEX(Haver_Q!$B$1:$BD$1000,MATCH(data!$A215,Haver_Q!$B$1:$B$1000,0),MATCH(data!H$1,Haver_Q!$B$1:$BD$1,0))),100*INDEX(Haver_Q!$B$1:$BD$1000,MATCH(data!$A215,Haver_Q!$B$1:$B$1000,0),MATCH(data!H$1,Haver_Q!$B$1:$BD$1,0)),"na")</f>
        <v>na</v>
      </c>
      <c r="I215" s="3">
        <f>IF(ISNUMBER(Bloomberg_m!C231),Bloomberg_m!C231,"na")</f>
        <v>1484</v>
      </c>
      <c r="J215" s="3">
        <f>IF(ISNUMBER(Bloomberg_m!D231),Bloomberg_m!D231,"na")</f>
        <v>1251</v>
      </c>
      <c r="K215" s="3">
        <f>IF(ISNUMBER(Bloomberg_m!E231),Bloomberg_m!E231,"na")</f>
        <v>759.71</v>
      </c>
      <c r="L215" s="3">
        <f>IF(ISNUMBER(Bloomberg_m!L231),Bloomberg_m!L231,"na")</f>
        <v>51.56</v>
      </c>
      <c r="M215">
        <f>IF(ISNUMBER(INDEX(Haver_M!$B$1:$ZN$1000,MATCH(data!$A215,Haver_M!$B$1:$B$1000,0),MATCH(data!M$1,Haver_M!$B$1:$ZN$1,0))),INDEX(Haver_M!$B$1:$ZN$1000,MATCH(data!$A215,Haver_M!$B$1:$B$1000,0),MATCH(data!M$1,Haver_M!$B$1:$ZN$1,0)),"na")</f>
        <v>7</v>
      </c>
      <c r="N215">
        <f>IF(ISNUMBER(INDEX(Haver_M!$B$1:$ZN$1000,MATCH(data!$A215,Haver_M!$B$1:$B$1000,0),MATCH(data!N$1,Haver_M!$B$1:$ZN$1,0))),INDEX(Haver_M!$B$1:$ZN$1000,MATCH(data!$A215,Haver_M!$B$1:$B$1000,0),MATCH(data!N$1,Haver_M!$B$1:$ZN$1,0)),"na")</f>
        <v>7.1218000000000004</v>
      </c>
      <c r="O215">
        <f>IF(ISNUMBER(INDEX(Haver_M!$B$1:$ZN$1000,MATCH(data!$A215,Haver_M!$B$1:$B$1000,0),MATCH(data!O$1,Haver_M!$B$1:$ZN$1,0))),INDEX(Haver_M!$B$1:$ZN$1000,MATCH(data!$A215,Haver_M!$B$1:$B$1000,0),MATCH(data!O$1,Haver_M!$B$1:$ZN$1,0)),"na")</f>
        <v>81.11703</v>
      </c>
      <c r="P215">
        <f>IF(ISNUMBER(INDEX(Haver_M!$B$1:$ZN$1000,MATCH(data!$A215,Haver_M!$B$1:$B$1000,0),MATCH(data!P$1,Haver_M!$B$1:$ZN$1,0))),INDEX(Haver_M!$B$1:$ZN$1000,MATCH(data!$A215,Haver_M!$B$1:$B$1000,0),MATCH(data!P$1,Haver_M!$B$1:$ZN$1,0)),"na")</f>
        <v>96.959599999999995</v>
      </c>
      <c r="Q215">
        <f>IF(ISNUMBER(INDEX(Haver_M!$B$1:$ZN$1000,MATCH(data!$A215,Haver_M!$B$1:$B$1000,0),MATCH(data!Q$1,Haver_M!$B$1:$ZN$1,0))),INDEX(Haver_M!$B$1:$ZN$1000,MATCH(data!$A215,Haver_M!$B$1:$B$1000,0),MATCH(data!Q$1,Haver_M!$B$1:$ZN$1,0)),"na")</f>
        <v>97.322800000000001</v>
      </c>
      <c r="R215">
        <f>IF(ISNUMBER(INDEX(Haver_M!$B$1:$ZN$1000,MATCH(data!$A215,Haver_M!$B$1:$B$1000,0),MATCH(data!R$1,Haver_M!$B$1:$ZN$1,0))),INDEX(Haver_M!$B$1:$ZN$1000,MATCH(data!$A215,Haver_M!$B$1:$B$1000,0),MATCH(data!R$1,Haver_M!$B$1:$ZN$1,0)),"na")</f>
        <v>104.0022</v>
      </c>
      <c r="S215">
        <f>IF(ISNUMBER(INDEX(Haver_M!$B$1:$ZN$1000,MATCH(data!$A215,Haver_M!$B$1:$B$1000,0),MATCH(data!S$1,Haver_M!$B$1:$ZN$1,0))),INDEX(Haver_M!$B$1:$ZN$1000,MATCH(data!$A215,Haver_M!$B$1:$B$1000,0),MATCH(data!S$1,Haver_M!$B$1:$ZN$1,0)),"na")</f>
        <v>80.010900000000007</v>
      </c>
      <c r="T215">
        <f>IF(ISNUMBER(INDEX(Haver_M!$B$1:$ZN$1000,MATCH(data!$A215,Haver_M!$B$1:$B$1000,0),MATCH(data!T$1,Haver_M!$B$1:$ZN$1,0))),INDEX(Haver_M!$B$1:$ZN$1000,MATCH(data!$A215,Haver_M!$B$1:$B$1000,0),MATCH(data!T$1,Haver_M!$B$1:$ZN$1,0)),"na")</f>
        <v>106.36320000000001</v>
      </c>
      <c r="U215">
        <f>IF(ISNUMBER(INDEX(Haver_M!$B$1:$ZN$1000,MATCH(data!$A215,Haver_M!$B$1:$B$1000,0),MATCH(data!U$1,Haver_M!$B$1:$ZN$1,0))),INDEX(Haver_M!$B$1:$ZN$1000,MATCH(data!$A215,Haver_M!$B$1:$B$1000,0),MATCH(data!U$1,Haver_M!$B$1:$ZN$1,0)),"na")</f>
        <v>107.50369999999999</v>
      </c>
      <c r="V215">
        <f>IF(ISNUMBER(INDEX(Haver_M!$B$1:$ZN$1000,MATCH(data!$A215,Haver_M!$B$1:$B$1000,0),MATCH(data!V$1,Haver_M!$B$1:$ZN$1,0))),INDEX(Haver_M!$B$1:$ZN$1000,MATCH(data!$A215,Haver_M!$B$1:$B$1000,0),MATCH(data!V$1,Haver_M!$B$1:$ZN$1,0)),"na")</f>
        <v>112.59229999999999</v>
      </c>
      <c r="W215">
        <f>IF(ISNUMBER(INDEX(Haver_M!$B$1:$ZN$1000,MATCH(data!$A215,Haver_M!$B$1:$B$1000,0),MATCH(data!W$1,Haver_M!$B$1:$ZN$1,0))),INDEX(Haver_M!$B$1:$ZN$1000,MATCH(data!$A215,Haver_M!$B$1:$B$1000,0),MATCH(data!W$1,Haver_M!$B$1:$ZN$1,0)),"na")</f>
        <v>3.39</v>
      </c>
      <c r="X215">
        <f>IF(ISNUMBER(INDEX(Haver_M!$B$1:$ZN$1000,MATCH(data!$A215,Haver_M!$B$1:$B$1000,0),MATCH(data!X$1,Haver_M!$B$1:$ZN$1,0))),INDEX(Haver_M!$B$1:$ZN$1000,MATCH(data!$A215,Haver_M!$B$1:$B$1000,0),MATCH(data!X$1,Haver_M!$B$1:$ZN$1,0)),"na")</f>
        <v>104.11</v>
      </c>
      <c r="Y215">
        <f>IF(ISNUMBER(INDEX(Haver_M!$B$1:$ZN$1000,MATCH(data!$A215,Haver_M!$B$1:$B$1000,0),MATCH(data!Y$1,Haver_M!$B$1:$ZN$1,0))),INDEX(Haver_M!$B$1:$ZN$1000,MATCH(data!$A215,Haver_M!$B$1:$B$1000,0),MATCH(data!Y$1,Haver_M!$B$1:$ZN$1,0)),"na")</f>
        <v>100.26</v>
      </c>
      <c r="Z215">
        <f>IF(ISNUMBER(INDEX(Haver_M!$B$1:$ZN$1000,MATCH(data!$A215,Haver_M!$B$1:$B$1000,0),MATCH(data!Z$1,Haver_M!$B$1:$ZN$1,0))),INDEX(Haver_M!$B$1:$ZN$1000,MATCH(data!$A215,Haver_M!$B$1:$B$1000,0),MATCH(data!Z$1,Haver_M!$B$1:$ZN$1,0)),"na")</f>
        <v>111.6397</v>
      </c>
      <c r="AA215">
        <f>IF(ISNUMBER(INDEX(Haver_M!$B$1:$ZN$1000,MATCH(data!$A215,Haver_M!$B$1:$B$1000,0),MATCH(data!AA$1,Haver_M!$B$1:$ZN$1,0))),INDEX(Haver_M!$B$1:$ZN$1000,MATCH(data!$A215,Haver_M!$B$1:$B$1000,0),MATCH(data!AA$1,Haver_M!$B$1:$ZN$1,0)),"na")</f>
        <v>107.56100000000001</v>
      </c>
      <c r="AB215">
        <f>IF(ISNUMBER(INDEX(Haver_M!$B$1:$ZN$1000,MATCH(data!$A215,Haver_M!$B$1:$B$1000,0),MATCH(data!AB$1,Haver_M!$B$1:$ZN$1,0))),INDEX(Haver_M!$B$1:$ZN$1000,MATCH(data!$A215,Haver_M!$B$1:$B$1000,0),MATCH(data!AB$1,Haver_M!$B$1:$ZN$1,0)),"na")</f>
        <v>34809.599999999999</v>
      </c>
      <c r="AC215">
        <f>IF(ISNUMBER(INDEX(Haver_M!$B$1:$ZN$1000,MATCH(data!$A215,Haver_M!$B$1:$B$1000,0),MATCH(data!AC$1,Haver_M!$B$1:$ZN$1,0))),INDEX(Haver_M!$B$1:$ZN$1000,MATCH(data!$A215,Haver_M!$B$1:$B$1000,0),MATCH(data!AC$1,Haver_M!$B$1:$ZN$1,0)),"na")</f>
        <v>36236.300000000003</v>
      </c>
      <c r="AD215">
        <f>IF(ISNUMBER(INDEX(Haver_M!$B$1:$ZN$1000,MATCH(data!$A215,Haver_M!$B$1:$B$1000,0),MATCH(data!AD$1,Haver_M!$B$1:$ZN$1,0))),INDEX(Haver_M!$B$1:$ZN$1000,MATCH(data!$A215,Haver_M!$B$1:$B$1000,0),MATCH(data!AD$1,Haver_M!$B$1:$ZN$1,0)),"na")</f>
        <v>100.2</v>
      </c>
      <c r="AE215">
        <f>IF(ISNUMBER(INDEX(Haver_M!$B$1:$ZN$1000,MATCH(data!$A215,Haver_M!$B$1:$B$1000,0),MATCH(data!AE$1,Haver_M!$B$1:$ZN$1,0))),INDEX(Haver_M!$B$1:$ZN$1000,MATCH(data!$A215,Haver_M!$B$1:$B$1000,0),MATCH(data!AE$1,Haver_M!$B$1:$ZN$1,0)),"na")</f>
        <v>36.5</v>
      </c>
      <c r="AF215">
        <f>IF(ISNUMBER(INDEX(Haver_M!$B$1:$ZN$1000,MATCH(data!$A215,Haver_M!$B$1:$B$1000,0),MATCH(data!AF$1,Haver_M!$B$1:$ZN$1,0))),INDEX(Haver_M!$B$1:$ZN$1000,MATCH(data!$A215,Haver_M!$B$1:$B$1000,0),MATCH(data!AF$1,Haver_M!$B$1:$ZN$1,0)),"na")</f>
        <v>100.17</v>
      </c>
      <c r="AG215">
        <f>IF(ISNUMBER(INDEX(Haver_M!$B$1:$ZN$1000,MATCH(data!$A215,Haver_M!$B$1:$B$1000,0),MATCH(data!AG$1,Haver_M!$B$1:$ZN$1,0))),INDEX(Haver_M!$B$1:$ZN$1000,MATCH(data!$A215,Haver_M!$B$1:$B$1000,0),MATCH(data!AG$1,Haver_M!$B$1:$ZN$1,0)),"na")</f>
        <v>49.192399999999999</v>
      </c>
      <c r="AH215">
        <f>IF(ISNUMBER(INDEX(Haver_M!$B$1:$ZN$1000,MATCH(data!$A215,Haver_M!$B$1:$B$1000,0),MATCH(data!AH$1,Haver_M!$B$1:$ZN$1,0))),INDEX(Haver_M!$B$1:$ZN$1000,MATCH(data!$A215,Haver_M!$B$1:$B$1000,0),MATCH(data!AH$1,Haver_M!$B$1:$ZN$1,0)),"na")</f>
        <v>47.770600000000002</v>
      </c>
      <c r="AI215">
        <f>IF(ISNUMBER(INDEX(Haver_M!$B$1:$ZN$1000,MATCH(data!$A215,Haver_M!$B$1:$B$1000,0),MATCH(data!AI$1,Haver_M!$B$1:$ZN$1,0))),INDEX(Haver_M!$B$1:$ZN$1000,MATCH(data!$A215,Haver_M!$B$1:$B$1000,0),MATCH(data!AI$1,Haver_M!$B$1:$ZN$1,0)),"na")</f>
        <v>49.322299999999998</v>
      </c>
      <c r="AJ215">
        <f>IF(ISNUMBER(INDEX(Haver_M!$B$1:$ZN$1000,MATCH(data!$A215,Haver_M!$B$1:$B$1000,0),MATCH(data!AJ$1,Haver_M!$B$1:$ZN$1,0))),INDEX(Haver_M!$B$1:$ZN$1000,MATCH(data!$A215,Haver_M!$B$1:$B$1000,0),MATCH(data!AJ$1,Haver_M!$B$1:$ZN$1,0)),"na")</f>
        <v>49.6387</v>
      </c>
      <c r="AK215">
        <f>IF(ISNUMBER(INDEX(Haver_M!$B$1:$ZN$1000,MATCH(data!$A215,Haver_M!$B$1:$B$1000,0),MATCH(data!AK$1,Haver_M!$B$1:$ZN$1,0))),INDEX(Haver_M!$B$1:$ZN$1000,MATCH(data!$A215,Haver_M!$B$1:$B$1000,0),MATCH(data!AK$1,Haver_M!$B$1:$ZN$1,0)),"na")</f>
        <v>48.678899999999999</v>
      </c>
      <c r="AL215">
        <f>IF(ISNUMBER(INDEX(Haver_M!$B$1:$ZN$1000,MATCH(data!$A215,Haver_M!$B$1:$B$1000,0),MATCH(data!AL$1,Haver_M!$B$1:$ZN$1,0))),INDEX(Haver_M!$B$1:$ZN$1000,MATCH(data!$A215,Haver_M!$B$1:$B$1000,0),MATCH(data!AL$1,Haver_M!$B$1:$ZN$1,0)),"na")</f>
        <v>48.271900000000002</v>
      </c>
      <c r="AM215">
        <f>IF(ISNUMBER(INDEX(Haver_M!$B$1:$ZN$1000,MATCH(data!$A215,Haver_M!$B$1:$B$1000,0),MATCH(data!AM$1,Haver_M!$B$1:$ZN$1,0))),INDEX(Haver_M!$B$1:$ZN$1000,MATCH(data!$A215,Haver_M!$B$1:$B$1000,0),MATCH(data!AM$1,Haver_M!$B$1:$ZN$1,0)),"na")</f>
        <v>57.574199999999998</v>
      </c>
      <c r="AN215">
        <f>IF(ISNUMBER(INDEX(Haver_M!$B$1:$ZN$1000,MATCH(data!$A215,Haver_M!$B$1:$B$1000,0),MATCH(data!AN$1,Haver_M!$B$1:$ZN$1,0))),INDEX(Haver_M!$B$1:$ZN$1000,MATCH(data!$A215,Haver_M!$B$1:$B$1000,0),MATCH(data!AN$1,Haver_M!$B$1:$ZN$1,0)),"na")</f>
        <v>49.388100000000001</v>
      </c>
      <c r="AO215">
        <f>IF(ISNUMBER(INDEX(Haver_M!$B$1:$ZN$1000,MATCH(data!$A215,Haver_M!$B$1:$B$1000,0),MATCH(data!AO$1,Haver_M!$B$1:$ZN$1,0))),INDEX(Haver_M!$B$1:$ZN$1000,MATCH(data!$A215,Haver_M!$B$1:$B$1000,0),MATCH(data!AO$1,Haver_M!$B$1:$ZN$1,0)),"na")</f>
        <v>48.271900000000002</v>
      </c>
      <c r="AP215">
        <f>IF(ISNUMBER(INDEX(Haver_M!$B$1:$ZN$1000,MATCH(data!$A215,Haver_M!$B$1:$B$1000,0),MATCH(data!AP$1,Haver_M!$B$1:$ZN$1,0))),INDEX(Haver_M!$B$1:$ZN$1000,MATCH(data!$A215,Haver_M!$B$1:$B$1000,0),MATCH(data!AP$1,Haver_M!$B$1:$ZN$1,0)),"na")</f>
        <v>49.991300000000003</v>
      </c>
      <c r="AQ215">
        <f>IF(ISNUMBER(INDEX(Haver_M!$B$1:$ZN$1000,MATCH(data!$A215,Haver_M!$B$1:$B$1000,0),MATCH(data!AQ$1,Haver_M!$B$1:$ZN$1,0))),INDEX(Haver_M!$B$1:$ZN$1000,MATCH(data!$A215,Haver_M!$B$1:$B$1000,0),MATCH(data!AQ$1,Haver_M!$B$1:$ZN$1,0)),"na")</f>
        <v>52.346499999999999</v>
      </c>
      <c r="AR215">
        <f>IF(ISNUMBER(INDEX(Haver_M!$B$1:$ZN$1000,MATCH(data!$A215,Haver_M!$B$1:$B$1000,0),MATCH(data!AR$1,Haver_M!$B$1:$ZN$1,0))),INDEX(Haver_M!$B$1:$ZN$1000,MATCH(data!$A215,Haver_M!$B$1:$B$1000,0),MATCH(data!AR$1,Haver_M!$B$1:$ZN$1,0)),"na")</f>
        <v>49.757899999999999</v>
      </c>
      <c r="AS215">
        <f>IF(ISNUMBER(INDEX(Haver_M!$B$1:$ZN$1000,MATCH(data!$A215,Haver_M!$B$1:$B$1000,0),MATCH(data!AS$1,Haver_M!$B$1:$ZN$1,0))),INDEX(Haver_M!$B$1:$ZN$1000,MATCH(data!$A215,Haver_M!$B$1:$B$1000,0),MATCH(data!AS$1,Haver_M!$B$1:$ZN$1,0)),"na")</f>
        <v>49847.88</v>
      </c>
      <c r="AT215">
        <f>IF(ISNUMBER(INDEX(Haver_M!$B$1:$ZN$1000,MATCH(data!$A215,Haver_M!$B$1:$B$1000,0),MATCH(data!AT$1,Haver_M!$B$1:$ZN$1,0))),INDEX(Haver_M!$B$1:$ZN$1000,MATCH(data!$A215,Haver_M!$B$1:$B$1000,0),MATCH(data!AT$1,Haver_M!$B$1:$ZN$1,0)),"na")</f>
        <v>114.014</v>
      </c>
      <c r="AU215">
        <f>IF(ISNUMBER(INDEX(Haver_M!$B$1:$ZN$1000,MATCH(data!$A215,Haver_M!$B$1:$B$1000,0),MATCH(data!AU$1,Haver_M!$B$1:$ZN$1,0))),INDEX(Haver_M!$B$1:$ZN$1000,MATCH(data!$A215,Haver_M!$B$1:$B$1000,0),MATCH(data!AU$1,Haver_M!$B$1:$ZN$1,0)),"na")</f>
        <v>110.986796</v>
      </c>
      <c r="AV215">
        <f>IF(ISNUMBER(INDEX(Haver_M!$B$1:$ZN$1000,MATCH(data!$A215,Haver_M!$B$1:$B$1000,0),MATCH(data!AV$1,Haver_M!$B$1:$ZN$1,0))),INDEX(Haver_M!$B$1:$ZN$1000,MATCH(data!$A215,Haver_M!$B$1:$B$1000,0),MATCH(data!AV$1,Haver_M!$B$1:$ZN$1,0)),"na")</f>
        <v>107.3</v>
      </c>
      <c r="AW215">
        <f>IF(ISNUMBER(INDEX(Haver_M!$B$1:$ZN$1000,MATCH(data!$A215,Haver_M!$B$1:$B$1000,0),MATCH(data!AW$1,Haver_M!$B$1:$ZN$1,0))),INDEX(Haver_M!$B$1:$ZN$1000,MATCH(data!$A215,Haver_M!$B$1:$B$1000,0),MATCH(data!AW$1,Haver_M!$B$1:$ZN$1,0)),"na")</f>
        <v>1756359.6202039104</v>
      </c>
      <c r="AX215">
        <f>IF(ISNUMBER(INDEX(Haver_M!$B$1:$ZN$1000,MATCH(data!$A215,Haver_M!$B$1:$B$1000,0),MATCH(data!AX$1,Haver_M!$B$1:$ZN$1,0))),INDEX(Haver_M!$B$1:$ZN$1000,MATCH(data!$A215,Haver_M!$B$1:$B$1000,0),MATCH(data!AX$1,Haver_M!$B$1:$ZN$1,0)),"na")</f>
        <v>1902</v>
      </c>
      <c r="AY215">
        <f>IF(ISNUMBER(INDEX(Haver_M!$B$1:$ZN$1000,MATCH(data!$A215,Haver_M!$B$1:$B$1000,0),MATCH(data!AY$1,Haver_M!$B$1:$ZN$1,0))),INDEX(Haver_M!$B$1:$ZN$1000,MATCH(data!$A215,Haver_M!$B$1:$B$1000,0),MATCH(data!AY$1,Haver_M!$B$1:$ZN$1,0)),"na")</f>
        <v>1342</v>
      </c>
      <c r="AZ215">
        <f>IF(ISNUMBER(INDEX(Haver_M!$B$1:$ZN$1000,MATCH(data!$A215,Haver_M!$B$1:$B$1000,0),MATCH(data!AZ$1,Haver_M!$B$1:$ZN$1,0))),INDEX(Haver_M!$B$1:$ZN$1000,MATCH(data!$A215,Haver_M!$B$1:$B$1000,0),MATCH(data!AZ$1,Haver_M!$B$1:$ZN$1,0)),"na")</f>
        <v>53.7</v>
      </c>
      <c r="BA215">
        <f>IF(ISNUMBER(INDEX(Haver_M!$B$1:$ZN$1000,MATCH(data!$A215,Haver_M!$B$1:$B$1000,0),MATCH(data!BA$1,Haver_M!$B$1:$ZN$1,0))),INDEX(Haver_M!$B$1:$ZN$1000,MATCH(data!$A215,Haver_M!$B$1:$B$1000,0),MATCH(data!BA$1,Haver_M!$B$1:$ZN$1,0)),"na")</f>
        <v>61.439427520325538</v>
      </c>
      <c r="BB215" t="str">
        <f>IF(ISNUMBER(INDEX(Haver_M!$B$1:$ZN$1000,MATCH(data!$A215,Haver_M!$B$1:$B$1000,0),MATCH(data!BB$1,Haver_M!$B$1:$ZN$1,0))),INDEX(Haver_M!$B$1:$ZN$1000,MATCH(data!$A215,Haver_M!$B$1:$B$1000,0),MATCH(data!BB$1,Haver_M!$B$1:$ZN$1,0)),"")</f>
        <v/>
      </c>
    </row>
    <row r="216" spans="1:54" x14ac:dyDescent="0.25">
      <c r="A216" s="2">
        <v>43069</v>
      </c>
      <c r="B216" t="str">
        <f>IF(ISNUMBER(INDEX(Haver_Q!$B$1:$BD$1000,MATCH(data!$A216,Haver_Q!$B$1:$B$1000,0),MATCH(data!B$1,Haver_Q!$B$1:$BD$1,0))),100*INDEX(Haver_Q!$B$1:$BD$1000,MATCH(data!$A216,Haver_Q!$B$1:$B$1000,0),MATCH(data!B$1,Haver_Q!$B$1:$BD$1,0)),"na")</f>
        <v>na</v>
      </c>
      <c r="C216" t="str">
        <f>IF(ISNUMBER(INDEX(Haver_Q!$B$1:$BD$1000,MATCH(data!$A216,Haver_Q!$B$1:$B$1000,0),MATCH(data!C$1,Haver_Q!$B$1:$BD$1,0))),100*INDEX(Haver_Q!$B$1:$BD$1000,MATCH(data!$A216,Haver_Q!$B$1:$B$1000,0),MATCH(data!C$1,Haver_Q!$B$1:$BD$1,0)),"na")</f>
        <v>na</v>
      </c>
      <c r="D216" t="str">
        <f>IF(ISNUMBER(INDEX(Haver_Q!$B$1:$BD$1000,MATCH(data!$A216,Haver_Q!$B$1:$B$1000,0),MATCH(data!D$1,Haver_Q!$B$1:$BD$1,0))),100*INDEX(Haver_Q!$B$1:$BD$1000,MATCH(data!$A216,Haver_Q!$B$1:$B$1000,0),MATCH(data!D$1,Haver_Q!$B$1:$BD$1,0)),"na")</f>
        <v>na</v>
      </c>
      <c r="E216" t="str">
        <f>IF(ISNUMBER(INDEX(Haver_Q!$B$1:$BD$1000,MATCH(data!$A216,Haver_Q!$B$1:$B$1000,0),MATCH(data!E$1,Haver_Q!$B$1:$BD$1,0))),100*INDEX(Haver_Q!$B$1:$BD$1000,MATCH(data!$A216,Haver_Q!$B$1:$B$1000,0),MATCH(data!E$1,Haver_Q!$B$1:$BD$1,0)),"na")</f>
        <v>na</v>
      </c>
      <c r="F216" t="str">
        <f>IF(ISNUMBER(INDEX(Haver_Q!$B$1:$BD$1000,MATCH(data!$A216,Haver_Q!$B$1:$B$1000,0),MATCH(data!F$1,Haver_Q!$B$1:$BD$1,0))),100*INDEX(Haver_Q!$B$1:$BD$1000,MATCH(data!$A216,Haver_Q!$B$1:$B$1000,0),MATCH(data!F$1,Haver_Q!$B$1:$BD$1,0)),"na")</f>
        <v>na</v>
      </c>
      <c r="G216" t="str">
        <f>IF(ISNUMBER(INDEX(Haver_Q!$B$1:$BD$1000,MATCH(data!$A216,Haver_Q!$B$1:$B$1000,0),MATCH(data!G$1,Haver_Q!$B$1:$BD$1,0))),100*INDEX(Haver_Q!$B$1:$BD$1000,MATCH(data!$A216,Haver_Q!$B$1:$B$1000,0),MATCH(data!G$1,Haver_Q!$B$1:$BD$1,0)),"na")</f>
        <v>na</v>
      </c>
      <c r="H216" t="str">
        <f>IF(ISNUMBER(INDEX(Haver_Q!$B$1:$BD$1000,MATCH(data!$A216,Haver_Q!$B$1:$B$1000,0),MATCH(data!H$1,Haver_Q!$B$1:$BD$1,0))),100*INDEX(Haver_Q!$B$1:$BD$1000,MATCH(data!$A216,Haver_Q!$B$1:$B$1000,0),MATCH(data!H$1,Haver_Q!$B$1:$BD$1,0)),"na")</f>
        <v>na</v>
      </c>
      <c r="I216" s="3">
        <f>IF(ISNUMBER(Bloomberg_m!C232),Bloomberg_m!C232,"na")</f>
        <v>1454</v>
      </c>
      <c r="J216" s="3">
        <f>IF(ISNUMBER(Bloomberg_m!D232),Bloomberg_m!D232,"na")</f>
        <v>1295.48</v>
      </c>
      <c r="K216" s="3">
        <f>IF(ISNUMBER(Bloomberg_m!E232),Bloomberg_m!E232,"na")</f>
        <v>760.08</v>
      </c>
      <c r="L216" s="3">
        <f>IF(ISNUMBER(Bloomberg_m!L232),Bloomberg_m!L232,"na")</f>
        <v>56.65</v>
      </c>
      <c r="M216">
        <f>IF(ISNUMBER(INDEX(Haver_M!$B$1:$ZN$1000,MATCH(data!$A216,Haver_M!$B$1:$B$1000,0),MATCH(data!M$1,Haver_M!$B$1:$ZN$1,0))),INDEX(Haver_M!$B$1:$ZN$1000,MATCH(data!$A216,Haver_M!$B$1:$B$1000,0),MATCH(data!M$1,Haver_M!$B$1:$ZN$1,0)),"na")</f>
        <v>7</v>
      </c>
      <c r="N216">
        <f>IF(ISNUMBER(INDEX(Haver_M!$B$1:$ZN$1000,MATCH(data!$A216,Haver_M!$B$1:$B$1000,0),MATCH(data!N$1,Haver_M!$B$1:$ZN$1,0))),INDEX(Haver_M!$B$1:$ZN$1000,MATCH(data!$A216,Haver_M!$B$1:$B$1000,0),MATCH(data!N$1,Haver_M!$B$1:$ZN$1,0)),"na")</f>
        <v>7.2439999999999998</v>
      </c>
      <c r="O216">
        <f>IF(ISNUMBER(INDEX(Haver_M!$B$1:$ZN$1000,MATCH(data!$A216,Haver_M!$B$1:$B$1000,0),MATCH(data!O$1,Haver_M!$B$1:$ZN$1,0))),INDEX(Haver_M!$B$1:$ZN$1000,MATCH(data!$A216,Haver_M!$B$1:$B$1000,0),MATCH(data!O$1,Haver_M!$B$1:$ZN$1,0)),"na")</f>
        <v>81.314779999999999</v>
      </c>
      <c r="P216">
        <f>IF(ISNUMBER(INDEX(Haver_M!$B$1:$ZN$1000,MATCH(data!$A216,Haver_M!$B$1:$B$1000,0),MATCH(data!P$1,Haver_M!$B$1:$ZN$1,0))),INDEX(Haver_M!$B$1:$ZN$1000,MATCH(data!$A216,Haver_M!$B$1:$B$1000,0),MATCH(data!P$1,Haver_M!$B$1:$ZN$1,0)),"na")</f>
        <v>97.487200000000001</v>
      </c>
      <c r="Q216">
        <f>IF(ISNUMBER(INDEX(Haver_M!$B$1:$ZN$1000,MATCH(data!$A216,Haver_M!$B$1:$B$1000,0),MATCH(data!Q$1,Haver_M!$B$1:$ZN$1,0))),INDEX(Haver_M!$B$1:$ZN$1000,MATCH(data!$A216,Haver_M!$B$1:$B$1000,0),MATCH(data!Q$1,Haver_M!$B$1:$ZN$1,0)),"na")</f>
        <v>97.743700000000004</v>
      </c>
      <c r="R216">
        <f>IF(ISNUMBER(INDEX(Haver_M!$B$1:$ZN$1000,MATCH(data!$A216,Haver_M!$B$1:$B$1000,0),MATCH(data!R$1,Haver_M!$B$1:$ZN$1,0))),INDEX(Haver_M!$B$1:$ZN$1000,MATCH(data!$A216,Haver_M!$B$1:$B$1000,0),MATCH(data!R$1,Haver_M!$B$1:$ZN$1,0)),"na")</f>
        <v>104.36750000000001</v>
      </c>
      <c r="S216">
        <f>IF(ISNUMBER(INDEX(Haver_M!$B$1:$ZN$1000,MATCH(data!$A216,Haver_M!$B$1:$B$1000,0),MATCH(data!S$1,Haver_M!$B$1:$ZN$1,0))),INDEX(Haver_M!$B$1:$ZN$1000,MATCH(data!$A216,Haver_M!$B$1:$B$1000,0),MATCH(data!S$1,Haver_M!$B$1:$ZN$1,0)),"na")</f>
        <v>80.207400000000007</v>
      </c>
      <c r="T216">
        <f>IF(ISNUMBER(INDEX(Haver_M!$B$1:$ZN$1000,MATCH(data!$A216,Haver_M!$B$1:$B$1000,0),MATCH(data!T$1,Haver_M!$B$1:$ZN$1,0))),INDEX(Haver_M!$B$1:$ZN$1000,MATCH(data!$A216,Haver_M!$B$1:$B$1000,0),MATCH(data!T$1,Haver_M!$B$1:$ZN$1,0)),"na")</f>
        <v>111.7266</v>
      </c>
      <c r="U216">
        <f>IF(ISNUMBER(INDEX(Haver_M!$B$1:$ZN$1000,MATCH(data!$A216,Haver_M!$B$1:$B$1000,0),MATCH(data!U$1,Haver_M!$B$1:$ZN$1,0))),INDEX(Haver_M!$B$1:$ZN$1000,MATCH(data!$A216,Haver_M!$B$1:$B$1000,0),MATCH(data!U$1,Haver_M!$B$1:$ZN$1,0)),"na")</f>
        <v>108.0157</v>
      </c>
      <c r="V216">
        <f>IF(ISNUMBER(INDEX(Haver_M!$B$1:$ZN$1000,MATCH(data!$A216,Haver_M!$B$1:$B$1000,0),MATCH(data!V$1,Haver_M!$B$1:$ZN$1,0))),INDEX(Haver_M!$B$1:$ZN$1000,MATCH(data!$A216,Haver_M!$B$1:$B$1000,0),MATCH(data!V$1,Haver_M!$B$1:$ZN$1,0)),"na")</f>
        <v>112.6965</v>
      </c>
      <c r="W216">
        <f>IF(ISNUMBER(INDEX(Haver_M!$B$1:$ZN$1000,MATCH(data!$A216,Haver_M!$B$1:$B$1000,0),MATCH(data!W$1,Haver_M!$B$1:$ZN$1,0))),INDEX(Haver_M!$B$1:$ZN$1000,MATCH(data!$A216,Haver_M!$B$1:$B$1000,0),MATCH(data!W$1,Haver_M!$B$1:$ZN$1,0)),"na")</f>
        <v>3.49</v>
      </c>
      <c r="X216">
        <f>IF(ISNUMBER(INDEX(Haver_M!$B$1:$ZN$1000,MATCH(data!$A216,Haver_M!$B$1:$B$1000,0),MATCH(data!X$1,Haver_M!$B$1:$ZN$1,0))),INDEX(Haver_M!$B$1:$ZN$1000,MATCH(data!$A216,Haver_M!$B$1:$B$1000,0),MATCH(data!X$1,Haver_M!$B$1:$ZN$1,0)),"na")</f>
        <v>104.37</v>
      </c>
      <c r="Y216">
        <f>IF(ISNUMBER(INDEX(Haver_M!$B$1:$ZN$1000,MATCH(data!$A216,Haver_M!$B$1:$B$1000,0),MATCH(data!Y$1,Haver_M!$B$1:$ZN$1,0))),INDEX(Haver_M!$B$1:$ZN$1000,MATCH(data!$A216,Haver_M!$B$1:$B$1000,0),MATCH(data!Y$1,Haver_M!$B$1:$ZN$1,0)),"na")</f>
        <v>100.25</v>
      </c>
      <c r="Z216">
        <f>IF(ISNUMBER(INDEX(Haver_M!$B$1:$ZN$1000,MATCH(data!$A216,Haver_M!$B$1:$B$1000,0),MATCH(data!Z$1,Haver_M!$B$1:$ZN$1,0))),INDEX(Haver_M!$B$1:$ZN$1000,MATCH(data!$A216,Haver_M!$B$1:$B$1000,0),MATCH(data!Z$1,Haver_M!$B$1:$ZN$1,0)),"na")</f>
        <v>110.8991</v>
      </c>
      <c r="AA216">
        <f>IF(ISNUMBER(INDEX(Haver_M!$B$1:$ZN$1000,MATCH(data!$A216,Haver_M!$B$1:$B$1000,0),MATCH(data!AA$1,Haver_M!$B$1:$ZN$1,0))),INDEX(Haver_M!$B$1:$ZN$1000,MATCH(data!$A216,Haver_M!$B$1:$B$1000,0),MATCH(data!AA$1,Haver_M!$B$1:$ZN$1,0)),"na")</f>
        <v>108.0196</v>
      </c>
      <c r="AB216">
        <f>IF(ISNUMBER(INDEX(Haver_M!$B$1:$ZN$1000,MATCH(data!$A216,Haver_M!$B$1:$B$1000,0),MATCH(data!AB$1,Haver_M!$B$1:$ZN$1,0))),INDEX(Haver_M!$B$1:$ZN$1000,MATCH(data!$A216,Haver_M!$B$1:$B$1000,0),MATCH(data!AB$1,Haver_M!$B$1:$ZN$1,0)),"na")</f>
        <v>36200</v>
      </c>
      <c r="AC216">
        <f>IF(ISNUMBER(INDEX(Haver_M!$B$1:$ZN$1000,MATCH(data!$A216,Haver_M!$B$1:$B$1000,0),MATCH(data!AC$1,Haver_M!$B$1:$ZN$1,0))),INDEX(Haver_M!$B$1:$ZN$1000,MATCH(data!$A216,Haver_M!$B$1:$B$1000,0),MATCH(data!AC$1,Haver_M!$B$1:$ZN$1,0)),"na")</f>
        <v>35992.199999999997</v>
      </c>
      <c r="AD216">
        <f>IF(ISNUMBER(INDEX(Haver_M!$B$1:$ZN$1000,MATCH(data!$A216,Haver_M!$B$1:$B$1000,0),MATCH(data!AD$1,Haver_M!$B$1:$ZN$1,0))),INDEX(Haver_M!$B$1:$ZN$1000,MATCH(data!$A216,Haver_M!$B$1:$B$1000,0),MATCH(data!AD$1,Haver_M!$B$1:$ZN$1,0)),"na")</f>
        <v>100.26</v>
      </c>
      <c r="AE216">
        <f>IF(ISNUMBER(INDEX(Haver_M!$B$1:$ZN$1000,MATCH(data!$A216,Haver_M!$B$1:$B$1000,0),MATCH(data!AE$1,Haver_M!$B$1:$ZN$1,0))),INDEX(Haver_M!$B$1:$ZN$1000,MATCH(data!$A216,Haver_M!$B$1:$B$1000,0),MATCH(data!AE$1,Haver_M!$B$1:$ZN$1,0)),"na")</f>
        <v>36.5</v>
      </c>
      <c r="AF216">
        <f>IF(ISNUMBER(INDEX(Haver_M!$B$1:$ZN$1000,MATCH(data!$A216,Haver_M!$B$1:$B$1000,0),MATCH(data!AF$1,Haver_M!$B$1:$ZN$1,0))),INDEX(Haver_M!$B$1:$ZN$1000,MATCH(data!$A216,Haver_M!$B$1:$B$1000,0),MATCH(data!AF$1,Haver_M!$B$1:$ZN$1,0)),"na")</f>
        <v>100.23</v>
      </c>
      <c r="AG216">
        <f>IF(ISNUMBER(INDEX(Haver_M!$B$1:$ZN$1000,MATCH(data!$A216,Haver_M!$B$1:$B$1000,0),MATCH(data!AG$1,Haver_M!$B$1:$ZN$1,0))),INDEX(Haver_M!$B$1:$ZN$1000,MATCH(data!$A216,Haver_M!$B$1:$B$1000,0),MATCH(data!AG$1,Haver_M!$B$1:$ZN$1,0)),"na")</f>
        <v>52.409399999999998</v>
      </c>
      <c r="AH216">
        <f>IF(ISNUMBER(INDEX(Haver_M!$B$1:$ZN$1000,MATCH(data!$A216,Haver_M!$B$1:$B$1000,0),MATCH(data!AH$1,Haver_M!$B$1:$ZN$1,0))),INDEX(Haver_M!$B$1:$ZN$1000,MATCH(data!$A216,Haver_M!$B$1:$B$1000,0),MATCH(data!AH$1,Haver_M!$B$1:$ZN$1,0)),"na")</f>
        <v>51.4452</v>
      </c>
      <c r="AI216">
        <f>IF(ISNUMBER(INDEX(Haver_M!$B$1:$ZN$1000,MATCH(data!$A216,Haver_M!$B$1:$B$1000,0),MATCH(data!AI$1,Haver_M!$B$1:$ZN$1,0))),INDEX(Haver_M!$B$1:$ZN$1000,MATCH(data!$A216,Haver_M!$B$1:$B$1000,0),MATCH(data!AI$1,Haver_M!$B$1:$ZN$1,0)),"na")</f>
        <v>54.895000000000003</v>
      </c>
      <c r="AJ216">
        <f>IF(ISNUMBER(INDEX(Haver_M!$B$1:$ZN$1000,MATCH(data!$A216,Haver_M!$B$1:$B$1000,0),MATCH(data!AJ$1,Haver_M!$B$1:$ZN$1,0))),INDEX(Haver_M!$B$1:$ZN$1000,MATCH(data!$A216,Haver_M!$B$1:$B$1000,0),MATCH(data!AJ$1,Haver_M!$B$1:$ZN$1,0)),"na")</f>
        <v>51.794899999999998</v>
      </c>
      <c r="AK216">
        <f>IF(ISNUMBER(INDEX(Haver_M!$B$1:$ZN$1000,MATCH(data!$A216,Haver_M!$B$1:$B$1000,0),MATCH(data!AK$1,Haver_M!$B$1:$ZN$1,0))),INDEX(Haver_M!$B$1:$ZN$1000,MATCH(data!$A216,Haver_M!$B$1:$B$1000,0),MATCH(data!AK$1,Haver_M!$B$1:$ZN$1,0)),"na")</f>
        <v>48.994500000000002</v>
      </c>
      <c r="AL216">
        <f>IF(ISNUMBER(INDEX(Haver_M!$B$1:$ZN$1000,MATCH(data!$A216,Haver_M!$B$1:$B$1000,0),MATCH(data!AL$1,Haver_M!$B$1:$ZN$1,0))),INDEX(Haver_M!$B$1:$ZN$1000,MATCH(data!$A216,Haver_M!$B$1:$B$1000,0),MATCH(data!AL$1,Haver_M!$B$1:$ZN$1,0)),"na")</f>
        <v>50.698099999999997</v>
      </c>
      <c r="AM216">
        <f>IF(ISNUMBER(INDEX(Haver_M!$B$1:$ZN$1000,MATCH(data!$A216,Haver_M!$B$1:$B$1000,0),MATCH(data!AM$1,Haver_M!$B$1:$ZN$1,0))),INDEX(Haver_M!$B$1:$ZN$1000,MATCH(data!$A216,Haver_M!$B$1:$B$1000,0),MATCH(data!AM$1,Haver_M!$B$1:$ZN$1,0)),"na")</f>
        <v>58.499400000000001</v>
      </c>
      <c r="AN216">
        <f>IF(ISNUMBER(INDEX(Haver_M!$B$1:$ZN$1000,MATCH(data!$A216,Haver_M!$B$1:$B$1000,0),MATCH(data!AN$1,Haver_M!$B$1:$ZN$1,0))),INDEX(Haver_M!$B$1:$ZN$1000,MATCH(data!$A216,Haver_M!$B$1:$B$1000,0),MATCH(data!AN$1,Haver_M!$B$1:$ZN$1,0)),"na")</f>
        <v>52.692100000000003</v>
      </c>
      <c r="AO216">
        <f>IF(ISNUMBER(INDEX(Haver_M!$B$1:$ZN$1000,MATCH(data!$A216,Haver_M!$B$1:$B$1000,0),MATCH(data!AO$1,Haver_M!$B$1:$ZN$1,0))),INDEX(Haver_M!$B$1:$ZN$1000,MATCH(data!$A216,Haver_M!$B$1:$B$1000,0),MATCH(data!AO$1,Haver_M!$B$1:$ZN$1,0)),"na")</f>
        <v>50.698099999999997</v>
      </c>
      <c r="AP216">
        <f>IF(ISNUMBER(INDEX(Haver_M!$B$1:$ZN$1000,MATCH(data!$A216,Haver_M!$B$1:$B$1000,0),MATCH(data!AP$1,Haver_M!$B$1:$ZN$1,0))),INDEX(Haver_M!$B$1:$ZN$1000,MATCH(data!$A216,Haver_M!$B$1:$B$1000,0),MATCH(data!AP$1,Haver_M!$B$1:$ZN$1,0)),"na")</f>
        <v>52.609000000000002</v>
      </c>
      <c r="AQ216">
        <f>IF(ISNUMBER(INDEX(Haver_M!$B$1:$ZN$1000,MATCH(data!$A216,Haver_M!$B$1:$B$1000,0),MATCH(data!AQ$1,Haver_M!$B$1:$ZN$1,0))),INDEX(Haver_M!$B$1:$ZN$1000,MATCH(data!$A216,Haver_M!$B$1:$B$1000,0),MATCH(data!AQ$1,Haver_M!$B$1:$ZN$1,0)),"na")</f>
        <v>52.512599999999999</v>
      </c>
      <c r="AR216">
        <f>IF(ISNUMBER(INDEX(Haver_M!$B$1:$ZN$1000,MATCH(data!$A216,Haver_M!$B$1:$B$1000,0),MATCH(data!AR$1,Haver_M!$B$1:$ZN$1,0))),INDEX(Haver_M!$B$1:$ZN$1000,MATCH(data!$A216,Haver_M!$B$1:$B$1000,0),MATCH(data!AR$1,Haver_M!$B$1:$ZN$1,0)),"na")</f>
        <v>50.586799999999997</v>
      </c>
      <c r="AS216">
        <f>IF(ISNUMBER(INDEX(Haver_M!$B$1:$ZN$1000,MATCH(data!$A216,Haver_M!$B$1:$B$1000,0),MATCH(data!AS$1,Haver_M!$B$1:$ZN$1,0))),INDEX(Haver_M!$B$1:$ZN$1000,MATCH(data!$A216,Haver_M!$B$1:$B$1000,0),MATCH(data!AS$1,Haver_M!$B$1:$ZN$1,0)),"na")</f>
        <v>48063.53</v>
      </c>
      <c r="AT216">
        <f>IF(ISNUMBER(INDEX(Haver_M!$B$1:$ZN$1000,MATCH(data!$A216,Haver_M!$B$1:$B$1000,0),MATCH(data!AT$1,Haver_M!$B$1:$ZN$1,0))),INDEX(Haver_M!$B$1:$ZN$1000,MATCH(data!$A216,Haver_M!$B$1:$B$1000,0),MATCH(data!AT$1,Haver_M!$B$1:$ZN$1,0)),"na")</f>
        <v>114.116</v>
      </c>
      <c r="AU216">
        <f>IF(ISNUMBER(INDEX(Haver_M!$B$1:$ZN$1000,MATCH(data!$A216,Haver_M!$B$1:$B$1000,0),MATCH(data!AU$1,Haver_M!$B$1:$ZN$1,0))),INDEX(Haver_M!$B$1:$ZN$1000,MATCH(data!$A216,Haver_M!$B$1:$B$1000,0),MATCH(data!AU$1,Haver_M!$B$1:$ZN$1,0)),"na")</f>
        <v>111.64112299999999</v>
      </c>
      <c r="AV216">
        <f>IF(ISNUMBER(INDEX(Haver_M!$B$1:$ZN$1000,MATCH(data!$A216,Haver_M!$B$1:$B$1000,0),MATCH(data!AV$1,Haver_M!$B$1:$ZN$1,0))),INDEX(Haver_M!$B$1:$ZN$1000,MATCH(data!$A216,Haver_M!$B$1:$B$1000,0),MATCH(data!AV$1,Haver_M!$B$1:$ZN$1,0)),"na")</f>
        <v>106.6</v>
      </c>
      <c r="AW216">
        <f>IF(ISNUMBER(INDEX(Haver_M!$B$1:$ZN$1000,MATCH(data!$A216,Haver_M!$B$1:$B$1000,0),MATCH(data!AW$1,Haver_M!$B$1:$ZN$1,0))),INDEX(Haver_M!$B$1:$ZN$1000,MATCH(data!$A216,Haver_M!$B$1:$B$1000,0),MATCH(data!AW$1,Haver_M!$B$1:$ZN$1,0)),"na")</f>
        <v>1826394.5775591049</v>
      </c>
      <c r="AX216">
        <f>IF(ISNUMBER(INDEX(Haver_M!$B$1:$ZN$1000,MATCH(data!$A216,Haver_M!$B$1:$B$1000,0),MATCH(data!AX$1,Haver_M!$B$1:$ZN$1,0))),INDEX(Haver_M!$B$1:$ZN$1000,MATCH(data!$A216,Haver_M!$B$1:$B$1000,0),MATCH(data!AX$1,Haver_M!$B$1:$ZN$1,0)),"na")</f>
        <v>1877</v>
      </c>
      <c r="AY216">
        <f>IF(ISNUMBER(INDEX(Haver_M!$B$1:$ZN$1000,MATCH(data!$A216,Haver_M!$B$1:$B$1000,0),MATCH(data!AY$1,Haver_M!$B$1:$ZN$1,0))),INDEX(Haver_M!$B$1:$ZN$1000,MATCH(data!$A216,Haver_M!$B$1:$B$1000,0),MATCH(data!AY$1,Haver_M!$B$1:$ZN$1,0)),"na")</f>
        <v>1387</v>
      </c>
      <c r="AZ216">
        <f>IF(ISNUMBER(INDEX(Haver_M!$B$1:$ZN$1000,MATCH(data!$A216,Haver_M!$B$1:$B$1000,0),MATCH(data!AZ$1,Haver_M!$B$1:$ZN$1,0))),INDEX(Haver_M!$B$1:$ZN$1000,MATCH(data!$A216,Haver_M!$B$1:$B$1000,0),MATCH(data!AZ$1,Haver_M!$B$1:$ZN$1,0)),"na")</f>
        <v>53</v>
      </c>
      <c r="BA216">
        <f>IF(ISNUMBER(INDEX(Haver_M!$B$1:$ZN$1000,MATCH(data!$A216,Haver_M!$B$1:$B$1000,0),MATCH(data!BA$1,Haver_M!$B$1:$ZN$1,0))),INDEX(Haver_M!$B$1:$ZN$1000,MATCH(data!$A216,Haver_M!$B$1:$B$1000,0),MATCH(data!BA$1,Haver_M!$B$1:$ZN$1,0)),"na")</f>
        <v>51.504880099079571</v>
      </c>
      <c r="BB216" t="str">
        <f>IF(ISNUMBER(INDEX(Haver_M!$B$1:$ZN$1000,MATCH(data!$A216,Haver_M!$B$1:$B$1000,0),MATCH(data!BB$1,Haver_M!$B$1:$ZN$1,0))),INDEX(Haver_M!$B$1:$ZN$1000,MATCH(data!$A216,Haver_M!$B$1:$B$1000,0),MATCH(data!BB$1,Haver_M!$B$1:$ZN$1,0)),"")</f>
        <v/>
      </c>
    </row>
    <row r="217" spans="1:54" x14ac:dyDescent="0.25">
      <c r="A217" s="2">
        <v>43100</v>
      </c>
      <c r="B217">
        <f>IF(ISNUMBER(INDEX(Haver_Q!$B$1:$BD$1000,MATCH(data!$A217,Haver_Q!$B$1:$B$1000,0),MATCH(data!B$1,Haver_Q!$B$1:$BD$1,0))),100*INDEX(Haver_Q!$B$1:$BD$1000,MATCH(data!$A217,Haver_Q!$B$1:$B$1000,0),MATCH(data!B$1,Haver_Q!$B$1:$BD$1,0)),"na")</f>
        <v>5.4492639993390046</v>
      </c>
      <c r="C217">
        <f>IF(ISNUMBER(INDEX(Haver_Q!$B$1:$BD$1000,MATCH(data!$A217,Haver_Q!$B$1:$B$1000,0),MATCH(data!C$1,Haver_Q!$B$1:$BD$1,0))),100*INDEX(Haver_Q!$B$1:$BD$1000,MATCH(data!$A217,Haver_Q!$B$1:$B$1000,0),MATCH(data!C$1,Haver_Q!$B$1:$BD$1,0)),"na")</f>
        <v>6.3007222119111361</v>
      </c>
      <c r="D217">
        <f>IF(ISNUMBER(INDEX(Haver_Q!$B$1:$BD$1000,MATCH(data!$A217,Haver_Q!$B$1:$B$1000,0),MATCH(data!D$1,Haver_Q!$B$1:$BD$1,0))),100*INDEX(Haver_Q!$B$1:$BD$1000,MATCH(data!$A217,Haver_Q!$B$1:$B$1000,0),MATCH(data!D$1,Haver_Q!$B$1:$BD$1,0)),"na")</f>
        <v>2.0880478315529416</v>
      </c>
      <c r="E217">
        <f>IF(ISNUMBER(INDEX(Haver_Q!$B$1:$BD$1000,MATCH(data!$A217,Haver_Q!$B$1:$B$1000,0),MATCH(data!E$1,Haver_Q!$B$1:$BD$1,0))),100*INDEX(Haver_Q!$B$1:$BD$1000,MATCH(data!$A217,Haver_Q!$B$1:$B$1000,0),MATCH(data!E$1,Haver_Q!$B$1:$BD$1,0)),"na")</f>
        <v>1.0900974693331289</v>
      </c>
      <c r="F217">
        <f>IF(ISNUMBER(INDEX(Haver_Q!$B$1:$BD$1000,MATCH(data!$A217,Haver_Q!$B$1:$B$1000,0),MATCH(data!F$1,Haver_Q!$B$1:$BD$1,0))),100*INDEX(Haver_Q!$B$1:$BD$1000,MATCH(data!$A217,Haver_Q!$B$1:$B$1000,0),MATCH(data!F$1,Haver_Q!$B$1:$BD$1,0)),"na")</f>
        <v>21.193200587543593</v>
      </c>
      <c r="G217">
        <f>IF(ISNUMBER(INDEX(Haver_Q!$B$1:$BD$1000,MATCH(data!$A217,Haver_Q!$B$1:$B$1000,0),MATCH(data!G$1,Haver_Q!$B$1:$BD$1,0))),100*INDEX(Haver_Q!$B$1:$BD$1000,MATCH(data!$A217,Haver_Q!$B$1:$B$1000,0),MATCH(data!G$1,Haver_Q!$B$1:$BD$1,0)),"na")</f>
        <v>9.0795434710500889</v>
      </c>
      <c r="H217">
        <f>IF(ISNUMBER(INDEX(Haver_Q!$B$1:$BD$1000,MATCH(data!$A217,Haver_Q!$B$1:$B$1000,0),MATCH(data!H$1,Haver_Q!$B$1:$BD$1,0))),100*INDEX(Haver_Q!$B$1:$BD$1000,MATCH(data!$A217,Haver_Q!$B$1:$B$1000,0),MATCH(data!H$1,Haver_Q!$B$1:$BD$1,0)),"na")</f>
        <v>433.35544120641555</v>
      </c>
      <c r="I217" s="3">
        <f>IF(ISNUMBER(Bloomberg_m!C233),Bloomberg_m!C233,"na")</f>
        <v>1619</v>
      </c>
      <c r="J217" s="3">
        <f>IF(ISNUMBER(Bloomberg_m!D233),Bloomberg_m!D233,"na")</f>
        <v>1174.42</v>
      </c>
      <c r="K217" s="3">
        <f>IF(ISNUMBER(Bloomberg_m!E233),Bloomberg_m!E233,"na")</f>
        <v>742.05</v>
      </c>
      <c r="L217" s="3">
        <f>IF(ISNUMBER(Bloomberg_m!L233),Bloomberg_m!L233,"na")</f>
        <v>57.94</v>
      </c>
      <c r="M217">
        <f>IF(ISNUMBER(INDEX(Haver_M!$B$1:$ZN$1000,MATCH(data!$A217,Haver_M!$B$1:$B$1000,0),MATCH(data!M$1,Haver_M!$B$1:$ZN$1,0))),INDEX(Haver_M!$B$1:$ZN$1000,MATCH(data!$A217,Haver_M!$B$1:$B$1000,0),MATCH(data!M$1,Haver_M!$B$1:$ZN$1,0)),"na")</f>
        <v>7.25</v>
      </c>
      <c r="N217">
        <f>IF(ISNUMBER(INDEX(Haver_M!$B$1:$ZN$1000,MATCH(data!$A217,Haver_M!$B$1:$B$1000,0),MATCH(data!N$1,Haver_M!$B$1:$ZN$1,0))),INDEX(Haver_M!$B$1:$ZN$1000,MATCH(data!$A217,Haver_M!$B$1:$B$1000,0),MATCH(data!N$1,Haver_M!$B$1:$ZN$1,0)),"na")</f>
        <v>7.4889000000000001</v>
      </c>
      <c r="O217">
        <f>IF(ISNUMBER(INDEX(Haver_M!$B$1:$ZN$1000,MATCH(data!$A217,Haver_M!$B$1:$B$1000,0),MATCH(data!O$1,Haver_M!$B$1:$ZN$1,0))),INDEX(Haver_M!$B$1:$ZN$1000,MATCH(data!$A217,Haver_M!$B$1:$B$1000,0),MATCH(data!O$1,Haver_M!$B$1:$ZN$1,0)),"na")</f>
        <v>80.305009999999996</v>
      </c>
      <c r="P217">
        <f>IF(ISNUMBER(INDEX(Haver_M!$B$1:$ZN$1000,MATCH(data!$A217,Haver_M!$B$1:$B$1000,0),MATCH(data!P$1,Haver_M!$B$1:$ZN$1,0))),INDEX(Haver_M!$B$1:$ZN$1000,MATCH(data!$A217,Haver_M!$B$1:$B$1000,0),MATCH(data!P$1,Haver_M!$B$1:$ZN$1,0)),"na")</f>
        <v>97.840699999999998</v>
      </c>
      <c r="Q217">
        <f>IF(ISNUMBER(INDEX(Haver_M!$B$1:$ZN$1000,MATCH(data!$A217,Haver_M!$B$1:$B$1000,0),MATCH(data!Q$1,Haver_M!$B$1:$ZN$1,0))),INDEX(Haver_M!$B$1:$ZN$1000,MATCH(data!$A217,Haver_M!$B$1:$B$1000,0),MATCH(data!Q$1,Haver_M!$B$1:$ZN$1,0)),"na")</f>
        <v>98.043700000000001</v>
      </c>
      <c r="R217">
        <f>IF(ISNUMBER(INDEX(Haver_M!$B$1:$ZN$1000,MATCH(data!$A217,Haver_M!$B$1:$B$1000,0),MATCH(data!R$1,Haver_M!$B$1:$ZN$1,0))),INDEX(Haver_M!$B$1:$ZN$1000,MATCH(data!$A217,Haver_M!$B$1:$B$1000,0),MATCH(data!R$1,Haver_M!$B$1:$ZN$1,0)),"na")</f>
        <v>104.8912</v>
      </c>
      <c r="S217">
        <f>IF(ISNUMBER(INDEX(Haver_M!$B$1:$ZN$1000,MATCH(data!$A217,Haver_M!$B$1:$B$1000,0),MATCH(data!S$1,Haver_M!$B$1:$ZN$1,0))),INDEX(Haver_M!$B$1:$ZN$1000,MATCH(data!$A217,Haver_M!$B$1:$B$1000,0),MATCH(data!S$1,Haver_M!$B$1:$ZN$1,0)),"na")</f>
        <v>80.122</v>
      </c>
      <c r="T217">
        <f>IF(ISNUMBER(INDEX(Haver_M!$B$1:$ZN$1000,MATCH(data!$A217,Haver_M!$B$1:$B$1000,0),MATCH(data!T$1,Haver_M!$B$1:$ZN$1,0))),INDEX(Haver_M!$B$1:$ZN$1000,MATCH(data!$A217,Haver_M!$B$1:$B$1000,0),MATCH(data!T$1,Haver_M!$B$1:$ZN$1,0)),"na")</f>
        <v>109.30710000000001</v>
      </c>
      <c r="U217">
        <f>IF(ISNUMBER(INDEX(Haver_M!$B$1:$ZN$1000,MATCH(data!$A217,Haver_M!$B$1:$B$1000,0),MATCH(data!U$1,Haver_M!$B$1:$ZN$1,0))),INDEX(Haver_M!$B$1:$ZN$1000,MATCH(data!$A217,Haver_M!$B$1:$B$1000,0),MATCH(data!U$1,Haver_M!$B$1:$ZN$1,0)),"na")</f>
        <v>110.17149999999999</v>
      </c>
      <c r="V217">
        <f>IF(ISNUMBER(INDEX(Haver_M!$B$1:$ZN$1000,MATCH(data!$A217,Haver_M!$B$1:$B$1000,0),MATCH(data!V$1,Haver_M!$B$1:$ZN$1,0))),INDEX(Haver_M!$B$1:$ZN$1000,MATCH(data!$A217,Haver_M!$B$1:$B$1000,0),MATCH(data!V$1,Haver_M!$B$1:$ZN$1,0)),"na")</f>
        <v>112.8314</v>
      </c>
      <c r="W217">
        <f>IF(ISNUMBER(INDEX(Haver_M!$B$1:$ZN$1000,MATCH(data!$A217,Haver_M!$B$1:$B$1000,0),MATCH(data!W$1,Haver_M!$B$1:$ZN$1,0))),INDEX(Haver_M!$B$1:$ZN$1000,MATCH(data!$A217,Haver_M!$B$1:$B$1000,0),MATCH(data!W$1,Haver_M!$B$1:$ZN$1,0)),"na")</f>
        <v>3.42</v>
      </c>
      <c r="X217">
        <f>IF(ISNUMBER(INDEX(Haver_M!$B$1:$ZN$1000,MATCH(data!$A217,Haver_M!$B$1:$B$1000,0),MATCH(data!X$1,Haver_M!$B$1:$ZN$1,0))),INDEX(Haver_M!$B$1:$ZN$1000,MATCH(data!$A217,Haver_M!$B$1:$B$1000,0),MATCH(data!X$1,Haver_M!$B$1:$ZN$1,0)),"na")</f>
        <v>104.16</v>
      </c>
      <c r="Y217">
        <f>IF(ISNUMBER(INDEX(Haver_M!$B$1:$ZN$1000,MATCH(data!$A217,Haver_M!$B$1:$B$1000,0),MATCH(data!Y$1,Haver_M!$B$1:$ZN$1,0))),INDEX(Haver_M!$B$1:$ZN$1000,MATCH(data!$A217,Haver_M!$B$1:$B$1000,0),MATCH(data!Y$1,Haver_M!$B$1:$ZN$1,0)),"na")</f>
        <v>100.27</v>
      </c>
      <c r="Z217">
        <f>IF(ISNUMBER(INDEX(Haver_M!$B$1:$ZN$1000,MATCH(data!$A217,Haver_M!$B$1:$B$1000,0),MATCH(data!Z$1,Haver_M!$B$1:$ZN$1,0))),INDEX(Haver_M!$B$1:$ZN$1000,MATCH(data!$A217,Haver_M!$B$1:$B$1000,0),MATCH(data!Z$1,Haver_M!$B$1:$ZN$1,0)),"na")</f>
        <v>111.834</v>
      </c>
      <c r="AA217">
        <f>IF(ISNUMBER(INDEX(Haver_M!$B$1:$ZN$1000,MATCH(data!$A217,Haver_M!$B$1:$B$1000,0),MATCH(data!AA$1,Haver_M!$B$1:$ZN$1,0))),INDEX(Haver_M!$B$1:$ZN$1000,MATCH(data!$A217,Haver_M!$B$1:$B$1000,0),MATCH(data!AA$1,Haver_M!$B$1:$ZN$1,0)),"na")</f>
        <v>108.72620000000001</v>
      </c>
      <c r="AB217">
        <f>IF(ISNUMBER(INDEX(Haver_M!$B$1:$ZN$1000,MATCH(data!$A217,Haver_M!$B$1:$B$1000,0),MATCH(data!AB$1,Haver_M!$B$1:$ZN$1,0))),INDEX(Haver_M!$B$1:$ZN$1000,MATCH(data!$A217,Haver_M!$B$1:$B$1000,0),MATCH(data!AB$1,Haver_M!$B$1:$ZN$1,0)),"na")</f>
        <v>36530.800000000003</v>
      </c>
      <c r="AC217">
        <f>IF(ISNUMBER(INDEX(Haver_M!$B$1:$ZN$1000,MATCH(data!$A217,Haver_M!$B$1:$B$1000,0),MATCH(data!AC$1,Haver_M!$B$1:$ZN$1,0))),INDEX(Haver_M!$B$1:$ZN$1000,MATCH(data!$A217,Haver_M!$B$1:$B$1000,0),MATCH(data!AC$1,Haver_M!$B$1:$ZN$1,0)),"na")</f>
        <v>37911</v>
      </c>
      <c r="AD217">
        <f>IF(ISNUMBER(INDEX(Haver_M!$B$1:$ZN$1000,MATCH(data!$A217,Haver_M!$B$1:$B$1000,0),MATCH(data!AD$1,Haver_M!$B$1:$ZN$1,0))),INDEX(Haver_M!$B$1:$ZN$1000,MATCH(data!$A217,Haver_M!$B$1:$B$1000,0),MATCH(data!AD$1,Haver_M!$B$1:$ZN$1,0)),"na")</f>
        <v>100.34</v>
      </c>
      <c r="AE217">
        <f>IF(ISNUMBER(INDEX(Haver_M!$B$1:$ZN$1000,MATCH(data!$A217,Haver_M!$B$1:$B$1000,0),MATCH(data!AE$1,Haver_M!$B$1:$ZN$1,0))),INDEX(Haver_M!$B$1:$ZN$1000,MATCH(data!$A217,Haver_M!$B$1:$B$1000,0),MATCH(data!AE$1,Haver_M!$B$1:$ZN$1,0)),"na")</f>
        <v>36.1</v>
      </c>
      <c r="AF217">
        <f>IF(ISNUMBER(INDEX(Haver_M!$B$1:$ZN$1000,MATCH(data!$A217,Haver_M!$B$1:$B$1000,0),MATCH(data!AF$1,Haver_M!$B$1:$ZN$1,0))),INDEX(Haver_M!$B$1:$ZN$1000,MATCH(data!$A217,Haver_M!$B$1:$B$1000,0),MATCH(data!AF$1,Haver_M!$B$1:$ZN$1,0)),"na")</f>
        <v>100.3</v>
      </c>
      <c r="AG217">
        <f>IF(ISNUMBER(INDEX(Haver_M!$B$1:$ZN$1000,MATCH(data!$A217,Haver_M!$B$1:$B$1000,0),MATCH(data!AG$1,Haver_M!$B$1:$ZN$1,0))),INDEX(Haver_M!$B$1:$ZN$1000,MATCH(data!$A217,Haver_M!$B$1:$B$1000,0),MATCH(data!AG$1,Haver_M!$B$1:$ZN$1,0)),"na")</f>
        <v>51.715499999999999</v>
      </c>
      <c r="AH217">
        <f>IF(ISNUMBER(INDEX(Haver_M!$B$1:$ZN$1000,MATCH(data!$A217,Haver_M!$B$1:$B$1000,0),MATCH(data!AH$1,Haver_M!$B$1:$ZN$1,0))),INDEX(Haver_M!$B$1:$ZN$1000,MATCH(data!$A217,Haver_M!$B$1:$B$1000,0),MATCH(data!AH$1,Haver_M!$B$1:$ZN$1,0)),"na")</f>
        <v>50.886899999999997</v>
      </c>
      <c r="AI217">
        <f>IF(ISNUMBER(INDEX(Haver_M!$B$1:$ZN$1000,MATCH(data!$A217,Haver_M!$B$1:$B$1000,0),MATCH(data!AI$1,Haver_M!$B$1:$ZN$1,0))),INDEX(Haver_M!$B$1:$ZN$1000,MATCH(data!$A217,Haver_M!$B$1:$B$1000,0),MATCH(data!AI$1,Haver_M!$B$1:$ZN$1,0)),"na")</f>
        <v>53.019100000000002</v>
      </c>
      <c r="AJ217">
        <f>IF(ISNUMBER(INDEX(Haver_M!$B$1:$ZN$1000,MATCH(data!$A217,Haver_M!$B$1:$B$1000,0),MATCH(data!AJ$1,Haver_M!$B$1:$ZN$1,0))),INDEX(Haver_M!$B$1:$ZN$1000,MATCH(data!$A217,Haver_M!$B$1:$B$1000,0),MATCH(data!AJ$1,Haver_M!$B$1:$ZN$1,0)),"na")</f>
        <v>51.287300000000002</v>
      </c>
      <c r="AK217">
        <f>IF(ISNUMBER(INDEX(Haver_M!$B$1:$ZN$1000,MATCH(data!$A217,Haver_M!$B$1:$B$1000,0),MATCH(data!AK$1,Haver_M!$B$1:$ZN$1,0))),INDEX(Haver_M!$B$1:$ZN$1000,MATCH(data!$A217,Haver_M!$B$1:$B$1000,0),MATCH(data!AK$1,Haver_M!$B$1:$ZN$1,0)),"na")</f>
        <v>49.264000000000003</v>
      </c>
      <c r="AL217">
        <f>IF(ISNUMBER(INDEX(Haver_M!$B$1:$ZN$1000,MATCH(data!$A217,Haver_M!$B$1:$B$1000,0),MATCH(data!AL$1,Haver_M!$B$1:$ZN$1,0))),INDEX(Haver_M!$B$1:$ZN$1000,MATCH(data!$A217,Haver_M!$B$1:$B$1000,0),MATCH(data!AL$1,Haver_M!$B$1:$ZN$1,0)),"na")</f>
        <v>52.201500000000003</v>
      </c>
      <c r="AM217">
        <f>IF(ISNUMBER(INDEX(Haver_M!$B$1:$ZN$1000,MATCH(data!$A217,Haver_M!$B$1:$B$1000,0),MATCH(data!AM$1,Haver_M!$B$1:$ZN$1,0))),INDEX(Haver_M!$B$1:$ZN$1000,MATCH(data!$A217,Haver_M!$B$1:$B$1000,0),MATCH(data!AM$1,Haver_M!$B$1:$ZN$1,0)),"na")</f>
        <v>56.945399999999999</v>
      </c>
      <c r="AN217">
        <f>IF(ISNUMBER(INDEX(Haver_M!$B$1:$ZN$1000,MATCH(data!$A217,Haver_M!$B$1:$B$1000,0),MATCH(data!AN$1,Haver_M!$B$1:$ZN$1,0))),INDEX(Haver_M!$B$1:$ZN$1000,MATCH(data!$A217,Haver_M!$B$1:$B$1000,0),MATCH(data!AN$1,Haver_M!$B$1:$ZN$1,0)),"na")</f>
        <v>50.962899999999998</v>
      </c>
      <c r="AO217">
        <f>IF(ISNUMBER(INDEX(Haver_M!$B$1:$ZN$1000,MATCH(data!$A217,Haver_M!$B$1:$B$1000,0),MATCH(data!AO$1,Haver_M!$B$1:$ZN$1,0))),INDEX(Haver_M!$B$1:$ZN$1000,MATCH(data!$A217,Haver_M!$B$1:$B$1000,0),MATCH(data!AO$1,Haver_M!$B$1:$ZN$1,0)),"na")</f>
        <v>52.201500000000003</v>
      </c>
      <c r="AP217">
        <f>IF(ISNUMBER(INDEX(Haver_M!$B$1:$ZN$1000,MATCH(data!$A217,Haver_M!$B$1:$B$1000,0),MATCH(data!AP$1,Haver_M!$B$1:$ZN$1,0))),INDEX(Haver_M!$B$1:$ZN$1000,MATCH(data!$A217,Haver_M!$B$1:$B$1000,0),MATCH(data!AP$1,Haver_M!$B$1:$ZN$1,0)),"na")</f>
        <v>51.656199999999998</v>
      </c>
      <c r="AQ217">
        <f>IF(ISNUMBER(INDEX(Haver_M!$B$1:$ZN$1000,MATCH(data!$A217,Haver_M!$B$1:$B$1000,0),MATCH(data!AQ$1,Haver_M!$B$1:$ZN$1,0))),INDEX(Haver_M!$B$1:$ZN$1000,MATCH(data!$A217,Haver_M!$B$1:$B$1000,0),MATCH(data!AQ$1,Haver_M!$B$1:$ZN$1,0)),"na")</f>
        <v>52.005800000000001</v>
      </c>
      <c r="AR217">
        <f>IF(ISNUMBER(INDEX(Haver_M!$B$1:$ZN$1000,MATCH(data!$A217,Haver_M!$B$1:$B$1000,0),MATCH(data!AR$1,Haver_M!$B$1:$ZN$1,0))),INDEX(Haver_M!$B$1:$ZN$1000,MATCH(data!$A217,Haver_M!$B$1:$B$1000,0),MATCH(data!AR$1,Haver_M!$B$1:$ZN$1,0)),"na")</f>
        <v>50.653100000000002</v>
      </c>
      <c r="AS217">
        <f>IF(ISNUMBER(INDEX(Haver_M!$B$1:$ZN$1000,MATCH(data!$A217,Haver_M!$B$1:$B$1000,0),MATCH(data!AS$1,Haver_M!$B$1:$ZN$1,0))),INDEX(Haver_M!$B$1:$ZN$1000,MATCH(data!$A217,Haver_M!$B$1:$B$1000,0),MATCH(data!AS$1,Haver_M!$B$1:$ZN$1,0)),"na")</f>
        <v>48070.62</v>
      </c>
      <c r="AT217">
        <f>IF(ISNUMBER(INDEX(Haver_M!$B$1:$ZN$1000,MATCH(data!$A217,Haver_M!$B$1:$B$1000,0),MATCH(data!AT$1,Haver_M!$B$1:$ZN$1,0))),INDEX(Haver_M!$B$1:$ZN$1000,MATCH(data!$A217,Haver_M!$B$1:$B$1000,0),MATCH(data!AT$1,Haver_M!$B$1:$ZN$1,0)),"na")</f>
        <v>115.56399999999999</v>
      </c>
      <c r="AU217">
        <f>IF(ISNUMBER(INDEX(Haver_M!$B$1:$ZN$1000,MATCH(data!$A217,Haver_M!$B$1:$B$1000,0),MATCH(data!AU$1,Haver_M!$B$1:$ZN$1,0))),INDEX(Haver_M!$B$1:$ZN$1000,MATCH(data!$A217,Haver_M!$B$1:$B$1000,0),MATCH(data!AU$1,Haver_M!$B$1:$ZN$1,0)),"na")</f>
        <v>112.610793</v>
      </c>
      <c r="AV217">
        <f>IF(ISNUMBER(INDEX(Haver_M!$B$1:$ZN$1000,MATCH(data!$A217,Haver_M!$B$1:$B$1000,0),MATCH(data!AV$1,Haver_M!$B$1:$ZN$1,0))),INDEX(Haver_M!$B$1:$ZN$1000,MATCH(data!$A217,Haver_M!$B$1:$B$1000,0),MATCH(data!AV$1,Haver_M!$B$1:$ZN$1,0)),"na")</f>
        <v>110.5</v>
      </c>
      <c r="AW217">
        <f>IF(ISNUMBER(INDEX(Haver_M!$B$1:$ZN$1000,MATCH(data!$A217,Haver_M!$B$1:$B$1000,0),MATCH(data!AW$1,Haver_M!$B$1:$ZN$1,0))),INDEX(Haver_M!$B$1:$ZN$1000,MATCH(data!$A217,Haver_M!$B$1:$B$1000,0),MATCH(data!AW$1,Haver_M!$B$1:$ZN$1,0)),"na")</f>
        <v>1787949.6846348937</v>
      </c>
      <c r="AX217">
        <f>IF(ISNUMBER(INDEX(Haver_M!$B$1:$ZN$1000,MATCH(data!$A217,Haver_M!$B$1:$B$1000,0),MATCH(data!AX$1,Haver_M!$B$1:$ZN$1,0))),INDEX(Haver_M!$B$1:$ZN$1000,MATCH(data!$A217,Haver_M!$B$1:$B$1000,0),MATCH(data!AX$1,Haver_M!$B$1:$ZN$1,0)),"na")</f>
        <v>1876</v>
      </c>
      <c r="AY217">
        <f>IF(ISNUMBER(INDEX(Haver_M!$B$1:$ZN$1000,MATCH(data!$A217,Haver_M!$B$1:$B$1000,0),MATCH(data!AY$1,Haver_M!$B$1:$ZN$1,0))),INDEX(Haver_M!$B$1:$ZN$1000,MATCH(data!$A217,Haver_M!$B$1:$B$1000,0),MATCH(data!AY$1,Haver_M!$B$1:$ZN$1,0)),"na")</f>
        <v>1400</v>
      </c>
      <c r="AZ217">
        <f>IF(ISNUMBER(INDEX(Haver_M!$B$1:$ZN$1000,MATCH(data!$A217,Haver_M!$B$1:$B$1000,0),MATCH(data!AZ$1,Haver_M!$B$1:$ZN$1,0))),INDEX(Haver_M!$B$1:$ZN$1000,MATCH(data!$A217,Haver_M!$B$1:$B$1000,0),MATCH(data!AZ$1,Haver_M!$B$1:$ZN$1,0)),"na")</f>
        <v>54.3</v>
      </c>
      <c r="BA217">
        <f>IF(ISNUMBER(INDEX(Haver_M!$B$1:$ZN$1000,MATCH(data!$A217,Haver_M!$B$1:$B$1000,0),MATCH(data!BA$1,Haver_M!$B$1:$ZN$1,0))),INDEX(Haver_M!$B$1:$ZN$1000,MATCH(data!$A217,Haver_M!$B$1:$B$1000,0),MATCH(data!BA$1,Haver_M!$B$1:$ZN$1,0)),"na")</f>
        <v>55.12843836536468</v>
      </c>
      <c r="BB217" t="str">
        <f>IF(ISNUMBER(INDEX(Haver_M!$B$1:$ZN$1000,MATCH(data!$A217,Haver_M!$B$1:$B$1000,0),MATCH(data!BB$1,Haver_M!$B$1:$ZN$1,0))),INDEX(Haver_M!$B$1:$ZN$1000,MATCH(data!$A217,Haver_M!$B$1:$B$1000,0),MATCH(data!BB$1,Haver_M!$B$1:$ZN$1,0)),"")</f>
        <v/>
      </c>
    </row>
    <row r="218" spans="1:54" x14ac:dyDescent="0.25">
      <c r="A218" s="2">
        <v>43131</v>
      </c>
      <c r="B218" t="str">
        <f>IF(ISNUMBER(INDEX(Haver_Q!$B$1:$BD$1000,MATCH(data!$A218,Haver_Q!$B$1:$B$1000,0),MATCH(data!B$1,Haver_Q!$B$1:$BD$1,0))),100*INDEX(Haver_Q!$B$1:$BD$1000,MATCH(data!$A218,Haver_Q!$B$1:$B$1000,0),MATCH(data!B$1,Haver_Q!$B$1:$BD$1,0)),"na")</f>
        <v>na</v>
      </c>
      <c r="C218" t="str">
        <f>IF(ISNUMBER(INDEX(Haver_Q!$B$1:$BD$1000,MATCH(data!$A218,Haver_Q!$B$1:$B$1000,0),MATCH(data!C$1,Haver_Q!$B$1:$BD$1,0))),100*INDEX(Haver_Q!$B$1:$BD$1000,MATCH(data!$A218,Haver_Q!$B$1:$B$1000,0),MATCH(data!C$1,Haver_Q!$B$1:$BD$1,0)),"na")</f>
        <v>na</v>
      </c>
      <c r="D218" t="str">
        <f>IF(ISNUMBER(INDEX(Haver_Q!$B$1:$BD$1000,MATCH(data!$A218,Haver_Q!$B$1:$B$1000,0),MATCH(data!D$1,Haver_Q!$B$1:$BD$1,0))),100*INDEX(Haver_Q!$B$1:$BD$1000,MATCH(data!$A218,Haver_Q!$B$1:$B$1000,0),MATCH(data!D$1,Haver_Q!$B$1:$BD$1,0)),"na")</f>
        <v>na</v>
      </c>
      <c r="E218" t="str">
        <f>IF(ISNUMBER(INDEX(Haver_Q!$B$1:$BD$1000,MATCH(data!$A218,Haver_Q!$B$1:$B$1000,0),MATCH(data!E$1,Haver_Q!$B$1:$BD$1,0))),100*INDEX(Haver_Q!$B$1:$BD$1000,MATCH(data!$A218,Haver_Q!$B$1:$B$1000,0),MATCH(data!E$1,Haver_Q!$B$1:$BD$1,0)),"na")</f>
        <v>na</v>
      </c>
      <c r="F218" t="str">
        <f>IF(ISNUMBER(INDEX(Haver_Q!$B$1:$BD$1000,MATCH(data!$A218,Haver_Q!$B$1:$B$1000,0),MATCH(data!F$1,Haver_Q!$B$1:$BD$1,0))),100*INDEX(Haver_Q!$B$1:$BD$1000,MATCH(data!$A218,Haver_Q!$B$1:$B$1000,0),MATCH(data!F$1,Haver_Q!$B$1:$BD$1,0)),"na")</f>
        <v>na</v>
      </c>
      <c r="G218" t="str">
        <f>IF(ISNUMBER(INDEX(Haver_Q!$B$1:$BD$1000,MATCH(data!$A218,Haver_Q!$B$1:$B$1000,0),MATCH(data!G$1,Haver_Q!$B$1:$BD$1,0))),100*INDEX(Haver_Q!$B$1:$BD$1000,MATCH(data!$A218,Haver_Q!$B$1:$B$1000,0),MATCH(data!G$1,Haver_Q!$B$1:$BD$1,0)),"na")</f>
        <v>na</v>
      </c>
      <c r="H218" t="str">
        <f>IF(ISNUMBER(INDEX(Haver_Q!$B$1:$BD$1000,MATCH(data!$A218,Haver_Q!$B$1:$B$1000,0),MATCH(data!H$1,Haver_Q!$B$1:$BD$1,0))),100*INDEX(Haver_Q!$B$1:$BD$1000,MATCH(data!$A218,Haver_Q!$B$1:$B$1000,0),MATCH(data!H$1,Haver_Q!$B$1:$BD$1,0)),"na")</f>
        <v>na</v>
      </c>
      <c r="I218" s="3">
        <f>IF(ISNUMBER(Bloomberg_m!C234),Bloomberg_m!C234,"na")</f>
        <v>1242</v>
      </c>
      <c r="J218" s="3">
        <f>IF(ISNUMBER(Bloomberg_m!D234),Bloomberg_m!D234,"na")</f>
        <v>1431.07</v>
      </c>
      <c r="K218" s="3">
        <f>IF(ISNUMBER(Bloomberg_m!E234),Bloomberg_m!E234,"na")</f>
        <v>838.82</v>
      </c>
      <c r="L218" s="3">
        <f>IF(ISNUMBER(Bloomberg_m!L234),Bloomberg_m!L234,"na")</f>
        <v>63.67</v>
      </c>
      <c r="M218">
        <f>IF(ISNUMBER(INDEX(Haver_M!$B$1:$ZN$1000,MATCH(data!$A218,Haver_M!$B$1:$B$1000,0),MATCH(data!M$1,Haver_M!$B$1:$ZN$1,0))),INDEX(Haver_M!$B$1:$ZN$1000,MATCH(data!$A218,Haver_M!$B$1:$B$1000,0),MATCH(data!M$1,Haver_M!$B$1:$ZN$1,0)),"na")</f>
        <v>7.25</v>
      </c>
      <c r="N218">
        <f>IF(ISNUMBER(INDEX(Haver_M!$B$1:$ZN$1000,MATCH(data!$A218,Haver_M!$B$1:$B$1000,0),MATCH(data!N$1,Haver_M!$B$1:$ZN$1,0))),INDEX(Haver_M!$B$1:$ZN$1000,MATCH(data!$A218,Haver_M!$B$1:$B$1000,0),MATCH(data!N$1,Haver_M!$B$1:$ZN$1,0)),"na")</f>
        <v>7.5461999999999998</v>
      </c>
      <c r="O218">
        <f>IF(ISNUMBER(INDEX(Haver_M!$B$1:$ZN$1000,MATCH(data!$A218,Haver_M!$B$1:$B$1000,0),MATCH(data!O$1,Haver_M!$B$1:$ZN$1,0))),INDEX(Haver_M!$B$1:$ZN$1000,MATCH(data!$A218,Haver_M!$B$1:$B$1000,0),MATCH(data!O$1,Haver_M!$B$1:$ZN$1,0)),"na")</f>
        <v>80.587879999999998</v>
      </c>
      <c r="P218">
        <f>IF(ISNUMBER(INDEX(Haver_M!$B$1:$ZN$1000,MATCH(data!$A218,Haver_M!$B$1:$B$1000,0),MATCH(data!P$1,Haver_M!$B$1:$ZN$1,0))),INDEX(Haver_M!$B$1:$ZN$1000,MATCH(data!$A218,Haver_M!$B$1:$B$1000,0),MATCH(data!P$1,Haver_M!$B$1:$ZN$1,0)),"na")</f>
        <v>98.198800000000006</v>
      </c>
      <c r="Q218">
        <f>IF(ISNUMBER(INDEX(Haver_M!$B$1:$ZN$1000,MATCH(data!$A218,Haver_M!$B$1:$B$1000,0),MATCH(data!Q$1,Haver_M!$B$1:$ZN$1,0))),INDEX(Haver_M!$B$1:$ZN$1000,MATCH(data!$A218,Haver_M!$B$1:$B$1000,0),MATCH(data!Q$1,Haver_M!$B$1:$ZN$1,0)),"na")</f>
        <v>98.329899999999995</v>
      </c>
      <c r="R218">
        <f>IF(ISNUMBER(INDEX(Haver_M!$B$1:$ZN$1000,MATCH(data!$A218,Haver_M!$B$1:$B$1000,0),MATCH(data!R$1,Haver_M!$B$1:$ZN$1,0))),INDEX(Haver_M!$B$1:$ZN$1000,MATCH(data!$A218,Haver_M!$B$1:$B$1000,0),MATCH(data!R$1,Haver_M!$B$1:$ZN$1,0)),"na")</f>
        <v>104.521</v>
      </c>
      <c r="S218">
        <f>IF(ISNUMBER(INDEX(Haver_M!$B$1:$ZN$1000,MATCH(data!$A218,Haver_M!$B$1:$B$1000,0),MATCH(data!S$1,Haver_M!$B$1:$ZN$1,0))),INDEX(Haver_M!$B$1:$ZN$1000,MATCH(data!$A218,Haver_M!$B$1:$B$1000,0),MATCH(data!S$1,Haver_M!$B$1:$ZN$1,0)),"na")</f>
        <v>81.170900000000003</v>
      </c>
      <c r="T218">
        <f>IF(ISNUMBER(INDEX(Haver_M!$B$1:$ZN$1000,MATCH(data!$A218,Haver_M!$B$1:$B$1000,0),MATCH(data!T$1,Haver_M!$B$1:$ZN$1,0))),INDEX(Haver_M!$B$1:$ZN$1000,MATCH(data!$A218,Haver_M!$B$1:$B$1000,0),MATCH(data!T$1,Haver_M!$B$1:$ZN$1,0)),"na")</f>
        <v>117.76</v>
      </c>
      <c r="U218">
        <f>IF(ISNUMBER(INDEX(Haver_M!$B$1:$ZN$1000,MATCH(data!$A218,Haver_M!$B$1:$B$1000,0),MATCH(data!U$1,Haver_M!$B$1:$ZN$1,0))),INDEX(Haver_M!$B$1:$ZN$1000,MATCH(data!$A218,Haver_M!$B$1:$B$1000,0),MATCH(data!U$1,Haver_M!$B$1:$ZN$1,0)),"na")</f>
        <v>108.53660000000001</v>
      </c>
      <c r="V218">
        <f>IF(ISNUMBER(INDEX(Haver_M!$B$1:$ZN$1000,MATCH(data!$A218,Haver_M!$B$1:$B$1000,0),MATCH(data!V$1,Haver_M!$B$1:$ZN$1,0))),INDEX(Haver_M!$B$1:$ZN$1000,MATCH(data!$A218,Haver_M!$B$1:$B$1000,0),MATCH(data!V$1,Haver_M!$B$1:$ZN$1,0)),"na")</f>
        <v>112.3633</v>
      </c>
      <c r="W218">
        <f>IF(ISNUMBER(INDEX(Haver_M!$B$1:$ZN$1000,MATCH(data!$A218,Haver_M!$B$1:$B$1000,0),MATCH(data!W$1,Haver_M!$B$1:$ZN$1,0))),INDEX(Haver_M!$B$1:$ZN$1000,MATCH(data!$A218,Haver_M!$B$1:$B$1000,0),MATCH(data!W$1,Haver_M!$B$1:$ZN$1,0)),"na")</f>
        <v>3.33</v>
      </c>
      <c r="X218">
        <f>IF(ISNUMBER(INDEX(Haver_M!$B$1:$ZN$1000,MATCH(data!$A218,Haver_M!$B$1:$B$1000,0),MATCH(data!X$1,Haver_M!$B$1:$ZN$1,0))),INDEX(Haver_M!$B$1:$ZN$1000,MATCH(data!$A218,Haver_M!$B$1:$B$1000,0),MATCH(data!X$1,Haver_M!$B$1:$ZN$1,0)),"na")</f>
        <v>103.49</v>
      </c>
      <c r="Y218">
        <f>IF(ISNUMBER(INDEX(Haver_M!$B$1:$ZN$1000,MATCH(data!$A218,Haver_M!$B$1:$B$1000,0),MATCH(data!Y$1,Haver_M!$B$1:$ZN$1,0))),INDEX(Haver_M!$B$1:$ZN$1000,MATCH(data!$A218,Haver_M!$B$1:$B$1000,0),MATCH(data!Y$1,Haver_M!$B$1:$ZN$1,0)),"na")</f>
        <v>100.3</v>
      </c>
      <c r="Z218">
        <f>IF(ISNUMBER(INDEX(Haver_M!$B$1:$ZN$1000,MATCH(data!$A218,Haver_M!$B$1:$B$1000,0),MATCH(data!Z$1,Haver_M!$B$1:$ZN$1,0))),INDEX(Haver_M!$B$1:$ZN$1000,MATCH(data!$A218,Haver_M!$B$1:$B$1000,0),MATCH(data!Z$1,Haver_M!$B$1:$ZN$1,0)),"na")</f>
        <v>111.89960000000001</v>
      </c>
      <c r="AA218">
        <f>IF(ISNUMBER(INDEX(Haver_M!$B$1:$ZN$1000,MATCH(data!$A218,Haver_M!$B$1:$B$1000,0),MATCH(data!AA$1,Haver_M!$B$1:$ZN$1,0))),INDEX(Haver_M!$B$1:$ZN$1000,MATCH(data!$A218,Haver_M!$B$1:$B$1000,0),MATCH(data!AA$1,Haver_M!$B$1:$ZN$1,0)),"na")</f>
        <v>107.1182</v>
      </c>
      <c r="AB218">
        <f>IF(ISNUMBER(INDEX(Haver_M!$B$1:$ZN$1000,MATCH(data!$A218,Haver_M!$B$1:$B$1000,0),MATCH(data!AB$1,Haver_M!$B$1:$ZN$1,0))),INDEX(Haver_M!$B$1:$ZN$1000,MATCH(data!$A218,Haver_M!$B$1:$B$1000,0),MATCH(data!AB$1,Haver_M!$B$1:$ZN$1,0)),"na")</f>
        <v>35921.9</v>
      </c>
      <c r="AC218">
        <f>IF(ISNUMBER(INDEX(Haver_M!$B$1:$ZN$1000,MATCH(data!$A218,Haver_M!$B$1:$B$1000,0),MATCH(data!AC$1,Haver_M!$B$1:$ZN$1,0))),INDEX(Haver_M!$B$1:$ZN$1000,MATCH(data!$A218,Haver_M!$B$1:$B$1000,0),MATCH(data!AC$1,Haver_M!$B$1:$ZN$1,0)),"na")</f>
        <v>36670.800000000003</v>
      </c>
      <c r="AD218">
        <f>IF(ISNUMBER(INDEX(Haver_M!$B$1:$ZN$1000,MATCH(data!$A218,Haver_M!$B$1:$B$1000,0),MATCH(data!AD$1,Haver_M!$B$1:$ZN$1,0))),INDEX(Haver_M!$B$1:$ZN$1000,MATCH(data!$A218,Haver_M!$B$1:$B$1000,0),MATCH(data!AD$1,Haver_M!$B$1:$ZN$1,0)),"na")</f>
        <v>100.42</v>
      </c>
      <c r="AE218">
        <f>IF(ISNUMBER(INDEX(Haver_M!$B$1:$ZN$1000,MATCH(data!$A218,Haver_M!$B$1:$B$1000,0),MATCH(data!AE$1,Haver_M!$B$1:$ZN$1,0))),INDEX(Haver_M!$B$1:$ZN$1000,MATCH(data!$A218,Haver_M!$B$1:$B$1000,0),MATCH(data!AE$1,Haver_M!$B$1:$ZN$1,0)),"na")</f>
        <v>34.9</v>
      </c>
      <c r="AF218">
        <f>IF(ISNUMBER(INDEX(Haver_M!$B$1:$ZN$1000,MATCH(data!$A218,Haver_M!$B$1:$B$1000,0),MATCH(data!AF$1,Haver_M!$B$1:$ZN$1,0))),INDEX(Haver_M!$B$1:$ZN$1000,MATCH(data!$A218,Haver_M!$B$1:$B$1000,0),MATCH(data!AF$1,Haver_M!$B$1:$ZN$1,0)),"na")</f>
        <v>100.36</v>
      </c>
      <c r="AG218">
        <f>IF(ISNUMBER(INDEX(Haver_M!$B$1:$ZN$1000,MATCH(data!$A218,Haver_M!$B$1:$B$1000,0),MATCH(data!AG$1,Haver_M!$B$1:$ZN$1,0))),INDEX(Haver_M!$B$1:$ZN$1000,MATCH(data!$A218,Haver_M!$B$1:$B$1000,0),MATCH(data!AG$1,Haver_M!$B$1:$ZN$1,0)),"na")</f>
        <v>52.616</v>
      </c>
      <c r="AH218">
        <f>IF(ISNUMBER(INDEX(Haver_M!$B$1:$ZN$1000,MATCH(data!$A218,Haver_M!$B$1:$B$1000,0),MATCH(data!AH$1,Haver_M!$B$1:$ZN$1,0))),INDEX(Haver_M!$B$1:$ZN$1000,MATCH(data!$A218,Haver_M!$B$1:$B$1000,0),MATCH(data!AH$1,Haver_M!$B$1:$ZN$1,0)),"na")</f>
        <v>52.274500000000003</v>
      </c>
      <c r="AI218">
        <f>IF(ISNUMBER(INDEX(Haver_M!$B$1:$ZN$1000,MATCH(data!$A218,Haver_M!$B$1:$B$1000,0),MATCH(data!AI$1,Haver_M!$B$1:$ZN$1,0))),INDEX(Haver_M!$B$1:$ZN$1000,MATCH(data!$A218,Haver_M!$B$1:$B$1000,0),MATCH(data!AI$1,Haver_M!$B$1:$ZN$1,0)),"na")</f>
        <v>53.813000000000002</v>
      </c>
      <c r="AJ218">
        <f>IF(ISNUMBER(INDEX(Haver_M!$B$1:$ZN$1000,MATCH(data!$A218,Haver_M!$B$1:$B$1000,0),MATCH(data!AJ$1,Haver_M!$B$1:$ZN$1,0))),INDEX(Haver_M!$B$1:$ZN$1000,MATCH(data!$A218,Haver_M!$B$1:$B$1000,0),MATCH(data!AJ$1,Haver_M!$B$1:$ZN$1,0)),"na")</f>
        <v>52.567700000000002</v>
      </c>
      <c r="AK218">
        <f>IF(ISNUMBER(INDEX(Haver_M!$B$1:$ZN$1000,MATCH(data!$A218,Haver_M!$B$1:$B$1000,0),MATCH(data!AK$1,Haver_M!$B$1:$ZN$1,0))),INDEX(Haver_M!$B$1:$ZN$1000,MATCH(data!$A218,Haver_M!$B$1:$B$1000,0),MATCH(data!AK$1,Haver_M!$B$1:$ZN$1,0)),"na")</f>
        <v>49.186</v>
      </c>
      <c r="AL218">
        <f>IF(ISNUMBER(INDEX(Haver_M!$B$1:$ZN$1000,MATCH(data!$A218,Haver_M!$B$1:$B$1000,0),MATCH(data!AL$1,Haver_M!$B$1:$ZN$1,0))),INDEX(Haver_M!$B$1:$ZN$1000,MATCH(data!$A218,Haver_M!$B$1:$B$1000,0),MATCH(data!AL$1,Haver_M!$B$1:$ZN$1,0)),"na")</f>
        <v>52.678100000000001</v>
      </c>
      <c r="AM218">
        <f>IF(ISNUMBER(INDEX(Haver_M!$B$1:$ZN$1000,MATCH(data!$A218,Haver_M!$B$1:$B$1000,0),MATCH(data!AM$1,Haver_M!$B$1:$ZN$1,0))),INDEX(Haver_M!$B$1:$ZN$1000,MATCH(data!$A218,Haver_M!$B$1:$B$1000,0),MATCH(data!AM$1,Haver_M!$B$1:$ZN$1,0)),"na")</f>
        <v>58.329500000000003</v>
      </c>
      <c r="AN218">
        <f>IF(ISNUMBER(INDEX(Haver_M!$B$1:$ZN$1000,MATCH(data!$A218,Haver_M!$B$1:$B$1000,0),MATCH(data!AN$1,Haver_M!$B$1:$ZN$1,0))),INDEX(Haver_M!$B$1:$ZN$1000,MATCH(data!$A218,Haver_M!$B$1:$B$1000,0),MATCH(data!AN$1,Haver_M!$B$1:$ZN$1,0)),"na")</f>
        <v>52.609000000000002</v>
      </c>
      <c r="AO218">
        <f>IF(ISNUMBER(INDEX(Haver_M!$B$1:$ZN$1000,MATCH(data!$A218,Haver_M!$B$1:$B$1000,0),MATCH(data!AO$1,Haver_M!$B$1:$ZN$1,0))),INDEX(Haver_M!$B$1:$ZN$1000,MATCH(data!$A218,Haver_M!$B$1:$B$1000,0),MATCH(data!AO$1,Haver_M!$B$1:$ZN$1,0)),"na")</f>
        <v>52.678100000000001</v>
      </c>
      <c r="AP218">
        <f>IF(ISNUMBER(INDEX(Haver_M!$B$1:$ZN$1000,MATCH(data!$A218,Haver_M!$B$1:$B$1000,0),MATCH(data!AP$1,Haver_M!$B$1:$ZN$1,0))),INDEX(Haver_M!$B$1:$ZN$1000,MATCH(data!$A218,Haver_M!$B$1:$B$1000,0),MATCH(data!AP$1,Haver_M!$B$1:$ZN$1,0)),"na")</f>
        <v>51.990099999999998</v>
      </c>
      <c r="AQ218">
        <f>IF(ISNUMBER(INDEX(Haver_M!$B$1:$ZN$1000,MATCH(data!$A218,Haver_M!$B$1:$B$1000,0),MATCH(data!AQ$1,Haver_M!$B$1:$ZN$1,0))),INDEX(Haver_M!$B$1:$ZN$1000,MATCH(data!$A218,Haver_M!$B$1:$B$1000,0),MATCH(data!AQ$1,Haver_M!$B$1:$ZN$1,0)),"na")</f>
        <v>53.330500000000001</v>
      </c>
      <c r="AR218">
        <f>IF(ISNUMBER(INDEX(Haver_M!$B$1:$ZN$1000,MATCH(data!$A218,Haver_M!$B$1:$B$1000,0),MATCH(data!AR$1,Haver_M!$B$1:$ZN$1,0))),INDEX(Haver_M!$B$1:$ZN$1000,MATCH(data!$A218,Haver_M!$B$1:$B$1000,0),MATCH(data!AR$1,Haver_M!$B$1:$ZN$1,0)),"na")</f>
        <v>50.415599999999998</v>
      </c>
      <c r="AS218">
        <f>IF(ISNUMBER(INDEX(Haver_M!$B$1:$ZN$1000,MATCH(data!$A218,Haver_M!$B$1:$B$1000,0),MATCH(data!AS$1,Haver_M!$B$1:$ZN$1,0))),INDEX(Haver_M!$B$1:$ZN$1000,MATCH(data!$A218,Haver_M!$B$1:$B$1000,0),MATCH(data!AS$1,Haver_M!$B$1:$ZN$1,0)),"na")</f>
        <v>49926.6</v>
      </c>
      <c r="AT218">
        <f>IF(ISNUMBER(INDEX(Haver_M!$B$1:$ZN$1000,MATCH(data!$A218,Haver_M!$B$1:$B$1000,0),MATCH(data!AT$1,Haver_M!$B$1:$ZN$1,0))),INDEX(Haver_M!$B$1:$ZN$1000,MATCH(data!$A218,Haver_M!$B$1:$B$1000,0),MATCH(data!AT$1,Haver_M!$B$1:$ZN$1,0)),"na")</f>
        <v>114.64</v>
      </c>
      <c r="AU218">
        <f>IF(ISNUMBER(INDEX(Haver_M!$B$1:$ZN$1000,MATCH(data!$A218,Haver_M!$B$1:$B$1000,0),MATCH(data!AU$1,Haver_M!$B$1:$ZN$1,0))),INDEX(Haver_M!$B$1:$ZN$1000,MATCH(data!$A218,Haver_M!$B$1:$B$1000,0),MATCH(data!AU$1,Haver_M!$B$1:$ZN$1,0)),"na")</f>
        <v>111.814503</v>
      </c>
      <c r="AV218">
        <f>IF(ISNUMBER(INDEX(Haver_M!$B$1:$ZN$1000,MATCH(data!$A218,Haver_M!$B$1:$B$1000,0),MATCH(data!AV$1,Haver_M!$B$1:$ZN$1,0))),INDEX(Haver_M!$B$1:$ZN$1000,MATCH(data!$A218,Haver_M!$B$1:$B$1000,0),MATCH(data!AV$1,Haver_M!$B$1:$ZN$1,0)),"na")</f>
        <v>109.5</v>
      </c>
      <c r="AW218">
        <f>IF(ISNUMBER(INDEX(Haver_M!$B$1:$ZN$1000,MATCH(data!$A218,Haver_M!$B$1:$B$1000,0),MATCH(data!AW$1,Haver_M!$B$1:$ZN$1,0))),INDEX(Haver_M!$B$1:$ZN$1000,MATCH(data!$A218,Haver_M!$B$1:$B$1000,0),MATCH(data!AW$1,Haver_M!$B$1:$ZN$1,0)),"na")</f>
        <v>1722523.7013192535</v>
      </c>
      <c r="AX218">
        <f>IF(ISNUMBER(INDEX(Haver_M!$B$1:$ZN$1000,MATCH(data!$A218,Haver_M!$B$1:$B$1000,0),MATCH(data!AX$1,Haver_M!$B$1:$ZN$1,0))),INDEX(Haver_M!$B$1:$ZN$1000,MATCH(data!$A218,Haver_M!$B$1:$B$1000,0),MATCH(data!AX$1,Haver_M!$B$1:$ZN$1,0)),"na")</f>
        <v>1917</v>
      </c>
      <c r="AY218">
        <f>IF(ISNUMBER(INDEX(Haver_M!$B$1:$ZN$1000,MATCH(data!$A218,Haver_M!$B$1:$B$1000,0),MATCH(data!AY$1,Haver_M!$B$1:$ZN$1,0))),INDEX(Haver_M!$B$1:$ZN$1000,MATCH(data!$A218,Haver_M!$B$1:$B$1000,0),MATCH(data!AY$1,Haver_M!$B$1:$ZN$1,0)),"na")</f>
        <v>1106</v>
      </c>
      <c r="AZ218">
        <f>IF(ISNUMBER(INDEX(Haver_M!$B$1:$ZN$1000,MATCH(data!$A218,Haver_M!$B$1:$B$1000,0),MATCH(data!AZ$1,Haver_M!$B$1:$ZN$1,0))),INDEX(Haver_M!$B$1:$ZN$1000,MATCH(data!$A218,Haver_M!$B$1:$B$1000,0),MATCH(data!AZ$1,Haver_M!$B$1:$ZN$1,0)),"na")</f>
        <v>51.8</v>
      </c>
      <c r="BA218">
        <f>IF(ISNUMBER(INDEX(Haver_M!$B$1:$ZN$1000,MATCH(data!$A218,Haver_M!$B$1:$B$1000,0),MATCH(data!BA$1,Haver_M!$B$1:$ZN$1,0))),INDEX(Haver_M!$B$1:$ZN$1000,MATCH(data!$A218,Haver_M!$B$1:$B$1000,0),MATCH(data!BA$1,Haver_M!$B$1:$ZN$1,0)),"na")</f>
        <v>48.135591892373114</v>
      </c>
      <c r="BB218" t="str">
        <f>IF(ISNUMBER(INDEX(Haver_M!$B$1:$ZN$1000,MATCH(data!$A218,Haver_M!$B$1:$B$1000,0),MATCH(data!BB$1,Haver_M!$B$1:$ZN$1,0))),INDEX(Haver_M!$B$1:$ZN$1000,MATCH(data!$A218,Haver_M!$B$1:$B$1000,0),MATCH(data!BB$1,Haver_M!$B$1:$ZN$1,0)),"")</f>
        <v/>
      </c>
    </row>
    <row r="219" spans="1:54" x14ac:dyDescent="0.25">
      <c r="A219" s="2">
        <v>43159</v>
      </c>
      <c r="B219" t="str">
        <f>IF(ISNUMBER(INDEX(Haver_Q!$B$1:$BD$1000,MATCH(data!$A219,Haver_Q!$B$1:$B$1000,0),MATCH(data!B$1,Haver_Q!$B$1:$BD$1,0))),100*INDEX(Haver_Q!$B$1:$BD$1000,MATCH(data!$A219,Haver_Q!$B$1:$B$1000,0),MATCH(data!B$1,Haver_Q!$B$1:$BD$1,0)),"na")</f>
        <v>na</v>
      </c>
      <c r="C219" t="str">
        <f>IF(ISNUMBER(INDEX(Haver_Q!$B$1:$BD$1000,MATCH(data!$A219,Haver_Q!$B$1:$B$1000,0),MATCH(data!C$1,Haver_Q!$B$1:$BD$1,0))),100*INDEX(Haver_Q!$B$1:$BD$1000,MATCH(data!$A219,Haver_Q!$B$1:$B$1000,0),MATCH(data!C$1,Haver_Q!$B$1:$BD$1,0)),"na")</f>
        <v>na</v>
      </c>
      <c r="D219" t="str">
        <f>IF(ISNUMBER(INDEX(Haver_Q!$B$1:$BD$1000,MATCH(data!$A219,Haver_Q!$B$1:$B$1000,0),MATCH(data!D$1,Haver_Q!$B$1:$BD$1,0))),100*INDEX(Haver_Q!$B$1:$BD$1000,MATCH(data!$A219,Haver_Q!$B$1:$B$1000,0),MATCH(data!D$1,Haver_Q!$B$1:$BD$1,0)),"na")</f>
        <v>na</v>
      </c>
      <c r="E219" t="str">
        <f>IF(ISNUMBER(INDEX(Haver_Q!$B$1:$BD$1000,MATCH(data!$A219,Haver_Q!$B$1:$B$1000,0),MATCH(data!E$1,Haver_Q!$B$1:$BD$1,0))),100*INDEX(Haver_Q!$B$1:$BD$1000,MATCH(data!$A219,Haver_Q!$B$1:$B$1000,0),MATCH(data!E$1,Haver_Q!$B$1:$BD$1,0)),"na")</f>
        <v>na</v>
      </c>
      <c r="F219" t="str">
        <f>IF(ISNUMBER(INDEX(Haver_Q!$B$1:$BD$1000,MATCH(data!$A219,Haver_Q!$B$1:$B$1000,0),MATCH(data!F$1,Haver_Q!$B$1:$BD$1,0))),100*INDEX(Haver_Q!$B$1:$BD$1000,MATCH(data!$A219,Haver_Q!$B$1:$B$1000,0),MATCH(data!F$1,Haver_Q!$B$1:$BD$1,0)),"na")</f>
        <v>na</v>
      </c>
      <c r="G219" t="str">
        <f>IF(ISNUMBER(INDEX(Haver_Q!$B$1:$BD$1000,MATCH(data!$A219,Haver_Q!$B$1:$B$1000,0),MATCH(data!G$1,Haver_Q!$B$1:$BD$1,0))),100*INDEX(Haver_Q!$B$1:$BD$1000,MATCH(data!$A219,Haver_Q!$B$1:$B$1000,0),MATCH(data!G$1,Haver_Q!$B$1:$BD$1,0)),"na")</f>
        <v>na</v>
      </c>
      <c r="H219" t="str">
        <f>IF(ISNUMBER(INDEX(Haver_Q!$B$1:$BD$1000,MATCH(data!$A219,Haver_Q!$B$1:$B$1000,0),MATCH(data!H$1,Haver_Q!$B$1:$BD$1,0))),100*INDEX(Haver_Q!$B$1:$BD$1000,MATCH(data!$A219,Haver_Q!$B$1:$B$1000,0),MATCH(data!H$1,Haver_Q!$B$1:$BD$1,0)),"na")</f>
        <v>na</v>
      </c>
      <c r="I219" s="3">
        <f>IF(ISNUMBER(Bloomberg_m!C235),Bloomberg_m!C235,"na")</f>
        <v>1125</v>
      </c>
      <c r="J219" s="3">
        <f>IF(ISNUMBER(Bloomberg_m!D235),Bloomberg_m!D235,"na")</f>
        <v>1513.88</v>
      </c>
      <c r="K219" s="3">
        <f>IF(ISNUMBER(Bloomberg_m!E235),Bloomberg_m!E235,"na")</f>
        <v>869.17</v>
      </c>
      <c r="L219" s="3">
        <f>IF(ISNUMBER(Bloomberg_m!L235),Bloomberg_m!L235,"na")</f>
        <v>62.17</v>
      </c>
      <c r="M219">
        <f>IF(ISNUMBER(INDEX(Haver_M!$B$1:$ZN$1000,MATCH(data!$A219,Haver_M!$B$1:$B$1000,0),MATCH(data!M$1,Haver_M!$B$1:$ZN$1,0))),INDEX(Haver_M!$B$1:$ZN$1000,MATCH(data!$A219,Haver_M!$B$1:$B$1000,0),MATCH(data!M$1,Haver_M!$B$1:$ZN$1,0)),"na")</f>
        <v>7.5</v>
      </c>
      <c r="N219">
        <f>IF(ISNUMBER(INDEX(Haver_M!$B$1:$ZN$1000,MATCH(data!$A219,Haver_M!$B$1:$B$1000,0),MATCH(data!N$1,Haver_M!$B$1:$ZN$1,0))),INDEX(Haver_M!$B$1:$ZN$1000,MATCH(data!$A219,Haver_M!$B$1:$B$1000,0),MATCH(data!N$1,Haver_M!$B$1:$ZN$1,0)),"na")</f>
        <v>7.6661999999999999</v>
      </c>
      <c r="O219">
        <f>IF(ISNUMBER(INDEX(Haver_M!$B$1:$ZN$1000,MATCH(data!$A219,Haver_M!$B$1:$B$1000,0),MATCH(data!O$1,Haver_M!$B$1:$ZN$1,0))),INDEX(Haver_M!$B$1:$ZN$1000,MATCH(data!$A219,Haver_M!$B$1:$B$1000,0),MATCH(data!O$1,Haver_M!$B$1:$ZN$1,0)),"na")</f>
        <v>81.262619999999998</v>
      </c>
      <c r="P219">
        <f>IF(ISNUMBER(INDEX(Haver_M!$B$1:$ZN$1000,MATCH(data!$A219,Haver_M!$B$1:$B$1000,0),MATCH(data!P$1,Haver_M!$B$1:$ZN$1,0))),INDEX(Haver_M!$B$1:$ZN$1000,MATCH(data!$A219,Haver_M!$B$1:$B$1000,0),MATCH(data!P$1,Haver_M!$B$1:$ZN$1,0)),"na")</f>
        <v>98.494299999999996</v>
      </c>
      <c r="Q219">
        <f>IF(ISNUMBER(INDEX(Haver_M!$B$1:$ZN$1000,MATCH(data!$A219,Haver_M!$B$1:$B$1000,0),MATCH(data!Q$1,Haver_M!$B$1:$ZN$1,0))),INDEX(Haver_M!$B$1:$ZN$1000,MATCH(data!$A219,Haver_M!$B$1:$B$1000,0),MATCH(data!Q$1,Haver_M!$B$1:$ZN$1,0)),"na")</f>
        <v>98.623199999999997</v>
      </c>
      <c r="R219">
        <f>IF(ISNUMBER(INDEX(Haver_M!$B$1:$ZN$1000,MATCH(data!$A219,Haver_M!$B$1:$B$1000,0),MATCH(data!R$1,Haver_M!$B$1:$ZN$1,0))),INDEX(Haver_M!$B$1:$ZN$1000,MATCH(data!$A219,Haver_M!$B$1:$B$1000,0),MATCH(data!R$1,Haver_M!$B$1:$ZN$1,0)),"na")</f>
        <v>104.82259999999999</v>
      </c>
      <c r="S219">
        <f>IF(ISNUMBER(INDEX(Haver_M!$B$1:$ZN$1000,MATCH(data!$A219,Haver_M!$B$1:$B$1000,0),MATCH(data!S$1,Haver_M!$B$1:$ZN$1,0))),INDEX(Haver_M!$B$1:$ZN$1000,MATCH(data!$A219,Haver_M!$B$1:$B$1000,0),MATCH(data!S$1,Haver_M!$B$1:$ZN$1,0)),"na")</f>
        <v>78.366100000000003</v>
      </c>
      <c r="T219">
        <f>IF(ISNUMBER(INDEX(Haver_M!$B$1:$ZN$1000,MATCH(data!$A219,Haver_M!$B$1:$B$1000,0),MATCH(data!T$1,Haver_M!$B$1:$ZN$1,0))),INDEX(Haver_M!$B$1:$ZN$1000,MATCH(data!$A219,Haver_M!$B$1:$B$1000,0),MATCH(data!T$1,Haver_M!$B$1:$ZN$1,0)),"na")</f>
        <v>118.79649999999999</v>
      </c>
      <c r="U219">
        <f>IF(ISNUMBER(INDEX(Haver_M!$B$1:$ZN$1000,MATCH(data!$A219,Haver_M!$B$1:$B$1000,0),MATCH(data!U$1,Haver_M!$B$1:$ZN$1,0))),INDEX(Haver_M!$B$1:$ZN$1000,MATCH(data!$A219,Haver_M!$B$1:$B$1000,0),MATCH(data!U$1,Haver_M!$B$1:$ZN$1,0)),"na")</f>
        <v>108.9567</v>
      </c>
      <c r="V219">
        <f>IF(ISNUMBER(INDEX(Haver_M!$B$1:$ZN$1000,MATCH(data!$A219,Haver_M!$B$1:$B$1000,0),MATCH(data!V$1,Haver_M!$B$1:$ZN$1,0))),INDEX(Haver_M!$B$1:$ZN$1000,MATCH(data!$A219,Haver_M!$B$1:$B$1000,0),MATCH(data!V$1,Haver_M!$B$1:$ZN$1,0)),"na")</f>
        <v>112.7754</v>
      </c>
      <c r="W219">
        <f>IF(ISNUMBER(INDEX(Haver_M!$B$1:$ZN$1000,MATCH(data!$A219,Haver_M!$B$1:$B$1000,0),MATCH(data!W$1,Haver_M!$B$1:$ZN$1,0))),INDEX(Haver_M!$B$1:$ZN$1000,MATCH(data!$A219,Haver_M!$B$1:$B$1000,0),MATCH(data!W$1,Haver_M!$B$1:$ZN$1,0)),"na")</f>
        <v>3.33</v>
      </c>
      <c r="X219">
        <f>IF(ISNUMBER(INDEX(Haver_M!$B$1:$ZN$1000,MATCH(data!$A219,Haver_M!$B$1:$B$1000,0),MATCH(data!X$1,Haver_M!$B$1:$ZN$1,0))),INDEX(Haver_M!$B$1:$ZN$1000,MATCH(data!$A219,Haver_M!$B$1:$B$1000,0),MATCH(data!X$1,Haver_M!$B$1:$ZN$1,0)),"na")</f>
        <v>104.31</v>
      </c>
      <c r="Y219">
        <f>IF(ISNUMBER(INDEX(Haver_M!$B$1:$ZN$1000,MATCH(data!$A219,Haver_M!$B$1:$B$1000,0),MATCH(data!Y$1,Haver_M!$B$1:$ZN$1,0))),INDEX(Haver_M!$B$1:$ZN$1000,MATCH(data!$A219,Haver_M!$B$1:$B$1000,0),MATCH(data!Y$1,Haver_M!$B$1:$ZN$1,0)),"na")</f>
        <v>100.33</v>
      </c>
      <c r="Z219">
        <f>IF(ISNUMBER(INDEX(Haver_M!$B$1:$ZN$1000,MATCH(data!$A219,Haver_M!$B$1:$B$1000,0),MATCH(data!Z$1,Haver_M!$B$1:$ZN$1,0))),INDEX(Haver_M!$B$1:$ZN$1000,MATCH(data!$A219,Haver_M!$B$1:$B$1000,0),MATCH(data!Z$1,Haver_M!$B$1:$ZN$1,0)),"na")</f>
        <v>111.99769999999999</v>
      </c>
      <c r="AA219">
        <f>IF(ISNUMBER(INDEX(Haver_M!$B$1:$ZN$1000,MATCH(data!$A219,Haver_M!$B$1:$B$1000,0),MATCH(data!AA$1,Haver_M!$B$1:$ZN$1,0))),INDEX(Haver_M!$B$1:$ZN$1000,MATCH(data!$A219,Haver_M!$B$1:$B$1000,0),MATCH(data!AA$1,Haver_M!$B$1:$ZN$1,0)),"na")</f>
        <v>108.5008</v>
      </c>
      <c r="AB219">
        <f>IF(ISNUMBER(INDEX(Haver_M!$B$1:$ZN$1000,MATCH(data!$A219,Haver_M!$B$1:$B$1000,0),MATCH(data!AB$1,Haver_M!$B$1:$ZN$1,0))),INDEX(Haver_M!$B$1:$ZN$1000,MATCH(data!$A219,Haver_M!$B$1:$B$1000,0),MATCH(data!AB$1,Haver_M!$B$1:$ZN$1,0)),"na")</f>
        <v>37085.4</v>
      </c>
      <c r="AC219">
        <f>IF(ISNUMBER(INDEX(Haver_M!$B$1:$ZN$1000,MATCH(data!$A219,Haver_M!$B$1:$B$1000,0),MATCH(data!AC$1,Haver_M!$B$1:$ZN$1,0))),INDEX(Haver_M!$B$1:$ZN$1000,MATCH(data!$A219,Haver_M!$B$1:$B$1000,0),MATCH(data!AC$1,Haver_M!$B$1:$ZN$1,0)),"na")</f>
        <v>37551.9</v>
      </c>
      <c r="AD219">
        <f>IF(ISNUMBER(INDEX(Haver_M!$B$1:$ZN$1000,MATCH(data!$A219,Haver_M!$B$1:$B$1000,0),MATCH(data!AD$1,Haver_M!$B$1:$ZN$1,0))),INDEX(Haver_M!$B$1:$ZN$1000,MATCH(data!$A219,Haver_M!$B$1:$B$1000,0),MATCH(data!AD$1,Haver_M!$B$1:$ZN$1,0)),"na")</f>
        <v>100.48</v>
      </c>
      <c r="AE219">
        <f>IF(ISNUMBER(INDEX(Haver_M!$B$1:$ZN$1000,MATCH(data!$A219,Haver_M!$B$1:$B$1000,0),MATCH(data!AE$1,Haver_M!$B$1:$ZN$1,0))),INDEX(Haver_M!$B$1:$ZN$1000,MATCH(data!$A219,Haver_M!$B$1:$B$1000,0),MATCH(data!AE$1,Haver_M!$B$1:$ZN$1,0)),"na")</f>
        <v>34.799999999999997</v>
      </c>
      <c r="AF219">
        <f>IF(ISNUMBER(INDEX(Haver_M!$B$1:$ZN$1000,MATCH(data!$A219,Haver_M!$B$1:$B$1000,0),MATCH(data!AF$1,Haver_M!$B$1:$ZN$1,0))),INDEX(Haver_M!$B$1:$ZN$1000,MATCH(data!$A219,Haver_M!$B$1:$B$1000,0),MATCH(data!AF$1,Haver_M!$B$1:$ZN$1,0)),"na")</f>
        <v>100.43</v>
      </c>
      <c r="AG219">
        <f>IF(ISNUMBER(INDEX(Haver_M!$B$1:$ZN$1000,MATCH(data!$A219,Haver_M!$B$1:$B$1000,0),MATCH(data!AG$1,Haver_M!$B$1:$ZN$1,0))),INDEX(Haver_M!$B$1:$ZN$1000,MATCH(data!$A219,Haver_M!$B$1:$B$1000,0),MATCH(data!AG$1,Haver_M!$B$1:$ZN$1,0)),"na")</f>
        <v>51.636099999999999</v>
      </c>
      <c r="AH219">
        <f>IF(ISNUMBER(INDEX(Haver_M!$B$1:$ZN$1000,MATCH(data!$A219,Haver_M!$B$1:$B$1000,0),MATCH(data!AH$1,Haver_M!$B$1:$ZN$1,0))),INDEX(Haver_M!$B$1:$ZN$1000,MATCH(data!$A219,Haver_M!$B$1:$B$1000,0),MATCH(data!AH$1,Haver_M!$B$1:$ZN$1,0)),"na")</f>
        <v>51.221600000000002</v>
      </c>
      <c r="AI219">
        <f>IF(ISNUMBER(INDEX(Haver_M!$B$1:$ZN$1000,MATCH(data!$A219,Haver_M!$B$1:$B$1000,0),MATCH(data!AI$1,Haver_M!$B$1:$ZN$1,0))),INDEX(Haver_M!$B$1:$ZN$1000,MATCH(data!$A219,Haver_M!$B$1:$B$1000,0),MATCH(data!AI$1,Haver_M!$B$1:$ZN$1,0)),"na")</f>
        <v>52.046700000000001</v>
      </c>
      <c r="AJ219">
        <f>IF(ISNUMBER(INDEX(Haver_M!$B$1:$ZN$1000,MATCH(data!$A219,Haver_M!$B$1:$B$1000,0),MATCH(data!AJ$1,Haver_M!$B$1:$ZN$1,0))),INDEX(Haver_M!$B$1:$ZN$1000,MATCH(data!$A219,Haver_M!$B$1:$B$1000,0),MATCH(data!AJ$1,Haver_M!$B$1:$ZN$1,0)),"na")</f>
        <v>51.718899999999998</v>
      </c>
      <c r="AK219">
        <f>IF(ISNUMBER(INDEX(Haver_M!$B$1:$ZN$1000,MATCH(data!$A219,Haver_M!$B$1:$B$1000,0),MATCH(data!AK$1,Haver_M!$B$1:$ZN$1,0))),INDEX(Haver_M!$B$1:$ZN$1000,MATCH(data!$A219,Haver_M!$B$1:$B$1000,0),MATCH(data!AK$1,Haver_M!$B$1:$ZN$1,0)),"na")</f>
        <v>48.622599999999998</v>
      </c>
      <c r="AL219">
        <f>IF(ISNUMBER(INDEX(Haver_M!$B$1:$ZN$1000,MATCH(data!$A219,Haver_M!$B$1:$B$1000,0),MATCH(data!AL$1,Haver_M!$B$1:$ZN$1,0))),INDEX(Haver_M!$B$1:$ZN$1000,MATCH(data!$A219,Haver_M!$B$1:$B$1000,0),MATCH(data!AL$1,Haver_M!$B$1:$ZN$1,0)),"na")</f>
        <v>51.6631</v>
      </c>
      <c r="AM219">
        <f>IF(ISNUMBER(INDEX(Haver_M!$B$1:$ZN$1000,MATCH(data!$A219,Haver_M!$B$1:$B$1000,0),MATCH(data!AM$1,Haver_M!$B$1:$ZN$1,0))),INDEX(Haver_M!$B$1:$ZN$1000,MATCH(data!$A219,Haver_M!$B$1:$B$1000,0),MATCH(data!AM$1,Haver_M!$B$1:$ZN$1,0)),"na")</f>
        <v>57.209699999999998</v>
      </c>
      <c r="AN219">
        <f>IF(ISNUMBER(INDEX(Haver_M!$B$1:$ZN$1000,MATCH(data!$A219,Haver_M!$B$1:$B$1000,0),MATCH(data!AN$1,Haver_M!$B$1:$ZN$1,0))),INDEX(Haver_M!$B$1:$ZN$1000,MATCH(data!$A219,Haver_M!$B$1:$B$1000,0),MATCH(data!AN$1,Haver_M!$B$1:$ZN$1,0)),"na")</f>
        <v>53.28</v>
      </c>
      <c r="AO219">
        <f>IF(ISNUMBER(INDEX(Haver_M!$B$1:$ZN$1000,MATCH(data!$A219,Haver_M!$B$1:$B$1000,0),MATCH(data!AO$1,Haver_M!$B$1:$ZN$1,0))),INDEX(Haver_M!$B$1:$ZN$1000,MATCH(data!$A219,Haver_M!$B$1:$B$1000,0),MATCH(data!AO$1,Haver_M!$B$1:$ZN$1,0)),"na")</f>
        <v>51.6631</v>
      </c>
      <c r="AP219">
        <f>IF(ISNUMBER(INDEX(Haver_M!$B$1:$ZN$1000,MATCH(data!$A219,Haver_M!$B$1:$B$1000,0),MATCH(data!AP$1,Haver_M!$B$1:$ZN$1,0))),INDEX(Haver_M!$B$1:$ZN$1000,MATCH(data!$A219,Haver_M!$B$1:$B$1000,0),MATCH(data!AP$1,Haver_M!$B$1:$ZN$1,0)),"na")</f>
        <v>49.7667</v>
      </c>
      <c r="AQ219">
        <f>IF(ISNUMBER(INDEX(Haver_M!$B$1:$ZN$1000,MATCH(data!$A219,Haver_M!$B$1:$B$1000,0),MATCH(data!AQ$1,Haver_M!$B$1:$ZN$1,0))),INDEX(Haver_M!$B$1:$ZN$1000,MATCH(data!$A219,Haver_M!$B$1:$B$1000,0),MATCH(data!AQ$1,Haver_M!$B$1:$ZN$1,0)),"na")</f>
        <v>52.538600000000002</v>
      </c>
      <c r="AR219">
        <f>IF(ISNUMBER(INDEX(Haver_M!$B$1:$ZN$1000,MATCH(data!$A219,Haver_M!$B$1:$B$1000,0),MATCH(data!AR$1,Haver_M!$B$1:$ZN$1,0))),INDEX(Haver_M!$B$1:$ZN$1000,MATCH(data!$A219,Haver_M!$B$1:$B$1000,0),MATCH(data!AR$1,Haver_M!$B$1:$ZN$1,0)),"na")</f>
        <v>48.064799999999998</v>
      </c>
      <c r="AS219">
        <f>IF(ISNUMBER(INDEX(Haver_M!$B$1:$ZN$1000,MATCH(data!$A219,Haver_M!$B$1:$B$1000,0),MATCH(data!AS$1,Haver_M!$B$1:$ZN$1,0))),INDEX(Haver_M!$B$1:$ZN$1000,MATCH(data!$A219,Haver_M!$B$1:$B$1000,0),MATCH(data!AS$1,Haver_M!$B$1:$ZN$1,0)),"na")</f>
        <v>48653.29</v>
      </c>
      <c r="AT219">
        <f>IF(ISNUMBER(INDEX(Haver_M!$B$1:$ZN$1000,MATCH(data!$A219,Haver_M!$B$1:$B$1000,0),MATCH(data!AT$1,Haver_M!$B$1:$ZN$1,0))),INDEX(Haver_M!$B$1:$ZN$1000,MATCH(data!$A219,Haver_M!$B$1:$B$1000,0),MATCH(data!AT$1,Haver_M!$B$1:$ZN$1,0)),"na")</f>
        <v>115.015</v>
      </c>
      <c r="AU219">
        <f>IF(ISNUMBER(INDEX(Haver_M!$B$1:$ZN$1000,MATCH(data!$A219,Haver_M!$B$1:$B$1000,0),MATCH(data!AU$1,Haver_M!$B$1:$ZN$1,0))),INDEX(Haver_M!$B$1:$ZN$1000,MATCH(data!$A219,Haver_M!$B$1:$B$1000,0),MATCH(data!AU$1,Haver_M!$B$1:$ZN$1,0)),"na")</f>
        <v>112.264139</v>
      </c>
      <c r="AV219">
        <f>IF(ISNUMBER(INDEX(Haver_M!$B$1:$ZN$1000,MATCH(data!$A219,Haver_M!$B$1:$B$1000,0),MATCH(data!AV$1,Haver_M!$B$1:$ZN$1,0))),INDEX(Haver_M!$B$1:$ZN$1000,MATCH(data!$A219,Haver_M!$B$1:$B$1000,0),MATCH(data!AV$1,Haver_M!$B$1:$ZN$1,0)),"na")</f>
        <v>110</v>
      </c>
      <c r="AW219">
        <f>IF(ISNUMBER(INDEX(Haver_M!$B$1:$ZN$1000,MATCH(data!$A219,Haver_M!$B$1:$B$1000,0),MATCH(data!AW$1,Haver_M!$B$1:$ZN$1,0))),INDEX(Haver_M!$B$1:$ZN$1000,MATCH(data!$A219,Haver_M!$B$1:$B$1000,0),MATCH(data!AW$1,Haver_M!$B$1:$ZN$1,0)),"na")</f>
        <v>1796962.7744387209</v>
      </c>
      <c r="AX219">
        <f>IF(ISNUMBER(INDEX(Haver_M!$B$1:$ZN$1000,MATCH(data!$A219,Haver_M!$B$1:$B$1000,0),MATCH(data!AX$1,Haver_M!$B$1:$ZN$1,0))),INDEX(Haver_M!$B$1:$ZN$1000,MATCH(data!$A219,Haver_M!$B$1:$B$1000,0),MATCH(data!AX$1,Haver_M!$B$1:$ZN$1,0)),"na")</f>
        <v>1878</v>
      </c>
      <c r="AY219">
        <f>IF(ISNUMBER(INDEX(Haver_M!$B$1:$ZN$1000,MATCH(data!$A219,Haver_M!$B$1:$B$1000,0),MATCH(data!AY$1,Haver_M!$B$1:$ZN$1,0))),INDEX(Haver_M!$B$1:$ZN$1000,MATCH(data!$A219,Haver_M!$B$1:$B$1000,0),MATCH(data!AY$1,Haver_M!$B$1:$ZN$1,0)),"na")</f>
        <v>1451</v>
      </c>
      <c r="AZ219">
        <f>IF(ISNUMBER(INDEX(Haver_M!$B$1:$ZN$1000,MATCH(data!$A219,Haver_M!$B$1:$B$1000,0),MATCH(data!AZ$1,Haver_M!$B$1:$ZN$1,0))),INDEX(Haver_M!$B$1:$ZN$1000,MATCH(data!$A219,Haver_M!$B$1:$B$1000,0),MATCH(data!AZ$1,Haver_M!$B$1:$ZN$1,0)),"na")</f>
        <v>52.3</v>
      </c>
      <c r="BA219">
        <f>IF(ISNUMBER(INDEX(Haver_M!$B$1:$ZN$1000,MATCH(data!$A219,Haver_M!$B$1:$B$1000,0),MATCH(data!BA$1,Haver_M!$B$1:$ZN$1,0))),INDEX(Haver_M!$B$1:$ZN$1000,MATCH(data!$A219,Haver_M!$B$1:$B$1000,0),MATCH(data!BA$1,Haver_M!$B$1:$ZN$1,0)),"na")</f>
        <v>46.879441362783076</v>
      </c>
      <c r="BB219" t="str">
        <f>IF(ISNUMBER(INDEX(Haver_M!$B$1:$ZN$1000,MATCH(data!$A219,Haver_M!$B$1:$B$1000,0),MATCH(data!BB$1,Haver_M!$B$1:$ZN$1,0))),INDEX(Haver_M!$B$1:$ZN$1000,MATCH(data!$A219,Haver_M!$B$1:$B$1000,0),MATCH(data!BB$1,Haver_M!$B$1:$ZN$1,0)),"")</f>
        <v/>
      </c>
    </row>
    <row r="220" spans="1:54" x14ac:dyDescent="0.25">
      <c r="A220" s="2">
        <v>43190</v>
      </c>
      <c r="B220">
        <f>IF(ISNUMBER(INDEX(Haver_Q!$B$1:$BD$1000,MATCH(data!$A220,Haver_Q!$B$1:$B$1000,0),MATCH(data!B$1,Haver_Q!$B$1:$BD$1,0))),100*INDEX(Haver_Q!$B$1:$BD$1000,MATCH(data!$A220,Haver_Q!$B$1:$B$1000,0),MATCH(data!B$1,Haver_Q!$B$1:$BD$1,0)),"na")</f>
        <v>5.262419998206247</v>
      </c>
      <c r="C220">
        <f>IF(ISNUMBER(INDEX(Haver_Q!$B$1:$BD$1000,MATCH(data!$A220,Haver_Q!$B$1:$B$1000,0),MATCH(data!C$1,Haver_Q!$B$1:$BD$1,0))),100*INDEX(Haver_Q!$B$1:$BD$1000,MATCH(data!$A220,Haver_Q!$B$1:$B$1000,0),MATCH(data!C$1,Haver_Q!$B$1:$BD$1,0)),"na")</f>
        <v>6.2748856570243206</v>
      </c>
      <c r="D220">
        <f>IF(ISNUMBER(INDEX(Haver_Q!$B$1:$BD$1000,MATCH(data!$A220,Haver_Q!$B$1:$B$1000,0),MATCH(data!D$1,Haver_Q!$B$1:$BD$1,0))),100*INDEX(Haver_Q!$B$1:$BD$1000,MATCH(data!$A220,Haver_Q!$B$1:$B$1000,0),MATCH(data!D$1,Haver_Q!$B$1:$BD$1,0)),"na")</f>
        <v>8.1377038768008845</v>
      </c>
      <c r="E220">
        <f>IF(ISNUMBER(INDEX(Haver_Q!$B$1:$BD$1000,MATCH(data!$A220,Haver_Q!$B$1:$B$1000,0),MATCH(data!E$1,Haver_Q!$B$1:$BD$1,0))),100*INDEX(Haver_Q!$B$1:$BD$1000,MATCH(data!$A220,Haver_Q!$B$1:$B$1000,0),MATCH(data!E$1,Haver_Q!$B$1:$BD$1,0)),"na")</f>
        <v>10.164643581632005</v>
      </c>
      <c r="F220">
        <f>IF(ISNUMBER(INDEX(Haver_Q!$B$1:$BD$1000,MATCH(data!$A220,Haver_Q!$B$1:$B$1000,0),MATCH(data!F$1,Haver_Q!$B$1:$BD$1,0))),100*INDEX(Haver_Q!$B$1:$BD$1000,MATCH(data!$A220,Haver_Q!$B$1:$B$1000,0),MATCH(data!F$1,Haver_Q!$B$1:$BD$1,0)),"na")</f>
        <v>7.558774357710174</v>
      </c>
      <c r="G220">
        <f>IF(ISNUMBER(INDEX(Haver_Q!$B$1:$BD$1000,MATCH(data!$A220,Haver_Q!$B$1:$B$1000,0),MATCH(data!G$1,Haver_Q!$B$1:$BD$1,0))),100*INDEX(Haver_Q!$B$1:$BD$1000,MATCH(data!$A220,Haver_Q!$B$1:$B$1000,0),MATCH(data!G$1,Haver_Q!$B$1:$BD$1,0)),"na")</f>
        <v>16.793992337363207</v>
      </c>
      <c r="H220">
        <f>IF(ISNUMBER(INDEX(Haver_Q!$B$1:$BD$1000,MATCH(data!$A220,Haver_Q!$B$1:$B$1000,0),MATCH(data!H$1,Haver_Q!$B$1:$BD$1,0))),100*INDEX(Haver_Q!$B$1:$BD$1000,MATCH(data!$A220,Haver_Q!$B$1:$B$1000,0),MATCH(data!H$1,Haver_Q!$B$1:$BD$1,0)),"na")</f>
        <v>345.00096047045628</v>
      </c>
      <c r="I220" s="3">
        <f>IF(ISNUMBER(Bloomberg_m!C236),Bloomberg_m!C236,"na")</f>
        <v>1154</v>
      </c>
      <c r="J220" s="3">
        <f>IF(ISNUMBER(Bloomberg_m!D236),Bloomberg_m!D236,"na")</f>
        <v>1322.83</v>
      </c>
      <c r="K220" s="3">
        <f>IF(ISNUMBER(Bloomberg_m!E236),Bloomberg_m!E236,"na")</f>
        <v>696.53</v>
      </c>
      <c r="L220" s="3">
        <f>IF(ISNUMBER(Bloomberg_m!L236),Bloomberg_m!L236,"na")</f>
        <v>62.76</v>
      </c>
      <c r="M220">
        <f>IF(ISNUMBER(INDEX(Haver_M!$B$1:$ZN$1000,MATCH(data!$A220,Haver_M!$B$1:$B$1000,0),MATCH(data!M$1,Haver_M!$B$1:$ZN$1,0))),INDEX(Haver_M!$B$1:$ZN$1000,MATCH(data!$A220,Haver_M!$B$1:$B$1000,0),MATCH(data!M$1,Haver_M!$B$1:$ZN$1,0)),"na")</f>
        <v>7.5</v>
      </c>
      <c r="N220">
        <f>IF(ISNUMBER(INDEX(Haver_M!$B$1:$ZN$1000,MATCH(data!$A220,Haver_M!$B$1:$B$1000,0),MATCH(data!N$1,Haver_M!$B$1:$ZN$1,0))),INDEX(Haver_M!$B$1:$ZN$1000,MATCH(data!$A220,Haver_M!$B$1:$B$1000,0),MATCH(data!N$1,Haver_M!$B$1:$ZN$1,0)),"na")</f>
        <v>7.508</v>
      </c>
      <c r="O220">
        <f>IF(ISNUMBER(INDEX(Haver_M!$B$1:$ZN$1000,MATCH(data!$A220,Haver_M!$B$1:$B$1000,0),MATCH(data!O$1,Haver_M!$B$1:$ZN$1,0))),INDEX(Haver_M!$B$1:$ZN$1000,MATCH(data!$A220,Haver_M!$B$1:$B$1000,0),MATCH(data!O$1,Haver_M!$B$1:$ZN$1,0)),"na")</f>
        <v>81.883579999999995</v>
      </c>
      <c r="P220">
        <f>IF(ISNUMBER(INDEX(Haver_M!$B$1:$ZN$1000,MATCH(data!$A220,Haver_M!$B$1:$B$1000,0),MATCH(data!P$1,Haver_M!$B$1:$ZN$1,0))),INDEX(Haver_M!$B$1:$ZN$1000,MATCH(data!$A220,Haver_M!$B$1:$B$1000,0),MATCH(data!P$1,Haver_M!$B$1:$ZN$1,0)),"na")</f>
        <v>98.761200000000002</v>
      </c>
      <c r="Q220">
        <f>IF(ISNUMBER(INDEX(Haver_M!$B$1:$ZN$1000,MATCH(data!$A220,Haver_M!$B$1:$B$1000,0),MATCH(data!Q$1,Haver_M!$B$1:$ZN$1,0))),INDEX(Haver_M!$B$1:$ZN$1000,MATCH(data!$A220,Haver_M!$B$1:$B$1000,0),MATCH(data!Q$1,Haver_M!$B$1:$ZN$1,0)),"na")</f>
        <v>98.838399999999993</v>
      </c>
      <c r="R220">
        <f>IF(ISNUMBER(INDEX(Haver_M!$B$1:$ZN$1000,MATCH(data!$A220,Haver_M!$B$1:$B$1000,0),MATCH(data!R$1,Haver_M!$B$1:$ZN$1,0))),INDEX(Haver_M!$B$1:$ZN$1000,MATCH(data!$A220,Haver_M!$B$1:$B$1000,0),MATCH(data!R$1,Haver_M!$B$1:$ZN$1,0)),"na")</f>
        <v>105.12730000000001</v>
      </c>
      <c r="S220">
        <f>IF(ISNUMBER(INDEX(Haver_M!$B$1:$ZN$1000,MATCH(data!$A220,Haver_M!$B$1:$B$1000,0),MATCH(data!S$1,Haver_M!$B$1:$ZN$1,0))),INDEX(Haver_M!$B$1:$ZN$1000,MATCH(data!$A220,Haver_M!$B$1:$B$1000,0),MATCH(data!S$1,Haver_M!$B$1:$ZN$1,0)),"na")</f>
        <v>78.686700000000002</v>
      </c>
      <c r="T220">
        <f>IF(ISNUMBER(INDEX(Haver_M!$B$1:$ZN$1000,MATCH(data!$A220,Haver_M!$B$1:$B$1000,0),MATCH(data!T$1,Haver_M!$B$1:$ZN$1,0))),INDEX(Haver_M!$B$1:$ZN$1000,MATCH(data!$A220,Haver_M!$B$1:$B$1000,0),MATCH(data!T$1,Haver_M!$B$1:$ZN$1,0)),"na")</f>
        <v>116.10639999999999</v>
      </c>
      <c r="U220">
        <f>IF(ISNUMBER(INDEX(Haver_M!$B$1:$ZN$1000,MATCH(data!$A220,Haver_M!$B$1:$B$1000,0),MATCH(data!U$1,Haver_M!$B$1:$ZN$1,0))),INDEX(Haver_M!$B$1:$ZN$1000,MATCH(data!$A220,Haver_M!$B$1:$B$1000,0),MATCH(data!U$1,Haver_M!$B$1:$ZN$1,0)),"na")</f>
        <v>108.8951</v>
      </c>
      <c r="V220">
        <f>IF(ISNUMBER(INDEX(Haver_M!$B$1:$ZN$1000,MATCH(data!$A220,Haver_M!$B$1:$B$1000,0),MATCH(data!V$1,Haver_M!$B$1:$ZN$1,0))),INDEX(Haver_M!$B$1:$ZN$1000,MATCH(data!$A220,Haver_M!$B$1:$B$1000,0),MATCH(data!V$1,Haver_M!$B$1:$ZN$1,0)),"na")</f>
        <v>115.31789999999999</v>
      </c>
      <c r="W220">
        <f>IF(ISNUMBER(INDEX(Haver_M!$B$1:$ZN$1000,MATCH(data!$A220,Haver_M!$B$1:$B$1000,0),MATCH(data!W$1,Haver_M!$B$1:$ZN$1,0))),INDEX(Haver_M!$B$1:$ZN$1000,MATCH(data!$A220,Haver_M!$B$1:$B$1000,0),MATCH(data!W$1,Haver_M!$B$1:$ZN$1,0)),"na")</f>
        <v>3.27</v>
      </c>
      <c r="X220">
        <f>IF(ISNUMBER(INDEX(Haver_M!$B$1:$ZN$1000,MATCH(data!$A220,Haver_M!$B$1:$B$1000,0),MATCH(data!X$1,Haver_M!$B$1:$ZN$1,0))),INDEX(Haver_M!$B$1:$ZN$1000,MATCH(data!$A220,Haver_M!$B$1:$B$1000,0),MATCH(data!X$1,Haver_M!$B$1:$ZN$1,0)),"na")</f>
        <v>105.12</v>
      </c>
      <c r="Y220">
        <f>IF(ISNUMBER(INDEX(Haver_M!$B$1:$ZN$1000,MATCH(data!$A220,Haver_M!$B$1:$B$1000,0),MATCH(data!Y$1,Haver_M!$B$1:$ZN$1,0))),INDEX(Haver_M!$B$1:$ZN$1000,MATCH(data!$A220,Haver_M!$B$1:$B$1000,0),MATCH(data!Y$1,Haver_M!$B$1:$ZN$1,0)),"na")</f>
        <v>100.35</v>
      </c>
      <c r="Z220">
        <f>IF(ISNUMBER(INDEX(Haver_M!$B$1:$ZN$1000,MATCH(data!$A220,Haver_M!$B$1:$B$1000,0),MATCH(data!Z$1,Haver_M!$B$1:$ZN$1,0))),INDEX(Haver_M!$B$1:$ZN$1000,MATCH(data!$A220,Haver_M!$B$1:$B$1000,0),MATCH(data!Z$1,Haver_M!$B$1:$ZN$1,0)),"na")</f>
        <v>114.0245</v>
      </c>
      <c r="AA220">
        <f>IF(ISNUMBER(INDEX(Haver_M!$B$1:$ZN$1000,MATCH(data!$A220,Haver_M!$B$1:$B$1000,0),MATCH(data!AA$1,Haver_M!$B$1:$ZN$1,0))),INDEX(Haver_M!$B$1:$ZN$1000,MATCH(data!$A220,Haver_M!$B$1:$B$1000,0),MATCH(data!AA$1,Haver_M!$B$1:$ZN$1,0)),"na")</f>
        <v>111.25839999999999</v>
      </c>
      <c r="AB220">
        <f>IF(ISNUMBER(INDEX(Haver_M!$B$1:$ZN$1000,MATCH(data!$A220,Haver_M!$B$1:$B$1000,0),MATCH(data!AB$1,Haver_M!$B$1:$ZN$1,0))),INDEX(Haver_M!$B$1:$ZN$1000,MATCH(data!$A220,Haver_M!$B$1:$B$1000,0),MATCH(data!AB$1,Haver_M!$B$1:$ZN$1,0)),"na")</f>
        <v>38333.5</v>
      </c>
      <c r="AC220">
        <f>IF(ISNUMBER(INDEX(Haver_M!$B$1:$ZN$1000,MATCH(data!$A220,Haver_M!$B$1:$B$1000,0),MATCH(data!AC$1,Haver_M!$B$1:$ZN$1,0))),INDEX(Haver_M!$B$1:$ZN$1000,MATCH(data!$A220,Haver_M!$B$1:$B$1000,0),MATCH(data!AC$1,Haver_M!$B$1:$ZN$1,0)),"na")</f>
        <v>38894.800000000003</v>
      </c>
      <c r="AD220">
        <f>IF(ISNUMBER(INDEX(Haver_M!$B$1:$ZN$1000,MATCH(data!$A220,Haver_M!$B$1:$B$1000,0),MATCH(data!AD$1,Haver_M!$B$1:$ZN$1,0))),INDEX(Haver_M!$B$1:$ZN$1000,MATCH(data!$A220,Haver_M!$B$1:$B$1000,0),MATCH(data!AD$1,Haver_M!$B$1:$ZN$1,0)),"na")</f>
        <v>100.54</v>
      </c>
      <c r="AE220">
        <f>IF(ISNUMBER(INDEX(Haver_M!$B$1:$ZN$1000,MATCH(data!$A220,Haver_M!$B$1:$B$1000,0),MATCH(data!AE$1,Haver_M!$B$1:$ZN$1,0))),INDEX(Haver_M!$B$1:$ZN$1000,MATCH(data!$A220,Haver_M!$B$1:$B$1000,0),MATCH(data!AE$1,Haver_M!$B$1:$ZN$1,0)),"na")</f>
        <v>34.799999999999997</v>
      </c>
      <c r="AF220">
        <f>IF(ISNUMBER(INDEX(Haver_M!$B$1:$ZN$1000,MATCH(data!$A220,Haver_M!$B$1:$B$1000,0),MATCH(data!AF$1,Haver_M!$B$1:$ZN$1,0))),INDEX(Haver_M!$B$1:$ZN$1000,MATCH(data!$A220,Haver_M!$B$1:$B$1000,0),MATCH(data!AF$1,Haver_M!$B$1:$ZN$1,0)),"na")</f>
        <v>100.51</v>
      </c>
      <c r="AG220">
        <f>IF(ISNUMBER(INDEX(Haver_M!$B$1:$ZN$1000,MATCH(data!$A220,Haver_M!$B$1:$B$1000,0),MATCH(data!AG$1,Haver_M!$B$1:$ZN$1,0))),INDEX(Haver_M!$B$1:$ZN$1000,MATCH(data!$A220,Haver_M!$B$1:$B$1000,0),MATCH(data!AG$1,Haver_M!$B$1:$ZN$1,0)),"na")</f>
        <v>52.420200000000001</v>
      </c>
      <c r="AH220">
        <f>IF(ISNUMBER(INDEX(Haver_M!$B$1:$ZN$1000,MATCH(data!$A220,Haver_M!$B$1:$B$1000,0),MATCH(data!AH$1,Haver_M!$B$1:$ZN$1,0))),INDEX(Haver_M!$B$1:$ZN$1000,MATCH(data!$A220,Haver_M!$B$1:$B$1000,0),MATCH(data!AH$1,Haver_M!$B$1:$ZN$1,0)),"na")</f>
        <v>51.688200000000002</v>
      </c>
      <c r="AI220">
        <f>IF(ISNUMBER(INDEX(Haver_M!$B$1:$ZN$1000,MATCH(data!$A220,Haver_M!$B$1:$B$1000,0),MATCH(data!AI$1,Haver_M!$B$1:$ZN$1,0))),INDEX(Haver_M!$B$1:$ZN$1000,MATCH(data!$A220,Haver_M!$B$1:$B$1000,0),MATCH(data!AI$1,Haver_M!$B$1:$ZN$1,0)),"na")</f>
        <v>53.894399999999997</v>
      </c>
      <c r="AJ220">
        <f>IF(ISNUMBER(INDEX(Haver_M!$B$1:$ZN$1000,MATCH(data!$A220,Haver_M!$B$1:$B$1000,0),MATCH(data!AJ$1,Haver_M!$B$1:$ZN$1,0))),INDEX(Haver_M!$B$1:$ZN$1000,MATCH(data!$A220,Haver_M!$B$1:$B$1000,0),MATCH(data!AJ$1,Haver_M!$B$1:$ZN$1,0)),"na")</f>
        <v>52.445399999999999</v>
      </c>
      <c r="AK220">
        <f>IF(ISNUMBER(INDEX(Haver_M!$B$1:$ZN$1000,MATCH(data!$A220,Haver_M!$B$1:$B$1000,0),MATCH(data!AK$1,Haver_M!$B$1:$ZN$1,0))),INDEX(Haver_M!$B$1:$ZN$1000,MATCH(data!$A220,Haver_M!$B$1:$B$1000,0),MATCH(data!AK$1,Haver_M!$B$1:$ZN$1,0)),"na")</f>
        <v>48.780700000000003</v>
      </c>
      <c r="AL220">
        <f>IF(ISNUMBER(INDEX(Haver_M!$B$1:$ZN$1000,MATCH(data!$A220,Haver_M!$B$1:$B$1000,0),MATCH(data!AL$1,Haver_M!$B$1:$ZN$1,0))),INDEX(Haver_M!$B$1:$ZN$1000,MATCH(data!$A220,Haver_M!$B$1:$B$1000,0),MATCH(data!AL$1,Haver_M!$B$1:$ZN$1,0)),"na")</f>
        <v>51.578899999999997</v>
      </c>
      <c r="AM220">
        <f>IF(ISNUMBER(INDEX(Haver_M!$B$1:$ZN$1000,MATCH(data!$A220,Haver_M!$B$1:$B$1000,0),MATCH(data!AM$1,Haver_M!$B$1:$ZN$1,0))),INDEX(Haver_M!$B$1:$ZN$1000,MATCH(data!$A220,Haver_M!$B$1:$B$1000,0),MATCH(data!AM$1,Haver_M!$B$1:$ZN$1,0)),"na")</f>
        <v>59.966500000000003</v>
      </c>
      <c r="AN220">
        <f>IF(ISNUMBER(INDEX(Haver_M!$B$1:$ZN$1000,MATCH(data!$A220,Haver_M!$B$1:$B$1000,0),MATCH(data!AN$1,Haver_M!$B$1:$ZN$1,0))),INDEX(Haver_M!$B$1:$ZN$1000,MATCH(data!$A220,Haver_M!$B$1:$B$1000,0),MATCH(data!AN$1,Haver_M!$B$1:$ZN$1,0)),"na")</f>
        <v>50.950299999999999</v>
      </c>
      <c r="AO220">
        <f>IF(ISNUMBER(INDEX(Haver_M!$B$1:$ZN$1000,MATCH(data!$A220,Haver_M!$B$1:$B$1000,0),MATCH(data!AO$1,Haver_M!$B$1:$ZN$1,0))),INDEX(Haver_M!$B$1:$ZN$1000,MATCH(data!$A220,Haver_M!$B$1:$B$1000,0),MATCH(data!AO$1,Haver_M!$B$1:$ZN$1,0)),"na")</f>
        <v>51.578899999999997</v>
      </c>
      <c r="AP220">
        <f>IF(ISNUMBER(INDEX(Haver_M!$B$1:$ZN$1000,MATCH(data!$A220,Haver_M!$B$1:$B$1000,0),MATCH(data!AP$1,Haver_M!$B$1:$ZN$1,0))),INDEX(Haver_M!$B$1:$ZN$1000,MATCH(data!$A220,Haver_M!$B$1:$B$1000,0),MATCH(data!AP$1,Haver_M!$B$1:$ZN$1,0)),"na")</f>
        <v>51.509500000000003</v>
      </c>
      <c r="AQ220">
        <f>IF(ISNUMBER(INDEX(Haver_M!$B$1:$ZN$1000,MATCH(data!$A220,Haver_M!$B$1:$B$1000,0),MATCH(data!AQ$1,Haver_M!$B$1:$ZN$1,0))),INDEX(Haver_M!$B$1:$ZN$1000,MATCH(data!$A220,Haver_M!$B$1:$B$1000,0),MATCH(data!AQ$1,Haver_M!$B$1:$ZN$1,0)),"na")</f>
        <v>53.317900000000002</v>
      </c>
      <c r="AR220">
        <f>IF(ISNUMBER(INDEX(Haver_M!$B$1:$ZN$1000,MATCH(data!$A220,Haver_M!$B$1:$B$1000,0),MATCH(data!AR$1,Haver_M!$B$1:$ZN$1,0))),INDEX(Haver_M!$B$1:$ZN$1000,MATCH(data!$A220,Haver_M!$B$1:$B$1000,0),MATCH(data!AR$1,Haver_M!$B$1:$ZN$1,0)),"na")</f>
        <v>48.194200000000002</v>
      </c>
      <c r="AS220">
        <f>IF(ISNUMBER(INDEX(Haver_M!$B$1:$ZN$1000,MATCH(data!$A220,Haver_M!$B$1:$B$1000,0),MATCH(data!AS$1,Haver_M!$B$1:$ZN$1,0))),INDEX(Haver_M!$B$1:$ZN$1000,MATCH(data!$A220,Haver_M!$B$1:$B$1000,0),MATCH(data!AS$1,Haver_M!$B$1:$ZN$1,0)),"na")</f>
        <v>47586.49</v>
      </c>
      <c r="AT220">
        <f>IF(ISNUMBER(INDEX(Haver_M!$B$1:$ZN$1000,MATCH(data!$A220,Haver_M!$B$1:$B$1000,0),MATCH(data!AT$1,Haver_M!$B$1:$ZN$1,0))),INDEX(Haver_M!$B$1:$ZN$1000,MATCH(data!$A220,Haver_M!$B$1:$B$1000,0),MATCH(data!AT$1,Haver_M!$B$1:$ZN$1,0)),"na")</f>
        <v>117.723</v>
      </c>
      <c r="AU220">
        <f>IF(ISNUMBER(INDEX(Haver_M!$B$1:$ZN$1000,MATCH(data!$A220,Haver_M!$B$1:$B$1000,0),MATCH(data!AU$1,Haver_M!$B$1:$ZN$1,0))),INDEX(Haver_M!$B$1:$ZN$1000,MATCH(data!$A220,Haver_M!$B$1:$B$1000,0),MATCH(data!AU$1,Haver_M!$B$1:$ZN$1,0)),"na")</f>
        <v>113.597145</v>
      </c>
      <c r="AV220">
        <f>IF(ISNUMBER(INDEX(Haver_M!$B$1:$ZN$1000,MATCH(data!$A220,Haver_M!$B$1:$B$1000,0),MATCH(data!AV$1,Haver_M!$B$1:$ZN$1,0))),INDEX(Haver_M!$B$1:$ZN$1000,MATCH(data!$A220,Haver_M!$B$1:$B$1000,0),MATCH(data!AV$1,Haver_M!$B$1:$ZN$1,0)),"na")</f>
        <v>111.4</v>
      </c>
      <c r="AW220">
        <f>IF(ISNUMBER(INDEX(Haver_M!$B$1:$ZN$1000,MATCH(data!$A220,Haver_M!$B$1:$B$1000,0),MATCH(data!AW$1,Haver_M!$B$1:$ZN$1,0))),INDEX(Haver_M!$B$1:$ZN$1000,MATCH(data!$A220,Haver_M!$B$1:$B$1000,0),MATCH(data!AW$1,Haver_M!$B$1:$ZN$1,0)),"na")</f>
        <v>1957258.4340290055</v>
      </c>
      <c r="AX220">
        <f>IF(ISNUMBER(INDEX(Haver_M!$B$1:$ZN$1000,MATCH(data!$A220,Haver_M!$B$1:$B$1000,0),MATCH(data!AX$1,Haver_M!$B$1:$ZN$1,0))),INDEX(Haver_M!$B$1:$ZN$1000,MATCH(data!$A220,Haver_M!$B$1:$B$1000,0),MATCH(data!AX$1,Haver_M!$B$1:$ZN$1,0)),"na")</f>
        <v>1849</v>
      </c>
      <c r="AY220">
        <f>IF(ISNUMBER(INDEX(Haver_M!$B$1:$ZN$1000,MATCH(data!$A220,Haver_M!$B$1:$B$1000,0),MATCH(data!AY$1,Haver_M!$B$1:$ZN$1,0))),INDEX(Haver_M!$B$1:$ZN$1000,MATCH(data!$A220,Haver_M!$B$1:$B$1000,0),MATCH(data!AY$1,Haver_M!$B$1:$ZN$1,0)),"na")</f>
        <v>1176</v>
      </c>
      <c r="AZ220">
        <f>IF(ISNUMBER(INDEX(Haver_M!$B$1:$ZN$1000,MATCH(data!$A220,Haver_M!$B$1:$B$1000,0),MATCH(data!AZ$1,Haver_M!$B$1:$ZN$1,0))),INDEX(Haver_M!$B$1:$ZN$1000,MATCH(data!$A220,Haver_M!$B$1:$B$1000,0),MATCH(data!AZ$1,Haver_M!$B$1:$ZN$1,0)),"na")</f>
        <v>54.6</v>
      </c>
      <c r="BA220">
        <f>IF(ISNUMBER(INDEX(Haver_M!$B$1:$ZN$1000,MATCH(data!$A220,Haver_M!$B$1:$B$1000,0),MATCH(data!BA$1,Haver_M!$B$1:$ZN$1,0))),INDEX(Haver_M!$B$1:$ZN$1000,MATCH(data!$A220,Haver_M!$B$1:$B$1000,0),MATCH(data!BA$1,Haver_M!$B$1:$ZN$1,0)),"na")</f>
        <v>48.048861133756311</v>
      </c>
      <c r="BB220" t="str">
        <f>IF(ISNUMBER(INDEX(Haver_M!$B$1:$ZN$1000,MATCH(data!$A220,Haver_M!$B$1:$B$1000,0),MATCH(data!BB$1,Haver_M!$B$1:$ZN$1,0))),INDEX(Haver_M!$B$1:$ZN$1000,MATCH(data!$A220,Haver_M!$B$1:$B$1000,0),MATCH(data!BB$1,Haver_M!$B$1:$ZN$1,0)),"")</f>
        <v/>
      </c>
    </row>
    <row r="221" spans="1:54" x14ac:dyDescent="0.25">
      <c r="A221" s="2">
        <v>43220</v>
      </c>
      <c r="B221" t="str">
        <f>IF(ISNUMBER(INDEX(Haver_Q!$B$1:$BD$1000,MATCH(data!$A221,Haver_Q!$B$1:$B$1000,0),MATCH(data!B$1,Haver_Q!$B$1:$BD$1,0))),100*INDEX(Haver_Q!$B$1:$BD$1000,MATCH(data!$A221,Haver_Q!$B$1:$B$1000,0),MATCH(data!B$1,Haver_Q!$B$1:$BD$1,0)),"na")</f>
        <v>na</v>
      </c>
      <c r="C221" t="str">
        <f>IF(ISNUMBER(INDEX(Haver_Q!$B$1:$BD$1000,MATCH(data!$A221,Haver_Q!$B$1:$B$1000,0),MATCH(data!C$1,Haver_Q!$B$1:$BD$1,0))),100*INDEX(Haver_Q!$B$1:$BD$1000,MATCH(data!$A221,Haver_Q!$B$1:$B$1000,0),MATCH(data!C$1,Haver_Q!$B$1:$BD$1,0)),"na")</f>
        <v>na</v>
      </c>
      <c r="D221" t="str">
        <f>IF(ISNUMBER(INDEX(Haver_Q!$B$1:$BD$1000,MATCH(data!$A221,Haver_Q!$B$1:$B$1000,0),MATCH(data!D$1,Haver_Q!$B$1:$BD$1,0))),100*INDEX(Haver_Q!$B$1:$BD$1000,MATCH(data!$A221,Haver_Q!$B$1:$B$1000,0),MATCH(data!D$1,Haver_Q!$B$1:$BD$1,0)),"na")</f>
        <v>na</v>
      </c>
      <c r="E221" t="str">
        <f>IF(ISNUMBER(INDEX(Haver_Q!$B$1:$BD$1000,MATCH(data!$A221,Haver_Q!$B$1:$B$1000,0),MATCH(data!E$1,Haver_Q!$B$1:$BD$1,0))),100*INDEX(Haver_Q!$B$1:$BD$1000,MATCH(data!$A221,Haver_Q!$B$1:$B$1000,0),MATCH(data!E$1,Haver_Q!$B$1:$BD$1,0)),"na")</f>
        <v>na</v>
      </c>
      <c r="F221" t="str">
        <f>IF(ISNUMBER(INDEX(Haver_Q!$B$1:$BD$1000,MATCH(data!$A221,Haver_Q!$B$1:$B$1000,0),MATCH(data!F$1,Haver_Q!$B$1:$BD$1,0))),100*INDEX(Haver_Q!$B$1:$BD$1000,MATCH(data!$A221,Haver_Q!$B$1:$B$1000,0),MATCH(data!F$1,Haver_Q!$B$1:$BD$1,0)),"na")</f>
        <v>na</v>
      </c>
      <c r="G221" t="str">
        <f>IF(ISNUMBER(INDEX(Haver_Q!$B$1:$BD$1000,MATCH(data!$A221,Haver_Q!$B$1:$B$1000,0),MATCH(data!G$1,Haver_Q!$B$1:$BD$1,0))),100*INDEX(Haver_Q!$B$1:$BD$1000,MATCH(data!$A221,Haver_Q!$B$1:$B$1000,0),MATCH(data!G$1,Haver_Q!$B$1:$BD$1,0)),"na")</f>
        <v>na</v>
      </c>
      <c r="H221" t="str">
        <f>IF(ISNUMBER(INDEX(Haver_Q!$B$1:$BD$1000,MATCH(data!$A221,Haver_Q!$B$1:$B$1000,0),MATCH(data!H$1,Haver_Q!$B$1:$BD$1,0))),100*INDEX(Haver_Q!$B$1:$BD$1000,MATCH(data!$A221,Haver_Q!$B$1:$B$1000,0),MATCH(data!H$1,Haver_Q!$B$1:$BD$1,0)),"na")</f>
        <v>na</v>
      </c>
      <c r="I221" s="3">
        <f>IF(ISNUMBER(Bloomberg_m!C237),Bloomberg_m!C237,"na")</f>
        <v>1129</v>
      </c>
      <c r="J221" s="3">
        <f>IF(ISNUMBER(Bloomberg_m!D237),Bloomberg_m!D237,"na")</f>
        <v>1186.67</v>
      </c>
      <c r="K221" s="3">
        <f>IF(ISNUMBER(Bloomberg_m!E237),Bloomberg_m!E237,"na")</f>
        <v>687.29</v>
      </c>
      <c r="L221" s="3">
        <f>IF(ISNUMBER(Bloomberg_m!L237),Bloomberg_m!L237,"na")</f>
        <v>66.319999999999993</v>
      </c>
      <c r="M221">
        <f>IF(ISNUMBER(INDEX(Haver_M!$B$1:$ZN$1000,MATCH(data!$A221,Haver_M!$B$1:$B$1000,0),MATCH(data!M$1,Haver_M!$B$1:$ZN$1,0))),INDEX(Haver_M!$B$1:$ZN$1000,MATCH(data!$A221,Haver_M!$B$1:$B$1000,0),MATCH(data!M$1,Haver_M!$B$1:$ZN$1,0)),"na")</f>
        <v>7.5</v>
      </c>
      <c r="N221">
        <f>IF(ISNUMBER(INDEX(Haver_M!$B$1:$ZN$1000,MATCH(data!$A221,Haver_M!$B$1:$B$1000,0),MATCH(data!N$1,Haver_M!$B$1:$ZN$1,0))),INDEX(Haver_M!$B$1:$ZN$1000,MATCH(data!$A221,Haver_M!$B$1:$B$1000,0),MATCH(data!N$1,Haver_M!$B$1:$ZN$1,0)),"na")</f>
        <v>7.3917999999999999</v>
      </c>
      <c r="O221">
        <f>IF(ISNUMBER(INDEX(Haver_M!$B$1:$ZN$1000,MATCH(data!$A221,Haver_M!$B$1:$B$1000,0),MATCH(data!O$1,Haver_M!$B$1:$ZN$1,0))),INDEX(Haver_M!$B$1:$ZN$1000,MATCH(data!$A221,Haver_M!$B$1:$B$1000,0),MATCH(data!O$1,Haver_M!$B$1:$ZN$1,0)),"na")</f>
        <v>82.494560000000007</v>
      </c>
      <c r="P221">
        <f>IF(ISNUMBER(INDEX(Haver_M!$B$1:$ZN$1000,MATCH(data!$A221,Haver_M!$B$1:$B$1000,0),MATCH(data!P$1,Haver_M!$B$1:$ZN$1,0))),INDEX(Haver_M!$B$1:$ZN$1000,MATCH(data!$A221,Haver_M!$B$1:$B$1000,0),MATCH(data!P$1,Haver_M!$B$1:$ZN$1,0)),"na")</f>
        <v>99.019000000000005</v>
      </c>
      <c r="Q221">
        <f>IF(ISNUMBER(INDEX(Haver_M!$B$1:$ZN$1000,MATCH(data!$A221,Haver_M!$B$1:$B$1000,0),MATCH(data!Q$1,Haver_M!$B$1:$ZN$1,0))),INDEX(Haver_M!$B$1:$ZN$1000,MATCH(data!$A221,Haver_M!$B$1:$B$1000,0),MATCH(data!Q$1,Haver_M!$B$1:$ZN$1,0)),"na")</f>
        <v>99.072800000000001</v>
      </c>
      <c r="R221">
        <f>IF(ISNUMBER(INDEX(Haver_M!$B$1:$ZN$1000,MATCH(data!$A221,Haver_M!$B$1:$B$1000,0),MATCH(data!R$1,Haver_M!$B$1:$ZN$1,0))),INDEX(Haver_M!$B$1:$ZN$1000,MATCH(data!$A221,Haver_M!$B$1:$B$1000,0),MATCH(data!R$1,Haver_M!$B$1:$ZN$1,0)),"na")</f>
        <v>104.8156</v>
      </c>
      <c r="S221">
        <f>IF(ISNUMBER(INDEX(Haver_M!$B$1:$ZN$1000,MATCH(data!$A221,Haver_M!$B$1:$B$1000,0),MATCH(data!S$1,Haver_M!$B$1:$ZN$1,0))),INDEX(Haver_M!$B$1:$ZN$1000,MATCH(data!$A221,Haver_M!$B$1:$B$1000,0),MATCH(data!S$1,Haver_M!$B$1:$ZN$1,0)),"na")</f>
        <v>79.599199999999996</v>
      </c>
      <c r="T221">
        <f>IF(ISNUMBER(INDEX(Haver_M!$B$1:$ZN$1000,MATCH(data!$A221,Haver_M!$B$1:$B$1000,0),MATCH(data!T$1,Haver_M!$B$1:$ZN$1,0))),INDEX(Haver_M!$B$1:$ZN$1000,MATCH(data!$A221,Haver_M!$B$1:$B$1000,0),MATCH(data!T$1,Haver_M!$B$1:$ZN$1,0)),"na")</f>
        <v>119.2701</v>
      </c>
      <c r="U221">
        <f>IF(ISNUMBER(INDEX(Haver_M!$B$1:$ZN$1000,MATCH(data!$A221,Haver_M!$B$1:$B$1000,0),MATCH(data!U$1,Haver_M!$B$1:$ZN$1,0))),INDEX(Haver_M!$B$1:$ZN$1000,MATCH(data!$A221,Haver_M!$B$1:$B$1000,0),MATCH(data!U$1,Haver_M!$B$1:$ZN$1,0)),"na")</f>
        <v>108.02760000000001</v>
      </c>
      <c r="V221">
        <f>IF(ISNUMBER(INDEX(Haver_M!$B$1:$ZN$1000,MATCH(data!$A221,Haver_M!$B$1:$B$1000,0),MATCH(data!V$1,Haver_M!$B$1:$ZN$1,0))),INDEX(Haver_M!$B$1:$ZN$1000,MATCH(data!$A221,Haver_M!$B$1:$B$1000,0),MATCH(data!V$1,Haver_M!$B$1:$ZN$1,0)),"na")</f>
        <v>112.2873</v>
      </c>
      <c r="W221">
        <f>IF(ISNUMBER(INDEX(Haver_M!$B$1:$ZN$1000,MATCH(data!$A221,Haver_M!$B$1:$B$1000,0),MATCH(data!W$1,Haver_M!$B$1:$ZN$1,0))),INDEX(Haver_M!$B$1:$ZN$1000,MATCH(data!$A221,Haver_M!$B$1:$B$1000,0),MATCH(data!W$1,Haver_M!$B$1:$ZN$1,0)),"na")</f>
        <v>3.45</v>
      </c>
      <c r="X221">
        <f>IF(ISNUMBER(INDEX(Haver_M!$B$1:$ZN$1000,MATCH(data!$A221,Haver_M!$B$1:$B$1000,0),MATCH(data!X$1,Haver_M!$B$1:$ZN$1,0))),INDEX(Haver_M!$B$1:$ZN$1000,MATCH(data!$A221,Haver_M!$B$1:$B$1000,0),MATCH(data!X$1,Haver_M!$B$1:$ZN$1,0)),"na")</f>
        <v>104.84</v>
      </c>
      <c r="Y221">
        <f>IF(ISNUMBER(INDEX(Haver_M!$B$1:$ZN$1000,MATCH(data!$A221,Haver_M!$B$1:$B$1000,0),MATCH(data!Y$1,Haver_M!$B$1:$ZN$1,0))),INDEX(Haver_M!$B$1:$ZN$1000,MATCH(data!$A221,Haver_M!$B$1:$B$1000,0),MATCH(data!Y$1,Haver_M!$B$1:$ZN$1,0)),"na")</f>
        <v>100.38</v>
      </c>
      <c r="Z221">
        <f>IF(ISNUMBER(INDEX(Haver_M!$B$1:$ZN$1000,MATCH(data!$A221,Haver_M!$B$1:$B$1000,0),MATCH(data!Z$1,Haver_M!$B$1:$ZN$1,0))),INDEX(Haver_M!$B$1:$ZN$1000,MATCH(data!$A221,Haver_M!$B$1:$B$1000,0),MATCH(data!Z$1,Haver_M!$B$1:$ZN$1,0)),"na")</f>
        <v>112.7895</v>
      </c>
      <c r="AA221">
        <f>IF(ISNUMBER(INDEX(Haver_M!$B$1:$ZN$1000,MATCH(data!$A221,Haver_M!$B$1:$B$1000,0),MATCH(data!AA$1,Haver_M!$B$1:$ZN$1,0))),INDEX(Haver_M!$B$1:$ZN$1000,MATCH(data!$A221,Haver_M!$B$1:$B$1000,0),MATCH(data!AA$1,Haver_M!$B$1:$ZN$1,0)),"na")</f>
        <v>110.37</v>
      </c>
      <c r="AB221">
        <f>IF(ISNUMBER(INDEX(Haver_M!$B$1:$ZN$1000,MATCH(data!$A221,Haver_M!$B$1:$B$1000,0),MATCH(data!AB$1,Haver_M!$B$1:$ZN$1,0))),INDEX(Haver_M!$B$1:$ZN$1000,MATCH(data!$A221,Haver_M!$B$1:$B$1000,0),MATCH(data!AB$1,Haver_M!$B$1:$ZN$1,0)),"na")</f>
        <v>37433.699999999997</v>
      </c>
      <c r="AC221">
        <f>IF(ISNUMBER(INDEX(Haver_M!$B$1:$ZN$1000,MATCH(data!$A221,Haver_M!$B$1:$B$1000,0),MATCH(data!AC$1,Haver_M!$B$1:$ZN$1,0))),INDEX(Haver_M!$B$1:$ZN$1000,MATCH(data!$A221,Haver_M!$B$1:$B$1000,0),MATCH(data!AC$1,Haver_M!$B$1:$ZN$1,0)),"na")</f>
        <v>38064.300000000003</v>
      </c>
      <c r="AD221">
        <f>IF(ISNUMBER(INDEX(Haver_M!$B$1:$ZN$1000,MATCH(data!$A221,Haver_M!$B$1:$B$1000,0),MATCH(data!AD$1,Haver_M!$B$1:$ZN$1,0))),INDEX(Haver_M!$B$1:$ZN$1000,MATCH(data!$A221,Haver_M!$B$1:$B$1000,0),MATCH(data!AD$1,Haver_M!$B$1:$ZN$1,0)),"na")</f>
        <v>100.58</v>
      </c>
      <c r="AE221">
        <f>IF(ISNUMBER(INDEX(Haver_M!$B$1:$ZN$1000,MATCH(data!$A221,Haver_M!$B$1:$B$1000,0),MATCH(data!AE$1,Haver_M!$B$1:$ZN$1,0))),INDEX(Haver_M!$B$1:$ZN$1000,MATCH(data!$A221,Haver_M!$B$1:$B$1000,0),MATCH(data!AE$1,Haver_M!$B$1:$ZN$1,0)),"na")</f>
        <v>35.700000000000003</v>
      </c>
      <c r="AF221">
        <f>IF(ISNUMBER(INDEX(Haver_M!$B$1:$ZN$1000,MATCH(data!$A221,Haver_M!$B$1:$B$1000,0),MATCH(data!AF$1,Haver_M!$B$1:$ZN$1,0))),INDEX(Haver_M!$B$1:$ZN$1000,MATCH(data!$A221,Haver_M!$B$1:$B$1000,0),MATCH(data!AF$1,Haver_M!$B$1:$ZN$1,0)),"na")</f>
        <v>100.58</v>
      </c>
      <c r="AG221">
        <f>IF(ISNUMBER(INDEX(Haver_M!$B$1:$ZN$1000,MATCH(data!$A221,Haver_M!$B$1:$B$1000,0),MATCH(data!AG$1,Haver_M!$B$1:$ZN$1,0))),INDEX(Haver_M!$B$1:$ZN$1000,MATCH(data!$A221,Haver_M!$B$1:$B$1000,0),MATCH(data!AG$1,Haver_M!$B$1:$ZN$1,0)),"na")</f>
        <v>51.597200000000001</v>
      </c>
      <c r="AH221">
        <f>IF(ISNUMBER(INDEX(Haver_M!$B$1:$ZN$1000,MATCH(data!$A221,Haver_M!$B$1:$B$1000,0),MATCH(data!AH$1,Haver_M!$B$1:$ZN$1,0))),INDEX(Haver_M!$B$1:$ZN$1000,MATCH(data!$A221,Haver_M!$B$1:$B$1000,0),MATCH(data!AH$1,Haver_M!$B$1:$ZN$1,0)),"na")</f>
        <v>50.518999999999998</v>
      </c>
      <c r="AI221">
        <f>IF(ISNUMBER(INDEX(Haver_M!$B$1:$ZN$1000,MATCH(data!$A221,Haver_M!$B$1:$B$1000,0),MATCH(data!AI$1,Haver_M!$B$1:$ZN$1,0))),INDEX(Haver_M!$B$1:$ZN$1000,MATCH(data!$A221,Haver_M!$B$1:$B$1000,0),MATCH(data!AI$1,Haver_M!$B$1:$ZN$1,0)),"na")</f>
        <v>52.596400000000003</v>
      </c>
      <c r="AJ221">
        <f>IF(ISNUMBER(INDEX(Haver_M!$B$1:$ZN$1000,MATCH(data!$A221,Haver_M!$B$1:$B$1000,0),MATCH(data!AJ$1,Haver_M!$B$1:$ZN$1,0))),INDEX(Haver_M!$B$1:$ZN$1000,MATCH(data!$A221,Haver_M!$B$1:$B$1000,0),MATCH(data!AJ$1,Haver_M!$B$1:$ZN$1,0)),"na")</f>
        <v>52.847900000000003</v>
      </c>
      <c r="AK221">
        <f>IF(ISNUMBER(INDEX(Haver_M!$B$1:$ZN$1000,MATCH(data!$A221,Haver_M!$B$1:$B$1000,0),MATCH(data!AK$1,Haver_M!$B$1:$ZN$1,0))),INDEX(Haver_M!$B$1:$ZN$1000,MATCH(data!$A221,Haver_M!$B$1:$B$1000,0),MATCH(data!AK$1,Haver_M!$B$1:$ZN$1,0)),"na")</f>
        <v>49.0642</v>
      </c>
      <c r="AL221">
        <f>IF(ISNUMBER(INDEX(Haver_M!$B$1:$ZN$1000,MATCH(data!$A221,Haver_M!$B$1:$B$1000,0),MATCH(data!AL$1,Haver_M!$B$1:$ZN$1,0))),INDEX(Haver_M!$B$1:$ZN$1000,MATCH(data!$A221,Haver_M!$B$1:$B$1000,0),MATCH(data!AL$1,Haver_M!$B$1:$ZN$1,0)),"na")</f>
        <v>49.785699999999999</v>
      </c>
      <c r="AM221">
        <f>IF(ISNUMBER(INDEX(Haver_M!$B$1:$ZN$1000,MATCH(data!$A221,Haver_M!$B$1:$B$1000,0),MATCH(data!AM$1,Haver_M!$B$1:$ZN$1,0))),INDEX(Haver_M!$B$1:$ZN$1000,MATCH(data!$A221,Haver_M!$B$1:$B$1000,0),MATCH(data!AM$1,Haver_M!$B$1:$ZN$1,0)),"na")</f>
        <v>59.1967</v>
      </c>
      <c r="AN221">
        <f>IF(ISNUMBER(INDEX(Haver_M!$B$1:$ZN$1000,MATCH(data!$A221,Haver_M!$B$1:$B$1000,0),MATCH(data!AN$1,Haver_M!$B$1:$ZN$1,0))),INDEX(Haver_M!$B$1:$ZN$1000,MATCH(data!$A221,Haver_M!$B$1:$B$1000,0),MATCH(data!AN$1,Haver_M!$B$1:$ZN$1,0)),"na")</f>
        <v>51.203000000000003</v>
      </c>
      <c r="AO221">
        <f>IF(ISNUMBER(INDEX(Haver_M!$B$1:$ZN$1000,MATCH(data!$A221,Haver_M!$B$1:$B$1000,0),MATCH(data!AO$1,Haver_M!$B$1:$ZN$1,0))),INDEX(Haver_M!$B$1:$ZN$1000,MATCH(data!$A221,Haver_M!$B$1:$B$1000,0),MATCH(data!AO$1,Haver_M!$B$1:$ZN$1,0)),"na")</f>
        <v>49.785699999999999</v>
      </c>
      <c r="AP221">
        <f>IF(ISNUMBER(INDEX(Haver_M!$B$1:$ZN$1000,MATCH(data!$A221,Haver_M!$B$1:$B$1000,0),MATCH(data!AP$1,Haver_M!$B$1:$ZN$1,0))),INDEX(Haver_M!$B$1:$ZN$1000,MATCH(data!$A221,Haver_M!$B$1:$B$1000,0),MATCH(data!AP$1,Haver_M!$B$1:$ZN$1,0)),"na")</f>
        <v>51.571399999999997</v>
      </c>
      <c r="AQ221">
        <f>IF(ISNUMBER(INDEX(Haver_M!$B$1:$ZN$1000,MATCH(data!$A221,Haver_M!$B$1:$B$1000,0),MATCH(data!AQ$1,Haver_M!$B$1:$ZN$1,0))),INDEX(Haver_M!$B$1:$ZN$1000,MATCH(data!$A221,Haver_M!$B$1:$B$1000,0),MATCH(data!AQ$1,Haver_M!$B$1:$ZN$1,0)),"na")</f>
        <v>52.405000000000001</v>
      </c>
      <c r="AR221">
        <f>IF(ISNUMBER(INDEX(Haver_M!$B$1:$ZN$1000,MATCH(data!$A221,Haver_M!$B$1:$B$1000,0),MATCH(data!AR$1,Haver_M!$B$1:$ZN$1,0))),INDEX(Haver_M!$B$1:$ZN$1000,MATCH(data!$A221,Haver_M!$B$1:$B$1000,0),MATCH(data!AR$1,Haver_M!$B$1:$ZN$1,0)),"na")</f>
        <v>49.247</v>
      </c>
      <c r="AS221">
        <f>IF(ISNUMBER(INDEX(Haver_M!$B$1:$ZN$1000,MATCH(data!$A221,Haver_M!$B$1:$B$1000,0),MATCH(data!AS$1,Haver_M!$B$1:$ZN$1,0))),INDEX(Haver_M!$B$1:$ZN$1000,MATCH(data!$A221,Haver_M!$B$1:$B$1000,0),MATCH(data!AS$1,Haver_M!$B$1:$ZN$1,0)),"na")</f>
        <v>48163.94</v>
      </c>
      <c r="AT221">
        <f>IF(ISNUMBER(INDEX(Haver_M!$B$1:$ZN$1000,MATCH(data!$A221,Haver_M!$B$1:$B$1000,0),MATCH(data!AT$1,Haver_M!$B$1:$ZN$1,0))),INDEX(Haver_M!$B$1:$ZN$1000,MATCH(data!$A221,Haver_M!$B$1:$B$1000,0),MATCH(data!AT$1,Haver_M!$B$1:$ZN$1,0)),"na")</f>
        <v>115.925</v>
      </c>
      <c r="AU221">
        <f>IF(ISNUMBER(INDEX(Haver_M!$B$1:$ZN$1000,MATCH(data!$A221,Haver_M!$B$1:$B$1000,0),MATCH(data!AU$1,Haver_M!$B$1:$ZN$1,0))),INDEX(Haver_M!$B$1:$ZN$1000,MATCH(data!$A221,Haver_M!$B$1:$B$1000,0),MATCH(data!AU$1,Haver_M!$B$1:$ZN$1,0)),"na")</f>
        <v>112.833584</v>
      </c>
      <c r="AV221">
        <f>IF(ISNUMBER(INDEX(Haver_M!$B$1:$ZN$1000,MATCH(data!$A221,Haver_M!$B$1:$B$1000,0),MATCH(data!AV$1,Haver_M!$B$1:$ZN$1,0))),INDEX(Haver_M!$B$1:$ZN$1000,MATCH(data!$A221,Haver_M!$B$1:$B$1000,0),MATCH(data!AV$1,Haver_M!$B$1:$ZN$1,0)),"na")</f>
        <v>109.6</v>
      </c>
      <c r="AW221">
        <f>IF(ISNUMBER(INDEX(Haver_M!$B$1:$ZN$1000,MATCH(data!$A221,Haver_M!$B$1:$B$1000,0),MATCH(data!AW$1,Haver_M!$B$1:$ZN$1,0))),INDEX(Haver_M!$B$1:$ZN$1000,MATCH(data!$A221,Haver_M!$B$1:$B$1000,0),MATCH(data!AW$1,Haver_M!$B$1:$ZN$1,0)),"na")</f>
        <v>1792525.9353359211</v>
      </c>
      <c r="AX221">
        <f>IF(ISNUMBER(INDEX(Haver_M!$B$1:$ZN$1000,MATCH(data!$A221,Haver_M!$B$1:$B$1000,0),MATCH(data!AX$1,Haver_M!$B$1:$ZN$1,0))),INDEX(Haver_M!$B$1:$ZN$1000,MATCH(data!$A221,Haver_M!$B$1:$B$1000,0),MATCH(data!AX$1,Haver_M!$B$1:$ZN$1,0)),"na")</f>
        <v>1867</v>
      </c>
      <c r="AY221">
        <f>IF(ISNUMBER(INDEX(Haver_M!$B$1:$ZN$1000,MATCH(data!$A221,Haver_M!$B$1:$B$1000,0),MATCH(data!AY$1,Haver_M!$B$1:$ZN$1,0))),INDEX(Haver_M!$B$1:$ZN$1000,MATCH(data!$A221,Haver_M!$B$1:$B$1000,0),MATCH(data!AY$1,Haver_M!$B$1:$ZN$1,0)),"na")</f>
        <v>1265</v>
      </c>
      <c r="AZ221">
        <f>IF(ISNUMBER(INDEX(Haver_M!$B$1:$ZN$1000,MATCH(data!$A221,Haver_M!$B$1:$B$1000,0),MATCH(data!AZ$1,Haver_M!$B$1:$ZN$1,0))),INDEX(Haver_M!$B$1:$ZN$1000,MATCH(data!$A221,Haver_M!$B$1:$B$1000,0),MATCH(data!AZ$1,Haver_M!$B$1:$ZN$1,0)),"na")</f>
        <v>52.4</v>
      </c>
      <c r="BA221">
        <f>IF(ISNUMBER(INDEX(Haver_M!$B$1:$ZN$1000,MATCH(data!$A221,Haver_M!$B$1:$B$1000,0),MATCH(data!BA$1,Haver_M!$B$1:$ZN$1,0))),INDEX(Haver_M!$B$1:$ZN$1000,MATCH(data!$A221,Haver_M!$B$1:$B$1000,0),MATCH(data!BA$1,Haver_M!$B$1:$ZN$1,0)),"na")</f>
        <v>72.947234057880323</v>
      </c>
      <c r="BB221" t="str">
        <f>IF(ISNUMBER(INDEX(Haver_M!$B$1:$ZN$1000,MATCH(data!$A221,Haver_M!$B$1:$B$1000,0),MATCH(data!BB$1,Haver_M!$B$1:$ZN$1,0))),INDEX(Haver_M!$B$1:$ZN$1000,MATCH(data!$A221,Haver_M!$B$1:$B$1000,0),MATCH(data!BB$1,Haver_M!$B$1:$ZN$1,0)),"")</f>
        <v/>
      </c>
    </row>
    <row r="222" spans="1:54" x14ac:dyDescent="0.25">
      <c r="A222" s="2">
        <v>43251</v>
      </c>
      <c r="B222" t="str">
        <f>IF(ISNUMBER(INDEX(Haver_Q!$B$1:$BD$1000,MATCH(data!$A222,Haver_Q!$B$1:$B$1000,0),MATCH(data!B$1,Haver_Q!$B$1:$BD$1,0))),100*INDEX(Haver_Q!$B$1:$BD$1000,MATCH(data!$A222,Haver_Q!$B$1:$B$1000,0),MATCH(data!B$1,Haver_Q!$B$1:$BD$1,0)),"na")</f>
        <v>na</v>
      </c>
      <c r="C222" t="str">
        <f>IF(ISNUMBER(INDEX(Haver_Q!$B$1:$BD$1000,MATCH(data!$A222,Haver_Q!$B$1:$B$1000,0),MATCH(data!C$1,Haver_Q!$B$1:$BD$1,0))),100*INDEX(Haver_Q!$B$1:$BD$1000,MATCH(data!$A222,Haver_Q!$B$1:$B$1000,0),MATCH(data!C$1,Haver_Q!$B$1:$BD$1,0)),"na")</f>
        <v>na</v>
      </c>
      <c r="D222" t="str">
        <f>IF(ISNUMBER(INDEX(Haver_Q!$B$1:$BD$1000,MATCH(data!$A222,Haver_Q!$B$1:$B$1000,0),MATCH(data!D$1,Haver_Q!$B$1:$BD$1,0))),100*INDEX(Haver_Q!$B$1:$BD$1000,MATCH(data!$A222,Haver_Q!$B$1:$B$1000,0),MATCH(data!D$1,Haver_Q!$B$1:$BD$1,0)),"na")</f>
        <v>na</v>
      </c>
      <c r="E222" t="str">
        <f>IF(ISNUMBER(INDEX(Haver_Q!$B$1:$BD$1000,MATCH(data!$A222,Haver_Q!$B$1:$B$1000,0),MATCH(data!E$1,Haver_Q!$B$1:$BD$1,0))),100*INDEX(Haver_Q!$B$1:$BD$1000,MATCH(data!$A222,Haver_Q!$B$1:$B$1000,0),MATCH(data!E$1,Haver_Q!$B$1:$BD$1,0)),"na")</f>
        <v>na</v>
      </c>
      <c r="F222" t="str">
        <f>IF(ISNUMBER(INDEX(Haver_Q!$B$1:$BD$1000,MATCH(data!$A222,Haver_Q!$B$1:$B$1000,0),MATCH(data!F$1,Haver_Q!$B$1:$BD$1,0))),100*INDEX(Haver_Q!$B$1:$BD$1000,MATCH(data!$A222,Haver_Q!$B$1:$B$1000,0),MATCH(data!F$1,Haver_Q!$B$1:$BD$1,0)),"na")</f>
        <v>na</v>
      </c>
      <c r="G222" t="str">
        <f>IF(ISNUMBER(INDEX(Haver_Q!$B$1:$BD$1000,MATCH(data!$A222,Haver_Q!$B$1:$B$1000,0),MATCH(data!G$1,Haver_Q!$B$1:$BD$1,0))),100*INDEX(Haver_Q!$B$1:$BD$1000,MATCH(data!$A222,Haver_Q!$B$1:$B$1000,0),MATCH(data!G$1,Haver_Q!$B$1:$BD$1,0)),"na")</f>
        <v>na</v>
      </c>
      <c r="H222" t="str">
        <f>IF(ISNUMBER(INDEX(Haver_Q!$B$1:$BD$1000,MATCH(data!$A222,Haver_Q!$B$1:$B$1000,0),MATCH(data!H$1,Haver_Q!$B$1:$BD$1,0))),100*INDEX(Haver_Q!$B$1:$BD$1000,MATCH(data!$A222,Haver_Q!$B$1:$B$1000,0),MATCH(data!H$1,Haver_Q!$B$1:$BD$1,0)),"na")</f>
        <v>na</v>
      </c>
      <c r="I222" s="3">
        <f>IF(ISNUMBER(Bloomberg_m!C238),Bloomberg_m!C238,"na")</f>
        <v>1293</v>
      </c>
      <c r="J222" s="3">
        <f>IF(ISNUMBER(Bloomberg_m!D238),Bloomberg_m!D238,"na")</f>
        <v>1380.73</v>
      </c>
      <c r="K222" s="3">
        <f>IF(ISNUMBER(Bloomberg_m!E238),Bloomberg_m!E238,"na")</f>
        <v>768.47</v>
      </c>
      <c r="L222" s="3">
        <f>IF(ISNUMBER(Bloomberg_m!L238),Bloomberg_m!L238,"na")</f>
        <v>69.98</v>
      </c>
      <c r="M222">
        <f>IF(ISNUMBER(INDEX(Haver_M!$B$1:$ZN$1000,MATCH(data!$A222,Haver_M!$B$1:$B$1000,0),MATCH(data!M$1,Haver_M!$B$1:$ZN$1,0))),INDEX(Haver_M!$B$1:$ZN$1000,MATCH(data!$A222,Haver_M!$B$1:$B$1000,0),MATCH(data!M$1,Haver_M!$B$1:$ZN$1,0)),"na")</f>
        <v>7.5</v>
      </c>
      <c r="N222">
        <f>IF(ISNUMBER(INDEX(Haver_M!$B$1:$ZN$1000,MATCH(data!$A222,Haver_M!$B$1:$B$1000,0),MATCH(data!N$1,Haver_M!$B$1:$ZN$1,0))),INDEX(Haver_M!$B$1:$ZN$1000,MATCH(data!$A222,Haver_M!$B$1:$B$1000,0),MATCH(data!N$1,Haver_M!$B$1:$ZN$1,0)),"na")</f>
        <v>7.6768999999999998</v>
      </c>
      <c r="O222">
        <f>IF(ISNUMBER(INDEX(Haver_M!$B$1:$ZN$1000,MATCH(data!$A222,Haver_M!$B$1:$B$1000,0),MATCH(data!O$1,Haver_M!$B$1:$ZN$1,0))),INDEX(Haver_M!$B$1:$ZN$1000,MATCH(data!$A222,Haver_M!$B$1:$B$1000,0),MATCH(data!O$1,Haver_M!$B$1:$ZN$1,0)),"na")</f>
        <v>78.274000000000001</v>
      </c>
      <c r="P222">
        <f>IF(ISNUMBER(INDEX(Haver_M!$B$1:$ZN$1000,MATCH(data!$A222,Haver_M!$B$1:$B$1000,0),MATCH(data!P$1,Haver_M!$B$1:$ZN$1,0))),INDEX(Haver_M!$B$1:$ZN$1000,MATCH(data!$A222,Haver_M!$B$1:$B$1000,0),MATCH(data!P$1,Haver_M!$B$1:$ZN$1,0)),"na")</f>
        <v>99.3964</v>
      </c>
      <c r="Q222">
        <f>IF(ISNUMBER(INDEX(Haver_M!$B$1:$ZN$1000,MATCH(data!$A222,Haver_M!$B$1:$B$1000,0),MATCH(data!Q$1,Haver_M!$B$1:$ZN$1,0))),INDEX(Haver_M!$B$1:$ZN$1000,MATCH(data!$A222,Haver_M!$B$1:$B$1000,0),MATCH(data!Q$1,Haver_M!$B$1:$ZN$1,0)),"na")</f>
        <v>99.367400000000004</v>
      </c>
      <c r="R222">
        <f>IF(ISNUMBER(INDEX(Haver_M!$B$1:$ZN$1000,MATCH(data!$A222,Haver_M!$B$1:$B$1000,0),MATCH(data!R$1,Haver_M!$B$1:$ZN$1,0))),INDEX(Haver_M!$B$1:$ZN$1000,MATCH(data!$A222,Haver_M!$B$1:$B$1000,0),MATCH(data!R$1,Haver_M!$B$1:$ZN$1,0)),"na")</f>
        <v>105.35420000000001</v>
      </c>
      <c r="S222">
        <f>IF(ISNUMBER(INDEX(Haver_M!$B$1:$ZN$1000,MATCH(data!$A222,Haver_M!$B$1:$B$1000,0),MATCH(data!S$1,Haver_M!$B$1:$ZN$1,0))),INDEX(Haver_M!$B$1:$ZN$1000,MATCH(data!$A222,Haver_M!$B$1:$B$1000,0),MATCH(data!S$1,Haver_M!$B$1:$ZN$1,0)),"na")</f>
        <v>79.257099999999994</v>
      </c>
      <c r="T222">
        <f>IF(ISNUMBER(INDEX(Haver_M!$B$1:$ZN$1000,MATCH(data!$A222,Haver_M!$B$1:$B$1000,0),MATCH(data!T$1,Haver_M!$B$1:$ZN$1,0))),INDEX(Haver_M!$B$1:$ZN$1000,MATCH(data!$A222,Haver_M!$B$1:$B$1000,0),MATCH(data!T$1,Haver_M!$B$1:$ZN$1,0)),"na")</f>
        <v>115.14060000000001</v>
      </c>
      <c r="U222">
        <f>IF(ISNUMBER(INDEX(Haver_M!$B$1:$ZN$1000,MATCH(data!$A222,Haver_M!$B$1:$B$1000,0),MATCH(data!U$1,Haver_M!$B$1:$ZN$1,0))),INDEX(Haver_M!$B$1:$ZN$1000,MATCH(data!$A222,Haver_M!$B$1:$B$1000,0),MATCH(data!U$1,Haver_M!$B$1:$ZN$1,0)),"na")</f>
        <v>109.2406</v>
      </c>
      <c r="V222">
        <f>IF(ISNUMBER(INDEX(Haver_M!$B$1:$ZN$1000,MATCH(data!$A222,Haver_M!$B$1:$B$1000,0),MATCH(data!V$1,Haver_M!$B$1:$ZN$1,0))),INDEX(Haver_M!$B$1:$ZN$1000,MATCH(data!$A222,Haver_M!$B$1:$B$1000,0),MATCH(data!V$1,Haver_M!$B$1:$ZN$1,0)),"na")</f>
        <v>114.5064</v>
      </c>
      <c r="W222">
        <f>IF(ISNUMBER(INDEX(Haver_M!$B$1:$ZN$1000,MATCH(data!$A222,Haver_M!$B$1:$B$1000,0),MATCH(data!W$1,Haver_M!$B$1:$ZN$1,0))),INDEX(Haver_M!$B$1:$ZN$1000,MATCH(data!$A222,Haver_M!$B$1:$B$1000,0),MATCH(data!W$1,Haver_M!$B$1:$ZN$1,0)),"na")</f>
        <v>3.21</v>
      </c>
      <c r="X222">
        <f>IF(ISNUMBER(INDEX(Haver_M!$B$1:$ZN$1000,MATCH(data!$A222,Haver_M!$B$1:$B$1000,0),MATCH(data!X$1,Haver_M!$B$1:$ZN$1,0))),INDEX(Haver_M!$B$1:$ZN$1000,MATCH(data!$A222,Haver_M!$B$1:$B$1000,0),MATCH(data!X$1,Haver_M!$B$1:$ZN$1,0)),"na")</f>
        <v>104.93</v>
      </c>
      <c r="Y222">
        <f>IF(ISNUMBER(INDEX(Haver_M!$B$1:$ZN$1000,MATCH(data!$A222,Haver_M!$B$1:$B$1000,0),MATCH(data!Y$1,Haver_M!$B$1:$ZN$1,0))),INDEX(Haver_M!$B$1:$ZN$1000,MATCH(data!$A222,Haver_M!$B$1:$B$1000,0),MATCH(data!Y$1,Haver_M!$B$1:$ZN$1,0)),"na")</f>
        <v>100.39</v>
      </c>
      <c r="Z222">
        <f>IF(ISNUMBER(INDEX(Haver_M!$B$1:$ZN$1000,MATCH(data!$A222,Haver_M!$B$1:$B$1000,0),MATCH(data!Z$1,Haver_M!$B$1:$ZN$1,0))),INDEX(Haver_M!$B$1:$ZN$1000,MATCH(data!$A222,Haver_M!$B$1:$B$1000,0),MATCH(data!Z$1,Haver_M!$B$1:$ZN$1,0)),"na")</f>
        <v>113.1221</v>
      </c>
      <c r="AA222">
        <f>IF(ISNUMBER(INDEX(Haver_M!$B$1:$ZN$1000,MATCH(data!$A222,Haver_M!$B$1:$B$1000,0),MATCH(data!AA$1,Haver_M!$B$1:$ZN$1,0))),INDEX(Haver_M!$B$1:$ZN$1000,MATCH(data!$A222,Haver_M!$B$1:$B$1000,0),MATCH(data!AA$1,Haver_M!$B$1:$ZN$1,0)),"na")</f>
        <v>111.33199999999999</v>
      </c>
      <c r="AB222">
        <f>IF(ISNUMBER(INDEX(Haver_M!$B$1:$ZN$1000,MATCH(data!$A222,Haver_M!$B$1:$B$1000,0),MATCH(data!AB$1,Haver_M!$B$1:$ZN$1,0))),INDEX(Haver_M!$B$1:$ZN$1000,MATCH(data!$A222,Haver_M!$B$1:$B$1000,0),MATCH(data!AB$1,Haver_M!$B$1:$ZN$1,0)),"na")</f>
        <v>36661.5</v>
      </c>
      <c r="AC222">
        <f>IF(ISNUMBER(INDEX(Haver_M!$B$1:$ZN$1000,MATCH(data!$A222,Haver_M!$B$1:$B$1000,0),MATCH(data!AC$1,Haver_M!$B$1:$ZN$1,0))),INDEX(Haver_M!$B$1:$ZN$1000,MATCH(data!$A222,Haver_M!$B$1:$B$1000,0),MATCH(data!AC$1,Haver_M!$B$1:$ZN$1,0)),"na")</f>
        <v>38943.4</v>
      </c>
      <c r="AD222">
        <f>IF(ISNUMBER(INDEX(Haver_M!$B$1:$ZN$1000,MATCH(data!$A222,Haver_M!$B$1:$B$1000,0),MATCH(data!AD$1,Haver_M!$B$1:$ZN$1,0))),INDEX(Haver_M!$B$1:$ZN$1000,MATCH(data!$A222,Haver_M!$B$1:$B$1000,0),MATCH(data!AD$1,Haver_M!$B$1:$ZN$1,0)),"na")</f>
        <v>100.59</v>
      </c>
      <c r="AE222">
        <f>IF(ISNUMBER(INDEX(Haver_M!$B$1:$ZN$1000,MATCH(data!$A222,Haver_M!$B$1:$B$1000,0),MATCH(data!AE$1,Haver_M!$B$1:$ZN$1,0))),INDEX(Haver_M!$B$1:$ZN$1000,MATCH(data!$A222,Haver_M!$B$1:$B$1000,0),MATCH(data!AE$1,Haver_M!$B$1:$ZN$1,0)),"na")</f>
        <v>36.299999999999997</v>
      </c>
      <c r="AF222">
        <f>IF(ISNUMBER(INDEX(Haver_M!$B$1:$ZN$1000,MATCH(data!$A222,Haver_M!$B$1:$B$1000,0),MATCH(data!AF$1,Haver_M!$B$1:$ZN$1,0))),INDEX(Haver_M!$B$1:$ZN$1000,MATCH(data!$A222,Haver_M!$B$1:$B$1000,0),MATCH(data!AF$1,Haver_M!$B$1:$ZN$1,0)),"na")</f>
        <v>100.64</v>
      </c>
      <c r="AG222">
        <f>IF(ISNUMBER(INDEX(Haver_M!$B$1:$ZN$1000,MATCH(data!$A222,Haver_M!$B$1:$B$1000,0),MATCH(data!AG$1,Haver_M!$B$1:$ZN$1,0))),INDEX(Haver_M!$B$1:$ZN$1000,MATCH(data!$A222,Haver_M!$B$1:$B$1000,0),MATCH(data!AG$1,Haver_M!$B$1:$ZN$1,0)),"na")</f>
        <v>51.004199999999997</v>
      </c>
      <c r="AH222">
        <f>IF(ISNUMBER(INDEX(Haver_M!$B$1:$ZN$1000,MATCH(data!$A222,Haver_M!$B$1:$B$1000,0),MATCH(data!AH$1,Haver_M!$B$1:$ZN$1,0))),INDEX(Haver_M!$B$1:$ZN$1000,MATCH(data!$A222,Haver_M!$B$1:$B$1000,0),MATCH(data!AH$1,Haver_M!$B$1:$ZN$1,0)),"na")</f>
        <v>49.831000000000003</v>
      </c>
      <c r="AI222">
        <f>IF(ISNUMBER(INDEX(Haver_M!$B$1:$ZN$1000,MATCH(data!$A222,Haver_M!$B$1:$B$1000,0),MATCH(data!AI$1,Haver_M!$B$1:$ZN$1,0))),INDEX(Haver_M!$B$1:$ZN$1000,MATCH(data!$A222,Haver_M!$B$1:$B$1000,0),MATCH(data!AI$1,Haver_M!$B$1:$ZN$1,0)),"na")</f>
        <v>51.390999999999998</v>
      </c>
      <c r="AJ222">
        <f>IF(ISNUMBER(INDEX(Haver_M!$B$1:$ZN$1000,MATCH(data!$A222,Haver_M!$B$1:$B$1000,0),MATCH(data!AJ$1,Haver_M!$B$1:$ZN$1,0))),INDEX(Haver_M!$B$1:$ZN$1000,MATCH(data!$A222,Haver_M!$B$1:$B$1000,0),MATCH(data!AJ$1,Haver_M!$B$1:$ZN$1,0)),"na")</f>
        <v>53.055199999999999</v>
      </c>
      <c r="AK222">
        <f>IF(ISNUMBER(INDEX(Haver_M!$B$1:$ZN$1000,MATCH(data!$A222,Haver_M!$B$1:$B$1000,0),MATCH(data!AK$1,Haver_M!$B$1:$ZN$1,0))),INDEX(Haver_M!$B$1:$ZN$1000,MATCH(data!$A222,Haver_M!$B$1:$B$1000,0),MATCH(data!AK$1,Haver_M!$B$1:$ZN$1,0)),"na")</f>
        <v>48.953099999999999</v>
      </c>
      <c r="AL222">
        <f>IF(ISNUMBER(INDEX(Haver_M!$B$1:$ZN$1000,MATCH(data!$A222,Haver_M!$B$1:$B$1000,0),MATCH(data!AL$1,Haver_M!$B$1:$ZN$1,0))),INDEX(Haver_M!$B$1:$ZN$1000,MATCH(data!$A222,Haver_M!$B$1:$B$1000,0),MATCH(data!AL$1,Haver_M!$B$1:$ZN$1,0)),"na")</f>
        <v>48.610700000000001</v>
      </c>
      <c r="AM222">
        <f>IF(ISNUMBER(INDEX(Haver_M!$B$1:$ZN$1000,MATCH(data!$A222,Haver_M!$B$1:$B$1000,0),MATCH(data!AM$1,Haver_M!$B$1:$ZN$1,0))),INDEX(Haver_M!$B$1:$ZN$1000,MATCH(data!$A222,Haver_M!$B$1:$B$1000,0),MATCH(data!AM$1,Haver_M!$B$1:$ZN$1,0)),"na")</f>
        <v>62.7881</v>
      </c>
      <c r="AN222">
        <f>IF(ISNUMBER(INDEX(Haver_M!$B$1:$ZN$1000,MATCH(data!$A222,Haver_M!$B$1:$B$1000,0),MATCH(data!AN$1,Haver_M!$B$1:$ZN$1,0))),INDEX(Haver_M!$B$1:$ZN$1000,MATCH(data!$A222,Haver_M!$B$1:$B$1000,0),MATCH(data!AN$1,Haver_M!$B$1:$ZN$1,0)),"na")</f>
        <v>49.555199999999999</v>
      </c>
      <c r="AO222">
        <f>IF(ISNUMBER(INDEX(Haver_M!$B$1:$ZN$1000,MATCH(data!$A222,Haver_M!$B$1:$B$1000,0),MATCH(data!AO$1,Haver_M!$B$1:$ZN$1,0))),INDEX(Haver_M!$B$1:$ZN$1000,MATCH(data!$A222,Haver_M!$B$1:$B$1000,0),MATCH(data!AO$1,Haver_M!$B$1:$ZN$1,0)),"na")</f>
        <v>48.610700000000001</v>
      </c>
      <c r="AP222">
        <f>IF(ISNUMBER(INDEX(Haver_M!$B$1:$ZN$1000,MATCH(data!$A222,Haver_M!$B$1:$B$1000,0),MATCH(data!AP$1,Haver_M!$B$1:$ZN$1,0))),INDEX(Haver_M!$B$1:$ZN$1000,MATCH(data!$A222,Haver_M!$B$1:$B$1000,0),MATCH(data!AP$1,Haver_M!$B$1:$ZN$1,0)),"na")</f>
        <v>51.268300000000004</v>
      </c>
      <c r="AQ222">
        <f>IF(ISNUMBER(INDEX(Haver_M!$B$1:$ZN$1000,MATCH(data!$A222,Haver_M!$B$1:$B$1000,0),MATCH(data!AQ$1,Haver_M!$B$1:$ZN$1,0))),INDEX(Haver_M!$B$1:$ZN$1000,MATCH(data!$A222,Haver_M!$B$1:$B$1000,0),MATCH(data!AQ$1,Haver_M!$B$1:$ZN$1,0)),"na")</f>
        <v>52.514600000000002</v>
      </c>
      <c r="AR222">
        <f>IF(ISNUMBER(INDEX(Haver_M!$B$1:$ZN$1000,MATCH(data!$A222,Haver_M!$B$1:$B$1000,0),MATCH(data!AR$1,Haver_M!$B$1:$ZN$1,0))),INDEX(Haver_M!$B$1:$ZN$1000,MATCH(data!$A222,Haver_M!$B$1:$B$1000,0),MATCH(data!AR$1,Haver_M!$B$1:$ZN$1,0)),"na")</f>
        <v>48.714500000000001</v>
      </c>
      <c r="AS222">
        <f>IF(ISNUMBER(INDEX(Haver_M!$B$1:$ZN$1000,MATCH(data!$A222,Haver_M!$B$1:$B$1000,0),MATCH(data!AS$1,Haver_M!$B$1:$ZN$1,0))),INDEX(Haver_M!$B$1:$ZN$1000,MATCH(data!$A222,Haver_M!$B$1:$B$1000,0),MATCH(data!AS$1,Haver_M!$B$1:$ZN$1,0)),"na")</f>
        <v>45972.85</v>
      </c>
      <c r="AT222">
        <f>IF(ISNUMBER(INDEX(Haver_M!$B$1:$ZN$1000,MATCH(data!$A222,Haver_M!$B$1:$B$1000,0),MATCH(data!AT$1,Haver_M!$B$1:$ZN$1,0))),INDEX(Haver_M!$B$1:$ZN$1000,MATCH(data!$A222,Haver_M!$B$1:$B$1000,0),MATCH(data!AT$1,Haver_M!$B$1:$ZN$1,0)),"na")</f>
        <v>116.78400000000001</v>
      </c>
      <c r="AU222">
        <f>IF(ISNUMBER(INDEX(Haver_M!$B$1:$ZN$1000,MATCH(data!$A222,Haver_M!$B$1:$B$1000,0),MATCH(data!AU$1,Haver_M!$B$1:$ZN$1,0))),INDEX(Haver_M!$B$1:$ZN$1000,MATCH(data!$A222,Haver_M!$B$1:$B$1000,0),MATCH(data!AU$1,Haver_M!$B$1:$ZN$1,0)),"na")</f>
        <v>113.354584</v>
      </c>
      <c r="AV222">
        <f>IF(ISNUMBER(INDEX(Haver_M!$B$1:$ZN$1000,MATCH(data!$A222,Haver_M!$B$1:$B$1000,0),MATCH(data!AV$1,Haver_M!$B$1:$ZN$1,0))),INDEX(Haver_M!$B$1:$ZN$1000,MATCH(data!$A222,Haver_M!$B$1:$B$1000,0),MATCH(data!AV$1,Haver_M!$B$1:$ZN$1,0)),"na")</f>
        <v>111.6</v>
      </c>
      <c r="AW222">
        <f>IF(ISNUMBER(INDEX(Haver_M!$B$1:$ZN$1000,MATCH(data!$A222,Haver_M!$B$1:$B$1000,0),MATCH(data!AW$1,Haver_M!$B$1:$ZN$1,0))),INDEX(Haver_M!$B$1:$ZN$1000,MATCH(data!$A222,Haver_M!$B$1:$B$1000,0),MATCH(data!AW$1,Haver_M!$B$1:$ZN$1,0)),"na")</f>
        <v>1929958.9927747517</v>
      </c>
      <c r="AX222">
        <f>IF(ISNUMBER(INDEX(Haver_M!$B$1:$ZN$1000,MATCH(data!$A222,Haver_M!$B$1:$B$1000,0),MATCH(data!AX$1,Haver_M!$B$1:$ZN$1,0))),INDEX(Haver_M!$B$1:$ZN$1000,MATCH(data!$A222,Haver_M!$B$1:$B$1000,0),MATCH(data!AX$1,Haver_M!$B$1:$ZN$1,0)),"na")</f>
        <v>1846</v>
      </c>
      <c r="AY222">
        <f>IF(ISNUMBER(INDEX(Haver_M!$B$1:$ZN$1000,MATCH(data!$A222,Haver_M!$B$1:$B$1000,0),MATCH(data!AY$1,Haver_M!$B$1:$ZN$1,0))),INDEX(Haver_M!$B$1:$ZN$1000,MATCH(data!$A222,Haver_M!$B$1:$B$1000,0),MATCH(data!AY$1,Haver_M!$B$1:$ZN$1,0)),"na")</f>
        <v>1222</v>
      </c>
      <c r="AZ222">
        <f>IF(ISNUMBER(INDEX(Haver_M!$B$1:$ZN$1000,MATCH(data!$A222,Haver_M!$B$1:$B$1000,0),MATCH(data!AZ$1,Haver_M!$B$1:$ZN$1,0))),INDEX(Haver_M!$B$1:$ZN$1000,MATCH(data!$A222,Haver_M!$B$1:$B$1000,0),MATCH(data!AZ$1,Haver_M!$B$1:$ZN$1,0)),"na")</f>
        <v>52.7</v>
      </c>
      <c r="BA222">
        <f>IF(ISNUMBER(INDEX(Haver_M!$B$1:$ZN$1000,MATCH(data!$A222,Haver_M!$B$1:$B$1000,0),MATCH(data!BA$1,Haver_M!$B$1:$ZN$1,0))),INDEX(Haver_M!$B$1:$ZN$1000,MATCH(data!$A222,Haver_M!$B$1:$B$1000,0),MATCH(data!BA$1,Haver_M!$B$1:$ZN$1,0)),"na")</f>
        <v>90.052717940192679</v>
      </c>
      <c r="BB222" t="str">
        <f>IF(ISNUMBER(INDEX(Haver_M!$B$1:$ZN$1000,MATCH(data!$A222,Haver_M!$B$1:$B$1000,0),MATCH(data!BB$1,Haver_M!$B$1:$ZN$1,0))),INDEX(Haver_M!$B$1:$ZN$1000,MATCH(data!$A222,Haver_M!$B$1:$B$1000,0),MATCH(data!BB$1,Haver_M!$B$1:$ZN$1,0)),"")</f>
        <v/>
      </c>
    </row>
    <row r="223" spans="1:54" x14ac:dyDescent="0.25">
      <c r="A223" s="2">
        <v>43281</v>
      </c>
      <c r="B223">
        <f>IF(ISNUMBER(INDEX(Haver_Q!$B$1:$BD$1000,MATCH(data!$A223,Haver_Q!$B$1:$B$1000,0),MATCH(data!B$1,Haver_Q!$B$1:$BD$1,0))),100*INDEX(Haver_Q!$B$1:$BD$1000,MATCH(data!$A223,Haver_Q!$B$1:$B$1000,0),MATCH(data!B$1,Haver_Q!$B$1:$BD$1,0)),"na")</f>
        <v>-0.2478257482728341</v>
      </c>
      <c r="C223">
        <f>IF(ISNUMBER(INDEX(Haver_Q!$B$1:$BD$1000,MATCH(data!$A223,Haver_Q!$B$1:$B$1000,0),MATCH(data!C$1,Haver_Q!$B$1:$BD$1,0))),100*INDEX(Haver_Q!$B$1:$BD$1000,MATCH(data!$A223,Haver_Q!$B$1:$B$1000,0),MATCH(data!C$1,Haver_Q!$B$1:$BD$1,0)),"na")</f>
        <v>3.1372306202888556</v>
      </c>
      <c r="D223">
        <f>IF(ISNUMBER(INDEX(Haver_Q!$B$1:$BD$1000,MATCH(data!$A223,Haver_Q!$B$1:$B$1000,0),MATCH(data!D$1,Haver_Q!$B$1:$BD$1,0))),100*INDEX(Haver_Q!$B$1:$BD$1000,MATCH(data!$A223,Haver_Q!$B$1:$B$1000,0),MATCH(data!D$1,Haver_Q!$B$1:$BD$1,0)),"na")</f>
        <v>-0.50317709876595007</v>
      </c>
      <c r="E223">
        <f>IF(ISNUMBER(INDEX(Haver_Q!$B$1:$BD$1000,MATCH(data!$A223,Haver_Q!$B$1:$B$1000,0),MATCH(data!E$1,Haver_Q!$B$1:$BD$1,0))),100*INDEX(Haver_Q!$B$1:$BD$1000,MATCH(data!$A223,Haver_Q!$B$1:$B$1000,0),MATCH(data!E$1,Haver_Q!$B$1:$BD$1,0)),"na")</f>
        <v>-2.1999263802309321</v>
      </c>
      <c r="F223">
        <f>IF(ISNUMBER(INDEX(Haver_Q!$B$1:$BD$1000,MATCH(data!$A223,Haver_Q!$B$1:$B$1000,0),MATCH(data!F$1,Haver_Q!$B$1:$BD$1,0))),100*INDEX(Haver_Q!$B$1:$BD$1000,MATCH(data!$A223,Haver_Q!$B$1:$B$1000,0),MATCH(data!F$1,Haver_Q!$B$1:$BD$1,0)),"na")</f>
        <v>7.2094424832598758</v>
      </c>
      <c r="G223">
        <f>IF(ISNUMBER(INDEX(Haver_Q!$B$1:$BD$1000,MATCH(data!$A223,Haver_Q!$B$1:$B$1000,0),MATCH(data!G$1,Haver_Q!$B$1:$BD$1,0))),100*INDEX(Haver_Q!$B$1:$BD$1000,MATCH(data!$A223,Haver_Q!$B$1:$B$1000,0),MATCH(data!G$1,Haver_Q!$B$1:$BD$1,0)),"na")</f>
        <v>-5.2385693659966144</v>
      </c>
      <c r="H223">
        <f>IF(ISNUMBER(INDEX(Haver_Q!$B$1:$BD$1000,MATCH(data!$A223,Haver_Q!$B$1:$B$1000,0),MATCH(data!H$1,Haver_Q!$B$1:$BD$1,0))),100*INDEX(Haver_Q!$B$1:$BD$1000,MATCH(data!$A223,Haver_Q!$B$1:$B$1000,0),MATCH(data!H$1,Haver_Q!$B$1:$BD$1,0)),"na")</f>
        <v>364.50356750515664</v>
      </c>
      <c r="I223" s="3">
        <f>IF(ISNUMBER(Bloomberg_m!C239),Bloomberg_m!C239,"na")</f>
        <v>1352</v>
      </c>
      <c r="J223" s="3">
        <f>IF(ISNUMBER(Bloomberg_m!D239),Bloomberg_m!D239,"na")</f>
        <v>1402.42</v>
      </c>
      <c r="K223" s="3">
        <f>IF(ISNUMBER(Bloomberg_m!E239),Bloomberg_m!E239,"na")</f>
        <v>797.03</v>
      </c>
      <c r="L223" s="3">
        <f>IF(ISNUMBER(Bloomberg_m!L239),Bloomberg_m!L239,"na")</f>
        <v>67.52</v>
      </c>
      <c r="M223">
        <f>IF(ISNUMBER(INDEX(Haver_M!$B$1:$ZN$1000,MATCH(data!$A223,Haver_M!$B$1:$B$1000,0),MATCH(data!M$1,Haver_M!$B$1:$ZN$1,0))),INDEX(Haver_M!$B$1:$ZN$1000,MATCH(data!$A223,Haver_M!$B$1:$B$1000,0),MATCH(data!M$1,Haver_M!$B$1:$ZN$1,0)),"na")</f>
        <v>7.75</v>
      </c>
      <c r="N223">
        <f>IF(ISNUMBER(INDEX(Haver_M!$B$1:$ZN$1000,MATCH(data!$A223,Haver_M!$B$1:$B$1000,0),MATCH(data!N$1,Haver_M!$B$1:$ZN$1,0))),INDEX(Haver_M!$B$1:$ZN$1000,MATCH(data!$A223,Haver_M!$B$1:$B$1000,0),MATCH(data!N$1,Haver_M!$B$1:$ZN$1,0)),"na")</f>
        <v>7.8193000000000001</v>
      </c>
      <c r="O223">
        <f>IF(ISNUMBER(INDEX(Haver_M!$B$1:$ZN$1000,MATCH(data!$A223,Haver_M!$B$1:$B$1000,0),MATCH(data!O$1,Haver_M!$B$1:$ZN$1,0))),INDEX(Haver_M!$B$1:$ZN$1000,MATCH(data!$A223,Haver_M!$B$1:$B$1000,0),MATCH(data!O$1,Haver_M!$B$1:$ZN$1,0)),"na")</f>
        <v>76.126220000000004</v>
      </c>
      <c r="P223">
        <f>IF(ISNUMBER(INDEX(Haver_M!$B$1:$ZN$1000,MATCH(data!$A223,Haver_M!$B$1:$B$1000,0),MATCH(data!P$1,Haver_M!$B$1:$ZN$1,0))),INDEX(Haver_M!$B$1:$ZN$1000,MATCH(data!$A223,Haver_M!$B$1:$B$1000,0),MATCH(data!P$1,Haver_M!$B$1:$ZN$1,0)),"na")</f>
        <v>99.9255</v>
      </c>
      <c r="Q223">
        <f>IF(ISNUMBER(INDEX(Haver_M!$B$1:$ZN$1000,MATCH(data!$A223,Haver_M!$B$1:$B$1000,0),MATCH(data!Q$1,Haver_M!$B$1:$ZN$1,0))),INDEX(Haver_M!$B$1:$ZN$1000,MATCH(data!$A223,Haver_M!$B$1:$B$1000,0),MATCH(data!Q$1,Haver_M!$B$1:$ZN$1,0)),"na")</f>
        <v>99.636300000000006</v>
      </c>
      <c r="R223">
        <f>IF(ISNUMBER(INDEX(Haver_M!$B$1:$ZN$1000,MATCH(data!$A223,Haver_M!$B$1:$B$1000,0),MATCH(data!R$1,Haver_M!$B$1:$ZN$1,0))),INDEX(Haver_M!$B$1:$ZN$1000,MATCH(data!$A223,Haver_M!$B$1:$B$1000,0),MATCH(data!R$1,Haver_M!$B$1:$ZN$1,0)),"na")</f>
        <v>105.01860000000001</v>
      </c>
      <c r="S223">
        <f>IF(ISNUMBER(INDEX(Haver_M!$B$1:$ZN$1000,MATCH(data!$A223,Haver_M!$B$1:$B$1000,0),MATCH(data!S$1,Haver_M!$B$1:$ZN$1,0))),INDEX(Haver_M!$B$1:$ZN$1000,MATCH(data!$A223,Haver_M!$B$1:$B$1000,0),MATCH(data!S$1,Haver_M!$B$1:$ZN$1,0)),"na")</f>
        <v>77.993499999999997</v>
      </c>
      <c r="T223">
        <f>IF(ISNUMBER(INDEX(Haver_M!$B$1:$ZN$1000,MATCH(data!$A223,Haver_M!$B$1:$B$1000,0),MATCH(data!T$1,Haver_M!$B$1:$ZN$1,0))),INDEX(Haver_M!$B$1:$ZN$1000,MATCH(data!$A223,Haver_M!$B$1:$B$1000,0),MATCH(data!T$1,Haver_M!$B$1:$ZN$1,0)),"na")</f>
        <v>118.1216</v>
      </c>
      <c r="U223">
        <f>IF(ISNUMBER(INDEX(Haver_M!$B$1:$ZN$1000,MATCH(data!$A223,Haver_M!$B$1:$B$1000,0),MATCH(data!U$1,Haver_M!$B$1:$ZN$1,0))),INDEX(Haver_M!$B$1:$ZN$1000,MATCH(data!$A223,Haver_M!$B$1:$B$1000,0),MATCH(data!U$1,Haver_M!$B$1:$ZN$1,0)),"na")</f>
        <v>107.9734</v>
      </c>
      <c r="V223">
        <f>IF(ISNUMBER(INDEX(Haver_M!$B$1:$ZN$1000,MATCH(data!$A223,Haver_M!$B$1:$B$1000,0),MATCH(data!V$1,Haver_M!$B$1:$ZN$1,0))),INDEX(Haver_M!$B$1:$ZN$1000,MATCH(data!$A223,Haver_M!$B$1:$B$1000,0),MATCH(data!V$1,Haver_M!$B$1:$ZN$1,0)),"na")</f>
        <v>114.4903</v>
      </c>
      <c r="W223">
        <f>IF(ISNUMBER(INDEX(Haver_M!$B$1:$ZN$1000,MATCH(data!$A223,Haver_M!$B$1:$B$1000,0),MATCH(data!W$1,Haver_M!$B$1:$ZN$1,0))),INDEX(Haver_M!$B$1:$ZN$1000,MATCH(data!$A223,Haver_M!$B$1:$B$1000,0),MATCH(data!W$1,Haver_M!$B$1:$ZN$1,0)),"na")</f>
        <v>3.39</v>
      </c>
      <c r="X223">
        <f>IF(ISNUMBER(INDEX(Haver_M!$B$1:$ZN$1000,MATCH(data!$A223,Haver_M!$B$1:$B$1000,0),MATCH(data!X$1,Haver_M!$B$1:$ZN$1,0))),INDEX(Haver_M!$B$1:$ZN$1000,MATCH(data!$A223,Haver_M!$B$1:$B$1000,0),MATCH(data!X$1,Haver_M!$B$1:$ZN$1,0)),"na")</f>
        <v>105.21</v>
      </c>
      <c r="Y223">
        <f>IF(ISNUMBER(INDEX(Haver_M!$B$1:$ZN$1000,MATCH(data!$A223,Haver_M!$B$1:$B$1000,0),MATCH(data!Y$1,Haver_M!$B$1:$ZN$1,0))),INDEX(Haver_M!$B$1:$ZN$1000,MATCH(data!$A223,Haver_M!$B$1:$B$1000,0),MATCH(data!Y$1,Haver_M!$B$1:$ZN$1,0)),"na")</f>
        <v>100.42</v>
      </c>
      <c r="Z223">
        <f>IF(ISNUMBER(INDEX(Haver_M!$B$1:$ZN$1000,MATCH(data!$A223,Haver_M!$B$1:$B$1000,0),MATCH(data!Z$1,Haver_M!$B$1:$ZN$1,0))),INDEX(Haver_M!$B$1:$ZN$1000,MATCH(data!$A223,Haver_M!$B$1:$B$1000,0),MATCH(data!Z$1,Haver_M!$B$1:$ZN$1,0)),"na")</f>
        <v>113.5275</v>
      </c>
      <c r="AA223">
        <f>IF(ISNUMBER(INDEX(Haver_M!$B$1:$ZN$1000,MATCH(data!$A223,Haver_M!$B$1:$B$1000,0),MATCH(data!AA$1,Haver_M!$B$1:$ZN$1,0))),INDEX(Haver_M!$B$1:$ZN$1000,MATCH(data!$A223,Haver_M!$B$1:$B$1000,0),MATCH(data!AA$1,Haver_M!$B$1:$ZN$1,0)),"na")</f>
        <v>110.6497</v>
      </c>
      <c r="AB223">
        <f>IF(ISNUMBER(INDEX(Haver_M!$B$1:$ZN$1000,MATCH(data!$A223,Haver_M!$B$1:$B$1000,0),MATCH(data!AB$1,Haver_M!$B$1:$ZN$1,0))),INDEX(Haver_M!$B$1:$ZN$1000,MATCH(data!$A223,Haver_M!$B$1:$B$1000,0),MATCH(data!AB$1,Haver_M!$B$1:$ZN$1,0)),"na")</f>
        <v>37089.800000000003</v>
      </c>
      <c r="AC223">
        <f>IF(ISNUMBER(INDEX(Haver_M!$B$1:$ZN$1000,MATCH(data!$A223,Haver_M!$B$1:$B$1000,0),MATCH(data!AC$1,Haver_M!$B$1:$ZN$1,0))),INDEX(Haver_M!$B$1:$ZN$1000,MATCH(data!$A223,Haver_M!$B$1:$B$1000,0),MATCH(data!AC$1,Haver_M!$B$1:$ZN$1,0)),"na")</f>
        <v>38970.6</v>
      </c>
      <c r="AD223">
        <f>IF(ISNUMBER(INDEX(Haver_M!$B$1:$ZN$1000,MATCH(data!$A223,Haver_M!$B$1:$B$1000,0),MATCH(data!AD$1,Haver_M!$B$1:$ZN$1,0))),INDEX(Haver_M!$B$1:$ZN$1000,MATCH(data!$A223,Haver_M!$B$1:$B$1000,0),MATCH(data!AD$1,Haver_M!$B$1:$ZN$1,0)),"na")</f>
        <v>100.58</v>
      </c>
      <c r="AE223">
        <f>IF(ISNUMBER(INDEX(Haver_M!$B$1:$ZN$1000,MATCH(data!$A223,Haver_M!$B$1:$B$1000,0),MATCH(data!AE$1,Haver_M!$B$1:$ZN$1,0))),INDEX(Haver_M!$B$1:$ZN$1000,MATCH(data!$A223,Haver_M!$B$1:$B$1000,0),MATCH(data!AE$1,Haver_M!$B$1:$ZN$1,0)),"na")</f>
        <v>36.9</v>
      </c>
      <c r="AF223">
        <f>IF(ISNUMBER(INDEX(Haver_M!$B$1:$ZN$1000,MATCH(data!$A223,Haver_M!$B$1:$B$1000,0),MATCH(data!AF$1,Haver_M!$B$1:$ZN$1,0))),INDEX(Haver_M!$B$1:$ZN$1000,MATCH(data!$A223,Haver_M!$B$1:$B$1000,0),MATCH(data!AF$1,Haver_M!$B$1:$ZN$1,0)),"na")</f>
        <v>100.71</v>
      </c>
      <c r="AG223">
        <f>IF(ISNUMBER(INDEX(Haver_M!$B$1:$ZN$1000,MATCH(data!$A223,Haver_M!$B$1:$B$1000,0),MATCH(data!AG$1,Haver_M!$B$1:$ZN$1,0))),INDEX(Haver_M!$B$1:$ZN$1000,MATCH(data!$A223,Haver_M!$B$1:$B$1000,0),MATCH(data!AG$1,Haver_M!$B$1:$ZN$1,0)),"na")</f>
        <v>52.074100000000001</v>
      </c>
      <c r="AH223">
        <f>IF(ISNUMBER(INDEX(Haver_M!$B$1:$ZN$1000,MATCH(data!$A223,Haver_M!$B$1:$B$1000,0),MATCH(data!AH$1,Haver_M!$B$1:$ZN$1,0))),INDEX(Haver_M!$B$1:$ZN$1000,MATCH(data!$A223,Haver_M!$B$1:$B$1000,0),MATCH(data!AH$1,Haver_M!$B$1:$ZN$1,0)),"na")</f>
        <v>50.353099999999998</v>
      </c>
      <c r="AI223">
        <f>IF(ISNUMBER(INDEX(Haver_M!$B$1:$ZN$1000,MATCH(data!$A223,Haver_M!$B$1:$B$1000,0),MATCH(data!AI$1,Haver_M!$B$1:$ZN$1,0))),INDEX(Haver_M!$B$1:$ZN$1000,MATCH(data!$A223,Haver_M!$B$1:$B$1000,0),MATCH(data!AI$1,Haver_M!$B$1:$ZN$1,0)),"na")</f>
        <v>53.043799999999997</v>
      </c>
      <c r="AJ223">
        <f>IF(ISNUMBER(INDEX(Haver_M!$B$1:$ZN$1000,MATCH(data!$A223,Haver_M!$B$1:$B$1000,0),MATCH(data!AJ$1,Haver_M!$B$1:$ZN$1,0))),INDEX(Haver_M!$B$1:$ZN$1000,MATCH(data!$A223,Haver_M!$B$1:$B$1000,0),MATCH(data!AJ$1,Haver_M!$B$1:$ZN$1,0)),"na")</f>
        <v>53.305399999999999</v>
      </c>
      <c r="AK223">
        <f>IF(ISNUMBER(INDEX(Haver_M!$B$1:$ZN$1000,MATCH(data!$A223,Haver_M!$B$1:$B$1000,0),MATCH(data!AK$1,Haver_M!$B$1:$ZN$1,0))),INDEX(Haver_M!$B$1:$ZN$1000,MATCH(data!$A223,Haver_M!$B$1:$B$1000,0),MATCH(data!AK$1,Haver_M!$B$1:$ZN$1,0)),"na")</f>
        <v>48.169499999999999</v>
      </c>
      <c r="AL223">
        <f>IF(ISNUMBER(INDEX(Haver_M!$B$1:$ZN$1000,MATCH(data!$A223,Haver_M!$B$1:$B$1000,0),MATCH(data!AL$1,Haver_M!$B$1:$ZN$1,0))),INDEX(Haver_M!$B$1:$ZN$1000,MATCH(data!$A223,Haver_M!$B$1:$B$1000,0),MATCH(data!AL$1,Haver_M!$B$1:$ZN$1,0)),"na")</f>
        <v>51.370199999999997</v>
      </c>
      <c r="AM223">
        <f>IF(ISNUMBER(INDEX(Haver_M!$B$1:$ZN$1000,MATCH(data!$A223,Haver_M!$B$1:$B$1000,0),MATCH(data!AM$1,Haver_M!$B$1:$ZN$1,0))),INDEX(Haver_M!$B$1:$ZN$1000,MATCH(data!$A223,Haver_M!$B$1:$B$1000,0),MATCH(data!AM$1,Haver_M!$B$1:$ZN$1,0)),"na")</f>
        <v>65.817499999999995</v>
      </c>
      <c r="AN223">
        <f>IF(ISNUMBER(INDEX(Haver_M!$B$1:$ZN$1000,MATCH(data!$A223,Haver_M!$B$1:$B$1000,0),MATCH(data!AN$1,Haver_M!$B$1:$ZN$1,0))),INDEX(Haver_M!$B$1:$ZN$1000,MATCH(data!$A223,Haver_M!$B$1:$B$1000,0),MATCH(data!AN$1,Haver_M!$B$1:$ZN$1,0)),"na")</f>
        <v>51.950800000000001</v>
      </c>
      <c r="AO223">
        <f>IF(ISNUMBER(INDEX(Haver_M!$B$1:$ZN$1000,MATCH(data!$A223,Haver_M!$B$1:$B$1000,0),MATCH(data!AO$1,Haver_M!$B$1:$ZN$1,0))),INDEX(Haver_M!$B$1:$ZN$1000,MATCH(data!$A223,Haver_M!$B$1:$B$1000,0),MATCH(data!AO$1,Haver_M!$B$1:$ZN$1,0)),"na")</f>
        <v>51.370199999999997</v>
      </c>
      <c r="AP223">
        <f>IF(ISNUMBER(INDEX(Haver_M!$B$1:$ZN$1000,MATCH(data!$A223,Haver_M!$B$1:$B$1000,0),MATCH(data!AP$1,Haver_M!$B$1:$ZN$1,0))),INDEX(Haver_M!$B$1:$ZN$1000,MATCH(data!$A223,Haver_M!$B$1:$B$1000,0),MATCH(data!AP$1,Haver_M!$B$1:$ZN$1,0)),"na")</f>
        <v>51.7044</v>
      </c>
      <c r="AQ223">
        <f>IF(ISNUMBER(INDEX(Haver_M!$B$1:$ZN$1000,MATCH(data!$A223,Haver_M!$B$1:$B$1000,0),MATCH(data!AQ$1,Haver_M!$B$1:$ZN$1,0))),INDEX(Haver_M!$B$1:$ZN$1000,MATCH(data!$A223,Haver_M!$B$1:$B$1000,0),MATCH(data!AQ$1,Haver_M!$B$1:$ZN$1,0)),"na")</f>
        <v>54.913899999999998</v>
      </c>
      <c r="AR223">
        <f>IF(ISNUMBER(INDEX(Haver_M!$B$1:$ZN$1000,MATCH(data!$A223,Haver_M!$B$1:$B$1000,0),MATCH(data!AR$1,Haver_M!$B$1:$ZN$1,0))),INDEX(Haver_M!$B$1:$ZN$1000,MATCH(data!$A223,Haver_M!$B$1:$B$1000,0),MATCH(data!AR$1,Haver_M!$B$1:$ZN$1,0)),"na")</f>
        <v>49.326799999999999</v>
      </c>
      <c r="AS223">
        <f>IF(ISNUMBER(INDEX(Haver_M!$B$1:$ZN$1000,MATCH(data!$A223,Haver_M!$B$1:$B$1000,0),MATCH(data!AS$1,Haver_M!$B$1:$ZN$1,0))),INDEX(Haver_M!$B$1:$ZN$1000,MATCH(data!$A223,Haver_M!$B$1:$B$1000,0),MATCH(data!AS$1,Haver_M!$B$1:$ZN$1,0)),"na")</f>
        <v>46389.2</v>
      </c>
      <c r="AT223">
        <f>IF(ISNUMBER(INDEX(Haver_M!$B$1:$ZN$1000,MATCH(data!$A223,Haver_M!$B$1:$B$1000,0),MATCH(data!AT$1,Haver_M!$B$1:$ZN$1,0))),INDEX(Haver_M!$B$1:$ZN$1000,MATCH(data!$A223,Haver_M!$B$1:$B$1000,0),MATCH(data!AT$1,Haver_M!$B$1:$ZN$1,0)),"na")</f>
        <v>116.214</v>
      </c>
      <c r="AU223">
        <f>IF(ISNUMBER(INDEX(Haver_M!$B$1:$ZN$1000,MATCH(data!$A223,Haver_M!$B$1:$B$1000,0),MATCH(data!AU$1,Haver_M!$B$1:$ZN$1,0))),INDEX(Haver_M!$B$1:$ZN$1000,MATCH(data!$A223,Haver_M!$B$1:$B$1000,0),MATCH(data!AU$1,Haver_M!$B$1:$ZN$1,0)),"na")</f>
        <v>113.116004</v>
      </c>
      <c r="AV223">
        <f>IF(ISNUMBER(INDEX(Haver_M!$B$1:$ZN$1000,MATCH(data!$A223,Haver_M!$B$1:$B$1000,0),MATCH(data!AV$1,Haver_M!$B$1:$ZN$1,0))),INDEX(Haver_M!$B$1:$ZN$1000,MATCH(data!$A223,Haver_M!$B$1:$B$1000,0),MATCH(data!AV$1,Haver_M!$B$1:$ZN$1,0)),"na")</f>
        <v>110.9</v>
      </c>
      <c r="AW223">
        <f>IF(ISNUMBER(INDEX(Haver_M!$B$1:$ZN$1000,MATCH(data!$A223,Haver_M!$B$1:$B$1000,0),MATCH(data!AW$1,Haver_M!$B$1:$ZN$1,0))),INDEX(Haver_M!$B$1:$ZN$1000,MATCH(data!$A223,Haver_M!$B$1:$B$1000,0),MATCH(data!AW$1,Haver_M!$B$1:$ZN$1,0)),"na")</f>
        <v>1846514.7961943198</v>
      </c>
      <c r="AX223">
        <f>IF(ISNUMBER(INDEX(Haver_M!$B$1:$ZN$1000,MATCH(data!$A223,Haver_M!$B$1:$B$1000,0),MATCH(data!AX$1,Haver_M!$B$1:$ZN$1,0))),INDEX(Haver_M!$B$1:$ZN$1000,MATCH(data!$A223,Haver_M!$B$1:$B$1000,0),MATCH(data!AX$1,Haver_M!$B$1:$ZN$1,0)),"na")</f>
        <v>1819</v>
      </c>
      <c r="AY223">
        <f>IF(ISNUMBER(INDEX(Haver_M!$B$1:$ZN$1000,MATCH(data!$A223,Haver_M!$B$1:$B$1000,0),MATCH(data!AY$1,Haver_M!$B$1:$ZN$1,0))),INDEX(Haver_M!$B$1:$ZN$1000,MATCH(data!$A223,Haver_M!$B$1:$B$1000,0),MATCH(data!AY$1,Haver_M!$B$1:$ZN$1,0)),"na")</f>
        <v>1110</v>
      </c>
      <c r="AZ223">
        <f>IF(ISNUMBER(INDEX(Haver_M!$B$1:$ZN$1000,MATCH(data!$A223,Haver_M!$B$1:$B$1000,0),MATCH(data!AZ$1,Haver_M!$B$1:$ZN$1,0))),INDEX(Haver_M!$B$1:$ZN$1000,MATCH(data!$A223,Haver_M!$B$1:$B$1000,0),MATCH(data!AZ$1,Haver_M!$B$1:$ZN$1,0)),"na")</f>
        <v>53</v>
      </c>
      <c r="BA223">
        <f>IF(ISNUMBER(INDEX(Haver_M!$B$1:$ZN$1000,MATCH(data!$A223,Haver_M!$B$1:$B$1000,0),MATCH(data!BA$1,Haver_M!$B$1:$ZN$1,0))),INDEX(Haver_M!$B$1:$ZN$1000,MATCH(data!$A223,Haver_M!$B$1:$B$1000,0),MATCH(data!BA$1,Haver_M!$B$1:$ZN$1,0)),"na")</f>
        <v>79.775236176918014</v>
      </c>
      <c r="BB223" t="str">
        <f>IF(ISNUMBER(INDEX(Haver_M!$B$1:$ZN$1000,MATCH(data!$A223,Haver_M!$B$1:$B$1000,0),MATCH(data!BB$1,Haver_M!$B$1:$ZN$1,0))),INDEX(Haver_M!$B$1:$ZN$1000,MATCH(data!$A223,Haver_M!$B$1:$B$1000,0),MATCH(data!BB$1,Haver_M!$B$1:$ZN$1,0)),"")</f>
        <v/>
      </c>
    </row>
    <row r="224" spans="1:54" x14ac:dyDescent="0.25">
      <c r="A224" s="2">
        <v>43312</v>
      </c>
      <c r="B224" t="str">
        <f>IF(ISNUMBER(INDEX(Haver_Q!$B$1:$BD$1000,MATCH(data!$A224,Haver_Q!$B$1:$B$1000,0),MATCH(data!B$1,Haver_Q!$B$1:$BD$1,0))),100*INDEX(Haver_Q!$B$1:$BD$1000,MATCH(data!$A224,Haver_Q!$B$1:$B$1000,0),MATCH(data!B$1,Haver_Q!$B$1:$BD$1,0)),"na")</f>
        <v>na</v>
      </c>
      <c r="C224" t="str">
        <f>IF(ISNUMBER(INDEX(Haver_Q!$B$1:$BD$1000,MATCH(data!$A224,Haver_Q!$B$1:$B$1000,0),MATCH(data!C$1,Haver_Q!$B$1:$BD$1,0))),100*INDEX(Haver_Q!$B$1:$BD$1000,MATCH(data!$A224,Haver_Q!$B$1:$B$1000,0),MATCH(data!C$1,Haver_Q!$B$1:$BD$1,0)),"na")</f>
        <v>na</v>
      </c>
      <c r="D224" t="str">
        <f>IF(ISNUMBER(INDEX(Haver_Q!$B$1:$BD$1000,MATCH(data!$A224,Haver_Q!$B$1:$B$1000,0),MATCH(data!D$1,Haver_Q!$B$1:$BD$1,0))),100*INDEX(Haver_Q!$B$1:$BD$1000,MATCH(data!$A224,Haver_Q!$B$1:$B$1000,0),MATCH(data!D$1,Haver_Q!$B$1:$BD$1,0)),"na")</f>
        <v>na</v>
      </c>
      <c r="E224" t="str">
        <f>IF(ISNUMBER(INDEX(Haver_Q!$B$1:$BD$1000,MATCH(data!$A224,Haver_Q!$B$1:$B$1000,0),MATCH(data!E$1,Haver_Q!$B$1:$BD$1,0))),100*INDEX(Haver_Q!$B$1:$BD$1000,MATCH(data!$A224,Haver_Q!$B$1:$B$1000,0),MATCH(data!E$1,Haver_Q!$B$1:$BD$1,0)),"na")</f>
        <v>na</v>
      </c>
      <c r="F224" t="str">
        <f>IF(ISNUMBER(INDEX(Haver_Q!$B$1:$BD$1000,MATCH(data!$A224,Haver_Q!$B$1:$B$1000,0),MATCH(data!F$1,Haver_Q!$B$1:$BD$1,0))),100*INDEX(Haver_Q!$B$1:$BD$1000,MATCH(data!$A224,Haver_Q!$B$1:$B$1000,0),MATCH(data!F$1,Haver_Q!$B$1:$BD$1,0)),"na")</f>
        <v>na</v>
      </c>
      <c r="G224" t="str">
        <f>IF(ISNUMBER(INDEX(Haver_Q!$B$1:$BD$1000,MATCH(data!$A224,Haver_Q!$B$1:$B$1000,0),MATCH(data!G$1,Haver_Q!$B$1:$BD$1,0))),100*INDEX(Haver_Q!$B$1:$BD$1000,MATCH(data!$A224,Haver_Q!$B$1:$B$1000,0),MATCH(data!G$1,Haver_Q!$B$1:$BD$1,0)),"na")</f>
        <v>na</v>
      </c>
      <c r="H224" t="str">
        <f>IF(ISNUMBER(INDEX(Haver_Q!$B$1:$BD$1000,MATCH(data!$A224,Haver_Q!$B$1:$B$1000,0),MATCH(data!H$1,Haver_Q!$B$1:$BD$1,0))),100*INDEX(Haver_Q!$B$1:$BD$1000,MATCH(data!$A224,Haver_Q!$B$1:$B$1000,0),MATCH(data!H$1,Haver_Q!$B$1:$BD$1,0)),"na")</f>
        <v>na</v>
      </c>
      <c r="I224" s="3">
        <f>IF(ISNUMBER(Bloomberg_m!C240),Bloomberg_m!C240,"na")</f>
        <v>1650</v>
      </c>
      <c r="J224" s="3">
        <f>IF(ISNUMBER(Bloomberg_m!D240),Bloomberg_m!D240,"na")</f>
        <v>1472.3</v>
      </c>
      <c r="K224" s="3">
        <f>IF(ISNUMBER(Bloomberg_m!E240),Bloomberg_m!E240,"na")</f>
        <v>825.08</v>
      </c>
      <c r="L224" s="3">
        <f>IF(ISNUMBER(Bloomberg_m!L240),Bloomberg_m!L240,"na")</f>
        <v>70.84</v>
      </c>
      <c r="M224">
        <f>IF(ISNUMBER(INDEX(Haver_M!$B$1:$ZN$1000,MATCH(data!$A224,Haver_M!$B$1:$B$1000,0),MATCH(data!M$1,Haver_M!$B$1:$ZN$1,0))),INDEX(Haver_M!$B$1:$ZN$1000,MATCH(data!$A224,Haver_M!$B$1:$B$1000,0),MATCH(data!M$1,Haver_M!$B$1:$ZN$1,0)),"na")</f>
        <v>7.75</v>
      </c>
      <c r="N224">
        <f>IF(ISNUMBER(INDEX(Haver_M!$B$1:$ZN$1000,MATCH(data!$A224,Haver_M!$B$1:$B$1000,0),MATCH(data!N$1,Haver_M!$B$1:$ZN$1,0))),INDEX(Haver_M!$B$1:$ZN$1000,MATCH(data!$A224,Haver_M!$B$1:$B$1000,0),MATCH(data!N$1,Haver_M!$B$1:$ZN$1,0)),"na")</f>
        <v>7.7055999999999996</v>
      </c>
      <c r="O224">
        <f>IF(ISNUMBER(INDEX(Haver_M!$B$1:$ZN$1000,MATCH(data!$A224,Haver_M!$B$1:$B$1000,0),MATCH(data!O$1,Haver_M!$B$1:$ZN$1,0))),INDEX(Haver_M!$B$1:$ZN$1000,MATCH(data!$A224,Haver_M!$B$1:$B$1000,0),MATCH(data!O$1,Haver_M!$B$1:$ZN$1,0)),"na")</f>
        <v>82.506910000000005</v>
      </c>
      <c r="P224">
        <f>IF(ISNUMBER(INDEX(Haver_M!$B$1:$ZN$1000,MATCH(data!$A224,Haver_M!$B$1:$B$1000,0),MATCH(data!P$1,Haver_M!$B$1:$ZN$1,0))),INDEX(Haver_M!$B$1:$ZN$1000,MATCH(data!$A224,Haver_M!$B$1:$B$1000,0),MATCH(data!P$1,Haver_M!$B$1:$ZN$1,0)),"na")</f>
        <v>100.4624</v>
      </c>
      <c r="Q224">
        <f>IF(ISNUMBER(INDEX(Haver_M!$B$1:$ZN$1000,MATCH(data!$A224,Haver_M!$B$1:$B$1000,0),MATCH(data!Q$1,Haver_M!$B$1:$ZN$1,0))),INDEX(Haver_M!$B$1:$ZN$1000,MATCH(data!$A224,Haver_M!$B$1:$B$1000,0),MATCH(data!Q$1,Haver_M!$B$1:$ZN$1,0)),"na")</f>
        <v>99.982600000000005</v>
      </c>
      <c r="R224">
        <f>IF(ISNUMBER(INDEX(Haver_M!$B$1:$ZN$1000,MATCH(data!$A224,Haver_M!$B$1:$B$1000,0),MATCH(data!R$1,Haver_M!$B$1:$ZN$1,0))),INDEX(Haver_M!$B$1:$ZN$1000,MATCH(data!$A224,Haver_M!$B$1:$B$1000,0),MATCH(data!R$1,Haver_M!$B$1:$ZN$1,0)),"na")</f>
        <v>104.99290000000001</v>
      </c>
      <c r="S224">
        <f>IF(ISNUMBER(INDEX(Haver_M!$B$1:$ZN$1000,MATCH(data!$A224,Haver_M!$B$1:$B$1000,0),MATCH(data!S$1,Haver_M!$B$1:$ZN$1,0))),INDEX(Haver_M!$B$1:$ZN$1000,MATCH(data!$A224,Haver_M!$B$1:$B$1000,0),MATCH(data!S$1,Haver_M!$B$1:$ZN$1,0)),"na")</f>
        <v>77.397099999999995</v>
      </c>
      <c r="T224">
        <f>IF(ISNUMBER(INDEX(Haver_M!$B$1:$ZN$1000,MATCH(data!$A224,Haver_M!$B$1:$B$1000,0),MATCH(data!T$1,Haver_M!$B$1:$ZN$1,0))),INDEX(Haver_M!$B$1:$ZN$1000,MATCH(data!$A224,Haver_M!$B$1:$B$1000,0),MATCH(data!T$1,Haver_M!$B$1:$ZN$1,0)),"na")</f>
        <v>120.5438</v>
      </c>
      <c r="U224">
        <f>IF(ISNUMBER(INDEX(Haver_M!$B$1:$ZN$1000,MATCH(data!$A224,Haver_M!$B$1:$B$1000,0),MATCH(data!U$1,Haver_M!$B$1:$ZN$1,0))),INDEX(Haver_M!$B$1:$ZN$1000,MATCH(data!$A224,Haver_M!$B$1:$B$1000,0),MATCH(data!U$1,Haver_M!$B$1:$ZN$1,0)),"na")</f>
        <v>109.12569999999999</v>
      </c>
      <c r="V224">
        <f>IF(ISNUMBER(INDEX(Haver_M!$B$1:$ZN$1000,MATCH(data!$A224,Haver_M!$B$1:$B$1000,0),MATCH(data!V$1,Haver_M!$B$1:$ZN$1,0))),INDEX(Haver_M!$B$1:$ZN$1000,MATCH(data!$A224,Haver_M!$B$1:$B$1000,0),MATCH(data!V$1,Haver_M!$B$1:$ZN$1,0)),"na")</f>
        <v>113.9367</v>
      </c>
      <c r="W224">
        <f>IF(ISNUMBER(INDEX(Haver_M!$B$1:$ZN$1000,MATCH(data!$A224,Haver_M!$B$1:$B$1000,0),MATCH(data!W$1,Haver_M!$B$1:$ZN$1,0))),INDEX(Haver_M!$B$1:$ZN$1000,MATCH(data!$A224,Haver_M!$B$1:$B$1000,0),MATCH(data!W$1,Haver_M!$B$1:$ZN$1,0)),"na")</f>
        <v>3.32</v>
      </c>
      <c r="X224">
        <f>IF(ISNUMBER(INDEX(Haver_M!$B$1:$ZN$1000,MATCH(data!$A224,Haver_M!$B$1:$B$1000,0),MATCH(data!X$1,Haver_M!$B$1:$ZN$1,0))),INDEX(Haver_M!$B$1:$ZN$1000,MATCH(data!$A224,Haver_M!$B$1:$B$1000,0),MATCH(data!X$1,Haver_M!$B$1:$ZN$1,0)),"na")</f>
        <v>104.81</v>
      </c>
      <c r="Y224">
        <f>IF(ISNUMBER(INDEX(Haver_M!$B$1:$ZN$1000,MATCH(data!$A224,Haver_M!$B$1:$B$1000,0),MATCH(data!Y$1,Haver_M!$B$1:$ZN$1,0))),INDEX(Haver_M!$B$1:$ZN$1000,MATCH(data!$A224,Haver_M!$B$1:$B$1000,0),MATCH(data!Y$1,Haver_M!$B$1:$ZN$1,0)),"na")</f>
        <v>100.46</v>
      </c>
      <c r="Z224">
        <f>IF(ISNUMBER(INDEX(Haver_M!$B$1:$ZN$1000,MATCH(data!$A224,Haver_M!$B$1:$B$1000,0),MATCH(data!Z$1,Haver_M!$B$1:$ZN$1,0))),INDEX(Haver_M!$B$1:$ZN$1000,MATCH(data!$A224,Haver_M!$B$1:$B$1000,0),MATCH(data!Z$1,Haver_M!$B$1:$ZN$1,0)),"na")</f>
        <v>113.65600000000001</v>
      </c>
      <c r="AA224">
        <f>IF(ISNUMBER(INDEX(Haver_M!$B$1:$ZN$1000,MATCH(data!$A224,Haver_M!$B$1:$B$1000,0),MATCH(data!AA$1,Haver_M!$B$1:$ZN$1,0))),INDEX(Haver_M!$B$1:$ZN$1000,MATCH(data!$A224,Haver_M!$B$1:$B$1000,0),MATCH(data!AA$1,Haver_M!$B$1:$ZN$1,0)),"na")</f>
        <v>109.6939</v>
      </c>
      <c r="AB224">
        <f>IF(ISNUMBER(INDEX(Haver_M!$B$1:$ZN$1000,MATCH(data!$A224,Haver_M!$B$1:$B$1000,0),MATCH(data!AB$1,Haver_M!$B$1:$ZN$1,0))),INDEX(Haver_M!$B$1:$ZN$1000,MATCH(data!$A224,Haver_M!$B$1:$B$1000,0),MATCH(data!AB$1,Haver_M!$B$1:$ZN$1,0)),"na")</f>
        <v>37224.800000000003</v>
      </c>
      <c r="AC224">
        <f>IF(ISNUMBER(INDEX(Haver_M!$B$1:$ZN$1000,MATCH(data!$A224,Haver_M!$B$1:$B$1000,0),MATCH(data!AC$1,Haver_M!$B$1:$ZN$1,0))),INDEX(Haver_M!$B$1:$ZN$1000,MATCH(data!$A224,Haver_M!$B$1:$B$1000,0),MATCH(data!AC$1,Haver_M!$B$1:$ZN$1,0)),"na")</f>
        <v>39095</v>
      </c>
      <c r="AD224">
        <f>IF(ISNUMBER(INDEX(Haver_M!$B$1:$ZN$1000,MATCH(data!$A224,Haver_M!$B$1:$B$1000,0),MATCH(data!AD$1,Haver_M!$B$1:$ZN$1,0))),INDEX(Haver_M!$B$1:$ZN$1000,MATCH(data!$A224,Haver_M!$B$1:$B$1000,0),MATCH(data!AD$1,Haver_M!$B$1:$ZN$1,0)),"na")</f>
        <v>100.55</v>
      </c>
      <c r="AE224">
        <f>IF(ISNUMBER(INDEX(Haver_M!$B$1:$ZN$1000,MATCH(data!$A224,Haver_M!$B$1:$B$1000,0),MATCH(data!AE$1,Haver_M!$B$1:$ZN$1,0))),INDEX(Haver_M!$B$1:$ZN$1000,MATCH(data!$A224,Haver_M!$B$1:$B$1000,0),MATCH(data!AE$1,Haver_M!$B$1:$ZN$1,0)),"na")</f>
        <v>43.1</v>
      </c>
      <c r="AF224">
        <f>IF(ISNUMBER(INDEX(Haver_M!$B$1:$ZN$1000,MATCH(data!$A224,Haver_M!$B$1:$B$1000,0),MATCH(data!AF$1,Haver_M!$B$1:$ZN$1,0))),INDEX(Haver_M!$B$1:$ZN$1000,MATCH(data!$A224,Haver_M!$B$1:$B$1000,0),MATCH(data!AF$1,Haver_M!$B$1:$ZN$1,0)),"na")</f>
        <v>100.81</v>
      </c>
      <c r="AG224">
        <f>IF(ISNUMBER(INDEX(Haver_M!$B$1:$ZN$1000,MATCH(data!$A224,Haver_M!$B$1:$B$1000,0),MATCH(data!AG$1,Haver_M!$B$1:$ZN$1,0))),INDEX(Haver_M!$B$1:$ZN$1000,MATCH(data!$A224,Haver_M!$B$1:$B$1000,0),MATCH(data!AG$1,Haver_M!$B$1:$ZN$1,0)),"na")</f>
        <v>52.067</v>
      </c>
      <c r="AH224">
        <f>IF(ISNUMBER(INDEX(Haver_M!$B$1:$ZN$1000,MATCH(data!$A224,Haver_M!$B$1:$B$1000,0),MATCH(data!AH$1,Haver_M!$B$1:$ZN$1,0))),INDEX(Haver_M!$B$1:$ZN$1000,MATCH(data!$A224,Haver_M!$B$1:$B$1000,0),MATCH(data!AH$1,Haver_M!$B$1:$ZN$1,0)),"na")</f>
        <v>51.237200000000001</v>
      </c>
      <c r="AI224">
        <f>IF(ISNUMBER(INDEX(Haver_M!$B$1:$ZN$1000,MATCH(data!$A224,Haver_M!$B$1:$B$1000,0),MATCH(data!AI$1,Haver_M!$B$1:$ZN$1,0))),INDEX(Haver_M!$B$1:$ZN$1000,MATCH(data!$A224,Haver_M!$B$1:$B$1000,0),MATCH(data!AI$1,Haver_M!$B$1:$ZN$1,0)),"na")</f>
        <v>53.612099999999998</v>
      </c>
      <c r="AJ224">
        <f>IF(ISNUMBER(INDEX(Haver_M!$B$1:$ZN$1000,MATCH(data!$A224,Haver_M!$B$1:$B$1000,0),MATCH(data!AJ$1,Haver_M!$B$1:$ZN$1,0))),INDEX(Haver_M!$B$1:$ZN$1000,MATCH(data!$A224,Haver_M!$B$1:$B$1000,0),MATCH(data!AJ$1,Haver_M!$B$1:$ZN$1,0)),"na")</f>
        <v>52.110500000000002</v>
      </c>
      <c r="AK224">
        <f>IF(ISNUMBER(INDEX(Haver_M!$B$1:$ZN$1000,MATCH(data!$A224,Haver_M!$B$1:$B$1000,0),MATCH(data!AK$1,Haver_M!$B$1:$ZN$1,0))),INDEX(Haver_M!$B$1:$ZN$1000,MATCH(data!$A224,Haver_M!$B$1:$B$1000,0),MATCH(data!AK$1,Haver_M!$B$1:$ZN$1,0)),"na")</f>
        <v>48.426900000000003</v>
      </c>
      <c r="AL224">
        <f>IF(ISNUMBER(INDEX(Haver_M!$B$1:$ZN$1000,MATCH(data!$A224,Haver_M!$B$1:$B$1000,0),MATCH(data!AL$1,Haver_M!$B$1:$ZN$1,0))),INDEX(Haver_M!$B$1:$ZN$1000,MATCH(data!$A224,Haver_M!$B$1:$B$1000,0),MATCH(data!AL$1,Haver_M!$B$1:$ZN$1,0)),"na")</f>
        <v>50.1599</v>
      </c>
      <c r="AM224">
        <f>IF(ISNUMBER(INDEX(Haver_M!$B$1:$ZN$1000,MATCH(data!$A224,Haver_M!$B$1:$B$1000,0),MATCH(data!AM$1,Haver_M!$B$1:$ZN$1,0))),INDEX(Haver_M!$B$1:$ZN$1000,MATCH(data!$A224,Haver_M!$B$1:$B$1000,0),MATCH(data!AM$1,Haver_M!$B$1:$ZN$1,0)),"na")</f>
        <v>63.773699999999998</v>
      </c>
      <c r="AN224">
        <f>IF(ISNUMBER(INDEX(Haver_M!$B$1:$ZN$1000,MATCH(data!$A224,Haver_M!$B$1:$B$1000,0),MATCH(data!AN$1,Haver_M!$B$1:$ZN$1,0))),INDEX(Haver_M!$B$1:$ZN$1000,MATCH(data!$A224,Haver_M!$B$1:$B$1000,0),MATCH(data!AN$1,Haver_M!$B$1:$ZN$1,0)),"na")</f>
        <v>50.882599999999996</v>
      </c>
      <c r="AO224">
        <f>IF(ISNUMBER(INDEX(Haver_M!$B$1:$ZN$1000,MATCH(data!$A224,Haver_M!$B$1:$B$1000,0),MATCH(data!AO$1,Haver_M!$B$1:$ZN$1,0))),INDEX(Haver_M!$B$1:$ZN$1000,MATCH(data!$A224,Haver_M!$B$1:$B$1000,0),MATCH(data!AO$1,Haver_M!$B$1:$ZN$1,0)),"na")</f>
        <v>50.1599</v>
      </c>
      <c r="AP224">
        <f>IF(ISNUMBER(INDEX(Haver_M!$B$1:$ZN$1000,MATCH(data!$A224,Haver_M!$B$1:$B$1000,0),MATCH(data!AP$1,Haver_M!$B$1:$ZN$1,0))),INDEX(Haver_M!$B$1:$ZN$1000,MATCH(data!$A224,Haver_M!$B$1:$B$1000,0),MATCH(data!AP$1,Haver_M!$B$1:$ZN$1,0)),"na")</f>
        <v>52.304000000000002</v>
      </c>
      <c r="AQ224">
        <f>IF(ISNUMBER(INDEX(Haver_M!$B$1:$ZN$1000,MATCH(data!$A224,Haver_M!$B$1:$B$1000,0),MATCH(data!AQ$1,Haver_M!$B$1:$ZN$1,0))),INDEX(Haver_M!$B$1:$ZN$1000,MATCH(data!$A224,Haver_M!$B$1:$B$1000,0),MATCH(data!AQ$1,Haver_M!$B$1:$ZN$1,0)),"na")</f>
        <v>54.119300000000003</v>
      </c>
      <c r="AR224">
        <f>IF(ISNUMBER(INDEX(Haver_M!$B$1:$ZN$1000,MATCH(data!$A224,Haver_M!$B$1:$B$1000,0),MATCH(data!AR$1,Haver_M!$B$1:$ZN$1,0))),INDEX(Haver_M!$B$1:$ZN$1000,MATCH(data!$A224,Haver_M!$B$1:$B$1000,0),MATCH(data!AR$1,Haver_M!$B$1:$ZN$1,0)),"na")</f>
        <v>47.642099999999999</v>
      </c>
      <c r="AS224">
        <f>IF(ISNUMBER(INDEX(Haver_M!$B$1:$ZN$1000,MATCH(data!$A224,Haver_M!$B$1:$B$1000,0),MATCH(data!AS$1,Haver_M!$B$1:$ZN$1,0))),INDEX(Haver_M!$B$1:$ZN$1000,MATCH(data!$A224,Haver_M!$B$1:$B$1000,0),MATCH(data!AS$1,Haver_M!$B$1:$ZN$1,0)),"na")</f>
        <v>48779.3</v>
      </c>
      <c r="AT224">
        <f>IF(ISNUMBER(INDEX(Haver_M!$B$1:$ZN$1000,MATCH(data!$A224,Haver_M!$B$1:$B$1000,0),MATCH(data!AT$1,Haver_M!$B$1:$ZN$1,0))),INDEX(Haver_M!$B$1:$ZN$1000,MATCH(data!$A224,Haver_M!$B$1:$B$1000,0),MATCH(data!AT$1,Haver_M!$B$1:$ZN$1,0)),"na")</f>
        <v>116.818</v>
      </c>
      <c r="AU224">
        <f>IF(ISNUMBER(INDEX(Haver_M!$B$1:$ZN$1000,MATCH(data!$A224,Haver_M!$B$1:$B$1000,0),MATCH(data!AU$1,Haver_M!$B$1:$ZN$1,0))),INDEX(Haver_M!$B$1:$ZN$1000,MATCH(data!$A224,Haver_M!$B$1:$B$1000,0),MATCH(data!AU$1,Haver_M!$B$1:$ZN$1,0)),"na")</f>
        <v>113.422285</v>
      </c>
      <c r="AV224">
        <f>IF(ISNUMBER(INDEX(Haver_M!$B$1:$ZN$1000,MATCH(data!$A224,Haver_M!$B$1:$B$1000,0),MATCH(data!AV$1,Haver_M!$B$1:$ZN$1,0))),INDEX(Haver_M!$B$1:$ZN$1000,MATCH(data!$A224,Haver_M!$B$1:$B$1000,0),MATCH(data!AV$1,Haver_M!$B$1:$ZN$1,0)),"na")</f>
        <v>111.8</v>
      </c>
      <c r="AW224">
        <f>IF(ISNUMBER(INDEX(Haver_M!$B$1:$ZN$1000,MATCH(data!$A224,Haver_M!$B$1:$B$1000,0),MATCH(data!AW$1,Haver_M!$B$1:$ZN$1,0))),INDEX(Haver_M!$B$1:$ZN$1000,MATCH(data!$A224,Haver_M!$B$1:$B$1000,0),MATCH(data!AW$1,Haver_M!$B$1:$ZN$1,0)),"na")</f>
        <v>1808093.4723430565</v>
      </c>
      <c r="AX224">
        <f>IF(ISNUMBER(INDEX(Haver_M!$B$1:$ZN$1000,MATCH(data!$A224,Haver_M!$B$1:$B$1000,0),MATCH(data!AX$1,Haver_M!$B$1:$ZN$1,0))),INDEX(Haver_M!$B$1:$ZN$1000,MATCH(data!$A224,Haver_M!$B$1:$B$1000,0),MATCH(data!AX$1,Haver_M!$B$1:$ZN$1,0)),"na")</f>
        <v>1813</v>
      </c>
      <c r="AY224">
        <f>IF(ISNUMBER(INDEX(Haver_M!$B$1:$ZN$1000,MATCH(data!$A224,Haver_M!$B$1:$B$1000,0),MATCH(data!AY$1,Haver_M!$B$1:$ZN$1,0))),INDEX(Haver_M!$B$1:$ZN$1000,MATCH(data!$A224,Haver_M!$B$1:$B$1000,0),MATCH(data!AY$1,Haver_M!$B$1:$ZN$1,0)),"na")</f>
        <v>1156</v>
      </c>
      <c r="AZ224">
        <f>IF(ISNUMBER(INDEX(Haver_M!$B$1:$ZN$1000,MATCH(data!$A224,Haver_M!$B$1:$B$1000,0),MATCH(data!AZ$1,Haver_M!$B$1:$ZN$1,0))),INDEX(Haver_M!$B$1:$ZN$1000,MATCH(data!$A224,Haver_M!$B$1:$B$1000,0),MATCH(data!AZ$1,Haver_M!$B$1:$ZN$1,0)),"na")</f>
        <v>50.1</v>
      </c>
      <c r="BA224">
        <f>IF(ISNUMBER(INDEX(Haver_M!$B$1:$ZN$1000,MATCH(data!$A224,Haver_M!$B$1:$B$1000,0),MATCH(data!BA$1,Haver_M!$B$1:$ZN$1,0))),INDEX(Haver_M!$B$1:$ZN$1000,MATCH(data!$A224,Haver_M!$B$1:$B$1000,0),MATCH(data!BA$1,Haver_M!$B$1:$ZN$1,0)),"na")</f>
        <v>63.521071747265637</v>
      </c>
      <c r="BB224" t="str">
        <f>IF(ISNUMBER(INDEX(Haver_M!$B$1:$ZN$1000,MATCH(data!$A224,Haver_M!$B$1:$B$1000,0),MATCH(data!BB$1,Haver_M!$B$1:$ZN$1,0))),INDEX(Haver_M!$B$1:$ZN$1000,MATCH(data!$A224,Haver_M!$B$1:$B$1000,0),MATCH(data!BB$1,Haver_M!$B$1:$ZN$1,0)),"")</f>
        <v/>
      </c>
    </row>
    <row r="225" spans="1:54" x14ac:dyDescent="0.25">
      <c r="A225" s="2">
        <v>43343</v>
      </c>
      <c r="B225" t="str">
        <f>IF(ISNUMBER(INDEX(Haver_Q!$B$1:$BD$1000,MATCH(data!$A225,Haver_Q!$B$1:$B$1000,0),MATCH(data!B$1,Haver_Q!$B$1:$BD$1,0))),100*INDEX(Haver_Q!$B$1:$BD$1000,MATCH(data!$A225,Haver_Q!$B$1:$B$1000,0),MATCH(data!B$1,Haver_Q!$B$1:$BD$1,0)),"na")</f>
        <v>na</v>
      </c>
      <c r="C225" t="str">
        <f>IF(ISNUMBER(INDEX(Haver_Q!$B$1:$BD$1000,MATCH(data!$A225,Haver_Q!$B$1:$B$1000,0),MATCH(data!C$1,Haver_Q!$B$1:$BD$1,0))),100*INDEX(Haver_Q!$B$1:$BD$1000,MATCH(data!$A225,Haver_Q!$B$1:$B$1000,0),MATCH(data!C$1,Haver_Q!$B$1:$BD$1,0)),"na")</f>
        <v>na</v>
      </c>
      <c r="D225" t="str">
        <f>IF(ISNUMBER(INDEX(Haver_Q!$B$1:$BD$1000,MATCH(data!$A225,Haver_Q!$B$1:$B$1000,0),MATCH(data!D$1,Haver_Q!$B$1:$BD$1,0))),100*INDEX(Haver_Q!$B$1:$BD$1000,MATCH(data!$A225,Haver_Q!$B$1:$B$1000,0),MATCH(data!D$1,Haver_Q!$B$1:$BD$1,0)),"na")</f>
        <v>na</v>
      </c>
      <c r="E225" t="str">
        <f>IF(ISNUMBER(INDEX(Haver_Q!$B$1:$BD$1000,MATCH(data!$A225,Haver_Q!$B$1:$B$1000,0),MATCH(data!E$1,Haver_Q!$B$1:$BD$1,0))),100*INDEX(Haver_Q!$B$1:$BD$1000,MATCH(data!$A225,Haver_Q!$B$1:$B$1000,0),MATCH(data!E$1,Haver_Q!$B$1:$BD$1,0)),"na")</f>
        <v>na</v>
      </c>
      <c r="F225" t="str">
        <f>IF(ISNUMBER(INDEX(Haver_Q!$B$1:$BD$1000,MATCH(data!$A225,Haver_Q!$B$1:$B$1000,0),MATCH(data!F$1,Haver_Q!$B$1:$BD$1,0))),100*INDEX(Haver_Q!$B$1:$BD$1000,MATCH(data!$A225,Haver_Q!$B$1:$B$1000,0),MATCH(data!F$1,Haver_Q!$B$1:$BD$1,0)),"na")</f>
        <v>na</v>
      </c>
      <c r="G225" t="str">
        <f>IF(ISNUMBER(INDEX(Haver_Q!$B$1:$BD$1000,MATCH(data!$A225,Haver_Q!$B$1:$B$1000,0),MATCH(data!G$1,Haver_Q!$B$1:$BD$1,0))),100*INDEX(Haver_Q!$B$1:$BD$1000,MATCH(data!$A225,Haver_Q!$B$1:$B$1000,0),MATCH(data!G$1,Haver_Q!$B$1:$BD$1,0)),"na")</f>
        <v>na</v>
      </c>
      <c r="H225" t="str">
        <f>IF(ISNUMBER(INDEX(Haver_Q!$B$1:$BD$1000,MATCH(data!$A225,Haver_Q!$B$1:$B$1000,0),MATCH(data!H$1,Haver_Q!$B$1:$BD$1,0))),100*INDEX(Haver_Q!$B$1:$BD$1000,MATCH(data!$A225,Haver_Q!$B$1:$B$1000,0),MATCH(data!H$1,Haver_Q!$B$1:$BD$1,0)),"na")</f>
        <v>na</v>
      </c>
      <c r="I225" s="3">
        <f>IF(ISNUMBER(Bloomberg_m!C241),Bloomberg_m!C241,"na")</f>
        <v>1710</v>
      </c>
      <c r="J225" s="3">
        <f>IF(ISNUMBER(Bloomberg_m!D241),Bloomberg_m!D241,"na")</f>
        <v>1731.35</v>
      </c>
      <c r="K225" s="3">
        <f>IF(ISNUMBER(Bloomberg_m!E241),Bloomberg_m!E241,"na")</f>
        <v>903.47</v>
      </c>
      <c r="L225" s="3">
        <f>IF(ISNUMBER(Bloomberg_m!L241),Bloomberg_m!L241,"na")</f>
        <v>67.989999999999995</v>
      </c>
      <c r="M225">
        <f>IF(ISNUMBER(INDEX(Haver_M!$B$1:$ZN$1000,MATCH(data!$A225,Haver_M!$B$1:$B$1000,0),MATCH(data!M$1,Haver_M!$B$1:$ZN$1,0))),INDEX(Haver_M!$B$1:$ZN$1000,MATCH(data!$A225,Haver_M!$B$1:$B$1000,0),MATCH(data!M$1,Haver_M!$B$1:$ZN$1,0)),"na")</f>
        <v>7.75</v>
      </c>
      <c r="N225">
        <f>IF(ISNUMBER(INDEX(Haver_M!$B$1:$ZN$1000,MATCH(data!$A225,Haver_M!$B$1:$B$1000,0),MATCH(data!N$1,Haver_M!$B$1:$ZN$1,0))),INDEX(Haver_M!$B$1:$ZN$1000,MATCH(data!$A225,Haver_M!$B$1:$B$1000,0),MATCH(data!N$1,Haver_M!$B$1:$ZN$1,0)),"na")</f>
        <v>7.7961</v>
      </c>
      <c r="O225">
        <f>IF(ISNUMBER(INDEX(Haver_M!$B$1:$ZN$1000,MATCH(data!$A225,Haver_M!$B$1:$B$1000,0),MATCH(data!O$1,Haver_M!$B$1:$ZN$1,0))),INDEX(Haver_M!$B$1:$ZN$1000,MATCH(data!$A225,Haver_M!$B$1:$B$1000,0),MATCH(data!O$1,Haver_M!$B$1:$ZN$1,0)),"na")</f>
        <v>83.83305</v>
      </c>
      <c r="P225">
        <f>IF(ISNUMBER(INDEX(Haver_M!$B$1:$ZN$1000,MATCH(data!$A225,Haver_M!$B$1:$B$1000,0),MATCH(data!P$1,Haver_M!$B$1:$ZN$1,0))),INDEX(Haver_M!$B$1:$ZN$1000,MATCH(data!$A225,Haver_M!$B$1:$B$1000,0),MATCH(data!P$1,Haver_M!$B$1:$ZN$1,0)),"na")</f>
        <v>101.04300000000001</v>
      </c>
      <c r="Q225">
        <f>IF(ISNUMBER(INDEX(Haver_M!$B$1:$ZN$1000,MATCH(data!$A225,Haver_M!$B$1:$B$1000,0),MATCH(data!Q$1,Haver_M!$B$1:$ZN$1,0))),INDEX(Haver_M!$B$1:$ZN$1000,MATCH(data!$A225,Haver_M!$B$1:$B$1000,0),MATCH(data!Q$1,Haver_M!$B$1:$ZN$1,0)),"na")</f>
        <v>100.31359999999999</v>
      </c>
      <c r="R225">
        <f>IF(ISNUMBER(INDEX(Haver_M!$B$1:$ZN$1000,MATCH(data!$A225,Haver_M!$B$1:$B$1000,0),MATCH(data!R$1,Haver_M!$B$1:$ZN$1,0))),INDEX(Haver_M!$B$1:$ZN$1000,MATCH(data!$A225,Haver_M!$B$1:$B$1000,0),MATCH(data!R$1,Haver_M!$B$1:$ZN$1,0)),"na")</f>
        <v>104.1318</v>
      </c>
      <c r="S225">
        <f>IF(ISNUMBER(INDEX(Haver_M!$B$1:$ZN$1000,MATCH(data!$A225,Haver_M!$B$1:$B$1000,0),MATCH(data!S$1,Haver_M!$B$1:$ZN$1,0))),INDEX(Haver_M!$B$1:$ZN$1000,MATCH(data!$A225,Haver_M!$B$1:$B$1000,0),MATCH(data!S$1,Haver_M!$B$1:$ZN$1,0)),"na")</f>
        <v>77.729399999999998</v>
      </c>
      <c r="T225">
        <f>IF(ISNUMBER(INDEX(Haver_M!$B$1:$ZN$1000,MATCH(data!$A225,Haver_M!$B$1:$B$1000,0),MATCH(data!T$1,Haver_M!$B$1:$ZN$1,0))),INDEX(Haver_M!$B$1:$ZN$1000,MATCH(data!$A225,Haver_M!$B$1:$B$1000,0),MATCH(data!T$1,Haver_M!$B$1:$ZN$1,0)),"na")</f>
        <v>118.4406</v>
      </c>
      <c r="U225">
        <f>IF(ISNUMBER(INDEX(Haver_M!$B$1:$ZN$1000,MATCH(data!$A225,Haver_M!$B$1:$B$1000,0),MATCH(data!U$1,Haver_M!$B$1:$ZN$1,0))),INDEX(Haver_M!$B$1:$ZN$1000,MATCH(data!$A225,Haver_M!$B$1:$B$1000,0),MATCH(data!U$1,Haver_M!$B$1:$ZN$1,0)),"na")</f>
        <v>104.1001</v>
      </c>
      <c r="V225">
        <f>IF(ISNUMBER(INDEX(Haver_M!$B$1:$ZN$1000,MATCH(data!$A225,Haver_M!$B$1:$B$1000,0),MATCH(data!V$1,Haver_M!$B$1:$ZN$1,0))),INDEX(Haver_M!$B$1:$ZN$1000,MATCH(data!$A225,Haver_M!$B$1:$B$1000,0),MATCH(data!V$1,Haver_M!$B$1:$ZN$1,0)),"na")</f>
        <v>114.32859999999999</v>
      </c>
      <c r="W225">
        <f>IF(ISNUMBER(INDEX(Haver_M!$B$1:$ZN$1000,MATCH(data!$A225,Haver_M!$B$1:$B$1000,0),MATCH(data!W$1,Haver_M!$B$1:$ZN$1,0))),INDEX(Haver_M!$B$1:$ZN$1000,MATCH(data!$A225,Haver_M!$B$1:$B$1000,0),MATCH(data!W$1,Haver_M!$B$1:$ZN$1,0)),"na")</f>
        <v>3.27</v>
      </c>
      <c r="X225">
        <f>IF(ISNUMBER(INDEX(Haver_M!$B$1:$ZN$1000,MATCH(data!$A225,Haver_M!$B$1:$B$1000,0),MATCH(data!X$1,Haver_M!$B$1:$ZN$1,0))),INDEX(Haver_M!$B$1:$ZN$1000,MATCH(data!$A225,Haver_M!$B$1:$B$1000,0),MATCH(data!X$1,Haver_M!$B$1:$ZN$1,0)),"na")</f>
        <v>105.27</v>
      </c>
      <c r="Y225">
        <f>IF(ISNUMBER(INDEX(Haver_M!$B$1:$ZN$1000,MATCH(data!$A225,Haver_M!$B$1:$B$1000,0),MATCH(data!Y$1,Haver_M!$B$1:$ZN$1,0))),INDEX(Haver_M!$B$1:$ZN$1000,MATCH(data!$A225,Haver_M!$B$1:$B$1000,0),MATCH(data!Y$1,Haver_M!$B$1:$ZN$1,0)),"na")</f>
        <v>100.48</v>
      </c>
      <c r="Z225">
        <f>IF(ISNUMBER(INDEX(Haver_M!$B$1:$ZN$1000,MATCH(data!$A225,Haver_M!$B$1:$B$1000,0),MATCH(data!Z$1,Haver_M!$B$1:$ZN$1,0))),INDEX(Haver_M!$B$1:$ZN$1000,MATCH(data!$A225,Haver_M!$B$1:$B$1000,0),MATCH(data!Z$1,Haver_M!$B$1:$ZN$1,0)),"na")</f>
        <v>113.06740000000001</v>
      </c>
      <c r="AA225">
        <f>IF(ISNUMBER(INDEX(Haver_M!$B$1:$ZN$1000,MATCH(data!$A225,Haver_M!$B$1:$B$1000,0),MATCH(data!AA$1,Haver_M!$B$1:$ZN$1,0))),INDEX(Haver_M!$B$1:$ZN$1000,MATCH(data!$A225,Haver_M!$B$1:$B$1000,0),MATCH(data!AA$1,Haver_M!$B$1:$ZN$1,0)),"na")</f>
        <v>109.61239999999999</v>
      </c>
      <c r="AB225">
        <f>IF(ISNUMBER(INDEX(Haver_M!$B$1:$ZN$1000,MATCH(data!$A225,Haver_M!$B$1:$B$1000,0),MATCH(data!AB$1,Haver_M!$B$1:$ZN$1,0))),INDEX(Haver_M!$B$1:$ZN$1000,MATCH(data!$A225,Haver_M!$B$1:$B$1000,0),MATCH(data!AB$1,Haver_M!$B$1:$ZN$1,0)),"na")</f>
        <v>37918.1</v>
      </c>
      <c r="AC225">
        <f>IF(ISNUMBER(INDEX(Haver_M!$B$1:$ZN$1000,MATCH(data!$A225,Haver_M!$B$1:$B$1000,0),MATCH(data!AC$1,Haver_M!$B$1:$ZN$1,0))),INDEX(Haver_M!$B$1:$ZN$1000,MATCH(data!$A225,Haver_M!$B$1:$B$1000,0),MATCH(data!AC$1,Haver_M!$B$1:$ZN$1,0)),"na")</f>
        <v>39050.800000000003</v>
      </c>
      <c r="AD225">
        <f>IF(ISNUMBER(INDEX(Haver_M!$B$1:$ZN$1000,MATCH(data!$A225,Haver_M!$B$1:$B$1000,0),MATCH(data!AD$1,Haver_M!$B$1:$ZN$1,0))),INDEX(Haver_M!$B$1:$ZN$1000,MATCH(data!$A225,Haver_M!$B$1:$B$1000,0),MATCH(data!AD$1,Haver_M!$B$1:$ZN$1,0)),"na")</f>
        <v>100.5</v>
      </c>
      <c r="AE225">
        <f>IF(ISNUMBER(INDEX(Haver_M!$B$1:$ZN$1000,MATCH(data!$A225,Haver_M!$B$1:$B$1000,0),MATCH(data!AE$1,Haver_M!$B$1:$ZN$1,0))),INDEX(Haver_M!$B$1:$ZN$1000,MATCH(data!$A225,Haver_M!$B$1:$B$1000,0),MATCH(data!AE$1,Haver_M!$B$1:$ZN$1,0)),"na")</f>
        <v>42.9</v>
      </c>
      <c r="AF225">
        <f>IF(ISNUMBER(INDEX(Haver_M!$B$1:$ZN$1000,MATCH(data!$A225,Haver_M!$B$1:$B$1000,0),MATCH(data!AF$1,Haver_M!$B$1:$ZN$1,0))),INDEX(Haver_M!$B$1:$ZN$1000,MATCH(data!$A225,Haver_M!$B$1:$B$1000,0),MATCH(data!AF$1,Haver_M!$B$1:$ZN$1,0)),"na")</f>
        <v>100.9</v>
      </c>
      <c r="AG225">
        <f>IF(ISNUMBER(INDEX(Haver_M!$B$1:$ZN$1000,MATCH(data!$A225,Haver_M!$B$1:$B$1000,0),MATCH(data!AG$1,Haver_M!$B$1:$ZN$1,0))),INDEX(Haver_M!$B$1:$ZN$1000,MATCH(data!$A225,Haver_M!$B$1:$B$1000,0),MATCH(data!AG$1,Haver_M!$B$1:$ZN$1,0)),"na")</f>
        <v>50.703699999999998</v>
      </c>
      <c r="AH225">
        <f>IF(ISNUMBER(INDEX(Haver_M!$B$1:$ZN$1000,MATCH(data!$A225,Haver_M!$B$1:$B$1000,0),MATCH(data!AH$1,Haver_M!$B$1:$ZN$1,0))),INDEX(Haver_M!$B$1:$ZN$1000,MATCH(data!$A225,Haver_M!$B$1:$B$1000,0),MATCH(data!AH$1,Haver_M!$B$1:$ZN$1,0)),"na")</f>
        <v>49.539200000000001</v>
      </c>
      <c r="AI225">
        <f>IF(ISNUMBER(INDEX(Haver_M!$B$1:$ZN$1000,MATCH(data!$A225,Haver_M!$B$1:$B$1000,0),MATCH(data!AI$1,Haver_M!$B$1:$ZN$1,0))),INDEX(Haver_M!$B$1:$ZN$1000,MATCH(data!$A225,Haver_M!$B$1:$B$1000,0),MATCH(data!AI$1,Haver_M!$B$1:$ZN$1,0)),"na")</f>
        <v>50.875300000000003</v>
      </c>
      <c r="AJ225">
        <f>IF(ISNUMBER(INDEX(Haver_M!$B$1:$ZN$1000,MATCH(data!$A225,Haver_M!$B$1:$B$1000,0),MATCH(data!AJ$1,Haver_M!$B$1:$ZN$1,0))),INDEX(Haver_M!$B$1:$ZN$1000,MATCH(data!$A225,Haver_M!$B$1:$B$1000,0),MATCH(data!AJ$1,Haver_M!$B$1:$ZN$1,0)),"na")</f>
        <v>51.820900000000002</v>
      </c>
      <c r="AK225">
        <f>IF(ISNUMBER(INDEX(Haver_M!$B$1:$ZN$1000,MATCH(data!$A225,Haver_M!$B$1:$B$1000,0),MATCH(data!AK$1,Haver_M!$B$1:$ZN$1,0))),INDEX(Haver_M!$B$1:$ZN$1000,MATCH(data!$A225,Haver_M!$B$1:$B$1000,0),MATCH(data!AK$1,Haver_M!$B$1:$ZN$1,0)),"na")</f>
        <v>49.036799999999999</v>
      </c>
      <c r="AL225">
        <f>IF(ISNUMBER(INDEX(Haver_M!$B$1:$ZN$1000,MATCH(data!$A225,Haver_M!$B$1:$B$1000,0),MATCH(data!AL$1,Haver_M!$B$1:$ZN$1,0))),INDEX(Haver_M!$B$1:$ZN$1000,MATCH(data!$A225,Haver_M!$B$1:$B$1000,0),MATCH(data!AL$1,Haver_M!$B$1:$ZN$1,0)),"na")</f>
        <v>50.476700000000001</v>
      </c>
      <c r="AM225">
        <f>IF(ISNUMBER(INDEX(Haver_M!$B$1:$ZN$1000,MATCH(data!$A225,Haver_M!$B$1:$B$1000,0),MATCH(data!AM$1,Haver_M!$B$1:$ZN$1,0))),INDEX(Haver_M!$B$1:$ZN$1000,MATCH(data!$A225,Haver_M!$B$1:$B$1000,0),MATCH(data!AM$1,Haver_M!$B$1:$ZN$1,0)),"na")</f>
        <v>59.5901</v>
      </c>
      <c r="AN225">
        <f>IF(ISNUMBER(INDEX(Haver_M!$B$1:$ZN$1000,MATCH(data!$A225,Haver_M!$B$1:$B$1000,0),MATCH(data!AN$1,Haver_M!$B$1:$ZN$1,0))),INDEX(Haver_M!$B$1:$ZN$1000,MATCH(data!$A225,Haver_M!$B$1:$B$1000,0),MATCH(data!AN$1,Haver_M!$B$1:$ZN$1,0)),"na")</f>
        <v>51.4803</v>
      </c>
      <c r="AO225">
        <f>IF(ISNUMBER(INDEX(Haver_M!$B$1:$ZN$1000,MATCH(data!$A225,Haver_M!$B$1:$B$1000,0),MATCH(data!AO$1,Haver_M!$B$1:$ZN$1,0))),INDEX(Haver_M!$B$1:$ZN$1000,MATCH(data!$A225,Haver_M!$B$1:$B$1000,0),MATCH(data!AO$1,Haver_M!$B$1:$ZN$1,0)),"na")</f>
        <v>50.476700000000001</v>
      </c>
      <c r="AP225">
        <f>IF(ISNUMBER(INDEX(Haver_M!$B$1:$ZN$1000,MATCH(data!$A225,Haver_M!$B$1:$B$1000,0),MATCH(data!AP$1,Haver_M!$B$1:$ZN$1,0))),INDEX(Haver_M!$B$1:$ZN$1000,MATCH(data!$A225,Haver_M!$B$1:$B$1000,0),MATCH(data!AP$1,Haver_M!$B$1:$ZN$1,0)),"na")</f>
        <v>51.075400000000002</v>
      </c>
      <c r="AQ225">
        <f>IF(ISNUMBER(INDEX(Haver_M!$B$1:$ZN$1000,MATCH(data!$A225,Haver_M!$B$1:$B$1000,0),MATCH(data!AQ$1,Haver_M!$B$1:$ZN$1,0))),INDEX(Haver_M!$B$1:$ZN$1000,MATCH(data!$A225,Haver_M!$B$1:$B$1000,0),MATCH(data!AQ$1,Haver_M!$B$1:$ZN$1,0)),"na")</f>
        <v>53.539299999999997</v>
      </c>
      <c r="AR225">
        <f>IF(ISNUMBER(INDEX(Haver_M!$B$1:$ZN$1000,MATCH(data!$A225,Haver_M!$B$1:$B$1000,0),MATCH(data!AR$1,Haver_M!$B$1:$ZN$1,0))),INDEX(Haver_M!$B$1:$ZN$1000,MATCH(data!$A225,Haver_M!$B$1:$B$1000,0),MATCH(data!AR$1,Haver_M!$B$1:$ZN$1,0)),"na")</f>
        <v>50.471800000000002</v>
      </c>
      <c r="AS225">
        <f>IF(ISNUMBER(INDEX(Haver_M!$B$1:$ZN$1000,MATCH(data!$A225,Haver_M!$B$1:$B$1000,0),MATCH(data!AS$1,Haver_M!$B$1:$ZN$1,0))),INDEX(Haver_M!$B$1:$ZN$1000,MATCH(data!$A225,Haver_M!$B$1:$B$1000,0),MATCH(data!AS$1,Haver_M!$B$1:$ZN$1,0)),"na")</f>
        <v>49329.56</v>
      </c>
      <c r="AT225">
        <f>IF(ISNUMBER(INDEX(Haver_M!$B$1:$ZN$1000,MATCH(data!$A225,Haver_M!$B$1:$B$1000,0),MATCH(data!AT$1,Haver_M!$B$1:$ZN$1,0))),INDEX(Haver_M!$B$1:$ZN$1000,MATCH(data!$A225,Haver_M!$B$1:$B$1000,0),MATCH(data!AT$1,Haver_M!$B$1:$ZN$1,0)),"na")</f>
        <v>116.911</v>
      </c>
      <c r="AU225">
        <f>IF(ISNUMBER(INDEX(Haver_M!$B$1:$ZN$1000,MATCH(data!$A225,Haver_M!$B$1:$B$1000,0),MATCH(data!AU$1,Haver_M!$B$1:$ZN$1,0))),INDEX(Haver_M!$B$1:$ZN$1000,MATCH(data!$A225,Haver_M!$B$1:$B$1000,0),MATCH(data!AU$1,Haver_M!$B$1:$ZN$1,0)),"na")</f>
        <v>113.480587</v>
      </c>
      <c r="AV225">
        <f>IF(ISNUMBER(INDEX(Haver_M!$B$1:$ZN$1000,MATCH(data!$A225,Haver_M!$B$1:$B$1000,0),MATCH(data!AV$1,Haver_M!$B$1:$ZN$1,0))),INDEX(Haver_M!$B$1:$ZN$1000,MATCH(data!$A225,Haver_M!$B$1:$B$1000,0),MATCH(data!AV$1,Haver_M!$B$1:$ZN$1,0)),"na")</f>
        <v>106.5</v>
      </c>
      <c r="AW225">
        <f>IF(ISNUMBER(INDEX(Haver_M!$B$1:$ZN$1000,MATCH(data!$A225,Haver_M!$B$1:$B$1000,0),MATCH(data!AW$1,Haver_M!$B$1:$ZN$1,0))),INDEX(Haver_M!$B$1:$ZN$1000,MATCH(data!$A225,Haver_M!$B$1:$B$1000,0),MATCH(data!AW$1,Haver_M!$B$1:$ZN$1,0)),"na")</f>
        <v>1921812.0915634369</v>
      </c>
      <c r="AX225">
        <f>IF(ISNUMBER(INDEX(Haver_M!$B$1:$ZN$1000,MATCH(data!$A225,Haver_M!$B$1:$B$1000,0),MATCH(data!AX$1,Haver_M!$B$1:$ZN$1,0))),INDEX(Haver_M!$B$1:$ZN$1000,MATCH(data!$A225,Haver_M!$B$1:$B$1000,0),MATCH(data!AX$1,Haver_M!$B$1:$ZN$1,0)),"na")</f>
        <v>1795</v>
      </c>
      <c r="AY225">
        <f>IF(ISNUMBER(INDEX(Haver_M!$B$1:$ZN$1000,MATCH(data!$A225,Haver_M!$B$1:$B$1000,0),MATCH(data!AY$1,Haver_M!$B$1:$ZN$1,0))),INDEX(Haver_M!$B$1:$ZN$1000,MATCH(data!$A225,Haver_M!$B$1:$B$1000,0),MATCH(data!AY$1,Haver_M!$B$1:$ZN$1,0)),"na")</f>
        <v>1181</v>
      </c>
      <c r="AZ225">
        <f>IF(ISNUMBER(INDEX(Haver_M!$B$1:$ZN$1000,MATCH(data!$A225,Haver_M!$B$1:$B$1000,0),MATCH(data!AZ$1,Haver_M!$B$1:$ZN$1,0))),INDEX(Haver_M!$B$1:$ZN$1000,MATCH(data!$A225,Haver_M!$B$1:$B$1000,0),MATCH(data!AZ$1,Haver_M!$B$1:$ZN$1,0)),"na")</f>
        <v>52.4</v>
      </c>
      <c r="BA225">
        <f>IF(ISNUMBER(INDEX(Haver_M!$B$1:$ZN$1000,MATCH(data!$A225,Haver_M!$B$1:$B$1000,0),MATCH(data!BA$1,Haver_M!$B$1:$ZN$1,0))),INDEX(Haver_M!$B$1:$ZN$1000,MATCH(data!$A225,Haver_M!$B$1:$B$1000,0),MATCH(data!BA$1,Haver_M!$B$1:$ZN$1,0)),"na")</f>
        <v>71.124842293415441</v>
      </c>
      <c r="BB225" t="str">
        <f>IF(ISNUMBER(INDEX(Haver_M!$B$1:$ZN$1000,MATCH(data!$A225,Haver_M!$B$1:$B$1000,0),MATCH(data!BB$1,Haver_M!$B$1:$ZN$1,0))),INDEX(Haver_M!$B$1:$ZN$1000,MATCH(data!$A225,Haver_M!$B$1:$B$1000,0),MATCH(data!BB$1,Haver_M!$B$1:$ZN$1,0)),"")</f>
        <v/>
      </c>
    </row>
    <row r="226" spans="1:54" x14ac:dyDescent="0.25">
      <c r="A226" s="2">
        <v>43373</v>
      </c>
      <c r="B226">
        <f>IF(ISNUMBER(INDEX(Haver_Q!$B$1:$BD$1000,MATCH(data!$A226,Haver_Q!$B$1:$B$1000,0),MATCH(data!B$1,Haver_Q!$B$1:$BD$1,0))),100*INDEX(Haver_Q!$B$1:$BD$1000,MATCH(data!$A226,Haver_Q!$B$1:$B$1000,0),MATCH(data!B$1,Haver_Q!$B$1:$BD$1,0)),"na")</f>
        <v>0.88658037412248092</v>
      </c>
      <c r="C226">
        <f>IF(ISNUMBER(INDEX(Haver_Q!$B$1:$BD$1000,MATCH(data!$A226,Haver_Q!$B$1:$B$1000,0),MATCH(data!C$1,Haver_Q!$B$1:$BD$1,0))),100*INDEX(Haver_Q!$B$1:$BD$1000,MATCH(data!$A226,Haver_Q!$B$1:$B$1000,0),MATCH(data!C$1,Haver_Q!$B$1:$BD$1,0)),"na")</f>
        <v>-4.2844840300933162</v>
      </c>
      <c r="D226">
        <f>IF(ISNUMBER(INDEX(Haver_Q!$B$1:$BD$1000,MATCH(data!$A226,Haver_Q!$B$1:$B$1000,0),MATCH(data!D$1,Haver_Q!$B$1:$BD$1,0))),100*INDEX(Haver_Q!$B$1:$BD$1000,MATCH(data!$A226,Haver_Q!$B$1:$B$1000,0),MATCH(data!D$1,Haver_Q!$B$1:$BD$1,0)),"na")</f>
        <v>0.66207448050674689</v>
      </c>
      <c r="E226">
        <f>IF(ISNUMBER(INDEX(Haver_Q!$B$1:$BD$1000,MATCH(data!$A226,Haver_Q!$B$1:$B$1000,0),MATCH(data!E$1,Haver_Q!$B$1:$BD$1,0))),100*INDEX(Haver_Q!$B$1:$BD$1000,MATCH(data!$A226,Haver_Q!$B$1:$B$1000,0),MATCH(data!E$1,Haver_Q!$B$1:$BD$1,0)),"na")</f>
        <v>-5.1627631996616579</v>
      </c>
      <c r="F226">
        <f>IF(ISNUMBER(INDEX(Haver_Q!$B$1:$BD$1000,MATCH(data!$A226,Haver_Q!$B$1:$B$1000,0),MATCH(data!F$1,Haver_Q!$B$1:$BD$1,0))),100*INDEX(Haver_Q!$B$1:$BD$1000,MATCH(data!$A226,Haver_Q!$B$1:$B$1000,0),MATCH(data!F$1,Haver_Q!$B$1:$BD$1,0)),"na")</f>
        <v>-0.13821676373733105</v>
      </c>
      <c r="G226">
        <f>IF(ISNUMBER(INDEX(Haver_Q!$B$1:$BD$1000,MATCH(data!$A226,Haver_Q!$B$1:$B$1000,0),MATCH(data!G$1,Haver_Q!$B$1:$BD$1,0))),100*INDEX(Haver_Q!$B$1:$BD$1000,MATCH(data!$A226,Haver_Q!$B$1:$B$1000,0),MATCH(data!G$1,Haver_Q!$B$1:$BD$1,0)),"na")</f>
        <v>4.3324077369172542</v>
      </c>
      <c r="H226">
        <f>IF(ISNUMBER(INDEX(Haver_Q!$B$1:$BD$1000,MATCH(data!$A226,Haver_Q!$B$1:$B$1000,0),MATCH(data!H$1,Haver_Q!$B$1:$BD$1,0))),100*INDEX(Haver_Q!$B$1:$BD$1000,MATCH(data!$A226,Haver_Q!$B$1:$B$1000,0),MATCH(data!H$1,Haver_Q!$B$1:$BD$1,0)),"na")</f>
        <v>299.95798731003333</v>
      </c>
      <c r="I226" s="3">
        <f>IF(ISNUMBER(Bloomberg_m!C242),Bloomberg_m!C242,"na")</f>
        <v>1447</v>
      </c>
      <c r="J226" s="3">
        <f>IF(ISNUMBER(Bloomberg_m!D242),Bloomberg_m!D242,"na")</f>
        <v>1743.23</v>
      </c>
      <c r="K226" s="3">
        <f>IF(ISNUMBER(Bloomberg_m!E242),Bloomberg_m!E242,"na")</f>
        <v>897.97</v>
      </c>
      <c r="L226" s="3">
        <f>IF(ISNUMBER(Bloomberg_m!L242),Bloomberg_m!L242,"na")</f>
        <v>70.209999999999994</v>
      </c>
      <c r="M226">
        <f>IF(ISNUMBER(INDEX(Haver_M!$B$1:$ZN$1000,MATCH(data!$A226,Haver_M!$B$1:$B$1000,0),MATCH(data!M$1,Haver_M!$B$1:$ZN$1,0))),INDEX(Haver_M!$B$1:$ZN$1000,MATCH(data!$A226,Haver_M!$B$1:$B$1000,0),MATCH(data!M$1,Haver_M!$B$1:$ZN$1,0)),"na")</f>
        <v>7.75</v>
      </c>
      <c r="N226">
        <f>IF(ISNUMBER(INDEX(Haver_M!$B$1:$ZN$1000,MATCH(data!$A226,Haver_M!$B$1:$B$1000,0),MATCH(data!N$1,Haver_M!$B$1:$ZN$1,0))),INDEX(Haver_M!$B$1:$ZN$1000,MATCH(data!$A226,Haver_M!$B$1:$B$1000,0),MATCH(data!N$1,Haver_M!$B$1:$ZN$1,0)),"na")</f>
        <v>8.0169999999999995</v>
      </c>
      <c r="O226">
        <f>IF(ISNUMBER(INDEX(Haver_M!$B$1:$ZN$1000,MATCH(data!$A226,Haver_M!$B$1:$B$1000,0),MATCH(data!O$1,Haver_M!$B$1:$ZN$1,0))),INDEX(Haver_M!$B$1:$ZN$1000,MATCH(data!$A226,Haver_M!$B$1:$B$1000,0),MATCH(data!O$1,Haver_M!$B$1:$ZN$1,0)),"na")</f>
        <v>83.414990000000003</v>
      </c>
      <c r="P226">
        <f>IF(ISNUMBER(INDEX(Haver_M!$B$1:$ZN$1000,MATCH(data!$A226,Haver_M!$B$1:$B$1000,0),MATCH(data!P$1,Haver_M!$B$1:$ZN$1,0))),INDEX(Haver_M!$B$1:$ZN$1000,MATCH(data!$A226,Haver_M!$B$1:$B$1000,0),MATCH(data!P$1,Haver_M!$B$1:$ZN$1,0)),"na")</f>
        <v>101.4216</v>
      </c>
      <c r="Q226">
        <f>IF(ISNUMBER(INDEX(Haver_M!$B$1:$ZN$1000,MATCH(data!$A226,Haver_M!$B$1:$B$1000,0),MATCH(data!Q$1,Haver_M!$B$1:$ZN$1,0))),INDEX(Haver_M!$B$1:$ZN$1000,MATCH(data!$A226,Haver_M!$B$1:$B$1000,0),MATCH(data!Q$1,Haver_M!$B$1:$ZN$1,0)),"na")</f>
        <v>100.61409999999999</v>
      </c>
      <c r="R226">
        <f>IF(ISNUMBER(INDEX(Haver_M!$B$1:$ZN$1000,MATCH(data!$A226,Haver_M!$B$1:$B$1000,0),MATCH(data!R$1,Haver_M!$B$1:$ZN$1,0))),INDEX(Haver_M!$B$1:$ZN$1000,MATCH(data!$A226,Haver_M!$B$1:$B$1000,0),MATCH(data!R$1,Haver_M!$B$1:$ZN$1,0)),"na")</f>
        <v>104.4503</v>
      </c>
      <c r="S226">
        <f>IF(ISNUMBER(INDEX(Haver_M!$B$1:$ZN$1000,MATCH(data!$A226,Haver_M!$B$1:$B$1000,0),MATCH(data!S$1,Haver_M!$B$1:$ZN$1,0))),INDEX(Haver_M!$B$1:$ZN$1000,MATCH(data!$A226,Haver_M!$B$1:$B$1000,0),MATCH(data!S$1,Haver_M!$B$1:$ZN$1,0)),"na")</f>
        <v>77.123000000000005</v>
      </c>
      <c r="T226">
        <f>IF(ISNUMBER(INDEX(Haver_M!$B$1:$ZN$1000,MATCH(data!$A226,Haver_M!$B$1:$B$1000,0),MATCH(data!T$1,Haver_M!$B$1:$ZN$1,0))),INDEX(Haver_M!$B$1:$ZN$1000,MATCH(data!$A226,Haver_M!$B$1:$B$1000,0),MATCH(data!T$1,Haver_M!$B$1:$ZN$1,0)),"na")</f>
        <v>119.35420000000001</v>
      </c>
      <c r="U226">
        <f>IF(ISNUMBER(INDEX(Haver_M!$B$1:$ZN$1000,MATCH(data!$A226,Haver_M!$B$1:$B$1000,0),MATCH(data!U$1,Haver_M!$B$1:$ZN$1,0))),INDEX(Haver_M!$B$1:$ZN$1000,MATCH(data!$A226,Haver_M!$B$1:$B$1000,0),MATCH(data!U$1,Haver_M!$B$1:$ZN$1,0)),"na")</f>
        <v>106.30880000000001</v>
      </c>
      <c r="V226">
        <f>IF(ISNUMBER(INDEX(Haver_M!$B$1:$ZN$1000,MATCH(data!$A226,Haver_M!$B$1:$B$1000,0),MATCH(data!V$1,Haver_M!$B$1:$ZN$1,0))),INDEX(Haver_M!$B$1:$ZN$1000,MATCH(data!$A226,Haver_M!$B$1:$B$1000,0),MATCH(data!V$1,Haver_M!$B$1:$ZN$1,0)),"na")</f>
        <v>114.7914</v>
      </c>
      <c r="W226">
        <f>IF(ISNUMBER(INDEX(Haver_M!$B$1:$ZN$1000,MATCH(data!$A226,Haver_M!$B$1:$B$1000,0),MATCH(data!W$1,Haver_M!$B$1:$ZN$1,0))),INDEX(Haver_M!$B$1:$ZN$1000,MATCH(data!$A226,Haver_M!$B$1:$B$1000,0),MATCH(data!W$1,Haver_M!$B$1:$ZN$1,0)),"na")</f>
        <v>3.32</v>
      </c>
      <c r="X226">
        <f>IF(ISNUMBER(INDEX(Haver_M!$B$1:$ZN$1000,MATCH(data!$A226,Haver_M!$B$1:$B$1000,0),MATCH(data!X$1,Haver_M!$B$1:$ZN$1,0))),INDEX(Haver_M!$B$1:$ZN$1000,MATCH(data!$A226,Haver_M!$B$1:$B$1000,0),MATCH(data!X$1,Haver_M!$B$1:$ZN$1,0)),"na")</f>
        <v>104.59</v>
      </c>
      <c r="Y226">
        <f>IF(ISNUMBER(INDEX(Haver_M!$B$1:$ZN$1000,MATCH(data!$A226,Haver_M!$B$1:$B$1000,0),MATCH(data!Y$1,Haver_M!$B$1:$ZN$1,0))),INDEX(Haver_M!$B$1:$ZN$1000,MATCH(data!$A226,Haver_M!$B$1:$B$1000,0),MATCH(data!Y$1,Haver_M!$B$1:$ZN$1,0)),"na")</f>
        <v>100.46</v>
      </c>
      <c r="Z226">
        <f>IF(ISNUMBER(INDEX(Haver_M!$B$1:$ZN$1000,MATCH(data!$A226,Haver_M!$B$1:$B$1000,0),MATCH(data!Z$1,Haver_M!$B$1:$ZN$1,0))),INDEX(Haver_M!$B$1:$ZN$1000,MATCH(data!$A226,Haver_M!$B$1:$B$1000,0),MATCH(data!Z$1,Haver_M!$B$1:$ZN$1,0)),"na")</f>
        <v>114.36069999999999</v>
      </c>
      <c r="AA226">
        <f>IF(ISNUMBER(INDEX(Haver_M!$B$1:$ZN$1000,MATCH(data!$A226,Haver_M!$B$1:$B$1000,0),MATCH(data!AA$1,Haver_M!$B$1:$ZN$1,0))),INDEX(Haver_M!$B$1:$ZN$1000,MATCH(data!$A226,Haver_M!$B$1:$B$1000,0),MATCH(data!AA$1,Haver_M!$B$1:$ZN$1,0)),"na")</f>
        <v>110.22750000000001</v>
      </c>
      <c r="AB226">
        <f>IF(ISNUMBER(INDEX(Haver_M!$B$1:$ZN$1000,MATCH(data!$A226,Haver_M!$B$1:$B$1000,0),MATCH(data!AB$1,Haver_M!$B$1:$ZN$1,0))),INDEX(Haver_M!$B$1:$ZN$1000,MATCH(data!$A226,Haver_M!$B$1:$B$1000,0),MATCH(data!AB$1,Haver_M!$B$1:$ZN$1,0)),"na")</f>
        <v>39272.6</v>
      </c>
      <c r="AC226">
        <f>IF(ISNUMBER(INDEX(Haver_M!$B$1:$ZN$1000,MATCH(data!$A226,Haver_M!$B$1:$B$1000,0),MATCH(data!AC$1,Haver_M!$B$1:$ZN$1,0))),INDEX(Haver_M!$B$1:$ZN$1000,MATCH(data!$A226,Haver_M!$B$1:$B$1000,0),MATCH(data!AC$1,Haver_M!$B$1:$ZN$1,0)),"na")</f>
        <v>39560.800000000003</v>
      </c>
      <c r="AD226">
        <f>IF(ISNUMBER(INDEX(Haver_M!$B$1:$ZN$1000,MATCH(data!$A226,Haver_M!$B$1:$B$1000,0),MATCH(data!AD$1,Haver_M!$B$1:$ZN$1,0))),INDEX(Haver_M!$B$1:$ZN$1000,MATCH(data!$A226,Haver_M!$B$1:$B$1000,0),MATCH(data!AD$1,Haver_M!$B$1:$ZN$1,0)),"na")</f>
        <v>100.43</v>
      </c>
      <c r="AE226">
        <f>IF(ISNUMBER(INDEX(Haver_M!$B$1:$ZN$1000,MATCH(data!$A226,Haver_M!$B$1:$B$1000,0),MATCH(data!AE$1,Haver_M!$B$1:$ZN$1,0))),INDEX(Haver_M!$B$1:$ZN$1000,MATCH(data!$A226,Haver_M!$B$1:$B$1000,0),MATCH(data!AE$1,Haver_M!$B$1:$ZN$1,0)),"na")</f>
        <v>42.3</v>
      </c>
      <c r="AF226">
        <f>IF(ISNUMBER(INDEX(Haver_M!$B$1:$ZN$1000,MATCH(data!$A226,Haver_M!$B$1:$B$1000,0),MATCH(data!AF$1,Haver_M!$B$1:$ZN$1,0))),INDEX(Haver_M!$B$1:$ZN$1000,MATCH(data!$A226,Haver_M!$B$1:$B$1000,0),MATCH(data!AF$1,Haver_M!$B$1:$ZN$1,0)),"na")</f>
        <v>100.96</v>
      </c>
      <c r="AG226">
        <f>IF(ISNUMBER(INDEX(Haver_M!$B$1:$ZN$1000,MATCH(data!$A226,Haver_M!$B$1:$B$1000,0),MATCH(data!AG$1,Haver_M!$B$1:$ZN$1,0))),INDEX(Haver_M!$B$1:$ZN$1000,MATCH(data!$A226,Haver_M!$B$1:$B$1000,0),MATCH(data!AG$1,Haver_M!$B$1:$ZN$1,0)),"na")</f>
        <v>51.686900000000001</v>
      </c>
      <c r="AH226">
        <f>IF(ISNUMBER(INDEX(Haver_M!$B$1:$ZN$1000,MATCH(data!$A226,Haver_M!$B$1:$B$1000,0),MATCH(data!AH$1,Haver_M!$B$1:$ZN$1,0))),INDEX(Haver_M!$B$1:$ZN$1000,MATCH(data!$A226,Haver_M!$B$1:$B$1000,0),MATCH(data!AH$1,Haver_M!$B$1:$ZN$1,0)),"na")</f>
        <v>51.798200000000001</v>
      </c>
      <c r="AI226">
        <f>IF(ISNUMBER(INDEX(Haver_M!$B$1:$ZN$1000,MATCH(data!$A226,Haver_M!$B$1:$B$1000,0),MATCH(data!AI$1,Haver_M!$B$1:$ZN$1,0))),INDEX(Haver_M!$B$1:$ZN$1000,MATCH(data!$A226,Haver_M!$B$1:$B$1000,0),MATCH(data!AI$1,Haver_M!$B$1:$ZN$1,0)),"na")</f>
        <v>51.603999999999999</v>
      </c>
      <c r="AJ226">
        <f>IF(ISNUMBER(INDEX(Haver_M!$B$1:$ZN$1000,MATCH(data!$A226,Haver_M!$B$1:$B$1000,0),MATCH(data!AJ$1,Haver_M!$B$1:$ZN$1,0))),INDEX(Haver_M!$B$1:$ZN$1000,MATCH(data!$A226,Haver_M!$B$1:$B$1000,0),MATCH(data!AJ$1,Haver_M!$B$1:$ZN$1,0)),"na")</f>
        <v>52.523800000000001</v>
      </c>
      <c r="AK226">
        <f>IF(ISNUMBER(INDEX(Haver_M!$B$1:$ZN$1000,MATCH(data!$A226,Haver_M!$B$1:$B$1000,0),MATCH(data!AK$1,Haver_M!$B$1:$ZN$1,0))),INDEX(Haver_M!$B$1:$ZN$1000,MATCH(data!$A226,Haver_M!$B$1:$B$1000,0),MATCH(data!AK$1,Haver_M!$B$1:$ZN$1,0)),"na")</f>
        <v>48.2943</v>
      </c>
      <c r="AL226">
        <f>IF(ISNUMBER(INDEX(Haver_M!$B$1:$ZN$1000,MATCH(data!$A226,Haver_M!$B$1:$B$1000,0),MATCH(data!AL$1,Haver_M!$B$1:$ZN$1,0))),INDEX(Haver_M!$B$1:$ZN$1000,MATCH(data!$A226,Haver_M!$B$1:$B$1000,0),MATCH(data!AL$1,Haver_M!$B$1:$ZN$1,0)),"na")</f>
        <v>49.955599999999997</v>
      </c>
      <c r="AM226">
        <f>IF(ISNUMBER(INDEX(Haver_M!$B$1:$ZN$1000,MATCH(data!$A226,Haver_M!$B$1:$B$1000,0),MATCH(data!AM$1,Haver_M!$B$1:$ZN$1,0))),INDEX(Haver_M!$B$1:$ZN$1000,MATCH(data!$A226,Haver_M!$B$1:$B$1000,0),MATCH(data!AM$1,Haver_M!$B$1:$ZN$1,0)),"na")</f>
        <v>59.4191</v>
      </c>
      <c r="AN226">
        <f>IF(ISNUMBER(INDEX(Haver_M!$B$1:$ZN$1000,MATCH(data!$A226,Haver_M!$B$1:$B$1000,0),MATCH(data!AN$1,Haver_M!$B$1:$ZN$1,0))),INDEX(Haver_M!$B$1:$ZN$1000,MATCH(data!$A226,Haver_M!$B$1:$B$1000,0),MATCH(data!AN$1,Haver_M!$B$1:$ZN$1,0)),"na")</f>
        <v>51.9039</v>
      </c>
      <c r="AO226">
        <f>IF(ISNUMBER(INDEX(Haver_M!$B$1:$ZN$1000,MATCH(data!$A226,Haver_M!$B$1:$B$1000,0),MATCH(data!AO$1,Haver_M!$B$1:$ZN$1,0))),INDEX(Haver_M!$B$1:$ZN$1000,MATCH(data!$A226,Haver_M!$B$1:$B$1000,0),MATCH(data!AO$1,Haver_M!$B$1:$ZN$1,0)),"na")</f>
        <v>49.955599999999997</v>
      </c>
      <c r="AP226">
        <f>IF(ISNUMBER(INDEX(Haver_M!$B$1:$ZN$1000,MATCH(data!$A226,Haver_M!$B$1:$B$1000,0),MATCH(data!AP$1,Haver_M!$B$1:$ZN$1,0))),INDEX(Haver_M!$B$1:$ZN$1000,MATCH(data!$A226,Haver_M!$B$1:$B$1000,0),MATCH(data!AP$1,Haver_M!$B$1:$ZN$1,0)),"na")</f>
        <v>54.543100000000003</v>
      </c>
      <c r="AQ226">
        <f>IF(ISNUMBER(INDEX(Haver_M!$B$1:$ZN$1000,MATCH(data!$A226,Haver_M!$B$1:$B$1000,0),MATCH(data!AQ$1,Haver_M!$B$1:$ZN$1,0))),INDEX(Haver_M!$B$1:$ZN$1000,MATCH(data!$A226,Haver_M!$B$1:$B$1000,0),MATCH(data!AQ$1,Haver_M!$B$1:$ZN$1,0)),"na")</f>
        <v>52.935499999999998</v>
      </c>
      <c r="AR226">
        <f>IF(ISNUMBER(INDEX(Haver_M!$B$1:$ZN$1000,MATCH(data!$A226,Haver_M!$B$1:$B$1000,0),MATCH(data!AR$1,Haver_M!$B$1:$ZN$1,0))),INDEX(Haver_M!$B$1:$ZN$1000,MATCH(data!$A226,Haver_M!$B$1:$B$1000,0),MATCH(data!AR$1,Haver_M!$B$1:$ZN$1,0)),"na")</f>
        <v>50.367600000000003</v>
      </c>
      <c r="AS226">
        <f>IF(ISNUMBER(INDEX(Haver_M!$B$1:$ZN$1000,MATCH(data!$A226,Haver_M!$B$1:$B$1000,0),MATCH(data!AS$1,Haver_M!$B$1:$ZN$1,0))),INDEX(Haver_M!$B$1:$ZN$1000,MATCH(data!$A226,Haver_M!$B$1:$B$1000,0),MATCH(data!AS$1,Haver_M!$B$1:$ZN$1,0)),"na")</f>
        <v>49313.75</v>
      </c>
      <c r="AT226">
        <f>IF(ISNUMBER(INDEX(Haver_M!$B$1:$ZN$1000,MATCH(data!$A226,Haver_M!$B$1:$B$1000,0),MATCH(data!AT$1,Haver_M!$B$1:$ZN$1,0))),INDEX(Haver_M!$B$1:$ZN$1000,MATCH(data!$A226,Haver_M!$B$1:$B$1000,0),MATCH(data!AT$1,Haver_M!$B$1:$ZN$1,0)),"na")</f>
        <v>116.971</v>
      </c>
      <c r="AU226">
        <f>IF(ISNUMBER(INDEX(Haver_M!$B$1:$ZN$1000,MATCH(data!$A226,Haver_M!$B$1:$B$1000,0),MATCH(data!AU$1,Haver_M!$B$1:$ZN$1,0))),INDEX(Haver_M!$B$1:$ZN$1000,MATCH(data!$A226,Haver_M!$B$1:$B$1000,0),MATCH(data!AU$1,Haver_M!$B$1:$ZN$1,0)),"na")</f>
        <v>113.202933</v>
      </c>
      <c r="AV226">
        <f>IF(ISNUMBER(INDEX(Haver_M!$B$1:$ZN$1000,MATCH(data!$A226,Haver_M!$B$1:$B$1000,0),MATCH(data!AV$1,Haver_M!$B$1:$ZN$1,0))),INDEX(Haver_M!$B$1:$ZN$1000,MATCH(data!$A226,Haver_M!$B$1:$B$1000,0),MATCH(data!AV$1,Haver_M!$B$1:$ZN$1,0)),"na")</f>
        <v>108.7</v>
      </c>
      <c r="AW226">
        <f>IF(ISNUMBER(INDEX(Haver_M!$B$1:$ZN$1000,MATCH(data!$A226,Haver_M!$B$1:$B$1000,0),MATCH(data!AW$1,Haver_M!$B$1:$ZN$1,0))),INDEX(Haver_M!$B$1:$ZN$1000,MATCH(data!$A226,Haver_M!$B$1:$B$1000,0),MATCH(data!AW$1,Haver_M!$B$1:$ZN$1,0)),"na")</f>
        <v>1989061.1514749234</v>
      </c>
      <c r="AX226">
        <f>IF(ISNUMBER(INDEX(Haver_M!$B$1:$ZN$1000,MATCH(data!$A226,Haver_M!$B$1:$B$1000,0),MATCH(data!AX$1,Haver_M!$B$1:$ZN$1,0))),INDEX(Haver_M!$B$1:$ZN$1000,MATCH(data!$A226,Haver_M!$B$1:$B$1000,0),MATCH(data!AX$1,Haver_M!$B$1:$ZN$1,0)),"na")</f>
        <v>1806</v>
      </c>
      <c r="AY226">
        <f>IF(ISNUMBER(INDEX(Haver_M!$B$1:$ZN$1000,MATCH(data!$A226,Haver_M!$B$1:$B$1000,0),MATCH(data!AY$1,Haver_M!$B$1:$ZN$1,0))),INDEX(Haver_M!$B$1:$ZN$1000,MATCH(data!$A226,Haver_M!$B$1:$B$1000,0),MATCH(data!AY$1,Haver_M!$B$1:$ZN$1,0)),"na")</f>
        <v>1206</v>
      </c>
      <c r="AZ226">
        <f>IF(ISNUMBER(INDEX(Haver_M!$B$1:$ZN$1000,MATCH(data!$A226,Haver_M!$B$1:$B$1000,0),MATCH(data!AZ$1,Haver_M!$B$1:$ZN$1,0))),INDEX(Haver_M!$B$1:$ZN$1000,MATCH(data!$A226,Haver_M!$B$1:$B$1000,0),MATCH(data!AZ$1,Haver_M!$B$1:$ZN$1,0)),"na")</f>
        <v>53.1</v>
      </c>
      <c r="BA226">
        <f>IF(ISNUMBER(INDEX(Haver_M!$B$1:$ZN$1000,MATCH(data!$A226,Haver_M!$B$1:$B$1000,0),MATCH(data!BA$1,Haver_M!$B$1:$ZN$1,0))),INDEX(Haver_M!$B$1:$ZN$1000,MATCH(data!$A226,Haver_M!$B$1:$B$1000,0),MATCH(data!BA$1,Haver_M!$B$1:$ZN$1,0)),"na")</f>
        <v>72.284229180312593</v>
      </c>
      <c r="BB226" t="str">
        <f>IF(ISNUMBER(INDEX(Haver_M!$B$1:$ZN$1000,MATCH(data!$A226,Haver_M!$B$1:$B$1000,0),MATCH(data!BB$1,Haver_M!$B$1:$ZN$1,0))),INDEX(Haver_M!$B$1:$ZN$1000,MATCH(data!$A226,Haver_M!$B$1:$B$1000,0),MATCH(data!BB$1,Haver_M!$B$1:$ZN$1,0)),"")</f>
        <v/>
      </c>
    </row>
    <row r="227" spans="1:54" x14ac:dyDescent="0.25">
      <c r="A227" s="2">
        <v>43404</v>
      </c>
      <c r="B227" t="str">
        <f>IF(ISNUMBER(INDEX(Haver_Q!$B$1:$BD$1000,MATCH(data!$A227,Haver_Q!$B$1:$B$1000,0),MATCH(data!B$1,Haver_Q!$B$1:$BD$1,0))),100*INDEX(Haver_Q!$B$1:$BD$1000,MATCH(data!$A227,Haver_Q!$B$1:$B$1000,0),MATCH(data!B$1,Haver_Q!$B$1:$BD$1,0)),"na")</f>
        <v>na</v>
      </c>
      <c r="C227" t="str">
        <f>IF(ISNUMBER(INDEX(Haver_Q!$B$1:$BD$1000,MATCH(data!$A227,Haver_Q!$B$1:$B$1000,0),MATCH(data!C$1,Haver_Q!$B$1:$BD$1,0))),100*INDEX(Haver_Q!$B$1:$BD$1000,MATCH(data!$A227,Haver_Q!$B$1:$B$1000,0),MATCH(data!C$1,Haver_Q!$B$1:$BD$1,0)),"na")</f>
        <v>na</v>
      </c>
      <c r="D227" t="str">
        <f>IF(ISNUMBER(INDEX(Haver_Q!$B$1:$BD$1000,MATCH(data!$A227,Haver_Q!$B$1:$B$1000,0),MATCH(data!D$1,Haver_Q!$B$1:$BD$1,0))),100*INDEX(Haver_Q!$B$1:$BD$1000,MATCH(data!$A227,Haver_Q!$B$1:$B$1000,0),MATCH(data!D$1,Haver_Q!$B$1:$BD$1,0)),"na")</f>
        <v>na</v>
      </c>
      <c r="E227" t="str">
        <f>IF(ISNUMBER(INDEX(Haver_Q!$B$1:$BD$1000,MATCH(data!$A227,Haver_Q!$B$1:$B$1000,0),MATCH(data!E$1,Haver_Q!$B$1:$BD$1,0))),100*INDEX(Haver_Q!$B$1:$BD$1000,MATCH(data!$A227,Haver_Q!$B$1:$B$1000,0),MATCH(data!E$1,Haver_Q!$B$1:$BD$1,0)),"na")</f>
        <v>na</v>
      </c>
      <c r="F227" t="str">
        <f>IF(ISNUMBER(INDEX(Haver_Q!$B$1:$BD$1000,MATCH(data!$A227,Haver_Q!$B$1:$B$1000,0),MATCH(data!F$1,Haver_Q!$B$1:$BD$1,0))),100*INDEX(Haver_Q!$B$1:$BD$1000,MATCH(data!$A227,Haver_Q!$B$1:$B$1000,0),MATCH(data!F$1,Haver_Q!$B$1:$BD$1,0)),"na")</f>
        <v>na</v>
      </c>
      <c r="G227" t="str">
        <f>IF(ISNUMBER(INDEX(Haver_Q!$B$1:$BD$1000,MATCH(data!$A227,Haver_Q!$B$1:$B$1000,0),MATCH(data!G$1,Haver_Q!$B$1:$BD$1,0))),100*INDEX(Haver_Q!$B$1:$BD$1000,MATCH(data!$A227,Haver_Q!$B$1:$B$1000,0),MATCH(data!G$1,Haver_Q!$B$1:$BD$1,0)),"na")</f>
        <v>na</v>
      </c>
      <c r="H227" t="str">
        <f>IF(ISNUMBER(INDEX(Haver_Q!$B$1:$BD$1000,MATCH(data!$A227,Haver_Q!$B$1:$B$1000,0),MATCH(data!H$1,Haver_Q!$B$1:$BD$1,0))),100*INDEX(Haver_Q!$B$1:$BD$1000,MATCH(data!$A227,Haver_Q!$B$1:$B$1000,0),MATCH(data!H$1,Haver_Q!$B$1:$BD$1,0)),"na")</f>
        <v>na</v>
      </c>
      <c r="I227" s="3">
        <f>IF(ISNUMBER(Bloomberg_m!C243),Bloomberg_m!C243,"na")</f>
        <v>1545</v>
      </c>
      <c r="J227" s="3">
        <f>IF(ISNUMBER(Bloomberg_m!D243),Bloomberg_m!D243,"na")</f>
        <v>1659.15</v>
      </c>
      <c r="K227" s="3">
        <f>IF(ISNUMBER(Bloomberg_m!E243),Bloomberg_m!E243,"na")</f>
        <v>929.13</v>
      </c>
      <c r="L227" s="3">
        <f>IF(ISNUMBER(Bloomberg_m!L243),Bloomberg_m!L243,"na")</f>
        <v>70.75</v>
      </c>
      <c r="M227">
        <f>IF(ISNUMBER(INDEX(Haver_M!$B$1:$ZN$1000,MATCH(data!$A227,Haver_M!$B$1:$B$1000,0),MATCH(data!M$1,Haver_M!$B$1:$ZN$1,0))),INDEX(Haver_M!$B$1:$ZN$1000,MATCH(data!$A227,Haver_M!$B$1:$B$1000,0),MATCH(data!M$1,Haver_M!$B$1:$ZN$1,0)),"na")</f>
        <v>7.75</v>
      </c>
      <c r="N227">
        <f>IF(ISNUMBER(INDEX(Haver_M!$B$1:$ZN$1000,MATCH(data!$A227,Haver_M!$B$1:$B$1000,0),MATCH(data!N$1,Haver_M!$B$1:$ZN$1,0))),INDEX(Haver_M!$B$1:$ZN$1000,MATCH(data!$A227,Haver_M!$B$1:$B$1000,0),MATCH(data!N$1,Haver_M!$B$1:$ZN$1,0)),"na")</f>
        <v>8.2212999999999994</v>
      </c>
      <c r="O227">
        <f>IF(ISNUMBER(INDEX(Haver_M!$B$1:$ZN$1000,MATCH(data!$A227,Haver_M!$B$1:$B$1000,0),MATCH(data!O$1,Haver_M!$B$1:$ZN$1,0))),INDEX(Haver_M!$B$1:$ZN$1000,MATCH(data!$A227,Haver_M!$B$1:$B$1000,0),MATCH(data!O$1,Haver_M!$B$1:$ZN$1,0)),"na")</f>
        <v>83.072010000000006</v>
      </c>
      <c r="P227">
        <f>IF(ISNUMBER(INDEX(Haver_M!$B$1:$ZN$1000,MATCH(data!$A227,Haver_M!$B$1:$B$1000,0),MATCH(data!P$1,Haver_M!$B$1:$ZN$1,0))),INDEX(Haver_M!$B$1:$ZN$1000,MATCH(data!$A227,Haver_M!$B$1:$B$1000,0),MATCH(data!P$1,Haver_M!$B$1:$ZN$1,0)),"na")</f>
        <v>101.7191</v>
      </c>
      <c r="Q227">
        <f>IF(ISNUMBER(INDEX(Haver_M!$B$1:$ZN$1000,MATCH(data!$A227,Haver_M!$B$1:$B$1000,0),MATCH(data!Q$1,Haver_M!$B$1:$ZN$1,0))),INDEX(Haver_M!$B$1:$ZN$1000,MATCH(data!$A227,Haver_M!$B$1:$B$1000,0),MATCH(data!Q$1,Haver_M!$B$1:$ZN$1,0)),"na")</f>
        <v>100.9622</v>
      </c>
      <c r="R227">
        <f>IF(ISNUMBER(INDEX(Haver_M!$B$1:$ZN$1000,MATCH(data!$A227,Haver_M!$B$1:$B$1000,0),MATCH(data!R$1,Haver_M!$B$1:$ZN$1,0))),INDEX(Haver_M!$B$1:$ZN$1000,MATCH(data!$A227,Haver_M!$B$1:$B$1000,0),MATCH(data!R$1,Haver_M!$B$1:$ZN$1,0)),"na")</f>
        <v>103.8518</v>
      </c>
      <c r="S227">
        <f>IF(ISNUMBER(INDEX(Haver_M!$B$1:$ZN$1000,MATCH(data!$A227,Haver_M!$B$1:$B$1000,0),MATCH(data!S$1,Haver_M!$B$1:$ZN$1,0))),INDEX(Haver_M!$B$1:$ZN$1000,MATCH(data!$A227,Haver_M!$B$1:$B$1000,0),MATCH(data!S$1,Haver_M!$B$1:$ZN$1,0)),"na")</f>
        <v>76.0488</v>
      </c>
      <c r="T227">
        <f>IF(ISNUMBER(INDEX(Haver_M!$B$1:$ZN$1000,MATCH(data!$A227,Haver_M!$B$1:$B$1000,0),MATCH(data!T$1,Haver_M!$B$1:$ZN$1,0))),INDEX(Haver_M!$B$1:$ZN$1000,MATCH(data!$A227,Haver_M!$B$1:$B$1000,0),MATCH(data!T$1,Haver_M!$B$1:$ZN$1,0)),"na")</f>
        <v>117.28740000000001</v>
      </c>
      <c r="U227">
        <f>IF(ISNUMBER(INDEX(Haver_M!$B$1:$ZN$1000,MATCH(data!$A227,Haver_M!$B$1:$B$1000,0),MATCH(data!U$1,Haver_M!$B$1:$ZN$1,0))),INDEX(Haver_M!$B$1:$ZN$1000,MATCH(data!$A227,Haver_M!$B$1:$B$1000,0),MATCH(data!U$1,Haver_M!$B$1:$ZN$1,0)),"na")</f>
        <v>106.0121</v>
      </c>
      <c r="V227">
        <f>IF(ISNUMBER(INDEX(Haver_M!$B$1:$ZN$1000,MATCH(data!$A227,Haver_M!$B$1:$B$1000,0),MATCH(data!V$1,Haver_M!$B$1:$ZN$1,0))),INDEX(Haver_M!$B$1:$ZN$1000,MATCH(data!$A227,Haver_M!$B$1:$B$1000,0),MATCH(data!V$1,Haver_M!$B$1:$ZN$1,0)),"na")</f>
        <v>113.93170000000001</v>
      </c>
      <c r="W227">
        <f>IF(ISNUMBER(INDEX(Haver_M!$B$1:$ZN$1000,MATCH(data!$A227,Haver_M!$B$1:$B$1000,0),MATCH(data!W$1,Haver_M!$B$1:$ZN$1,0))),INDEX(Haver_M!$B$1:$ZN$1000,MATCH(data!$A227,Haver_M!$B$1:$B$1000,0),MATCH(data!W$1,Haver_M!$B$1:$ZN$1,0)),"na")</f>
        <v>3.12</v>
      </c>
      <c r="X227">
        <f>IF(ISNUMBER(INDEX(Haver_M!$B$1:$ZN$1000,MATCH(data!$A227,Haver_M!$B$1:$B$1000,0),MATCH(data!X$1,Haver_M!$B$1:$ZN$1,0))),INDEX(Haver_M!$B$1:$ZN$1000,MATCH(data!$A227,Haver_M!$B$1:$B$1000,0),MATCH(data!X$1,Haver_M!$B$1:$ZN$1,0)),"na")</f>
        <v>104.88</v>
      </c>
      <c r="Y227">
        <f>IF(ISNUMBER(INDEX(Haver_M!$B$1:$ZN$1000,MATCH(data!$A227,Haver_M!$B$1:$B$1000,0),MATCH(data!Y$1,Haver_M!$B$1:$ZN$1,0))),INDEX(Haver_M!$B$1:$ZN$1000,MATCH(data!$A227,Haver_M!$B$1:$B$1000,0),MATCH(data!Y$1,Haver_M!$B$1:$ZN$1,0)),"na")</f>
        <v>100.4</v>
      </c>
      <c r="Z227">
        <f>IF(ISNUMBER(INDEX(Haver_M!$B$1:$ZN$1000,MATCH(data!$A227,Haver_M!$B$1:$B$1000,0),MATCH(data!Z$1,Haver_M!$B$1:$ZN$1,0))),INDEX(Haver_M!$B$1:$ZN$1000,MATCH(data!$A227,Haver_M!$B$1:$B$1000,0),MATCH(data!Z$1,Haver_M!$B$1:$ZN$1,0)),"na")</f>
        <v>113.8986</v>
      </c>
      <c r="AA227">
        <f>IF(ISNUMBER(INDEX(Haver_M!$B$1:$ZN$1000,MATCH(data!$A227,Haver_M!$B$1:$B$1000,0),MATCH(data!AA$1,Haver_M!$B$1:$ZN$1,0))),INDEX(Haver_M!$B$1:$ZN$1000,MATCH(data!$A227,Haver_M!$B$1:$B$1000,0),MATCH(data!AA$1,Haver_M!$B$1:$ZN$1,0)),"na")</f>
        <v>112.10380000000001</v>
      </c>
      <c r="AB227">
        <f>IF(ISNUMBER(INDEX(Haver_M!$B$1:$ZN$1000,MATCH(data!$A227,Haver_M!$B$1:$B$1000,0),MATCH(data!AB$1,Haver_M!$B$1:$ZN$1,0))),INDEX(Haver_M!$B$1:$ZN$1000,MATCH(data!$A227,Haver_M!$B$1:$B$1000,0),MATCH(data!AB$1,Haver_M!$B$1:$ZN$1,0)),"na")</f>
        <v>38088.1</v>
      </c>
      <c r="AC227">
        <f>IF(ISNUMBER(INDEX(Haver_M!$B$1:$ZN$1000,MATCH(data!$A227,Haver_M!$B$1:$B$1000,0),MATCH(data!AC$1,Haver_M!$B$1:$ZN$1,0))),INDEX(Haver_M!$B$1:$ZN$1000,MATCH(data!$A227,Haver_M!$B$1:$B$1000,0),MATCH(data!AC$1,Haver_M!$B$1:$ZN$1,0)),"na")</f>
        <v>39460.800000000003</v>
      </c>
      <c r="AD227">
        <f>IF(ISNUMBER(INDEX(Haver_M!$B$1:$ZN$1000,MATCH(data!$A227,Haver_M!$B$1:$B$1000,0),MATCH(data!AD$1,Haver_M!$B$1:$ZN$1,0))),INDEX(Haver_M!$B$1:$ZN$1000,MATCH(data!$A227,Haver_M!$B$1:$B$1000,0),MATCH(data!AD$1,Haver_M!$B$1:$ZN$1,0)),"na")</f>
        <v>100.35</v>
      </c>
      <c r="AE227">
        <f>IF(ISNUMBER(INDEX(Haver_M!$B$1:$ZN$1000,MATCH(data!$A227,Haver_M!$B$1:$B$1000,0),MATCH(data!AE$1,Haver_M!$B$1:$ZN$1,0))),INDEX(Haver_M!$B$1:$ZN$1000,MATCH(data!$A227,Haver_M!$B$1:$B$1000,0),MATCH(data!AE$1,Haver_M!$B$1:$ZN$1,0)),"na")</f>
        <v>42.6</v>
      </c>
      <c r="AF227">
        <f>IF(ISNUMBER(INDEX(Haver_M!$B$1:$ZN$1000,MATCH(data!$A227,Haver_M!$B$1:$B$1000,0),MATCH(data!AF$1,Haver_M!$B$1:$ZN$1,0))),INDEX(Haver_M!$B$1:$ZN$1000,MATCH(data!$A227,Haver_M!$B$1:$B$1000,0),MATCH(data!AF$1,Haver_M!$B$1:$ZN$1,0)),"na")</f>
        <v>101.02</v>
      </c>
      <c r="AG227">
        <f>IF(ISNUMBER(INDEX(Haver_M!$B$1:$ZN$1000,MATCH(data!$A227,Haver_M!$B$1:$B$1000,0),MATCH(data!AG$1,Haver_M!$B$1:$ZN$1,0))),INDEX(Haver_M!$B$1:$ZN$1000,MATCH(data!$A227,Haver_M!$B$1:$B$1000,0),MATCH(data!AG$1,Haver_M!$B$1:$ZN$1,0)),"na")</f>
        <v>50.6584</v>
      </c>
      <c r="AH227">
        <f>IF(ISNUMBER(INDEX(Haver_M!$B$1:$ZN$1000,MATCH(data!$A227,Haver_M!$B$1:$B$1000,0),MATCH(data!AH$1,Haver_M!$B$1:$ZN$1,0))),INDEX(Haver_M!$B$1:$ZN$1000,MATCH(data!$A227,Haver_M!$B$1:$B$1000,0),MATCH(data!AH$1,Haver_M!$B$1:$ZN$1,0)),"na")</f>
        <v>50.381700000000002</v>
      </c>
      <c r="AI227">
        <f>IF(ISNUMBER(INDEX(Haver_M!$B$1:$ZN$1000,MATCH(data!$A227,Haver_M!$B$1:$B$1000,0),MATCH(data!AI$1,Haver_M!$B$1:$ZN$1,0))),INDEX(Haver_M!$B$1:$ZN$1000,MATCH(data!$A227,Haver_M!$B$1:$B$1000,0),MATCH(data!AI$1,Haver_M!$B$1:$ZN$1,0)),"na")</f>
        <v>50.936900000000001</v>
      </c>
      <c r="AJ227">
        <f>IF(ISNUMBER(INDEX(Haver_M!$B$1:$ZN$1000,MATCH(data!$A227,Haver_M!$B$1:$B$1000,0),MATCH(data!AJ$1,Haver_M!$B$1:$ZN$1,0))),INDEX(Haver_M!$B$1:$ZN$1000,MATCH(data!$A227,Haver_M!$B$1:$B$1000,0),MATCH(data!AJ$1,Haver_M!$B$1:$ZN$1,0)),"na")</f>
        <v>50.576000000000001</v>
      </c>
      <c r="AK227">
        <f>IF(ISNUMBER(INDEX(Haver_M!$B$1:$ZN$1000,MATCH(data!$A227,Haver_M!$B$1:$B$1000,0),MATCH(data!AK$1,Haver_M!$B$1:$ZN$1,0))),INDEX(Haver_M!$B$1:$ZN$1000,MATCH(data!$A227,Haver_M!$B$1:$B$1000,0),MATCH(data!AK$1,Haver_M!$B$1:$ZN$1,0)),"na")</f>
        <v>49.150199999999998</v>
      </c>
      <c r="AL227">
        <f>IF(ISNUMBER(INDEX(Haver_M!$B$1:$ZN$1000,MATCH(data!$A227,Haver_M!$B$1:$B$1000,0),MATCH(data!AL$1,Haver_M!$B$1:$ZN$1,0))),INDEX(Haver_M!$B$1:$ZN$1000,MATCH(data!$A227,Haver_M!$B$1:$B$1000,0),MATCH(data!AL$1,Haver_M!$B$1:$ZN$1,0)),"na")</f>
        <v>50.392200000000003</v>
      </c>
      <c r="AM227">
        <f>IF(ISNUMBER(INDEX(Haver_M!$B$1:$ZN$1000,MATCH(data!$A227,Haver_M!$B$1:$B$1000,0),MATCH(data!AM$1,Haver_M!$B$1:$ZN$1,0))),INDEX(Haver_M!$B$1:$ZN$1000,MATCH(data!$A227,Haver_M!$B$1:$B$1000,0),MATCH(data!AM$1,Haver_M!$B$1:$ZN$1,0)),"na")</f>
        <v>56.711199999999998</v>
      </c>
      <c r="AN227">
        <f>IF(ISNUMBER(INDEX(Haver_M!$B$1:$ZN$1000,MATCH(data!$A227,Haver_M!$B$1:$B$1000,0),MATCH(data!AN$1,Haver_M!$B$1:$ZN$1,0))),INDEX(Haver_M!$B$1:$ZN$1000,MATCH(data!$A227,Haver_M!$B$1:$B$1000,0),MATCH(data!AN$1,Haver_M!$B$1:$ZN$1,0)),"na")</f>
        <v>51.847900000000003</v>
      </c>
      <c r="AO227">
        <f>IF(ISNUMBER(INDEX(Haver_M!$B$1:$ZN$1000,MATCH(data!$A227,Haver_M!$B$1:$B$1000,0),MATCH(data!AO$1,Haver_M!$B$1:$ZN$1,0))),INDEX(Haver_M!$B$1:$ZN$1000,MATCH(data!$A227,Haver_M!$B$1:$B$1000,0),MATCH(data!AO$1,Haver_M!$B$1:$ZN$1,0)),"na")</f>
        <v>50.392200000000003</v>
      </c>
      <c r="AP227">
        <f>IF(ISNUMBER(INDEX(Haver_M!$B$1:$ZN$1000,MATCH(data!$A227,Haver_M!$B$1:$B$1000,0),MATCH(data!AP$1,Haver_M!$B$1:$ZN$1,0))),INDEX(Haver_M!$B$1:$ZN$1000,MATCH(data!$A227,Haver_M!$B$1:$B$1000,0),MATCH(data!AP$1,Haver_M!$B$1:$ZN$1,0)),"na")</f>
        <v>53.493400000000001</v>
      </c>
      <c r="AQ227">
        <f>IF(ISNUMBER(INDEX(Haver_M!$B$1:$ZN$1000,MATCH(data!$A227,Haver_M!$B$1:$B$1000,0),MATCH(data!AQ$1,Haver_M!$B$1:$ZN$1,0))),INDEX(Haver_M!$B$1:$ZN$1000,MATCH(data!$A227,Haver_M!$B$1:$B$1000,0),MATCH(data!AQ$1,Haver_M!$B$1:$ZN$1,0)),"na")</f>
        <v>50.217500000000001</v>
      </c>
      <c r="AR227">
        <f>IF(ISNUMBER(INDEX(Haver_M!$B$1:$ZN$1000,MATCH(data!$A227,Haver_M!$B$1:$B$1000,0),MATCH(data!AR$1,Haver_M!$B$1:$ZN$1,0))),INDEX(Haver_M!$B$1:$ZN$1000,MATCH(data!$A227,Haver_M!$B$1:$B$1000,0),MATCH(data!AR$1,Haver_M!$B$1:$ZN$1,0)),"na")</f>
        <v>48.360100000000003</v>
      </c>
      <c r="AS227">
        <f>IF(ISNUMBER(INDEX(Haver_M!$B$1:$ZN$1000,MATCH(data!$A227,Haver_M!$B$1:$B$1000,0),MATCH(data!AS$1,Haver_M!$B$1:$ZN$1,0))),INDEX(Haver_M!$B$1:$ZN$1000,MATCH(data!$A227,Haver_M!$B$1:$B$1000,0),MATCH(data!AS$1,Haver_M!$B$1:$ZN$1,0)),"na")</f>
        <v>47208.1</v>
      </c>
      <c r="AT227">
        <f>IF(ISNUMBER(INDEX(Haver_M!$B$1:$ZN$1000,MATCH(data!$A227,Haver_M!$B$1:$B$1000,0),MATCH(data!AT$1,Haver_M!$B$1:$ZN$1,0))),INDEX(Haver_M!$B$1:$ZN$1000,MATCH(data!$A227,Haver_M!$B$1:$B$1000,0),MATCH(data!AT$1,Haver_M!$B$1:$ZN$1,0)),"na")</f>
        <v>115.789</v>
      </c>
      <c r="AU227">
        <f>IF(ISNUMBER(INDEX(Haver_M!$B$1:$ZN$1000,MATCH(data!$A227,Haver_M!$B$1:$B$1000,0),MATCH(data!AU$1,Haver_M!$B$1:$ZN$1,0))),INDEX(Haver_M!$B$1:$ZN$1000,MATCH(data!$A227,Haver_M!$B$1:$B$1000,0),MATCH(data!AU$1,Haver_M!$B$1:$ZN$1,0)),"na")</f>
        <v>112.93446400000001</v>
      </c>
      <c r="AV227">
        <f>IF(ISNUMBER(INDEX(Haver_M!$B$1:$ZN$1000,MATCH(data!$A227,Haver_M!$B$1:$B$1000,0),MATCH(data!AV$1,Haver_M!$B$1:$ZN$1,0))),INDEX(Haver_M!$B$1:$ZN$1000,MATCH(data!$A227,Haver_M!$B$1:$B$1000,0),MATCH(data!AV$1,Haver_M!$B$1:$ZN$1,0)),"na")</f>
        <v>109.3</v>
      </c>
      <c r="AW227">
        <f>IF(ISNUMBER(INDEX(Haver_M!$B$1:$ZN$1000,MATCH(data!$A227,Haver_M!$B$1:$B$1000,0),MATCH(data!AW$1,Haver_M!$B$1:$ZN$1,0))),INDEX(Haver_M!$B$1:$ZN$1000,MATCH(data!$A227,Haver_M!$B$1:$B$1000,0),MATCH(data!AW$1,Haver_M!$B$1:$ZN$1,0)),"na")</f>
        <v>1974794.537624025</v>
      </c>
      <c r="AX227">
        <f>IF(ISNUMBER(INDEX(Haver_M!$B$1:$ZN$1000,MATCH(data!$A227,Haver_M!$B$1:$B$1000,0),MATCH(data!AX$1,Haver_M!$B$1:$ZN$1,0))),INDEX(Haver_M!$B$1:$ZN$1000,MATCH(data!$A227,Haver_M!$B$1:$B$1000,0),MATCH(data!AX$1,Haver_M!$B$1:$ZN$1,0)),"na")</f>
        <v>1750</v>
      </c>
      <c r="AY227">
        <f>IF(ISNUMBER(INDEX(Haver_M!$B$1:$ZN$1000,MATCH(data!$A227,Haver_M!$B$1:$B$1000,0),MATCH(data!AY$1,Haver_M!$B$1:$ZN$1,0))),INDEX(Haver_M!$B$1:$ZN$1000,MATCH(data!$A227,Haver_M!$B$1:$B$1000,0),MATCH(data!AY$1,Haver_M!$B$1:$ZN$1,0)),"na")</f>
        <v>1027</v>
      </c>
      <c r="AZ227">
        <f>IF(ISNUMBER(INDEX(Haver_M!$B$1:$ZN$1000,MATCH(data!$A227,Haver_M!$B$1:$B$1000,0),MATCH(data!AZ$1,Haver_M!$B$1:$ZN$1,0))),INDEX(Haver_M!$B$1:$ZN$1000,MATCH(data!$A227,Haver_M!$B$1:$B$1000,0),MATCH(data!AZ$1,Haver_M!$B$1:$ZN$1,0)),"na")</f>
        <v>53.3</v>
      </c>
      <c r="BA227">
        <f>IF(ISNUMBER(INDEX(Haver_M!$B$1:$ZN$1000,MATCH(data!$A227,Haver_M!$B$1:$B$1000,0),MATCH(data!BA$1,Haver_M!$B$1:$ZN$1,0))),INDEX(Haver_M!$B$1:$ZN$1000,MATCH(data!$A227,Haver_M!$B$1:$B$1000,0),MATCH(data!BA$1,Haver_M!$B$1:$ZN$1,0)),"na")</f>
        <v>77.546417459129501</v>
      </c>
      <c r="BB227" t="str">
        <f>IF(ISNUMBER(INDEX(Haver_M!$B$1:$ZN$1000,MATCH(data!$A227,Haver_M!$B$1:$B$1000,0),MATCH(data!BB$1,Haver_M!$B$1:$ZN$1,0))),INDEX(Haver_M!$B$1:$ZN$1000,MATCH(data!$A227,Haver_M!$B$1:$B$1000,0),MATCH(data!BB$1,Haver_M!$B$1:$ZN$1,0)),"")</f>
        <v/>
      </c>
    </row>
    <row r="228" spans="1:54" x14ac:dyDescent="0.25">
      <c r="A228" s="2">
        <v>43434</v>
      </c>
      <c r="B228" t="str">
        <f>IF(ISNUMBER(INDEX(Haver_Q!$B$1:$BD$1000,MATCH(data!$A228,Haver_Q!$B$1:$B$1000,0),MATCH(data!B$1,Haver_Q!$B$1:$BD$1,0))),100*INDEX(Haver_Q!$B$1:$BD$1000,MATCH(data!$A228,Haver_Q!$B$1:$B$1000,0),MATCH(data!B$1,Haver_Q!$B$1:$BD$1,0)),"na")</f>
        <v>na</v>
      </c>
      <c r="C228" t="str">
        <f>IF(ISNUMBER(INDEX(Haver_Q!$B$1:$BD$1000,MATCH(data!$A228,Haver_Q!$B$1:$B$1000,0),MATCH(data!C$1,Haver_Q!$B$1:$BD$1,0))),100*INDEX(Haver_Q!$B$1:$BD$1000,MATCH(data!$A228,Haver_Q!$B$1:$B$1000,0),MATCH(data!C$1,Haver_Q!$B$1:$BD$1,0)),"na")</f>
        <v>na</v>
      </c>
      <c r="D228" t="str">
        <f>IF(ISNUMBER(INDEX(Haver_Q!$B$1:$BD$1000,MATCH(data!$A228,Haver_Q!$B$1:$B$1000,0),MATCH(data!D$1,Haver_Q!$B$1:$BD$1,0))),100*INDEX(Haver_Q!$B$1:$BD$1000,MATCH(data!$A228,Haver_Q!$B$1:$B$1000,0),MATCH(data!D$1,Haver_Q!$B$1:$BD$1,0)),"na")</f>
        <v>na</v>
      </c>
      <c r="E228" t="str">
        <f>IF(ISNUMBER(INDEX(Haver_Q!$B$1:$BD$1000,MATCH(data!$A228,Haver_Q!$B$1:$B$1000,0),MATCH(data!E$1,Haver_Q!$B$1:$BD$1,0))),100*INDEX(Haver_Q!$B$1:$BD$1000,MATCH(data!$A228,Haver_Q!$B$1:$B$1000,0),MATCH(data!E$1,Haver_Q!$B$1:$BD$1,0)),"na")</f>
        <v>na</v>
      </c>
      <c r="F228" t="str">
        <f>IF(ISNUMBER(INDEX(Haver_Q!$B$1:$BD$1000,MATCH(data!$A228,Haver_Q!$B$1:$B$1000,0),MATCH(data!F$1,Haver_Q!$B$1:$BD$1,0))),100*INDEX(Haver_Q!$B$1:$BD$1000,MATCH(data!$A228,Haver_Q!$B$1:$B$1000,0),MATCH(data!F$1,Haver_Q!$B$1:$BD$1,0)),"na")</f>
        <v>na</v>
      </c>
      <c r="G228" t="str">
        <f>IF(ISNUMBER(INDEX(Haver_Q!$B$1:$BD$1000,MATCH(data!$A228,Haver_Q!$B$1:$B$1000,0),MATCH(data!G$1,Haver_Q!$B$1:$BD$1,0))),100*INDEX(Haver_Q!$B$1:$BD$1000,MATCH(data!$A228,Haver_Q!$B$1:$B$1000,0),MATCH(data!G$1,Haver_Q!$B$1:$BD$1,0)),"na")</f>
        <v>na</v>
      </c>
      <c r="H228" t="str">
        <f>IF(ISNUMBER(INDEX(Haver_Q!$B$1:$BD$1000,MATCH(data!$A228,Haver_Q!$B$1:$B$1000,0),MATCH(data!H$1,Haver_Q!$B$1:$BD$1,0))),100*INDEX(Haver_Q!$B$1:$BD$1000,MATCH(data!$A228,Haver_Q!$B$1:$B$1000,0),MATCH(data!H$1,Haver_Q!$B$1:$BD$1,0)),"na")</f>
        <v>na</v>
      </c>
      <c r="I228" s="3">
        <f>IF(ISNUMBER(Bloomberg_m!C244),Bloomberg_m!C244,"na")</f>
        <v>1192</v>
      </c>
      <c r="J228" s="3">
        <f>IF(ISNUMBER(Bloomberg_m!D244),Bloomberg_m!D244,"na")</f>
        <v>1745.23</v>
      </c>
      <c r="K228" s="3">
        <f>IF(ISNUMBER(Bloomberg_m!E244),Bloomberg_m!E244,"na")</f>
        <v>936.86</v>
      </c>
      <c r="L228" s="3">
        <f>IF(ISNUMBER(Bloomberg_m!L244),Bloomberg_m!L244,"na")</f>
        <v>56.67</v>
      </c>
      <c r="M228">
        <f>IF(ISNUMBER(INDEX(Haver_M!$B$1:$ZN$1000,MATCH(data!$A228,Haver_M!$B$1:$B$1000,0),MATCH(data!M$1,Haver_M!$B$1:$ZN$1,0))),INDEX(Haver_M!$B$1:$ZN$1000,MATCH(data!$A228,Haver_M!$B$1:$B$1000,0),MATCH(data!M$1,Haver_M!$B$1:$ZN$1,0)),"na")</f>
        <v>8</v>
      </c>
      <c r="N228">
        <f>IF(ISNUMBER(INDEX(Haver_M!$B$1:$ZN$1000,MATCH(data!$A228,Haver_M!$B$1:$B$1000,0),MATCH(data!N$1,Haver_M!$B$1:$ZN$1,0))),INDEX(Haver_M!$B$1:$ZN$1000,MATCH(data!$A228,Haver_M!$B$1:$B$1000,0),MATCH(data!N$1,Haver_M!$B$1:$ZN$1,0)),"na")</f>
        <v>8.9718</v>
      </c>
      <c r="O228">
        <f>IF(ISNUMBER(INDEX(Haver_M!$B$1:$ZN$1000,MATCH(data!$A228,Haver_M!$B$1:$B$1000,0),MATCH(data!O$1,Haver_M!$B$1:$ZN$1,0))),INDEX(Haver_M!$B$1:$ZN$1000,MATCH(data!$A228,Haver_M!$B$1:$B$1000,0),MATCH(data!O$1,Haver_M!$B$1:$ZN$1,0)),"na")</f>
        <v>79.781829999999999</v>
      </c>
      <c r="P228">
        <f>IF(ISNUMBER(INDEX(Haver_M!$B$1:$ZN$1000,MATCH(data!$A228,Haver_M!$B$1:$B$1000,0),MATCH(data!P$1,Haver_M!$B$1:$ZN$1,0))),INDEX(Haver_M!$B$1:$ZN$1000,MATCH(data!$A228,Haver_M!$B$1:$B$1000,0),MATCH(data!P$1,Haver_M!$B$1:$ZN$1,0)),"na")</f>
        <v>102.0706</v>
      </c>
      <c r="Q228">
        <f>IF(ISNUMBER(INDEX(Haver_M!$B$1:$ZN$1000,MATCH(data!$A228,Haver_M!$B$1:$B$1000,0),MATCH(data!Q$1,Haver_M!$B$1:$ZN$1,0))),INDEX(Haver_M!$B$1:$ZN$1000,MATCH(data!$A228,Haver_M!$B$1:$B$1000,0),MATCH(data!Q$1,Haver_M!$B$1:$ZN$1,0)),"na")</f>
        <v>101.29430000000001</v>
      </c>
      <c r="R228">
        <f>IF(ISNUMBER(INDEX(Haver_M!$B$1:$ZN$1000,MATCH(data!$A228,Haver_M!$B$1:$B$1000,0),MATCH(data!R$1,Haver_M!$B$1:$ZN$1,0))),INDEX(Haver_M!$B$1:$ZN$1000,MATCH(data!$A228,Haver_M!$B$1:$B$1000,0),MATCH(data!R$1,Haver_M!$B$1:$ZN$1,0)),"na")</f>
        <v>103.2449</v>
      </c>
      <c r="S228">
        <f>IF(ISNUMBER(INDEX(Haver_M!$B$1:$ZN$1000,MATCH(data!$A228,Haver_M!$B$1:$B$1000,0),MATCH(data!S$1,Haver_M!$B$1:$ZN$1,0))),INDEX(Haver_M!$B$1:$ZN$1000,MATCH(data!$A228,Haver_M!$B$1:$B$1000,0),MATCH(data!S$1,Haver_M!$B$1:$ZN$1,0)),"na")</f>
        <v>74.660799999999995</v>
      </c>
      <c r="T228">
        <f>IF(ISNUMBER(INDEX(Haver_M!$B$1:$ZN$1000,MATCH(data!$A228,Haver_M!$B$1:$B$1000,0),MATCH(data!T$1,Haver_M!$B$1:$ZN$1,0))),INDEX(Haver_M!$B$1:$ZN$1000,MATCH(data!$A228,Haver_M!$B$1:$B$1000,0),MATCH(data!T$1,Haver_M!$B$1:$ZN$1,0)),"na")</f>
        <v>118.5301</v>
      </c>
      <c r="U228">
        <f>IF(ISNUMBER(INDEX(Haver_M!$B$1:$ZN$1000,MATCH(data!$A228,Haver_M!$B$1:$B$1000,0),MATCH(data!U$1,Haver_M!$B$1:$ZN$1,0))),INDEX(Haver_M!$B$1:$ZN$1000,MATCH(data!$A228,Haver_M!$B$1:$B$1000,0),MATCH(data!U$1,Haver_M!$B$1:$ZN$1,0)),"na")</f>
        <v>101.5085</v>
      </c>
      <c r="V228">
        <f>IF(ISNUMBER(INDEX(Haver_M!$B$1:$ZN$1000,MATCH(data!$A228,Haver_M!$B$1:$B$1000,0),MATCH(data!V$1,Haver_M!$B$1:$ZN$1,0))),INDEX(Haver_M!$B$1:$ZN$1000,MATCH(data!$A228,Haver_M!$B$1:$B$1000,0),MATCH(data!V$1,Haver_M!$B$1:$ZN$1,0)),"na")</f>
        <v>114.83629999999999</v>
      </c>
      <c r="W228">
        <f>IF(ISNUMBER(INDEX(Haver_M!$B$1:$ZN$1000,MATCH(data!$A228,Haver_M!$B$1:$B$1000,0),MATCH(data!W$1,Haver_M!$B$1:$ZN$1,0))),INDEX(Haver_M!$B$1:$ZN$1000,MATCH(data!$A228,Haver_M!$B$1:$B$1000,0),MATCH(data!W$1,Haver_M!$B$1:$ZN$1,0)),"na")</f>
        <v>3.31</v>
      </c>
      <c r="X228">
        <f>IF(ISNUMBER(INDEX(Haver_M!$B$1:$ZN$1000,MATCH(data!$A228,Haver_M!$B$1:$B$1000,0),MATCH(data!X$1,Haver_M!$B$1:$ZN$1,0))),INDEX(Haver_M!$B$1:$ZN$1000,MATCH(data!$A228,Haver_M!$B$1:$B$1000,0),MATCH(data!X$1,Haver_M!$B$1:$ZN$1,0)),"na")</f>
        <v>105.2</v>
      </c>
      <c r="Y228">
        <f>IF(ISNUMBER(INDEX(Haver_M!$B$1:$ZN$1000,MATCH(data!$A228,Haver_M!$B$1:$B$1000,0),MATCH(data!Y$1,Haver_M!$B$1:$ZN$1,0))),INDEX(Haver_M!$B$1:$ZN$1000,MATCH(data!$A228,Haver_M!$B$1:$B$1000,0),MATCH(data!Y$1,Haver_M!$B$1:$ZN$1,0)),"na")</f>
        <v>100.32</v>
      </c>
      <c r="Z228">
        <f>IF(ISNUMBER(INDEX(Haver_M!$B$1:$ZN$1000,MATCH(data!$A228,Haver_M!$B$1:$B$1000,0),MATCH(data!Z$1,Haver_M!$B$1:$ZN$1,0))),INDEX(Haver_M!$B$1:$ZN$1000,MATCH(data!$A228,Haver_M!$B$1:$B$1000,0),MATCH(data!Z$1,Haver_M!$B$1:$ZN$1,0)),"na")</f>
        <v>114.1451</v>
      </c>
      <c r="AA228">
        <f>IF(ISNUMBER(INDEX(Haver_M!$B$1:$ZN$1000,MATCH(data!$A228,Haver_M!$B$1:$B$1000,0),MATCH(data!AA$1,Haver_M!$B$1:$ZN$1,0))),INDEX(Haver_M!$B$1:$ZN$1000,MATCH(data!$A228,Haver_M!$B$1:$B$1000,0),MATCH(data!AA$1,Haver_M!$B$1:$ZN$1,0)),"na")</f>
        <v>109.178</v>
      </c>
      <c r="AB228">
        <f>IF(ISNUMBER(INDEX(Haver_M!$B$1:$ZN$1000,MATCH(data!$A228,Haver_M!$B$1:$B$1000,0),MATCH(data!AB$1,Haver_M!$B$1:$ZN$1,0))),INDEX(Haver_M!$B$1:$ZN$1000,MATCH(data!$A228,Haver_M!$B$1:$B$1000,0),MATCH(data!AB$1,Haver_M!$B$1:$ZN$1,0)),"na")</f>
        <v>37357.9</v>
      </c>
      <c r="AC228">
        <f>IF(ISNUMBER(INDEX(Haver_M!$B$1:$ZN$1000,MATCH(data!$A228,Haver_M!$B$1:$B$1000,0),MATCH(data!AC$1,Haver_M!$B$1:$ZN$1,0))),INDEX(Haver_M!$B$1:$ZN$1000,MATCH(data!$A228,Haver_M!$B$1:$B$1000,0),MATCH(data!AC$1,Haver_M!$B$1:$ZN$1,0)),"na")</f>
        <v>39617.300000000003</v>
      </c>
      <c r="AD228">
        <f>IF(ISNUMBER(INDEX(Haver_M!$B$1:$ZN$1000,MATCH(data!$A228,Haver_M!$B$1:$B$1000,0),MATCH(data!AD$1,Haver_M!$B$1:$ZN$1,0))),INDEX(Haver_M!$B$1:$ZN$1000,MATCH(data!$A228,Haver_M!$B$1:$B$1000,0),MATCH(data!AD$1,Haver_M!$B$1:$ZN$1,0)),"na")</f>
        <v>100.25</v>
      </c>
      <c r="AE228">
        <f>IF(ISNUMBER(INDEX(Haver_M!$B$1:$ZN$1000,MATCH(data!$A228,Haver_M!$B$1:$B$1000,0),MATCH(data!AE$1,Haver_M!$B$1:$ZN$1,0))),INDEX(Haver_M!$B$1:$ZN$1000,MATCH(data!$A228,Haver_M!$B$1:$B$1000,0),MATCH(data!AE$1,Haver_M!$B$1:$ZN$1,0)),"na")</f>
        <v>41.4</v>
      </c>
      <c r="AF228">
        <f>IF(ISNUMBER(INDEX(Haver_M!$B$1:$ZN$1000,MATCH(data!$A228,Haver_M!$B$1:$B$1000,0),MATCH(data!AF$1,Haver_M!$B$1:$ZN$1,0))),INDEX(Haver_M!$B$1:$ZN$1000,MATCH(data!$A228,Haver_M!$B$1:$B$1000,0),MATCH(data!AF$1,Haver_M!$B$1:$ZN$1,0)),"na")</f>
        <v>101.08</v>
      </c>
      <c r="AG228">
        <f>IF(ISNUMBER(INDEX(Haver_M!$B$1:$ZN$1000,MATCH(data!$A228,Haver_M!$B$1:$B$1000,0),MATCH(data!AG$1,Haver_M!$B$1:$ZN$1,0))),INDEX(Haver_M!$B$1:$ZN$1000,MATCH(data!$A228,Haver_M!$B$1:$B$1000,0),MATCH(data!AG$1,Haver_M!$B$1:$ZN$1,0)),"na")</f>
        <v>49.713000000000001</v>
      </c>
      <c r="AH228">
        <f>IF(ISNUMBER(INDEX(Haver_M!$B$1:$ZN$1000,MATCH(data!$A228,Haver_M!$B$1:$B$1000,0),MATCH(data!AH$1,Haver_M!$B$1:$ZN$1,0))),INDEX(Haver_M!$B$1:$ZN$1000,MATCH(data!$A228,Haver_M!$B$1:$B$1000,0),MATCH(data!AH$1,Haver_M!$B$1:$ZN$1,0)),"na")</f>
        <v>48.24</v>
      </c>
      <c r="AI228">
        <f>IF(ISNUMBER(INDEX(Haver_M!$B$1:$ZN$1000,MATCH(data!$A228,Haver_M!$B$1:$B$1000,0),MATCH(data!AI$1,Haver_M!$B$1:$ZN$1,0))),INDEX(Haver_M!$B$1:$ZN$1000,MATCH(data!$A228,Haver_M!$B$1:$B$1000,0),MATCH(data!AI$1,Haver_M!$B$1:$ZN$1,0)),"na")</f>
        <v>50.451900000000002</v>
      </c>
      <c r="AJ228">
        <f>IF(ISNUMBER(INDEX(Haver_M!$B$1:$ZN$1000,MATCH(data!$A228,Haver_M!$B$1:$B$1000,0),MATCH(data!AJ$1,Haver_M!$B$1:$ZN$1,0))),INDEX(Haver_M!$B$1:$ZN$1000,MATCH(data!$A228,Haver_M!$B$1:$B$1000,0),MATCH(data!AJ$1,Haver_M!$B$1:$ZN$1,0)),"na")</f>
        <v>50.103000000000002</v>
      </c>
      <c r="AK228">
        <f>IF(ISNUMBER(INDEX(Haver_M!$B$1:$ZN$1000,MATCH(data!$A228,Haver_M!$B$1:$B$1000,0),MATCH(data!AK$1,Haver_M!$B$1:$ZN$1,0))),INDEX(Haver_M!$B$1:$ZN$1000,MATCH(data!$A228,Haver_M!$B$1:$B$1000,0),MATCH(data!AK$1,Haver_M!$B$1:$ZN$1,0)),"na")</f>
        <v>50.190600000000003</v>
      </c>
      <c r="AL228">
        <f>IF(ISNUMBER(INDEX(Haver_M!$B$1:$ZN$1000,MATCH(data!$A228,Haver_M!$B$1:$B$1000,0),MATCH(data!AL$1,Haver_M!$B$1:$ZN$1,0))),INDEX(Haver_M!$B$1:$ZN$1000,MATCH(data!$A228,Haver_M!$B$1:$B$1000,0),MATCH(data!AL$1,Haver_M!$B$1:$ZN$1,0)),"na")</f>
        <v>50.254100000000001</v>
      </c>
      <c r="AM228">
        <f>IF(ISNUMBER(INDEX(Haver_M!$B$1:$ZN$1000,MATCH(data!$A228,Haver_M!$B$1:$B$1000,0),MATCH(data!AM$1,Haver_M!$B$1:$ZN$1,0))),INDEX(Haver_M!$B$1:$ZN$1000,MATCH(data!$A228,Haver_M!$B$1:$B$1000,0),MATCH(data!AM$1,Haver_M!$B$1:$ZN$1,0)),"na")</f>
        <v>57.872199999999999</v>
      </c>
      <c r="AN228">
        <f>IF(ISNUMBER(INDEX(Haver_M!$B$1:$ZN$1000,MATCH(data!$A228,Haver_M!$B$1:$B$1000,0),MATCH(data!AN$1,Haver_M!$B$1:$ZN$1,0))),INDEX(Haver_M!$B$1:$ZN$1000,MATCH(data!$A228,Haver_M!$B$1:$B$1000,0),MATCH(data!AN$1,Haver_M!$B$1:$ZN$1,0)),"na")</f>
        <v>48.890300000000003</v>
      </c>
      <c r="AO228">
        <f>IF(ISNUMBER(INDEX(Haver_M!$B$1:$ZN$1000,MATCH(data!$A228,Haver_M!$B$1:$B$1000,0),MATCH(data!AO$1,Haver_M!$B$1:$ZN$1,0))),INDEX(Haver_M!$B$1:$ZN$1000,MATCH(data!$A228,Haver_M!$B$1:$B$1000,0),MATCH(data!AO$1,Haver_M!$B$1:$ZN$1,0)),"na")</f>
        <v>50.254100000000001</v>
      </c>
      <c r="AP228">
        <f>IF(ISNUMBER(INDEX(Haver_M!$B$1:$ZN$1000,MATCH(data!$A228,Haver_M!$B$1:$B$1000,0),MATCH(data!AP$1,Haver_M!$B$1:$ZN$1,0))),INDEX(Haver_M!$B$1:$ZN$1000,MATCH(data!$A228,Haver_M!$B$1:$B$1000,0),MATCH(data!AP$1,Haver_M!$B$1:$ZN$1,0)),"na")</f>
        <v>53.224600000000002</v>
      </c>
      <c r="AQ228">
        <f>IF(ISNUMBER(INDEX(Haver_M!$B$1:$ZN$1000,MATCH(data!$A228,Haver_M!$B$1:$B$1000,0),MATCH(data!AQ$1,Haver_M!$B$1:$ZN$1,0))),INDEX(Haver_M!$B$1:$ZN$1000,MATCH(data!$A228,Haver_M!$B$1:$B$1000,0),MATCH(data!AQ$1,Haver_M!$B$1:$ZN$1,0)),"na")</f>
        <v>50.832599999999999</v>
      </c>
      <c r="AR228">
        <f>IF(ISNUMBER(INDEX(Haver_M!$B$1:$ZN$1000,MATCH(data!$A228,Haver_M!$B$1:$B$1000,0),MATCH(data!AR$1,Haver_M!$B$1:$ZN$1,0))),INDEX(Haver_M!$B$1:$ZN$1000,MATCH(data!$A228,Haver_M!$B$1:$B$1000,0),MATCH(data!AR$1,Haver_M!$B$1:$ZN$1,0)),"na")</f>
        <v>48.706800000000001</v>
      </c>
      <c r="AS228">
        <f>IF(ISNUMBER(INDEX(Haver_M!$B$1:$ZN$1000,MATCH(data!$A228,Haver_M!$B$1:$B$1000,0),MATCH(data!AS$1,Haver_M!$B$1:$ZN$1,0))),INDEX(Haver_M!$B$1:$ZN$1000,MATCH(data!$A228,Haver_M!$B$1:$B$1000,0),MATCH(data!AS$1,Haver_M!$B$1:$ZN$1,0)),"na")</f>
        <v>42769.61</v>
      </c>
      <c r="AT228">
        <f>IF(ISNUMBER(INDEX(Haver_M!$B$1:$ZN$1000,MATCH(data!$A228,Haver_M!$B$1:$B$1000,0),MATCH(data!AT$1,Haver_M!$B$1:$ZN$1,0))),INDEX(Haver_M!$B$1:$ZN$1000,MATCH(data!$A228,Haver_M!$B$1:$B$1000,0),MATCH(data!AT$1,Haver_M!$B$1:$ZN$1,0)),"na")</f>
        <v>116.367</v>
      </c>
      <c r="AU228">
        <f>IF(ISNUMBER(INDEX(Haver_M!$B$1:$ZN$1000,MATCH(data!$A228,Haver_M!$B$1:$B$1000,0),MATCH(data!AU$1,Haver_M!$B$1:$ZN$1,0))),INDEX(Haver_M!$B$1:$ZN$1000,MATCH(data!$A228,Haver_M!$B$1:$B$1000,0),MATCH(data!AU$1,Haver_M!$B$1:$ZN$1,0)),"na")</f>
        <v>112.986504</v>
      </c>
      <c r="AV228">
        <f>IF(ISNUMBER(INDEX(Haver_M!$B$1:$ZN$1000,MATCH(data!$A228,Haver_M!$B$1:$B$1000,0),MATCH(data!AV$1,Haver_M!$B$1:$ZN$1,0))),INDEX(Haver_M!$B$1:$ZN$1000,MATCH(data!$A228,Haver_M!$B$1:$B$1000,0),MATCH(data!AV$1,Haver_M!$B$1:$ZN$1,0)),"na")</f>
        <v>103.1</v>
      </c>
      <c r="AW228">
        <f>IF(ISNUMBER(INDEX(Haver_M!$B$1:$ZN$1000,MATCH(data!$A228,Haver_M!$B$1:$B$1000,0),MATCH(data!AW$1,Haver_M!$B$1:$ZN$1,0))),INDEX(Haver_M!$B$1:$ZN$1000,MATCH(data!$A228,Haver_M!$B$1:$B$1000,0),MATCH(data!AW$1,Haver_M!$B$1:$ZN$1,0)),"na")</f>
        <v>1909760.8677547721</v>
      </c>
      <c r="AX228">
        <f>IF(ISNUMBER(INDEX(Haver_M!$B$1:$ZN$1000,MATCH(data!$A228,Haver_M!$B$1:$B$1000,0),MATCH(data!AX$1,Haver_M!$B$1:$ZN$1,0))),INDEX(Haver_M!$B$1:$ZN$1000,MATCH(data!$A228,Haver_M!$B$1:$B$1000,0),MATCH(data!AX$1,Haver_M!$B$1:$ZN$1,0)),"na")</f>
        <v>1709</v>
      </c>
      <c r="AY228">
        <f>IF(ISNUMBER(INDEX(Haver_M!$B$1:$ZN$1000,MATCH(data!$A228,Haver_M!$B$1:$B$1000,0),MATCH(data!AY$1,Haver_M!$B$1:$ZN$1,0))),INDEX(Haver_M!$B$1:$ZN$1000,MATCH(data!$A228,Haver_M!$B$1:$B$1000,0),MATCH(data!AY$1,Haver_M!$B$1:$ZN$1,0)),"na")</f>
        <v>1135</v>
      </c>
      <c r="AZ228">
        <f>IF(ISNUMBER(INDEX(Haver_M!$B$1:$ZN$1000,MATCH(data!$A228,Haver_M!$B$1:$B$1000,0),MATCH(data!AZ$1,Haver_M!$B$1:$ZN$1,0))),INDEX(Haver_M!$B$1:$ZN$1000,MATCH(data!$A228,Haver_M!$B$1:$B$1000,0),MATCH(data!AZ$1,Haver_M!$B$1:$ZN$1,0)),"na")</f>
        <v>50.2</v>
      </c>
      <c r="BA228">
        <f>IF(ISNUMBER(INDEX(Haver_M!$B$1:$ZN$1000,MATCH(data!$A228,Haver_M!$B$1:$B$1000,0),MATCH(data!BA$1,Haver_M!$B$1:$ZN$1,0))),INDEX(Haver_M!$B$1:$ZN$1000,MATCH(data!$A228,Haver_M!$B$1:$B$1000,0),MATCH(data!BA$1,Haver_M!$B$1:$ZN$1,0)),"na")</f>
        <v>101.61136275224047</v>
      </c>
      <c r="BB228" t="str">
        <f>IF(ISNUMBER(INDEX(Haver_M!$B$1:$ZN$1000,MATCH(data!$A228,Haver_M!$B$1:$B$1000,0),MATCH(data!BB$1,Haver_M!$B$1:$ZN$1,0))),INDEX(Haver_M!$B$1:$ZN$1000,MATCH(data!$A228,Haver_M!$B$1:$B$1000,0),MATCH(data!BB$1,Haver_M!$B$1:$ZN$1,0)),"")</f>
        <v/>
      </c>
    </row>
    <row r="229" spans="1:54" x14ac:dyDescent="0.25">
      <c r="A229" s="2">
        <v>43465</v>
      </c>
      <c r="B229">
        <f>IF(ISNUMBER(INDEX(Haver_Q!$B$1:$BD$1000,MATCH(data!$A229,Haver_Q!$B$1:$B$1000,0),MATCH(data!B$1,Haver_Q!$B$1:$BD$1,0))),100*INDEX(Haver_Q!$B$1:$BD$1000,MATCH(data!$A229,Haver_Q!$B$1:$B$1000,0),MATCH(data!B$1,Haver_Q!$B$1:$BD$1,0)),"na")</f>
        <v>-0.97446868532167219</v>
      </c>
      <c r="C229">
        <f>IF(ISNUMBER(INDEX(Haver_Q!$B$1:$BD$1000,MATCH(data!$A229,Haver_Q!$B$1:$B$1000,0),MATCH(data!C$1,Haver_Q!$B$1:$BD$1,0))),100*INDEX(Haver_Q!$B$1:$BD$1000,MATCH(data!$A229,Haver_Q!$B$1:$B$1000,0),MATCH(data!C$1,Haver_Q!$B$1:$BD$1,0)),"na")</f>
        <v>-2.2729784506228201</v>
      </c>
      <c r="D229">
        <f>IF(ISNUMBER(INDEX(Haver_Q!$B$1:$BD$1000,MATCH(data!$A229,Haver_Q!$B$1:$B$1000,0),MATCH(data!D$1,Haver_Q!$B$1:$BD$1,0))),100*INDEX(Haver_Q!$B$1:$BD$1000,MATCH(data!$A229,Haver_Q!$B$1:$B$1000,0),MATCH(data!D$1,Haver_Q!$B$1:$BD$1,0)),"na")</f>
        <v>-2.4730962339508222</v>
      </c>
      <c r="E229">
        <f>IF(ISNUMBER(INDEX(Haver_Q!$B$1:$BD$1000,MATCH(data!$A229,Haver_Q!$B$1:$B$1000,0),MATCH(data!E$1,Haver_Q!$B$1:$BD$1,0))),100*INDEX(Haver_Q!$B$1:$BD$1000,MATCH(data!$A229,Haver_Q!$B$1:$B$1000,0),MATCH(data!E$1,Haver_Q!$B$1:$BD$1,0)),"na")</f>
        <v>-13.032102855560657</v>
      </c>
      <c r="F229">
        <f>IF(ISNUMBER(INDEX(Haver_Q!$B$1:$BD$1000,MATCH(data!$A229,Haver_Q!$B$1:$B$1000,0),MATCH(data!F$1,Haver_Q!$B$1:$BD$1,0))),100*INDEX(Haver_Q!$B$1:$BD$1000,MATCH(data!$A229,Haver_Q!$B$1:$B$1000,0),MATCH(data!F$1,Haver_Q!$B$1:$BD$1,0)),"na")</f>
        <v>3.9897413277342642</v>
      </c>
      <c r="G229">
        <f>IF(ISNUMBER(INDEX(Haver_Q!$B$1:$BD$1000,MATCH(data!$A229,Haver_Q!$B$1:$B$1000,0),MATCH(data!G$1,Haver_Q!$B$1:$BD$1,0))),100*INDEX(Haver_Q!$B$1:$BD$1000,MATCH(data!$A229,Haver_Q!$B$1:$B$1000,0),MATCH(data!G$1,Haver_Q!$B$1:$BD$1,0)),"na")</f>
        <v>6.8516210150747714</v>
      </c>
      <c r="H229">
        <f>IF(ISNUMBER(INDEX(Haver_Q!$B$1:$BD$1000,MATCH(data!$A229,Haver_Q!$B$1:$B$1000,0),MATCH(data!H$1,Haver_Q!$B$1:$BD$1,0))),100*INDEX(Haver_Q!$B$1:$BD$1000,MATCH(data!$A229,Haver_Q!$B$1:$B$1000,0),MATCH(data!H$1,Haver_Q!$B$1:$BD$1,0)),"na")</f>
        <v>284.21520960892457</v>
      </c>
      <c r="I229" s="3">
        <f>IF(ISNUMBER(Bloomberg_m!C245),Bloomberg_m!C245,"na")</f>
        <v>1335</v>
      </c>
      <c r="J229" s="3">
        <f>IF(ISNUMBER(Bloomberg_m!D245),Bloomberg_m!D245,"na")</f>
        <v>1616.01</v>
      </c>
      <c r="K229" s="3">
        <f>IF(ISNUMBER(Bloomberg_m!E245),Bloomberg_m!E245,"na")</f>
        <v>863.71</v>
      </c>
      <c r="L229" s="3">
        <f>IF(ISNUMBER(Bloomberg_m!L245),Bloomberg_m!L245,"na")</f>
        <v>48.95</v>
      </c>
      <c r="M229">
        <f>IF(ISNUMBER(INDEX(Haver_M!$B$1:$ZN$1000,MATCH(data!$A229,Haver_M!$B$1:$B$1000,0),MATCH(data!M$1,Haver_M!$B$1:$ZN$1,0))),INDEX(Haver_M!$B$1:$ZN$1000,MATCH(data!$A229,Haver_M!$B$1:$B$1000,0),MATCH(data!M$1,Haver_M!$B$1:$ZN$1,0)),"na")</f>
        <v>8.25</v>
      </c>
      <c r="N229">
        <f>IF(ISNUMBER(INDEX(Haver_M!$B$1:$ZN$1000,MATCH(data!$A229,Haver_M!$B$1:$B$1000,0),MATCH(data!N$1,Haver_M!$B$1:$ZN$1,0))),INDEX(Haver_M!$B$1:$ZN$1000,MATCH(data!$A229,Haver_M!$B$1:$B$1000,0),MATCH(data!N$1,Haver_M!$B$1:$ZN$1,0)),"na")</f>
        <v>8.9108999999999998</v>
      </c>
      <c r="O229">
        <f>IF(ISNUMBER(INDEX(Haver_M!$B$1:$ZN$1000,MATCH(data!$A229,Haver_M!$B$1:$B$1000,0),MATCH(data!O$1,Haver_M!$B$1:$ZN$1,0))),INDEX(Haver_M!$B$1:$ZN$1000,MATCH(data!$A229,Haver_M!$B$1:$B$1000,0),MATCH(data!O$1,Haver_M!$B$1:$ZN$1,0)),"na")</f>
        <v>80.789709999999999</v>
      </c>
      <c r="P229">
        <f>IF(ISNUMBER(INDEX(Haver_M!$B$1:$ZN$1000,MATCH(data!$A229,Haver_M!$B$1:$B$1000,0),MATCH(data!P$1,Haver_M!$B$1:$ZN$1,0))),INDEX(Haver_M!$B$1:$ZN$1000,MATCH(data!$A229,Haver_M!$B$1:$B$1000,0),MATCH(data!P$1,Haver_M!$B$1:$ZN$1,0)),"na")</f>
        <v>102.54559999999999</v>
      </c>
      <c r="Q229">
        <f>IF(ISNUMBER(INDEX(Haver_M!$B$1:$ZN$1000,MATCH(data!$A229,Haver_M!$B$1:$B$1000,0),MATCH(data!Q$1,Haver_M!$B$1:$ZN$1,0))),INDEX(Haver_M!$B$1:$ZN$1000,MATCH(data!$A229,Haver_M!$B$1:$B$1000,0),MATCH(data!Q$1,Haver_M!$B$1:$ZN$1,0)),"na")</f>
        <v>101.6568</v>
      </c>
      <c r="R229">
        <f>IF(ISNUMBER(INDEX(Haver_M!$B$1:$ZN$1000,MATCH(data!$A229,Haver_M!$B$1:$B$1000,0),MATCH(data!R$1,Haver_M!$B$1:$ZN$1,0))),INDEX(Haver_M!$B$1:$ZN$1000,MATCH(data!$A229,Haver_M!$B$1:$B$1000,0),MATCH(data!R$1,Haver_M!$B$1:$ZN$1,0)),"na")</f>
        <v>101.9311</v>
      </c>
      <c r="S229">
        <f>IF(ISNUMBER(INDEX(Haver_M!$B$1:$ZN$1000,MATCH(data!$A229,Haver_M!$B$1:$B$1000,0),MATCH(data!S$1,Haver_M!$B$1:$ZN$1,0))),INDEX(Haver_M!$B$1:$ZN$1000,MATCH(data!$A229,Haver_M!$B$1:$B$1000,0),MATCH(data!S$1,Haver_M!$B$1:$ZN$1,0)),"na")</f>
        <v>74.282499999999999</v>
      </c>
      <c r="T229">
        <f>IF(ISNUMBER(INDEX(Haver_M!$B$1:$ZN$1000,MATCH(data!$A229,Haver_M!$B$1:$B$1000,0),MATCH(data!T$1,Haver_M!$B$1:$ZN$1,0))),INDEX(Haver_M!$B$1:$ZN$1000,MATCH(data!$A229,Haver_M!$B$1:$B$1000,0),MATCH(data!T$1,Haver_M!$B$1:$ZN$1,0)),"na")</f>
        <v>114.6917</v>
      </c>
      <c r="U229">
        <f>IF(ISNUMBER(INDEX(Haver_M!$B$1:$ZN$1000,MATCH(data!$A229,Haver_M!$B$1:$B$1000,0),MATCH(data!U$1,Haver_M!$B$1:$ZN$1,0))),INDEX(Haver_M!$B$1:$ZN$1000,MATCH(data!$A229,Haver_M!$B$1:$B$1000,0),MATCH(data!U$1,Haver_M!$B$1:$ZN$1,0)),"na")</f>
        <v>102.65</v>
      </c>
      <c r="V229">
        <f>IF(ISNUMBER(INDEX(Haver_M!$B$1:$ZN$1000,MATCH(data!$A229,Haver_M!$B$1:$B$1000,0),MATCH(data!V$1,Haver_M!$B$1:$ZN$1,0))),INDEX(Haver_M!$B$1:$ZN$1000,MATCH(data!$A229,Haver_M!$B$1:$B$1000,0),MATCH(data!V$1,Haver_M!$B$1:$ZN$1,0)),"na")</f>
        <v>113.1264</v>
      </c>
      <c r="W229">
        <f>IF(ISNUMBER(INDEX(Haver_M!$B$1:$ZN$1000,MATCH(data!$A229,Haver_M!$B$1:$B$1000,0),MATCH(data!W$1,Haver_M!$B$1:$ZN$1,0))),INDEX(Haver_M!$B$1:$ZN$1000,MATCH(data!$A229,Haver_M!$B$1:$B$1000,0),MATCH(data!W$1,Haver_M!$B$1:$ZN$1,0)),"na")</f>
        <v>3.62</v>
      </c>
      <c r="X229">
        <f>IF(ISNUMBER(INDEX(Haver_M!$B$1:$ZN$1000,MATCH(data!$A229,Haver_M!$B$1:$B$1000,0),MATCH(data!X$1,Haver_M!$B$1:$ZN$1,0))),INDEX(Haver_M!$B$1:$ZN$1000,MATCH(data!$A229,Haver_M!$B$1:$B$1000,0),MATCH(data!X$1,Haver_M!$B$1:$ZN$1,0)),"na")</f>
        <v>105.62</v>
      </c>
      <c r="Y229">
        <f>IF(ISNUMBER(INDEX(Haver_M!$B$1:$ZN$1000,MATCH(data!$A229,Haver_M!$B$1:$B$1000,0),MATCH(data!Y$1,Haver_M!$B$1:$ZN$1,0))),INDEX(Haver_M!$B$1:$ZN$1000,MATCH(data!$A229,Haver_M!$B$1:$B$1000,0),MATCH(data!Y$1,Haver_M!$B$1:$ZN$1,0)),"na")</f>
        <v>100.25</v>
      </c>
      <c r="Z229">
        <f>IF(ISNUMBER(INDEX(Haver_M!$B$1:$ZN$1000,MATCH(data!$A229,Haver_M!$B$1:$B$1000,0),MATCH(data!Z$1,Haver_M!$B$1:$ZN$1,0))),INDEX(Haver_M!$B$1:$ZN$1000,MATCH(data!$A229,Haver_M!$B$1:$B$1000,0),MATCH(data!Z$1,Haver_M!$B$1:$ZN$1,0)),"na")</f>
        <v>111.83759999999999</v>
      </c>
      <c r="AA229">
        <f>IF(ISNUMBER(INDEX(Haver_M!$B$1:$ZN$1000,MATCH(data!$A229,Haver_M!$B$1:$B$1000,0),MATCH(data!AA$1,Haver_M!$B$1:$ZN$1,0))),INDEX(Haver_M!$B$1:$ZN$1000,MATCH(data!$A229,Haver_M!$B$1:$B$1000,0),MATCH(data!AA$1,Haver_M!$B$1:$ZN$1,0)),"na")</f>
        <v>106.5911</v>
      </c>
      <c r="AB229">
        <f>IF(ISNUMBER(INDEX(Haver_M!$B$1:$ZN$1000,MATCH(data!$A229,Haver_M!$B$1:$B$1000,0),MATCH(data!AB$1,Haver_M!$B$1:$ZN$1,0))),INDEX(Haver_M!$B$1:$ZN$1000,MATCH(data!$A229,Haver_M!$B$1:$B$1000,0),MATCH(data!AB$1,Haver_M!$B$1:$ZN$1,0)),"na")</f>
        <v>38226.5</v>
      </c>
      <c r="AC229">
        <f>IF(ISNUMBER(INDEX(Haver_M!$B$1:$ZN$1000,MATCH(data!$A229,Haver_M!$B$1:$B$1000,0),MATCH(data!AC$1,Haver_M!$B$1:$ZN$1,0))),INDEX(Haver_M!$B$1:$ZN$1000,MATCH(data!$A229,Haver_M!$B$1:$B$1000,0),MATCH(data!AC$1,Haver_M!$B$1:$ZN$1,0)),"na")</f>
        <v>37943.300000000003</v>
      </c>
      <c r="AD229">
        <f>IF(ISNUMBER(INDEX(Haver_M!$B$1:$ZN$1000,MATCH(data!$A229,Haver_M!$B$1:$B$1000,0),MATCH(data!AD$1,Haver_M!$B$1:$ZN$1,0))),INDEX(Haver_M!$B$1:$ZN$1000,MATCH(data!$A229,Haver_M!$B$1:$B$1000,0),MATCH(data!AD$1,Haver_M!$B$1:$ZN$1,0)),"na")</f>
        <v>100.16</v>
      </c>
      <c r="AE229">
        <f>IF(ISNUMBER(INDEX(Haver_M!$B$1:$ZN$1000,MATCH(data!$A229,Haver_M!$B$1:$B$1000,0),MATCH(data!AE$1,Haver_M!$B$1:$ZN$1,0))),INDEX(Haver_M!$B$1:$ZN$1000,MATCH(data!$A229,Haver_M!$B$1:$B$1000,0),MATCH(data!AE$1,Haver_M!$B$1:$ZN$1,0)),"na")</f>
        <v>44.6</v>
      </c>
      <c r="AF229">
        <f>IF(ISNUMBER(INDEX(Haver_M!$B$1:$ZN$1000,MATCH(data!$A229,Haver_M!$B$1:$B$1000,0),MATCH(data!AF$1,Haver_M!$B$1:$ZN$1,0))),INDEX(Haver_M!$B$1:$ZN$1000,MATCH(data!$A229,Haver_M!$B$1:$B$1000,0),MATCH(data!AF$1,Haver_M!$B$1:$ZN$1,0)),"na")</f>
        <v>101.15</v>
      </c>
      <c r="AG229">
        <f>IF(ISNUMBER(INDEX(Haver_M!$B$1:$ZN$1000,MATCH(data!$A229,Haver_M!$B$1:$B$1000,0),MATCH(data!AG$1,Haver_M!$B$1:$ZN$1,0))),INDEX(Haver_M!$B$1:$ZN$1000,MATCH(data!$A229,Haver_M!$B$1:$B$1000,0),MATCH(data!AG$1,Haver_M!$B$1:$ZN$1,0)),"na")</f>
        <v>49.747900000000001</v>
      </c>
      <c r="AH229">
        <f>IF(ISNUMBER(INDEX(Haver_M!$B$1:$ZN$1000,MATCH(data!$A229,Haver_M!$B$1:$B$1000,0),MATCH(data!AH$1,Haver_M!$B$1:$ZN$1,0))),INDEX(Haver_M!$B$1:$ZN$1000,MATCH(data!$A229,Haver_M!$B$1:$B$1000,0),MATCH(data!AH$1,Haver_M!$B$1:$ZN$1,0)),"na")</f>
        <v>48.648099999999999</v>
      </c>
      <c r="AI229">
        <f>IF(ISNUMBER(INDEX(Haver_M!$B$1:$ZN$1000,MATCH(data!$A229,Haver_M!$B$1:$B$1000,0),MATCH(data!AI$1,Haver_M!$B$1:$ZN$1,0))),INDEX(Haver_M!$B$1:$ZN$1000,MATCH(data!$A229,Haver_M!$B$1:$B$1000,0),MATCH(data!AI$1,Haver_M!$B$1:$ZN$1,0)),"na")</f>
        <v>50.6158</v>
      </c>
      <c r="AJ229">
        <f>IF(ISNUMBER(INDEX(Haver_M!$B$1:$ZN$1000,MATCH(data!$A229,Haver_M!$B$1:$B$1000,0),MATCH(data!AJ$1,Haver_M!$B$1:$ZN$1,0))),INDEX(Haver_M!$B$1:$ZN$1000,MATCH(data!$A229,Haver_M!$B$1:$B$1000,0),MATCH(data!AJ$1,Haver_M!$B$1:$ZN$1,0)),"na")</f>
        <v>49.917200000000001</v>
      </c>
      <c r="AK229">
        <f>IF(ISNUMBER(INDEX(Haver_M!$B$1:$ZN$1000,MATCH(data!$A229,Haver_M!$B$1:$B$1000,0),MATCH(data!AK$1,Haver_M!$B$1:$ZN$1,0))),INDEX(Haver_M!$B$1:$ZN$1000,MATCH(data!$A229,Haver_M!$B$1:$B$1000,0),MATCH(data!AK$1,Haver_M!$B$1:$ZN$1,0)),"na")</f>
        <v>49.520699999999998</v>
      </c>
      <c r="AL229">
        <f>IF(ISNUMBER(INDEX(Haver_M!$B$1:$ZN$1000,MATCH(data!$A229,Haver_M!$B$1:$B$1000,0),MATCH(data!AL$1,Haver_M!$B$1:$ZN$1,0))),INDEX(Haver_M!$B$1:$ZN$1000,MATCH(data!$A229,Haver_M!$B$1:$B$1000,0),MATCH(data!AL$1,Haver_M!$B$1:$ZN$1,0)),"na")</f>
        <v>48.458199999999998</v>
      </c>
      <c r="AM229">
        <f>IF(ISNUMBER(INDEX(Haver_M!$B$1:$ZN$1000,MATCH(data!$A229,Haver_M!$B$1:$B$1000,0),MATCH(data!AM$1,Haver_M!$B$1:$ZN$1,0))),INDEX(Haver_M!$B$1:$ZN$1000,MATCH(data!$A229,Haver_M!$B$1:$B$1000,0),MATCH(data!AM$1,Haver_M!$B$1:$ZN$1,0)),"na")</f>
        <v>56.549500000000002</v>
      </c>
      <c r="AN229">
        <f>IF(ISNUMBER(INDEX(Haver_M!$B$1:$ZN$1000,MATCH(data!$A229,Haver_M!$B$1:$B$1000,0),MATCH(data!AN$1,Haver_M!$B$1:$ZN$1,0))),INDEX(Haver_M!$B$1:$ZN$1000,MATCH(data!$A229,Haver_M!$B$1:$B$1000,0),MATCH(data!AN$1,Haver_M!$B$1:$ZN$1,0)),"na")</f>
        <v>49.6843</v>
      </c>
      <c r="AO229">
        <f>IF(ISNUMBER(INDEX(Haver_M!$B$1:$ZN$1000,MATCH(data!$A229,Haver_M!$B$1:$B$1000,0),MATCH(data!AO$1,Haver_M!$B$1:$ZN$1,0))),INDEX(Haver_M!$B$1:$ZN$1000,MATCH(data!$A229,Haver_M!$B$1:$B$1000,0),MATCH(data!AO$1,Haver_M!$B$1:$ZN$1,0)),"na")</f>
        <v>48.458199999999998</v>
      </c>
      <c r="AP229">
        <f>IF(ISNUMBER(INDEX(Haver_M!$B$1:$ZN$1000,MATCH(data!$A229,Haver_M!$B$1:$B$1000,0),MATCH(data!AP$1,Haver_M!$B$1:$ZN$1,0))),INDEX(Haver_M!$B$1:$ZN$1000,MATCH(data!$A229,Haver_M!$B$1:$B$1000,0),MATCH(data!AP$1,Haver_M!$B$1:$ZN$1,0)),"na")</f>
        <v>51.204700000000003</v>
      </c>
      <c r="AQ229">
        <f>IF(ISNUMBER(INDEX(Haver_M!$B$1:$ZN$1000,MATCH(data!$A229,Haver_M!$B$1:$B$1000,0),MATCH(data!AQ$1,Haver_M!$B$1:$ZN$1,0))),INDEX(Haver_M!$B$1:$ZN$1000,MATCH(data!$A229,Haver_M!$B$1:$B$1000,0),MATCH(data!AQ$1,Haver_M!$B$1:$ZN$1,0)),"na")</f>
        <v>50.687899999999999</v>
      </c>
      <c r="AR229">
        <f>IF(ISNUMBER(INDEX(Haver_M!$B$1:$ZN$1000,MATCH(data!$A229,Haver_M!$B$1:$B$1000,0),MATCH(data!AR$1,Haver_M!$B$1:$ZN$1,0))),INDEX(Haver_M!$B$1:$ZN$1000,MATCH(data!$A229,Haver_M!$B$1:$B$1000,0),MATCH(data!AR$1,Haver_M!$B$1:$ZN$1,0)),"na")</f>
        <v>48.583500000000001</v>
      </c>
      <c r="AS229">
        <f>IF(ISNUMBER(INDEX(Haver_M!$B$1:$ZN$1000,MATCH(data!$A229,Haver_M!$B$1:$B$1000,0),MATCH(data!AS$1,Haver_M!$B$1:$ZN$1,0))),INDEX(Haver_M!$B$1:$ZN$1000,MATCH(data!$A229,Haver_M!$B$1:$B$1000,0),MATCH(data!AS$1,Haver_M!$B$1:$ZN$1,0)),"na")</f>
        <v>41476.160000000003</v>
      </c>
      <c r="AT229">
        <f>IF(ISNUMBER(INDEX(Haver_M!$B$1:$ZN$1000,MATCH(data!$A229,Haver_M!$B$1:$B$1000,0),MATCH(data!AT$1,Haver_M!$B$1:$ZN$1,0))),INDEX(Haver_M!$B$1:$ZN$1000,MATCH(data!$A229,Haver_M!$B$1:$B$1000,0),MATCH(data!AT$1,Haver_M!$B$1:$ZN$1,0)),"na")</f>
        <v>116.21</v>
      </c>
      <c r="AU229">
        <f>IF(ISNUMBER(INDEX(Haver_M!$B$1:$ZN$1000,MATCH(data!$A229,Haver_M!$B$1:$B$1000,0),MATCH(data!AU$1,Haver_M!$B$1:$ZN$1,0))),INDEX(Haver_M!$B$1:$ZN$1000,MATCH(data!$A229,Haver_M!$B$1:$B$1000,0),MATCH(data!AU$1,Haver_M!$B$1:$ZN$1,0)),"na")</f>
        <v>112.066024</v>
      </c>
      <c r="AV229">
        <f>IF(ISNUMBER(INDEX(Haver_M!$B$1:$ZN$1000,MATCH(data!$A229,Haver_M!$B$1:$B$1000,0),MATCH(data!AV$1,Haver_M!$B$1:$ZN$1,0))),INDEX(Haver_M!$B$1:$ZN$1000,MATCH(data!$A229,Haver_M!$B$1:$B$1000,0),MATCH(data!AV$1,Haver_M!$B$1:$ZN$1,0)),"na")</f>
        <v>101.9</v>
      </c>
      <c r="AW229">
        <f>IF(ISNUMBER(INDEX(Haver_M!$B$1:$ZN$1000,MATCH(data!$A229,Haver_M!$B$1:$B$1000,0),MATCH(data!AW$1,Haver_M!$B$1:$ZN$1,0))),INDEX(Haver_M!$B$1:$ZN$1000,MATCH(data!$A229,Haver_M!$B$1:$B$1000,0),MATCH(data!AW$1,Haver_M!$B$1:$ZN$1,0)),"na")</f>
        <v>1923829.7391978337</v>
      </c>
      <c r="AX229">
        <f>IF(ISNUMBER(INDEX(Haver_M!$B$1:$ZN$1000,MATCH(data!$A229,Haver_M!$B$1:$B$1000,0),MATCH(data!AX$1,Haver_M!$B$1:$ZN$1,0))),INDEX(Haver_M!$B$1:$ZN$1000,MATCH(data!$A229,Haver_M!$B$1:$B$1000,0),MATCH(data!AX$1,Haver_M!$B$1:$ZN$1,0)),"na")</f>
        <v>1713</v>
      </c>
      <c r="AY229">
        <f>IF(ISNUMBER(INDEX(Haver_M!$B$1:$ZN$1000,MATCH(data!$A229,Haver_M!$B$1:$B$1000,0),MATCH(data!AY$1,Haver_M!$B$1:$ZN$1,0))),INDEX(Haver_M!$B$1:$ZN$1000,MATCH(data!$A229,Haver_M!$B$1:$B$1000,0),MATCH(data!AY$1,Haver_M!$B$1:$ZN$1,0)),"na")</f>
        <v>1198</v>
      </c>
      <c r="AZ229">
        <f>IF(ISNUMBER(INDEX(Haver_M!$B$1:$ZN$1000,MATCH(data!$A229,Haver_M!$B$1:$B$1000,0),MATCH(data!AZ$1,Haver_M!$B$1:$ZN$1,0))),INDEX(Haver_M!$B$1:$ZN$1000,MATCH(data!$A229,Haver_M!$B$1:$B$1000,0),MATCH(data!AZ$1,Haver_M!$B$1:$ZN$1,0)),"na")</f>
        <v>50.2</v>
      </c>
      <c r="BA229">
        <f>IF(ISNUMBER(INDEX(Haver_M!$B$1:$ZN$1000,MATCH(data!$A229,Haver_M!$B$1:$B$1000,0),MATCH(data!BA$1,Haver_M!$B$1:$ZN$1,0))),INDEX(Haver_M!$B$1:$ZN$1000,MATCH(data!$A229,Haver_M!$B$1:$B$1000,0),MATCH(data!BA$1,Haver_M!$B$1:$ZN$1,0)),"na")</f>
        <v>56.541196299897955</v>
      </c>
      <c r="BB229" t="str">
        <f>IF(ISNUMBER(INDEX(Haver_M!$B$1:$ZN$1000,MATCH(data!$A229,Haver_M!$B$1:$B$1000,0),MATCH(data!BB$1,Haver_M!$B$1:$ZN$1,0))),INDEX(Haver_M!$B$1:$ZN$1000,MATCH(data!$A229,Haver_M!$B$1:$B$1000,0),MATCH(data!BB$1,Haver_M!$B$1:$ZN$1,0)),"")</f>
        <v/>
      </c>
    </row>
    <row r="230" spans="1:54" x14ac:dyDescent="0.25">
      <c r="A230" s="2">
        <v>43496</v>
      </c>
      <c r="B230" t="str">
        <f>IF(ISNUMBER(INDEX(Haver_Q!$B$1:$BD$1000,MATCH(data!$A230,Haver_Q!$B$1:$B$1000,0),MATCH(data!B$1,Haver_Q!$B$1:$BD$1,0))),100*INDEX(Haver_Q!$B$1:$BD$1000,MATCH(data!$A230,Haver_Q!$B$1:$B$1000,0),MATCH(data!B$1,Haver_Q!$B$1:$BD$1,0)),"na")</f>
        <v>na</v>
      </c>
      <c r="C230" t="str">
        <f>IF(ISNUMBER(INDEX(Haver_Q!$B$1:$BD$1000,MATCH(data!$A230,Haver_Q!$B$1:$B$1000,0),MATCH(data!C$1,Haver_Q!$B$1:$BD$1,0))),100*INDEX(Haver_Q!$B$1:$BD$1000,MATCH(data!$A230,Haver_Q!$B$1:$B$1000,0),MATCH(data!C$1,Haver_Q!$B$1:$BD$1,0)),"na")</f>
        <v>na</v>
      </c>
      <c r="D230" t="str">
        <f>IF(ISNUMBER(INDEX(Haver_Q!$B$1:$BD$1000,MATCH(data!$A230,Haver_Q!$B$1:$B$1000,0),MATCH(data!D$1,Haver_Q!$B$1:$BD$1,0))),100*INDEX(Haver_Q!$B$1:$BD$1000,MATCH(data!$A230,Haver_Q!$B$1:$B$1000,0),MATCH(data!D$1,Haver_Q!$B$1:$BD$1,0)),"na")</f>
        <v>na</v>
      </c>
      <c r="E230" t="str">
        <f>IF(ISNUMBER(INDEX(Haver_Q!$B$1:$BD$1000,MATCH(data!$A230,Haver_Q!$B$1:$B$1000,0),MATCH(data!E$1,Haver_Q!$B$1:$BD$1,0))),100*INDEX(Haver_Q!$B$1:$BD$1000,MATCH(data!$A230,Haver_Q!$B$1:$B$1000,0),MATCH(data!E$1,Haver_Q!$B$1:$BD$1,0)),"na")</f>
        <v>na</v>
      </c>
      <c r="F230" t="str">
        <f>IF(ISNUMBER(INDEX(Haver_Q!$B$1:$BD$1000,MATCH(data!$A230,Haver_Q!$B$1:$B$1000,0),MATCH(data!F$1,Haver_Q!$B$1:$BD$1,0))),100*INDEX(Haver_Q!$B$1:$BD$1000,MATCH(data!$A230,Haver_Q!$B$1:$B$1000,0),MATCH(data!F$1,Haver_Q!$B$1:$BD$1,0)),"na")</f>
        <v>na</v>
      </c>
      <c r="G230" t="str">
        <f>IF(ISNUMBER(INDEX(Haver_Q!$B$1:$BD$1000,MATCH(data!$A230,Haver_Q!$B$1:$B$1000,0),MATCH(data!G$1,Haver_Q!$B$1:$BD$1,0))),100*INDEX(Haver_Q!$B$1:$BD$1000,MATCH(data!$A230,Haver_Q!$B$1:$B$1000,0),MATCH(data!G$1,Haver_Q!$B$1:$BD$1,0)),"na")</f>
        <v>na</v>
      </c>
      <c r="H230" t="str">
        <f>IF(ISNUMBER(INDEX(Haver_Q!$B$1:$BD$1000,MATCH(data!$A230,Haver_Q!$B$1:$B$1000,0),MATCH(data!H$1,Haver_Q!$B$1:$BD$1,0))),100*INDEX(Haver_Q!$B$1:$BD$1000,MATCH(data!$A230,Haver_Q!$B$1:$B$1000,0),MATCH(data!H$1,Haver_Q!$B$1:$BD$1,0)),"na")</f>
        <v>na</v>
      </c>
      <c r="I230" s="3">
        <f>IF(ISNUMBER(Bloomberg_m!C246),Bloomberg_m!C246,"na")</f>
        <v>1063</v>
      </c>
      <c r="J230" s="3">
        <f>IF(ISNUMBER(Bloomberg_m!D246),Bloomberg_m!D246,"na")</f>
        <v>1744.21</v>
      </c>
      <c r="K230" s="3">
        <f>IF(ISNUMBER(Bloomberg_m!E246),Bloomberg_m!E246,"na")</f>
        <v>948.61</v>
      </c>
      <c r="L230" s="3">
        <f>IF(ISNUMBER(Bloomberg_m!L246),Bloomberg_m!L246,"na")</f>
        <v>51.52</v>
      </c>
      <c r="M230">
        <f>IF(ISNUMBER(INDEX(Haver_M!$B$1:$ZN$1000,MATCH(data!$A230,Haver_M!$B$1:$B$1000,0),MATCH(data!M$1,Haver_M!$B$1:$ZN$1,0))),INDEX(Haver_M!$B$1:$ZN$1000,MATCH(data!$A230,Haver_M!$B$1:$B$1000,0),MATCH(data!M$1,Haver_M!$B$1:$ZN$1,0)),"na")</f>
        <v>8.25</v>
      </c>
      <c r="N230">
        <f>IF(ISNUMBER(INDEX(Haver_M!$B$1:$ZN$1000,MATCH(data!$A230,Haver_M!$B$1:$B$1000,0),MATCH(data!N$1,Haver_M!$B$1:$ZN$1,0))),INDEX(Haver_M!$B$1:$ZN$1000,MATCH(data!$A230,Haver_M!$B$1:$B$1000,0),MATCH(data!N$1,Haver_M!$B$1:$ZN$1,0)),"na")</f>
        <v>8.6103000000000005</v>
      </c>
      <c r="O230">
        <f>IF(ISNUMBER(INDEX(Haver_M!$B$1:$ZN$1000,MATCH(data!$A230,Haver_M!$B$1:$B$1000,0),MATCH(data!O$1,Haver_M!$B$1:$ZN$1,0))),INDEX(Haver_M!$B$1:$ZN$1000,MATCH(data!$A230,Haver_M!$B$1:$B$1000,0),MATCH(data!O$1,Haver_M!$B$1:$ZN$1,0)),"na")</f>
        <v>84.37679</v>
      </c>
      <c r="P230">
        <f>IF(ISNUMBER(INDEX(Haver_M!$B$1:$ZN$1000,MATCH(data!$A230,Haver_M!$B$1:$B$1000,0),MATCH(data!P$1,Haver_M!$B$1:$ZN$1,0))),INDEX(Haver_M!$B$1:$ZN$1000,MATCH(data!$A230,Haver_M!$B$1:$B$1000,0),MATCH(data!P$1,Haver_M!$B$1:$ZN$1,0)),"na")</f>
        <v>102.4765</v>
      </c>
      <c r="Q230">
        <f>IF(ISNUMBER(INDEX(Haver_M!$B$1:$ZN$1000,MATCH(data!$A230,Haver_M!$B$1:$B$1000,0),MATCH(data!Q$1,Haver_M!$B$1:$ZN$1,0))),INDEX(Haver_M!$B$1:$ZN$1000,MATCH(data!$A230,Haver_M!$B$1:$B$1000,0),MATCH(data!Q$1,Haver_M!$B$1:$ZN$1,0)),"na")</f>
        <v>101.8652</v>
      </c>
      <c r="R230">
        <f>IF(ISNUMBER(INDEX(Haver_M!$B$1:$ZN$1000,MATCH(data!$A230,Haver_M!$B$1:$B$1000,0),MATCH(data!R$1,Haver_M!$B$1:$ZN$1,0))),INDEX(Haver_M!$B$1:$ZN$1000,MATCH(data!$A230,Haver_M!$B$1:$B$1000,0),MATCH(data!R$1,Haver_M!$B$1:$ZN$1,0)),"na")</f>
        <v>103.47750000000001</v>
      </c>
      <c r="S230">
        <f>IF(ISNUMBER(INDEX(Haver_M!$B$1:$ZN$1000,MATCH(data!$A230,Haver_M!$B$1:$B$1000,0),MATCH(data!S$1,Haver_M!$B$1:$ZN$1,0))),INDEX(Haver_M!$B$1:$ZN$1000,MATCH(data!$A230,Haver_M!$B$1:$B$1000,0),MATCH(data!S$1,Haver_M!$B$1:$ZN$1,0)),"na")</f>
        <v>72.084100000000007</v>
      </c>
      <c r="T230">
        <f>IF(ISNUMBER(INDEX(Haver_M!$B$1:$ZN$1000,MATCH(data!$A230,Haver_M!$B$1:$B$1000,0),MATCH(data!T$1,Haver_M!$B$1:$ZN$1,0))),INDEX(Haver_M!$B$1:$ZN$1000,MATCH(data!$A230,Haver_M!$B$1:$B$1000,0),MATCH(data!T$1,Haver_M!$B$1:$ZN$1,0)),"na")</f>
        <v>117.1545</v>
      </c>
      <c r="U230">
        <f>IF(ISNUMBER(INDEX(Haver_M!$B$1:$ZN$1000,MATCH(data!$A230,Haver_M!$B$1:$B$1000,0),MATCH(data!U$1,Haver_M!$B$1:$ZN$1,0))),INDEX(Haver_M!$B$1:$ZN$1000,MATCH(data!$A230,Haver_M!$B$1:$B$1000,0),MATCH(data!U$1,Haver_M!$B$1:$ZN$1,0)),"na")</f>
        <v>108.4147</v>
      </c>
      <c r="V230">
        <f>IF(ISNUMBER(INDEX(Haver_M!$B$1:$ZN$1000,MATCH(data!$A230,Haver_M!$B$1:$B$1000,0),MATCH(data!V$1,Haver_M!$B$1:$ZN$1,0))),INDEX(Haver_M!$B$1:$ZN$1000,MATCH(data!$A230,Haver_M!$B$1:$B$1000,0),MATCH(data!V$1,Haver_M!$B$1:$ZN$1,0)),"na")</f>
        <v>114.6129</v>
      </c>
      <c r="W230">
        <f>IF(ISNUMBER(INDEX(Haver_M!$B$1:$ZN$1000,MATCH(data!$A230,Haver_M!$B$1:$B$1000,0),MATCH(data!W$1,Haver_M!$B$1:$ZN$1,0))),INDEX(Haver_M!$B$1:$ZN$1000,MATCH(data!$A230,Haver_M!$B$1:$B$1000,0),MATCH(data!W$1,Haver_M!$B$1:$ZN$1,0)),"na")</f>
        <v>3.51</v>
      </c>
      <c r="X230">
        <f>IF(ISNUMBER(INDEX(Haver_M!$B$1:$ZN$1000,MATCH(data!$A230,Haver_M!$B$1:$B$1000,0),MATCH(data!X$1,Haver_M!$B$1:$ZN$1,0))),INDEX(Haver_M!$B$1:$ZN$1000,MATCH(data!$A230,Haver_M!$B$1:$B$1000,0),MATCH(data!X$1,Haver_M!$B$1:$ZN$1,0)),"na")</f>
        <v>106.07</v>
      </c>
      <c r="Y230">
        <f>IF(ISNUMBER(INDEX(Haver_M!$B$1:$ZN$1000,MATCH(data!$A230,Haver_M!$B$1:$B$1000,0),MATCH(data!Y$1,Haver_M!$B$1:$ZN$1,0))),INDEX(Haver_M!$B$1:$ZN$1000,MATCH(data!$A230,Haver_M!$B$1:$B$1000,0),MATCH(data!Y$1,Haver_M!$B$1:$ZN$1,0)),"na")</f>
        <v>100.23</v>
      </c>
      <c r="Z230">
        <f>IF(ISNUMBER(INDEX(Haver_M!$B$1:$ZN$1000,MATCH(data!$A230,Haver_M!$B$1:$B$1000,0),MATCH(data!Z$1,Haver_M!$B$1:$ZN$1,0))),INDEX(Haver_M!$B$1:$ZN$1000,MATCH(data!$A230,Haver_M!$B$1:$B$1000,0),MATCH(data!Z$1,Haver_M!$B$1:$ZN$1,0)),"na")</f>
        <v>112.8009</v>
      </c>
      <c r="AA230">
        <f>IF(ISNUMBER(INDEX(Haver_M!$B$1:$ZN$1000,MATCH(data!$A230,Haver_M!$B$1:$B$1000,0),MATCH(data!AA$1,Haver_M!$B$1:$ZN$1,0))),INDEX(Haver_M!$B$1:$ZN$1000,MATCH(data!$A230,Haver_M!$B$1:$B$1000,0),MATCH(data!AA$1,Haver_M!$B$1:$ZN$1,0)),"na")</f>
        <v>107.85760000000001</v>
      </c>
      <c r="AB230">
        <f>IF(ISNUMBER(INDEX(Haver_M!$B$1:$ZN$1000,MATCH(data!$A230,Haver_M!$B$1:$B$1000,0),MATCH(data!AB$1,Haver_M!$B$1:$ZN$1,0))),INDEX(Haver_M!$B$1:$ZN$1000,MATCH(data!$A230,Haver_M!$B$1:$B$1000,0),MATCH(data!AB$1,Haver_M!$B$1:$ZN$1,0)),"na")</f>
        <v>37955.1</v>
      </c>
      <c r="AC230">
        <f>IF(ISNUMBER(INDEX(Haver_M!$B$1:$ZN$1000,MATCH(data!$A230,Haver_M!$B$1:$B$1000,0),MATCH(data!AC$1,Haver_M!$B$1:$ZN$1,0))),INDEX(Haver_M!$B$1:$ZN$1000,MATCH(data!$A230,Haver_M!$B$1:$B$1000,0),MATCH(data!AC$1,Haver_M!$B$1:$ZN$1,0)),"na")</f>
        <v>38883.699999999997</v>
      </c>
      <c r="AD230">
        <f>IF(ISNUMBER(INDEX(Haver_M!$B$1:$ZN$1000,MATCH(data!$A230,Haver_M!$B$1:$B$1000,0),MATCH(data!AD$1,Haver_M!$B$1:$ZN$1,0))),INDEX(Haver_M!$B$1:$ZN$1000,MATCH(data!$A230,Haver_M!$B$1:$B$1000,0),MATCH(data!AD$1,Haver_M!$B$1:$ZN$1,0)),"na")</f>
        <v>100.11</v>
      </c>
      <c r="AE230">
        <f>IF(ISNUMBER(INDEX(Haver_M!$B$1:$ZN$1000,MATCH(data!$A230,Haver_M!$B$1:$B$1000,0),MATCH(data!AE$1,Haver_M!$B$1:$ZN$1,0))),INDEX(Haver_M!$B$1:$ZN$1000,MATCH(data!$A230,Haver_M!$B$1:$B$1000,0),MATCH(data!AE$1,Haver_M!$B$1:$ZN$1,0)),"na")</f>
        <v>45.9</v>
      </c>
      <c r="AF230">
        <f>IF(ISNUMBER(INDEX(Haver_M!$B$1:$ZN$1000,MATCH(data!$A230,Haver_M!$B$1:$B$1000,0),MATCH(data!AF$1,Haver_M!$B$1:$ZN$1,0))),INDEX(Haver_M!$B$1:$ZN$1000,MATCH(data!$A230,Haver_M!$B$1:$B$1000,0),MATCH(data!AF$1,Haver_M!$B$1:$ZN$1,0)),"na")</f>
        <v>101.24</v>
      </c>
      <c r="AG230">
        <f>IF(ISNUMBER(INDEX(Haver_M!$B$1:$ZN$1000,MATCH(data!$A230,Haver_M!$B$1:$B$1000,0),MATCH(data!AG$1,Haver_M!$B$1:$ZN$1,0))),INDEX(Haver_M!$B$1:$ZN$1000,MATCH(data!$A230,Haver_M!$B$1:$B$1000,0),MATCH(data!AG$1,Haver_M!$B$1:$ZN$1,0)),"na")</f>
        <v>50.874000000000002</v>
      </c>
      <c r="AH230">
        <f>IF(ISNUMBER(INDEX(Haver_M!$B$1:$ZN$1000,MATCH(data!$A230,Haver_M!$B$1:$B$1000,0),MATCH(data!AH$1,Haver_M!$B$1:$ZN$1,0))),INDEX(Haver_M!$B$1:$ZN$1000,MATCH(data!$A230,Haver_M!$B$1:$B$1000,0),MATCH(data!AH$1,Haver_M!$B$1:$ZN$1,0)),"na")</f>
        <v>49.813400000000001</v>
      </c>
      <c r="AI230">
        <f>IF(ISNUMBER(INDEX(Haver_M!$B$1:$ZN$1000,MATCH(data!$A230,Haver_M!$B$1:$B$1000,0),MATCH(data!AI$1,Haver_M!$B$1:$ZN$1,0))),INDEX(Haver_M!$B$1:$ZN$1000,MATCH(data!$A230,Haver_M!$B$1:$B$1000,0),MATCH(data!AI$1,Haver_M!$B$1:$ZN$1,0)),"na")</f>
        <v>51.3994</v>
      </c>
      <c r="AJ230">
        <f>IF(ISNUMBER(INDEX(Haver_M!$B$1:$ZN$1000,MATCH(data!$A230,Haver_M!$B$1:$B$1000,0),MATCH(data!AJ$1,Haver_M!$B$1:$ZN$1,0))),INDEX(Haver_M!$B$1:$ZN$1000,MATCH(data!$A230,Haver_M!$B$1:$B$1000,0),MATCH(data!AJ$1,Haver_M!$B$1:$ZN$1,0)),"na")</f>
        <v>51.665300000000002</v>
      </c>
      <c r="AK230">
        <f>IF(ISNUMBER(INDEX(Haver_M!$B$1:$ZN$1000,MATCH(data!$A230,Haver_M!$B$1:$B$1000,0),MATCH(data!AK$1,Haver_M!$B$1:$ZN$1,0))),INDEX(Haver_M!$B$1:$ZN$1000,MATCH(data!$A230,Haver_M!$B$1:$B$1000,0),MATCH(data!AK$1,Haver_M!$B$1:$ZN$1,0)),"na")</f>
        <v>48.422499999999999</v>
      </c>
      <c r="AL230">
        <f>IF(ISNUMBER(INDEX(Haver_M!$B$1:$ZN$1000,MATCH(data!$A230,Haver_M!$B$1:$B$1000,0),MATCH(data!AL$1,Haver_M!$B$1:$ZN$1,0))),INDEX(Haver_M!$B$1:$ZN$1000,MATCH(data!$A230,Haver_M!$B$1:$B$1000,0),MATCH(data!AL$1,Haver_M!$B$1:$ZN$1,0)),"na")</f>
        <v>49.311100000000003</v>
      </c>
      <c r="AM230">
        <f>IF(ISNUMBER(INDEX(Haver_M!$B$1:$ZN$1000,MATCH(data!$A230,Haver_M!$B$1:$B$1000,0),MATCH(data!AM$1,Haver_M!$B$1:$ZN$1,0))),INDEX(Haver_M!$B$1:$ZN$1000,MATCH(data!$A230,Haver_M!$B$1:$B$1000,0),MATCH(data!AM$1,Haver_M!$B$1:$ZN$1,0)),"na")</f>
        <v>55.4163</v>
      </c>
      <c r="AN230">
        <f>IF(ISNUMBER(INDEX(Haver_M!$B$1:$ZN$1000,MATCH(data!$A230,Haver_M!$B$1:$B$1000,0),MATCH(data!AN$1,Haver_M!$B$1:$ZN$1,0))),INDEX(Haver_M!$B$1:$ZN$1000,MATCH(data!$A230,Haver_M!$B$1:$B$1000,0),MATCH(data!AN$1,Haver_M!$B$1:$ZN$1,0)),"na")</f>
        <v>49.982300000000002</v>
      </c>
      <c r="AO230">
        <f>IF(ISNUMBER(INDEX(Haver_M!$B$1:$ZN$1000,MATCH(data!$A230,Haver_M!$B$1:$B$1000,0),MATCH(data!AO$1,Haver_M!$B$1:$ZN$1,0))),INDEX(Haver_M!$B$1:$ZN$1000,MATCH(data!$A230,Haver_M!$B$1:$B$1000,0),MATCH(data!AO$1,Haver_M!$B$1:$ZN$1,0)),"na")</f>
        <v>49.311100000000003</v>
      </c>
      <c r="AP230">
        <f>IF(ISNUMBER(INDEX(Haver_M!$B$1:$ZN$1000,MATCH(data!$A230,Haver_M!$B$1:$B$1000,0),MATCH(data!AP$1,Haver_M!$B$1:$ZN$1,0))),INDEX(Haver_M!$B$1:$ZN$1000,MATCH(data!$A230,Haver_M!$B$1:$B$1000,0),MATCH(data!AP$1,Haver_M!$B$1:$ZN$1,0)),"na")</f>
        <v>50.009</v>
      </c>
      <c r="AQ230">
        <f>IF(ISNUMBER(INDEX(Haver_M!$B$1:$ZN$1000,MATCH(data!$A230,Haver_M!$B$1:$B$1000,0),MATCH(data!AQ$1,Haver_M!$B$1:$ZN$1,0))),INDEX(Haver_M!$B$1:$ZN$1000,MATCH(data!$A230,Haver_M!$B$1:$B$1000,0),MATCH(data!AQ$1,Haver_M!$B$1:$ZN$1,0)),"na")</f>
        <v>50.168799999999997</v>
      </c>
      <c r="AR230">
        <f>IF(ISNUMBER(INDEX(Haver_M!$B$1:$ZN$1000,MATCH(data!$A230,Haver_M!$B$1:$B$1000,0),MATCH(data!AR$1,Haver_M!$B$1:$ZN$1,0))),INDEX(Haver_M!$B$1:$ZN$1000,MATCH(data!$A230,Haver_M!$B$1:$B$1000,0),MATCH(data!AR$1,Haver_M!$B$1:$ZN$1,0)),"na")</f>
        <v>48.943600000000004</v>
      </c>
      <c r="AS230">
        <f>IF(ISNUMBER(INDEX(Haver_M!$B$1:$ZN$1000,MATCH(data!$A230,Haver_M!$B$1:$B$1000,0),MATCH(data!AS$1,Haver_M!$B$1:$ZN$1,0))),INDEX(Haver_M!$B$1:$ZN$1000,MATCH(data!$A230,Haver_M!$B$1:$B$1000,0),MATCH(data!AS$1,Haver_M!$B$1:$ZN$1,0)),"na")</f>
        <v>43483.75</v>
      </c>
      <c r="AT230">
        <f>IF(ISNUMBER(INDEX(Haver_M!$B$1:$ZN$1000,MATCH(data!$A230,Haver_M!$B$1:$B$1000,0),MATCH(data!AT$1,Haver_M!$B$1:$ZN$1,0))),INDEX(Haver_M!$B$1:$ZN$1000,MATCH(data!$A230,Haver_M!$B$1:$B$1000,0),MATCH(data!AT$1,Haver_M!$B$1:$ZN$1,0)),"na")</f>
        <v>116.774</v>
      </c>
      <c r="AU230">
        <f>IF(ISNUMBER(INDEX(Haver_M!$B$1:$ZN$1000,MATCH(data!$A230,Haver_M!$B$1:$B$1000,0),MATCH(data!AU$1,Haver_M!$B$1:$ZN$1,0))),INDEX(Haver_M!$B$1:$ZN$1000,MATCH(data!$A230,Haver_M!$B$1:$B$1000,0),MATCH(data!AU$1,Haver_M!$B$1:$ZN$1,0)),"na")</f>
        <v>112.78201900000001</v>
      </c>
      <c r="AV230">
        <f>IF(ISNUMBER(INDEX(Haver_M!$B$1:$ZN$1000,MATCH(data!$A230,Haver_M!$B$1:$B$1000,0),MATCH(data!AV$1,Haver_M!$B$1:$ZN$1,0))),INDEX(Haver_M!$B$1:$ZN$1000,MATCH(data!$A230,Haver_M!$B$1:$B$1000,0),MATCH(data!AV$1,Haver_M!$B$1:$ZN$1,0)),"na")</f>
        <v>110.1</v>
      </c>
      <c r="AW230">
        <f>IF(ISNUMBER(INDEX(Haver_M!$B$1:$ZN$1000,MATCH(data!$A230,Haver_M!$B$1:$B$1000,0),MATCH(data!AW$1,Haver_M!$B$1:$ZN$1,0))),INDEX(Haver_M!$B$1:$ZN$1000,MATCH(data!$A230,Haver_M!$B$1:$B$1000,0),MATCH(data!AW$1,Haver_M!$B$1:$ZN$1,0)),"na")</f>
        <v>2012897.7902721632</v>
      </c>
      <c r="AX230">
        <f>IF(ISNUMBER(INDEX(Haver_M!$B$1:$ZN$1000,MATCH(data!$A230,Haver_M!$B$1:$B$1000,0),MATCH(data!AX$1,Haver_M!$B$1:$ZN$1,0))),INDEX(Haver_M!$B$1:$ZN$1000,MATCH(data!$A230,Haver_M!$B$1:$B$1000,0),MATCH(data!AX$1,Haver_M!$B$1:$ZN$1,0)),"na")</f>
        <v>1631</v>
      </c>
      <c r="AY230">
        <f>IF(ISNUMBER(INDEX(Haver_M!$B$1:$ZN$1000,MATCH(data!$A230,Haver_M!$B$1:$B$1000,0),MATCH(data!AY$1,Haver_M!$B$1:$ZN$1,0))),INDEX(Haver_M!$B$1:$ZN$1000,MATCH(data!$A230,Haver_M!$B$1:$B$1000,0),MATCH(data!AY$1,Haver_M!$B$1:$ZN$1,0)),"na")</f>
        <v>1071</v>
      </c>
      <c r="AZ230">
        <f>IF(ISNUMBER(INDEX(Haver_M!$B$1:$ZN$1000,MATCH(data!$A230,Haver_M!$B$1:$B$1000,0),MATCH(data!AZ$1,Haver_M!$B$1:$ZN$1,0))),INDEX(Haver_M!$B$1:$ZN$1000,MATCH(data!$A230,Haver_M!$B$1:$B$1000,0),MATCH(data!AZ$1,Haver_M!$B$1:$ZN$1,0)),"na")</f>
        <v>49.1</v>
      </c>
      <c r="BA230">
        <f>IF(ISNUMBER(INDEX(Haver_M!$B$1:$ZN$1000,MATCH(data!$A230,Haver_M!$B$1:$B$1000,0),MATCH(data!BA$1,Haver_M!$B$1:$ZN$1,0))),INDEX(Haver_M!$B$1:$ZN$1000,MATCH(data!$A230,Haver_M!$B$1:$B$1000,0),MATCH(data!BA$1,Haver_M!$B$1:$ZN$1,0)),"na")</f>
        <v>64.002312822112202</v>
      </c>
      <c r="BB230" t="str">
        <f>IF(ISNUMBER(INDEX(Haver_M!$B$1:$ZN$1000,MATCH(data!$A230,Haver_M!$B$1:$B$1000,0),MATCH(data!BB$1,Haver_M!$B$1:$ZN$1,0))),INDEX(Haver_M!$B$1:$ZN$1000,MATCH(data!$A230,Haver_M!$B$1:$B$1000,0),MATCH(data!BB$1,Haver_M!$B$1:$ZN$1,0)),"")</f>
        <v/>
      </c>
    </row>
    <row r="231" spans="1:54" x14ac:dyDescent="0.25">
      <c r="A231" s="2">
        <v>43524</v>
      </c>
      <c r="B231" t="str">
        <f>IF(ISNUMBER(INDEX(Haver_Q!$B$1:$BD$1000,MATCH(data!$A231,Haver_Q!$B$1:$B$1000,0),MATCH(data!B$1,Haver_Q!$B$1:$BD$1,0))),100*INDEX(Haver_Q!$B$1:$BD$1000,MATCH(data!$A231,Haver_Q!$B$1:$B$1000,0),MATCH(data!B$1,Haver_Q!$B$1:$BD$1,0)),"na")</f>
        <v>na</v>
      </c>
      <c r="C231" t="str">
        <f>IF(ISNUMBER(INDEX(Haver_Q!$B$1:$BD$1000,MATCH(data!$A231,Haver_Q!$B$1:$B$1000,0),MATCH(data!C$1,Haver_Q!$B$1:$BD$1,0))),100*INDEX(Haver_Q!$B$1:$BD$1000,MATCH(data!$A231,Haver_Q!$B$1:$B$1000,0),MATCH(data!C$1,Haver_Q!$B$1:$BD$1,0)),"na")</f>
        <v>na</v>
      </c>
      <c r="D231" t="str">
        <f>IF(ISNUMBER(INDEX(Haver_Q!$B$1:$BD$1000,MATCH(data!$A231,Haver_Q!$B$1:$B$1000,0),MATCH(data!D$1,Haver_Q!$B$1:$BD$1,0))),100*INDEX(Haver_Q!$B$1:$BD$1000,MATCH(data!$A231,Haver_Q!$B$1:$B$1000,0),MATCH(data!D$1,Haver_Q!$B$1:$BD$1,0)),"na")</f>
        <v>na</v>
      </c>
      <c r="E231" t="str">
        <f>IF(ISNUMBER(INDEX(Haver_Q!$B$1:$BD$1000,MATCH(data!$A231,Haver_Q!$B$1:$B$1000,0),MATCH(data!E$1,Haver_Q!$B$1:$BD$1,0))),100*INDEX(Haver_Q!$B$1:$BD$1000,MATCH(data!$A231,Haver_Q!$B$1:$B$1000,0),MATCH(data!E$1,Haver_Q!$B$1:$BD$1,0)),"na")</f>
        <v>na</v>
      </c>
      <c r="F231" t="str">
        <f>IF(ISNUMBER(INDEX(Haver_Q!$B$1:$BD$1000,MATCH(data!$A231,Haver_Q!$B$1:$B$1000,0),MATCH(data!F$1,Haver_Q!$B$1:$BD$1,0))),100*INDEX(Haver_Q!$B$1:$BD$1000,MATCH(data!$A231,Haver_Q!$B$1:$B$1000,0),MATCH(data!F$1,Haver_Q!$B$1:$BD$1,0)),"na")</f>
        <v>na</v>
      </c>
      <c r="G231" t="str">
        <f>IF(ISNUMBER(INDEX(Haver_Q!$B$1:$BD$1000,MATCH(data!$A231,Haver_Q!$B$1:$B$1000,0),MATCH(data!G$1,Haver_Q!$B$1:$BD$1,0))),100*INDEX(Haver_Q!$B$1:$BD$1000,MATCH(data!$A231,Haver_Q!$B$1:$B$1000,0),MATCH(data!G$1,Haver_Q!$B$1:$BD$1,0)),"na")</f>
        <v>na</v>
      </c>
      <c r="H231" t="str">
        <f>IF(ISNUMBER(INDEX(Haver_Q!$B$1:$BD$1000,MATCH(data!$A231,Haver_Q!$B$1:$B$1000,0),MATCH(data!H$1,Haver_Q!$B$1:$BD$1,0))),100*INDEX(Haver_Q!$B$1:$BD$1000,MATCH(data!$A231,Haver_Q!$B$1:$B$1000,0),MATCH(data!H$1,Haver_Q!$B$1:$BD$1,0)),"na")</f>
        <v>na</v>
      </c>
      <c r="I231" s="3">
        <f>IF(ISNUMBER(Bloomberg_m!C247),Bloomberg_m!C247,"na")</f>
        <v>629</v>
      </c>
      <c r="J231" s="3">
        <f>IF(ISNUMBER(Bloomberg_m!D247),Bloomberg_m!D247,"na")</f>
        <v>1607.64</v>
      </c>
      <c r="K231" s="3">
        <f>IF(ISNUMBER(Bloomberg_m!E247),Bloomberg_m!E247,"na")</f>
        <v>890.16</v>
      </c>
      <c r="L231" s="3">
        <f>IF(ISNUMBER(Bloomberg_m!L247),Bloomberg_m!L247,"na")</f>
        <v>54.95</v>
      </c>
      <c r="M231">
        <f>IF(ISNUMBER(INDEX(Haver_M!$B$1:$ZN$1000,MATCH(data!$A231,Haver_M!$B$1:$B$1000,0),MATCH(data!M$1,Haver_M!$B$1:$ZN$1,0))),INDEX(Haver_M!$B$1:$ZN$1000,MATCH(data!$A231,Haver_M!$B$1:$B$1000,0),MATCH(data!M$1,Haver_M!$B$1:$ZN$1,0)),"na")</f>
        <v>8.25</v>
      </c>
      <c r="N231">
        <f>IF(ISNUMBER(INDEX(Haver_M!$B$1:$ZN$1000,MATCH(data!$A231,Haver_M!$B$1:$B$1000,0),MATCH(data!N$1,Haver_M!$B$1:$ZN$1,0))),INDEX(Haver_M!$B$1:$ZN$1000,MATCH(data!$A231,Haver_M!$B$1:$B$1000,0),MATCH(data!N$1,Haver_M!$B$1:$ZN$1,0)),"na")</f>
        <v>8.3925999999999998</v>
      </c>
      <c r="O231">
        <f>IF(ISNUMBER(INDEX(Haver_M!$B$1:$ZN$1000,MATCH(data!$A231,Haver_M!$B$1:$B$1000,0),MATCH(data!O$1,Haver_M!$B$1:$ZN$1,0))),INDEX(Haver_M!$B$1:$ZN$1000,MATCH(data!$A231,Haver_M!$B$1:$B$1000,0),MATCH(data!O$1,Haver_M!$B$1:$ZN$1,0)),"na")</f>
        <v>83.802400000000006</v>
      </c>
      <c r="P231">
        <f>IF(ISNUMBER(INDEX(Haver_M!$B$1:$ZN$1000,MATCH(data!$A231,Haver_M!$B$1:$B$1000,0),MATCH(data!P$1,Haver_M!$B$1:$ZN$1,0))),INDEX(Haver_M!$B$1:$ZN$1000,MATCH(data!$A231,Haver_M!$B$1:$B$1000,0),MATCH(data!P$1,Haver_M!$B$1:$ZN$1,0)),"na")</f>
        <v>102.4173</v>
      </c>
      <c r="Q231">
        <f>IF(ISNUMBER(INDEX(Haver_M!$B$1:$ZN$1000,MATCH(data!$A231,Haver_M!$B$1:$B$1000,0),MATCH(data!Q$1,Haver_M!$B$1:$ZN$1,0))),INDEX(Haver_M!$B$1:$ZN$1000,MATCH(data!$A231,Haver_M!$B$1:$B$1000,0),MATCH(data!Q$1,Haver_M!$B$1:$ZN$1,0)),"na")</f>
        <v>102.1135</v>
      </c>
      <c r="R231">
        <f>IF(ISNUMBER(INDEX(Haver_M!$B$1:$ZN$1000,MATCH(data!$A231,Haver_M!$B$1:$B$1000,0),MATCH(data!R$1,Haver_M!$B$1:$ZN$1,0))),INDEX(Haver_M!$B$1:$ZN$1000,MATCH(data!$A231,Haver_M!$B$1:$B$1000,0),MATCH(data!R$1,Haver_M!$B$1:$ZN$1,0)),"na")</f>
        <v>104.8098</v>
      </c>
      <c r="S231">
        <f>IF(ISNUMBER(INDEX(Haver_M!$B$1:$ZN$1000,MATCH(data!$A231,Haver_M!$B$1:$B$1000,0),MATCH(data!S$1,Haver_M!$B$1:$ZN$1,0))),INDEX(Haver_M!$B$1:$ZN$1000,MATCH(data!$A231,Haver_M!$B$1:$B$1000,0),MATCH(data!S$1,Haver_M!$B$1:$ZN$1,0)),"na")</f>
        <v>73.703299999999999</v>
      </c>
      <c r="T231">
        <f>IF(ISNUMBER(INDEX(Haver_M!$B$1:$ZN$1000,MATCH(data!$A231,Haver_M!$B$1:$B$1000,0),MATCH(data!T$1,Haver_M!$B$1:$ZN$1,0))),INDEX(Haver_M!$B$1:$ZN$1000,MATCH(data!$A231,Haver_M!$B$1:$B$1000,0),MATCH(data!T$1,Haver_M!$B$1:$ZN$1,0)),"na")</f>
        <v>117.4662</v>
      </c>
      <c r="U231">
        <f>IF(ISNUMBER(INDEX(Haver_M!$B$1:$ZN$1000,MATCH(data!$A231,Haver_M!$B$1:$B$1000,0),MATCH(data!U$1,Haver_M!$B$1:$ZN$1,0))),INDEX(Haver_M!$B$1:$ZN$1000,MATCH(data!$A231,Haver_M!$B$1:$B$1000,0),MATCH(data!U$1,Haver_M!$B$1:$ZN$1,0)),"na")</f>
        <v>108.00700000000001</v>
      </c>
      <c r="V231">
        <f>IF(ISNUMBER(INDEX(Haver_M!$B$1:$ZN$1000,MATCH(data!$A231,Haver_M!$B$1:$B$1000,0),MATCH(data!V$1,Haver_M!$B$1:$ZN$1,0))),INDEX(Haver_M!$B$1:$ZN$1000,MATCH(data!$A231,Haver_M!$B$1:$B$1000,0),MATCH(data!V$1,Haver_M!$B$1:$ZN$1,0)),"na")</f>
        <v>115.1632</v>
      </c>
      <c r="W231">
        <f>IF(ISNUMBER(INDEX(Haver_M!$B$1:$ZN$1000,MATCH(data!$A231,Haver_M!$B$1:$B$1000,0),MATCH(data!W$1,Haver_M!$B$1:$ZN$1,0))),INDEX(Haver_M!$B$1:$ZN$1000,MATCH(data!$A231,Haver_M!$B$1:$B$1000,0),MATCH(data!W$1,Haver_M!$B$1:$ZN$1,0)),"na")</f>
        <v>3.43</v>
      </c>
      <c r="X231">
        <f>IF(ISNUMBER(INDEX(Haver_M!$B$1:$ZN$1000,MATCH(data!$A231,Haver_M!$B$1:$B$1000,0),MATCH(data!X$1,Haver_M!$B$1:$ZN$1,0))),INDEX(Haver_M!$B$1:$ZN$1000,MATCH(data!$A231,Haver_M!$B$1:$B$1000,0),MATCH(data!X$1,Haver_M!$B$1:$ZN$1,0)),"na")</f>
        <v>107.12</v>
      </c>
      <c r="Y231">
        <f>IF(ISNUMBER(INDEX(Haver_M!$B$1:$ZN$1000,MATCH(data!$A231,Haver_M!$B$1:$B$1000,0),MATCH(data!Y$1,Haver_M!$B$1:$ZN$1,0))),INDEX(Haver_M!$B$1:$ZN$1000,MATCH(data!$A231,Haver_M!$B$1:$B$1000,0),MATCH(data!Y$1,Haver_M!$B$1:$ZN$1,0)),"na")</f>
        <v>100.25</v>
      </c>
      <c r="Z231">
        <f>IF(ISNUMBER(INDEX(Haver_M!$B$1:$ZN$1000,MATCH(data!$A231,Haver_M!$B$1:$B$1000,0),MATCH(data!Z$1,Haver_M!$B$1:$ZN$1,0))),INDEX(Haver_M!$B$1:$ZN$1000,MATCH(data!$A231,Haver_M!$B$1:$B$1000,0),MATCH(data!Z$1,Haver_M!$B$1:$ZN$1,0)),"na")</f>
        <v>114.9654</v>
      </c>
      <c r="AA231">
        <f>IF(ISNUMBER(INDEX(Haver_M!$B$1:$ZN$1000,MATCH(data!$A231,Haver_M!$B$1:$B$1000,0),MATCH(data!AA$1,Haver_M!$B$1:$ZN$1,0))),INDEX(Haver_M!$B$1:$ZN$1000,MATCH(data!$A231,Haver_M!$B$1:$B$1000,0),MATCH(data!AA$1,Haver_M!$B$1:$ZN$1,0)),"na")</f>
        <v>107.95869999999999</v>
      </c>
      <c r="AB231">
        <f>IF(ISNUMBER(INDEX(Haver_M!$B$1:$ZN$1000,MATCH(data!$A231,Haver_M!$B$1:$B$1000,0),MATCH(data!AB$1,Haver_M!$B$1:$ZN$1,0))),INDEX(Haver_M!$B$1:$ZN$1000,MATCH(data!$A231,Haver_M!$B$1:$B$1000,0),MATCH(data!AB$1,Haver_M!$B$1:$ZN$1,0)),"na")</f>
        <v>38341</v>
      </c>
      <c r="AC231">
        <f>IF(ISNUMBER(INDEX(Haver_M!$B$1:$ZN$1000,MATCH(data!$A231,Haver_M!$B$1:$B$1000,0),MATCH(data!AC$1,Haver_M!$B$1:$ZN$1,0))),INDEX(Haver_M!$B$1:$ZN$1000,MATCH(data!$A231,Haver_M!$B$1:$B$1000,0),MATCH(data!AC$1,Haver_M!$B$1:$ZN$1,0)),"na")</f>
        <v>38354.800000000003</v>
      </c>
      <c r="AD231">
        <f>IF(ISNUMBER(INDEX(Haver_M!$B$1:$ZN$1000,MATCH(data!$A231,Haver_M!$B$1:$B$1000,0),MATCH(data!AD$1,Haver_M!$B$1:$ZN$1,0))),INDEX(Haver_M!$B$1:$ZN$1000,MATCH(data!$A231,Haver_M!$B$1:$B$1000,0),MATCH(data!AD$1,Haver_M!$B$1:$ZN$1,0)),"na")</f>
        <v>100.07</v>
      </c>
      <c r="AE231">
        <f>IF(ISNUMBER(INDEX(Haver_M!$B$1:$ZN$1000,MATCH(data!$A231,Haver_M!$B$1:$B$1000,0),MATCH(data!AE$1,Haver_M!$B$1:$ZN$1,0))),INDEX(Haver_M!$B$1:$ZN$1000,MATCH(data!$A231,Haver_M!$B$1:$B$1000,0),MATCH(data!AE$1,Haver_M!$B$1:$ZN$1,0)),"na")</f>
        <v>48.5</v>
      </c>
      <c r="AF231">
        <f>IF(ISNUMBER(INDEX(Haver_M!$B$1:$ZN$1000,MATCH(data!$A231,Haver_M!$B$1:$B$1000,0),MATCH(data!AF$1,Haver_M!$B$1:$ZN$1,0))),INDEX(Haver_M!$B$1:$ZN$1000,MATCH(data!$A231,Haver_M!$B$1:$B$1000,0),MATCH(data!AF$1,Haver_M!$B$1:$ZN$1,0)),"na")</f>
        <v>101.33</v>
      </c>
      <c r="AG231">
        <f>IF(ISNUMBER(INDEX(Haver_M!$B$1:$ZN$1000,MATCH(data!$A231,Haver_M!$B$1:$B$1000,0),MATCH(data!AG$1,Haver_M!$B$1:$ZN$1,0))),INDEX(Haver_M!$B$1:$ZN$1000,MATCH(data!$A231,Haver_M!$B$1:$B$1000,0),MATCH(data!AG$1,Haver_M!$B$1:$ZN$1,0)),"na")</f>
        <v>52.638800000000003</v>
      </c>
      <c r="AH231">
        <f>IF(ISNUMBER(INDEX(Haver_M!$B$1:$ZN$1000,MATCH(data!$A231,Haver_M!$B$1:$B$1000,0),MATCH(data!AH$1,Haver_M!$B$1:$ZN$1,0))),INDEX(Haver_M!$B$1:$ZN$1000,MATCH(data!$A231,Haver_M!$B$1:$B$1000,0),MATCH(data!AH$1,Haver_M!$B$1:$ZN$1,0)),"na")</f>
        <v>52.082099999999997</v>
      </c>
      <c r="AI231">
        <f>IF(ISNUMBER(INDEX(Haver_M!$B$1:$ZN$1000,MATCH(data!$A231,Haver_M!$B$1:$B$1000,0),MATCH(data!AI$1,Haver_M!$B$1:$ZN$1,0))),INDEX(Haver_M!$B$1:$ZN$1000,MATCH(data!$A231,Haver_M!$B$1:$B$1000,0),MATCH(data!AI$1,Haver_M!$B$1:$ZN$1,0)),"na")</f>
        <v>54.488700000000001</v>
      </c>
      <c r="AJ231">
        <f>IF(ISNUMBER(INDEX(Haver_M!$B$1:$ZN$1000,MATCH(data!$A231,Haver_M!$B$1:$B$1000,0),MATCH(data!AJ$1,Haver_M!$B$1:$ZN$1,0))),INDEX(Haver_M!$B$1:$ZN$1000,MATCH(data!$A231,Haver_M!$B$1:$B$1000,0),MATCH(data!AJ$1,Haver_M!$B$1:$ZN$1,0)),"na")</f>
        <v>52.402700000000003</v>
      </c>
      <c r="AK231">
        <f>IF(ISNUMBER(INDEX(Haver_M!$B$1:$ZN$1000,MATCH(data!$A231,Haver_M!$B$1:$B$1000,0),MATCH(data!AK$1,Haver_M!$B$1:$ZN$1,0))),INDEX(Haver_M!$B$1:$ZN$1000,MATCH(data!$A231,Haver_M!$B$1:$B$1000,0),MATCH(data!AK$1,Haver_M!$B$1:$ZN$1,0)),"na")</f>
        <v>49.090800000000002</v>
      </c>
      <c r="AL231">
        <f>IF(ISNUMBER(INDEX(Haver_M!$B$1:$ZN$1000,MATCH(data!$A231,Haver_M!$B$1:$B$1000,0),MATCH(data!AL$1,Haver_M!$B$1:$ZN$1,0))),INDEX(Haver_M!$B$1:$ZN$1000,MATCH(data!$A231,Haver_M!$B$1:$B$1000,0),MATCH(data!AL$1,Haver_M!$B$1:$ZN$1,0)),"na")</f>
        <v>51.547800000000002</v>
      </c>
      <c r="AM231">
        <f>IF(ISNUMBER(INDEX(Haver_M!$B$1:$ZN$1000,MATCH(data!$A231,Haver_M!$B$1:$B$1000,0),MATCH(data!AM$1,Haver_M!$B$1:$ZN$1,0))),INDEX(Haver_M!$B$1:$ZN$1000,MATCH(data!$A231,Haver_M!$B$1:$B$1000,0),MATCH(data!AM$1,Haver_M!$B$1:$ZN$1,0)),"na")</f>
        <v>54.918799999999997</v>
      </c>
      <c r="AN231">
        <f>IF(ISNUMBER(INDEX(Haver_M!$B$1:$ZN$1000,MATCH(data!$A231,Haver_M!$B$1:$B$1000,0),MATCH(data!AN$1,Haver_M!$B$1:$ZN$1,0))),INDEX(Haver_M!$B$1:$ZN$1000,MATCH(data!$A231,Haver_M!$B$1:$B$1000,0),MATCH(data!AN$1,Haver_M!$B$1:$ZN$1,0)),"na")</f>
        <v>52.398699999999998</v>
      </c>
      <c r="AO231">
        <f>IF(ISNUMBER(INDEX(Haver_M!$B$1:$ZN$1000,MATCH(data!$A231,Haver_M!$B$1:$B$1000,0),MATCH(data!AO$1,Haver_M!$B$1:$ZN$1,0))),INDEX(Haver_M!$B$1:$ZN$1000,MATCH(data!$A231,Haver_M!$B$1:$B$1000,0),MATCH(data!AO$1,Haver_M!$B$1:$ZN$1,0)),"na")</f>
        <v>51.547800000000002</v>
      </c>
      <c r="AP231">
        <f>IF(ISNUMBER(INDEX(Haver_M!$B$1:$ZN$1000,MATCH(data!$A231,Haver_M!$B$1:$B$1000,0),MATCH(data!AP$1,Haver_M!$B$1:$ZN$1,0))),INDEX(Haver_M!$B$1:$ZN$1000,MATCH(data!$A231,Haver_M!$B$1:$B$1000,0),MATCH(data!AP$1,Haver_M!$B$1:$ZN$1,0)),"na")</f>
        <v>53.354700000000001</v>
      </c>
      <c r="AQ231">
        <f>IF(ISNUMBER(INDEX(Haver_M!$B$1:$ZN$1000,MATCH(data!$A231,Haver_M!$B$1:$B$1000,0),MATCH(data!AQ$1,Haver_M!$B$1:$ZN$1,0))),INDEX(Haver_M!$B$1:$ZN$1000,MATCH(data!$A231,Haver_M!$B$1:$B$1000,0),MATCH(data!AQ$1,Haver_M!$B$1:$ZN$1,0)),"na")</f>
        <v>50.366199999999999</v>
      </c>
      <c r="AR231">
        <f>IF(ISNUMBER(INDEX(Haver_M!$B$1:$ZN$1000,MATCH(data!$A231,Haver_M!$B$1:$B$1000,0),MATCH(data!AR$1,Haver_M!$B$1:$ZN$1,0))),INDEX(Haver_M!$B$1:$ZN$1000,MATCH(data!$A231,Haver_M!$B$1:$B$1000,0),MATCH(data!AR$1,Haver_M!$B$1:$ZN$1,0)),"na")</f>
        <v>48.063600000000001</v>
      </c>
      <c r="AS231">
        <f>IF(ISNUMBER(INDEX(Haver_M!$B$1:$ZN$1000,MATCH(data!$A231,Haver_M!$B$1:$B$1000,0),MATCH(data!AS$1,Haver_M!$B$1:$ZN$1,0))),INDEX(Haver_M!$B$1:$ZN$1000,MATCH(data!$A231,Haver_M!$B$1:$B$1000,0),MATCH(data!AS$1,Haver_M!$B$1:$ZN$1,0)),"na")</f>
        <v>43314.78</v>
      </c>
      <c r="AT231">
        <f>IF(ISNUMBER(INDEX(Haver_M!$B$1:$ZN$1000,MATCH(data!$A231,Haver_M!$B$1:$B$1000,0),MATCH(data!AT$1,Haver_M!$B$1:$ZN$1,0))),INDEX(Haver_M!$B$1:$ZN$1000,MATCH(data!$A231,Haver_M!$B$1:$B$1000,0),MATCH(data!AT$1,Haver_M!$B$1:$ZN$1,0)),"na")</f>
        <v>116.884</v>
      </c>
      <c r="AU231">
        <f>IF(ISNUMBER(INDEX(Haver_M!$B$1:$ZN$1000,MATCH(data!$A231,Haver_M!$B$1:$B$1000,0),MATCH(data!AU$1,Haver_M!$B$1:$ZN$1,0))),INDEX(Haver_M!$B$1:$ZN$1000,MATCH(data!$A231,Haver_M!$B$1:$B$1000,0),MATCH(data!AU$1,Haver_M!$B$1:$ZN$1,0)),"na")</f>
        <v>113.125484</v>
      </c>
      <c r="AV231">
        <f>IF(ISNUMBER(INDEX(Haver_M!$B$1:$ZN$1000,MATCH(data!$A231,Haver_M!$B$1:$B$1000,0),MATCH(data!AV$1,Haver_M!$B$1:$ZN$1,0))),INDEX(Haver_M!$B$1:$ZN$1000,MATCH(data!$A231,Haver_M!$B$1:$B$1000,0),MATCH(data!AV$1,Haver_M!$B$1:$ZN$1,0)),"na")</f>
        <v>108.5</v>
      </c>
      <c r="AW231">
        <f>IF(ISNUMBER(INDEX(Haver_M!$B$1:$ZN$1000,MATCH(data!$A231,Haver_M!$B$1:$B$1000,0),MATCH(data!AW$1,Haver_M!$B$1:$ZN$1,0))),INDEX(Haver_M!$B$1:$ZN$1000,MATCH(data!$A231,Haver_M!$B$1:$B$1000,0),MATCH(data!AW$1,Haver_M!$B$1:$ZN$1,0)),"na")</f>
        <v>2062278.527670891</v>
      </c>
      <c r="AX231">
        <f>IF(ISNUMBER(INDEX(Haver_M!$B$1:$ZN$1000,MATCH(data!$A231,Haver_M!$B$1:$B$1000,0),MATCH(data!AX$1,Haver_M!$B$1:$ZN$1,0))),INDEX(Haver_M!$B$1:$ZN$1000,MATCH(data!$A231,Haver_M!$B$1:$B$1000,0),MATCH(data!AX$1,Haver_M!$B$1:$ZN$1,0)),"na")</f>
        <v>1701</v>
      </c>
      <c r="AY231">
        <f>IF(ISNUMBER(INDEX(Haver_M!$B$1:$ZN$1000,MATCH(data!$A231,Haver_M!$B$1:$B$1000,0),MATCH(data!AY$1,Haver_M!$B$1:$ZN$1,0))),INDEX(Haver_M!$B$1:$ZN$1000,MATCH(data!$A231,Haver_M!$B$1:$B$1000,0),MATCH(data!AY$1,Haver_M!$B$1:$ZN$1,0)),"na")</f>
        <v>1475</v>
      </c>
      <c r="AZ231">
        <f>IF(ISNUMBER(INDEX(Haver_M!$B$1:$ZN$1000,MATCH(data!$A231,Haver_M!$B$1:$B$1000,0),MATCH(data!AZ$1,Haver_M!$B$1:$ZN$1,0))),INDEX(Haver_M!$B$1:$ZN$1000,MATCH(data!$A231,Haver_M!$B$1:$B$1000,0),MATCH(data!AZ$1,Haver_M!$B$1:$ZN$1,0)),"na")</f>
        <v>54.5</v>
      </c>
      <c r="BA231">
        <f>IF(ISNUMBER(INDEX(Haver_M!$B$1:$ZN$1000,MATCH(data!$A231,Haver_M!$B$1:$B$1000,0),MATCH(data!BA$1,Haver_M!$B$1:$ZN$1,0))),INDEX(Haver_M!$B$1:$ZN$1000,MATCH(data!$A231,Haver_M!$B$1:$B$1000,0),MATCH(data!BA$1,Haver_M!$B$1:$ZN$1,0)),"na")</f>
        <v>89.067667680908471</v>
      </c>
      <c r="BB231" t="str">
        <f>IF(ISNUMBER(INDEX(Haver_M!$B$1:$ZN$1000,MATCH(data!$A231,Haver_M!$B$1:$B$1000,0),MATCH(data!BB$1,Haver_M!$B$1:$ZN$1,0))),INDEX(Haver_M!$B$1:$ZN$1000,MATCH(data!$A231,Haver_M!$B$1:$B$1000,0),MATCH(data!BB$1,Haver_M!$B$1:$ZN$1,0)),"")</f>
        <v/>
      </c>
    </row>
    <row r="232" spans="1:54" x14ac:dyDescent="0.25">
      <c r="A232" s="2">
        <v>43555</v>
      </c>
      <c r="B232">
        <f>IF(ISNUMBER(INDEX(Haver_Q!$B$1:$BD$1000,MATCH(data!$A232,Haver_Q!$B$1:$B$1000,0),MATCH(data!B$1,Haver_Q!$B$1:$BD$1,0))),100*INDEX(Haver_Q!$B$1:$BD$1000,MATCH(data!$A232,Haver_Q!$B$1:$B$1000,0),MATCH(data!B$1,Haver_Q!$B$1:$BD$1,0)),"na")</f>
        <v>0.6419316753836446</v>
      </c>
      <c r="C232">
        <f>IF(ISNUMBER(INDEX(Haver_Q!$B$1:$BD$1000,MATCH(data!$A232,Haver_Q!$B$1:$B$1000,0),MATCH(data!C$1,Haver_Q!$B$1:$BD$1,0))),100*INDEX(Haver_Q!$B$1:$BD$1000,MATCH(data!$A232,Haver_Q!$B$1:$B$1000,0),MATCH(data!C$1,Haver_Q!$B$1:$BD$1,0)),"na")</f>
        <v>-1.6170604598581995</v>
      </c>
      <c r="D232">
        <f>IF(ISNUMBER(INDEX(Haver_Q!$B$1:$BD$1000,MATCH(data!$A232,Haver_Q!$B$1:$B$1000,0),MATCH(data!D$1,Haver_Q!$B$1:$BD$1,0))),100*INDEX(Haver_Q!$B$1:$BD$1000,MATCH(data!$A232,Haver_Q!$B$1:$B$1000,0),MATCH(data!D$1,Haver_Q!$B$1:$BD$1,0)),"na")</f>
        <v>1.9837489674724207</v>
      </c>
      <c r="E232">
        <f>IF(ISNUMBER(INDEX(Haver_Q!$B$1:$BD$1000,MATCH(data!$A232,Haver_Q!$B$1:$B$1000,0),MATCH(data!E$1,Haver_Q!$B$1:$BD$1,0))),100*INDEX(Haver_Q!$B$1:$BD$1000,MATCH(data!$A232,Haver_Q!$B$1:$B$1000,0),MATCH(data!E$1,Haver_Q!$B$1:$BD$1,0)),"na")</f>
        <v>10.931250960710193</v>
      </c>
      <c r="F232">
        <f>IF(ISNUMBER(INDEX(Haver_Q!$B$1:$BD$1000,MATCH(data!$A232,Haver_Q!$B$1:$B$1000,0),MATCH(data!F$1,Haver_Q!$B$1:$BD$1,0))),100*INDEX(Haver_Q!$B$1:$BD$1000,MATCH(data!$A232,Haver_Q!$B$1:$B$1000,0),MATCH(data!F$1,Haver_Q!$B$1:$BD$1,0)),"na")</f>
        <v>-2.9935679330830189</v>
      </c>
      <c r="G232">
        <f>IF(ISNUMBER(INDEX(Haver_Q!$B$1:$BD$1000,MATCH(data!$A232,Haver_Q!$B$1:$B$1000,0),MATCH(data!G$1,Haver_Q!$B$1:$BD$1,0))),100*INDEX(Haver_Q!$B$1:$BD$1000,MATCH(data!$A232,Haver_Q!$B$1:$B$1000,0),MATCH(data!G$1,Haver_Q!$B$1:$BD$1,0)),"na")</f>
        <v>-4.3156865594649823</v>
      </c>
      <c r="H232">
        <f>IF(ISNUMBER(INDEX(Haver_Q!$B$1:$BD$1000,MATCH(data!$A232,Haver_Q!$B$1:$B$1000,0),MATCH(data!H$1,Haver_Q!$B$1:$BD$1,0))),100*INDEX(Haver_Q!$B$1:$BD$1000,MATCH(data!$A232,Haver_Q!$B$1:$B$1000,0),MATCH(data!H$1,Haver_Q!$B$1:$BD$1,0)),"na")</f>
        <v>300.23448051327949</v>
      </c>
      <c r="I232" s="3">
        <f>IF(ISNUMBER(Bloomberg_m!C248),Bloomberg_m!C248,"na")</f>
        <v>680</v>
      </c>
      <c r="J232" s="3">
        <f>IF(ISNUMBER(Bloomberg_m!D248),Bloomberg_m!D248,"na")</f>
        <v>1344.95</v>
      </c>
      <c r="K232" s="3">
        <f>IF(ISNUMBER(Bloomberg_m!E248),Bloomberg_m!E248,"na")</f>
        <v>766.82</v>
      </c>
      <c r="L232" s="3">
        <f>IF(ISNUMBER(Bloomberg_m!L248),Bloomberg_m!L248,"na")</f>
        <v>58.15</v>
      </c>
      <c r="M232">
        <f>IF(ISNUMBER(INDEX(Haver_M!$B$1:$ZN$1000,MATCH(data!$A232,Haver_M!$B$1:$B$1000,0),MATCH(data!M$1,Haver_M!$B$1:$ZN$1,0))),INDEX(Haver_M!$B$1:$ZN$1000,MATCH(data!$A232,Haver_M!$B$1:$B$1000,0),MATCH(data!M$1,Haver_M!$B$1:$ZN$1,0)),"na")</f>
        <v>8.25</v>
      </c>
      <c r="N232">
        <f>IF(ISNUMBER(INDEX(Haver_M!$B$1:$ZN$1000,MATCH(data!$A232,Haver_M!$B$1:$B$1000,0),MATCH(data!N$1,Haver_M!$B$1:$ZN$1,0))),INDEX(Haver_M!$B$1:$ZN$1000,MATCH(data!$A232,Haver_M!$B$1:$B$1000,0),MATCH(data!N$1,Haver_M!$B$1:$ZN$1,0)),"na")</f>
        <v>8.0949000000000009</v>
      </c>
      <c r="O232">
        <f>IF(ISNUMBER(INDEX(Haver_M!$B$1:$ZN$1000,MATCH(data!$A232,Haver_M!$B$1:$B$1000,0),MATCH(data!O$1,Haver_M!$B$1:$ZN$1,0))),INDEX(Haver_M!$B$1:$ZN$1000,MATCH(data!$A232,Haver_M!$B$1:$B$1000,0),MATCH(data!O$1,Haver_M!$B$1:$ZN$1,0)),"na")</f>
        <v>83.806030000000007</v>
      </c>
      <c r="P232">
        <f>IF(ISNUMBER(INDEX(Haver_M!$B$1:$ZN$1000,MATCH(data!$A232,Haver_M!$B$1:$B$1000,0),MATCH(data!P$1,Haver_M!$B$1:$ZN$1,0))),INDEX(Haver_M!$B$1:$ZN$1000,MATCH(data!$A232,Haver_M!$B$1:$B$1000,0),MATCH(data!P$1,Haver_M!$B$1:$ZN$1,0)),"na")</f>
        <v>102.8601</v>
      </c>
      <c r="Q232">
        <f>IF(ISNUMBER(INDEX(Haver_M!$B$1:$ZN$1000,MATCH(data!$A232,Haver_M!$B$1:$B$1000,0),MATCH(data!Q$1,Haver_M!$B$1:$ZN$1,0))),INDEX(Haver_M!$B$1:$ZN$1000,MATCH(data!$A232,Haver_M!$B$1:$B$1000,0),MATCH(data!Q$1,Haver_M!$B$1:$ZN$1,0)),"na")</f>
        <v>102.45050000000001</v>
      </c>
      <c r="R232">
        <f>IF(ISNUMBER(INDEX(Haver_M!$B$1:$ZN$1000,MATCH(data!$A232,Haver_M!$B$1:$B$1000,0),MATCH(data!R$1,Haver_M!$B$1:$ZN$1,0))),INDEX(Haver_M!$B$1:$ZN$1000,MATCH(data!$A232,Haver_M!$B$1:$B$1000,0),MATCH(data!R$1,Haver_M!$B$1:$ZN$1,0)),"na")</f>
        <v>102.76309999999999</v>
      </c>
      <c r="S232">
        <f>IF(ISNUMBER(INDEX(Haver_M!$B$1:$ZN$1000,MATCH(data!$A232,Haver_M!$B$1:$B$1000,0),MATCH(data!S$1,Haver_M!$B$1:$ZN$1,0))),INDEX(Haver_M!$B$1:$ZN$1000,MATCH(data!$A232,Haver_M!$B$1:$B$1000,0),MATCH(data!S$1,Haver_M!$B$1:$ZN$1,0)),"na")</f>
        <v>73.276200000000003</v>
      </c>
      <c r="T232">
        <f>IF(ISNUMBER(INDEX(Haver_M!$B$1:$ZN$1000,MATCH(data!$A232,Haver_M!$B$1:$B$1000,0),MATCH(data!T$1,Haver_M!$B$1:$ZN$1,0))),INDEX(Haver_M!$B$1:$ZN$1000,MATCH(data!$A232,Haver_M!$B$1:$B$1000,0),MATCH(data!T$1,Haver_M!$B$1:$ZN$1,0)),"na")</f>
        <v>117.62390000000001</v>
      </c>
      <c r="U232">
        <f>IF(ISNUMBER(INDEX(Haver_M!$B$1:$ZN$1000,MATCH(data!$A232,Haver_M!$B$1:$B$1000,0),MATCH(data!U$1,Haver_M!$B$1:$ZN$1,0))),INDEX(Haver_M!$B$1:$ZN$1000,MATCH(data!$A232,Haver_M!$B$1:$B$1000,0),MATCH(data!U$1,Haver_M!$B$1:$ZN$1,0)),"na")</f>
        <v>103.47880000000001</v>
      </c>
      <c r="V232">
        <f>IF(ISNUMBER(INDEX(Haver_M!$B$1:$ZN$1000,MATCH(data!$A232,Haver_M!$B$1:$B$1000,0),MATCH(data!V$1,Haver_M!$B$1:$ZN$1,0))),INDEX(Haver_M!$B$1:$ZN$1000,MATCH(data!$A232,Haver_M!$B$1:$B$1000,0),MATCH(data!V$1,Haver_M!$B$1:$ZN$1,0)),"na")</f>
        <v>114.4199</v>
      </c>
      <c r="W232">
        <f>IF(ISNUMBER(INDEX(Haver_M!$B$1:$ZN$1000,MATCH(data!$A232,Haver_M!$B$1:$B$1000,0),MATCH(data!W$1,Haver_M!$B$1:$ZN$1,0))),INDEX(Haver_M!$B$1:$ZN$1000,MATCH(data!$A232,Haver_M!$B$1:$B$1000,0),MATCH(data!W$1,Haver_M!$B$1:$ZN$1,0)),"na")</f>
        <v>3.57</v>
      </c>
      <c r="X232">
        <f>IF(ISNUMBER(INDEX(Haver_M!$B$1:$ZN$1000,MATCH(data!$A232,Haver_M!$B$1:$B$1000,0),MATCH(data!X$1,Haver_M!$B$1:$ZN$1,0))),INDEX(Haver_M!$B$1:$ZN$1000,MATCH(data!$A232,Haver_M!$B$1:$B$1000,0),MATCH(data!X$1,Haver_M!$B$1:$ZN$1,0)),"na")</f>
        <v>107.9</v>
      </c>
      <c r="Y232">
        <f>IF(ISNUMBER(INDEX(Haver_M!$B$1:$ZN$1000,MATCH(data!$A232,Haver_M!$B$1:$B$1000,0),MATCH(data!Y$1,Haver_M!$B$1:$ZN$1,0))),INDEX(Haver_M!$B$1:$ZN$1000,MATCH(data!$A232,Haver_M!$B$1:$B$1000,0),MATCH(data!Y$1,Haver_M!$B$1:$ZN$1,0)),"na")</f>
        <v>100.29</v>
      </c>
      <c r="Z232">
        <f>IF(ISNUMBER(INDEX(Haver_M!$B$1:$ZN$1000,MATCH(data!$A232,Haver_M!$B$1:$B$1000,0),MATCH(data!Z$1,Haver_M!$B$1:$ZN$1,0))),INDEX(Haver_M!$B$1:$ZN$1000,MATCH(data!$A232,Haver_M!$B$1:$B$1000,0),MATCH(data!Z$1,Haver_M!$B$1:$ZN$1,0)),"na")</f>
        <v>114.9876</v>
      </c>
      <c r="AA232">
        <f>IF(ISNUMBER(INDEX(Haver_M!$B$1:$ZN$1000,MATCH(data!$A232,Haver_M!$B$1:$B$1000,0),MATCH(data!AA$1,Haver_M!$B$1:$ZN$1,0))),INDEX(Haver_M!$B$1:$ZN$1000,MATCH(data!$A232,Haver_M!$B$1:$B$1000,0),MATCH(data!AA$1,Haver_M!$B$1:$ZN$1,0)),"na")</f>
        <v>107.9671</v>
      </c>
      <c r="AB232">
        <f>IF(ISNUMBER(INDEX(Haver_M!$B$1:$ZN$1000,MATCH(data!$A232,Haver_M!$B$1:$B$1000,0),MATCH(data!AB$1,Haver_M!$B$1:$ZN$1,0))),INDEX(Haver_M!$B$1:$ZN$1000,MATCH(data!$A232,Haver_M!$B$1:$B$1000,0),MATCH(data!AB$1,Haver_M!$B$1:$ZN$1,0)),"na")</f>
        <v>38463.5</v>
      </c>
      <c r="AC232">
        <f>IF(ISNUMBER(INDEX(Haver_M!$B$1:$ZN$1000,MATCH(data!$A232,Haver_M!$B$1:$B$1000,0),MATCH(data!AC$1,Haver_M!$B$1:$ZN$1,0))),INDEX(Haver_M!$B$1:$ZN$1000,MATCH(data!$A232,Haver_M!$B$1:$B$1000,0),MATCH(data!AC$1,Haver_M!$B$1:$ZN$1,0)),"na")</f>
        <v>38336.300000000003</v>
      </c>
      <c r="AD232">
        <f>IF(ISNUMBER(INDEX(Haver_M!$B$1:$ZN$1000,MATCH(data!$A232,Haver_M!$B$1:$B$1000,0),MATCH(data!AD$1,Haver_M!$B$1:$ZN$1,0))),INDEX(Haver_M!$B$1:$ZN$1000,MATCH(data!$A232,Haver_M!$B$1:$B$1000,0),MATCH(data!AD$1,Haver_M!$B$1:$ZN$1,0)),"na")</f>
        <v>100.04</v>
      </c>
      <c r="AE232">
        <f>IF(ISNUMBER(INDEX(Haver_M!$B$1:$ZN$1000,MATCH(data!$A232,Haver_M!$B$1:$B$1000,0),MATCH(data!AE$1,Haver_M!$B$1:$ZN$1,0))),INDEX(Haver_M!$B$1:$ZN$1000,MATCH(data!$A232,Haver_M!$B$1:$B$1000,0),MATCH(data!AE$1,Haver_M!$B$1:$ZN$1,0)),"na")</f>
        <v>47</v>
      </c>
      <c r="AF232">
        <f>IF(ISNUMBER(INDEX(Haver_M!$B$1:$ZN$1000,MATCH(data!$A232,Haver_M!$B$1:$B$1000,0),MATCH(data!AF$1,Haver_M!$B$1:$ZN$1,0))),INDEX(Haver_M!$B$1:$ZN$1000,MATCH(data!$A232,Haver_M!$B$1:$B$1000,0),MATCH(data!AF$1,Haver_M!$B$1:$ZN$1,0)),"na")</f>
        <v>101.38</v>
      </c>
      <c r="AG232">
        <f>IF(ISNUMBER(INDEX(Haver_M!$B$1:$ZN$1000,MATCH(data!$A232,Haver_M!$B$1:$B$1000,0),MATCH(data!AG$1,Haver_M!$B$1:$ZN$1,0))),INDEX(Haver_M!$B$1:$ZN$1000,MATCH(data!$A232,Haver_M!$B$1:$B$1000,0),MATCH(data!AG$1,Haver_M!$B$1:$ZN$1,0)),"na")</f>
        <v>49.750500000000002</v>
      </c>
      <c r="AH232">
        <f>IF(ISNUMBER(INDEX(Haver_M!$B$1:$ZN$1000,MATCH(data!$A232,Haver_M!$B$1:$B$1000,0),MATCH(data!AH$1,Haver_M!$B$1:$ZN$1,0))),INDEX(Haver_M!$B$1:$ZN$1000,MATCH(data!$A232,Haver_M!$B$1:$B$1000,0),MATCH(data!AH$1,Haver_M!$B$1:$ZN$1,0)),"na")</f>
        <v>49.070900000000002</v>
      </c>
      <c r="AI232">
        <f>IF(ISNUMBER(INDEX(Haver_M!$B$1:$ZN$1000,MATCH(data!$A232,Haver_M!$B$1:$B$1000,0),MATCH(data!AI$1,Haver_M!$B$1:$ZN$1,0))),INDEX(Haver_M!$B$1:$ZN$1000,MATCH(data!$A232,Haver_M!$B$1:$B$1000,0),MATCH(data!AI$1,Haver_M!$B$1:$ZN$1,0)),"na")</f>
        <v>50.012900000000002</v>
      </c>
      <c r="AJ232">
        <f>IF(ISNUMBER(INDEX(Haver_M!$B$1:$ZN$1000,MATCH(data!$A232,Haver_M!$B$1:$B$1000,0),MATCH(data!AJ$1,Haver_M!$B$1:$ZN$1,0))),INDEX(Haver_M!$B$1:$ZN$1000,MATCH(data!$A232,Haver_M!$B$1:$B$1000,0),MATCH(data!AJ$1,Haver_M!$B$1:$ZN$1,0)),"na")</f>
        <v>49.818100000000001</v>
      </c>
      <c r="AK232">
        <f>IF(ISNUMBER(INDEX(Haver_M!$B$1:$ZN$1000,MATCH(data!$A232,Haver_M!$B$1:$B$1000,0),MATCH(data!AK$1,Haver_M!$B$1:$ZN$1,0))),INDEX(Haver_M!$B$1:$ZN$1000,MATCH(data!$A232,Haver_M!$B$1:$B$1000,0),MATCH(data!AK$1,Haver_M!$B$1:$ZN$1,0)),"na")</f>
        <v>49.1661</v>
      </c>
      <c r="AL232">
        <f>IF(ISNUMBER(INDEX(Haver_M!$B$1:$ZN$1000,MATCH(data!$A232,Haver_M!$B$1:$B$1000,0),MATCH(data!AL$1,Haver_M!$B$1:$ZN$1,0))),INDEX(Haver_M!$B$1:$ZN$1000,MATCH(data!$A232,Haver_M!$B$1:$B$1000,0),MATCH(data!AL$1,Haver_M!$B$1:$ZN$1,0)),"na")</f>
        <v>48.902200000000001</v>
      </c>
      <c r="AM232">
        <f>IF(ISNUMBER(INDEX(Haver_M!$B$1:$ZN$1000,MATCH(data!$A232,Haver_M!$B$1:$B$1000,0),MATCH(data!AM$1,Haver_M!$B$1:$ZN$1,0))),INDEX(Haver_M!$B$1:$ZN$1000,MATCH(data!$A232,Haver_M!$B$1:$B$1000,0),MATCH(data!AM$1,Haver_M!$B$1:$ZN$1,0)),"na")</f>
        <v>53.711799999999997</v>
      </c>
      <c r="AN232">
        <f>IF(ISNUMBER(INDEX(Haver_M!$B$1:$ZN$1000,MATCH(data!$A232,Haver_M!$B$1:$B$1000,0),MATCH(data!AN$1,Haver_M!$B$1:$ZN$1,0))),INDEX(Haver_M!$B$1:$ZN$1000,MATCH(data!$A232,Haver_M!$B$1:$B$1000,0),MATCH(data!AN$1,Haver_M!$B$1:$ZN$1,0)),"na")</f>
        <v>49.923000000000002</v>
      </c>
      <c r="AO232">
        <f>IF(ISNUMBER(INDEX(Haver_M!$B$1:$ZN$1000,MATCH(data!$A232,Haver_M!$B$1:$B$1000,0),MATCH(data!AO$1,Haver_M!$B$1:$ZN$1,0))),INDEX(Haver_M!$B$1:$ZN$1000,MATCH(data!$A232,Haver_M!$B$1:$B$1000,0),MATCH(data!AO$1,Haver_M!$B$1:$ZN$1,0)),"na")</f>
        <v>48.902200000000001</v>
      </c>
      <c r="AP232">
        <f>IF(ISNUMBER(INDEX(Haver_M!$B$1:$ZN$1000,MATCH(data!$A232,Haver_M!$B$1:$B$1000,0),MATCH(data!AP$1,Haver_M!$B$1:$ZN$1,0))),INDEX(Haver_M!$B$1:$ZN$1000,MATCH(data!$A232,Haver_M!$B$1:$B$1000,0),MATCH(data!AP$1,Haver_M!$B$1:$ZN$1,0)),"na")</f>
        <v>50.682699999999997</v>
      </c>
      <c r="AQ232">
        <f>IF(ISNUMBER(INDEX(Haver_M!$B$1:$ZN$1000,MATCH(data!$A232,Haver_M!$B$1:$B$1000,0),MATCH(data!AQ$1,Haver_M!$B$1:$ZN$1,0))),INDEX(Haver_M!$B$1:$ZN$1000,MATCH(data!$A232,Haver_M!$B$1:$B$1000,0),MATCH(data!AQ$1,Haver_M!$B$1:$ZN$1,0)),"na")</f>
        <v>49.745399999999997</v>
      </c>
      <c r="AR232">
        <f>IF(ISNUMBER(INDEX(Haver_M!$B$1:$ZN$1000,MATCH(data!$A232,Haver_M!$B$1:$B$1000,0),MATCH(data!AR$1,Haver_M!$B$1:$ZN$1,0))),INDEX(Haver_M!$B$1:$ZN$1000,MATCH(data!$A232,Haver_M!$B$1:$B$1000,0),MATCH(data!AR$1,Haver_M!$B$1:$ZN$1,0)),"na")</f>
        <v>48.904000000000003</v>
      </c>
      <c r="AS232">
        <f>IF(ISNUMBER(INDEX(Haver_M!$B$1:$ZN$1000,MATCH(data!$A232,Haver_M!$B$1:$B$1000,0),MATCH(data!AS$1,Haver_M!$B$1:$ZN$1,0))),INDEX(Haver_M!$B$1:$ZN$1000,MATCH(data!$A232,Haver_M!$B$1:$B$1000,0),MATCH(data!AS$1,Haver_M!$B$1:$ZN$1,0)),"na")</f>
        <v>42380.99</v>
      </c>
      <c r="AT232">
        <f>IF(ISNUMBER(INDEX(Haver_M!$B$1:$ZN$1000,MATCH(data!$A232,Haver_M!$B$1:$B$1000,0),MATCH(data!AT$1,Haver_M!$B$1:$ZN$1,0))),INDEX(Haver_M!$B$1:$ZN$1000,MATCH(data!$A232,Haver_M!$B$1:$B$1000,0),MATCH(data!AT$1,Haver_M!$B$1:$ZN$1,0)),"na")</f>
        <v>116.494</v>
      </c>
      <c r="AU232">
        <f>IF(ISNUMBER(INDEX(Haver_M!$B$1:$ZN$1000,MATCH(data!$A232,Haver_M!$B$1:$B$1000,0),MATCH(data!AU$1,Haver_M!$B$1:$ZN$1,0))),INDEX(Haver_M!$B$1:$ZN$1000,MATCH(data!$A232,Haver_M!$B$1:$B$1000,0),MATCH(data!AU$1,Haver_M!$B$1:$ZN$1,0)),"na")</f>
        <v>112.71225</v>
      </c>
      <c r="AV232">
        <f>IF(ISNUMBER(INDEX(Haver_M!$B$1:$ZN$1000,MATCH(data!$A232,Haver_M!$B$1:$B$1000,0),MATCH(data!AV$1,Haver_M!$B$1:$ZN$1,0))),INDEX(Haver_M!$B$1:$ZN$1000,MATCH(data!$A232,Haver_M!$B$1:$B$1000,0),MATCH(data!AV$1,Haver_M!$B$1:$ZN$1,0)),"na")</f>
        <v>105.7</v>
      </c>
      <c r="AW232">
        <f>IF(ISNUMBER(INDEX(Haver_M!$B$1:$ZN$1000,MATCH(data!$A232,Haver_M!$B$1:$B$1000,0),MATCH(data!AW$1,Haver_M!$B$1:$ZN$1,0))),INDEX(Haver_M!$B$1:$ZN$1000,MATCH(data!$A232,Haver_M!$B$1:$B$1000,0),MATCH(data!AW$1,Haver_M!$B$1:$ZN$1,0)),"na")</f>
        <v>2098084.1097384291</v>
      </c>
      <c r="AX232">
        <f>IF(ISNUMBER(INDEX(Haver_M!$B$1:$ZN$1000,MATCH(data!$A232,Haver_M!$B$1:$B$1000,0),MATCH(data!AX$1,Haver_M!$B$1:$ZN$1,0))),INDEX(Haver_M!$B$1:$ZN$1000,MATCH(data!$A232,Haver_M!$B$1:$B$1000,0),MATCH(data!AX$1,Haver_M!$B$1:$ZN$1,0)),"na")</f>
        <v>1693</v>
      </c>
      <c r="AY232">
        <f>IF(ISNUMBER(INDEX(Haver_M!$B$1:$ZN$1000,MATCH(data!$A232,Haver_M!$B$1:$B$1000,0),MATCH(data!AY$1,Haver_M!$B$1:$ZN$1,0))),INDEX(Haver_M!$B$1:$ZN$1000,MATCH(data!$A232,Haver_M!$B$1:$B$1000,0),MATCH(data!AY$1,Haver_M!$B$1:$ZN$1,0)),"na")</f>
        <v>1150</v>
      </c>
      <c r="AZ232">
        <f>IF(ISNUMBER(INDEX(Haver_M!$B$1:$ZN$1000,MATCH(data!$A232,Haver_M!$B$1:$B$1000,0),MATCH(data!AZ$1,Haver_M!$B$1:$ZN$1,0))),INDEX(Haver_M!$B$1:$ZN$1000,MATCH(data!$A232,Haver_M!$B$1:$B$1000,0),MATCH(data!AZ$1,Haver_M!$B$1:$ZN$1,0)),"na")</f>
        <v>51.7</v>
      </c>
      <c r="BA232">
        <f>IF(ISNUMBER(INDEX(Haver_M!$B$1:$ZN$1000,MATCH(data!$A232,Haver_M!$B$1:$B$1000,0),MATCH(data!BA$1,Haver_M!$B$1:$ZN$1,0))),INDEX(Haver_M!$B$1:$ZN$1000,MATCH(data!$A232,Haver_M!$B$1:$B$1000,0),MATCH(data!BA$1,Haver_M!$B$1:$ZN$1,0)),"na")</f>
        <v>87.365260164506623</v>
      </c>
      <c r="BB232" t="str">
        <f>IF(ISNUMBER(INDEX(Haver_M!$B$1:$ZN$1000,MATCH(data!$A232,Haver_M!$B$1:$B$1000,0),MATCH(data!BB$1,Haver_M!$B$1:$ZN$1,0))),INDEX(Haver_M!$B$1:$ZN$1000,MATCH(data!$A232,Haver_M!$B$1:$B$1000,0),MATCH(data!BB$1,Haver_M!$B$1:$ZN$1,0)),"")</f>
        <v/>
      </c>
    </row>
    <row r="233" spans="1:54" x14ac:dyDescent="0.25">
      <c r="A233" s="2">
        <v>43585</v>
      </c>
      <c r="B233" t="str">
        <f>IF(ISNUMBER(INDEX(Haver_Q!$B$1:$BD$1000,MATCH(data!$A233,Haver_Q!$B$1:$B$1000,0),MATCH(data!B$1,Haver_Q!$B$1:$BD$1,0))),100*INDEX(Haver_Q!$B$1:$BD$1000,MATCH(data!$A233,Haver_Q!$B$1:$B$1000,0),MATCH(data!B$1,Haver_Q!$B$1:$BD$1,0)),"na")</f>
        <v>na</v>
      </c>
      <c r="C233" t="str">
        <f>IF(ISNUMBER(INDEX(Haver_Q!$B$1:$BD$1000,MATCH(data!$A233,Haver_Q!$B$1:$B$1000,0),MATCH(data!C$1,Haver_Q!$B$1:$BD$1,0))),100*INDEX(Haver_Q!$B$1:$BD$1000,MATCH(data!$A233,Haver_Q!$B$1:$B$1000,0),MATCH(data!C$1,Haver_Q!$B$1:$BD$1,0)),"na")</f>
        <v>na</v>
      </c>
      <c r="D233" t="str">
        <f>IF(ISNUMBER(INDEX(Haver_Q!$B$1:$BD$1000,MATCH(data!$A233,Haver_Q!$B$1:$B$1000,0),MATCH(data!D$1,Haver_Q!$B$1:$BD$1,0))),100*INDEX(Haver_Q!$B$1:$BD$1000,MATCH(data!$A233,Haver_Q!$B$1:$B$1000,0),MATCH(data!D$1,Haver_Q!$B$1:$BD$1,0)),"na")</f>
        <v>na</v>
      </c>
      <c r="E233" t="str">
        <f>IF(ISNUMBER(INDEX(Haver_Q!$B$1:$BD$1000,MATCH(data!$A233,Haver_Q!$B$1:$B$1000,0),MATCH(data!E$1,Haver_Q!$B$1:$BD$1,0))),100*INDEX(Haver_Q!$B$1:$BD$1000,MATCH(data!$A233,Haver_Q!$B$1:$B$1000,0),MATCH(data!E$1,Haver_Q!$B$1:$BD$1,0)),"na")</f>
        <v>na</v>
      </c>
      <c r="F233" t="str">
        <f>IF(ISNUMBER(INDEX(Haver_Q!$B$1:$BD$1000,MATCH(data!$A233,Haver_Q!$B$1:$B$1000,0),MATCH(data!F$1,Haver_Q!$B$1:$BD$1,0))),100*INDEX(Haver_Q!$B$1:$BD$1000,MATCH(data!$A233,Haver_Q!$B$1:$B$1000,0),MATCH(data!F$1,Haver_Q!$B$1:$BD$1,0)),"na")</f>
        <v>na</v>
      </c>
      <c r="G233" t="str">
        <f>IF(ISNUMBER(INDEX(Haver_Q!$B$1:$BD$1000,MATCH(data!$A233,Haver_Q!$B$1:$B$1000,0),MATCH(data!G$1,Haver_Q!$B$1:$BD$1,0))),100*INDEX(Haver_Q!$B$1:$BD$1000,MATCH(data!$A233,Haver_Q!$B$1:$B$1000,0),MATCH(data!G$1,Haver_Q!$B$1:$BD$1,0)),"na")</f>
        <v>na</v>
      </c>
      <c r="H233" t="str">
        <f>IF(ISNUMBER(INDEX(Haver_Q!$B$1:$BD$1000,MATCH(data!$A233,Haver_Q!$B$1:$B$1000,0),MATCH(data!H$1,Haver_Q!$B$1:$BD$1,0))),100*INDEX(Haver_Q!$B$1:$BD$1000,MATCH(data!$A233,Haver_Q!$B$1:$B$1000,0),MATCH(data!H$1,Haver_Q!$B$1:$BD$1,0)),"na")</f>
        <v>na</v>
      </c>
      <c r="I233" s="3">
        <f>IF(ISNUMBER(Bloomberg_m!C249),Bloomberg_m!C249,"na")</f>
        <v>773</v>
      </c>
      <c r="J233" s="3">
        <f>IF(ISNUMBER(Bloomberg_m!D249),Bloomberg_m!D249,"na")</f>
        <v>1350.31</v>
      </c>
      <c r="K233" s="3">
        <f>IF(ISNUMBER(Bloomberg_m!E249),Bloomberg_m!E249,"na")</f>
        <v>778.61</v>
      </c>
      <c r="L233" s="3">
        <f>IF(ISNUMBER(Bloomberg_m!L249),Bloomberg_m!L249,"na")</f>
        <v>63.87</v>
      </c>
      <c r="M233">
        <f>IF(ISNUMBER(INDEX(Haver_M!$B$1:$ZN$1000,MATCH(data!$A233,Haver_M!$B$1:$B$1000,0),MATCH(data!M$1,Haver_M!$B$1:$ZN$1,0))),INDEX(Haver_M!$B$1:$ZN$1000,MATCH(data!$A233,Haver_M!$B$1:$B$1000,0),MATCH(data!M$1,Haver_M!$B$1:$ZN$1,0)),"na")</f>
        <v>8.25</v>
      </c>
      <c r="N233">
        <f>IF(ISNUMBER(INDEX(Haver_M!$B$1:$ZN$1000,MATCH(data!$A233,Haver_M!$B$1:$B$1000,0),MATCH(data!N$1,Haver_M!$B$1:$ZN$1,0))),INDEX(Haver_M!$B$1:$ZN$1000,MATCH(data!$A233,Haver_M!$B$1:$B$1000,0),MATCH(data!N$1,Haver_M!$B$1:$ZN$1,0)),"na")</f>
        <v>8.0679999999999996</v>
      </c>
      <c r="O233">
        <f>IF(ISNUMBER(INDEX(Haver_M!$B$1:$ZN$1000,MATCH(data!$A233,Haver_M!$B$1:$B$1000,0),MATCH(data!O$1,Haver_M!$B$1:$ZN$1,0))),INDEX(Haver_M!$B$1:$ZN$1000,MATCH(data!$A233,Haver_M!$B$1:$B$1000,0),MATCH(data!O$1,Haver_M!$B$1:$ZN$1,0)),"na")</f>
        <v>84.946219999999997</v>
      </c>
      <c r="P233">
        <f>IF(ISNUMBER(INDEX(Haver_M!$B$1:$ZN$1000,MATCH(data!$A233,Haver_M!$B$1:$B$1000,0),MATCH(data!P$1,Haver_M!$B$1:$ZN$1,0))),INDEX(Haver_M!$B$1:$ZN$1000,MATCH(data!$A233,Haver_M!$B$1:$B$1000,0),MATCH(data!P$1,Haver_M!$B$1:$ZN$1,0)),"na")</f>
        <v>103.291</v>
      </c>
      <c r="Q233">
        <f>IF(ISNUMBER(INDEX(Haver_M!$B$1:$ZN$1000,MATCH(data!$A233,Haver_M!$B$1:$B$1000,0),MATCH(data!Q$1,Haver_M!$B$1:$ZN$1,0))),INDEX(Haver_M!$B$1:$ZN$1000,MATCH(data!$A233,Haver_M!$B$1:$B$1000,0),MATCH(data!Q$1,Haver_M!$B$1:$ZN$1,0)),"na")</f>
        <v>102.80970000000001</v>
      </c>
      <c r="R233">
        <f>IF(ISNUMBER(INDEX(Haver_M!$B$1:$ZN$1000,MATCH(data!$A233,Haver_M!$B$1:$B$1000,0),MATCH(data!R$1,Haver_M!$B$1:$ZN$1,0))),INDEX(Haver_M!$B$1:$ZN$1000,MATCH(data!$A233,Haver_M!$B$1:$B$1000,0),MATCH(data!R$1,Haver_M!$B$1:$ZN$1,0)),"na")</f>
        <v>104.0277</v>
      </c>
      <c r="S233">
        <f>IF(ISNUMBER(INDEX(Haver_M!$B$1:$ZN$1000,MATCH(data!$A233,Haver_M!$B$1:$B$1000,0),MATCH(data!S$1,Haver_M!$B$1:$ZN$1,0))),INDEX(Haver_M!$B$1:$ZN$1000,MATCH(data!$A233,Haver_M!$B$1:$B$1000,0),MATCH(data!S$1,Haver_M!$B$1:$ZN$1,0)),"na")</f>
        <v>73.085400000000007</v>
      </c>
      <c r="T233">
        <f>IF(ISNUMBER(INDEX(Haver_M!$B$1:$ZN$1000,MATCH(data!$A233,Haver_M!$B$1:$B$1000,0),MATCH(data!T$1,Haver_M!$B$1:$ZN$1,0))),INDEX(Haver_M!$B$1:$ZN$1000,MATCH(data!$A233,Haver_M!$B$1:$B$1000,0),MATCH(data!T$1,Haver_M!$B$1:$ZN$1,0)),"na")</f>
        <v>119.89530000000001</v>
      </c>
      <c r="U233">
        <f>IF(ISNUMBER(INDEX(Haver_M!$B$1:$ZN$1000,MATCH(data!$A233,Haver_M!$B$1:$B$1000,0),MATCH(data!U$1,Haver_M!$B$1:$ZN$1,0))),INDEX(Haver_M!$B$1:$ZN$1000,MATCH(data!$A233,Haver_M!$B$1:$B$1000,0),MATCH(data!U$1,Haver_M!$B$1:$ZN$1,0)),"na")</f>
        <v>104.977</v>
      </c>
      <c r="V233">
        <f>IF(ISNUMBER(INDEX(Haver_M!$B$1:$ZN$1000,MATCH(data!$A233,Haver_M!$B$1:$B$1000,0),MATCH(data!V$1,Haver_M!$B$1:$ZN$1,0))),INDEX(Haver_M!$B$1:$ZN$1000,MATCH(data!$A233,Haver_M!$B$1:$B$1000,0),MATCH(data!V$1,Haver_M!$B$1:$ZN$1,0)),"na")</f>
        <v>115.38930000000001</v>
      </c>
      <c r="W233">
        <f>IF(ISNUMBER(INDEX(Haver_M!$B$1:$ZN$1000,MATCH(data!$A233,Haver_M!$B$1:$B$1000,0),MATCH(data!W$1,Haver_M!$B$1:$ZN$1,0))),INDEX(Haver_M!$B$1:$ZN$1000,MATCH(data!$A233,Haver_M!$B$1:$B$1000,0),MATCH(data!W$1,Haver_M!$B$1:$ZN$1,0)),"na")</f>
        <v>3.54</v>
      </c>
      <c r="X233">
        <f>IF(ISNUMBER(INDEX(Haver_M!$B$1:$ZN$1000,MATCH(data!$A233,Haver_M!$B$1:$B$1000,0),MATCH(data!X$1,Haver_M!$B$1:$ZN$1,0))),INDEX(Haver_M!$B$1:$ZN$1000,MATCH(data!$A233,Haver_M!$B$1:$B$1000,0),MATCH(data!X$1,Haver_M!$B$1:$ZN$1,0)),"na")</f>
        <v>107</v>
      </c>
      <c r="Y233">
        <f>IF(ISNUMBER(INDEX(Haver_M!$B$1:$ZN$1000,MATCH(data!$A233,Haver_M!$B$1:$B$1000,0),MATCH(data!Y$1,Haver_M!$B$1:$ZN$1,0))),INDEX(Haver_M!$B$1:$ZN$1000,MATCH(data!$A233,Haver_M!$B$1:$B$1000,0),MATCH(data!Y$1,Haver_M!$B$1:$ZN$1,0)),"na")</f>
        <v>100.33</v>
      </c>
      <c r="Z233">
        <f>IF(ISNUMBER(INDEX(Haver_M!$B$1:$ZN$1000,MATCH(data!$A233,Haver_M!$B$1:$B$1000,0),MATCH(data!Z$1,Haver_M!$B$1:$ZN$1,0))),INDEX(Haver_M!$B$1:$ZN$1000,MATCH(data!$A233,Haver_M!$B$1:$B$1000,0),MATCH(data!Z$1,Haver_M!$B$1:$ZN$1,0)),"na")</f>
        <v>115.4425</v>
      </c>
      <c r="AA233">
        <f>IF(ISNUMBER(INDEX(Haver_M!$B$1:$ZN$1000,MATCH(data!$A233,Haver_M!$B$1:$B$1000,0),MATCH(data!AA$1,Haver_M!$B$1:$ZN$1,0))),INDEX(Haver_M!$B$1:$ZN$1000,MATCH(data!$A233,Haver_M!$B$1:$B$1000,0),MATCH(data!AA$1,Haver_M!$B$1:$ZN$1,0)),"na")</f>
        <v>107.78959999999999</v>
      </c>
      <c r="AB233">
        <f>IF(ISNUMBER(INDEX(Haver_M!$B$1:$ZN$1000,MATCH(data!$A233,Haver_M!$B$1:$B$1000,0),MATCH(data!AB$1,Haver_M!$B$1:$ZN$1,0))),INDEX(Haver_M!$B$1:$ZN$1000,MATCH(data!$A233,Haver_M!$B$1:$B$1000,0),MATCH(data!AB$1,Haver_M!$B$1:$ZN$1,0)),"na")</f>
        <v>38953.5</v>
      </c>
      <c r="AC233">
        <f>IF(ISNUMBER(INDEX(Haver_M!$B$1:$ZN$1000,MATCH(data!$A233,Haver_M!$B$1:$B$1000,0),MATCH(data!AC$1,Haver_M!$B$1:$ZN$1,0))),INDEX(Haver_M!$B$1:$ZN$1000,MATCH(data!$A233,Haver_M!$B$1:$B$1000,0),MATCH(data!AC$1,Haver_M!$B$1:$ZN$1,0)),"na")</f>
        <v>38904.5</v>
      </c>
      <c r="AD233">
        <f>IF(ISNUMBER(INDEX(Haver_M!$B$1:$ZN$1000,MATCH(data!$A233,Haver_M!$B$1:$B$1000,0),MATCH(data!AD$1,Haver_M!$B$1:$ZN$1,0))),INDEX(Haver_M!$B$1:$ZN$1000,MATCH(data!$A233,Haver_M!$B$1:$B$1000,0),MATCH(data!AD$1,Haver_M!$B$1:$ZN$1,0)),"na")</f>
        <v>100</v>
      </c>
      <c r="AE233">
        <f>IF(ISNUMBER(INDEX(Haver_M!$B$1:$ZN$1000,MATCH(data!$A233,Haver_M!$B$1:$B$1000,0),MATCH(data!AE$1,Haver_M!$B$1:$ZN$1,0))),INDEX(Haver_M!$B$1:$ZN$1000,MATCH(data!$A233,Haver_M!$B$1:$B$1000,0),MATCH(data!AE$1,Haver_M!$B$1:$ZN$1,0)),"na")</f>
        <v>45.5</v>
      </c>
      <c r="AF233">
        <f>IF(ISNUMBER(INDEX(Haver_M!$B$1:$ZN$1000,MATCH(data!$A233,Haver_M!$B$1:$B$1000,0),MATCH(data!AF$1,Haver_M!$B$1:$ZN$1,0))),INDEX(Haver_M!$B$1:$ZN$1000,MATCH(data!$A233,Haver_M!$B$1:$B$1000,0),MATCH(data!AF$1,Haver_M!$B$1:$ZN$1,0)),"na")</f>
        <v>101.38</v>
      </c>
      <c r="AG233">
        <f>IF(ISNUMBER(INDEX(Haver_M!$B$1:$ZN$1000,MATCH(data!$A233,Haver_M!$B$1:$B$1000,0),MATCH(data!AG$1,Haver_M!$B$1:$ZN$1,0))),INDEX(Haver_M!$B$1:$ZN$1000,MATCH(data!$A233,Haver_M!$B$1:$B$1000,0),MATCH(data!AG$1,Haver_M!$B$1:$ZN$1,0)),"na")</f>
        <v>50.064500000000002</v>
      </c>
      <c r="AH233">
        <f>IF(ISNUMBER(INDEX(Haver_M!$B$1:$ZN$1000,MATCH(data!$A233,Haver_M!$B$1:$B$1000,0),MATCH(data!AH$1,Haver_M!$B$1:$ZN$1,0))),INDEX(Haver_M!$B$1:$ZN$1000,MATCH(data!$A233,Haver_M!$B$1:$B$1000,0),MATCH(data!AH$1,Haver_M!$B$1:$ZN$1,0)),"na")</f>
        <v>49.652099999999997</v>
      </c>
      <c r="AI233">
        <f>IF(ISNUMBER(INDEX(Haver_M!$B$1:$ZN$1000,MATCH(data!$A233,Haver_M!$B$1:$B$1000,0),MATCH(data!AI$1,Haver_M!$B$1:$ZN$1,0))),INDEX(Haver_M!$B$1:$ZN$1000,MATCH(data!$A233,Haver_M!$B$1:$B$1000,0),MATCH(data!AI$1,Haver_M!$B$1:$ZN$1,0)),"na")</f>
        <v>50.2746</v>
      </c>
      <c r="AJ233">
        <f>IF(ISNUMBER(INDEX(Haver_M!$B$1:$ZN$1000,MATCH(data!$A233,Haver_M!$B$1:$B$1000,0),MATCH(data!AJ$1,Haver_M!$B$1:$ZN$1,0))),INDEX(Haver_M!$B$1:$ZN$1000,MATCH(data!$A233,Haver_M!$B$1:$B$1000,0),MATCH(data!AJ$1,Haver_M!$B$1:$ZN$1,0)),"na")</f>
        <v>49.507399999999997</v>
      </c>
      <c r="AK233">
        <f>IF(ISNUMBER(INDEX(Haver_M!$B$1:$ZN$1000,MATCH(data!$A233,Haver_M!$B$1:$B$1000,0),MATCH(data!AK$1,Haver_M!$B$1:$ZN$1,0))),INDEX(Haver_M!$B$1:$ZN$1000,MATCH(data!$A233,Haver_M!$B$1:$B$1000,0),MATCH(data!AK$1,Haver_M!$B$1:$ZN$1,0)),"na")</f>
        <v>49.046199999999999</v>
      </c>
      <c r="AL233">
        <f>IF(ISNUMBER(INDEX(Haver_M!$B$1:$ZN$1000,MATCH(data!$A233,Haver_M!$B$1:$B$1000,0),MATCH(data!AL$1,Haver_M!$B$1:$ZN$1,0))),INDEX(Haver_M!$B$1:$ZN$1000,MATCH(data!$A233,Haver_M!$B$1:$B$1000,0),MATCH(data!AL$1,Haver_M!$B$1:$ZN$1,0)),"na")</f>
        <v>50.245600000000003</v>
      </c>
      <c r="AM233">
        <f>IF(ISNUMBER(INDEX(Haver_M!$B$1:$ZN$1000,MATCH(data!$A233,Haver_M!$B$1:$B$1000,0),MATCH(data!AM$1,Haver_M!$B$1:$ZN$1,0))),INDEX(Haver_M!$B$1:$ZN$1000,MATCH(data!$A233,Haver_M!$B$1:$B$1000,0),MATCH(data!AM$1,Haver_M!$B$1:$ZN$1,0)),"na")</f>
        <v>54.880400000000002</v>
      </c>
      <c r="AN233">
        <f>IF(ISNUMBER(INDEX(Haver_M!$B$1:$ZN$1000,MATCH(data!$A233,Haver_M!$B$1:$B$1000,0),MATCH(data!AN$1,Haver_M!$B$1:$ZN$1,0))),INDEX(Haver_M!$B$1:$ZN$1000,MATCH(data!$A233,Haver_M!$B$1:$B$1000,0),MATCH(data!AN$1,Haver_M!$B$1:$ZN$1,0)),"na")</f>
        <v>49.104799999999997</v>
      </c>
      <c r="AO233">
        <f>IF(ISNUMBER(INDEX(Haver_M!$B$1:$ZN$1000,MATCH(data!$A233,Haver_M!$B$1:$B$1000,0),MATCH(data!AO$1,Haver_M!$B$1:$ZN$1,0))),INDEX(Haver_M!$B$1:$ZN$1000,MATCH(data!$A233,Haver_M!$B$1:$B$1000,0),MATCH(data!AO$1,Haver_M!$B$1:$ZN$1,0)),"na")</f>
        <v>50.245600000000003</v>
      </c>
      <c r="AP233">
        <f>IF(ISNUMBER(INDEX(Haver_M!$B$1:$ZN$1000,MATCH(data!$A233,Haver_M!$B$1:$B$1000,0),MATCH(data!AP$1,Haver_M!$B$1:$ZN$1,0))),INDEX(Haver_M!$B$1:$ZN$1000,MATCH(data!$A233,Haver_M!$B$1:$B$1000,0),MATCH(data!AP$1,Haver_M!$B$1:$ZN$1,0)),"na")</f>
        <v>49.368899999999996</v>
      </c>
      <c r="AQ233">
        <f>IF(ISNUMBER(INDEX(Haver_M!$B$1:$ZN$1000,MATCH(data!$A233,Haver_M!$B$1:$B$1000,0),MATCH(data!AQ$1,Haver_M!$B$1:$ZN$1,0))),INDEX(Haver_M!$B$1:$ZN$1000,MATCH(data!$A233,Haver_M!$B$1:$B$1000,0),MATCH(data!AQ$1,Haver_M!$B$1:$ZN$1,0)),"na")</f>
        <v>50.195999999999998</v>
      </c>
      <c r="AR233">
        <f>IF(ISNUMBER(INDEX(Haver_M!$B$1:$ZN$1000,MATCH(data!$A233,Haver_M!$B$1:$B$1000,0),MATCH(data!AR$1,Haver_M!$B$1:$ZN$1,0))),INDEX(Haver_M!$B$1:$ZN$1000,MATCH(data!$A233,Haver_M!$B$1:$B$1000,0),MATCH(data!AR$1,Haver_M!$B$1:$ZN$1,0)),"na")</f>
        <v>50.756</v>
      </c>
      <c r="AS233">
        <f>IF(ISNUMBER(INDEX(Haver_M!$B$1:$ZN$1000,MATCH(data!$A233,Haver_M!$B$1:$B$1000,0),MATCH(data!AS$1,Haver_M!$B$1:$ZN$1,0))),INDEX(Haver_M!$B$1:$ZN$1000,MATCH(data!$A233,Haver_M!$B$1:$B$1000,0),MATCH(data!AS$1,Haver_M!$B$1:$ZN$1,0)),"na")</f>
        <v>44715.89</v>
      </c>
      <c r="AT233">
        <f>IF(ISNUMBER(INDEX(Haver_M!$B$1:$ZN$1000,MATCH(data!$A233,Haver_M!$B$1:$B$1000,0),MATCH(data!AT$1,Haver_M!$B$1:$ZN$1,0))),INDEX(Haver_M!$B$1:$ZN$1000,MATCH(data!$A233,Haver_M!$B$1:$B$1000,0),MATCH(data!AT$1,Haver_M!$B$1:$ZN$1,0)),"na")</f>
        <v>117.121</v>
      </c>
      <c r="AU233">
        <f>IF(ISNUMBER(INDEX(Haver_M!$B$1:$ZN$1000,MATCH(data!$A233,Haver_M!$B$1:$B$1000,0),MATCH(data!AU$1,Haver_M!$B$1:$ZN$1,0))),INDEX(Haver_M!$B$1:$ZN$1000,MATCH(data!$A233,Haver_M!$B$1:$B$1000,0),MATCH(data!AU$1,Haver_M!$B$1:$ZN$1,0)),"na")</f>
        <v>112.95581799999999</v>
      </c>
      <c r="AV233">
        <f>IF(ISNUMBER(INDEX(Haver_M!$B$1:$ZN$1000,MATCH(data!$A233,Haver_M!$B$1:$B$1000,0),MATCH(data!AV$1,Haver_M!$B$1:$ZN$1,0))),INDEX(Haver_M!$B$1:$ZN$1000,MATCH(data!$A233,Haver_M!$B$1:$B$1000,0),MATCH(data!AV$1,Haver_M!$B$1:$ZN$1,0)),"na")</f>
        <v>106.3</v>
      </c>
      <c r="AW233">
        <f>IF(ISNUMBER(INDEX(Haver_M!$B$1:$ZN$1000,MATCH(data!$A233,Haver_M!$B$1:$B$1000,0),MATCH(data!AW$1,Haver_M!$B$1:$ZN$1,0))),INDEX(Haver_M!$B$1:$ZN$1000,MATCH(data!$A233,Haver_M!$B$1:$B$1000,0),MATCH(data!AW$1,Haver_M!$B$1:$ZN$1,0)),"na")</f>
        <v>2121320.7755309315</v>
      </c>
      <c r="AX233">
        <f>IF(ISNUMBER(INDEX(Haver_M!$B$1:$ZN$1000,MATCH(data!$A233,Haver_M!$B$1:$B$1000,0),MATCH(data!AX$1,Haver_M!$B$1:$ZN$1,0))),INDEX(Haver_M!$B$1:$ZN$1000,MATCH(data!$A233,Haver_M!$B$1:$B$1000,0),MATCH(data!AX$1,Haver_M!$B$1:$ZN$1,0)),"na")</f>
        <v>1672</v>
      </c>
      <c r="AY233">
        <f>IF(ISNUMBER(INDEX(Haver_M!$B$1:$ZN$1000,MATCH(data!$A233,Haver_M!$B$1:$B$1000,0),MATCH(data!AY$1,Haver_M!$B$1:$ZN$1,0))),INDEX(Haver_M!$B$1:$ZN$1000,MATCH(data!$A233,Haver_M!$B$1:$B$1000,0),MATCH(data!AY$1,Haver_M!$B$1:$ZN$1,0)),"na")</f>
        <v>1023</v>
      </c>
      <c r="AZ233">
        <f>IF(ISNUMBER(INDEX(Haver_M!$B$1:$ZN$1000,MATCH(data!$A233,Haver_M!$B$1:$B$1000,0),MATCH(data!AZ$1,Haver_M!$B$1:$ZN$1,0))),INDEX(Haver_M!$B$1:$ZN$1000,MATCH(data!$A233,Haver_M!$B$1:$B$1000,0),MATCH(data!AZ$1,Haver_M!$B$1:$ZN$1,0)),"na")</f>
        <v>56.3</v>
      </c>
      <c r="BA233">
        <f>IF(ISNUMBER(INDEX(Haver_M!$B$1:$ZN$1000,MATCH(data!$A233,Haver_M!$B$1:$B$1000,0),MATCH(data!BA$1,Haver_M!$B$1:$ZN$1,0))),INDEX(Haver_M!$B$1:$ZN$1000,MATCH(data!$A233,Haver_M!$B$1:$B$1000,0),MATCH(data!BA$1,Haver_M!$B$1:$ZN$1,0)),"na")</f>
        <v>61.905851623009141</v>
      </c>
      <c r="BB233" t="str">
        <f>IF(ISNUMBER(INDEX(Haver_M!$B$1:$ZN$1000,MATCH(data!$A233,Haver_M!$B$1:$B$1000,0),MATCH(data!BB$1,Haver_M!$B$1:$ZN$1,0))),INDEX(Haver_M!$B$1:$ZN$1000,MATCH(data!$A233,Haver_M!$B$1:$B$1000,0),MATCH(data!BB$1,Haver_M!$B$1:$ZN$1,0)),"")</f>
        <v/>
      </c>
    </row>
    <row r="234" spans="1:54" x14ac:dyDescent="0.25">
      <c r="A234" s="2">
        <v>43616</v>
      </c>
      <c r="B234" t="str">
        <f>IF(ISNUMBER(INDEX(Haver_Q!$B$1:$BD$1000,MATCH(data!$A234,Haver_Q!$B$1:$B$1000,0),MATCH(data!B$1,Haver_Q!$B$1:$BD$1,0))),100*INDEX(Haver_Q!$B$1:$BD$1000,MATCH(data!$A234,Haver_Q!$B$1:$B$1000,0),MATCH(data!B$1,Haver_Q!$B$1:$BD$1,0)),"na")</f>
        <v>na</v>
      </c>
      <c r="C234" t="str">
        <f>IF(ISNUMBER(INDEX(Haver_Q!$B$1:$BD$1000,MATCH(data!$A234,Haver_Q!$B$1:$B$1000,0),MATCH(data!C$1,Haver_Q!$B$1:$BD$1,0))),100*INDEX(Haver_Q!$B$1:$BD$1000,MATCH(data!$A234,Haver_Q!$B$1:$B$1000,0),MATCH(data!C$1,Haver_Q!$B$1:$BD$1,0)),"na")</f>
        <v>na</v>
      </c>
      <c r="D234" t="str">
        <f>IF(ISNUMBER(INDEX(Haver_Q!$B$1:$BD$1000,MATCH(data!$A234,Haver_Q!$B$1:$B$1000,0),MATCH(data!D$1,Haver_Q!$B$1:$BD$1,0))),100*INDEX(Haver_Q!$B$1:$BD$1000,MATCH(data!$A234,Haver_Q!$B$1:$B$1000,0),MATCH(data!D$1,Haver_Q!$B$1:$BD$1,0)),"na")</f>
        <v>na</v>
      </c>
      <c r="E234" t="str">
        <f>IF(ISNUMBER(INDEX(Haver_Q!$B$1:$BD$1000,MATCH(data!$A234,Haver_Q!$B$1:$B$1000,0),MATCH(data!E$1,Haver_Q!$B$1:$BD$1,0))),100*INDEX(Haver_Q!$B$1:$BD$1000,MATCH(data!$A234,Haver_Q!$B$1:$B$1000,0),MATCH(data!E$1,Haver_Q!$B$1:$BD$1,0)),"na")</f>
        <v>na</v>
      </c>
      <c r="F234" t="str">
        <f>IF(ISNUMBER(INDEX(Haver_Q!$B$1:$BD$1000,MATCH(data!$A234,Haver_Q!$B$1:$B$1000,0),MATCH(data!F$1,Haver_Q!$B$1:$BD$1,0))),100*INDEX(Haver_Q!$B$1:$BD$1000,MATCH(data!$A234,Haver_Q!$B$1:$B$1000,0),MATCH(data!F$1,Haver_Q!$B$1:$BD$1,0)),"na")</f>
        <v>na</v>
      </c>
      <c r="G234" t="str">
        <f>IF(ISNUMBER(INDEX(Haver_Q!$B$1:$BD$1000,MATCH(data!$A234,Haver_Q!$B$1:$B$1000,0),MATCH(data!G$1,Haver_Q!$B$1:$BD$1,0))),100*INDEX(Haver_Q!$B$1:$BD$1000,MATCH(data!$A234,Haver_Q!$B$1:$B$1000,0),MATCH(data!G$1,Haver_Q!$B$1:$BD$1,0)),"na")</f>
        <v>na</v>
      </c>
      <c r="H234" t="str">
        <f>IF(ISNUMBER(INDEX(Haver_Q!$B$1:$BD$1000,MATCH(data!$A234,Haver_Q!$B$1:$B$1000,0),MATCH(data!H$1,Haver_Q!$B$1:$BD$1,0))),100*INDEX(Haver_Q!$B$1:$BD$1000,MATCH(data!$A234,Haver_Q!$B$1:$B$1000,0),MATCH(data!H$1,Haver_Q!$B$1:$BD$1,0)),"na")</f>
        <v>na</v>
      </c>
      <c r="I234" s="3">
        <f>IF(ISNUMBER(Bloomberg_m!C250),Bloomberg_m!C250,"na")</f>
        <v>1036</v>
      </c>
      <c r="J234" s="3">
        <f>IF(ISNUMBER(Bloomberg_m!D250),Bloomberg_m!D250,"na")</f>
        <v>1347.48</v>
      </c>
      <c r="K234" s="3">
        <f>IF(ISNUMBER(Bloomberg_m!E250),Bloomberg_m!E250,"na")</f>
        <v>747.29</v>
      </c>
      <c r="L234" s="3">
        <f>IF(ISNUMBER(Bloomberg_m!L250),Bloomberg_m!L250,"na")</f>
        <v>60.84</v>
      </c>
      <c r="M234">
        <f>IF(ISNUMBER(INDEX(Haver_M!$B$1:$ZN$1000,MATCH(data!$A234,Haver_M!$B$1:$B$1000,0),MATCH(data!M$1,Haver_M!$B$1:$ZN$1,0))),INDEX(Haver_M!$B$1:$ZN$1000,MATCH(data!$A234,Haver_M!$B$1:$B$1000,0),MATCH(data!M$1,Haver_M!$B$1:$ZN$1,0)),"na")</f>
        <v>8.25</v>
      </c>
      <c r="N234">
        <f>IF(ISNUMBER(INDEX(Haver_M!$B$1:$ZN$1000,MATCH(data!$A234,Haver_M!$B$1:$B$1000,0),MATCH(data!N$1,Haver_M!$B$1:$ZN$1,0))),INDEX(Haver_M!$B$1:$ZN$1000,MATCH(data!$A234,Haver_M!$B$1:$B$1000,0),MATCH(data!N$1,Haver_M!$B$1:$ZN$1,0)),"na")</f>
        <v>8.1212</v>
      </c>
      <c r="O234">
        <f>IF(ISNUMBER(INDEX(Haver_M!$B$1:$ZN$1000,MATCH(data!$A234,Haver_M!$B$1:$B$1000,0),MATCH(data!O$1,Haver_M!$B$1:$ZN$1,0))),INDEX(Haver_M!$B$1:$ZN$1000,MATCH(data!$A234,Haver_M!$B$1:$B$1000,0),MATCH(data!O$1,Haver_M!$B$1:$ZN$1,0)),"na")</f>
        <v>84.545339999999996</v>
      </c>
      <c r="P234">
        <f>IF(ISNUMBER(INDEX(Haver_M!$B$1:$ZN$1000,MATCH(data!$A234,Haver_M!$B$1:$B$1000,0),MATCH(data!P$1,Haver_M!$B$1:$ZN$1,0))),INDEX(Haver_M!$B$1:$ZN$1000,MATCH(data!$A234,Haver_M!$B$1:$B$1000,0),MATCH(data!P$1,Haver_M!$B$1:$ZN$1,0)),"na")</f>
        <v>103.651</v>
      </c>
      <c r="Q234">
        <f>IF(ISNUMBER(INDEX(Haver_M!$B$1:$ZN$1000,MATCH(data!$A234,Haver_M!$B$1:$B$1000,0),MATCH(data!Q$1,Haver_M!$B$1:$ZN$1,0))),INDEX(Haver_M!$B$1:$ZN$1000,MATCH(data!$A234,Haver_M!$B$1:$B$1000,0),MATCH(data!Q$1,Haver_M!$B$1:$ZN$1,0)),"na")</f>
        <v>103.1177</v>
      </c>
      <c r="R234">
        <f>IF(ISNUMBER(INDEX(Haver_M!$B$1:$ZN$1000,MATCH(data!$A234,Haver_M!$B$1:$B$1000,0),MATCH(data!R$1,Haver_M!$B$1:$ZN$1,0))),INDEX(Haver_M!$B$1:$ZN$1000,MATCH(data!$A234,Haver_M!$B$1:$B$1000,0),MATCH(data!R$1,Haver_M!$B$1:$ZN$1,0)),"na")</f>
        <v>102.09869999999999</v>
      </c>
      <c r="S234">
        <f>IF(ISNUMBER(INDEX(Haver_M!$B$1:$ZN$1000,MATCH(data!$A234,Haver_M!$B$1:$B$1000,0),MATCH(data!S$1,Haver_M!$B$1:$ZN$1,0))),INDEX(Haver_M!$B$1:$ZN$1000,MATCH(data!$A234,Haver_M!$B$1:$B$1000,0),MATCH(data!S$1,Haver_M!$B$1:$ZN$1,0)),"na")</f>
        <v>72.340599999999995</v>
      </c>
      <c r="T234">
        <f>IF(ISNUMBER(INDEX(Haver_M!$B$1:$ZN$1000,MATCH(data!$A234,Haver_M!$B$1:$B$1000,0),MATCH(data!T$1,Haver_M!$B$1:$ZN$1,0))),INDEX(Haver_M!$B$1:$ZN$1000,MATCH(data!$A234,Haver_M!$B$1:$B$1000,0),MATCH(data!T$1,Haver_M!$B$1:$ZN$1,0)),"na")</f>
        <v>119.5072</v>
      </c>
      <c r="U234">
        <f>IF(ISNUMBER(INDEX(Haver_M!$B$1:$ZN$1000,MATCH(data!$A234,Haver_M!$B$1:$B$1000,0),MATCH(data!U$1,Haver_M!$B$1:$ZN$1,0))),INDEX(Haver_M!$B$1:$ZN$1000,MATCH(data!$A234,Haver_M!$B$1:$B$1000,0),MATCH(data!U$1,Haver_M!$B$1:$ZN$1,0)),"na")</f>
        <v>99.498999999999995</v>
      </c>
      <c r="V234">
        <f>IF(ISNUMBER(INDEX(Haver_M!$B$1:$ZN$1000,MATCH(data!$A234,Haver_M!$B$1:$B$1000,0),MATCH(data!V$1,Haver_M!$B$1:$ZN$1,0))),INDEX(Haver_M!$B$1:$ZN$1000,MATCH(data!$A234,Haver_M!$B$1:$B$1000,0),MATCH(data!V$1,Haver_M!$B$1:$ZN$1,0)),"na")</f>
        <v>114.9478</v>
      </c>
      <c r="W234">
        <f>IF(ISNUMBER(INDEX(Haver_M!$B$1:$ZN$1000,MATCH(data!$A234,Haver_M!$B$1:$B$1000,0),MATCH(data!W$1,Haver_M!$B$1:$ZN$1,0))),INDEX(Haver_M!$B$1:$ZN$1000,MATCH(data!$A234,Haver_M!$B$1:$B$1000,0),MATCH(data!W$1,Haver_M!$B$1:$ZN$1,0)),"na")</f>
        <v>3.52</v>
      </c>
      <c r="X234">
        <f>IF(ISNUMBER(INDEX(Haver_M!$B$1:$ZN$1000,MATCH(data!$A234,Haver_M!$B$1:$B$1000,0),MATCH(data!X$1,Haver_M!$B$1:$ZN$1,0))),INDEX(Haver_M!$B$1:$ZN$1000,MATCH(data!$A234,Haver_M!$B$1:$B$1000,0),MATCH(data!X$1,Haver_M!$B$1:$ZN$1,0)),"na")</f>
        <v>107.39</v>
      </c>
      <c r="Y234">
        <f>IF(ISNUMBER(INDEX(Haver_M!$B$1:$ZN$1000,MATCH(data!$A234,Haver_M!$B$1:$B$1000,0),MATCH(data!Y$1,Haver_M!$B$1:$ZN$1,0))),INDEX(Haver_M!$B$1:$ZN$1000,MATCH(data!$A234,Haver_M!$B$1:$B$1000,0),MATCH(data!Y$1,Haver_M!$B$1:$ZN$1,0)),"na")</f>
        <v>100.36</v>
      </c>
      <c r="Z234">
        <f>IF(ISNUMBER(INDEX(Haver_M!$B$1:$ZN$1000,MATCH(data!$A234,Haver_M!$B$1:$B$1000,0),MATCH(data!Z$1,Haver_M!$B$1:$ZN$1,0))),INDEX(Haver_M!$B$1:$ZN$1000,MATCH(data!$A234,Haver_M!$B$1:$B$1000,0),MATCH(data!Z$1,Haver_M!$B$1:$ZN$1,0)),"na")</f>
        <v>115.9177</v>
      </c>
      <c r="AA234">
        <f>IF(ISNUMBER(INDEX(Haver_M!$B$1:$ZN$1000,MATCH(data!$A234,Haver_M!$B$1:$B$1000,0),MATCH(data!AA$1,Haver_M!$B$1:$ZN$1,0))),INDEX(Haver_M!$B$1:$ZN$1000,MATCH(data!$A234,Haver_M!$B$1:$B$1000,0),MATCH(data!AA$1,Haver_M!$B$1:$ZN$1,0)),"na")</f>
        <v>107.1674</v>
      </c>
      <c r="AB234">
        <f>IF(ISNUMBER(INDEX(Haver_M!$B$1:$ZN$1000,MATCH(data!$A234,Haver_M!$B$1:$B$1000,0),MATCH(data!AB$1,Haver_M!$B$1:$ZN$1,0))),INDEX(Haver_M!$B$1:$ZN$1000,MATCH(data!$A234,Haver_M!$B$1:$B$1000,0),MATCH(data!AB$1,Haver_M!$B$1:$ZN$1,0)),"na")</f>
        <v>39402</v>
      </c>
      <c r="AC234">
        <f>IF(ISNUMBER(INDEX(Haver_M!$B$1:$ZN$1000,MATCH(data!$A234,Haver_M!$B$1:$B$1000,0),MATCH(data!AC$1,Haver_M!$B$1:$ZN$1,0))),INDEX(Haver_M!$B$1:$ZN$1000,MATCH(data!$A234,Haver_M!$B$1:$B$1000,0),MATCH(data!AC$1,Haver_M!$B$1:$ZN$1,0)),"na")</f>
        <v>38886.300000000003</v>
      </c>
      <c r="AD234">
        <f>IF(ISNUMBER(INDEX(Haver_M!$B$1:$ZN$1000,MATCH(data!$A234,Haver_M!$B$1:$B$1000,0),MATCH(data!AD$1,Haver_M!$B$1:$ZN$1,0))),INDEX(Haver_M!$B$1:$ZN$1000,MATCH(data!$A234,Haver_M!$B$1:$B$1000,0),MATCH(data!AD$1,Haver_M!$B$1:$ZN$1,0)),"na")</f>
        <v>99.96</v>
      </c>
      <c r="AE234">
        <f>IF(ISNUMBER(INDEX(Haver_M!$B$1:$ZN$1000,MATCH(data!$A234,Haver_M!$B$1:$B$1000,0),MATCH(data!AE$1,Haver_M!$B$1:$ZN$1,0))),INDEX(Haver_M!$B$1:$ZN$1000,MATCH(data!$A234,Haver_M!$B$1:$B$1000,0),MATCH(data!AE$1,Haver_M!$B$1:$ZN$1,0)),"na")</f>
        <v>44</v>
      </c>
      <c r="AF234">
        <f>IF(ISNUMBER(INDEX(Haver_M!$B$1:$ZN$1000,MATCH(data!$A234,Haver_M!$B$1:$B$1000,0),MATCH(data!AF$1,Haver_M!$B$1:$ZN$1,0))),INDEX(Haver_M!$B$1:$ZN$1000,MATCH(data!$A234,Haver_M!$B$1:$B$1000,0),MATCH(data!AF$1,Haver_M!$B$1:$ZN$1,0)),"na")</f>
        <v>101.32</v>
      </c>
      <c r="AG234">
        <f>IF(ISNUMBER(INDEX(Haver_M!$B$1:$ZN$1000,MATCH(data!$A234,Haver_M!$B$1:$B$1000,0),MATCH(data!AG$1,Haver_M!$B$1:$ZN$1,0))),INDEX(Haver_M!$B$1:$ZN$1000,MATCH(data!$A234,Haver_M!$B$1:$B$1000,0),MATCH(data!AG$1,Haver_M!$B$1:$ZN$1,0)),"na")</f>
        <v>50.045099999999998</v>
      </c>
      <c r="AH234">
        <f>IF(ISNUMBER(INDEX(Haver_M!$B$1:$ZN$1000,MATCH(data!$A234,Haver_M!$B$1:$B$1000,0),MATCH(data!AH$1,Haver_M!$B$1:$ZN$1,0))),INDEX(Haver_M!$B$1:$ZN$1000,MATCH(data!$A234,Haver_M!$B$1:$B$1000,0),MATCH(data!AH$1,Haver_M!$B$1:$ZN$1,0)),"na")</f>
        <v>50.199300000000001</v>
      </c>
      <c r="AI234">
        <f>IF(ISNUMBER(INDEX(Haver_M!$B$1:$ZN$1000,MATCH(data!$A234,Haver_M!$B$1:$B$1000,0),MATCH(data!AI$1,Haver_M!$B$1:$ZN$1,0))),INDEX(Haver_M!$B$1:$ZN$1000,MATCH(data!$A234,Haver_M!$B$1:$B$1000,0),MATCH(data!AI$1,Haver_M!$B$1:$ZN$1,0)),"na")</f>
        <v>50.433399999999999</v>
      </c>
      <c r="AJ234">
        <f>IF(ISNUMBER(INDEX(Haver_M!$B$1:$ZN$1000,MATCH(data!$A234,Haver_M!$B$1:$B$1000,0),MATCH(data!AJ$1,Haver_M!$B$1:$ZN$1,0))),INDEX(Haver_M!$B$1:$ZN$1000,MATCH(data!$A234,Haver_M!$B$1:$B$1000,0),MATCH(data!AJ$1,Haver_M!$B$1:$ZN$1,0)),"na")</f>
        <v>48.889800000000001</v>
      </c>
      <c r="AK234">
        <f>IF(ISNUMBER(INDEX(Haver_M!$B$1:$ZN$1000,MATCH(data!$A234,Haver_M!$B$1:$B$1000,0),MATCH(data!AK$1,Haver_M!$B$1:$ZN$1,0))),INDEX(Haver_M!$B$1:$ZN$1000,MATCH(data!$A234,Haver_M!$B$1:$B$1000,0),MATCH(data!AK$1,Haver_M!$B$1:$ZN$1,0)),"na")</f>
        <v>49.122300000000003</v>
      </c>
      <c r="AL234">
        <f>IF(ISNUMBER(INDEX(Haver_M!$B$1:$ZN$1000,MATCH(data!$A234,Haver_M!$B$1:$B$1000,0),MATCH(data!AL$1,Haver_M!$B$1:$ZN$1,0))),INDEX(Haver_M!$B$1:$ZN$1000,MATCH(data!$A234,Haver_M!$B$1:$B$1000,0),MATCH(data!AL$1,Haver_M!$B$1:$ZN$1,0)),"na")</f>
        <v>49.5563</v>
      </c>
      <c r="AM234">
        <f>IF(ISNUMBER(INDEX(Haver_M!$B$1:$ZN$1000,MATCH(data!$A234,Haver_M!$B$1:$B$1000,0),MATCH(data!AM$1,Haver_M!$B$1:$ZN$1,0))),INDEX(Haver_M!$B$1:$ZN$1000,MATCH(data!$A234,Haver_M!$B$1:$B$1000,0),MATCH(data!AM$1,Haver_M!$B$1:$ZN$1,0)),"na")</f>
        <v>54.255400000000002</v>
      </c>
      <c r="AN234">
        <f>IF(ISNUMBER(INDEX(Haver_M!$B$1:$ZN$1000,MATCH(data!$A234,Haver_M!$B$1:$B$1000,0),MATCH(data!AN$1,Haver_M!$B$1:$ZN$1,0))),INDEX(Haver_M!$B$1:$ZN$1000,MATCH(data!$A234,Haver_M!$B$1:$B$1000,0),MATCH(data!AN$1,Haver_M!$B$1:$ZN$1,0)),"na")</f>
        <v>48.4726</v>
      </c>
      <c r="AO234">
        <f>IF(ISNUMBER(INDEX(Haver_M!$B$1:$ZN$1000,MATCH(data!$A234,Haver_M!$B$1:$B$1000,0),MATCH(data!AO$1,Haver_M!$B$1:$ZN$1,0))),INDEX(Haver_M!$B$1:$ZN$1000,MATCH(data!$A234,Haver_M!$B$1:$B$1000,0),MATCH(data!AO$1,Haver_M!$B$1:$ZN$1,0)),"na")</f>
        <v>49.5563</v>
      </c>
      <c r="AP234">
        <f>IF(ISNUMBER(INDEX(Haver_M!$B$1:$ZN$1000,MATCH(data!$A234,Haver_M!$B$1:$B$1000,0),MATCH(data!AP$1,Haver_M!$B$1:$ZN$1,0))),INDEX(Haver_M!$B$1:$ZN$1000,MATCH(data!$A234,Haver_M!$B$1:$B$1000,0),MATCH(data!AP$1,Haver_M!$B$1:$ZN$1,0)),"na")</f>
        <v>50.656300000000002</v>
      </c>
      <c r="AQ234">
        <f>IF(ISNUMBER(INDEX(Haver_M!$B$1:$ZN$1000,MATCH(data!$A234,Haver_M!$B$1:$B$1000,0),MATCH(data!AQ$1,Haver_M!$B$1:$ZN$1,0))),INDEX(Haver_M!$B$1:$ZN$1000,MATCH(data!$A234,Haver_M!$B$1:$B$1000,0),MATCH(data!AQ$1,Haver_M!$B$1:$ZN$1,0)),"na")</f>
        <v>51.351900000000001</v>
      </c>
      <c r="AR234">
        <f>IF(ISNUMBER(INDEX(Haver_M!$B$1:$ZN$1000,MATCH(data!$A234,Haver_M!$B$1:$B$1000,0),MATCH(data!AR$1,Haver_M!$B$1:$ZN$1,0))),INDEX(Haver_M!$B$1:$ZN$1000,MATCH(data!$A234,Haver_M!$B$1:$B$1000,0),MATCH(data!AR$1,Haver_M!$B$1:$ZN$1,0)),"na")</f>
        <v>48.854100000000003</v>
      </c>
      <c r="AS234">
        <f>IF(ISNUMBER(INDEX(Haver_M!$B$1:$ZN$1000,MATCH(data!$A234,Haver_M!$B$1:$B$1000,0),MATCH(data!AS$1,Haver_M!$B$1:$ZN$1,0))),INDEX(Haver_M!$B$1:$ZN$1000,MATCH(data!$A234,Haver_M!$B$1:$B$1000,0),MATCH(data!AS$1,Haver_M!$B$1:$ZN$1,0)),"na")</f>
        <v>43264</v>
      </c>
      <c r="AT234">
        <f>IF(ISNUMBER(INDEX(Haver_M!$B$1:$ZN$1000,MATCH(data!$A234,Haver_M!$B$1:$B$1000,0),MATCH(data!AT$1,Haver_M!$B$1:$ZN$1,0))),INDEX(Haver_M!$B$1:$ZN$1000,MATCH(data!$A234,Haver_M!$B$1:$B$1000,0),MATCH(data!AT$1,Haver_M!$B$1:$ZN$1,0)),"na")</f>
        <v>117.123</v>
      </c>
      <c r="AU234">
        <f>IF(ISNUMBER(INDEX(Haver_M!$B$1:$ZN$1000,MATCH(data!$A234,Haver_M!$B$1:$B$1000,0),MATCH(data!AU$1,Haver_M!$B$1:$ZN$1,0))),INDEX(Haver_M!$B$1:$ZN$1000,MATCH(data!$A234,Haver_M!$B$1:$B$1000,0),MATCH(data!AU$1,Haver_M!$B$1:$ZN$1,0)),"na")</f>
        <v>112.838094</v>
      </c>
      <c r="AV234">
        <f>IF(ISNUMBER(INDEX(Haver_M!$B$1:$ZN$1000,MATCH(data!$A234,Haver_M!$B$1:$B$1000,0),MATCH(data!AV$1,Haver_M!$B$1:$ZN$1,0))),INDEX(Haver_M!$B$1:$ZN$1000,MATCH(data!$A234,Haver_M!$B$1:$B$1000,0),MATCH(data!AV$1,Haver_M!$B$1:$ZN$1,0)),"na")</f>
        <v>103.6</v>
      </c>
      <c r="AW234">
        <f>IF(ISNUMBER(INDEX(Haver_M!$B$1:$ZN$1000,MATCH(data!$A234,Haver_M!$B$1:$B$1000,0),MATCH(data!AW$1,Haver_M!$B$1:$ZN$1,0))),INDEX(Haver_M!$B$1:$ZN$1000,MATCH(data!$A234,Haver_M!$B$1:$B$1000,0),MATCH(data!AW$1,Haver_M!$B$1:$ZN$1,0)),"na")</f>
        <v>2279505.1210226482</v>
      </c>
      <c r="AX234">
        <f>IF(ISNUMBER(INDEX(Haver_M!$B$1:$ZN$1000,MATCH(data!$A234,Haver_M!$B$1:$B$1000,0),MATCH(data!AX$1,Haver_M!$B$1:$ZN$1,0))),INDEX(Haver_M!$B$1:$ZN$1000,MATCH(data!$A234,Haver_M!$B$1:$B$1000,0),MATCH(data!AX$1,Haver_M!$B$1:$ZN$1,0)),"na")</f>
        <v>1658</v>
      </c>
      <c r="AY234">
        <f>IF(ISNUMBER(INDEX(Haver_M!$B$1:$ZN$1000,MATCH(data!$A234,Haver_M!$B$1:$B$1000,0),MATCH(data!AY$1,Haver_M!$B$1:$ZN$1,0))),INDEX(Haver_M!$B$1:$ZN$1000,MATCH(data!$A234,Haver_M!$B$1:$B$1000,0),MATCH(data!AY$1,Haver_M!$B$1:$ZN$1,0)),"na")</f>
        <v>1205</v>
      </c>
      <c r="AZ234">
        <f>IF(ISNUMBER(INDEX(Haver_M!$B$1:$ZN$1000,MATCH(data!$A234,Haver_M!$B$1:$B$1000,0),MATCH(data!AZ$1,Haver_M!$B$1:$ZN$1,0))),INDEX(Haver_M!$B$1:$ZN$1000,MATCH(data!$A234,Haver_M!$B$1:$B$1000,0),MATCH(data!AZ$1,Haver_M!$B$1:$ZN$1,0)),"na")</f>
        <v>51.4</v>
      </c>
      <c r="BA234">
        <f>IF(ISNUMBER(INDEX(Haver_M!$B$1:$ZN$1000,MATCH(data!$A234,Haver_M!$B$1:$B$1000,0),MATCH(data!BA$1,Haver_M!$B$1:$ZN$1,0))),INDEX(Haver_M!$B$1:$ZN$1000,MATCH(data!$A234,Haver_M!$B$1:$B$1000,0),MATCH(data!BA$1,Haver_M!$B$1:$ZN$1,0)),"na")</f>
        <v>73.412607422321017</v>
      </c>
      <c r="BB234" t="str">
        <f>IF(ISNUMBER(INDEX(Haver_M!$B$1:$ZN$1000,MATCH(data!$A234,Haver_M!$B$1:$B$1000,0),MATCH(data!BB$1,Haver_M!$B$1:$ZN$1,0))),INDEX(Haver_M!$B$1:$ZN$1000,MATCH(data!$A234,Haver_M!$B$1:$B$1000,0),MATCH(data!BB$1,Haver_M!$B$1:$ZN$1,0)),"")</f>
        <v/>
      </c>
    </row>
    <row r="235" spans="1:54" x14ac:dyDescent="0.25">
      <c r="A235" s="2">
        <v>43646</v>
      </c>
      <c r="B235">
        <f>IF(ISNUMBER(INDEX(Haver_Q!$B$1:$BD$1000,MATCH(data!$A235,Haver_Q!$B$1:$B$1000,0),MATCH(data!B$1,Haver_Q!$B$1:$BD$1,0))),100*INDEX(Haver_Q!$B$1:$BD$1000,MATCH(data!$A235,Haver_Q!$B$1:$B$1000,0),MATCH(data!B$1,Haver_Q!$B$1:$BD$1,0)),"na")</f>
        <v>-0.62779347118910866</v>
      </c>
      <c r="C235">
        <f>IF(ISNUMBER(INDEX(Haver_Q!$B$1:$BD$1000,MATCH(data!$A235,Haver_Q!$B$1:$B$1000,0),MATCH(data!C$1,Haver_Q!$B$1:$BD$1,0))),100*INDEX(Haver_Q!$B$1:$BD$1000,MATCH(data!$A235,Haver_Q!$B$1:$B$1000,0),MATCH(data!C$1,Haver_Q!$B$1:$BD$1,0)),"na")</f>
        <v>-1.3550758893205561</v>
      </c>
      <c r="D235">
        <f>IF(ISNUMBER(INDEX(Haver_Q!$B$1:$BD$1000,MATCH(data!$A235,Haver_Q!$B$1:$B$1000,0),MATCH(data!D$1,Haver_Q!$B$1:$BD$1,0))),100*INDEX(Haver_Q!$B$1:$BD$1000,MATCH(data!$A235,Haver_Q!$B$1:$B$1000,0),MATCH(data!D$1,Haver_Q!$B$1:$BD$1,0)),"na")</f>
        <v>1.7390358590261945</v>
      </c>
      <c r="E235">
        <f>IF(ISNUMBER(INDEX(Haver_Q!$B$1:$BD$1000,MATCH(data!$A235,Haver_Q!$B$1:$B$1000,0),MATCH(data!E$1,Haver_Q!$B$1:$BD$1,0))),100*INDEX(Haver_Q!$B$1:$BD$1000,MATCH(data!$A235,Haver_Q!$B$1:$B$1000,0),MATCH(data!E$1,Haver_Q!$B$1:$BD$1,0)),"na")</f>
        <v>-13.805634644211651</v>
      </c>
      <c r="F235">
        <f>IF(ISNUMBER(INDEX(Haver_Q!$B$1:$BD$1000,MATCH(data!$A235,Haver_Q!$B$1:$B$1000,0),MATCH(data!F$1,Haver_Q!$B$1:$BD$1,0))),100*INDEX(Haver_Q!$B$1:$BD$1000,MATCH(data!$A235,Haver_Q!$B$1:$B$1000,0),MATCH(data!F$1,Haver_Q!$B$1:$BD$1,0)),"na")</f>
        <v>11.803421954715553</v>
      </c>
      <c r="G235">
        <f>IF(ISNUMBER(INDEX(Haver_Q!$B$1:$BD$1000,MATCH(data!$A235,Haver_Q!$B$1:$B$1000,0),MATCH(data!G$1,Haver_Q!$B$1:$BD$1,0))),100*INDEX(Haver_Q!$B$1:$BD$1000,MATCH(data!$A235,Haver_Q!$B$1:$B$1000,0),MATCH(data!G$1,Haver_Q!$B$1:$BD$1,0)),"na")</f>
        <v>-3.3615446027590479</v>
      </c>
      <c r="H235">
        <f>IF(ISNUMBER(INDEX(Haver_Q!$B$1:$BD$1000,MATCH(data!$A235,Haver_Q!$B$1:$B$1000,0),MATCH(data!H$1,Haver_Q!$B$1:$BD$1,0))),100*INDEX(Haver_Q!$B$1:$BD$1000,MATCH(data!$A235,Haver_Q!$B$1:$B$1000,0),MATCH(data!H$1,Haver_Q!$B$1:$BD$1,0)),"na")</f>
        <v>340.13271283909853</v>
      </c>
      <c r="I235" s="3">
        <f>IF(ISNUMBER(Bloomberg_m!C251),Bloomberg_m!C251,"na")</f>
        <v>1174</v>
      </c>
      <c r="J235" s="3">
        <f>IF(ISNUMBER(Bloomberg_m!D251),Bloomberg_m!D251,"na")</f>
        <v>1351.29</v>
      </c>
      <c r="K235" s="3">
        <f>IF(ISNUMBER(Bloomberg_m!E251),Bloomberg_m!E251,"na")</f>
        <v>789.08</v>
      </c>
      <c r="L235" s="3">
        <f>IF(ISNUMBER(Bloomberg_m!L251),Bloomberg_m!L251,"na")</f>
        <v>54.68</v>
      </c>
      <c r="M235">
        <f>IF(ISNUMBER(INDEX(Haver_M!$B$1:$ZN$1000,MATCH(data!$A235,Haver_M!$B$1:$B$1000,0),MATCH(data!M$1,Haver_M!$B$1:$ZN$1,0))),INDEX(Haver_M!$B$1:$ZN$1000,MATCH(data!$A235,Haver_M!$B$1:$B$1000,0),MATCH(data!M$1,Haver_M!$B$1:$ZN$1,0)),"na")</f>
        <v>8.25</v>
      </c>
      <c r="N235">
        <f>IF(ISNUMBER(INDEX(Haver_M!$B$1:$ZN$1000,MATCH(data!$A235,Haver_M!$B$1:$B$1000,0),MATCH(data!N$1,Haver_M!$B$1:$ZN$1,0))),INDEX(Haver_M!$B$1:$ZN$1000,MATCH(data!$A235,Haver_M!$B$1:$B$1000,0),MATCH(data!N$1,Haver_M!$B$1:$ZN$1,0)),"na")</f>
        <v>7.7492999999999999</v>
      </c>
      <c r="O235">
        <f>IF(ISNUMBER(INDEX(Haver_M!$B$1:$ZN$1000,MATCH(data!$A235,Haver_M!$B$1:$B$1000,0),MATCH(data!O$1,Haver_M!$B$1:$ZN$1,0))),INDEX(Haver_M!$B$1:$ZN$1000,MATCH(data!$A235,Haver_M!$B$1:$B$1000,0),MATCH(data!O$1,Haver_M!$B$1:$ZN$1,0)),"na")</f>
        <v>83.539150000000006</v>
      </c>
      <c r="P235">
        <f>IF(ISNUMBER(INDEX(Haver_M!$B$1:$ZN$1000,MATCH(data!$A235,Haver_M!$B$1:$B$1000,0),MATCH(data!P$1,Haver_M!$B$1:$ZN$1,0))),INDEX(Haver_M!$B$1:$ZN$1000,MATCH(data!$A235,Haver_M!$B$1:$B$1000,0),MATCH(data!P$1,Haver_M!$B$1:$ZN$1,0)),"na")</f>
        <v>103.8674</v>
      </c>
      <c r="Q235">
        <f>IF(ISNUMBER(INDEX(Haver_M!$B$1:$ZN$1000,MATCH(data!$A235,Haver_M!$B$1:$B$1000,0),MATCH(data!Q$1,Haver_M!$B$1:$ZN$1,0))),INDEX(Haver_M!$B$1:$ZN$1000,MATCH(data!$A235,Haver_M!$B$1:$B$1000,0),MATCH(data!Q$1,Haver_M!$B$1:$ZN$1,0)),"na")</f>
        <v>103.4705</v>
      </c>
      <c r="R235">
        <f>IF(ISNUMBER(INDEX(Haver_M!$B$1:$ZN$1000,MATCH(data!$A235,Haver_M!$B$1:$B$1000,0),MATCH(data!R$1,Haver_M!$B$1:$ZN$1,0))),INDEX(Haver_M!$B$1:$ZN$1000,MATCH(data!$A235,Haver_M!$B$1:$B$1000,0),MATCH(data!R$1,Haver_M!$B$1:$ZN$1,0)),"na")</f>
        <v>102.71420000000001</v>
      </c>
      <c r="S235">
        <f>IF(ISNUMBER(INDEX(Haver_M!$B$1:$ZN$1000,MATCH(data!$A235,Haver_M!$B$1:$B$1000,0),MATCH(data!S$1,Haver_M!$B$1:$ZN$1,0))),INDEX(Haver_M!$B$1:$ZN$1000,MATCH(data!$A235,Haver_M!$B$1:$B$1000,0),MATCH(data!S$1,Haver_M!$B$1:$ZN$1,0)),"na")</f>
        <v>73.646100000000004</v>
      </c>
      <c r="T235">
        <f>IF(ISNUMBER(INDEX(Haver_M!$B$1:$ZN$1000,MATCH(data!$A235,Haver_M!$B$1:$B$1000,0),MATCH(data!T$1,Haver_M!$B$1:$ZN$1,0))),INDEX(Haver_M!$B$1:$ZN$1000,MATCH(data!$A235,Haver_M!$B$1:$B$1000,0),MATCH(data!T$1,Haver_M!$B$1:$ZN$1,0)),"na")</f>
        <v>121.19840000000001</v>
      </c>
      <c r="U235">
        <f>IF(ISNUMBER(INDEX(Haver_M!$B$1:$ZN$1000,MATCH(data!$A235,Haver_M!$B$1:$B$1000,0),MATCH(data!U$1,Haver_M!$B$1:$ZN$1,0))),INDEX(Haver_M!$B$1:$ZN$1000,MATCH(data!$A235,Haver_M!$B$1:$B$1000,0),MATCH(data!U$1,Haver_M!$B$1:$ZN$1,0)),"na")</f>
        <v>100.72499999999999</v>
      </c>
      <c r="V235">
        <f>IF(ISNUMBER(INDEX(Haver_M!$B$1:$ZN$1000,MATCH(data!$A235,Haver_M!$B$1:$B$1000,0),MATCH(data!V$1,Haver_M!$B$1:$ZN$1,0))),INDEX(Haver_M!$B$1:$ZN$1000,MATCH(data!$A235,Haver_M!$B$1:$B$1000,0),MATCH(data!V$1,Haver_M!$B$1:$ZN$1,0)),"na")</f>
        <v>115.0557</v>
      </c>
      <c r="W235">
        <f>IF(ISNUMBER(INDEX(Haver_M!$B$1:$ZN$1000,MATCH(data!$A235,Haver_M!$B$1:$B$1000,0),MATCH(data!W$1,Haver_M!$B$1:$ZN$1,0))),INDEX(Haver_M!$B$1:$ZN$1000,MATCH(data!$A235,Haver_M!$B$1:$B$1000,0),MATCH(data!W$1,Haver_M!$B$1:$ZN$1,0)),"na")</f>
        <v>3.57</v>
      </c>
      <c r="X235">
        <f>IF(ISNUMBER(INDEX(Haver_M!$B$1:$ZN$1000,MATCH(data!$A235,Haver_M!$B$1:$B$1000,0),MATCH(data!X$1,Haver_M!$B$1:$ZN$1,0))),INDEX(Haver_M!$B$1:$ZN$1000,MATCH(data!$A235,Haver_M!$B$1:$B$1000,0),MATCH(data!X$1,Haver_M!$B$1:$ZN$1,0)),"na")</f>
        <v>106.93</v>
      </c>
      <c r="Y235">
        <f>IF(ISNUMBER(INDEX(Haver_M!$B$1:$ZN$1000,MATCH(data!$A235,Haver_M!$B$1:$B$1000,0),MATCH(data!Y$1,Haver_M!$B$1:$ZN$1,0))),INDEX(Haver_M!$B$1:$ZN$1000,MATCH(data!$A235,Haver_M!$B$1:$B$1000,0),MATCH(data!Y$1,Haver_M!$B$1:$ZN$1,0)),"na")</f>
        <v>100.4</v>
      </c>
      <c r="Z235">
        <f>IF(ISNUMBER(INDEX(Haver_M!$B$1:$ZN$1000,MATCH(data!$A235,Haver_M!$B$1:$B$1000,0),MATCH(data!Z$1,Haver_M!$B$1:$ZN$1,0))),INDEX(Haver_M!$B$1:$ZN$1000,MATCH(data!$A235,Haver_M!$B$1:$B$1000,0),MATCH(data!Z$1,Haver_M!$B$1:$ZN$1,0)),"na")</f>
        <v>115.598</v>
      </c>
      <c r="AA235">
        <f>IF(ISNUMBER(INDEX(Haver_M!$B$1:$ZN$1000,MATCH(data!$A235,Haver_M!$B$1:$B$1000,0),MATCH(data!AA$1,Haver_M!$B$1:$ZN$1,0))),INDEX(Haver_M!$B$1:$ZN$1000,MATCH(data!$A235,Haver_M!$B$1:$B$1000,0),MATCH(data!AA$1,Haver_M!$B$1:$ZN$1,0)),"na")</f>
        <v>107.36750000000001</v>
      </c>
      <c r="AB235">
        <f>IF(ISNUMBER(INDEX(Haver_M!$B$1:$ZN$1000,MATCH(data!$A235,Haver_M!$B$1:$B$1000,0),MATCH(data!AB$1,Haver_M!$B$1:$ZN$1,0))),INDEX(Haver_M!$B$1:$ZN$1000,MATCH(data!$A235,Haver_M!$B$1:$B$1000,0),MATCH(data!AB$1,Haver_M!$B$1:$ZN$1,0)),"na")</f>
        <v>38794.400000000001</v>
      </c>
      <c r="AC235">
        <f>IF(ISNUMBER(INDEX(Haver_M!$B$1:$ZN$1000,MATCH(data!$A235,Haver_M!$B$1:$B$1000,0),MATCH(data!AC$1,Haver_M!$B$1:$ZN$1,0))),INDEX(Haver_M!$B$1:$ZN$1000,MATCH(data!$A235,Haver_M!$B$1:$B$1000,0),MATCH(data!AC$1,Haver_M!$B$1:$ZN$1,0)),"na")</f>
        <v>37688.9</v>
      </c>
      <c r="AD235">
        <f>IF(ISNUMBER(INDEX(Haver_M!$B$1:$ZN$1000,MATCH(data!$A235,Haver_M!$B$1:$B$1000,0),MATCH(data!AD$1,Haver_M!$B$1:$ZN$1,0))),INDEX(Haver_M!$B$1:$ZN$1000,MATCH(data!$A235,Haver_M!$B$1:$B$1000,0),MATCH(data!AD$1,Haver_M!$B$1:$ZN$1,0)),"na")</f>
        <v>99.9</v>
      </c>
      <c r="AE235">
        <f>IF(ISNUMBER(INDEX(Haver_M!$B$1:$ZN$1000,MATCH(data!$A235,Haver_M!$B$1:$B$1000,0),MATCH(data!AE$1,Haver_M!$B$1:$ZN$1,0))),INDEX(Haver_M!$B$1:$ZN$1000,MATCH(data!$A235,Haver_M!$B$1:$B$1000,0),MATCH(data!AE$1,Haver_M!$B$1:$ZN$1,0)),"na")</f>
        <v>43.5</v>
      </c>
      <c r="AF235">
        <f>IF(ISNUMBER(INDEX(Haver_M!$B$1:$ZN$1000,MATCH(data!$A235,Haver_M!$B$1:$B$1000,0),MATCH(data!AF$1,Haver_M!$B$1:$ZN$1,0))),INDEX(Haver_M!$B$1:$ZN$1000,MATCH(data!$A235,Haver_M!$B$1:$B$1000,0),MATCH(data!AF$1,Haver_M!$B$1:$ZN$1,0)),"na")</f>
        <v>101.21</v>
      </c>
      <c r="AG235">
        <f>IF(ISNUMBER(INDEX(Haver_M!$B$1:$ZN$1000,MATCH(data!$A235,Haver_M!$B$1:$B$1000,0),MATCH(data!AG$1,Haver_M!$B$1:$ZN$1,0))),INDEX(Haver_M!$B$1:$ZN$1000,MATCH(data!$A235,Haver_M!$B$1:$B$1000,0),MATCH(data!AG$1,Haver_M!$B$1:$ZN$1,0)),"na")</f>
        <v>49.173000000000002</v>
      </c>
      <c r="AH235">
        <f>IF(ISNUMBER(INDEX(Haver_M!$B$1:$ZN$1000,MATCH(data!$A235,Haver_M!$B$1:$B$1000,0),MATCH(data!AH$1,Haver_M!$B$1:$ZN$1,0))),INDEX(Haver_M!$B$1:$ZN$1000,MATCH(data!$A235,Haver_M!$B$1:$B$1000,0),MATCH(data!AH$1,Haver_M!$B$1:$ZN$1,0)),"na")</f>
        <v>49.4</v>
      </c>
      <c r="AI235">
        <f>IF(ISNUMBER(INDEX(Haver_M!$B$1:$ZN$1000,MATCH(data!$A235,Haver_M!$B$1:$B$1000,0),MATCH(data!AI$1,Haver_M!$B$1:$ZN$1,0))),INDEX(Haver_M!$B$1:$ZN$1000,MATCH(data!$A235,Haver_M!$B$1:$B$1000,0),MATCH(data!AI$1,Haver_M!$B$1:$ZN$1,0)),"na")</f>
        <v>48.0364</v>
      </c>
      <c r="AJ235">
        <f>IF(ISNUMBER(INDEX(Haver_M!$B$1:$ZN$1000,MATCH(data!$A235,Haver_M!$B$1:$B$1000,0),MATCH(data!AJ$1,Haver_M!$B$1:$ZN$1,0))),INDEX(Haver_M!$B$1:$ZN$1000,MATCH(data!$A235,Haver_M!$B$1:$B$1000,0),MATCH(data!AJ$1,Haver_M!$B$1:$ZN$1,0)),"na")</f>
        <v>50.006900000000002</v>
      </c>
      <c r="AK235">
        <f>IF(ISNUMBER(INDEX(Haver_M!$B$1:$ZN$1000,MATCH(data!$A235,Haver_M!$B$1:$B$1000,0),MATCH(data!AK$1,Haver_M!$B$1:$ZN$1,0))),INDEX(Haver_M!$B$1:$ZN$1000,MATCH(data!$A235,Haver_M!$B$1:$B$1000,0),MATCH(data!AK$1,Haver_M!$B$1:$ZN$1,0)),"na")</f>
        <v>49.478499999999997</v>
      </c>
      <c r="AL235">
        <f>IF(ISNUMBER(INDEX(Haver_M!$B$1:$ZN$1000,MATCH(data!$A235,Haver_M!$B$1:$B$1000,0),MATCH(data!AL$1,Haver_M!$B$1:$ZN$1,0))),INDEX(Haver_M!$B$1:$ZN$1000,MATCH(data!$A235,Haver_M!$B$1:$B$1000,0),MATCH(data!AL$1,Haver_M!$B$1:$ZN$1,0)),"na")</f>
        <v>48.324599999999997</v>
      </c>
      <c r="AM235">
        <f>IF(ISNUMBER(INDEX(Haver_M!$B$1:$ZN$1000,MATCH(data!$A235,Haver_M!$B$1:$B$1000,0),MATCH(data!AM$1,Haver_M!$B$1:$ZN$1,0))),INDEX(Haver_M!$B$1:$ZN$1000,MATCH(data!$A235,Haver_M!$B$1:$B$1000,0),MATCH(data!AM$1,Haver_M!$B$1:$ZN$1,0)),"na")</f>
        <v>55.313899999999997</v>
      </c>
      <c r="AN235">
        <f>IF(ISNUMBER(INDEX(Haver_M!$B$1:$ZN$1000,MATCH(data!$A235,Haver_M!$B$1:$B$1000,0),MATCH(data!AN$1,Haver_M!$B$1:$ZN$1,0))),INDEX(Haver_M!$B$1:$ZN$1000,MATCH(data!$A235,Haver_M!$B$1:$B$1000,0),MATCH(data!AN$1,Haver_M!$B$1:$ZN$1,0)),"na")</f>
        <v>47.870600000000003</v>
      </c>
      <c r="AO235">
        <f>IF(ISNUMBER(INDEX(Haver_M!$B$1:$ZN$1000,MATCH(data!$A235,Haver_M!$B$1:$B$1000,0),MATCH(data!AO$1,Haver_M!$B$1:$ZN$1,0))),INDEX(Haver_M!$B$1:$ZN$1000,MATCH(data!$A235,Haver_M!$B$1:$B$1000,0),MATCH(data!AO$1,Haver_M!$B$1:$ZN$1,0)),"na")</f>
        <v>48.324599999999997</v>
      </c>
      <c r="AP235">
        <f>IF(ISNUMBER(INDEX(Haver_M!$B$1:$ZN$1000,MATCH(data!$A235,Haver_M!$B$1:$B$1000,0),MATCH(data!AP$1,Haver_M!$B$1:$ZN$1,0))),INDEX(Haver_M!$B$1:$ZN$1000,MATCH(data!$A235,Haver_M!$B$1:$B$1000,0),MATCH(data!AP$1,Haver_M!$B$1:$ZN$1,0)),"na")</f>
        <v>49.296199999999999</v>
      </c>
      <c r="AQ235">
        <f>IF(ISNUMBER(INDEX(Haver_M!$B$1:$ZN$1000,MATCH(data!$A235,Haver_M!$B$1:$B$1000,0),MATCH(data!AQ$1,Haver_M!$B$1:$ZN$1,0))),INDEX(Haver_M!$B$1:$ZN$1000,MATCH(data!$A235,Haver_M!$B$1:$B$1000,0),MATCH(data!AQ$1,Haver_M!$B$1:$ZN$1,0)),"na")</f>
        <v>49.8476</v>
      </c>
      <c r="AR235">
        <f>IF(ISNUMBER(INDEX(Haver_M!$B$1:$ZN$1000,MATCH(data!$A235,Haver_M!$B$1:$B$1000,0),MATCH(data!AR$1,Haver_M!$B$1:$ZN$1,0))),INDEX(Haver_M!$B$1:$ZN$1000,MATCH(data!$A235,Haver_M!$B$1:$B$1000,0),MATCH(data!AR$1,Haver_M!$B$1:$ZN$1,0)),"na")</f>
        <v>48.659500000000001</v>
      </c>
      <c r="AS235">
        <f>IF(ISNUMBER(INDEX(Haver_M!$B$1:$ZN$1000,MATCH(data!$A235,Haver_M!$B$1:$B$1000,0),MATCH(data!AS$1,Haver_M!$B$1:$ZN$1,0))),INDEX(Haver_M!$B$1:$ZN$1000,MATCH(data!$A235,Haver_M!$B$1:$B$1000,0),MATCH(data!AS$1,Haver_M!$B$1:$ZN$1,0)),"na")</f>
        <v>43421.279999999999</v>
      </c>
      <c r="AT235">
        <f>IF(ISNUMBER(INDEX(Haver_M!$B$1:$ZN$1000,MATCH(data!$A235,Haver_M!$B$1:$B$1000,0),MATCH(data!AT$1,Haver_M!$B$1:$ZN$1,0))),INDEX(Haver_M!$B$1:$ZN$1000,MATCH(data!$A235,Haver_M!$B$1:$B$1000,0),MATCH(data!AT$1,Haver_M!$B$1:$ZN$1,0)),"na")</f>
        <v>117.622</v>
      </c>
      <c r="AU235">
        <f>IF(ISNUMBER(INDEX(Haver_M!$B$1:$ZN$1000,MATCH(data!$A235,Haver_M!$B$1:$B$1000,0),MATCH(data!AU$1,Haver_M!$B$1:$ZN$1,0))),INDEX(Haver_M!$B$1:$ZN$1000,MATCH(data!$A235,Haver_M!$B$1:$B$1000,0),MATCH(data!AU$1,Haver_M!$B$1:$ZN$1,0)),"na")</f>
        <v>112.718288</v>
      </c>
      <c r="AV235">
        <f>IF(ISNUMBER(INDEX(Haver_M!$B$1:$ZN$1000,MATCH(data!$A235,Haver_M!$B$1:$B$1000,0),MATCH(data!AV$1,Haver_M!$B$1:$ZN$1,0))),INDEX(Haver_M!$B$1:$ZN$1000,MATCH(data!$A235,Haver_M!$B$1:$B$1000,0),MATCH(data!AV$1,Haver_M!$B$1:$ZN$1,0)),"na")</f>
        <v>101.9</v>
      </c>
      <c r="AW235">
        <f>IF(ISNUMBER(INDEX(Haver_M!$B$1:$ZN$1000,MATCH(data!$A235,Haver_M!$B$1:$B$1000,0),MATCH(data!AW$1,Haver_M!$B$1:$ZN$1,0))),INDEX(Haver_M!$B$1:$ZN$1000,MATCH(data!$A235,Haver_M!$B$1:$B$1000,0),MATCH(data!AW$1,Haver_M!$B$1:$ZN$1,0)),"na")</f>
        <v>1949548.737196509</v>
      </c>
      <c r="AX235">
        <f>IF(ISNUMBER(INDEX(Haver_M!$B$1:$ZN$1000,MATCH(data!$A235,Haver_M!$B$1:$B$1000,0),MATCH(data!AX$1,Haver_M!$B$1:$ZN$1,0))),INDEX(Haver_M!$B$1:$ZN$1000,MATCH(data!$A235,Haver_M!$B$1:$B$1000,0),MATCH(data!AX$1,Haver_M!$B$1:$ZN$1,0)),"na")</f>
        <v>1663</v>
      </c>
      <c r="AY235">
        <f>IF(ISNUMBER(INDEX(Haver_M!$B$1:$ZN$1000,MATCH(data!$A235,Haver_M!$B$1:$B$1000,0),MATCH(data!AY$1,Haver_M!$B$1:$ZN$1,0))),INDEX(Haver_M!$B$1:$ZN$1000,MATCH(data!$A235,Haver_M!$B$1:$B$1000,0),MATCH(data!AY$1,Haver_M!$B$1:$ZN$1,0)),"na")</f>
        <v>995</v>
      </c>
      <c r="AZ235">
        <f>IF(ISNUMBER(INDEX(Haver_M!$B$1:$ZN$1000,MATCH(data!$A235,Haver_M!$B$1:$B$1000,0),MATCH(data!AZ$1,Haver_M!$B$1:$ZN$1,0))),INDEX(Haver_M!$B$1:$ZN$1000,MATCH(data!$A235,Haver_M!$B$1:$B$1000,0),MATCH(data!AZ$1,Haver_M!$B$1:$ZN$1,0)),"na")</f>
        <v>48.8</v>
      </c>
      <c r="BA235">
        <f>IF(ISNUMBER(INDEX(Haver_M!$B$1:$ZN$1000,MATCH(data!$A235,Haver_M!$B$1:$B$1000,0),MATCH(data!BA$1,Haver_M!$B$1:$ZN$1,0))),INDEX(Haver_M!$B$1:$ZN$1000,MATCH(data!$A235,Haver_M!$B$1:$B$1000,0),MATCH(data!BA$1,Haver_M!$B$1:$ZN$1,0)),"na")</f>
        <v>72.010035894771434</v>
      </c>
      <c r="BB235" t="str">
        <f>IF(ISNUMBER(INDEX(Haver_M!$B$1:$ZN$1000,MATCH(data!$A235,Haver_M!$B$1:$B$1000,0),MATCH(data!BB$1,Haver_M!$B$1:$ZN$1,0))),INDEX(Haver_M!$B$1:$ZN$1000,MATCH(data!$A235,Haver_M!$B$1:$B$1000,0),MATCH(data!BB$1,Haver_M!$B$1:$ZN$1,0)),"")</f>
        <v/>
      </c>
    </row>
    <row r="236" spans="1:54" x14ac:dyDescent="0.25">
      <c r="A236" s="2">
        <v>43677</v>
      </c>
      <c r="B236" t="str">
        <f>IF(ISNUMBER(INDEX(Haver_Q!$B$1:$BD$1000,MATCH(data!$A236,Haver_Q!$B$1:$B$1000,0),MATCH(data!B$1,Haver_Q!$B$1:$BD$1,0))),100*INDEX(Haver_Q!$B$1:$BD$1000,MATCH(data!$A236,Haver_Q!$B$1:$B$1000,0),MATCH(data!B$1,Haver_Q!$B$1:$BD$1,0)),"na")</f>
        <v>na</v>
      </c>
      <c r="C236" t="str">
        <f>IF(ISNUMBER(INDEX(Haver_Q!$B$1:$BD$1000,MATCH(data!$A236,Haver_Q!$B$1:$B$1000,0),MATCH(data!C$1,Haver_Q!$B$1:$BD$1,0))),100*INDEX(Haver_Q!$B$1:$BD$1000,MATCH(data!$A236,Haver_Q!$B$1:$B$1000,0),MATCH(data!C$1,Haver_Q!$B$1:$BD$1,0)),"na")</f>
        <v>na</v>
      </c>
      <c r="D236" t="str">
        <f>IF(ISNUMBER(INDEX(Haver_Q!$B$1:$BD$1000,MATCH(data!$A236,Haver_Q!$B$1:$B$1000,0),MATCH(data!D$1,Haver_Q!$B$1:$BD$1,0))),100*INDEX(Haver_Q!$B$1:$BD$1000,MATCH(data!$A236,Haver_Q!$B$1:$B$1000,0),MATCH(data!D$1,Haver_Q!$B$1:$BD$1,0)),"na")</f>
        <v>na</v>
      </c>
      <c r="E236" t="str">
        <f>IF(ISNUMBER(INDEX(Haver_Q!$B$1:$BD$1000,MATCH(data!$A236,Haver_Q!$B$1:$B$1000,0),MATCH(data!E$1,Haver_Q!$B$1:$BD$1,0))),100*INDEX(Haver_Q!$B$1:$BD$1000,MATCH(data!$A236,Haver_Q!$B$1:$B$1000,0),MATCH(data!E$1,Haver_Q!$B$1:$BD$1,0)),"na")</f>
        <v>na</v>
      </c>
      <c r="F236" t="str">
        <f>IF(ISNUMBER(INDEX(Haver_Q!$B$1:$BD$1000,MATCH(data!$A236,Haver_Q!$B$1:$B$1000,0),MATCH(data!F$1,Haver_Q!$B$1:$BD$1,0))),100*INDEX(Haver_Q!$B$1:$BD$1000,MATCH(data!$A236,Haver_Q!$B$1:$B$1000,0),MATCH(data!F$1,Haver_Q!$B$1:$BD$1,0)),"na")</f>
        <v>na</v>
      </c>
      <c r="G236" t="str">
        <f>IF(ISNUMBER(INDEX(Haver_Q!$B$1:$BD$1000,MATCH(data!$A236,Haver_Q!$B$1:$B$1000,0),MATCH(data!G$1,Haver_Q!$B$1:$BD$1,0))),100*INDEX(Haver_Q!$B$1:$BD$1000,MATCH(data!$A236,Haver_Q!$B$1:$B$1000,0),MATCH(data!G$1,Haver_Q!$B$1:$BD$1,0)),"na")</f>
        <v>na</v>
      </c>
      <c r="H236" t="str">
        <f>IF(ISNUMBER(INDEX(Haver_Q!$B$1:$BD$1000,MATCH(data!$A236,Haver_Q!$B$1:$B$1000,0),MATCH(data!H$1,Haver_Q!$B$1:$BD$1,0))),100*INDEX(Haver_Q!$B$1:$BD$1000,MATCH(data!$A236,Haver_Q!$B$1:$B$1000,0),MATCH(data!H$1,Haver_Q!$B$1:$BD$1,0)),"na")</f>
        <v>na</v>
      </c>
      <c r="I236" s="3">
        <f>IF(ISNUMBER(Bloomberg_m!C252),Bloomberg_m!C252,"na")</f>
        <v>1870</v>
      </c>
      <c r="J236" s="3">
        <f>IF(ISNUMBER(Bloomberg_m!D252),Bloomberg_m!D252,"na")</f>
        <v>1344.05</v>
      </c>
      <c r="K236" s="3">
        <f>IF(ISNUMBER(Bloomberg_m!E252),Bloomberg_m!E252,"na")</f>
        <v>802.01</v>
      </c>
      <c r="L236" s="3">
        <f>IF(ISNUMBER(Bloomberg_m!L252),Bloomberg_m!L252,"na")</f>
        <v>57.52</v>
      </c>
      <c r="M236">
        <f>IF(ISNUMBER(INDEX(Haver_M!$B$1:$ZN$1000,MATCH(data!$A236,Haver_M!$B$1:$B$1000,0),MATCH(data!M$1,Haver_M!$B$1:$ZN$1,0))),INDEX(Haver_M!$B$1:$ZN$1000,MATCH(data!$A236,Haver_M!$B$1:$B$1000,0),MATCH(data!M$1,Haver_M!$B$1:$ZN$1,0)),"na")</f>
        <v>8.25</v>
      </c>
      <c r="N236">
        <f>IF(ISNUMBER(INDEX(Haver_M!$B$1:$ZN$1000,MATCH(data!$A236,Haver_M!$B$1:$B$1000,0),MATCH(data!N$1,Haver_M!$B$1:$ZN$1,0))),INDEX(Haver_M!$B$1:$ZN$1000,MATCH(data!$A236,Haver_M!$B$1:$B$1000,0),MATCH(data!N$1,Haver_M!$B$1:$ZN$1,0)),"na")</f>
        <v>7.4980000000000002</v>
      </c>
      <c r="O236">
        <f>IF(ISNUMBER(INDEX(Haver_M!$B$1:$ZN$1000,MATCH(data!$A236,Haver_M!$B$1:$B$1000,0),MATCH(data!O$1,Haver_M!$B$1:$ZN$1,0))),INDEX(Haver_M!$B$1:$ZN$1000,MATCH(data!$A236,Haver_M!$B$1:$B$1000,0),MATCH(data!O$1,Haver_M!$B$1:$ZN$1,0)),"na")</f>
        <v>84.595269999999999</v>
      </c>
      <c r="P236">
        <f>IF(ISNUMBER(INDEX(Haver_M!$B$1:$ZN$1000,MATCH(data!$A236,Haver_M!$B$1:$B$1000,0),MATCH(data!P$1,Haver_M!$B$1:$ZN$1,0))),INDEX(Haver_M!$B$1:$ZN$1000,MATCH(data!$A236,Haver_M!$B$1:$B$1000,0),MATCH(data!P$1,Haver_M!$B$1:$ZN$1,0)),"na")</f>
        <v>104.23520000000001</v>
      </c>
      <c r="Q236">
        <f>IF(ISNUMBER(INDEX(Haver_M!$B$1:$ZN$1000,MATCH(data!$A236,Haver_M!$B$1:$B$1000,0),MATCH(data!Q$1,Haver_M!$B$1:$ZN$1,0))),INDEX(Haver_M!$B$1:$ZN$1000,MATCH(data!$A236,Haver_M!$B$1:$B$1000,0),MATCH(data!Q$1,Haver_M!$B$1:$ZN$1,0)),"na")</f>
        <v>103.79430000000001</v>
      </c>
      <c r="R236">
        <f>IF(ISNUMBER(INDEX(Haver_M!$B$1:$ZN$1000,MATCH(data!$A236,Haver_M!$B$1:$B$1000,0),MATCH(data!R$1,Haver_M!$B$1:$ZN$1,0))),INDEX(Haver_M!$B$1:$ZN$1000,MATCH(data!$A236,Haver_M!$B$1:$B$1000,0),MATCH(data!R$1,Haver_M!$B$1:$ZN$1,0)),"na")</f>
        <v>102.476</v>
      </c>
      <c r="S236">
        <f>IF(ISNUMBER(INDEX(Haver_M!$B$1:$ZN$1000,MATCH(data!$A236,Haver_M!$B$1:$B$1000,0),MATCH(data!S$1,Haver_M!$B$1:$ZN$1,0))),INDEX(Haver_M!$B$1:$ZN$1000,MATCH(data!$A236,Haver_M!$B$1:$B$1000,0),MATCH(data!S$1,Haver_M!$B$1:$ZN$1,0)),"na")</f>
        <v>72.996399999999994</v>
      </c>
      <c r="T236">
        <f>IF(ISNUMBER(INDEX(Haver_M!$B$1:$ZN$1000,MATCH(data!$A236,Haver_M!$B$1:$B$1000,0),MATCH(data!T$1,Haver_M!$B$1:$ZN$1,0))),INDEX(Haver_M!$B$1:$ZN$1000,MATCH(data!$A236,Haver_M!$B$1:$B$1000,0),MATCH(data!T$1,Haver_M!$B$1:$ZN$1,0)),"na")</f>
        <v>120.71550000000001</v>
      </c>
      <c r="U236">
        <f>IF(ISNUMBER(INDEX(Haver_M!$B$1:$ZN$1000,MATCH(data!$A236,Haver_M!$B$1:$B$1000,0),MATCH(data!U$1,Haver_M!$B$1:$ZN$1,0))),INDEX(Haver_M!$B$1:$ZN$1000,MATCH(data!$A236,Haver_M!$B$1:$B$1000,0),MATCH(data!U$1,Haver_M!$B$1:$ZN$1,0)),"na")</f>
        <v>99.147300000000001</v>
      </c>
      <c r="V236">
        <f>IF(ISNUMBER(INDEX(Haver_M!$B$1:$ZN$1000,MATCH(data!$A236,Haver_M!$B$1:$B$1000,0),MATCH(data!V$1,Haver_M!$B$1:$ZN$1,0))),INDEX(Haver_M!$B$1:$ZN$1000,MATCH(data!$A236,Haver_M!$B$1:$B$1000,0),MATCH(data!V$1,Haver_M!$B$1:$ZN$1,0)),"na")</f>
        <v>115.3788</v>
      </c>
      <c r="W236">
        <f>IF(ISNUMBER(INDEX(Haver_M!$B$1:$ZN$1000,MATCH(data!$A236,Haver_M!$B$1:$B$1000,0),MATCH(data!W$1,Haver_M!$B$1:$ZN$1,0))),INDEX(Haver_M!$B$1:$ZN$1000,MATCH(data!$A236,Haver_M!$B$1:$B$1000,0),MATCH(data!W$1,Haver_M!$B$1:$ZN$1,0)),"na")</f>
        <v>3.55</v>
      </c>
      <c r="X236">
        <f>IF(ISNUMBER(INDEX(Haver_M!$B$1:$ZN$1000,MATCH(data!$A236,Haver_M!$B$1:$B$1000,0),MATCH(data!X$1,Haver_M!$B$1:$ZN$1,0))),INDEX(Haver_M!$B$1:$ZN$1000,MATCH(data!$A236,Haver_M!$B$1:$B$1000,0),MATCH(data!X$1,Haver_M!$B$1:$ZN$1,0)),"na")</f>
        <v>107.51</v>
      </c>
      <c r="Y236">
        <f>IF(ISNUMBER(INDEX(Haver_M!$B$1:$ZN$1000,MATCH(data!$A236,Haver_M!$B$1:$B$1000,0),MATCH(data!Y$1,Haver_M!$B$1:$ZN$1,0))),INDEX(Haver_M!$B$1:$ZN$1000,MATCH(data!$A236,Haver_M!$B$1:$B$1000,0),MATCH(data!Y$1,Haver_M!$B$1:$ZN$1,0)),"na")</f>
        <v>100.44</v>
      </c>
      <c r="Z236">
        <f>IF(ISNUMBER(INDEX(Haver_M!$B$1:$ZN$1000,MATCH(data!$A236,Haver_M!$B$1:$B$1000,0),MATCH(data!Z$1,Haver_M!$B$1:$ZN$1,0))),INDEX(Haver_M!$B$1:$ZN$1000,MATCH(data!$A236,Haver_M!$B$1:$B$1000,0),MATCH(data!Z$1,Haver_M!$B$1:$ZN$1,0)),"na")</f>
        <v>115.62309999999999</v>
      </c>
      <c r="AA236">
        <f>IF(ISNUMBER(INDEX(Haver_M!$B$1:$ZN$1000,MATCH(data!$A236,Haver_M!$B$1:$B$1000,0),MATCH(data!AA$1,Haver_M!$B$1:$ZN$1,0))),INDEX(Haver_M!$B$1:$ZN$1000,MATCH(data!$A236,Haver_M!$B$1:$B$1000,0),MATCH(data!AA$1,Haver_M!$B$1:$ZN$1,0)),"na")</f>
        <v>107.2103</v>
      </c>
      <c r="AB236">
        <f>IF(ISNUMBER(INDEX(Haver_M!$B$1:$ZN$1000,MATCH(data!$A236,Haver_M!$B$1:$B$1000,0),MATCH(data!AB$1,Haver_M!$B$1:$ZN$1,0))),INDEX(Haver_M!$B$1:$ZN$1000,MATCH(data!$A236,Haver_M!$B$1:$B$1000,0),MATCH(data!AB$1,Haver_M!$B$1:$ZN$1,0)),"na")</f>
        <v>38547.5</v>
      </c>
      <c r="AC236">
        <f>IF(ISNUMBER(INDEX(Haver_M!$B$1:$ZN$1000,MATCH(data!$A236,Haver_M!$B$1:$B$1000,0),MATCH(data!AC$1,Haver_M!$B$1:$ZN$1,0))),INDEX(Haver_M!$B$1:$ZN$1000,MATCH(data!$A236,Haver_M!$B$1:$B$1000,0),MATCH(data!AC$1,Haver_M!$B$1:$ZN$1,0)),"na")</f>
        <v>38273.300000000003</v>
      </c>
      <c r="AD236">
        <f>IF(ISNUMBER(INDEX(Haver_M!$B$1:$ZN$1000,MATCH(data!$A236,Haver_M!$B$1:$B$1000,0),MATCH(data!AD$1,Haver_M!$B$1:$ZN$1,0))),INDEX(Haver_M!$B$1:$ZN$1000,MATCH(data!$A236,Haver_M!$B$1:$B$1000,0),MATCH(data!AD$1,Haver_M!$B$1:$ZN$1,0)),"na")</f>
        <v>99.83</v>
      </c>
      <c r="AE236">
        <f>IF(ISNUMBER(INDEX(Haver_M!$B$1:$ZN$1000,MATCH(data!$A236,Haver_M!$B$1:$B$1000,0),MATCH(data!AE$1,Haver_M!$B$1:$ZN$1,0))),INDEX(Haver_M!$B$1:$ZN$1000,MATCH(data!$A236,Haver_M!$B$1:$B$1000,0),MATCH(data!AE$1,Haver_M!$B$1:$ZN$1,0)),"na")</f>
        <v>43.2</v>
      </c>
      <c r="AF236">
        <f>IF(ISNUMBER(INDEX(Haver_M!$B$1:$ZN$1000,MATCH(data!$A236,Haver_M!$B$1:$B$1000,0),MATCH(data!AF$1,Haver_M!$B$1:$ZN$1,0))),INDEX(Haver_M!$B$1:$ZN$1000,MATCH(data!$A236,Haver_M!$B$1:$B$1000,0),MATCH(data!AF$1,Haver_M!$B$1:$ZN$1,0)),"na")</f>
        <v>101.09</v>
      </c>
      <c r="AG236">
        <f>IF(ISNUMBER(INDEX(Haver_M!$B$1:$ZN$1000,MATCH(data!$A236,Haver_M!$B$1:$B$1000,0),MATCH(data!AG$1,Haver_M!$B$1:$ZN$1,0))),INDEX(Haver_M!$B$1:$ZN$1000,MATCH(data!$A236,Haver_M!$B$1:$B$1000,0),MATCH(data!AG$1,Haver_M!$B$1:$ZN$1,0)),"na")</f>
        <v>49.759799999999998</v>
      </c>
      <c r="AH236">
        <f>IF(ISNUMBER(INDEX(Haver_M!$B$1:$ZN$1000,MATCH(data!$A236,Haver_M!$B$1:$B$1000,0),MATCH(data!AH$1,Haver_M!$B$1:$ZN$1,0))),INDEX(Haver_M!$B$1:$ZN$1000,MATCH(data!$A236,Haver_M!$B$1:$B$1000,0),MATCH(data!AH$1,Haver_M!$B$1:$ZN$1,0)),"na")</f>
        <v>49.585500000000003</v>
      </c>
      <c r="AI236">
        <f>IF(ISNUMBER(INDEX(Haver_M!$B$1:$ZN$1000,MATCH(data!$A236,Haver_M!$B$1:$B$1000,0),MATCH(data!AI$1,Haver_M!$B$1:$ZN$1,0))),INDEX(Haver_M!$B$1:$ZN$1000,MATCH(data!$A236,Haver_M!$B$1:$B$1000,0),MATCH(data!AI$1,Haver_M!$B$1:$ZN$1,0)),"na")</f>
        <v>49.576000000000001</v>
      </c>
      <c r="AJ236">
        <f>IF(ISNUMBER(INDEX(Haver_M!$B$1:$ZN$1000,MATCH(data!$A236,Haver_M!$B$1:$B$1000,0),MATCH(data!AJ$1,Haver_M!$B$1:$ZN$1,0))),INDEX(Haver_M!$B$1:$ZN$1000,MATCH(data!$A236,Haver_M!$B$1:$B$1000,0),MATCH(data!AJ$1,Haver_M!$B$1:$ZN$1,0)),"na")</f>
        <v>50.008000000000003</v>
      </c>
      <c r="AK236">
        <f>IF(ISNUMBER(INDEX(Haver_M!$B$1:$ZN$1000,MATCH(data!$A236,Haver_M!$B$1:$B$1000,0),MATCH(data!AK$1,Haver_M!$B$1:$ZN$1,0))),INDEX(Haver_M!$B$1:$ZN$1000,MATCH(data!$A236,Haver_M!$B$1:$B$1000,0),MATCH(data!AK$1,Haver_M!$B$1:$ZN$1,0)),"na")</f>
        <v>50.147300000000001</v>
      </c>
      <c r="AL236">
        <f>IF(ISNUMBER(INDEX(Haver_M!$B$1:$ZN$1000,MATCH(data!$A236,Haver_M!$B$1:$B$1000,0),MATCH(data!AL$1,Haver_M!$B$1:$ZN$1,0))),INDEX(Haver_M!$B$1:$ZN$1000,MATCH(data!$A236,Haver_M!$B$1:$B$1000,0),MATCH(data!AL$1,Haver_M!$B$1:$ZN$1,0)),"na")</f>
        <v>50.110500000000002</v>
      </c>
      <c r="AM236">
        <f>IF(ISNUMBER(INDEX(Haver_M!$B$1:$ZN$1000,MATCH(data!$A236,Haver_M!$B$1:$B$1000,0),MATCH(data!AM$1,Haver_M!$B$1:$ZN$1,0))),INDEX(Haver_M!$B$1:$ZN$1000,MATCH(data!$A236,Haver_M!$B$1:$B$1000,0),MATCH(data!AM$1,Haver_M!$B$1:$ZN$1,0)),"na")</f>
        <v>54.088299999999997</v>
      </c>
      <c r="AN236">
        <f>IF(ISNUMBER(INDEX(Haver_M!$B$1:$ZN$1000,MATCH(data!$A236,Haver_M!$B$1:$B$1000,0),MATCH(data!AN$1,Haver_M!$B$1:$ZN$1,0))),INDEX(Haver_M!$B$1:$ZN$1000,MATCH(data!$A236,Haver_M!$B$1:$B$1000,0),MATCH(data!AN$1,Haver_M!$B$1:$ZN$1,0)),"na")</f>
        <v>48.753300000000003</v>
      </c>
      <c r="AO236">
        <f>IF(ISNUMBER(INDEX(Haver_M!$B$1:$ZN$1000,MATCH(data!$A236,Haver_M!$B$1:$B$1000,0),MATCH(data!AO$1,Haver_M!$B$1:$ZN$1,0))),INDEX(Haver_M!$B$1:$ZN$1000,MATCH(data!$A236,Haver_M!$B$1:$B$1000,0),MATCH(data!AO$1,Haver_M!$B$1:$ZN$1,0)),"na")</f>
        <v>50.110500000000002</v>
      </c>
      <c r="AP236">
        <f>IF(ISNUMBER(INDEX(Haver_M!$B$1:$ZN$1000,MATCH(data!$A236,Haver_M!$B$1:$B$1000,0),MATCH(data!AP$1,Haver_M!$B$1:$ZN$1,0))),INDEX(Haver_M!$B$1:$ZN$1000,MATCH(data!$A236,Haver_M!$B$1:$B$1000,0),MATCH(data!AP$1,Haver_M!$B$1:$ZN$1,0)),"na")</f>
        <v>49.807499999999997</v>
      </c>
      <c r="AQ236">
        <f>IF(ISNUMBER(INDEX(Haver_M!$B$1:$ZN$1000,MATCH(data!$A236,Haver_M!$B$1:$B$1000,0),MATCH(data!AQ$1,Haver_M!$B$1:$ZN$1,0))),INDEX(Haver_M!$B$1:$ZN$1000,MATCH(data!$A236,Haver_M!$B$1:$B$1000,0),MATCH(data!AQ$1,Haver_M!$B$1:$ZN$1,0)),"na")</f>
        <v>51.794899999999998</v>
      </c>
      <c r="AR236">
        <f>IF(ISNUMBER(INDEX(Haver_M!$B$1:$ZN$1000,MATCH(data!$A236,Haver_M!$B$1:$B$1000,0),MATCH(data!AR$1,Haver_M!$B$1:$ZN$1,0))),INDEX(Haver_M!$B$1:$ZN$1000,MATCH(data!$A236,Haver_M!$B$1:$B$1000,0),MATCH(data!AR$1,Haver_M!$B$1:$ZN$1,0)),"na")</f>
        <v>49.7117</v>
      </c>
      <c r="AS236">
        <f>IF(ISNUMBER(INDEX(Haver_M!$B$1:$ZN$1000,MATCH(data!$A236,Haver_M!$B$1:$B$1000,0),MATCH(data!AS$1,Haver_M!$B$1:$ZN$1,0))),INDEX(Haver_M!$B$1:$ZN$1000,MATCH(data!$A236,Haver_M!$B$1:$B$1000,0),MATCH(data!AS$1,Haver_M!$B$1:$ZN$1,0)),"na")</f>
        <v>42261.59</v>
      </c>
      <c r="AT236">
        <f>IF(ISNUMBER(INDEX(Haver_M!$B$1:$ZN$1000,MATCH(data!$A236,Haver_M!$B$1:$B$1000,0),MATCH(data!AT$1,Haver_M!$B$1:$ZN$1,0))),INDEX(Haver_M!$B$1:$ZN$1000,MATCH(data!$A236,Haver_M!$B$1:$B$1000,0),MATCH(data!AT$1,Haver_M!$B$1:$ZN$1,0)),"na")</f>
        <v>117.413</v>
      </c>
      <c r="AU236">
        <f>IF(ISNUMBER(INDEX(Haver_M!$B$1:$ZN$1000,MATCH(data!$A236,Haver_M!$B$1:$B$1000,0),MATCH(data!AU$1,Haver_M!$B$1:$ZN$1,0))),INDEX(Haver_M!$B$1:$ZN$1000,MATCH(data!$A236,Haver_M!$B$1:$B$1000,0),MATCH(data!AU$1,Haver_M!$B$1:$ZN$1,0)),"na")</f>
        <v>112.790481</v>
      </c>
      <c r="AV236">
        <f>IF(ISNUMBER(INDEX(Haver_M!$B$1:$ZN$1000,MATCH(data!$A236,Haver_M!$B$1:$B$1000,0),MATCH(data!AV$1,Haver_M!$B$1:$ZN$1,0))),INDEX(Haver_M!$B$1:$ZN$1000,MATCH(data!$A236,Haver_M!$B$1:$B$1000,0),MATCH(data!AV$1,Haver_M!$B$1:$ZN$1,0)),"na")</f>
        <v>101.1</v>
      </c>
      <c r="AW236">
        <f>IF(ISNUMBER(INDEX(Haver_M!$B$1:$ZN$1000,MATCH(data!$A236,Haver_M!$B$1:$B$1000,0),MATCH(data!AW$1,Haver_M!$B$1:$ZN$1,0))),INDEX(Haver_M!$B$1:$ZN$1000,MATCH(data!$A236,Haver_M!$B$1:$B$1000,0),MATCH(data!AW$1,Haver_M!$B$1:$ZN$1,0)),"na")</f>
        <v>2007850.5058363429</v>
      </c>
      <c r="AX236">
        <f>IF(ISNUMBER(INDEX(Haver_M!$B$1:$ZN$1000,MATCH(data!$A236,Haver_M!$B$1:$B$1000,0),MATCH(data!AX$1,Haver_M!$B$1:$ZN$1,0))),INDEX(Haver_M!$B$1:$ZN$1000,MATCH(data!$A236,Haver_M!$B$1:$B$1000,0),MATCH(data!AX$1,Haver_M!$B$1:$ZN$1,0)),"na")</f>
        <v>1663</v>
      </c>
      <c r="AY236">
        <f>IF(ISNUMBER(INDEX(Haver_M!$B$1:$ZN$1000,MATCH(data!$A236,Haver_M!$B$1:$B$1000,0),MATCH(data!AY$1,Haver_M!$B$1:$ZN$1,0))),INDEX(Haver_M!$B$1:$ZN$1000,MATCH(data!$A236,Haver_M!$B$1:$B$1000,0),MATCH(data!AY$1,Haver_M!$B$1:$ZN$1,0)),"na")</f>
        <v>1079</v>
      </c>
      <c r="AZ236">
        <f>IF(ISNUMBER(INDEX(Haver_M!$B$1:$ZN$1000,MATCH(data!$A236,Haver_M!$B$1:$B$1000,0),MATCH(data!AZ$1,Haver_M!$B$1:$ZN$1,0))),INDEX(Haver_M!$B$1:$ZN$1000,MATCH(data!$A236,Haver_M!$B$1:$B$1000,0),MATCH(data!AZ$1,Haver_M!$B$1:$ZN$1,0)),"na")</f>
        <v>51.8</v>
      </c>
      <c r="BA236">
        <f>IF(ISNUMBER(INDEX(Haver_M!$B$1:$ZN$1000,MATCH(data!$A236,Haver_M!$B$1:$B$1000,0),MATCH(data!BA$1,Haver_M!$B$1:$ZN$1,0))),INDEX(Haver_M!$B$1:$ZN$1000,MATCH(data!$A236,Haver_M!$B$1:$B$1000,0),MATCH(data!BA$1,Haver_M!$B$1:$ZN$1,0)),"na")</f>
        <v>111.35142217393022</v>
      </c>
      <c r="BB236" t="str">
        <f>IF(ISNUMBER(INDEX(Haver_M!$B$1:$ZN$1000,MATCH(data!$A236,Haver_M!$B$1:$B$1000,0),MATCH(data!BB$1,Haver_M!$B$1:$ZN$1,0))),INDEX(Haver_M!$B$1:$ZN$1000,MATCH(data!$A236,Haver_M!$B$1:$B$1000,0),MATCH(data!BB$1,Haver_M!$B$1:$ZN$1,0)),"")</f>
        <v/>
      </c>
    </row>
    <row r="237" spans="1:54" x14ac:dyDescent="0.25">
      <c r="A237" s="2">
        <v>43708</v>
      </c>
      <c r="B237" t="str">
        <f>IF(ISNUMBER(INDEX(Haver_Q!$B$1:$BD$1000,MATCH(data!$A237,Haver_Q!$B$1:$B$1000,0),MATCH(data!B$1,Haver_Q!$B$1:$BD$1,0))),100*INDEX(Haver_Q!$B$1:$BD$1000,MATCH(data!$A237,Haver_Q!$B$1:$B$1000,0),MATCH(data!B$1,Haver_Q!$B$1:$BD$1,0)),"na")</f>
        <v>na</v>
      </c>
      <c r="C237" t="str">
        <f>IF(ISNUMBER(INDEX(Haver_Q!$B$1:$BD$1000,MATCH(data!$A237,Haver_Q!$B$1:$B$1000,0),MATCH(data!C$1,Haver_Q!$B$1:$BD$1,0))),100*INDEX(Haver_Q!$B$1:$BD$1000,MATCH(data!$A237,Haver_Q!$B$1:$B$1000,0),MATCH(data!C$1,Haver_Q!$B$1:$BD$1,0)),"na")</f>
        <v>na</v>
      </c>
      <c r="D237" t="str">
        <f>IF(ISNUMBER(INDEX(Haver_Q!$B$1:$BD$1000,MATCH(data!$A237,Haver_Q!$B$1:$B$1000,0),MATCH(data!D$1,Haver_Q!$B$1:$BD$1,0))),100*INDEX(Haver_Q!$B$1:$BD$1000,MATCH(data!$A237,Haver_Q!$B$1:$B$1000,0),MATCH(data!D$1,Haver_Q!$B$1:$BD$1,0)),"na")</f>
        <v>na</v>
      </c>
      <c r="E237" t="str">
        <f>IF(ISNUMBER(INDEX(Haver_Q!$B$1:$BD$1000,MATCH(data!$A237,Haver_Q!$B$1:$B$1000,0),MATCH(data!E$1,Haver_Q!$B$1:$BD$1,0))),100*INDEX(Haver_Q!$B$1:$BD$1000,MATCH(data!$A237,Haver_Q!$B$1:$B$1000,0),MATCH(data!E$1,Haver_Q!$B$1:$BD$1,0)),"na")</f>
        <v>na</v>
      </c>
      <c r="F237" t="str">
        <f>IF(ISNUMBER(INDEX(Haver_Q!$B$1:$BD$1000,MATCH(data!$A237,Haver_Q!$B$1:$B$1000,0),MATCH(data!F$1,Haver_Q!$B$1:$BD$1,0))),100*INDEX(Haver_Q!$B$1:$BD$1000,MATCH(data!$A237,Haver_Q!$B$1:$B$1000,0),MATCH(data!F$1,Haver_Q!$B$1:$BD$1,0)),"na")</f>
        <v>na</v>
      </c>
      <c r="G237" t="str">
        <f>IF(ISNUMBER(INDEX(Haver_Q!$B$1:$BD$1000,MATCH(data!$A237,Haver_Q!$B$1:$B$1000,0),MATCH(data!G$1,Haver_Q!$B$1:$BD$1,0))),100*INDEX(Haver_Q!$B$1:$BD$1000,MATCH(data!$A237,Haver_Q!$B$1:$B$1000,0),MATCH(data!G$1,Haver_Q!$B$1:$BD$1,0)),"na")</f>
        <v>na</v>
      </c>
      <c r="H237" t="str">
        <f>IF(ISNUMBER(INDEX(Haver_Q!$B$1:$BD$1000,MATCH(data!$A237,Haver_Q!$B$1:$B$1000,0),MATCH(data!H$1,Haver_Q!$B$1:$BD$1,0))),100*INDEX(Haver_Q!$B$1:$BD$1000,MATCH(data!$A237,Haver_Q!$B$1:$B$1000,0),MATCH(data!H$1,Haver_Q!$B$1:$BD$1,0)),"na")</f>
        <v>na</v>
      </c>
      <c r="I237" s="3">
        <f>IF(ISNUMBER(Bloomberg_m!C253),Bloomberg_m!C253,"na")</f>
        <v>1982</v>
      </c>
      <c r="J237" s="3">
        <f>IF(ISNUMBER(Bloomberg_m!D253),Bloomberg_m!D253,"na")</f>
        <v>1437.34</v>
      </c>
      <c r="K237" s="3">
        <f>IF(ISNUMBER(Bloomberg_m!E253),Bloomberg_m!E253,"na")</f>
        <v>810.22</v>
      </c>
      <c r="L237" s="3">
        <f>IF(ISNUMBER(Bloomberg_m!L253),Bloomberg_m!L253,"na")</f>
        <v>54.84</v>
      </c>
      <c r="M237">
        <f>IF(ISNUMBER(INDEX(Haver_M!$B$1:$ZN$1000,MATCH(data!$A237,Haver_M!$B$1:$B$1000,0),MATCH(data!M$1,Haver_M!$B$1:$ZN$1,0))),INDEX(Haver_M!$B$1:$ZN$1000,MATCH(data!$A237,Haver_M!$B$1:$B$1000,0),MATCH(data!M$1,Haver_M!$B$1:$ZN$1,0)),"na")</f>
        <v>8</v>
      </c>
      <c r="N237">
        <f>IF(ISNUMBER(INDEX(Haver_M!$B$1:$ZN$1000,MATCH(data!$A237,Haver_M!$B$1:$B$1000,0),MATCH(data!N$1,Haver_M!$B$1:$ZN$1,0))),INDEX(Haver_M!$B$1:$ZN$1000,MATCH(data!$A237,Haver_M!$B$1:$B$1000,0),MATCH(data!N$1,Haver_M!$B$1:$ZN$1,0)),"na")</f>
        <v>7.1409000000000002</v>
      </c>
      <c r="O237">
        <f>IF(ISNUMBER(INDEX(Haver_M!$B$1:$ZN$1000,MATCH(data!$A237,Haver_M!$B$1:$B$1000,0),MATCH(data!O$1,Haver_M!$B$1:$ZN$1,0))),INDEX(Haver_M!$B$1:$ZN$1000,MATCH(data!$A237,Haver_M!$B$1:$B$1000,0),MATCH(data!O$1,Haver_M!$B$1:$ZN$1,0)),"na")</f>
        <v>82.488650000000007</v>
      </c>
      <c r="P237">
        <f>IF(ISNUMBER(INDEX(Haver_M!$B$1:$ZN$1000,MATCH(data!$A237,Haver_M!$B$1:$B$1000,0),MATCH(data!P$1,Haver_M!$B$1:$ZN$1,0))),INDEX(Haver_M!$B$1:$ZN$1000,MATCH(data!$A237,Haver_M!$B$1:$B$1000,0),MATCH(data!P$1,Haver_M!$B$1:$ZN$1,0)),"na")</f>
        <v>104.2223</v>
      </c>
      <c r="Q237">
        <f>IF(ISNUMBER(INDEX(Haver_M!$B$1:$ZN$1000,MATCH(data!$A237,Haver_M!$B$1:$B$1000,0),MATCH(data!Q$1,Haver_M!$B$1:$ZN$1,0))),INDEX(Haver_M!$B$1:$ZN$1000,MATCH(data!$A237,Haver_M!$B$1:$B$1000,0),MATCH(data!Q$1,Haver_M!$B$1:$ZN$1,0)),"na")</f>
        <v>104.0947</v>
      </c>
      <c r="R237">
        <f>IF(ISNUMBER(INDEX(Haver_M!$B$1:$ZN$1000,MATCH(data!$A237,Haver_M!$B$1:$B$1000,0),MATCH(data!R$1,Haver_M!$B$1:$ZN$1,0))),INDEX(Haver_M!$B$1:$ZN$1000,MATCH(data!$A237,Haver_M!$B$1:$B$1000,0),MATCH(data!R$1,Haver_M!$B$1:$ZN$1,0)),"na")</f>
        <v>103.0493</v>
      </c>
      <c r="S237">
        <f>IF(ISNUMBER(INDEX(Haver_M!$B$1:$ZN$1000,MATCH(data!$A237,Haver_M!$B$1:$B$1000,0),MATCH(data!S$1,Haver_M!$B$1:$ZN$1,0))),INDEX(Haver_M!$B$1:$ZN$1000,MATCH(data!$A237,Haver_M!$B$1:$B$1000,0),MATCH(data!S$1,Haver_M!$B$1:$ZN$1,0)),"na")</f>
        <v>74.787400000000005</v>
      </c>
      <c r="T237">
        <f>IF(ISNUMBER(INDEX(Haver_M!$B$1:$ZN$1000,MATCH(data!$A237,Haver_M!$B$1:$B$1000,0),MATCH(data!T$1,Haver_M!$B$1:$ZN$1,0))),INDEX(Haver_M!$B$1:$ZN$1000,MATCH(data!$A237,Haver_M!$B$1:$B$1000,0),MATCH(data!T$1,Haver_M!$B$1:$ZN$1,0)),"na")</f>
        <v>123.0671</v>
      </c>
      <c r="U237">
        <f>IF(ISNUMBER(INDEX(Haver_M!$B$1:$ZN$1000,MATCH(data!$A237,Haver_M!$B$1:$B$1000,0),MATCH(data!U$1,Haver_M!$B$1:$ZN$1,0))),INDEX(Haver_M!$B$1:$ZN$1000,MATCH(data!$A237,Haver_M!$B$1:$B$1000,0),MATCH(data!U$1,Haver_M!$B$1:$ZN$1,0)),"na")</f>
        <v>101.4635</v>
      </c>
      <c r="V237">
        <f>IF(ISNUMBER(INDEX(Haver_M!$B$1:$ZN$1000,MATCH(data!$A237,Haver_M!$B$1:$B$1000,0),MATCH(data!V$1,Haver_M!$B$1:$ZN$1,0))),INDEX(Haver_M!$B$1:$ZN$1000,MATCH(data!$A237,Haver_M!$B$1:$B$1000,0),MATCH(data!V$1,Haver_M!$B$1:$ZN$1,0)),"na")</f>
        <v>114.7991</v>
      </c>
      <c r="W237">
        <f>IF(ISNUMBER(INDEX(Haver_M!$B$1:$ZN$1000,MATCH(data!$A237,Haver_M!$B$1:$B$1000,0),MATCH(data!W$1,Haver_M!$B$1:$ZN$1,0))),INDEX(Haver_M!$B$1:$ZN$1000,MATCH(data!$A237,Haver_M!$B$1:$B$1000,0),MATCH(data!W$1,Haver_M!$B$1:$ZN$1,0)),"na")</f>
        <v>3.55</v>
      </c>
      <c r="X237">
        <f>IF(ISNUMBER(INDEX(Haver_M!$B$1:$ZN$1000,MATCH(data!$A237,Haver_M!$B$1:$B$1000,0),MATCH(data!X$1,Haver_M!$B$1:$ZN$1,0))),INDEX(Haver_M!$B$1:$ZN$1000,MATCH(data!$A237,Haver_M!$B$1:$B$1000,0),MATCH(data!X$1,Haver_M!$B$1:$ZN$1,0)),"na")</f>
        <v>108.51</v>
      </c>
      <c r="Y237">
        <f>IF(ISNUMBER(INDEX(Haver_M!$B$1:$ZN$1000,MATCH(data!$A237,Haver_M!$B$1:$B$1000,0),MATCH(data!Y$1,Haver_M!$B$1:$ZN$1,0))),INDEX(Haver_M!$B$1:$ZN$1000,MATCH(data!$A237,Haver_M!$B$1:$B$1000,0),MATCH(data!Y$1,Haver_M!$B$1:$ZN$1,0)),"na")</f>
        <v>100.5</v>
      </c>
      <c r="Z237">
        <f>IF(ISNUMBER(INDEX(Haver_M!$B$1:$ZN$1000,MATCH(data!$A237,Haver_M!$B$1:$B$1000,0),MATCH(data!Z$1,Haver_M!$B$1:$ZN$1,0))),INDEX(Haver_M!$B$1:$ZN$1000,MATCH(data!$A237,Haver_M!$B$1:$B$1000,0),MATCH(data!Z$1,Haver_M!$B$1:$ZN$1,0)),"na")</f>
        <v>116.0121</v>
      </c>
      <c r="AA237">
        <f>IF(ISNUMBER(INDEX(Haver_M!$B$1:$ZN$1000,MATCH(data!$A237,Haver_M!$B$1:$B$1000,0),MATCH(data!AA$1,Haver_M!$B$1:$ZN$1,0))),INDEX(Haver_M!$B$1:$ZN$1000,MATCH(data!$A237,Haver_M!$B$1:$B$1000,0),MATCH(data!AA$1,Haver_M!$B$1:$ZN$1,0)),"na")</f>
        <v>107.02460000000001</v>
      </c>
      <c r="AB237">
        <f>IF(ISNUMBER(INDEX(Haver_M!$B$1:$ZN$1000,MATCH(data!$A237,Haver_M!$B$1:$B$1000,0),MATCH(data!AB$1,Haver_M!$B$1:$ZN$1,0))),INDEX(Haver_M!$B$1:$ZN$1000,MATCH(data!$A237,Haver_M!$B$1:$B$1000,0),MATCH(data!AB$1,Haver_M!$B$1:$ZN$1,0)),"na")</f>
        <v>39421.699999999997</v>
      </c>
      <c r="AC237">
        <f>IF(ISNUMBER(INDEX(Haver_M!$B$1:$ZN$1000,MATCH(data!$A237,Haver_M!$B$1:$B$1000,0),MATCH(data!AC$1,Haver_M!$B$1:$ZN$1,0))),INDEX(Haver_M!$B$1:$ZN$1000,MATCH(data!$A237,Haver_M!$B$1:$B$1000,0),MATCH(data!AC$1,Haver_M!$B$1:$ZN$1,0)),"na")</f>
        <v>38152</v>
      </c>
      <c r="AD237">
        <f>IF(ISNUMBER(INDEX(Haver_M!$B$1:$ZN$1000,MATCH(data!$A237,Haver_M!$B$1:$B$1000,0),MATCH(data!AD$1,Haver_M!$B$1:$ZN$1,0))),INDEX(Haver_M!$B$1:$ZN$1000,MATCH(data!$A237,Haver_M!$B$1:$B$1000,0),MATCH(data!AD$1,Haver_M!$B$1:$ZN$1,0)),"na")</f>
        <v>99.76</v>
      </c>
      <c r="AE237">
        <f>IF(ISNUMBER(INDEX(Haver_M!$B$1:$ZN$1000,MATCH(data!$A237,Haver_M!$B$1:$B$1000,0),MATCH(data!AE$1,Haver_M!$B$1:$ZN$1,0))),INDEX(Haver_M!$B$1:$ZN$1000,MATCH(data!$A237,Haver_M!$B$1:$B$1000,0),MATCH(data!AE$1,Haver_M!$B$1:$ZN$1,0)),"na")</f>
        <v>43.7</v>
      </c>
      <c r="AF237">
        <f>IF(ISNUMBER(INDEX(Haver_M!$B$1:$ZN$1000,MATCH(data!$A237,Haver_M!$B$1:$B$1000,0),MATCH(data!AF$1,Haver_M!$B$1:$ZN$1,0))),INDEX(Haver_M!$B$1:$ZN$1000,MATCH(data!$A237,Haver_M!$B$1:$B$1000,0),MATCH(data!AF$1,Haver_M!$B$1:$ZN$1,0)),"na")</f>
        <v>100.98</v>
      </c>
      <c r="AG237">
        <f>IF(ISNUMBER(INDEX(Haver_M!$B$1:$ZN$1000,MATCH(data!$A237,Haver_M!$B$1:$B$1000,0),MATCH(data!AG$1,Haver_M!$B$1:$ZN$1,0))),INDEX(Haver_M!$B$1:$ZN$1000,MATCH(data!$A237,Haver_M!$B$1:$B$1000,0),MATCH(data!AG$1,Haver_M!$B$1:$ZN$1,0)),"na")</f>
        <v>49.019500000000001</v>
      </c>
      <c r="AH237">
        <f>IF(ISNUMBER(INDEX(Haver_M!$B$1:$ZN$1000,MATCH(data!$A237,Haver_M!$B$1:$B$1000,0),MATCH(data!AH$1,Haver_M!$B$1:$ZN$1,0))),INDEX(Haver_M!$B$1:$ZN$1000,MATCH(data!$A237,Haver_M!$B$1:$B$1000,0),MATCH(data!AH$1,Haver_M!$B$1:$ZN$1,0)),"na")</f>
        <v>48.625799999999998</v>
      </c>
      <c r="AI237">
        <f>IF(ISNUMBER(INDEX(Haver_M!$B$1:$ZN$1000,MATCH(data!$A237,Haver_M!$B$1:$B$1000,0),MATCH(data!AI$1,Haver_M!$B$1:$ZN$1,0))),INDEX(Haver_M!$B$1:$ZN$1000,MATCH(data!$A237,Haver_M!$B$1:$B$1000,0),MATCH(data!AI$1,Haver_M!$B$1:$ZN$1,0)),"na")</f>
        <v>48.419400000000003</v>
      </c>
      <c r="AJ237">
        <f>IF(ISNUMBER(INDEX(Haver_M!$B$1:$ZN$1000,MATCH(data!$A237,Haver_M!$B$1:$B$1000,0),MATCH(data!AJ$1,Haver_M!$B$1:$ZN$1,0))),INDEX(Haver_M!$B$1:$ZN$1000,MATCH(data!$A237,Haver_M!$B$1:$B$1000,0),MATCH(data!AJ$1,Haver_M!$B$1:$ZN$1,0)),"na")</f>
        <v>49.718499999999999</v>
      </c>
      <c r="AK237">
        <f>IF(ISNUMBER(INDEX(Haver_M!$B$1:$ZN$1000,MATCH(data!$A237,Haver_M!$B$1:$B$1000,0),MATCH(data!AK$1,Haver_M!$B$1:$ZN$1,0))),INDEX(Haver_M!$B$1:$ZN$1000,MATCH(data!$A237,Haver_M!$B$1:$B$1000,0),MATCH(data!AK$1,Haver_M!$B$1:$ZN$1,0)),"na")</f>
        <v>49.883699999999997</v>
      </c>
      <c r="AL237">
        <f>IF(ISNUMBER(INDEX(Haver_M!$B$1:$ZN$1000,MATCH(data!$A237,Haver_M!$B$1:$B$1000,0),MATCH(data!AL$1,Haver_M!$B$1:$ZN$1,0))),INDEX(Haver_M!$B$1:$ZN$1000,MATCH(data!$A237,Haver_M!$B$1:$B$1000,0),MATCH(data!AL$1,Haver_M!$B$1:$ZN$1,0)),"na")</f>
        <v>48.761099999999999</v>
      </c>
      <c r="AM237">
        <f>IF(ISNUMBER(INDEX(Haver_M!$B$1:$ZN$1000,MATCH(data!$A237,Haver_M!$B$1:$B$1000,0),MATCH(data!AM$1,Haver_M!$B$1:$ZN$1,0))),INDEX(Haver_M!$B$1:$ZN$1000,MATCH(data!$A237,Haver_M!$B$1:$B$1000,0),MATCH(data!AM$1,Haver_M!$B$1:$ZN$1,0)),"na")</f>
        <v>55.3855</v>
      </c>
      <c r="AN237">
        <f>IF(ISNUMBER(INDEX(Haver_M!$B$1:$ZN$1000,MATCH(data!$A237,Haver_M!$B$1:$B$1000,0),MATCH(data!AN$1,Haver_M!$B$1:$ZN$1,0))),INDEX(Haver_M!$B$1:$ZN$1000,MATCH(data!$A237,Haver_M!$B$1:$B$1000,0),MATCH(data!AN$1,Haver_M!$B$1:$ZN$1,0)),"na")</f>
        <v>48.281500000000001</v>
      </c>
      <c r="AO237">
        <f>IF(ISNUMBER(INDEX(Haver_M!$B$1:$ZN$1000,MATCH(data!$A237,Haver_M!$B$1:$B$1000,0),MATCH(data!AO$1,Haver_M!$B$1:$ZN$1,0))),INDEX(Haver_M!$B$1:$ZN$1000,MATCH(data!$A237,Haver_M!$B$1:$B$1000,0),MATCH(data!AO$1,Haver_M!$B$1:$ZN$1,0)),"na")</f>
        <v>48.761099999999999</v>
      </c>
      <c r="AP237">
        <f>IF(ISNUMBER(INDEX(Haver_M!$B$1:$ZN$1000,MATCH(data!$A237,Haver_M!$B$1:$B$1000,0),MATCH(data!AP$1,Haver_M!$B$1:$ZN$1,0))),INDEX(Haver_M!$B$1:$ZN$1000,MATCH(data!$A237,Haver_M!$B$1:$B$1000,0),MATCH(data!AP$1,Haver_M!$B$1:$ZN$1,0)),"na")</f>
        <v>50.470399999999998</v>
      </c>
      <c r="AQ237">
        <f>IF(ISNUMBER(INDEX(Haver_M!$B$1:$ZN$1000,MATCH(data!$A237,Haver_M!$B$1:$B$1000,0),MATCH(data!AQ$1,Haver_M!$B$1:$ZN$1,0))),INDEX(Haver_M!$B$1:$ZN$1000,MATCH(data!$A237,Haver_M!$B$1:$B$1000,0),MATCH(data!AQ$1,Haver_M!$B$1:$ZN$1,0)),"na")</f>
        <v>50.888399999999997</v>
      </c>
      <c r="AR237">
        <f>IF(ISNUMBER(INDEX(Haver_M!$B$1:$ZN$1000,MATCH(data!$A237,Haver_M!$B$1:$B$1000,0),MATCH(data!AR$1,Haver_M!$B$1:$ZN$1,0))),INDEX(Haver_M!$B$1:$ZN$1000,MATCH(data!$A237,Haver_M!$B$1:$B$1000,0),MATCH(data!AR$1,Haver_M!$B$1:$ZN$1,0)),"na")</f>
        <v>49.2258</v>
      </c>
      <c r="AS237">
        <f>IF(ISNUMBER(INDEX(Haver_M!$B$1:$ZN$1000,MATCH(data!$A237,Haver_M!$B$1:$B$1000,0),MATCH(data!AS$1,Haver_M!$B$1:$ZN$1,0))),INDEX(Haver_M!$B$1:$ZN$1000,MATCH(data!$A237,Haver_M!$B$1:$B$1000,0),MATCH(data!AS$1,Haver_M!$B$1:$ZN$1,0)),"na")</f>
        <v>40102.81</v>
      </c>
      <c r="AT237">
        <f>IF(ISNUMBER(INDEX(Haver_M!$B$1:$ZN$1000,MATCH(data!$A237,Haver_M!$B$1:$B$1000,0),MATCH(data!AT$1,Haver_M!$B$1:$ZN$1,0))),INDEX(Haver_M!$B$1:$ZN$1000,MATCH(data!$A237,Haver_M!$B$1:$B$1000,0),MATCH(data!AT$1,Haver_M!$B$1:$ZN$1,0)),"na")</f>
        <v>117.134</v>
      </c>
      <c r="AU237">
        <f>IF(ISNUMBER(INDEX(Haver_M!$B$1:$ZN$1000,MATCH(data!$A237,Haver_M!$B$1:$B$1000,0),MATCH(data!AU$1,Haver_M!$B$1:$ZN$1,0))),INDEX(Haver_M!$B$1:$ZN$1000,MATCH(data!$A237,Haver_M!$B$1:$B$1000,0),MATCH(data!AU$1,Haver_M!$B$1:$ZN$1,0)),"na")</f>
        <v>112.744919</v>
      </c>
      <c r="AV237">
        <f>IF(ISNUMBER(INDEX(Haver_M!$B$1:$ZN$1000,MATCH(data!$A237,Haver_M!$B$1:$B$1000,0),MATCH(data!AV$1,Haver_M!$B$1:$ZN$1,0))),INDEX(Haver_M!$B$1:$ZN$1000,MATCH(data!$A237,Haver_M!$B$1:$B$1000,0),MATCH(data!AV$1,Haver_M!$B$1:$ZN$1,0)),"na")</f>
        <v>102.2</v>
      </c>
      <c r="AW237">
        <f>IF(ISNUMBER(INDEX(Haver_M!$B$1:$ZN$1000,MATCH(data!$A237,Haver_M!$B$1:$B$1000,0),MATCH(data!AW$1,Haver_M!$B$1:$ZN$1,0))),INDEX(Haver_M!$B$1:$ZN$1000,MATCH(data!$A237,Haver_M!$B$1:$B$1000,0),MATCH(data!AW$1,Haver_M!$B$1:$ZN$1,0)),"na")</f>
        <v>2120132.7996496344</v>
      </c>
      <c r="AX237">
        <f>IF(ISNUMBER(INDEX(Haver_M!$B$1:$ZN$1000,MATCH(data!$A237,Haver_M!$B$1:$B$1000,0),MATCH(data!AX$1,Haver_M!$B$1:$ZN$1,0))),INDEX(Haver_M!$B$1:$ZN$1000,MATCH(data!$A237,Haver_M!$B$1:$B$1000,0),MATCH(data!AX$1,Haver_M!$B$1:$ZN$1,0)),"na")</f>
        <v>1679</v>
      </c>
      <c r="AY237">
        <f>IF(ISNUMBER(INDEX(Haver_M!$B$1:$ZN$1000,MATCH(data!$A237,Haver_M!$B$1:$B$1000,0),MATCH(data!AY$1,Haver_M!$B$1:$ZN$1,0))),INDEX(Haver_M!$B$1:$ZN$1000,MATCH(data!$A237,Haver_M!$B$1:$B$1000,0),MATCH(data!AY$1,Haver_M!$B$1:$ZN$1,0)),"na")</f>
        <v>1081</v>
      </c>
      <c r="AZ237">
        <f>IF(ISNUMBER(INDEX(Haver_M!$B$1:$ZN$1000,MATCH(data!$A237,Haver_M!$B$1:$B$1000,0),MATCH(data!AZ$1,Haver_M!$B$1:$ZN$1,0))),INDEX(Haver_M!$B$1:$ZN$1000,MATCH(data!$A237,Haver_M!$B$1:$B$1000,0),MATCH(data!AZ$1,Haver_M!$B$1:$ZN$1,0)),"na")</f>
        <v>48.1</v>
      </c>
      <c r="BA237">
        <f>IF(ISNUMBER(INDEX(Haver_M!$B$1:$ZN$1000,MATCH(data!$A237,Haver_M!$B$1:$B$1000,0),MATCH(data!BA$1,Haver_M!$B$1:$ZN$1,0))),INDEX(Haver_M!$B$1:$ZN$1000,MATCH(data!$A237,Haver_M!$B$1:$B$1000,0),MATCH(data!BA$1,Haver_M!$B$1:$ZN$1,0)),"na")</f>
        <v>88.947993719710496</v>
      </c>
      <c r="BB237" t="str">
        <f>IF(ISNUMBER(INDEX(Haver_M!$B$1:$ZN$1000,MATCH(data!$A237,Haver_M!$B$1:$B$1000,0),MATCH(data!BB$1,Haver_M!$B$1:$ZN$1,0))),INDEX(Haver_M!$B$1:$ZN$1000,MATCH(data!$A237,Haver_M!$B$1:$B$1000,0),MATCH(data!BB$1,Haver_M!$B$1:$ZN$1,0)),"")</f>
        <v/>
      </c>
    </row>
    <row r="238" spans="1:54" ht="16.5" customHeight="1" x14ac:dyDescent="0.25">
      <c r="A238" s="2">
        <v>43738</v>
      </c>
      <c r="B238">
        <f>IF(ISNUMBER(INDEX(Haver_Q!$B$1:$BD$1000,MATCH(data!$A238,Haver_Q!$B$1:$B$1000,0),MATCH(data!B$1,Haver_Q!$B$1:$BD$1,0))),100*INDEX(Haver_Q!$B$1:$BD$1000,MATCH(data!$A238,Haver_Q!$B$1:$B$1000,0),MATCH(data!B$1,Haver_Q!$B$1:$BD$1,0)),"na")</f>
        <v>-0.86871766607550249</v>
      </c>
      <c r="C238">
        <f>IF(ISNUMBER(INDEX(Haver_Q!$B$1:$BD$1000,MATCH(data!$A238,Haver_Q!$B$1:$B$1000,0),MATCH(data!C$1,Haver_Q!$B$1:$BD$1,0))),100*INDEX(Haver_Q!$B$1:$BD$1000,MATCH(data!$A238,Haver_Q!$B$1:$B$1000,0),MATCH(data!C$1,Haver_Q!$B$1:$BD$1,0)),"na")</f>
        <v>-0.93497732997444016</v>
      </c>
      <c r="D238">
        <f>IF(ISNUMBER(INDEX(Haver_Q!$B$1:$BD$1000,MATCH(data!$A238,Haver_Q!$B$1:$B$1000,0),MATCH(data!D$1,Haver_Q!$B$1:$BD$1,0))),100*INDEX(Haver_Q!$B$1:$BD$1000,MATCH(data!$A238,Haver_Q!$B$1:$B$1000,0),MATCH(data!D$1,Haver_Q!$B$1:$BD$1,0)),"na")</f>
        <v>0.79732118915765149</v>
      </c>
      <c r="E238">
        <f>IF(ISNUMBER(INDEX(Haver_Q!$B$1:$BD$1000,MATCH(data!$A238,Haver_Q!$B$1:$B$1000,0),MATCH(data!E$1,Haver_Q!$B$1:$BD$1,0))),100*INDEX(Haver_Q!$B$1:$BD$1000,MATCH(data!$A238,Haver_Q!$B$1:$B$1000,0),MATCH(data!E$1,Haver_Q!$B$1:$BD$1,0)),"na")</f>
        <v>-9.1935698850378103</v>
      </c>
      <c r="F238">
        <f>IF(ISNUMBER(INDEX(Haver_Q!$B$1:$BD$1000,MATCH(data!$A238,Haver_Q!$B$1:$B$1000,0),MATCH(data!F$1,Haver_Q!$B$1:$BD$1,0))),100*INDEX(Haver_Q!$B$1:$BD$1000,MATCH(data!$A238,Haver_Q!$B$1:$B$1000,0),MATCH(data!F$1,Haver_Q!$B$1:$BD$1,0)),"na")</f>
        <v>-0.4792295148151493</v>
      </c>
      <c r="G238">
        <f>IF(ISNUMBER(INDEX(Haver_Q!$B$1:$BD$1000,MATCH(data!$A238,Haver_Q!$B$1:$B$1000,0),MATCH(data!G$1,Haver_Q!$B$1:$BD$1,0))),100*INDEX(Haver_Q!$B$1:$BD$1000,MATCH(data!$A238,Haver_Q!$B$1:$B$1000,0),MATCH(data!G$1,Haver_Q!$B$1:$BD$1,0)),"na")</f>
        <v>0.64071416084652277</v>
      </c>
      <c r="H238">
        <f>IF(ISNUMBER(INDEX(Haver_Q!$B$1:$BD$1000,MATCH(data!$A238,Haver_Q!$B$1:$B$1000,0),MATCH(data!H$1,Haver_Q!$B$1:$BD$1,0))),100*INDEX(Haver_Q!$B$1:$BD$1000,MATCH(data!$A238,Haver_Q!$B$1:$B$1000,0),MATCH(data!H$1,Haver_Q!$B$1:$BD$1,0)),"na")</f>
        <v>300.27110527812482</v>
      </c>
      <c r="I238" s="3">
        <f>IF(ISNUMBER(Bloomberg_m!C254),Bloomberg_m!C254,"na")</f>
        <v>2255</v>
      </c>
      <c r="J238" s="3">
        <f>IF(ISNUMBER(Bloomberg_m!D254),Bloomberg_m!D254,"na")</f>
        <v>1347.06</v>
      </c>
      <c r="K238" s="3">
        <f>IF(ISNUMBER(Bloomberg_m!E254),Bloomberg_m!E254,"na")</f>
        <v>754.46</v>
      </c>
      <c r="L238" s="3">
        <f>IF(ISNUMBER(Bloomberg_m!L254),Bloomberg_m!L254,"na")</f>
        <v>56.95</v>
      </c>
      <c r="M238">
        <f>IF(ISNUMBER(INDEX(Haver_M!$B$1:$ZN$1000,MATCH(data!$A238,Haver_M!$B$1:$B$1000,0),MATCH(data!M$1,Haver_M!$B$1:$ZN$1,0))),INDEX(Haver_M!$B$1:$ZN$1000,MATCH(data!$A238,Haver_M!$B$1:$B$1000,0),MATCH(data!M$1,Haver_M!$B$1:$ZN$1,0)),"na")</f>
        <v>7.75</v>
      </c>
      <c r="N238">
        <f>IF(ISNUMBER(INDEX(Haver_M!$B$1:$ZN$1000,MATCH(data!$A238,Haver_M!$B$1:$B$1000,0),MATCH(data!N$1,Haver_M!$B$1:$ZN$1,0))),INDEX(Haver_M!$B$1:$ZN$1000,MATCH(data!$A238,Haver_M!$B$1:$B$1000,0),MATCH(data!N$1,Haver_M!$B$1:$ZN$1,0)),"na")</f>
        <v>7.0050999999999997</v>
      </c>
      <c r="O238">
        <f>IF(ISNUMBER(INDEX(Haver_M!$B$1:$ZN$1000,MATCH(data!$A238,Haver_M!$B$1:$B$1000,0),MATCH(data!O$1,Haver_M!$B$1:$ZN$1,0))),INDEX(Haver_M!$B$1:$ZN$1000,MATCH(data!$A238,Haver_M!$B$1:$B$1000,0),MATCH(data!O$1,Haver_M!$B$1:$ZN$1,0)),"na")</f>
        <v>83.281750000000002</v>
      </c>
      <c r="P238">
        <f>IF(ISNUMBER(INDEX(Haver_M!$B$1:$ZN$1000,MATCH(data!$A238,Haver_M!$B$1:$B$1000,0),MATCH(data!P$1,Haver_M!$B$1:$ZN$1,0))),INDEX(Haver_M!$B$1:$ZN$1000,MATCH(data!$A238,Haver_M!$B$1:$B$1000,0),MATCH(data!P$1,Haver_M!$B$1:$ZN$1,0)),"na")</f>
        <v>104.45910000000001</v>
      </c>
      <c r="Q238">
        <f>IF(ISNUMBER(INDEX(Haver_M!$B$1:$ZN$1000,MATCH(data!$A238,Haver_M!$B$1:$B$1000,0),MATCH(data!Q$1,Haver_M!$B$1:$ZN$1,0))),INDEX(Haver_M!$B$1:$ZN$1000,MATCH(data!$A238,Haver_M!$B$1:$B$1000,0),MATCH(data!Q$1,Haver_M!$B$1:$ZN$1,0)),"na")</f>
        <v>104.39279999999999</v>
      </c>
      <c r="R238">
        <f>IF(ISNUMBER(INDEX(Haver_M!$B$1:$ZN$1000,MATCH(data!$A238,Haver_M!$B$1:$B$1000,0),MATCH(data!R$1,Haver_M!$B$1:$ZN$1,0))),INDEX(Haver_M!$B$1:$ZN$1000,MATCH(data!$A238,Haver_M!$B$1:$B$1000,0),MATCH(data!R$1,Haver_M!$B$1:$ZN$1,0)),"na")</f>
        <v>102.5008</v>
      </c>
      <c r="S238">
        <f>IF(ISNUMBER(INDEX(Haver_M!$B$1:$ZN$1000,MATCH(data!$A238,Haver_M!$B$1:$B$1000,0),MATCH(data!S$1,Haver_M!$B$1:$ZN$1,0))),INDEX(Haver_M!$B$1:$ZN$1000,MATCH(data!$A238,Haver_M!$B$1:$B$1000,0),MATCH(data!S$1,Haver_M!$B$1:$ZN$1,0)),"na")</f>
        <v>74.706999999999994</v>
      </c>
      <c r="T238">
        <f>IF(ISNUMBER(INDEX(Haver_M!$B$1:$ZN$1000,MATCH(data!$A238,Haver_M!$B$1:$B$1000,0),MATCH(data!T$1,Haver_M!$B$1:$ZN$1,0))),INDEX(Haver_M!$B$1:$ZN$1000,MATCH(data!$A238,Haver_M!$B$1:$B$1000,0),MATCH(data!T$1,Haver_M!$B$1:$ZN$1,0)),"na")</f>
        <v>122.87050000000001</v>
      </c>
      <c r="U238">
        <f>IF(ISNUMBER(INDEX(Haver_M!$B$1:$ZN$1000,MATCH(data!$A238,Haver_M!$B$1:$B$1000,0),MATCH(data!U$1,Haver_M!$B$1:$ZN$1,0))),INDEX(Haver_M!$B$1:$ZN$1000,MATCH(data!$A238,Haver_M!$B$1:$B$1000,0),MATCH(data!U$1,Haver_M!$B$1:$ZN$1,0)),"na")</f>
        <v>98.370599999999996</v>
      </c>
      <c r="V238">
        <f>IF(ISNUMBER(INDEX(Haver_M!$B$1:$ZN$1000,MATCH(data!$A238,Haver_M!$B$1:$B$1000,0),MATCH(data!V$1,Haver_M!$B$1:$ZN$1,0))),INDEX(Haver_M!$B$1:$ZN$1000,MATCH(data!$A238,Haver_M!$B$1:$B$1000,0),MATCH(data!V$1,Haver_M!$B$1:$ZN$1,0)),"na")</f>
        <v>115.5676</v>
      </c>
      <c r="W238">
        <f>IF(ISNUMBER(INDEX(Haver_M!$B$1:$ZN$1000,MATCH(data!$A238,Haver_M!$B$1:$B$1000,0),MATCH(data!W$1,Haver_M!$B$1:$ZN$1,0))),INDEX(Haver_M!$B$1:$ZN$1000,MATCH(data!$A238,Haver_M!$B$1:$B$1000,0),MATCH(data!W$1,Haver_M!$B$1:$ZN$1,0)),"na")</f>
        <v>3.52</v>
      </c>
      <c r="X238">
        <f>IF(ISNUMBER(INDEX(Haver_M!$B$1:$ZN$1000,MATCH(data!$A238,Haver_M!$B$1:$B$1000,0),MATCH(data!X$1,Haver_M!$B$1:$ZN$1,0))),INDEX(Haver_M!$B$1:$ZN$1000,MATCH(data!$A238,Haver_M!$B$1:$B$1000,0),MATCH(data!X$1,Haver_M!$B$1:$ZN$1,0)),"na")</f>
        <v>108.38</v>
      </c>
      <c r="Y238">
        <f>IF(ISNUMBER(INDEX(Haver_M!$B$1:$ZN$1000,MATCH(data!$A238,Haver_M!$B$1:$B$1000,0),MATCH(data!Y$1,Haver_M!$B$1:$ZN$1,0))),INDEX(Haver_M!$B$1:$ZN$1000,MATCH(data!$A238,Haver_M!$B$1:$B$1000,0),MATCH(data!Y$1,Haver_M!$B$1:$ZN$1,0)),"na")</f>
        <v>100.56</v>
      </c>
      <c r="Z238">
        <f>IF(ISNUMBER(INDEX(Haver_M!$B$1:$ZN$1000,MATCH(data!$A238,Haver_M!$B$1:$B$1000,0),MATCH(data!Z$1,Haver_M!$B$1:$ZN$1,0))),INDEX(Haver_M!$B$1:$ZN$1000,MATCH(data!$A238,Haver_M!$B$1:$B$1000,0),MATCH(data!Z$1,Haver_M!$B$1:$ZN$1,0)),"na")</f>
        <v>117.08759999999999</v>
      </c>
      <c r="AA238">
        <f>IF(ISNUMBER(INDEX(Haver_M!$B$1:$ZN$1000,MATCH(data!$A238,Haver_M!$B$1:$B$1000,0),MATCH(data!AA$1,Haver_M!$B$1:$ZN$1,0))),INDEX(Haver_M!$B$1:$ZN$1000,MATCH(data!$A238,Haver_M!$B$1:$B$1000,0),MATCH(data!AA$1,Haver_M!$B$1:$ZN$1,0)),"na")</f>
        <v>106.6434</v>
      </c>
      <c r="AB238">
        <f>IF(ISNUMBER(INDEX(Haver_M!$B$1:$ZN$1000,MATCH(data!$A238,Haver_M!$B$1:$B$1000,0),MATCH(data!AB$1,Haver_M!$B$1:$ZN$1,0))),INDEX(Haver_M!$B$1:$ZN$1000,MATCH(data!$A238,Haver_M!$B$1:$B$1000,0),MATCH(data!AB$1,Haver_M!$B$1:$ZN$1,0)),"na")</f>
        <v>37879.300000000003</v>
      </c>
      <c r="AC238">
        <f>IF(ISNUMBER(INDEX(Haver_M!$B$1:$ZN$1000,MATCH(data!$A238,Haver_M!$B$1:$B$1000,0),MATCH(data!AC$1,Haver_M!$B$1:$ZN$1,0))),INDEX(Haver_M!$B$1:$ZN$1000,MATCH(data!$A238,Haver_M!$B$1:$B$1000,0),MATCH(data!AC$1,Haver_M!$B$1:$ZN$1,0)),"na")</f>
        <v>37418.800000000003</v>
      </c>
      <c r="AD238">
        <f>IF(ISNUMBER(INDEX(Haver_M!$B$1:$ZN$1000,MATCH(data!$A238,Haver_M!$B$1:$B$1000,0),MATCH(data!AD$1,Haver_M!$B$1:$ZN$1,0))),INDEX(Haver_M!$B$1:$ZN$1000,MATCH(data!$A238,Haver_M!$B$1:$B$1000,0),MATCH(data!AD$1,Haver_M!$B$1:$ZN$1,0)),"na")</f>
        <v>99.66</v>
      </c>
      <c r="AE238">
        <f>IF(ISNUMBER(INDEX(Haver_M!$B$1:$ZN$1000,MATCH(data!$A238,Haver_M!$B$1:$B$1000,0),MATCH(data!AE$1,Haver_M!$B$1:$ZN$1,0))),INDEX(Haver_M!$B$1:$ZN$1000,MATCH(data!$A238,Haver_M!$B$1:$B$1000,0),MATCH(data!AE$1,Haver_M!$B$1:$ZN$1,0)),"na")</f>
        <v>45.4</v>
      </c>
      <c r="AF238">
        <f>IF(ISNUMBER(INDEX(Haver_M!$B$1:$ZN$1000,MATCH(data!$A238,Haver_M!$B$1:$B$1000,0),MATCH(data!AF$1,Haver_M!$B$1:$ZN$1,0))),INDEX(Haver_M!$B$1:$ZN$1000,MATCH(data!$A238,Haver_M!$B$1:$B$1000,0),MATCH(data!AF$1,Haver_M!$B$1:$ZN$1,0)),"na")</f>
        <v>100.89</v>
      </c>
      <c r="AG238">
        <f>IF(ISNUMBER(INDEX(Haver_M!$B$1:$ZN$1000,MATCH(data!$A238,Haver_M!$B$1:$B$1000,0),MATCH(data!AG$1,Haver_M!$B$1:$ZN$1,0))),INDEX(Haver_M!$B$1:$ZN$1000,MATCH(data!$A238,Haver_M!$B$1:$B$1000,0),MATCH(data!AG$1,Haver_M!$B$1:$ZN$1,0)),"na")</f>
        <v>49.077300000000001</v>
      </c>
      <c r="AH238">
        <f>IF(ISNUMBER(INDEX(Haver_M!$B$1:$ZN$1000,MATCH(data!$A238,Haver_M!$B$1:$B$1000,0),MATCH(data!AH$1,Haver_M!$B$1:$ZN$1,0))),INDEX(Haver_M!$B$1:$ZN$1000,MATCH(data!$A238,Haver_M!$B$1:$B$1000,0),MATCH(data!AH$1,Haver_M!$B$1:$ZN$1,0)),"na")</f>
        <v>47.690600000000003</v>
      </c>
      <c r="AI238">
        <f>IF(ISNUMBER(INDEX(Haver_M!$B$1:$ZN$1000,MATCH(data!$A238,Haver_M!$B$1:$B$1000,0),MATCH(data!AI$1,Haver_M!$B$1:$ZN$1,0))),INDEX(Haver_M!$B$1:$ZN$1000,MATCH(data!$A238,Haver_M!$B$1:$B$1000,0),MATCH(data!AI$1,Haver_M!$B$1:$ZN$1,0)),"na")</f>
        <v>50.072200000000002</v>
      </c>
      <c r="AJ238">
        <f>IF(ISNUMBER(INDEX(Haver_M!$B$1:$ZN$1000,MATCH(data!$A238,Haver_M!$B$1:$B$1000,0),MATCH(data!AJ$1,Haver_M!$B$1:$ZN$1,0))),INDEX(Haver_M!$B$1:$ZN$1000,MATCH(data!$A238,Haver_M!$B$1:$B$1000,0),MATCH(data!AJ$1,Haver_M!$B$1:$ZN$1,0)),"na")</f>
        <v>49.344799999999999</v>
      </c>
      <c r="AK238">
        <f>IF(ISNUMBER(INDEX(Haver_M!$B$1:$ZN$1000,MATCH(data!$A238,Haver_M!$B$1:$B$1000,0),MATCH(data!AK$1,Haver_M!$B$1:$ZN$1,0))),INDEX(Haver_M!$B$1:$ZN$1000,MATCH(data!$A238,Haver_M!$B$1:$B$1000,0),MATCH(data!AK$1,Haver_M!$B$1:$ZN$1,0)),"na")</f>
        <v>51.049700000000001</v>
      </c>
      <c r="AL238">
        <f>IF(ISNUMBER(INDEX(Haver_M!$B$1:$ZN$1000,MATCH(data!$A238,Haver_M!$B$1:$B$1000,0),MATCH(data!AL$1,Haver_M!$B$1:$ZN$1,0))),INDEX(Haver_M!$B$1:$ZN$1000,MATCH(data!$A238,Haver_M!$B$1:$B$1000,0),MATCH(data!AL$1,Haver_M!$B$1:$ZN$1,0)),"na")</f>
        <v>49.215400000000002</v>
      </c>
      <c r="AM238">
        <f>IF(ISNUMBER(INDEX(Haver_M!$B$1:$ZN$1000,MATCH(data!$A238,Haver_M!$B$1:$B$1000,0),MATCH(data!AM$1,Haver_M!$B$1:$ZN$1,0))),INDEX(Haver_M!$B$1:$ZN$1000,MATCH(data!$A238,Haver_M!$B$1:$B$1000,0),MATCH(data!AM$1,Haver_M!$B$1:$ZN$1,0)),"na")</f>
        <v>55.895099999999999</v>
      </c>
      <c r="AN238">
        <f>IF(ISNUMBER(INDEX(Haver_M!$B$1:$ZN$1000,MATCH(data!$A238,Haver_M!$B$1:$B$1000,0),MATCH(data!AN$1,Haver_M!$B$1:$ZN$1,0))),INDEX(Haver_M!$B$1:$ZN$1000,MATCH(data!$A238,Haver_M!$B$1:$B$1000,0),MATCH(data!AN$1,Haver_M!$B$1:$ZN$1,0)),"na")</f>
        <v>47.927100000000003</v>
      </c>
      <c r="AO238">
        <f>IF(ISNUMBER(INDEX(Haver_M!$B$1:$ZN$1000,MATCH(data!$A238,Haver_M!$B$1:$B$1000,0),MATCH(data!AO$1,Haver_M!$B$1:$ZN$1,0))),INDEX(Haver_M!$B$1:$ZN$1000,MATCH(data!$A238,Haver_M!$B$1:$B$1000,0),MATCH(data!AO$1,Haver_M!$B$1:$ZN$1,0)),"na")</f>
        <v>49.215400000000002</v>
      </c>
      <c r="AP238">
        <f>IF(ISNUMBER(INDEX(Haver_M!$B$1:$ZN$1000,MATCH(data!$A238,Haver_M!$B$1:$B$1000,0),MATCH(data!AP$1,Haver_M!$B$1:$ZN$1,0))),INDEX(Haver_M!$B$1:$ZN$1000,MATCH(data!$A238,Haver_M!$B$1:$B$1000,0),MATCH(data!AP$1,Haver_M!$B$1:$ZN$1,0)),"na")</f>
        <v>49.738199999999999</v>
      </c>
      <c r="AQ238">
        <f>IF(ISNUMBER(INDEX(Haver_M!$B$1:$ZN$1000,MATCH(data!$A238,Haver_M!$B$1:$B$1000,0),MATCH(data!AQ$1,Haver_M!$B$1:$ZN$1,0))),INDEX(Haver_M!$B$1:$ZN$1000,MATCH(data!$A238,Haver_M!$B$1:$B$1000,0),MATCH(data!AQ$1,Haver_M!$B$1:$ZN$1,0)),"na")</f>
        <v>49.850999999999999</v>
      </c>
      <c r="AR238">
        <f>IF(ISNUMBER(INDEX(Haver_M!$B$1:$ZN$1000,MATCH(data!$A238,Haver_M!$B$1:$B$1000,0),MATCH(data!AR$1,Haver_M!$B$1:$ZN$1,0))),INDEX(Haver_M!$B$1:$ZN$1000,MATCH(data!$A238,Haver_M!$B$1:$B$1000,0),MATCH(data!AR$1,Haver_M!$B$1:$ZN$1,0)),"na")</f>
        <v>49.449599999999997</v>
      </c>
      <c r="AS238">
        <f>IF(ISNUMBER(INDEX(Haver_M!$B$1:$ZN$1000,MATCH(data!$A238,Haver_M!$B$1:$B$1000,0),MATCH(data!AS$1,Haver_M!$B$1:$ZN$1,0))),INDEX(Haver_M!$B$1:$ZN$1000,MATCH(data!$A238,Haver_M!$B$1:$B$1000,0),MATCH(data!AS$1,Haver_M!$B$1:$ZN$1,0)),"na")</f>
        <v>42838.85</v>
      </c>
      <c r="AT238">
        <f>IF(ISNUMBER(INDEX(Haver_M!$B$1:$ZN$1000,MATCH(data!$A238,Haver_M!$B$1:$B$1000,0),MATCH(data!AT$1,Haver_M!$B$1:$ZN$1,0))),INDEX(Haver_M!$B$1:$ZN$1000,MATCH(data!$A238,Haver_M!$B$1:$B$1000,0),MATCH(data!AT$1,Haver_M!$B$1:$ZN$1,0)),"na")</f>
        <v>117.765</v>
      </c>
      <c r="AU238">
        <f>IF(ISNUMBER(INDEX(Haver_M!$B$1:$ZN$1000,MATCH(data!$A238,Haver_M!$B$1:$B$1000,0),MATCH(data!AU$1,Haver_M!$B$1:$ZN$1,0))),INDEX(Haver_M!$B$1:$ZN$1000,MATCH(data!$A238,Haver_M!$B$1:$B$1000,0),MATCH(data!AU$1,Haver_M!$B$1:$ZN$1,0)),"na")</f>
        <v>112.682986</v>
      </c>
      <c r="AV238">
        <f>IF(ISNUMBER(INDEX(Haver_M!$B$1:$ZN$1000,MATCH(data!$A238,Haver_M!$B$1:$B$1000,0),MATCH(data!AV$1,Haver_M!$B$1:$ZN$1,0))),INDEX(Haver_M!$B$1:$ZN$1000,MATCH(data!$A238,Haver_M!$B$1:$B$1000,0),MATCH(data!AV$1,Haver_M!$B$1:$ZN$1,0)),"na")</f>
        <v>100.5</v>
      </c>
      <c r="AW238">
        <f>IF(ISNUMBER(INDEX(Haver_M!$B$1:$ZN$1000,MATCH(data!$A238,Haver_M!$B$1:$B$1000,0),MATCH(data!AW$1,Haver_M!$B$1:$ZN$1,0))),INDEX(Haver_M!$B$1:$ZN$1000,MATCH(data!$A238,Haver_M!$B$1:$B$1000,0),MATCH(data!AW$1,Haver_M!$B$1:$ZN$1,0)),"na")</f>
        <v>1999554.7096371579</v>
      </c>
      <c r="AX238">
        <f>IF(ISNUMBER(INDEX(Haver_M!$B$1:$ZN$1000,MATCH(data!$A238,Haver_M!$B$1:$B$1000,0),MATCH(data!AX$1,Haver_M!$B$1:$ZN$1,0))),INDEX(Haver_M!$B$1:$ZN$1000,MATCH(data!$A238,Haver_M!$B$1:$B$1000,0),MATCH(data!AX$1,Haver_M!$B$1:$ZN$1,0)),"na")</f>
        <v>1702</v>
      </c>
      <c r="AY238">
        <f>IF(ISNUMBER(INDEX(Haver_M!$B$1:$ZN$1000,MATCH(data!$A238,Haver_M!$B$1:$B$1000,0),MATCH(data!AY$1,Haver_M!$B$1:$ZN$1,0))),INDEX(Haver_M!$B$1:$ZN$1000,MATCH(data!$A238,Haver_M!$B$1:$B$1000,0),MATCH(data!AY$1,Haver_M!$B$1:$ZN$1,0)),"na")</f>
        <v>995</v>
      </c>
      <c r="AZ238">
        <f>IF(ISNUMBER(INDEX(Haver_M!$B$1:$ZN$1000,MATCH(data!$A238,Haver_M!$B$1:$B$1000,0),MATCH(data!AZ$1,Haver_M!$B$1:$ZN$1,0))),INDEX(Haver_M!$B$1:$ZN$1000,MATCH(data!$A238,Haver_M!$B$1:$B$1000,0),MATCH(data!AZ$1,Haver_M!$B$1:$ZN$1,0)),"na")</f>
        <v>48.5</v>
      </c>
      <c r="BA238">
        <f>IF(ISNUMBER(INDEX(Haver_M!$B$1:$ZN$1000,MATCH(data!$A238,Haver_M!$B$1:$B$1000,0),MATCH(data!BA$1,Haver_M!$B$1:$ZN$1,0))),INDEX(Haver_M!$B$1:$ZN$1000,MATCH(data!$A238,Haver_M!$B$1:$B$1000,0),MATCH(data!BA$1,Haver_M!$B$1:$ZN$1,0)),"na")</f>
        <v>88.084533829122577</v>
      </c>
      <c r="BB238" t="str">
        <f>IF(ISNUMBER(INDEX(Haver_M!$B$1:$ZN$1000,MATCH(data!$A238,Haver_M!$B$1:$B$1000,0),MATCH(data!BB$1,Haver_M!$B$1:$ZN$1,0))),INDEX(Haver_M!$B$1:$ZN$1000,MATCH(data!$A238,Haver_M!$B$1:$B$1000,0),MATCH(data!BB$1,Haver_M!$B$1:$ZN$1,0)),"")</f>
        <v/>
      </c>
    </row>
    <row r="239" spans="1:54" x14ac:dyDescent="0.25">
      <c r="A239" s="2">
        <v>43769</v>
      </c>
      <c r="B239" t="str">
        <f>IF(ISNUMBER(INDEX(Haver_Q!$B$1:$BD$1000,MATCH(data!$A239,Haver_Q!$B$1:$B$1000,0),MATCH(data!B$1,Haver_Q!$B$1:$BD$1,0))),100*INDEX(Haver_Q!$B$1:$BD$1000,MATCH(data!$A239,Haver_Q!$B$1:$B$1000,0),MATCH(data!B$1,Haver_Q!$B$1:$BD$1,0)),"na")</f>
        <v>na</v>
      </c>
      <c r="C239" t="str">
        <f>IF(ISNUMBER(INDEX(Haver_Q!$B$1:$BD$1000,MATCH(data!$A239,Haver_Q!$B$1:$B$1000,0),MATCH(data!C$1,Haver_Q!$B$1:$BD$1,0))),100*INDEX(Haver_Q!$B$1:$BD$1000,MATCH(data!$A239,Haver_Q!$B$1:$B$1000,0),MATCH(data!C$1,Haver_Q!$B$1:$BD$1,0)),"na")</f>
        <v>na</v>
      </c>
      <c r="D239" t="str">
        <f>IF(ISNUMBER(INDEX(Haver_Q!$B$1:$BD$1000,MATCH(data!$A239,Haver_Q!$B$1:$B$1000,0),MATCH(data!D$1,Haver_Q!$B$1:$BD$1,0))),100*INDEX(Haver_Q!$B$1:$BD$1000,MATCH(data!$A239,Haver_Q!$B$1:$B$1000,0),MATCH(data!D$1,Haver_Q!$B$1:$BD$1,0)),"na")</f>
        <v>na</v>
      </c>
      <c r="E239" t="str">
        <f>IF(ISNUMBER(INDEX(Haver_Q!$B$1:$BD$1000,MATCH(data!$A239,Haver_Q!$B$1:$B$1000,0),MATCH(data!E$1,Haver_Q!$B$1:$BD$1,0))),100*INDEX(Haver_Q!$B$1:$BD$1000,MATCH(data!$A239,Haver_Q!$B$1:$B$1000,0),MATCH(data!E$1,Haver_Q!$B$1:$BD$1,0)),"na")</f>
        <v>na</v>
      </c>
      <c r="F239" t="str">
        <f>IF(ISNUMBER(INDEX(Haver_Q!$B$1:$BD$1000,MATCH(data!$A239,Haver_Q!$B$1:$B$1000,0),MATCH(data!F$1,Haver_Q!$B$1:$BD$1,0))),100*INDEX(Haver_Q!$B$1:$BD$1000,MATCH(data!$A239,Haver_Q!$B$1:$B$1000,0),MATCH(data!F$1,Haver_Q!$B$1:$BD$1,0)),"na")</f>
        <v>na</v>
      </c>
      <c r="G239" t="str">
        <f>IF(ISNUMBER(INDEX(Haver_Q!$B$1:$BD$1000,MATCH(data!$A239,Haver_Q!$B$1:$B$1000,0),MATCH(data!G$1,Haver_Q!$B$1:$BD$1,0))),100*INDEX(Haver_Q!$B$1:$BD$1000,MATCH(data!$A239,Haver_Q!$B$1:$B$1000,0),MATCH(data!G$1,Haver_Q!$B$1:$BD$1,0)),"na")</f>
        <v>na</v>
      </c>
      <c r="H239" t="str">
        <f>IF(ISNUMBER(INDEX(Haver_Q!$B$1:$BD$1000,MATCH(data!$A239,Haver_Q!$B$1:$B$1000,0),MATCH(data!H$1,Haver_Q!$B$1:$BD$1,0))),100*INDEX(Haver_Q!$B$1:$BD$1000,MATCH(data!$A239,Haver_Q!$B$1:$B$1000,0),MATCH(data!H$1,Haver_Q!$B$1:$BD$1,0)),"na")</f>
        <v>na</v>
      </c>
      <c r="I239" s="3">
        <f>IF(ISNUMBER(Bloomberg_m!C255),Bloomberg_m!C255,"na")</f>
        <v>1826</v>
      </c>
      <c r="J239" s="3">
        <f>IF(ISNUMBER(Bloomberg_m!D255),Bloomberg_m!D255,"na")</f>
        <v>1262.01</v>
      </c>
      <c r="K239" s="3">
        <f>IF(ISNUMBER(Bloomberg_m!E255),Bloomberg_m!E255,"na")</f>
        <v>745.62</v>
      </c>
      <c r="L239" s="3">
        <f>IF(ISNUMBER(Bloomberg_m!L255),Bloomberg_m!L255,"na")</f>
        <v>53.98</v>
      </c>
      <c r="M239">
        <f>IF(ISNUMBER(INDEX(Haver_M!$B$1:$ZN$1000,MATCH(data!$A239,Haver_M!$B$1:$B$1000,0),MATCH(data!M$1,Haver_M!$B$1:$ZN$1,0))),INDEX(Haver_M!$B$1:$ZN$1000,MATCH(data!$A239,Haver_M!$B$1:$B$1000,0),MATCH(data!M$1,Haver_M!$B$1:$ZN$1,0)),"na")</f>
        <v>7.75</v>
      </c>
      <c r="N239">
        <f>IF(ISNUMBER(INDEX(Haver_M!$B$1:$ZN$1000,MATCH(data!$A239,Haver_M!$B$1:$B$1000,0),MATCH(data!N$1,Haver_M!$B$1:$ZN$1,0))),INDEX(Haver_M!$B$1:$ZN$1000,MATCH(data!$A239,Haver_M!$B$1:$B$1000,0),MATCH(data!N$1,Haver_M!$B$1:$ZN$1,0)),"na")</f>
        <v>6.79</v>
      </c>
      <c r="O239">
        <f>IF(ISNUMBER(INDEX(Haver_M!$B$1:$ZN$1000,MATCH(data!$A239,Haver_M!$B$1:$B$1000,0),MATCH(data!O$1,Haver_M!$B$1:$ZN$1,0))),INDEX(Haver_M!$B$1:$ZN$1000,MATCH(data!$A239,Haver_M!$B$1:$B$1000,0),MATCH(data!O$1,Haver_M!$B$1:$ZN$1,0)),"na")</f>
        <v>84.237859999999998</v>
      </c>
      <c r="P239">
        <f>IF(ISNUMBER(INDEX(Haver_M!$B$1:$ZN$1000,MATCH(data!$A239,Haver_M!$B$1:$B$1000,0),MATCH(data!P$1,Haver_M!$B$1:$ZN$1,0))),INDEX(Haver_M!$B$1:$ZN$1000,MATCH(data!$A239,Haver_M!$B$1:$B$1000,0),MATCH(data!P$1,Haver_M!$B$1:$ZN$1,0)),"na")</f>
        <v>104.7915</v>
      </c>
      <c r="Q239">
        <f>IF(ISNUMBER(INDEX(Haver_M!$B$1:$ZN$1000,MATCH(data!$A239,Haver_M!$B$1:$B$1000,0),MATCH(data!Q$1,Haver_M!$B$1:$ZN$1,0))),INDEX(Haver_M!$B$1:$ZN$1000,MATCH(data!$A239,Haver_M!$B$1:$B$1000,0),MATCH(data!Q$1,Haver_M!$B$1:$ZN$1,0)),"na")</f>
        <v>104.6876</v>
      </c>
      <c r="R239">
        <f>IF(ISNUMBER(INDEX(Haver_M!$B$1:$ZN$1000,MATCH(data!$A239,Haver_M!$B$1:$B$1000,0),MATCH(data!R$1,Haver_M!$B$1:$ZN$1,0))),INDEX(Haver_M!$B$1:$ZN$1000,MATCH(data!$A239,Haver_M!$B$1:$B$1000,0),MATCH(data!R$1,Haver_M!$B$1:$ZN$1,0)),"na")</f>
        <v>100.79640000000001</v>
      </c>
      <c r="S239">
        <f>IF(ISNUMBER(INDEX(Haver_M!$B$1:$ZN$1000,MATCH(data!$A239,Haver_M!$B$1:$B$1000,0),MATCH(data!S$1,Haver_M!$B$1:$ZN$1,0))),INDEX(Haver_M!$B$1:$ZN$1000,MATCH(data!$A239,Haver_M!$B$1:$B$1000,0),MATCH(data!S$1,Haver_M!$B$1:$ZN$1,0)),"na")</f>
        <v>74.47</v>
      </c>
      <c r="T239">
        <f>IF(ISNUMBER(INDEX(Haver_M!$B$1:$ZN$1000,MATCH(data!$A239,Haver_M!$B$1:$B$1000,0),MATCH(data!T$1,Haver_M!$B$1:$ZN$1,0))),INDEX(Haver_M!$B$1:$ZN$1000,MATCH(data!$A239,Haver_M!$B$1:$B$1000,0),MATCH(data!T$1,Haver_M!$B$1:$ZN$1,0)),"na")</f>
        <v>122.6092</v>
      </c>
      <c r="U239">
        <f>IF(ISNUMBER(INDEX(Haver_M!$B$1:$ZN$1000,MATCH(data!$A239,Haver_M!$B$1:$B$1000,0),MATCH(data!U$1,Haver_M!$B$1:$ZN$1,0))),INDEX(Haver_M!$B$1:$ZN$1000,MATCH(data!$A239,Haver_M!$B$1:$B$1000,0),MATCH(data!U$1,Haver_M!$B$1:$ZN$1,0)),"na")</f>
        <v>96.274299999999997</v>
      </c>
      <c r="V239">
        <f>IF(ISNUMBER(INDEX(Haver_M!$B$1:$ZN$1000,MATCH(data!$A239,Haver_M!$B$1:$B$1000,0),MATCH(data!V$1,Haver_M!$B$1:$ZN$1,0))),INDEX(Haver_M!$B$1:$ZN$1000,MATCH(data!$A239,Haver_M!$B$1:$B$1000,0),MATCH(data!V$1,Haver_M!$B$1:$ZN$1,0)),"na")</f>
        <v>112.6039</v>
      </c>
      <c r="W239">
        <f>IF(ISNUMBER(INDEX(Haver_M!$B$1:$ZN$1000,MATCH(data!$A239,Haver_M!$B$1:$B$1000,0),MATCH(data!W$1,Haver_M!$B$1:$ZN$1,0))),INDEX(Haver_M!$B$1:$ZN$1000,MATCH(data!$A239,Haver_M!$B$1:$B$1000,0),MATCH(data!W$1,Haver_M!$B$1:$ZN$1,0)),"na")</f>
        <v>3.53</v>
      </c>
      <c r="X239">
        <f>IF(ISNUMBER(INDEX(Haver_M!$B$1:$ZN$1000,MATCH(data!$A239,Haver_M!$B$1:$B$1000,0),MATCH(data!X$1,Haver_M!$B$1:$ZN$1,0))),INDEX(Haver_M!$B$1:$ZN$1000,MATCH(data!$A239,Haver_M!$B$1:$B$1000,0),MATCH(data!X$1,Haver_M!$B$1:$ZN$1,0)),"na")</f>
        <v>108.31</v>
      </c>
      <c r="Y239">
        <f>IF(ISNUMBER(INDEX(Haver_M!$B$1:$ZN$1000,MATCH(data!$A239,Haver_M!$B$1:$B$1000,0),MATCH(data!Y$1,Haver_M!$B$1:$ZN$1,0))),INDEX(Haver_M!$B$1:$ZN$1000,MATCH(data!$A239,Haver_M!$B$1:$B$1000,0),MATCH(data!Y$1,Haver_M!$B$1:$ZN$1,0)),"na")</f>
        <v>100.6</v>
      </c>
      <c r="Z239">
        <f>IF(ISNUMBER(INDEX(Haver_M!$B$1:$ZN$1000,MATCH(data!$A239,Haver_M!$B$1:$B$1000,0),MATCH(data!Z$1,Haver_M!$B$1:$ZN$1,0))),INDEX(Haver_M!$B$1:$ZN$1000,MATCH(data!$A239,Haver_M!$B$1:$B$1000,0),MATCH(data!Z$1,Haver_M!$B$1:$ZN$1,0)),"na")</f>
        <v>114.35939999999999</v>
      </c>
      <c r="AA239">
        <f>IF(ISNUMBER(INDEX(Haver_M!$B$1:$ZN$1000,MATCH(data!$A239,Haver_M!$B$1:$B$1000,0),MATCH(data!AA$1,Haver_M!$B$1:$ZN$1,0))),INDEX(Haver_M!$B$1:$ZN$1000,MATCH(data!$A239,Haver_M!$B$1:$B$1000,0),MATCH(data!AA$1,Haver_M!$B$1:$ZN$1,0)),"na")</f>
        <v>105.3436</v>
      </c>
      <c r="AB239">
        <f>IF(ISNUMBER(INDEX(Haver_M!$B$1:$ZN$1000,MATCH(data!$A239,Haver_M!$B$1:$B$1000,0),MATCH(data!AB$1,Haver_M!$B$1:$ZN$1,0))),INDEX(Haver_M!$B$1:$ZN$1000,MATCH(data!$A239,Haver_M!$B$1:$B$1000,0),MATCH(data!AB$1,Haver_M!$B$1:$ZN$1,0)),"na")</f>
        <v>37496.5</v>
      </c>
      <c r="AC239">
        <f>IF(ISNUMBER(INDEX(Haver_M!$B$1:$ZN$1000,MATCH(data!$A239,Haver_M!$B$1:$B$1000,0),MATCH(data!AC$1,Haver_M!$B$1:$ZN$1,0))),INDEX(Haver_M!$B$1:$ZN$1000,MATCH(data!$A239,Haver_M!$B$1:$B$1000,0),MATCH(data!AC$1,Haver_M!$B$1:$ZN$1,0)),"na")</f>
        <v>37066.6</v>
      </c>
      <c r="AD239">
        <f>IF(ISNUMBER(INDEX(Haver_M!$B$1:$ZN$1000,MATCH(data!$A239,Haver_M!$B$1:$B$1000,0),MATCH(data!AD$1,Haver_M!$B$1:$ZN$1,0))),INDEX(Haver_M!$B$1:$ZN$1000,MATCH(data!$A239,Haver_M!$B$1:$B$1000,0),MATCH(data!AD$1,Haver_M!$B$1:$ZN$1,0)),"na")</f>
        <v>99.55</v>
      </c>
      <c r="AE239">
        <f>IF(ISNUMBER(INDEX(Haver_M!$B$1:$ZN$1000,MATCH(data!$A239,Haver_M!$B$1:$B$1000,0),MATCH(data!AE$1,Haver_M!$B$1:$ZN$1,0))),INDEX(Haver_M!$B$1:$ZN$1000,MATCH(data!$A239,Haver_M!$B$1:$B$1000,0),MATCH(data!AE$1,Haver_M!$B$1:$ZN$1,0)),"na")</f>
        <v>44.1</v>
      </c>
      <c r="AF239">
        <f>IF(ISNUMBER(INDEX(Haver_M!$B$1:$ZN$1000,MATCH(data!$A239,Haver_M!$B$1:$B$1000,0),MATCH(data!AF$1,Haver_M!$B$1:$ZN$1,0))),INDEX(Haver_M!$B$1:$ZN$1000,MATCH(data!$A239,Haver_M!$B$1:$B$1000,0),MATCH(data!AF$1,Haver_M!$B$1:$ZN$1,0)),"na")</f>
        <v>100.77</v>
      </c>
      <c r="AG239">
        <f>IF(ISNUMBER(INDEX(Haver_M!$B$1:$ZN$1000,MATCH(data!$A239,Haver_M!$B$1:$B$1000,0),MATCH(data!AG$1,Haver_M!$B$1:$ZN$1,0))),INDEX(Haver_M!$B$1:$ZN$1000,MATCH(data!$A239,Haver_M!$B$1:$B$1000,0),MATCH(data!AG$1,Haver_M!$B$1:$ZN$1,0)),"na")</f>
        <v>50.387300000000003</v>
      </c>
      <c r="AH239">
        <f>IF(ISNUMBER(INDEX(Haver_M!$B$1:$ZN$1000,MATCH(data!$A239,Haver_M!$B$1:$B$1000,0),MATCH(data!AH$1,Haver_M!$B$1:$ZN$1,0))),INDEX(Haver_M!$B$1:$ZN$1000,MATCH(data!$A239,Haver_M!$B$1:$B$1000,0),MATCH(data!AH$1,Haver_M!$B$1:$ZN$1,0)),"na")</f>
        <v>49.701300000000003</v>
      </c>
      <c r="AI239">
        <f>IF(ISNUMBER(INDEX(Haver_M!$B$1:$ZN$1000,MATCH(data!$A239,Haver_M!$B$1:$B$1000,0),MATCH(data!AI$1,Haver_M!$B$1:$ZN$1,0))),INDEX(Haver_M!$B$1:$ZN$1000,MATCH(data!$A239,Haver_M!$B$1:$B$1000,0),MATCH(data!AI$1,Haver_M!$B$1:$ZN$1,0)),"na")</f>
        <v>50.5349</v>
      </c>
      <c r="AJ239">
        <f>IF(ISNUMBER(INDEX(Haver_M!$B$1:$ZN$1000,MATCH(data!$A239,Haver_M!$B$1:$B$1000,0),MATCH(data!AJ$1,Haver_M!$B$1:$ZN$1,0))),INDEX(Haver_M!$B$1:$ZN$1000,MATCH(data!$A239,Haver_M!$B$1:$B$1000,0),MATCH(data!AJ$1,Haver_M!$B$1:$ZN$1,0)),"na")</f>
        <v>50.846400000000003</v>
      </c>
      <c r="AK239">
        <f>IF(ISNUMBER(INDEX(Haver_M!$B$1:$ZN$1000,MATCH(data!$A239,Haver_M!$B$1:$B$1000,0),MATCH(data!AK$1,Haver_M!$B$1:$ZN$1,0))),INDEX(Haver_M!$B$1:$ZN$1000,MATCH(data!$A239,Haver_M!$B$1:$B$1000,0),MATCH(data!AK$1,Haver_M!$B$1:$ZN$1,0)),"na")</f>
        <v>49.651800000000001</v>
      </c>
      <c r="AL239">
        <f>IF(ISNUMBER(INDEX(Haver_M!$B$1:$ZN$1000,MATCH(data!$A239,Haver_M!$B$1:$B$1000,0),MATCH(data!AL$1,Haver_M!$B$1:$ZN$1,0))),INDEX(Haver_M!$B$1:$ZN$1000,MATCH(data!$A239,Haver_M!$B$1:$B$1000,0),MATCH(data!AL$1,Haver_M!$B$1:$ZN$1,0)),"na")</f>
        <v>50.800199999999997</v>
      </c>
      <c r="AM239">
        <f>IF(ISNUMBER(INDEX(Haver_M!$B$1:$ZN$1000,MATCH(data!$A239,Haver_M!$B$1:$B$1000,0),MATCH(data!AM$1,Haver_M!$B$1:$ZN$1,0))),INDEX(Haver_M!$B$1:$ZN$1000,MATCH(data!$A239,Haver_M!$B$1:$B$1000,0),MATCH(data!AM$1,Haver_M!$B$1:$ZN$1,0)),"na")</f>
        <v>52.514899999999997</v>
      </c>
      <c r="AN239">
        <f>IF(ISNUMBER(INDEX(Haver_M!$B$1:$ZN$1000,MATCH(data!$A239,Haver_M!$B$1:$B$1000,0),MATCH(data!AN$1,Haver_M!$B$1:$ZN$1,0))),INDEX(Haver_M!$B$1:$ZN$1000,MATCH(data!$A239,Haver_M!$B$1:$B$1000,0),MATCH(data!AN$1,Haver_M!$B$1:$ZN$1,0)),"na")</f>
        <v>48.8078</v>
      </c>
      <c r="AO239">
        <f>IF(ISNUMBER(INDEX(Haver_M!$B$1:$ZN$1000,MATCH(data!$A239,Haver_M!$B$1:$B$1000,0),MATCH(data!AO$1,Haver_M!$B$1:$ZN$1,0))),INDEX(Haver_M!$B$1:$ZN$1000,MATCH(data!$A239,Haver_M!$B$1:$B$1000,0),MATCH(data!AO$1,Haver_M!$B$1:$ZN$1,0)),"na")</f>
        <v>50.800199999999997</v>
      </c>
      <c r="AP239">
        <f>IF(ISNUMBER(INDEX(Haver_M!$B$1:$ZN$1000,MATCH(data!$A239,Haver_M!$B$1:$B$1000,0),MATCH(data!AP$1,Haver_M!$B$1:$ZN$1,0))),INDEX(Haver_M!$B$1:$ZN$1000,MATCH(data!$A239,Haver_M!$B$1:$B$1000,0),MATCH(data!AP$1,Haver_M!$B$1:$ZN$1,0)),"na")</f>
        <v>50.079300000000003</v>
      </c>
      <c r="AQ239">
        <f>IF(ISNUMBER(INDEX(Haver_M!$B$1:$ZN$1000,MATCH(data!$A239,Haver_M!$B$1:$B$1000,0),MATCH(data!AQ$1,Haver_M!$B$1:$ZN$1,0))),INDEX(Haver_M!$B$1:$ZN$1000,MATCH(data!$A239,Haver_M!$B$1:$B$1000,0),MATCH(data!AQ$1,Haver_M!$B$1:$ZN$1,0)),"na")</f>
        <v>49.973399999999998</v>
      </c>
      <c r="AR239">
        <f>IF(ISNUMBER(INDEX(Haver_M!$B$1:$ZN$1000,MATCH(data!$A239,Haver_M!$B$1:$B$1000,0),MATCH(data!AR$1,Haver_M!$B$1:$ZN$1,0))),INDEX(Haver_M!$B$1:$ZN$1000,MATCH(data!$A239,Haver_M!$B$1:$B$1000,0),MATCH(data!AR$1,Haver_M!$B$1:$ZN$1,0)),"na")</f>
        <v>49.795999999999999</v>
      </c>
      <c r="AS239">
        <f>IF(ISNUMBER(INDEX(Haver_M!$B$1:$ZN$1000,MATCH(data!$A239,Haver_M!$B$1:$B$1000,0),MATCH(data!AS$1,Haver_M!$B$1:$ZN$1,0))),INDEX(Haver_M!$B$1:$ZN$1000,MATCH(data!$A239,Haver_M!$B$1:$B$1000,0),MATCH(data!AS$1,Haver_M!$B$1:$ZN$1,0)),"na")</f>
        <v>43220.52</v>
      </c>
      <c r="AT239">
        <f>IF(ISNUMBER(INDEX(Haver_M!$B$1:$ZN$1000,MATCH(data!$A239,Haver_M!$B$1:$B$1000,0),MATCH(data!AT$1,Haver_M!$B$1:$ZN$1,0))),INDEX(Haver_M!$B$1:$ZN$1000,MATCH(data!$A239,Haver_M!$B$1:$B$1000,0),MATCH(data!AT$1,Haver_M!$B$1:$ZN$1,0)),"na")</f>
        <v>117.227</v>
      </c>
      <c r="AU239">
        <f>IF(ISNUMBER(INDEX(Haver_M!$B$1:$ZN$1000,MATCH(data!$A239,Haver_M!$B$1:$B$1000,0),MATCH(data!AU$1,Haver_M!$B$1:$ZN$1,0))),INDEX(Haver_M!$B$1:$ZN$1000,MATCH(data!$A239,Haver_M!$B$1:$B$1000,0),MATCH(data!AU$1,Haver_M!$B$1:$ZN$1,0)),"na")</f>
        <v>112.16914</v>
      </c>
      <c r="AV239">
        <f>IF(ISNUMBER(INDEX(Haver_M!$B$1:$ZN$1000,MATCH(data!$A239,Haver_M!$B$1:$B$1000,0),MATCH(data!AV$1,Haver_M!$B$1:$ZN$1,0))),INDEX(Haver_M!$B$1:$ZN$1000,MATCH(data!$A239,Haver_M!$B$1:$B$1000,0),MATCH(data!AV$1,Haver_M!$B$1:$ZN$1,0)),"na")</f>
        <v>99.4</v>
      </c>
      <c r="AW239">
        <f>IF(ISNUMBER(INDEX(Haver_M!$B$1:$ZN$1000,MATCH(data!$A239,Haver_M!$B$1:$B$1000,0),MATCH(data!AW$1,Haver_M!$B$1:$ZN$1,0))),INDEX(Haver_M!$B$1:$ZN$1000,MATCH(data!$A239,Haver_M!$B$1:$B$1000,0),MATCH(data!AW$1,Haver_M!$B$1:$ZN$1,0)),"na")</f>
        <v>1996337.4093380123</v>
      </c>
      <c r="AX239">
        <f>IF(ISNUMBER(INDEX(Haver_M!$B$1:$ZN$1000,MATCH(data!$A239,Haver_M!$B$1:$B$1000,0),MATCH(data!AX$1,Haver_M!$B$1:$ZN$1,0))),INDEX(Haver_M!$B$1:$ZN$1000,MATCH(data!$A239,Haver_M!$B$1:$B$1000,0),MATCH(data!AX$1,Haver_M!$B$1:$ZN$1,0)),"na")</f>
        <v>1660</v>
      </c>
      <c r="AY239">
        <f>IF(ISNUMBER(INDEX(Haver_M!$B$1:$ZN$1000,MATCH(data!$A239,Haver_M!$B$1:$B$1000,0),MATCH(data!AY$1,Haver_M!$B$1:$ZN$1,0))),INDEX(Haver_M!$B$1:$ZN$1000,MATCH(data!$A239,Haver_M!$B$1:$B$1000,0),MATCH(data!AY$1,Haver_M!$B$1:$ZN$1,0)),"na")</f>
        <v>963</v>
      </c>
      <c r="AZ239">
        <f>IF(ISNUMBER(INDEX(Haver_M!$B$1:$ZN$1000,MATCH(data!$A239,Haver_M!$B$1:$B$1000,0),MATCH(data!AZ$1,Haver_M!$B$1:$ZN$1,0))),INDEX(Haver_M!$B$1:$ZN$1000,MATCH(data!$A239,Haver_M!$B$1:$B$1000,0),MATCH(data!AZ$1,Haver_M!$B$1:$ZN$1,0)),"na")</f>
        <v>45.8</v>
      </c>
      <c r="BA239">
        <f>IF(ISNUMBER(INDEX(Haver_M!$B$1:$ZN$1000,MATCH(data!$A239,Haver_M!$B$1:$B$1000,0),MATCH(data!BA$1,Haver_M!$B$1:$ZN$1,0))),INDEX(Haver_M!$B$1:$ZN$1000,MATCH(data!$A239,Haver_M!$B$1:$B$1000,0),MATCH(data!BA$1,Haver_M!$B$1:$ZN$1,0)),"na")</f>
        <v>79.965150962753498</v>
      </c>
      <c r="BB239" t="str">
        <f>IF(ISNUMBER(INDEX(Haver_M!$B$1:$ZN$1000,MATCH(data!$A239,Haver_M!$B$1:$B$1000,0),MATCH(data!BB$1,Haver_M!$B$1:$ZN$1,0))),INDEX(Haver_M!$B$1:$ZN$1000,MATCH(data!$A239,Haver_M!$B$1:$B$1000,0),MATCH(data!BB$1,Haver_M!$B$1:$ZN$1,0)),"")</f>
        <v/>
      </c>
    </row>
    <row r="240" spans="1:54" x14ac:dyDescent="0.25">
      <c r="A240" s="2">
        <v>43799</v>
      </c>
      <c r="B240" t="str">
        <f>IF(ISNUMBER(INDEX(Haver_Q!$B$1:$BD$1000,MATCH(data!$A240,Haver_Q!$B$1:$B$1000,0),MATCH(data!B$1,Haver_Q!$B$1:$BD$1,0))),100*INDEX(Haver_Q!$B$1:$BD$1000,MATCH(data!$A240,Haver_Q!$B$1:$B$1000,0),MATCH(data!B$1,Haver_Q!$B$1:$BD$1,0)),"na")</f>
        <v>na</v>
      </c>
      <c r="C240" t="str">
        <f>IF(ISNUMBER(INDEX(Haver_Q!$B$1:$BD$1000,MATCH(data!$A240,Haver_Q!$B$1:$B$1000,0),MATCH(data!C$1,Haver_Q!$B$1:$BD$1,0))),100*INDEX(Haver_Q!$B$1:$BD$1000,MATCH(data!$A240,Haver_Q!$B$1:$B$1000,0),MATCH(data!C$1,Haver_Q!$B$1:$BD$1,0)),"na")</f>
        <v>na</v>
      </c>
      <c r="D240" t="str">
        <f>IF(ISNUMBER(INDEX(Haver_Q!$B$1:$BD$1000,MATCH(data!$A240,Haver_Q!$B$1:$B$1000,0),MATCH(data!D$1,Haver_Q!$B$1:$BD$1,0))),100*INDEX(Haver_Q!$B$1:$BD$1000,MATCH(data!$A240,Haver_Q!$B$1:$B$1000,0),MATCH(data!D$1,Haver_Q!$B$1:$BD$1,0)),"na")</f>
        <v>na</v>
      </c>
      <c r="E240" t="str">
        <f>IF(ISNUMBER(INDEX(Haver_Q!$B$1:$BD$1000,MATCH(data!$A240,Haver_Q!$B$1:$B$1000,0),MATCH(data!E$1,Haver_Q!$B$1:$BD$1,0))),100*INDEX(Haver_Q!$B$1:$BD$1000,MATCH(data!$A240,Haver_Q!$B$1:$B$1000,0),MATCH(data!E$1,Haver_Q!$B$1:$BD$1,0)),"na")</f>
        <v>na</v>
      </c>
      <c r="F240" t="str">
        <f>IF(ISNUMBER(INDEX(Haver_Q!$B$1:$BD$1000,MATCH(data!$A240,Haver_Q!$B$1:$B$1000,0),MATCH(data!F$1,Haver_Q!$B$1:$BD$1,0))),100*INDEX(Haver_Q!$B$1:$BD$1000,MATCH(data!$A240,Haver_Q!$B$1:$B$1000,0),MATCH(data!F$1,Haver_Q!$B$1:$BD$1,0)),"na")</f>
        <v>na</v>
      </c>
      <c r="G240" t="str">
        <f>IF(ISNUMBER(INDEX(Haver_Q!$B$1:$BD$1000,MATCH(data!$A240,Haver_Q!$B$1:$B$1000,0),MATCH(data!G$1,Haver_Q!$B$1:$BD$1,0))),100*INDEX(Haver_Q!$B$1:$BD$1000,MATCH(data!$A240,Haver_Q!$B$1:$B$1000,0),MATCH(data!G$1,Haver_Q!$B$1:$BD$1,0)),"na")</f>
        <v>na</v>
      </c>
      <c r="H240" t="str">
        <f>IF(ISNUMBER(INDEX(Haver_Q!$B$1:$BD$1000,MATCH(data!$A240,Haver_Q!$B$1:$B$1000,0),MATCH(data!H$1,Haver_Q!$B$1:$BD$1,0))),100*INDEX(Haver_Q!$B$1:$BD$1000,MATCH(data!$A240,Haver_Q!$B$1:$B$1000,0),MATCH(data!H$1,Haver_Q!$B$1:$BD$1,0)),"na")</f>
        <v>na</v>
      </c>
      <c r="I240" s="3">
        <f>IF(ISNUMBER(Bloomberg_m!C256),Bloomberg_m!C256,"na")</f>
        <v>1419</v>
      </c>
      <c r="J240" s="3">
        <f>IF(ISNUMBER(Bloomberg_m!D256),Bloomberg_m!D256,"na")</f>
        <v>1390.06</v>
      </c>
      <c r="K240" s="3">
        <f>IF(ISNUMBER(Bloomberg_m!E256),Bloomberg_m!E256,"na")</f>
        <v>813.6</v>
      </c>
      <c r="L240" s="3">
        <f>IF(ISNUMBER(Bloomberg_m!L256),Bloomberg_m!L256,"na")</f>
        <v>57.06</v>
      </c>
      <c r="M240">
        <f>IF(ISNUMBER(INDEX(Haver_M!$B$1:$ZN$1000,MATCH(data!$A240,Haver_M!$B$1:$B$1000,0),MATCH(data!M$1,Haver_M!$B$1:$ZN$1,0))),INDEX(Haver_M!$B$1:$ZN$1000,MATCH(data!$A240,Haver_M!$B$1:$B$1000,0),MATCH(data!M$1,Haver_M!$B$1:$ZN$1,0)),"na")</f>
        <v>7.5</v>
      </c>
      <c r="N240">
        <f>IF(ISNUMBER(INDEX(Haver_M!$B$1:$ZN$1000,MATCH(data!$A240,Haver_M!$B$1:$B$1000,0),MATCH(data!N$1,Haver_M!$B$1:$ZN$1,0))),INDEX(Haver_M!$B$1:$ZN$1000,MATCH(data!$A240,Haver_M!$B$1:$B$1000,0),MATCH(data!N$1,Haver_M!$B$1:$ZN$1,0)),"na")</f>
        <v>6.9336000000000002</v>
      </c>
      <c r="O240">
        <f>IF(ISNUMBER(INDEX(Haver_M!$B$1:$ZN$1000,MATCH(data!$A240,Haver_M!$B$1:$B$1000,0),MATCH(data!O$1,Haver_M!$B$1:$ZN$1,0))),INDEX(Haver_M!$B$1:$ZN$1000,MATCH(data!$A240,Haver_M!$B$1:$B$1000,0),MATCH(data!O$1,Haver_M!$B$1:$ZN$1,0)),"na")</f>
        <v>84.678150000000002</v>
      </c>
      <c r="P240">
        <f>IF(ISNUMBER(INDEX(Haver_M!$B$1:$ZN$1000,MATCH(data!$A240,Haver_M!$B$1:$B$1000,0),MATCH(data!P$1,Haver_M!$B$1:$ZN$1,0))),INDEX(Haver_M!$B$1:$ZN$1000,MATCH(data!$A240,Haver_M!$B$1:$B$1000,0),MATCH(data!P$1,Haver_M!$B$1:$ZN$1,0)),"na")</f>
        <v>105.0903</v>
      </c>
      <c r="Q240">
        <f>IF(ISNUMBER(INDEX(Haver_M!$B$1:$ZN$1000,MATCH(data!$A240,Haver_M!$B$1:$B$1000,0),MATCH(data!Q$1,Haver_M!$B$1:$ZN$1,0))),INDEX(Haver_M!$B$1:$ZN$1000,MATCH(data!$A240,Haver_M!$B$1:$B$1000,0),MATCH(data!Q$1,Haver_M!$B$1:$ZN$1,0)),"na")</f>
        <v>104.9923</v>
      </c>
      <c r="R240">
        <f>IF(ISNUMBER(INDEX(Haver_M!$B$1:$ZN$1000,MATCH(data!$A240,Haver_M!$B$1:$B$1000,0),MATCH(data!R$1,Haver_M!$B$1:$ZN$1,0))),INDEX(Haver_M!$B$1:$ZN$1000,MATCH(data!$A240,Haver_M!$B$1:$B$1000,0),MATCH(data!R$1,Haver_M!$B$1:$ZN$1,0)),"na")</f>
        <v>101.626</v>
      </c>
      <c r="S240">
        <f>IF(ISNUMBER(INDEX(Haver_M!$B$1:$ZN$1000,MATCH(data!$A240,Haver_M!$B$1:$B$1000,0),MATCH(data!S$1,Haver_M!$B$1:$ZN$1,0))),INDEX(Haver_M!$B$1:$ZN$1000,MATCH(data!$A240,Haver_M!$B$1:$B$1000,0),MATCH(data!S$1,Haver_M!$B$1:$ZN$1,0)),"na")</f>
        <v>75.345399999999998</v>
      </c>
      <c r="T240">
        <f>IF(ISNUMBER(INDEX(Haver_M!$B$1:$ZN$1000,MATCH(data!$A240,Haver_M!$B$1:$B$1000,0),MATCH(data!T$1,Haver_M!$B$1:$ZN$1,0))),INDEX(Haver_M!$B$1:$ZN$1000,MATCH(data!$A240,Haver_M!$B$1:$B$1000,0),MATCH(data!T$1,Haver_M!$B$1:$ZN$1,0)),"na")</f>
        <v>122.2627</v>
      </c>
      <c r="U240">
        <f>IF(ISNUMBER(INDEX(Haver_M!$B$1:$ZN$1000,MATCH(data!$A240,Haver_M!$B$1:$B$1000,0),MATCH(data!U$1,Haver_M!$B$1:$ZN$1,0))),INDEX(Haver_M!$B$1:$ZN$1000,MATCH(data!$A240,Haver_M!$B$1:$B$1000,0),MATCH(data!U$1,Haver_M!$B$1:$ZN$1,0)),"na")</f>
        <v>98.049700000000001</v>
      </c>
      <c r="V240">
        <f>IF(ISNUMBER(INDEX(Haver_M!$B$1:$ZN$1000,MATCH(data!$A240,Haver_M!$B$1:$B$1000,0),MATCH(data!V$1,Haver_M!$B$1:$ZN$1,0))),INDEX(Haver_M!$B$1:$ZN$1000,MATCH(data!$A240,Haver_M!$B$1:$B$1000,0),MATCH(data!V$1,Haver_M!$B$1:$ZN$1,0)),"na")</f>
        <v>112.72799999999999</v>
      </c>
      <c r="W240">
        <f>IF(ISNUMBER(INDEX(Haver_M!$B$1:$ZN$1000,MATCH(data!$A240,Haver_M!$B$1:$B$1000,0),MATCH(data!W$1,Haver_M!$B$1:$ZN$1,0))),INDEX(Haver_M!$B$1:$ZN$1000,MATCH(data!$A240,Haver_M!$B$1:$B$1000,0),MATCH(data!W$1,Haver_M!$B$1:$ZN$1,0)),"na")</f>
        <v>3.48</v>
      </c>
      <c r="X240">
        <f>IF(ISNUMBER(INDEX(Haver_M!$B$1:$ZN$1000,MATCH(data!$A240,Haver_M!$B$1:$B$1000,0),MATCH(data!X$1,Haver_M!$B$1:$ZN$1,0))),INDEX(Haver_M!$B$1:$ZN$1000,MATCH(data!$A240,Haver_M!$B$1:$B$1000,0),MATCH(data!X$1,Haver_M!$B$1:$ZN$1,0)),"na")</f>
        <v>108.78</v>
      </c>
      <c r="Y240">
        <f>IF(ISNUMBER(INDEX(Haver_M!$B$1:$ZN$1000,MATCH(data!$A240,Haver_M!$B$1:$B$1000,0),MATCH(data!Y$1,Haver_M!$B$1:$ZN$1,0))),INDEX(Haver_M!$B$1:$ZN$1000,MATCH(data!$A240,Haver_M!$B$1:$B$1000,0),MATCH(data!Y$1,Haver_M!$B$1:$ZN$1,0)),"na")</f>
        <v>100.59</v>
      </c>
      <c r="Z240">
        <f>IF(ISNUMBER(INDEX(Haver_M!$B$1:$ZN$1000,MATCH(data!$A240,Haver_M!$B$1:$B$1000,0),MATCH(data!Z$1,Haver_M!$B$1:$ZN$1,0))),INDEX(Haver_M!$B$1:$ZN$1000,MATCH(data!$A240,Haver_M!$B$1:$B$1000,0),MATCH(data!Z$1,Haver_M!$B$1:$ZN$1,0)),"na")</f>
        <v>116.2688</v>
      </c>
      <c r="AA240">
        <f>IF(ISNUMBER(INDEX(Haver_M!$B$1:$ZN$1000,MATCH(data!$A240,Haver_M!$B$1:$B$1000,0),MATCH(data!AA$1,Haver_M!$B$1:$ZN$1,0))),INDEX(Haver_M!$B$1:$ZN$1000,MATCH(data!$A240,Haver_M!$B$1:$B$1000,0),MATCH(data!AA$1,Haver_M!$B$1:$ZN$1,0)),"na")</f>
        <v>105.628</v>
      </c>
      <c r="AB240">
        <f>IF(ISNUMBER(INDEX(Haver_M!$B$1:$ZN$1000,MATCH(data!$A240,Haver_M!$B$1:$B$1000,0),MATCH(data!AB$1,Haver_M!$B$1:$ZN$1,0))),INDEX(Haver_M!$B$1:$ZN$1000,MATCH(data!$A240,Haver_M!$B$1:$B$1000,0),MATCH(data!AB$1,Haver_M!$B$1:$ZN$1,0)),"na")</f>
        <v>37404.5</v>
      </c>
      <c r="AC240">
        <f>IF(ISNUMBER(INDEX(Haver_M!$B$1:$ZN$1000,MATCH(data!$A240,Haver_M!$B$1:$B$1000,0),MATCH(data!AC$1,Haver_M!$B$1:$ZN$1,0))),INDEX(Haver_M!$B$1:$ZN$1000,MATCH(data!$A240,Haver_M!$B$1:$B$1000,0),MATCH(data!AC$1,Haver_M!$B$1:$ZN$1,0)),"na")</f>
        <v>36637.599999999999</v>
      </c>
      <c r="AD240">
        <f>IF(ISNUMBER(INDEX(Haver_M!$B$1:$ZN$1000,MATCH(data!$A240,Haver_M!$B$1:$B$1000,0),MATCH(data!AD$1,Haver_M!$B$1:$ZN$1,0))),INDEX(Haver_M!$B$1:$ZN$1000,MATCH(data!$A240,Haver_M!$B$1:$B$1000,0),MATCH(data!AD$1,Haver_M!$B$1:$ZN$1,0)),"na")</f>
        <v>99.42</v>
      </c>
      <c r="AE240">
        <f>IF(ISNUMBER(INDEX(Haver_M!$B$1:$ZN$1000,MATCH(data!$A240,Haver_M!$B$1:$B$1000,0),MATCH(data!AE$1,Haver_M!$B$1:$ZN$1,0))),INDEX(Haver_M!$B$1:$ZN$1000,MATCH(data!$A240,Haver_M!$B$1:$B$1000,0),MATCH(data!AE$1,Haver_M!$B$1:$ZN$1,0)),"na")</f>
        <v>43.6</v>
      </c>
      <c r="AF240">
        <f>IF(ISNUMBER(INDEX(Haver_M!$B$1:$ZN$1000,MATCH(data!$A240,Haver_M!$B$1:$B$1000,0),MATCH(data!AF$1,Haver_M!$B$1:$ZN$1,0))),INDEX(Haver_M!$B$1:$ZN$1000,MATCH(data!$A240,Haver_M!$B$1:$B$1000,0),MATCH(data!AF$1,Haver_M!$B$1:$ZN$1,0)),"na")</f>
        <v>100.58</v>
      </c>
      <c r="AG240">
        <f>IF(ISNUMBER(INDEX(Haver_M!$B$1:$ZN$1000,MATCH(data!$A240,Haver_M!$B$1:$B$1000,0),MATCH(data!AG$1,Haver_M!$B$1:$ZN$1,0))),INDEX(Haver_M!$B$1:$ZN$1000,MATCH(data!$A240,Haver_M!$B$1:$B$1000,0),MATCH(data!AG$1,Haver_M!$B$1:$ZN$1,0)),"na")</f>
        <v>47.951599999999999</v>
      </c>
      <c r="AH240">
        <f>IF(ISNUMBER(INDEX(Haver_M!$B$1:$ZN$1000,MATCH(data!$A240,Haver_M!$B$1:$B$1000,0),MATCH(data!AH$1,Haver_M!$B$1:$ZN$1,0))),INDEX(Haver_M!$B$1:$ZN$1000,MATCH(data!$A240,Haver_M!$B$1:$B$1000,0),MATCH(data!AH$1,Haver_M!$B$1:$ZN$1,0)),"na")</f>
        <v>46.705599999999997</v>
      </c>
      <c r="AI240">
        <f>IF(ISNUMBER(INDEX(Haver_M!$B$1:$ZN$1000,MATCH(data!$A240,Haver_M!$B$1:$B$1000,0),MATCH(data!AI$1,Haver_M!$B$1:$ZN$1,0))),INDEX(Haver_M!$B$1:$ZN$1000,MATCH(data!$A240,Haver_M!$B$1:$B$1000,0),MATCH(data!AI$1,Haver_M!$B$1:$ZN$1,0)),"na")</f>
        <v>48.060099999999998</v>
      </c>
      <c r="AJ240">
        <f>IF(ISNUMBER(INDEX(Haver_M!$B$1:$ZN$1000,MATCH(data!$A240,Haver_M!$B$1:$B$1000,0),MATCH(data!AJ$1,Haver_M!$B$1:$ZN$1,0))),INDEX(Haver_M!$B$1:$ZN$1000,MATCH(data!$A240,Haver_M!$B$1:$B$1000,0),MATCH(data!AJ$1,Haver_M!$B$1:$ZN$1,0)),"na")</f>
        <v>47.888599999999997</v>
      </c>
      <c r="AK240">
        <f>IF(ISNUMBER(INDEX(Haver_M!$B$1:$ZN$1000,MATCH(data!$A240,Haver_M!$B$1:$B$1000,0),MATCH(data!AK$1,Haver_M!$B$1:$ZN$1,0))),INDEX(Haver_M!$B$1:$ZN$1000,MATCH(data!$A240,Haver_M!$B$1:$B$1000,0),MATCH(data!AK$1,Haver_M!$B$1:$ZN$1,0)),"na")</f>
        <v>49.88</v>
      </c>
      <c r="AL240">
        <f>IF(ISNUMBER(INDEX(Haver_M!$B$1:$ZN$1000,MATCH(data!$A240,Haver_M!$B$1:$B$1000,0),MATCH(data!AL$1,Haver_M!$B$1:$ZN$1,0))),INDEX(Haver_M!$B$1:$ZN$1000,MATCH(data!$A240,Haver_M!$B$1:$B$1000,0),MATCH(data!AL$1,Haver_M!$B$1:$ZN$1,0)),"na")</f>
        <v>47.614199999999997</v>
      </c>
      <c r="AM240">
        <f>IF(ISNUMBER(INDEX(Haver_M!$B$1:$ZN$1000,MATCH(data!$A240,Haver_M!$B$1:$B$1000,0),MATCH(data!AM$1,Haver_M!$B$1:$ZN$1,0))),INDEX(Haver_M!$B$1:$ZN$1000,MATCH(data!$A240,Haver_M!$B$1:$B$1000,0),MATCH(data!AM$1,Haver_M!$B$1:$ZN$1,0)),"na")</f>
        <v>51.735999999999997</v>
      </c>
      <c r="AN240">
        <f>IF(ISNUMBER(INDEX(Haver_M!$B$1:$ZN$1000,MATCH(data!$A240,Haver_M!$B$1:$B$1000,0),MATCH(data!AN$1,Haver_M!$B$1:$ZN$1,0))),INDEX(Haver_M!$B$1:$ZN$1000,MATCH(data!$A240,Haver_M!$B$1:$B$1000,0),MATCH(data!AN$1,Haver_M!$B$1:$ZN$1,0)),"na")</f>
        <v>47.544400000000003</v>
      </c>
      <c r="AO240">
        <f>IF(ISNUMBER(INDEX(Haver_M!$B$1:$ZN$1000,MATCH(data!$A240,Haver_M!$B$1:$B$1000,0),MATCH(data!AO$1,Haver_M!$B$1:$ZN$1,0))),INDEX(Haver_M!$B$1:$ZN$1000,MATCH(data!$A240,Haver_M!$B$1:$B$1000,0),MATCH(data!AO$1,Haver_M!$B$1:$ZN$1,0)),"na")</f>
        <v>47.614199999999997</v>
      </c>
      <c r="AP240">
        <f>IF(ISNUMBER(INDEX(Haver_M!$B$1:$ZN$1000,MATCH(data!$A240,Haver_M!$B$1:$B$1000,0),MATCH(data!AP$1,Haver_M!$B$1:$ZN$1,0))),INDEX(Haver_M!$B$1:$ZN$1000,MATCH(data!$A240,Haver_M!$B$1:$B$1000,0),MATCH(data!AP$1,Haver_M!$B$1:$ZN$1,0)),"na")</f>
        <v>47.644100000000002</v>
      </c>
      <c r="AQ240">
        <f>IF(ISNUMBER(INDEX(Haver_M!$B$1:$ZN$1000,MATCH(data!$A240,Haver_M!$B$1:$B$1000,0),MATCH(data!AQ$1,Haver_M!$B$1:$ZN$1,0))),INDEX(Haver_M!$B$1:$ZN$1000,MATCH(data!$A240,Haver_M!$B$1:$B$1000,0),MATCH(data!AQ$1,Haver_M!$B$1:$ZN$1,0)),"na")</f>
        <v>49.451300000000003</v>
      </c>
      <c r="AR240">
        <f>IF(ISNUMBER(INDEX(Haver_M!$B$1:$ZN$1000,MATCH(data!$A240,Haver_M!$B$1:$B$1000,0),MATCH(data!AR$1,Haver_M!$B$1:$ZN$1,0))),INDEX(Haver_M!$B$1:$ZN$1000,MATCH(data!$A240,Haver_M!$B$1:$B$1000,0),MATCH(data!AR$1,Haver_M!$B$1:$ZN$1,0)),"na")</f>
        <v>48.535699999999999</v>
      </c>
      <c r="AS240">
        <f>IF(ISNUMBER(INDEX(Haver_M!$B$1:$ZN$1000,MATCH(data!$A240,Haver_M!$B$1:$B$1000,0),MATCH(data!AS$1,Haver_M!$B$1:$ZN$1,0))),INDEX(Haver_M!$B$1:$ZN$1000,MATCH(data!$A240,Haver_M!$B$1:$B$1000,0),MATCH(data!AS$1,Haver_M!$B$1:$ZN$1,0)),"na")</f>
        <v>43429.35</v>
      </c>
      <c r="AT240">
        <f>IF(ISNUMBER(INDEX(Haver_M!$B$1:$ZN$1000,MATCH(data!$A240,Haver_M!$B$1:$B$1000,0),MATCH(data!AT$1,Haver_M!$B$1:$ZN$1,0))),INDEX(Haver_M!$B$1:$ZN$1000,MATCH(data!$A240,Haver_M!$B$1:$B$1000,0),MATCH(data!AT$1,Haver_M!$B$1:$ZN$1,0)),"na")</f>
        <v>117.327</v>
      </c>
      <c r="AU240">
        <f>IF(ISNUMBER(INDEX(Haver_M!$B$1:$ZN$1000,MATCH(data!$A240,Haver_M!$B$1:$B$1000,0),MATCH(data!AU$1,Haver_M!$B$1:$ZN$1,0))),INDEX(Haver_M!$B$1:$ZN$1000,MATCH(data!$A240,Haver_M!$B$1:$B$1000,0),MATCH(data!AU$1,Haver_M!$B$1:$ZN$1,0)),"na")</f>
        <v>111.91221899999999</v>
      </c>
      <c r="AV240">
        <f>IF(ISNUMBER(INDEX(Haver_M!$B$1:$ZN$1000,MATCH(data!$A240,Haver_M!$B$1:$B$1000,0),MATCH(data!AV$1,Haver_M!$B$1:$ZN$1,0))),INDEX(Haver_M!$B$1:$ZN$1000,MATCH(data!$A240,Haver_M!$B$1:$B$1000,0),MATCH(data!AV$1,Haver_M!$B$1:$ZN$1,0)),"na")</f>
        <v>99.6</v>
      </c>
      <c r="AW240">
        <f>IF(ISNUMBER(INDEX(Haver_M!$B$1:$ZN$1000,MATCH(data!$A240,Haver_M!$B$1:$B$1000,0),MATCH(data!AW$1,Haver_M!$B$1:$ZN$1,0))),INDEX(Haver_M!$B$1:$ZN$1000,MATCH(data!$A240,Haver_M!$B$1:$B$1000,0),MATCH(data!AW$1,Haver_M!$B$1:$ZN$1,0)),"na")</f>
        <v>1998441.3210095942</v>
      </c>
      <c r="AX240">
        <f>IF(ISNUMBER(INDEX(Haver_M!$B$1:$ZN$1000,MATCH(data!$A240,Haver_M!$B$1:$B$1000,0),MATCH(data!AX$1,Haver_M!$B$1:$ZN$1,0))),INDEX(Haver_M!$B$1:$ZN$1000,MATCH(data!$A240,Haver_M!$B$1:$B$1000,0),MATCH(data!AX$1,Haver_M!$B$1:$ZN$1,0)),"na")</f>
        <v>1710</v>
      </c>
      <c r="AY240">
        <f>IF(ISNUMBER(INDEX(Haver_M!$B$1:$ZN$1000,MATCH(data!$A240,Haver_M!$B$1:$B$1000,0),MATCH(data!AY$1,Haver_M!$B$1:$ZN$1,0))),INDEX(Haver_M!$B$1:$ZN$1000,MATCH(data!$A240,Haver_M!$B$1:$B$1000,0),MATCH(data!AY$1,Haver_M!$B$1:$ZN$1,0)),"na")</f>
        <v>1114</v>
      </c>
      <c r="AZ240">
        <f>IF(ISNUMBER(INDEX(Haver_M!$B$1:$ZN$1000,MATCH(data!$A240,Haver_M!$B$1:$B$1000,0),MATCH(data!AZ$1,Haver_M!$B$1:$ZN$1,0))),INDEX(Haver_M!$B$1:$ZN$1000,MATCH(data!$A240,Haver_M!$B$1:$B$1000,0),MATCH(data!AZ$1,Haver_M!$B$1:$ZN$1,0)),"na")</f>
        <v>47.9</v>
      </c>
      <c r="BA240">
        <f>IF(ISNUMBER(INDEX(Haver_M!$B$1:$ZN$1000,MATCH(data!$A240,Haver_M!$B$1:$B$1000,0),MATCH(data!BA$1,Haver_M!$B$1:$ZN$1,0))),INDEX(Haver_M!$B$1:$ZN$1000,MATCH(data!$A240,Haver_M!$B$1:$B$1000,0),MATCH(data!BA$1,Haver_M!$B$1:$ZN$1,0)),"na")</f>
        <v>58.052548071811977</v>
      </c>
      <c r="BB240" t="str">
        <f>IF(ISNUMBER(INDEX(Haver_M!$B$1:$ZN$1000,MATCH(data!$A240,Haver_M!$B$1:$B$1000,0),MATCH(data!BB$1,Haver_M!$B$1:$ZN$1,0))),INDEX(Haver_M!$B$1:$ZN$1000,MATCH(data!$A240,Haver_M!$B$1:$B$1000,0),MATCH(data!BB$1,Haver_M!$B$1:$ZN$1,0)),"")</f>
        <v/>
      </c>
    </row>
    <row r="241" spans="1:54" x14ac:dyDescent="0.25">
      <c r="A241" s="2">
        <v>43830</v>
      </c>
      <c r="B241">
        <f>IF(ISNUMBER(INDEX(Haver_Q!$B$1:$BD$1000,MATCH(data!$A241,Haver_Q!$B$1:$B$1000,0),MATCH(data!B$1,Haver_Q!$B$1:$BD$1,0))),100*INDEX(Haver_Q!$B$1:$BD$1000,MATCH(data!$A241,Haver_Q!$B$1:$B$1000,0),MATCH(data!B$1,Haver_Q!$B$1:$BD$1,0)),"na")</f>
        <v>-2.2543674152791571</v>
      </c>
      <c r="C241">
        <f>IF(ISNUMBER(INDEX(Haver_Q!$B$1:$BD$1000,MATCH(data!$A241,Haver_Q!$B$1:$B$1000,0),MATCH(data!C$1,Haver_Q!$B$1:$BD$1,0))),100*INDEX(Haver_Q!$B$1:$BD$1000,MATCH(data!$A241,Haver_Q!$B$1:$B$1000,0),MATCH(data!C$1,Haver_Q!$B$1:$BD$1,0)),"na")</f>
        <v>2.801808230089331</v>
      </c>
      <c r="D241">
        <f>IF(ISNUMBER(INDEX(Haver_Q!$B$1:$BD$1000,MATCH(data!$A241,Haver_Q!$B$1:$B$1000,0),MATCH(data!D$1,Haver_Q!$B$1:$BD$1,0))),100*INDEX(Haver_Q!$B$1:$BD$1000,MATCH(data!$A241,Haver_Q!$B$1:$B$1000,0),MATCH(data!D$1,Haver_Q!$B$1:$BD$1,0)),"na")</f>
        <v>-1.5155554402965232</v>
      </c>
      <c r="E241">
        <f>IF(ISNUMBER(INDEX(Haver_Q!$B$1:$BD$1000,MATCH(data!$A241,Haver_Q!$B$1:$B$1000,0),MATCH(data!E$1,Haver_Q!$B$1:$BD$1,0))),100*INDEX(Haver_Q!$B$1:$BD$1000,MATCH(data!$A241,Haver_Q!$B$1:$B$1000,0),MATCH(data!E$1,Haver_Q!$B$1:$BD$1,0)),"na")</f>
        <v>-6.5926735252538897</v>
      </c>
      <c r="F241">
        <f>IF(ISNUMBER(INDEX(Haver_Q!$B$1:$BD$1000,MATCH(data!$A241,Haver_Q!$B$1:$B$1000,0),MATCH(data!F$1,Haver_Q!$B$1:$BD$1,0))),100*INDEX(Haver_Q!$B$1:$BD$1000,MATCH(data!$A241,Haver_Q!$B$1:$B$1000,0),MATCH(data!F$1,Haver_Q!$B$1:$BD$1,0)),"na")</f>
        <v>-14.793566782689316</v>
      </c>
      <c r="G241">
        <f>IF(ISNUMBER(INDEX(Haver_Q!$B$1:$BD$1000,MATCH(data!$A241,Haver_Q!$B$1:$B$1000,0),MATCH(data!G$1,Haver_Q!$B$1:$BD$1,0))),100*INDEX(Haver_Q!$B$1:$BD$1000,MATCH(data!$A241,Haver_Q!$B$1:$B$1000,0),MATCH(data!G$1,Haver_Q!$B$1:$BD$1,0)),"na")</f>
        <v>-10.175142968417706</v>
      </c>
      <c r="H241">
        <f>IF(ISNUMBER(INDEX(Haver_Q!$B$1:$BD$1000,MATCH(data!$A241,Haver_Q!$B$1:$B$1000,0),MATCH(data!H$1,Haver_Q!$B$1:$BD$1,0))),100*INDEX(Haver_Q!$B$1:$BD$1000,MATCH(data!$A241,Haver_Q!$B$1:$B$1000,0),MATCH(data!H$1,Haver_Q!$B$1:$BD$1,0)),"na")</f>
        <v>260.73256805054569</v>
      </c>
      <c r="I241" s="3">
        <f>IF(ISNUMBER(Bloomberg_m!C257),Bloomberg_m!C257,"na")</f>
        <v>1381</v>
      </c>
      <c r="J241" s="3">
        <f>IF(ISNUMBER(Bloomberg_m!D257),Bloomberg_m!D257,"na")</f>
        <v>1516.16</v>
      </c>
      <c r="K241" s="3">
        <f>IF(ISNUMBER(Bloomberg_m!E257),Bloomberg_m!E257,"na")</f>
        <v>898.53</v>
      </c>
      <c r="L241" s="3">
        <f>IF(ISNUMBER(Bloomberg_m!L257),Bloomberg_m!L257,"na")</f>
        <v>59.8</v>
      </c>
      <c r="M241">
        <f>IF(ISNUMBER(INDEX(Haver_M!$B$1:$ZN$1000,MATCH(data!$A241,Haver_M!$B$1:$B$1000,0),MATCH(data!M$1,Haver_M!$B$1:$ZN$1,0))),INDEX(Haver_M!$B$1:$ZN$1000,MATCH(data!$A241,Haver_M!$B$1:$B$1000,0),MATCH(data!M$1,Haver_M!$B$1:$ZN$1,0)),"na")</f>
        <v>7.25</v>
      </c>
      <c r="N241">
        <f>IF(ISNUMBER(INDEX(Haver_M!$B$1:$ZN$1000,MATCH(data!$A241,Haver_M!$B$1:$B$1000,0),MATCH(data!N$1,Haver_M!$B$1:$ZN$1,0))),INDEX(Haver_M!$B$1:$ZN$1000,MATCH(data!$A241,Haver_M!$B$1:$B$1000,0),MATCH(data!N$1,Haver_M!$B$1:$ZN$1,0)),"na")</f>
        <v>6.8985000000000003</v>
      </c>
      <c r="O241">
        <f>IF(ISNUMBER(INDEX(Haver_M!$B$1:$ZN$1000,MATCH(data!$A241,Haver_M!$B$1:$B$1000,0),MATCH(data!O$1,Haver_M!$B$1:$ZN$1,0))),INDEX(Haver_M!$B$1:$ZN$1000,MATCH(data!$A241,Haver_M!$B$1:$B$1000,0),MATCH(data!O$1,Haver_M!$B$1:$ZN$1,0)),"na")</f>
        <v>85.665469999999999</v>
      </c>
      <c r="P241">
        <f>IF(ISNUMBER(INDEX(Haver_M!$B$1:$ZN$1000,MATCH(data!$A241,Haver_M!$B$1:$B$1000,0),MATCH(data!P$1,Haver_M!$B$1:$ZN$1,0))),INDEX(Haver_M!$B$1:$ZN$1000,MATCH(data!$A241,Haver_M!$B$1:$B$1000,0),MATCH(data!P$1,Haver_M!$B$1:$ZN$1,0)),"na")</f>
        <v>105.43049999999999</v>
      </c>
      <c r="Q241">
        <f>IF(ISNUMBER(INDEX(Haver_M!$B$1:$ZN$1000,MATCH(data!$A241,Haver_M!$B$1:$B$1000,0),MATCH(data!Q$1,Haver_M!$B$1:$ZN$1,0))),INDEX(Haver_M!$B$1:$ZN$1000,MATCH(data!$A241,Haver_M!$B$1:$B$1000,0),MATCH(data!Q$1,Haver_M!$B$1:$ZN$1,0)),"na")</f>
        <v>105.3096</v>
      </c>
      <c r="R241">
        <f>IF(ISNUMBER(INDEX(Haver_M!$B$1:$ZN$1000,MATCH(data!$A241,Haver_M!$B$1:$B$1000,0),MATCH(data!R$1,Haver_M!$B$1:$ZN$1,0))),INDEX(Haver_M!$B$1:$ZN$1000,MATCH(data!$A241,Haver_M!$B$1:$B$1000,0),MATCH(data!R$1,Haver_M!$B$1:$ZN$1,0)),"na")</f>
        <v>101.2287</v>
      </c>
      <c r="S241">
        <f>IF(ISNUMBER(INDEX(Haver_M!$B$1:$ZN$1000,MATCH(data!$A241,Haver_M!$B$1:$B$1000,0),MATCH(data!S$1,Haver_M!$B$1:$ZN$1,0))),INDEX(Haver_M!$B$1:$ZN$1000,MATCH(data!$A241,Haver_M!$B$1:$B$1000,0),MATCH(data!S$1,Haver_M!$B$1:$ZN$1,0)),"na")</f>
        <v>74.797300000000007</v>
      </c>
      <c r="T241">
        <f>IF(ISNUMBER(INDEX(Haver_M!$B$1:$ZN$1000,MATCH(data!$A241,Haver_M!$B$1:$B$1000,0),MATCH(data!T$1,Haver_M!$B$1:$ZN$1,0))),INDEX(Haver_M!$B$1:$ZN$1000,MATCH(data!$A241,Haver_M!$B$1:$B$1000,0),MATCH(data!T$1,Haver_M!$B$1:$ZN$1,0)),"na")</f>
        <v>122.2954</v>
      </c>
      <c r="U241">
        <f>IF(ISNUMBER(INDEX(Haver_M!$B$1:$ZN$1000,MATCH(data!$A241,Haver_M!$B$1:$B$1000,0),MATCH(data!U$1,Haver_M!$B$1:$ZN$1,0))),INDEX(Haver_M!$B$1:$ZN$1000,MATCH(data!$A241,Haver_M!$B$1:$B$1000,0),MATCH(data!U$1,Haver_M!$B$1:$ZN$1,0)),"na")</f>
        <v>98.288399999999996</v>
      </c>
      <c r="V241">
        <f>IF(ISNUMBER(INDEX(Haver_M!$B$1:$ZN$1000,MATCH(data!$A241,Haver_M!$B$1:$B$1000,0),MATCH(data!V$1,Haver_M!$B$1:$ZN$1,0))),INDEX(Haver_M!$B$1:$ZN$1000,MATCH(data!$A241,Haver_M!$B$1:$B$1000,0),MATCH(data!V$1,Haver_M!$B$1:$ZN$1,0)),"na")</f>
        <v>112.4606</v>
      </c>
      <c r="W241">
        <f>IF(ISNUMBER(INDEX(Haver_M!$B$1:$ZN$1000,MATCH(data!$A241,Haver_M!$B$1:$B$1000,0),MATCH(data!W$1,Haver_M!$B$1:$ZN$1,0))),INDEX(Haver_M!$B$1:$ZN$1000,MATCH(data!$A241,Haver_M!$B$1:$B$1000,0),MATCH(data!W$1,Haver_M!$B$1:$ZN$1,0)),"na")</f>
        <v>3.18</v>
      </c>
      <c r="X241">
        <f>IF(ISNUMBER(INDEX(Haver_M!$B$1:$ZN$1000,MATCH(data!$A241,Haver_M!$B$1:$B$1000,0),MATCH(data!X$1,Haver_M!$B$1:$ZN$1,0))),INDEX(Haver_M!$B$1:$ZN$1000,MATCH(data!$A241,Haver_M!$B$1:$B$1000,0),MATCH(data!X$1,Haver_M!$B$1:$ZN$1,0)),"na")</f>
        <v>109.35</v>
      </c>
      <c r="Y241">
        <f>IF(ISNUMBER(INDEX(Haver_M!$B$1:$ZN$1000,MATCH(data!$A241,Haver_M!$B$1:$B$1000,0),MATCH(data!Y$1,Haver_M!$B$1:$ZN$1,0))),INDEX(Haver_M!$B$1:$ZN$1000,MATCH(data!$A241,Haver_M!$B$1:$B$1000,0),MATCH(data!Y$1,Haver_M!$B$1:$ZN$1,0)),"na")</f>
        <v>100.49</v>
      </c>
      <c r="Z241">
        <f>IF(ISNUMBER(INDEX(Haver_M!$B$1:$ZN$1000,MATCH(data!$A241,Haver_M!$B$1:$B$1000,0),MATCH(data!Z$1,Haver_M!$B$1:$ZN$1,0))),INDEX(Haver_M!$B$1:$ZN$1000,MATCH(data!$A241,Haver_M!$B$1:$B$1000,0),MATCH(data!Z$1,Haver_M!$B$1:$ZN$1,0)),"na")</f>
        <v>115.5231</v>
      </c>
      <c r="AA241">
        <f>IF(ISNUMBER(INDEX(Haver_M!$B$1:$ZN$1000,MATCH(data!$A241,Haver_M!$B$1:$B$1000,0),MATCH(data!AA$1,Haver_M!$B$1:$ZN$1,0))),INDEX(Haver_M!$B$1:$ZN$1000,MATCH(data!$A241,Haver_M!$B$1:$B$1000,0),MATCH(data!AA$1,Haver_M!$B$1:$ZN$1,0)),"na")</f>
        <v>105.77379999999999</v>
      </c>
      <c r="AB241">
        <f>IF(ISNUMBER(INDEX(Haver_M!$B$1:$ZN$1000,MATCH(data!$A241,Haver_M!$B$1:$B$1000,0),MATCH(data!AB$1,Haver_M!$B$1:$ZN$1,0))),INDEX(Haver_M!$B$1:$ZN$1000,MATCH(data!$A241,Haver_M!$B$1:$B$1000,0),MATCH(data!AB$1,Haver_M!$B$1:$ZN$1,0)),"na")</f>
        <v>37835</v>
      </c>
      <c r="AC241">
        <f>IF(ISNUMBER(INDEX(Haver_M!$B$1:$ZN$1000,MATCH(data!$A241,Haver_M!$B$1:$B$1000,0),MATCH(data!AC$1,Haver_M!$B$1:$ZN$1,0))),INDEX(Haver_M!$B$1:$ZN$1000,MATCH(data!$A241,Haver_M!$B$1:$B$1000,0),MATCH(data!AC$1,Haver_M!$B$1:$ZN$1,0)),"na")</f>
        <v>36469.699999999997</v>
      </c>
      <c r="AD241">
        <f>IF(ISNUMBER(INDEX(Haver_M!$B$1:$ZN$1000,MATCH(data!$A241,Haver_M!$B$1:$B$1000,0),MATCH(data!AD$1,Haver_M!$B$1:$ZN$1,0))),INDEX(Haver_M!$B$1:$ZN$1000,MATCH(data!$A241,Haver_M!$B$1:$B$1000,0),MATCH(data!AD$1,Haver_M!$B$1:$ZN$1,0)),"na")</f>
        <v>99.26</v>
      </c>
      <c r="AE241">
        <f>IF(ISNUMBER(INDEX(Haver_M!$B$1:$ZN$1000,MATCH(data!$A241,Haver_M!$B$1:$B$1000,0),MATCH(data!AE$1,Haver_M!$B$1:$ZN$1,0))),INDEX(Haver_M!$B$1:$ZN$1000,MATCH(data!$A241,Haver_M!$B$1:$B$1000,0),MATCH(data!AE$1,Haver_M!$B$1:$ZN$1,0)),"na")</f>
        <v>43.6</v>
      </c>
      <c r="AF241">
        <f>IF(ISNUMBER(INDEX(Haver_M!$B$1:$ZN$1000,MATCH(data!$A241,Haver_M!$B$1:$B$1000,0),MATCH(data!AF$1,Haver_M!$B$1:$ZN$1,0))),INDEX(Haver_M!$B$1:$ZN$1000,MATCH(data!$A241,Haver_M!$B$1:$B$1000,0),MATCH(data!AF$1,Haver_M!$B$1:$ZN$1,0)),"na")</f>
        <v>100.28</v>
      </c>
      <c r="AG241">
        <f>IF(ISNUMBER(INDEX(Haver_M!$B$1:$ZN$1000,MATCH(data!$A241,Haver_M!$B$1:$B$1000,0),MATCH(data!AG$1,Haver_M!$B$1:$ZN$1,0))),INDEX(Haver_M!$B$1:$ZN$1000,MATCH(data!$A241,Haver_M!$B$1:$B$1000,0),MATCH(data!AG$1,Haver_M!$B$1:$ZN$1,0)),"na")</f>
        <v>47.139099999999999</v>
      </c>
      <c r="AH241">
        <f>IF(ISNUMBER(INDEX(Haver_M!$B$1:$ZN$1000,MATCH(data!$A241,Haver_M!$B$1:$B$1000,0),MATCH(data!AH$1,Haver_M!$B$1:$ZN$1,0))),INDEX(Haver_M!$B$1:$ZN$1000,MATCH(data!$A241,Haver_M!$B$1:$B$1000,0),MATCH(data!AH$1,Haver_M!$B$1:$ZN$1,0)),"na")</f>
        <v>44.472999999999999</v>
      </c>
      <c r="AI241">
        <f>IF(ISNUMBER(INDEX(Haver_M!$B$1:$ZN$1000,MATCH(data!$A241,Haver_M!$B$1:$B$1000,0),MATCH(data!AI$1,Haver_M!$B$1:$ZN$1,0))),INDEX(Haver_M!$B$1:$ZN$1000,MATCH(data!$A241,Haver_M!$B$1:$B$1000,0),MATCH(data!AI$1,Haver_M!$B$1:$ZN$1,0)),"na")</f>
        <v>46.289099999999998</v>
      </c>
      <c r="AJ241">
        <f>IF(ISNUMBER(INDEX(Haver_M!$B$1:$ZN$1000,MATCH(data!$A241,Haver_M!$B$1:$B$1000,0),MATCH(data!AJ$1,Haver_M!$B$1:$ZN$1,0))),INDEX(Haver_M!$B$1:$ZN$1000,MATCH(data!$A241,Haver_M!$B$1:$B$1000,0),MATCH(data!AJ$1,Haver_M!$B$1:$ZN$1,0)),"na")</f>
        <v>49.118000000000002</v>
      </c>
      <c r="AK241">
        <f>IF(ISNUMBER(INDEX(Haver_M!$B$1:$ZN$1000,MATCH(data!$A241,Haver_M!$B$1:$B$1000,0),MATCH(data!AK$1,Haver_M!$B$1:$ZN$1,0))),INDEX(Haver_M!$B$1:$ZN$1000,MATCH(data!$A241,Haver_M!$B$1:$B$1000,0),MATCH(data!AK$1,Haver_M!$B$1:$ZN$1,0)),"na")</f>
        <v>49.2256</v>
      </c>
      <c r="AL241">
        <f>IF(ISNUMBER(INDEX(Haver_M!$B$1:$ZN$1000,MATCH(data!$A241,Haver_M!$B$1:$B$1000,0),MATCH(data!AL$1,Haver_M!$B$1:$ZN$1,0))),INDEX(Haver_M!$B$1:$ZN$1000,MATCH(data!$A241,Haver_M!$B$1:$B$1000,0),MATCH(data!AL$1,Haver_M!$B$1:$ZN$1,0)),"na")</f>
        <v>46.943800000000003</v>
      </c>
      <c r="AM241">
        <f>IF(ISNUMBER(INDEX(Haver_M!$B$1:$ZN$1000,MATCH(data!$A241,Haver_M!$B$1:$B$1000,0),MATCH(data!AM$1,Haver_M!$B$1:$ZN$1,0))),INDEX(Haver_M!$B$1:$ZN$1000,MATCH(data!$A241,Haver_M!$B$1:$B$1000,0),MATCH(data!AM$1,Haver_M!$B$1:$ZN$1,0)),"na")</f>
        <v>52.816099999999999</v>
      </c>
      <c r="AN241">
        <f>IF(ISNUMBER(INDEX(Haver_M!$B$1:$ZN$1000,MATCH(data!$A241,Haver_M!$B$1:$B$1000,0),MATCH(data!AN$1,Haver_M!$B$1:$ZN$1,0))),INDEX(Haver_M!$B$1:$ZN$1000,MATCH(data!$A241,Haver_M!$B$1:$B$1000,0),MATCH(data!AN$1,Haver_M!$B$1:$ZN$1,0)),"na")</f>
        <v>46.005800000000001</v>
      </c>
      <c r="AO241">
        <f>IF(ISNUMBER(INDEX(Haver_M!$B$1:$ZN$1000,MATCH(data!$A241,Haver_M!$B$1:$B$1000,0),MATCH(data!AO$1,Haver_M!$B$1:$ZN$1,0))),INDEX(Haver_M!$B$1:$ZN$1000,MATCH(data!$A241,Haver_M!$B$1:$B$1000,0),MATCH(data!AO$1,Haver_M!$B$1:$ZN$1,0)),"na")</f>
        <v>46.943800000000003</v>
      </c>
      <c r="AP241">
        <f>IF(ISNUMBER(INDEX(Haver_M!$B$1:$ZN$1000,MATCH(data!$A241,Haver_M!$B$1:$B$1000,0),MATCH(data!AP$1,Haver_M!$B$1:$ZN$1,0))),INDEX(Haver_M!$B$1:$ZN$1000,MATCH(data!$A241,Haver_M!$B$1:$B$1000,0),MATCH(data!AP$1,Haver_M!$B$1:$ZN$1,0)),"na")</f>
        <v>46.3491</v>
      </c>
      <c r="AQ241">
        <f>IF(ISNUMBER(INDEX(Haver_M!$B$1:$ZN$1000,MATCH(data!$A241,Haver_M!$B$1:$B$1000,0),MATCH(data!AQ$1,Haver_M!$B$1:$ZN$1,0))),INDEX(Haver_M!$B$1:$ZN$1000,MATCH(data!$A241,Haver_M!$B$1:$B$1000,0),MATCH(data!AQ$1,Haver_M!$B$1:$ZN$1,0)),"na")</f>
        <v>49.842799999999997</v>
      </c>
      <c r="AR241">
        <f>IF(ISNUMBER(INDEX(Haver_M!$B$1:$ZN$1000,MATCH(data!$A241,Haver_M!$B$1:$B$1000,0),MATCH(data!AR$1,Haver_M!$B$1:$ZN$1,0))),INDEX(Haver_M!$B$1:$ZN$1000,MATCH(data!$A241,Haver_M!$B$1:$B$1000,0),MATCH(data!AR$1,Haver_M!$B$1:$ZN$1,0)),"na")</f>
        <v>50.093000000000004</v>
      </c>
      <c r="AS241">
        <f>IF(ISNUMBER(INDEX(Haver_M!$B$1:$ZN$1000,MATCH(data!$A241,Haver_M!$B$1:$B$1000,0),MATCH(data!AS$1,Haver_M!$B$1:$ZN$1,0))),INDEX(Haver_M!$B$1:$ZN$1000,MATCH(data!$A241,Haver_M!$B$1:$B$1000,0),MATCH(data!AS$1,Haver_M!$B$1:$ZN$1,0)),"na")</f>
        <v>43521.68</v>
      </c>
      <c r="AT241">
        <f>IF(ISNUMBER(INDEX(Haver_M!$B$1:$ZN$1000,MATCH(data!$A241,Haver_M!$B$1:$B$1000,0),MATCH(data!AT$1,Haver_M!$B$1:$ZN$1,0))),INDEX(Haver_M!$B$1:$ZN$1000,MATCH(data!$A241,Haver_M!$B$1:$B$1000,0),MATCH(data!AT$1,Haver_M!$B$1:$ZN$1,0)),"na")</f>
        <v>116.342</v>
      </c>
      <c r="AU241">
        <f>IF(ISNUMBER(INDEX(Haver_M!$B$1:$ZN$1000,MATCH(data!$A241,Haver_M!$B$1:$B$1000,0),MATCH(data!AU$1,Haver_M!$B$1:$ZN$1,0))),INDEX(Haver_M!$B$1:$ZN$1000,MATCH(data!$A241,Haver_M!$B$1:$B$1000,0),MATCH(data!AU$1,Haver_M!$B$1:$ZN$1,0)),"na")</f>
        <v>111.76521099999999</v>
      </c>
      <c r="AV241">
        <f>IF(ISNUMBER(INDEX(Haver_M!$B$1:$ZN$1000,MATCH(data!$A241,Haver_M!$B$1:$B$1000,0),MATCH(data!AV$1,Haver_M!$B$1:$ZN$1,0))),INDEX(Haver_M!$B$1:$ZN$1000,MATCH(data!$A241,Haver_M!$B$1:$B$1000,0),MATCH(data!AV$1,Haver_M!$B$1:$ZN$1,0)),"na")</f>
        <v>98.3</v>
      </c>
      <c r="AW241">
        <f>IF(ISNUMBER(INDEX(Haver_M!$B$1:$ZN$1000,MATCH(data!$A241,Haver_M!$B$1:$B$1000,0),MATCH(data!AW$1,Haver_M!$B$1:$ZN$1,0))),INDEX(Haver_M!$B$1:$ZN$1000,MATCH(data!$A241,Haver_M!$B$1:$B$1000,0),MATCH(data!AW$1,Haver_M!$B$1:$ZN$1,0)),"na")</f>
        <v>1950071.4538326743</v>
      </c>
      <c r="AX241">
        <f>IF(ISNUMBER(INDEX(Haver_M!$B$1:$ZN$1000,MATCH(data!$A241,Haver_M!$B$1:$B$1000,0),MATCH(data!AX$1,Haver_M!$B$1:$ZN$1,0))),INDEX(Haver_M!$B$1:$ZN$1000,MATCH(data!$A241,Haver_M!$B$1:$B$1000,0),MATCH(data!AX$1,Haver_M!$B$1:$ZN$1,0)),"na")</f>
        <v>1708</v>
      </c>
      <c r="AY241">
        <f>IF(ISNUMBER(INDEX(Haver_M!$B$1:$ZN$1000,MATCH(data!$A241,Haver_M!$B$1:$B$1000,0),MATCH(data!AY$1,Haver_M!$B$1:$ZN$1,0))),INDEX(Haver_M!$B$1:$ZN$1000,MATCH(data!$A241,Haver_M!$B$1:$B$1000,0),MATCH(data!AY$1,Haver_M!$B$1:$ZN$1,0)),"na")</f>
        <v>1115</v>
      </c>
      <c r="AZ241">
        <f>IF(ISNUMBER(INDEX(Haver_M!$B$1:$ZN$1000,MATCH(data!$A241,Haver_M!$B$1:$B$1000,0),MATCH(data!AZ$1,Haver_M!$B$1:$ZN$1,0))),INDEX(Haver_M!$B$1:$ZN$1000,MATCH(data!$A241,Haver_M!$B$1:$B$1000,0),MATCH(data!AZ$1,Haver_M!$B$1:$ZN$1,0)),"na")</f>
        <v>46.5</v>
      </c>
      <c r="BA241">
        <f>IF(ISNUMBER(INDEX(Haver_M!$B$1:$ZN$1000,MATCH(data!$A241,Haver_M!$B$1:$B$1000,0),MATCH(data!BA$1,Haver_M!$B$1:$ZN$1,0))),INDEX(Haver_M!$B$1:$ZN$1000,MATCH(data!$A241,Haver_M!$B$1:$B$1000,0),MATCH(data!BA$1,Haver_M!$B$1:$ZN$1,0)),"na")</f>
        <v>87.841642528451885</v>
      </c>
      <c r="BB241" t="str">
        <f>IF(ISNUMBER(INDEX(Haver_M!$B$1:$ZN$1000,MATCH(data!$A241,Haver_M!$B$1:$B$1000,0),MATCH(data!BB$1,Haver_M!$B$1:$ZN$1,0))),INDEX(Haver_M!$B$1:$ZN$1000,MATCH(data!$A241,Haver_M!$B$1:$B$1000,0),MATCH(data!BB$1,Haver_M!$B$1:$ZN$1,0)),"")</f>
        <v/>
      </c>
    </row>
    <row r="242" spans="1:54" x14ac:dyDescent="0.25">
      <c r="A242" s="2">
        <v>43861</v>
      </c>
      <c r="B242" t="str">
        <f>IF(ISNUMBER(INDEX(Haver_Q!$B$1:$BD$1000,MATCH(data!$A242,Haver_Q!$B$1:$B$1000,0),MATCH(data!B$1,Haver_Q!$B$1:$BD$1,0))),100*INDEX(Haver_Q!$B$1:$BD$1000,MATCH(data!$A242,Haver_Q!$B$1:$B$1000,0),MATCH(data!B$1,Haver_Q!$B$1:$BD$1,0)),"na")</f>
        <v>na</v>
      </c>
      <c r="C242" t="str">
        <f>IF(ISNUMBER(INDEX(Haver_Q!$B$1:$BD$1000,MATCH(data!$A242,Haver_Q!$B$1:$B$1000,0),MATCH(data!C$1,Haver_Q!$B$1:$BD$1,0))),100*INDEX(Haver_Q!$B$1:$BD$1000,MATCH(data!$A242,Haver_Q!$B$1:$B$1000,0),MATCH(data!C$1,Haver_Q!$B$1:$BD$1,0)),"na")</f>
        <v>na</v>
      </c>
      <c r="D242" t="str">
        <f>IF(ISNUMBER(INDEX(Haver_Q!$B$1:$BD$1000,MATCH(data!$A242,Haver_Q!$B$1:$B$1000,0),MATCH(data!D$1,Haver_Q!$B$1:$BD$1,0))),100*INDEX(Haver_Q!$B$1:$BD$1000,MATCH(data!$A242,Haver_Q!$B$1:$B$1000,0),MATCH(data!D$1,Haver_Q!$B$1:$BD$1,0)),"na")</f>
        <v>na</v>
      </c>
      <c r="E242" t="str">
        <f>IF(ISNUMBER(INDEX(Haver_Q!$B$1:$BD$1000,MATCH(data!$A242,Haver_Q!$B$1:$B$1000,0),MATCH(data!E$1,Haver_Q!$B$1:$BD$1,0))),100*INDEX(Haver_Q!$B$1:$BD$1000,MATCH(data!$A242,Haver_Q!$B$1:$B$1000,0),MATCH(data!E$1,Haver_Q!$B$1:$BD$1,0)),"na")</f>
        <v>na</v>
      </c>
      <c r="F242" t="str">
        <f>IF(ISNUMBER(INDEX(Haver_Q!$B$1:$BD$1000,MATCH(data!$A242,Haver_Q!$B$1:$B$1000,0),MATCH(data!F$1,Haver_Q!$B$1:$BD$1,0))),100*INDEX(Haver_Q!$B$1:$BD$1000,MATCH(data!$A242,Haver_Q!$B$1:$B$1000,0),MATCH(data!F$1,Haver_Q!$B$1:$BD$1,0)),"na")</f>
        <v>na</v>
      </c>
      <c r="G242" t="str">
        <f>IF(ISNUMBER(INDEX(Haver_Q!$B$1:$BD$1000,MATCH(data!$A242,Haver_Q!$B$1:$B$1000,0),MATCH(data!G$1,Haver_Q!$B$1:$BD$1,0))),100*INDEX(Haver_Q!$B$1:$BD$1000,MATCH(data!$A242,Haver_Q!$B$1:$B$1000,0),MATCH(data!G$1,Haver_Q!$B$1:$BD$1,0)),"na")</f>
        <v>na</v>
      </c>
      <c r="H242" t="str">
        <f>IF(ISNUMBER(INDEX(Haver_Q!$B$1:$BD$1000,MATCH(data!$A242,Haver_Q!$B$1:$B$1000,0),MATCH(data!H$1,Haver_Q!$B$1:$BD$1,0))),100*INDEX(Haver_Q!$B$1:$BD$1000,MATCH(data!$A242,Haver_Q!$B$1:$B$1000,0),MATCH(data!H$1,Haver_Q!$B$1:$BD$1,0)),"na")</f>
        <v>na</v>
      </c>
      <c r="I242" s="3">
        <f>IF(ISNUMBER(Bloomberg_m!C258),Bloomberg_m!C258,"na")</f>
        <v>701</v>
      </c>
      <c r="J242" s="3">
        <f>IF(ISNUMBER(Bloomberg_m!D258),Bloomberg_m!D258,"na")</f>
        <v>1772.49</v>
      </c>
      <c r="K242" s="3">
        <f>IF(ISNUMBER(Bloomberg_m!E258),Bloomberg_m!E258,"na")</f>
        <v>999.29</v>
      </c>
      <c r="L242" s="3">
        <f>IF(ISNUMBER(Bloomberg_m!L258),Bloomberg_m!L258,"na")</f>
        <v>57.52</v>
      </c>
      <c r="M242">
        <f>IF(ISNUMBER(INDEX(Haver_M!$B$1:$ZN$1000,MATCH(data!$A242,Haver_M!$B$1:$B$1000,0),MATCH(data!M$1,Haver_M!$B$1:$ZN$1,0))),INDEX(Haver_M!$B$1:$ZN$1000,MATCH(data!$A242,Haver_M!$B$1:$B$1000,0),MATCH(data!M$1,Haver_M!$B$1:$ZN$1,0)),"na")</f>
        <v>7.25</v>
      </c>
      <c r="N242">
        <f>IF(ISNUMBER(INDEX(Haver_M!$B$1:$ZN$1000,MATCH(data!$A242,Haver_M!$B$1:$B$1000,0),MATCH(data!N$1,Haver_M!$B$1:$ZN$1,0))),INDEX(Haver_M!$B$1:$ZN$1000,MATCH(data!$A242,Haver_M!$B$1:$B$1000,0),MATCH(data!N$1,Haver_M!$B$1:$ZN$1,0)),"na")</f>
        <v>6.7826000000000004</v>
      </c>
      <c r="O242">
        <f>IF(ISNUMBER(INDEX(Haver_M!$B$1:$ZN$1000,MATCH(data!$A242,Haver_M!$B$1:$B$1000,0),MATCH(data!O$1,Haver_M!$B$1:$ZN$1,0))),INDEX(Haver_M!$B$1:$ZN$1000,MATCH(data!$A242,Haver_M!$B$1:$B$1000,0),MATCH(data!O$1,Haver_M!$B$1:$ZN$1,0)),"na")</f>
        <v>87.019890000000004</v>
      </c>
      <c r="P242">
        <f>IF(ISNUMBER(INDEX(Haver_M!$B$1:$ZN$1000,MATCH(data!$A242,Haver_M!$B$1:$B$1000,0),MATCH(data!P$1,Haver_M!$B$1:$ZN$1,0))),INDEX(Haver_M!$B$1:$ZN$1000,MATCH(data!$A242,Haver_M!$B$1:$B$1000,0),MATCH(data!P$1,Haver_M!$B$1:$ZN$1,0)),"na")</f>
        <v>105.7931</v>
      </c>
      <c r="Q242">
        <f>IF(ISNUMBER(INDEX(Haver_M!$B$1:$ZN$1000,MATCH(data!$A242,Haver_M!$B$1:$B$1000,0),MATCH(data!Q$1,Haver_M!$B$1:$ZN$1,0))),INDEX(Haver_M!$B$1:$ZN$1000,MATCH(data!$A242,Haver_M!$B$1:$B$1000,0),MATCH(data!Q$1,Haver_M!$B$1:$ZN$1,0)),"na")</f>
        <v>105.6579</v>
      </c>
      <c r="R242">
        <f>IF(ISNUMBER(INDEX(Haver_M!$B$1:$ZN$1000,MATCH(data!$A242,Haver_M!$B$1:$B$1000,0),MATCH(data!R$1,Haver_M!$B$1:$ZN$1,0))),INDEX(Haver_M!$B$1:$ZN$1000,MATCH(data!$A242,Haver_M!$B$1:$B$1000,0),MATCH(data!R$1,Haver_M!$B$1:$ZN$1,0)),"na")</f>
        <v>101.5971</v>
      </c>
      <c r="S242">
        <f>IF(ISNUMBER(INDEX(Haver_M!$B$1:$ZN$1000,MATCH(data!$A242,Haver_M!$B$1:$B$1000,0),MATCH(data!S$1,Haver_M!$B$1:$ZN$1,0))),INDEX(Haver_M!$B$1:$ZN$1000,MATCH(data!$A242,Haver_M!$B$1:$B$1000,0),MATCH(data!S$1,Haver_M!$B$1:$ZN$1,0)),"na")</f>
        <v>75.866</v>
      </c>
      <c r="T242">
        <f>IF(ISNUMBER(INDEX(Haver_M!$B$1:$ZN$1000,MATCH(data!$A242,Haver_M!$B$1:$B$1000,0),MATCH(data!T$1,Haver_M!$B$1:$ZN$1,0))),INDEX(Haver_M!$B$1:$ZN$1000,MATCH(data!$A242,Haver_M!$B$1:$B$1000,0),MATCH(data!T$1,Haver_M!$B$1:$ZN$1,0)),"na")</f>
        <v>117.5039</v>
      </c>
      <c r="U242">
        <f>IF(ISNUMBER(INDEX(Haver_M!$B$1:$ZN$1000,MATCH(data!$A242,Haver_M!$B$1:$B$1000,0),MATCH(data!U$1,Haver_M!$B$1:$ZN$1,0))),INDEX(Haver_M!$B$1:$ZN$1000,MATCH(data!$A242,Haver_M!$B$1:$B$1000,0),MATCH(data!U$1,Haver_M!$B$1:$ZN$1,0)),"na")</f>
        <v>98.886799999999994</v>
      </c>
      <c r="V242">
        <f>IF(ISNUMBER(INDEX(Haver_M!$B$1:$ZN$1000,MATCH(data!$A242,Haver_M!$B$1:$B$1000,0),MATCH(data!V$1,Haver_M!$B$1:$ZN$1,0))),INDEX(Haver_M!$B$1:$ZN$1000,MATCH(data!$A242,Haver_M!$B$1:$B$1000,0),MATCH(data!V$1,Haver_M!$B$1:$ZN$1,0)),"na")</f>
        <v>113.006</v>
      </c>
      <c r="W242">
        <f>IF(ISNUMBER(INDEX(Haver_M!$B$1:$ZN$1000,MATCH(data!$A242,Haver_M!$B$1:$B$1000,0),MATCH(data!W$1,Haver_M!$B$1:$ZN$1,0))),INDEX(Haver_M!$B$1:$ZN$1000,MATCH(data!$A242,Haver_M!$B$1:$B$1000,0),MATCH(data!W$1,Haver_M!$B$1:$ZN$1,0)),"na")</f>
        <v>3.72</v>
      </c>
      <c r="X242">
        <f>IF(ISNUMBER(INDEX(Haver_M!$B$1:$ZN$1000,MATCH(data!$A242,Haver_M!$B$1:$B$1000,0),MATCH(data!X$1,Haver_M!$B$1:$ZN$1,0))),INDEX(Haver_M!$B$1:$ZN$1000,MATCH(data!$A242,Haver_M!$B$1:$B$1000,0),MATCH(data!X$1,Haver_M!$B$1:$ZN$1,0)),"na")</f>
        <v>108.99</v>
      </c>
      <c r="Y242">
        <f>IF(ISNUMBER(INDEX(Haver_M!$B$1:$ZN$1000,MATCH(data!$A242,Haver_M!$B$1:$B$1000,0),MATCH(data!Y$1,Haver_M!$B$1:$ZN$1,0))),INDEX(Haver_M!$B$1:$ZN$1000,MATCH(data!$A242,Haver_M!$B$1:$B$1000,0),MATCH(data!Y$1,Haver_M!$B$1:$ZN$1,0)),"na")</f>
        <v>100.25</v>
      </c>
      <c r="Z242">
        <f>IF(ISNUMBER(INDEX(Haver_M!$B$1:$ZN$1000,MATCH(data!$A242,Haver_M!$B$1:$B$1000,0),MATCH(data!Z$1,Haver_M!$B$1:$ZN$1,0))),INDEX(Haver_M!$B$1:$ZN$1000,MATCH(data!$A242,Haver_M!$B$1:$B$1000,0),MATCH(data!Z$1,Haver_M!$B$1:$ZN$1,0)),"na")</f>
        <v>115.604</v>
      </c>
      <c r="AA242">
        <f>IF(ISNUMBER(INDEX(Haver_M!$B$1:$ZN$1000,MATCH(data!$A242,Haver_M!$B$1:$B$1000,0),MATCH(data!AA$1,Haver_M!$B$1:$ZN$1,0))),INDEX(Haver_M!$B$1:$ZN$1000,MATCH(data!$A242,Haver_M!$B$1:$B$1000,0),MATCH(data!AA$1,Haver_M!$B$1:$ZN$1,0)),"na")</f>
        <v>106.027</v>
      </c>
      <c r="AB242">
        <f>IF(ISNUMBER(INDEX(Haver_M!$B$1:$ZN$1000,MATCH(data!$A242,Haver_M!$B$1:$B$1000,0),MATCH(data!AB$1,Haver_M!$B$1:$ZN$1,0))),INDEX(Haver_M!$B$1:$ZN$1000,MATCH(data!$A242,Haver_M!$B$1:$B$1000,0),MATCH(data!AB$1,Haver_M!$B$1:$ZN$1,0)),"na")</f>
        <v>39294.800000000003</v>
      </c>
      <c r="AC242">
        <f>IF(ISNUMBER(INDEX(Haver_M!$B$1:$ZN$1000,MATCH(data!$A242,Haver_M!$B$1:$B$1000,0),MATCH(data!AC$1,Haver_M!$B$1:$ZN$1,0))),INDEX(Haver_M!$B$1:$ZN$1000,MATCH(data!$A242,Haver_M!$B$1:$B$1000,0),MATCH(data!AC$1,Haver_M!$B$1:$ZN$1,0)),"na")</f>
        <v>37440.6</v>
      </c>
      <c r="AD242">
        <f>IF(ISNUMBER(INDEX(Haver_M!$B$1:$ZN$1000,MATCH(data!$A242,Haver_M!$B$1:$B$1000,0),MATCH(data!AD$1,Haver_M!$B$1:$ZN$1,0))),INDEX(Haver_M!$B$1:$ZN$1000,MATCH(data!$A242,Haver_M!$B$1:$B$1000,0),MATCH(data!AD$1,Haver_M!$B$1:$ZN$1,0)),"na")</f>
        <v>99.07</v>
      </c>
      <c r="AE242">
        <f>IF(ISNUMBER(INDEX(Haver_M!$B$1:$ZN$1000,MATCH(data!$A242,Haver_M!$B$1:$B$1000,0),MATCH(data!AE$1,Haver_M!$B$1:$ZN$1,0))),INDEX(Haver_M!$B$1:$ZN$1000,MATCH(data!$A242,Haver_M!$B$1:$B$1000,0),MATCH(data!AE$1,Haver_M!$B$1:$ZN$1,0)),"na")</f>
        <v>44</v>
      </c>
      <c r="AF242">
        <f>IF(ISNUMBER(INDEX(Haver_M!$B$1:$ZN$1000,MATCH(data!$A242,Haver_M!$B$1:$B$1000,0),MATCH(data!AF$1,Haver_M!$B$1:$ZN$1,0))),INDEX(Haver_M!$B$1:$ZN$1000,MATCH(data!$A242,Haver_M!$B$1:$B$1000,0),MATCH(data!AF$1,Haver_M!$B$1:$ZN$1,0)),"na")</f>
        <v>99.87</v>
      </c>
      <c r="AG242">
        <f>IF(ISNUMBER(INDEX(Haver_M!$B$1:$ZN$1000,MATCH(data!$A242,Haver_M!$B$1:$B$1000,0),MATCH(data!AG$1,Haver_M!$B$1:$ZN$1,0))),INDEX(Haver_M!$B$1:$ZN$1000,MATCH(data!$A242,Haver_M!$B$1:$B$1000,0),MATCH(data!AG$1,Haver_M!$B$1:$ZN$1,0)),"na")</f>
        <v>48.989400000000003</v>
      </c>
      <c r="AH242">
        <f>IF(ISNUMBER(INDEX(Haver_M!$B$1:$ZN$1000,MATCH(data!$A242,Haver_M!$B$1:$B$1000,0),MATCH(data!AH$1,Haver_M!$B$1:$ZN$1,0))),INDEX(Haver_M!$B$1:$ZN$1000,MATCH(data!$A242,Haver_M!$B$1:$B$1000,0),MATCH(data!AH$1,Haver_M!$B$1:$ZN$1,0)),"na")</f>
        <v>47.806699999999999</v>
      </c>
      <c r="AI242">
        <f>IF(ISNUMBER(INDEX(Haver_M!$B$1:$ZN$1000,MATCH(data!$A242,Haver_M!$B$1:$B$1000,0),MATCH(data!AI$1,Haver_M!$B$1:$ZN$1,0))),INDEX(Haver_M!$B$1:$ZN$1000,MATCH(data!$A242,Haver_M!$B$1:$B$1000,0),MATCH(data!AI$1,Haver_M!$B$1:$ZN$1,0)),"na")</f>
        <v>48.4651</v>
      </c>
      <c r="AJ242">
        <f>IF(ISNUMBER(INDEX(Haver_M!$B$1:$ZN$1000,MATCH(data!$A242,Haver_M!$B$1:$B$1000,0),MATCH(data!AJ$1,Haver_M!$B$1:$ZN$1,0))),INDEX(Haver_M!$B$1:$ZN$1000,MATCH(data!$A242,Haver_M!$B$1:$B$1000,0),MATCH(data!AJ$1,Haver_M!$B$1:$ZN$1,0)),"na")</f>
        <v>50.2928</v>
      </c>
      <c r="AK242">
        <f>IF(ISNUMBER(INDEX(Haver_M!$B$1:$ZN$1000,MATCH(data!$A242,Haver_M!$B$1:$B$1000,0),MATCH(data!AK$1,Haver_M!$B$1:$ZN$1,0))),INDEX(Haver_M!$B$1:$ZN$1000,MATCH(data!$A242,Haver_M!$B$1:$B$1000,0),MATCH(data!AK$1,Haver_M!$B$1:$ZN$1,0)),"na")</f>
        <v>49.632300000000001</v>
      </c>
      <c r="AL242">
        <f>IF(ISNUMBER(INDEX(Haver_M!$B$1:$ZN$1000,MATCH(data!$A242,Haver_M!$B$1:$B$1000,0),MATCH(data!AL$1,Haver_M!$B$1:$ZN$1,0))),INDEX(Haver_M!$B$1:$ZN$1000,MATCH(data!$A242,Haver_M!$B$1:$B$1000,0),MATCH(data!AL$1,Haver_M!$B$1:$ZN$1,0)),"na")</f>
        <v>48.844999999999999</v>
      </c>
      <c r="AM242">
        <f>IF(ISNUMBER(INDEX(Haver_M!$B$1:$ZN$1000,MATCH(data!$A242,Haver_M!$B$1:$B$1000,0),MATCH(data!AM$1,Haver_M!$B$1:$ZN$1,0))),INDEX(Haver_M!$B$1:$ZN$1000,MATCH(data!$A242,Haver_M!$B$1:$B$1000,0),MATCH(data!AM$1,Haver_M!$B$1:$ZN$1,0)),"na")</f>
        <v>52.065100000000001</v>
      </c>
      <c r="AN242">
        <f>IF(ISNUMBER(INDEX(Haver_M!$B$1:$ZN$1000,MATCH(data!$A242,Haver_M!$B$1:$B$1000,0),MATCH(data!AN$1,Haver_M!$B$1:$ZN$1,0))),INDEX(Haver_M!$B$1:$ZN$1000,MATCH(data!$A242,Haver_M!$B$1:$B$1000,0),MATCH(data!AN$1,Haver_M!$B$1:$ZN$1,0)),"na")</f>
        <v>49.411799999999999</v>
      </c>
      <c r="AO242">
        <f>IF(ISNUMBER(INDEX(Haver_M!$B$1:$ZN$1000,MATCH(data!$A242,Haver_M!$B$1:$B$1000,0),MATCH(data!AO$1,Haver_M!$B$1:$ZN$1,0))),INDEX(Haver_M!$B$1:$ZN$1000,MATCH(data!$A242,Haver_M!$B$1:$B$1000,0),MATCH(data!AO$1,Haver_M!$B$1:$ZN$1,0)),"na")</f>
        <v>48.844999999999999</v>
      </c>
      <c r="AP242">
        <f>IF(ISNUMBER(INDEX(Haver_M!$B$1:$ZN$1000,MATCH(data!$A242,Haver_M!$B$1:$B$1000,0),MATCH(data!AP$1,Haver_M!$B$1:$ZN$1,0))),INDEX(Haver_M!$B$1:$ZN$1000,MATCH(data!$A242,Haver_M!$B$1:$B$1000,0),MATCH(data!AP$1,Haver_M!$B$1:$ZN$1,0)),"na")</f>
        <v>48.523800000000001</v>
      </c>
      <c r="AQ242">
        <f>IF(ISNUMBER(INDEX(Haver_M!$B$1:$ZN$1000,MATCH(data!$A242,Haver_M!$B$1:$B$1000,0),MATCH(data!AQ$1,Haver_M!$B$1:$ZN$1,0))),INDEX(Haver_M!$B$1:$ZN$1000,MATCH(data!$A242,Haver_M!$B$1:$B$1000,0),MATCH(data!AQ$1,Haver_M!$B$1:$ZN$1,0)),"na")</f>
        <v>49.527900000000002</v>
      </c>
      <c r="AR242">
        <f>IF(ISNUMBER(INDEX(Haver_M!$B$1:$ZN$1000,MATCH(data!$A242,Haver_M!$B$1:$B$1000,0),MATCH(data!AR$1,Haver_M!$B$1:$ZN$1,0))),INDEX(Haver_M!$B$1:$ZN$1000,MATCH(data!$A242,Haver_M!$B$1:$B$1000,0),MATCH(data!AR$1,Haver_M!$B$1:$ZN$1,0)),"na")</f>
        <v>49.633800000000001</v>
      </c>
      <c r="AS242">
        <f>IF(ISNUMBER(INDEX(Haver_M!$B$1:$ZN$1000,MATCH(data!$A242,Haver_M!$B$1:$B$1000,0),MATCH(data!AS$1,Haver_M!$B$1:$ZN$1,0))),INDEX(Haver_M!$B$1:$ZN$1000,MATCH(data!$A242,Haver_M!$B$1:$B$1000,0),MATCH(data!AS$1,Haver_M!$B$1:$ZN$1,0)),"na")</f>
        <v>44878.73</v>
      </c>
      <c r="AT242">
        <f>IF(ISNUMBER(INDEX(Haver_M!$B$1:$ZN$1000,MATCH(data!$A242,Haver_M!$B$1:$B$1000,0),MATCH(data!AT$1,Haver_M!$B$1:$ZN$1,0))),INDEX(Haver_M!$B$1:$ZN$1000,MATCH(data!$A242,Haver_M!$B$1:$B$1000,0),MATCH(data!AT$1,Haver_M!$B$1:$ZN$1,0)),"na")</f>
        <v>116.596</v>
      </c>
      <c r="AU242">
        <f>IF(ISNUMBER(INDEX(Haver_M!$B$1:$ZN$1000,MATCH(data!$A242,Haver_M!$B$1:$B$1000,0),MATCH(data!AU$1,Haver_M!$B$1:$ZN$1,0))),INDEX(Haver_M!$B$1:$ZN$1000,MATCH(data!$A242,Haver_M!$B$1:$B$1000,0),MATCH(data!AU$1,Haver_M!$B$1:$ZN$1,0)),"na")</f>
        <v>111.91956</v>
      </c>
      <c r="AV242">
        <f>IF(ISNUMBER(INDEX(Haver_M!$B$1:$ZN$1000,MATCH(data!$A242,Haver_M!$B$1:$B$1000,0),MATCH(data!AV$1,Haver_M!$B$1:$ZN$1,0))),INDEX(Haver_M!$B$1:$ZN$1000,MATCH(data!$A242,Haver_M!$B$1:$B$1000,0),MATCH(data!AV$1,Haver_M!$B$1:$ZN$1,0)),"na")</f>
        <v>100.7</v>
      </c>
      <c r="AW242">
        <f>IF(ISNUMBER(INDEX(Haver_M!$B$1:$ZN$1000,MATCH(data!$A242,Haver_M!$B$1:$B$1000,0),MATCH(data!AW$1,Haver_M!$B$1:$ZN$1,0))),INDEX(Haver_M!$B$1:$ZN$1000,MATCH(data!$A242,Haver_M!$B$1:$B$1000,0),MATCH(data!AW$1,Haver_M!$B$1:$ZN$1,0)),"na")</f>
        <v>2003764.6932812489</v>
      </c>
      <c r="AX242">
        <f>IF(ISNUMBER(INDEX(Haver_M!$B$1:$ZN$1000,MATCH(data!$A242,Haver_M!$B$1:$B$1000,0),MATCH(data!AX$1,Haver_M!$B$1:$ZN$1,0))),INDEX(Haver_M!$B$1:$ZN$1000,MATCH(data!$A242,Haver_M!$B$1:$B$1000,0),MATCH(data!AX$1,Haver_M!$B$1:$ZN$1,0)),"na")</f>
        <v>1733</v>
      </c>
      <c r="AY242">
        <f>IF(ISNUMBER(INDEX(Haver_M!$B$1:$ZN$1000,MATCH(data!$A242,Haver_M!$B$1:$B$1000,0),MATCH(data!AY$1,Haver_M!$B$1:$ZN$1,0))),INDEX(Haver_M!$B$1:$ZN$1000,MATCH(data!$A242,Haver_M!$B$1:$B$1000,0),MATCH(data!AY$1,Haver_M!$B$1:$ZN$1,0)),"na")</f>
        <v>1260</v>
      </c>
      <c r="AZ242">
        <f>IF(ISNUMBER(INDEX(Haver_M!$B$1:$ZN$1000,MATCH(data!$A242,Haver_M!$B$1:$B$1000,0),MATCH(data!AZ$1,Haver_M!$B$1:$ZN$1,0))),INDEX(Haver_M!$B$1:$ZN$1000,MATCH(data!$A242,Haver_M!$B$1:$B$1000,0),MATCH(data!AZ$1,Haver_M!$B$1:$ZN$1,0)),"na")</f>
        <v>49</v>
      </c>
      <c r="BA242">
        <f>IF(ISNUMBER(INDEX(Haver_M!$B$1:$ZN$1000,MATCH(data!$A242,Haver_M!$B$1:$B$1000,0),MATCH(data!BA$1,Haver_M!$B$1:$ZN$1,0))),INDEX(Haver_M!$B$1:$ZN$1000,MATCH(data!$A242,Haver_M!$B$1:$B$1000,0),MATCH(data!BA$1,Haver_M!$B$1:$ZN$1,0)),"na")</f>
        <v>45.682241857690443</v>
      </c>
      <c r="BB242" t="str">
        <f>IF(ISNUMBER(INDEX(Haver_M!$B$1:$ZN$1000,MATCH(data!$A242,Haver_M!$B$1:$B$1000,0),MATCH(data!BB$1,Haver_M!$B$1:$ZN$1,0))),INDEX(Haver_M!$B$1:$ZN$1000,MATCH(data!$A242,Haver_M!$B$1:$B$1000,0),MATCH(data!BB$1,Haver_M!$B$1:$ZN$1,0)),"")</f>
        <v/>
      </c>
    </row>
    <row r="243" spans="1:54" x14ac:dyDescent="0.25">
      <c r="A243" s="2">
        <v>43890</v>
      </c>
      <c r="B243" t="str">
        <f>IF(ISNUMBER(INDEX(Haver_Q!$B$1:$BD$1000,MATCH(data!$A243,Haver_Q!$B$1:$B$1000,0),MATCH(data!B$1,Haver_Q!$B$1:$BD$1,0))),100*INDEX(Haver_Q!$B$1:$BD$1000,MATCH(data!$A243,Haver_Q!$B$1:$B$1000,0),MATCH(data!B$1,Haver_Q!$B$1:$BD$1,0)),"na")</f>
        <v>na</v>
      </c>
      <c r="C243" t="str">
        <f>IF(ISNUMBER(INDEX(Haver_Q!$B$1:$BD$1000,MATCH(data!$A243,Haver_Q!$B$1:$B$1000,0),MATCH(data!C$1,Haver_Q!$B$1:$BD$1,0))),100*INDEX(Haver_Q!$B$1:$BD$1000,MATCH(data!$A243,Haver_Q!$B$1:$B$1000,0),MATCH(data!C$1,Haver_Q!$B$1:$BD$1,0)),"na")</f>
        <v>na</v>
      </c>
      <c r="D243" t="str">
        <f>IF(ISNUMBER(INDEX(Haver_Q!$B$1:$BD$1000,MATCH(data!$A243,Haver_Q!$B$1:$B$1000,0),MATCH(data!D$1,Haver_Q!$B$1:$BD$1,0))),100*INDEX(Haver_Q!$B$1:$BD$1000,MATCH(data!$A243,Haver_Q!$B$1:$B$1000,0),MATCH(data!D$1,Haver_Q!$B$1:$BD$1,0)),"na")</f>
        <v>na</v>
      </c>
      <c r="E243" t="str">
        <f>IF(ISNUMBER(INDEX(Haver_Q!$B$1:$BD$1000,MATCH(data!$A243,Haver_Q!$B$1:$B$1000,0),MATCH(data!E$1,Haver_Q!$B$1:$BD$1,0))),100*INDEX(Haver_Q!$B$1:$BD$1000,MATCH(data!$A243,Haver_Q!$B$1:$B$1000,0),MATCH(data!E$1,Haver_Q!$B$1:$BD$1,0)),"na")</f>
        <v>na</v>
      </c>
      <c r="F243" t="str">
        <f>IF(ISNUMBER(INDEX(Haver_Q!$B$1:$BD$1000,MATCH(data!$A243,Haver_Q!$B$1:$B$1000,0),MATCH(data!F$1,Haver_Q!$B$1:$BD$1,0))),100*INDEX(Haver_Q!$B$1:$BD$1000,MATCH(data!$A243,Haver_Q!$B$1:$B$1000,0),MATCH(data!F$1,Haver_Q!$B$1:$BD$1,0)),"na")</f>
        <v>na</v>
      </c>
      <c r="G243" t="str">
        <f>IF(ISNUMBER(INDEX(Haver_Q!$B$1:$BD$1000,MATCH(data!$A243,Haver_Q!$B$1:$B$1000,0),MATCH(data!G$1,Haver_Q!$B$1:$BD$1,0))),100*INDEX(Haver_Q!$B$1:$BD$1000,MATCH(data!$A243,Haver_Q!$B$1:$B$1000,0),MATCH(data!G$1,Haver_Q!$B$1:$BD$1,0)),"na")</f>
        <v>na</v>
      </c>
      <c r="H243" t="str">
        <f>IF(ISNUMBER(INDEX(Haver_Q!$B$1:$BD$1000,MATCH(data!$A243,Haver_Q!$B$1:$B$1000,0),MATCH(data!H$1,Haver_Q!$B$1:$BD$1,0))),100*INDEX(Haver_Q!$B$1:$BD$1000,MATCH(data!$A243,Haver_Q!$B$1:$B$1000,0),MATCH(data!H$1,Haver_Q!$B$1:$BD$1,0)),"na")</f>
        <v>na</v>
      </c>
      <c r="I243" s="3">
        <f>IF(ISNUMBER(Bloomberg_m!C259),Bloomberg_m!C259,"na")</f>
        <v>461</v>
      </c>
      <c r="J243" s="3">
        <f>IF(ISNUMBER(Bloomberg_m!D259),Bloomberg_m!D259,"na")</f>
        <v>1632.98</v>
      </c>
      <c r="K243" s="3">
        <f>IF(ISNUMBER(Bloomberg_m!E259),Bloomberg_m!E259,"na")</f>
        <v>891.35</v>
      </c>
      <c r="L243" s="3">
        <f>IF(ISNUMBER(Bloomberg_m!L259),Bloomberg_m!L259,"na")</f>
        <v>50.53</v>
      </c>
      <c r="M243">
        <f>IF(ISNUMBER(INDEX(Haver_M!$B$1:$ZN$1000,MATCH(data!$A243,Haver_M!$B$1:$B$1000,0),MATCH(data!M$1,Haver_M!$B$1:$ZN$1,0))),INDEX(Haver_M!$B$1:$ZN$1000,MATCH(data!$A243,Haver_M!$B$1:$B$1000,0),MATCH(data!M$1,Haver_M!$B$1:$ZN$1,0)),"na")</f>
        <v>7</v>
      </c>
      <c r="N243">
        <f>IF(ISNUMBER(INDEX(Haver_M!$B$1:$ZN$1000,MATCH(data!$A243,Haver_M!$B$1:$B$1000,0),MATCH(data!N$1,Haver_M!$B$1:$ZN$1,0))),INDEX(Haver_M!$B$1:$ZN$1000,MATCH(data!$A243,Haver_M!$B$1:$B$1000,0),MATCH(data!N$1,Haver_M!$B$1:$ZN$1,0)),"na")</f>
        <v>6.5673000000000004</v>
      </c>
      <c r="O243">
        <f>IF(ISNUMBER(INDEX(Haver_M!$B$1:$ZN$1000,MATCH(data!$A243,Haver_M!$B$1:$B$1000,0),MATCH(data!O$1,Haver_M!$B$1:$ZN$1,0))),INDEX(Haver_M!$B$1:$ZN$1000,MATCH(data!$A243,Haver_M!$B$1:$B$1000,0),MATCH(data!O$1,Haver_M!$B$1:$ZN$1,0)),"na")</f>
        <v>87.687430000000006</v>
      </c>
      <c r="P243">
        <f>IF(ISNUMBER(INDEX(Haver_M!$B$1:$ZN$1000,MATCH(data!$A243,Haver_M!$B$1:$B$1000,0),MATCH(data!P$1,Haver_M!$B$1:$ZN$1,0))),INDEX(Haver_M!$B$1:$ZN$1000,MATCH(data!$A243,Haver_M!$B$1:$B$1000,0),MATCH(data!P$1,Haver_M!$B$1:$ZN$1,0)),"na")</f>
        <v>106.245</v>
      </c>
      <c r="Q243">
        <f>IF(ISNUMBER(INDEX(Haver_M!$B$1:$ZN$1000,MATCH(data!$A243,Haver_M!$B$1:$B$1000,0),MATCH(data!Q$1,Haver_M!$B$1:$ZN$1,0))),INDEX(Haver_M!$B$1:$ZN$1000,MATCH(data!$A243,Haver_M!$B$1:$B$1000,0),MATCH(data!Q$1,Haver_M!$B$1:$ZN$1,0)),"na")</f>
        <v>105.8507</v>
      </c>
      <c r="R243">
        <f>IF(ISNUMBER(INDEX(Haver_M!$B$1:$ZN$1000,MATCH(data!$A243,Haver_M!$B$1:$B$1000,0),MATCH(data!R$1,Haver_M!$B$1:$ZN$1,0))),INDEX(Haver_M!$B$1:$ZN$1000,MATCH(data!$A243,Haver_M!$B$1:$B$1000,0),MATCH(data!R$1,Haver_M!$B$1:$ZN$1,0)),"na")</f>
        <v>101.1168</v>
      </c>
      <c r="S243">
        <f>IF(ISNUMBER(INDEX(Haver_M!$B$1:$ZN$1000,MATCH(data!$A243,Haver_M!$B$1:$B$1000,0),MATCH(data!S$1,Haver_M!$B$1:$ZN$1,0))),INDEX(Haver_M!$B$1:$ZN$1000,MATCH(data!$A243,Haver_M!$B$1:$B$1000,0),MATCH(data!S$1,Haver_M!$B$1:$ZN$1,0)),"na")</f>
        <v>75.126599999999996</v>
      </c>
      <c r="T243">
        <f>IF(ISNUMBER(INDEX(Haver_M!$B$1:$ZN$1000,MATCH(data!$A243,Haver_M!$B$1:$B$1000,0),MATCH(data!T$1,Haver_M!$B$1:$ZN$1,0))),INDEX(Haver_M!$B$1:$ZN$1000,MATCH(data!$A243,Haver_M!$B$1:$B$1000,0),MATCH(data!T$1,Haver_M!$B$1:$ZN$1,0)),"na")</f>
        <v>119.1293</v>
      </c>
      <c r="U243">
        <f>IF(ISNUMBER(INDEX(Haver_M!$B$1:$ZN$1000,MATCH(data!$A243,Haver_M!$B$1:$B$1000,0),MATCH(data!U$1,Haver_M!$B$1:$ZN$1,0))),INDEX(Haver_M!$B$1:$ZN$1000,MATCH(data!$A243,Haver_M!$B$1:$B$1000,0),MATCH(data!U$1,Haver_M!$B$1:$ZN$1,0)),"na")</f>
        <v>97.612799999999993</v>
      </c>
      <c r="V243">
        <f>IF(ISNUMBER(INDEX(Haver_M!$B$1:$ZN$1000,MATCH(data!$A243,Haver_M!$B$1:$B$1000,0),MATCH(data!V$1,Haver_M!$B$1:$ZN$1,0))),INDEX(Haver_M!$B$1:$ZN$1000,MATCH(data!$A243,Haver_M!$B$1:$B$1000,0),MATCH(data!V$1,Haver_M!$B$1:$ZN$1,0)),"na")</f>
        <v>112.39830000000001</v>
      </c>
      <c r="W243">
        <f>IF(ISNUMBER(INDEX(Haver_M!$B$1:$ZN$1000,MATCH(data!$A243,Haver_M!$B$1:$B$1000,0),MATCH(data!W$1,Haver_M!$B$1:$ZN$1,0))),INDEX(Haver_M!$B$1:$ZN$1000,MATCH(data!$A243,Haver_M!$B$1:$B$1000,0),MATCH(data!W$1,Haver_M!$B$1:$ZN$1,0)),"na")</f>
        <v>3.71</v>
      </c>
      <c r="X243">
        <f>IF(ISNUMBER(INDEX(Haver_M!$B$1:$ZN$1000,MATCH(data!$A243,Haver_M!$B$1:$B$1000,0),MATCH(data!X$1,Haver_M!$B$1:$ZN$1,0))),INDEX(Haver_M!$B$1:$ZN$1000,MATCH(data!$A243,Haver_M!$B$1:$B$1000,0),MATCH(data!X$1,Haver_M!$B$1:$ZN$1,0)),"na")</f>
        <v>109.09</v>
      </c>
      <c r="Y243">
        <f>IF(ISNUMBER(INDEX(Haver_M!$B$1:$ZN$1000,MATCH(data!$A243,Haver_M!$B$1:$B$1000,0),MATCH(data!Y$1,Haver_M!$B$1:$ZN$1,0))),INDEX(Haver_M!$B$1:$ZN$1000,MATCH(data!$A243,Haver_M!$B$1:$B$1000,0),MATCH(data!Y$1,Haver_M!$B$1:$ZN$1,0)),"na")</f>
        <v>99.86</v>
      </c>
      <c r="Z243">
        <f>IF(ISNUMBER(INDEX(Haver_M!$B$1:$ZN$1000,MATCH(data!$A243,Haver_M!$B$1:$B$1000,0),MATCH(data!Z$1,Haver_M!$B$1:$ZN$1,0))),INDEX(Haver_M!$B$1:$ZN$1000,MATCH(data!$A243,Haver_M!$B$1:$B$1000,0),MATCH(data!Z$1,Haver_M!$B$1:$ZN$1,0)),"na")</f>
        <v>114.6651</v>
      </c>
      <c r="AA243">
        <f>IF(ISNUMBER(INDEX(Haver_M!$B$1:$ZN$1000,MATCH(data!$A243,Haver_M!$B$1:$B$1000,0),MATCH(data!AA$1,Haver_M!$B$1:$ZN$1,0))),INDEX(Haver_M!$B$1:$ZN$1000,MATCH(data!$A243,Haver_M!$B$1:$B$1000,0),MATCH(data!AA$1,Haver_M!$B$1:$ZN$1,0)),"na")</f>
        <v>105.7684</v>
      </c>
      <c r="AB243">
        <f>IF(ISNUMBER(INDEX(Haver_M!$B$1:$ZN$1000,MATCH(data!$A243,Haver_M!$B$1:$B$1000,0),MATCH(data!AB$1,Haver_M!$B$1:$ZN$1,0))),INDEX(Haver_M!$B$1:$ZN$1000,MATCH(data!$A243,Haver_M!$B$1:$B$1000,0),MATCH(data!AB$1,Haver_M!$B$1:$ZN$1,0)),"na")</f>
        <v>38000.9</v>
      </c>
      <c r="AC243">
        <f>IF(ISNUMBER(INDEX(Haver_M!$B$1:$ZN$1000,MATCH(data!$A243,Haver_M!$B$1:$B$1000,0),MATCH(data!AC$1,Haver_M!$B$1:$ZN$1,0))),INDEX(Haver_M!$B$1:$ZN$1000,MATCH(data!$A243,Haver_M!$B$1:$B$1000,0),MATCH(data!AC$1,Haver_M!$B$1:$ZN$1,0)),"na")</f>
        <v>36616.5</v>
      </c>
      <c r="AD243">
        <f>IF(ISNUMBER(INDEX(Haver_M!$B$1:$ZN$1000,MATCH(data!$A243,Haver_M!$B$1:$B$1000,0),MATCH(data!AD$1,Haver_M!$B$1:$ZN$1,0))),INDEX(Haver_M!$B$1:$ZN$1000,MATCH(data!$A243,Haver_M!$B$1:$B$1000,0),MATCH(data!AD$1,Haver_M!$B$1:$ZN$1,0)),"na")</f>
        <v>98.85</v>
      </c>
      <c r="AE243">
        <f>IF(ISNUMBER(INDEX(Haver_M!$B$1:$ZN$1000,MATCH(data!$A243,Haver_M!$B$1:$B$1000,0),MATCH(data!AE$1,Haver_M!$B$1:$ZN$1,0))),INDEX(Haver_M!$B$1:$ZN$1000,MATCH(data!$A243,Haver_M!$B$1:$B$1000,0),MATCH(data!AE$1,Haver_M!$B$1:$ZN$1,0)),"na")</f>
        <v>43.8</v>
      </c>
      <c r="AF243">
        <f>IF(ISNUMBER(INDEX(Haver_M!$B$1:$ZN$1000,MATCH(data!$A243,Haver_M!$B$1:$B$1000,0),MATCH(data!AF$1,Haver_M!$B$1:$ZN$1,0))),INDEX(Haver_M!$B$1:$ZN$1000,MATCH(data!$A243,Haver_M!$B$1:$B$1000,0),MATCH(data!AF$1,Haver_M!$B$1:$ZN$1,0)),"na")</f>
        <v>99.35</v>
      </c>
      <c r="AG243">
        <f>IF(ISNUMBER(INDEX(Haver_M!$B$1:$ZN$1000,MATCH(data!$A243,Haver_M!$B$1:$B$1000,0),MATCH(data!AG$1,Haver_M!$B$1:$ZN$1,0))),INDEX(Haver_M!$B$1:$ZN$1000,MATCH(data!$A243,Haver_M!$B$1:$B$1000,0),MATCH(data!AG$1,Haver_M!$B$1:$ZN$1,0)),"na")</f>
        <v>49.966799999999999</v>
      </c>
      <c r="AH243">
        <f>IF(ISNUMBER(INDEX(Haver_M!$B$1:$ZN$1000,MATCH(data!$A243,Haver_M!$B$1:$B$1000,0),MATCH(data!AH$1,Haver_M!$B$1:$ZN$1,0))),INDEX(Haver_M!$B$1:$ZN$1000,MATCH(data!$A243,Haver_M!$B$1:$B$1000,0),MATCH(data!AH$1,Haver_M!$B$1:$ZN$1,0)),"na")</f>
        <v>50.331899999999997</v>
      </c>
      <c r="AI243">
        <f>IF(ISNUMBER(INDEX(Haver_M!$B$1:$ZN$1000,MATCH(data!$A243,Haver_M!$B$1:$B$1000,0),MATCH(data!AI$1,Haver_M!$B$1:$ZN$1,0))),INDEX(Haver_M!$B$1:$ZN$1000,MATCH(data!$A243,Haver_M!$B$1:$B$1000,0),MATCH(data!AI$1,Haver_M!$B$1:$ZN$1,0)),"na")</f>
        <v>50.683399999999999</v>
      </c>
      <c r="AJ243">
        <f>IF(ISNUMBER(INDEX(Haver_M!$B$1:$ZN$1000,MATCH(data!$A243,Haver_M!$B$1:$B$1000,0),MATCH(data!AJ$1,Haver_M!$B$1:$ZN$1,0))),INDEX(Haver_M!$B$1:$ZN$1000,MATCH(data!$A243,Haver_M!$B$1:$B$1000,0),MATCH(data!AJ$1,Haver_M!$B$1:$ZN$1,0)),"na")</f>
        <v>49.3889</v>
      </c>
      <c r="AK243">
        <f>IF(ISNUMBER(INDEX(Haver_M!$B$1:$ZN$1000,MATCH(data!$A243,Haver_M!$B$1:$B$1000,0),MATCH(data!AK$1,Haver_M!$B$1:$ZN$1,0))),INDEX(Haver_M!$B$1:$ZN$1000,MATCH(data!$A243,Haver_M!$B$1:$B$1000,0),MATCH(data!AK$1,Haver_M!$B$1:$ZN$1,0)),"na")</f>
        <v>50.724899999999998</v>
      </c>
      <c r="AL243">
        <f>IF(ISNUMBER(INDEX(Haver_M!$B$1:$ZN$1000,MATCH(data!$A243,Haver_M!$B$1:$B$1000,0),MATCH(data!AL$1,Haver_M!$B$1:$ZN$1,0))),INDEX(Haver_M!$B$1:$ZN$1000,MATCH(data!$A243,Haver_M!$B$1:$B$1000,0),MATCH(data!AL$1,Haver_M!$B$1:$ZN$1,0)),"na")</f>
        <v>49.0976</v>
      </c>
      <c r="AM243">
        <f>IF(ISNUMBER(INDEX(Haver_M!$B$1:$ZN$1000,MATCH(data!$A243,Haver_M!$B$1:$B$1000,0),MATCH(data!AM$1,Haver_M!$B$1:$ZN$1,0))),INDEX(Haver_M!$B$1:$ZN$1000,MATCH(data!$A243,Haver_M!$B$1:$B$1000,0),MATCH(data!AM$1,Haver_M!$B$1:$ZN$1,0)),"na")</f>
        <v>51.385300000000001</v>
      </c>
      <c r="AN243">
        <f>IF(ISNUMBER(INDEX(Haver_M!$B$1:$ZN$1000,MATCH(data!$A243,Haver_M!$B$1:$B$1000,0),MATCH(data!AN$1,Haver_M!$B$1:$ZN$1,0))),INDEX(Haver_M!$B$1:$ZN$1000,MATCH(data!$A243,Haver_M!$B$1:$B$1000,0),MATCH(data!AN$1,Haver_M!$B$1:$ZN$1,0)),"na")</f>
        <v>50.567900000000002</v>
      </c>
      <c r="AO243">
        <f>IF(ISNUMBER(INDEX(Haver_M!$B$1:$ZN$1000,MATCH(data!$A243,Haver_M!$B$1:$B$1000,0),MATCH(data!AO$1,Haver_M!$B$1:$ZN$1,0))),INDEX(Haver_M!$B$1:$ZN$1000,MATCH(data!$A243,Haver_M!$B$1:$B$1000,0),MATCH(data!AO$1,Haver_M!$B$1:$ZN$1,0)),"na")</f>
        <v>49.0976</v>
      </c>
      <c r="AP243">
        <f>IF(ISNUMBER(INDEX(Haver_M!$B$1:$ZN$1000,MATCH(data!$A243,Haver_M!$B$1:$B$1000,0),MATCH(data!AP$1,Haver_M!$B$1:$ZN$1,0))),INDEX(Haver_M!$B$1:$ZN$1000,MATCH(data!$A243,Haver_M!$B$1:$B$1000,0),MATCH(data!AP$1,Haver_M!$B$1:$ZN$1,0)),"na")</f>
        <v>51.046199999999999</v>
      </c>
      <c r="AQ243">
        <f>IF(ISNUMBER(INDEX(Haver_M!$B$1:$ZN$1000,MATCH(data!$A243,Haver_M!$B$1:$B$1000,0),MATCH(data!AQ$1,Haver_M!$B$1:$ZN$1,0))),INDEX(Haver_M!$B$1:$ZN$1000,MATCH(data!$A243,Haver_M!$B$1:$B$1000,0),MATCH(data!AQ$1,Haver_M!$B$1:$ZN$1,0)),"na")</f>
        <v>49.679299999999998</v>
      </c>
      <c r="AR243">
        <f>IF(ISNUMBER(INDEX(Haver_M!$B$1:$ZN$1000,MATCH(data!$A243,Haver_M!$B$1:$B$1000,0),MATCH(data!AR$1,Haver_M!$B$1:$ZN$1,0))),INDEX(Haver_M!$B$1:$ZN$1000,MATCH(data!$A243,Haver_M!$B$1:$B$1000,0),MATCH(data!AR$1,Haver_M!$B$1:$ZN$1,0)),"na")</f>
        <v>50.754199999999997</v>
      </c>
      <c r="AS243">
        <f>IF(ISNUMBER(INDEX(Haver_M!$B$1:$ZN$1000,MATCH(data!$A243,Haver_M!$B$1:$B$1000,0),MATCH(data!AS$1,Haver_M!$B$1:$ZN$1,0))),INDEX(Haver_M!$B$1:$ZN$1000,MATCH(data!$A243,Haver_M!$B$1:$B$1000,0),MATCH(data!AS$1,Haver_M!$B$1:$ZN$1,0)),"na")</f>
        <v>44230.84</v>
      </c>
      <c r="AT243">
        <f>IF(ISNUMBER(INDEX(Haver_M!$B$1:$ZN$1000,MATCH(data!$A243,Haver_M!$B$1:$B$1000,0),MATCH(data!AT$1,Haver_M!$B$1:$ZN$1,0))),INDEX(Haver_M!$B$1:$ZN$1000,MATCH(data!$A243,Haver_M!$B$1:$B$1000,0),MATCH(data!AT$1,Haver_M!$B$1:$ZN$1,0)),"na")</f>
        <v>116.032</v>
      </c>
      <c r="AU243">
        <f>IF(ISNUMBER(INDEX(Haver_M!$B$1:$ZN$1000,MATCH(data!$A243,Haver_M!$B$1:$B$1000,0),MATCH(data!AU$1,Haver_M!$B$1:$ZN$1,0))),INDEX(Haver_M!$B$1:$ZN$1000,MATCH(data!$A243,Haver_M!$B$1:$B$1000,0),MATCH(data!AU$1,Haver_M!$B$1:$ZN$1,0)),"na")</f>
        <v>111.13733499999999</v>
      </c>
      <c r="AV243">
        <f>IF(ISNUMBER(INDEX(Haver_M!$B$1:$ZN$1000,MATCH(data!$A243,Haver_M!$B$1:$B$1000,0),MATCH(data!AV$1,Haver_M!$B$1:$ZN$1,0))),INDEX(Haver_M!$B$1:$ZN$1000,MATCH(data!$A243,Haver_M!$B$1:$B$1000,0),MATCH(data!AV$1,Haver_M!$B$1:$ZN$1,0)),"na")</f>
        <v>97</v>
      </c>
      <c r="AW243">
        <f>IF(ISNUMBER(INDEX(Haver_M!$B$1:$ZN$1000,MATCH(data!$A243,Haver_M!$B$1:$B$1000,0),MATCH(data!AW$1,Haver_M!$B$1:$ZN$1,0))),INDEX(Haver_M!$B$1:$ZN$1000,MATCH(data!$A243,Haver_M!$B$1:$B$1000,0),MATCH(data!AW$1,Haver_M!$B$1:$ZN$1,0)),"na")</f>
        <v>2186350.0158567587</v>
      </c>
      <c r="AX243">
        <f>IF(ISNUMBER(INDEX(Haver_M!$B$1:$ZN$1000,MATCH(data!$A243,Haver_M!$B$1:$B$1000,0),MATCH(data!AX$1,Haver_M!$B$1:$ZN$1,0))),INDEX(Haver_M!$B$1:$ZN$1000,MATCH(data!$A243,Haver_M!$B$1:$B$1000,0),MATCH(data!AX$1,Haver_M!$B$1:$ZN$1,0)),"na")</f>
        <v>1727</v>
      </c>
      <c r="AY243">
        <f>IF(ISNUMBER(INDEX(Haver_M!$B$1:$ZN$1000,MATCH(data!$A243,Haver_M!$B$1:$B$1000,0),MATCH(data!AY$1,Haver_M!$B$1:$ZN$1,0))),INDEX(Haver_M!$B$1:$ZN$1000,MATCH(data!$A243,Haver_M!$B$1:$B$1000,0),MATCH(data!AY$1,Haver_M!$B$1:$ZN$1,0)),"na")</f>
        <v>1093</v>
      </c>
      <c r="AZ243">
        <f>IF(ISNUMBER(INDEX(Haver_M!$B$1:$ZN$1000,MATCH(data!$A243,Haver_M!$B$1:$B$1000,0),MATCH(data!AZ$1,Haver_M!$B$1:$ZN$1,0))),INDEX(Haver_M!$B$1:$ZN$1000,MATCH(data!$A243,Haver_M!$B$1:$B$1000,0),MATCH(data!AZ$1,Haver_M!$B$1:$ZN$1,0)),"na")</f>
        <v>48.4</v>
      </c>
      <c r="BA243">
        <f>IF(ISNUMBER(INDEX(Haver_M!$B$1:$ZN$1000,MATCH(data!$A243,Haver_M!$B$1:$B$1000,0),MATCH(data!BA$1,Haver_M!$B$1:$ZN$1,0))),INDEX(Haver_M!$B$1:$ZN$1000,MATCH(data!$A243,Haver_M!$B$1:$B$1000,0),MATCH(data!BA$1,Haver_M!$B$1:$ZN$1,0)),"na")</f>
        <v>35.502217605091275</v>
      </c>
      <c r="BB243" t="str">
        <f>IF(ISNUMBER(INDEX(Haver_M!$B$1:$ZN$1000,MATCH(data!$A243,Haver_M!$B$1:$B$1000,0),MATCH(data!BB$1,Haver_M!$B$1:$ZN$1,0))),INDEX(Haver_M!$B$1:$ZN$1000,MATCH(data!$A243,Haver_M!$B$1:$B$1000,0),MATCH(data!BB$1,Haver_M!$B$1:$ZN$1,0)),"")</f>
        <v/>
      </c>
    </row>
    <row r="244" spans="1:54" x14ac:dyDescent="0.25">
      <c r="A244" s="2">
        <v>43921</v>
      </c>
      <c r="B244">
        <f>IF(ISNUMBER(INDEX(Haver_Q!$B$1:$BD$1000,MATCH(data!$A244,Haver_Q!$B$1:$B$1000,0),MATCH(data!B$1,Haver_Q!$B$1:$BD$1,0))),100*INDEX(Haver_Q!$B$1:$BD$1000,MATCH(data!$A244,Haver_Q!$B$1:$B$1000,0),MATCH(data!B$1,Haver_Q!$B$1:$BD$1,0)),"na")</f>
        <v>-4.8722731089481108</v>
      </c>
      <c r="C244">
        <f>IF(ISNUMBER(INDEX(Haver_Q!$B$1:$BD$1000,MATCH(data!$A244,Haver_Q!$B$1:$B$1000,0),MATCH(data!C$1,Haver_Q!$B$1:$BD$1,0))),100*INDEX(Haver_Q!$B$1:$BD$1000,MATCH(data!$A244,Haver_Q!$B$1:$B$1000,0),MATCH(data!C$1,Haver_Q!$B$1:$BD$1,0)),"na")</f>
        <v>13.430904182463287</v>
      </c>
      <c r="D244">
        <f>IF(ISNUMBER(INDEX(Haver_Q!$B$1:$BD$1000,MATCH(data!$A244,Haver_Q!$B$1:$B$1000,0),MATCH(data!D$1,Haver_Q!$B$1:$BD$1,0))),100*INDEX(Haver_Q!$B$1:$BD$1000,MATCH(data!$A244,Haver_Q!$B$1:$B$1000,0),MATCH(data!D$1,Haver_Q!$B$1:$BD$1,0)),"na")</f>
        <v>-5.6732310975717404</v>
      </c>
      <c r="E244">
        <f>IF(ISNUMBER(INDEX(Haver_Q!$B$1:$BD$1000,MATCH(data!$A244,Haver_Q!$B$1:$B$1000,0),MATCH(data!E$1,Haver_Q!$B$1:$BD$1,0))),100*INDEX(Haver_Q!$B$1:$BD$1000,MATCH(data!$A244,Haver_Q!$B$1:$B$1000,0),MATCH(data!E$1,Haver_Q!$B$1:$BD$1,0)),"na")</f>
        <v>-8.3393376904349452</v>
      </c>
      <c r="F244">
        <f>IF(ISNUMBER(INDEX(Haver_Q!$B$1:$BD$1000,MATCH(data!$A244,Haver_Q!$B$1:$B$1000,0),MATCH(data!F$1,Haver_Q!$B$1:$BD$1,0))),100*INDEX(Haver_Q!$B$1:$BD$1000,MATCH(data!$A244,Haver_Q!$B$1:$B$1000,0),MATCH(data!F$1,Haver_Q!$B$1:$BD$1,0)),"na")</f>
        <v>13.026239400187901</v>
      </c>
      <c r="G244">
        <f>IF(ISNUMBER(INDEX(Haver_Q!$B$1:$BD$1000,MATCH(data!$A244,Haver_Q!$B$1:$B$1000,0),MATCH(data!G$1,Haver_Q!$B$1:$BD$1,0))),100*INDEX(Haver_Q!$B$1:$BD$1000,MATCH(data!$A244,Haver_Q!$B$1:$B$1000,0),MATCH(data!G$1,Haver_Q!$B$1:$BD$1,0)),"na")</f>
        <v>-7.3409822157547433</v>
      </c>
      <c r="H244" t="str">
        <f>IF(ISNUMBER(INDEX(Haver_Q!$B$1:$BD$1000,MATCH(data!$A244,Haver_Q!$B$1:$B$1000,0),MATCH(data!H$1,Haver_Q!$B$1:$BD$1,0))),100*INDEX(Haver_Q!$B$1:$BD$1000,MATCH(data!$A244,Haver_Q!$B$1:$B$1000,0),MATCH(data!H$1,Haver_Q!$B$1:$BD$1,0)),"na")</f>
        <v>na</v>
      </c>
      <c r="I244" s="3">
        <f>IF(ISNUMBER(Bloomberg_m!C260),Bloomberg_m!C260,"na")</f>
        <v>601</v>
      </c>
      <c r="J244" s="3">
        <f>IF(ISNUMBER(Bloomberg_m!D260),Bloomberg_m!D260,"na")</f>
        <v>1519.78</v>
      </c>
      <c r="K244" s="3">
        <f>IF(ISNUMBER(Bloomberg_m!E260),Bloomberg_m!E260,"na")</f>
        <v>892.71</v>
      </c>
      <c r="L244" s="3">
        <f>IF(ISNUMBER(Bloomberg_m!L260),Bloomberg_m!L260,"na")</f>
        <v>29.88</v>
      </c>
      <c r="M244">
        <f>IF(ISNUMBER(INDEX(Haver_M!$B$1:$ZN$1000,MATCH(data!$A244,Haver_M!$B$1:$B$1000,0),MATCH(data!M$1,Haver_M!$B$1:$ZN$1,0))),INDEX(Haver_M!$B$1:$ZN$1000,MATCH(data!$A244,Haver_M!$B$1:$B$1000,0),MATCH(data!M$1,Haver_M!$B$1:$ZN$1,0)),"na")</f>
        <v>6.5</v>
      </c>
      <c r="N244">
        <f>IF(ISNUMBER(INDEX(Haver_M!$B$1:$ZN$1000,MATCH(data!$A244,Haver_M!$B$1:$B$1000,0),MATCH(data!N$1,Haver_M!$B$1:$ZN$1,0))),INDEX(Haver_M!$B$1:$ZN$1000,MATCH(data!$A244,Haver_M!$B$1:$B$1000,0),MATCH(data!N$1,Haver_M!$B$1:$ZN$1,0)),"na")</f>
        <v>7.3023999999999996</v>
      </c>
      <c r="O244">
        <f>IF(ISNUMBER(INDEX(Haver_M!$B$1:$ZN$1000,MATCH(data!$A244,Haver_M!$B$1:$B$1000,0),MATCH(data!O$1,Haver_M!$B$1:$ZN$1,0))),INDEX(Haver_M!$B$1:$ZN$1000,MATCH(data!$A244,Haver_M!$B$1:$B$1000,0),MATCH(data!O$1,Haver_M!$B$1:$ZN$1,0)),"na")</f>
        <v>74.559179999999998</v>
      </c>
      <c r="P244">
        <f>IF(ISNUMBER(INDEX(Haver_M!$B$1:$ZN$1000,MATCH(data!$A244,Haver_M!$B$1:$B$1000,0),MATCH(data!P$1,Haver_M!$B$1:$ZN$1,0))),INDEX(Haver_M!$B$1:$ZN$1000,MATCH(data!$A244,Haver_M!$B$1:$B$1000,0),MATCH(data!P$1,Haver_M!$B$1:$ZN$1,0)),"na")</f>
        <v>106.22450000000001</v>
      </c>
      <c r="Q244">
        <f>IF(ISNUMBER(INDEX(Haver_M!$B$1:$ZN$1000,MATCH(data!$A244,Haver_M!$B$1:$B$1000,0),MATCH(data!Q$1,Haver_M!$B$1:$ZN$1,0))),INDEX(Haver_M!$B$1:$ZN$1000,MATCH(data!$A244,Haver_M!$B$1:$B$1000,0),MATCH(data!Q$1,Haver_M!$B$1:$ZN$1,0)),"na")</f>
        <v>106.1174</v>
      </c>
      <c r="R244">
        <f>IF(ISNUMBER(INDEX(Haver_M!$B$1:$ZN$1000,MATCH(data!$A244,Haver_M!$B$1:$B$1000,0),MATCH(data!R$1,Haver_M!$B$1:$ZN$1,0))),INDEX(Haver_M!$B$1:$ZN$1000,MATCH(data!$A244,Haver_M!$B$1:$B$1000,0),MATCH(data!R$1,Haver_M!$B$1:$ZN$1,0)),"na")</f>
        <v>97.790499999999994</v>
      </c>
      <c r="S244">
        <f>IF(ISNUMBER(INDEX(Haver_M!$B$1:$ZN$1000,MATCH(data!$A244,Haver_M!$B$1:$B$1000,0),MATCH(data!S$1,Haver_M!$B$1:$ZN$1,0))),INDEX(Haver_M!$B$1:$ZN$1000,MATCH(data!$A244,Haver_M!$B$1:$B$1000,0),MATCH(data!S$1,Haver_M!$B$1:$ZN$1,0)),"na")</f>
        <v>74.659700000000001</v>
      </c>
      <c r="T244">
        <f>IF(ISNUMBER(INDEX(Haver_M!$B$1:$ZN$1000,MATCH(data!$A244,Haver_M!$B$1:$B$1000,0),MATCH(data!T$1,Haver_M!$B$1:$ZN$1,0))),INDEX(Haver_M!$B$1:$ZN$1000,MATCH(data!$A244,Haver_M!$B$1:$B$1000,0),MATCH(data!T$1,Haver_M!$B$1:$ZN$1,0)),"na")</f>
        <v>116.94759999999999</v>
      </c>
      <c r="U244">
        <f>IF(ISNUMBER(INDEX(Haver_M!$B$1:$ZN$1000,MATCH(data!$A244,Haver_M!$B$1:$B$1000,0),MATCH(data!U$1,Haver_M!$B$1:$ZN$1,0))),INDEX(Haver_M!$B$1:$ZN$1000,MATCH(data!$A244,Haver_M!$B$1:$B$1000,0),MATCH(data!U$1,Haver_M!$B$1:$ZN$1,0)),"na")</f>
        <v>96.184399999999997</v>
      </c>
      <c r="V244">
        <f>IF(ISNUMBER(INDEX(Haver_M!$B$1:$ZN$1000,MATCH(data!$A244,Haver_M!$B$1:$B$1000,0),MATCH(data!V$1,Haver_M!$B$1:$ZN$1,0))),INDEX(Haver_M!$B$1:$ZN$1000,MATCH(data!$A244,Haver_M!$B$1:$B$1000,0),MATCH(data!V$1,Haver_M!$B$1:$ZN$1,0)),"na")</f>
        <v>107.0733</v>
      </c>
      <c r="W244">
        <f>IF(ISNUMBER(INDEX(Haver_M!$B$1:$ZN$1000,MATCH(data!$A244,Haver_M!$B$1:$B$1000,0),MATCH(data!W$1,Haver_M!$B$1:$ZN$1,0))),INDEX(Haver_M!$B$1:$ZN$1000,MATCH(data!$A244,Haver_M!$B$1:$B$1000,0),MATCH(data!W$1,Haver_M!$B$1:$ZN$1,0)),"na")</f>
        <v>3.26</v>
      </c>
      <c r="X244">
        <f>IF(ISNUMBER(INDEX(Haver_M!$B$1:$ZN$1000,MATCH(data!$A244,Haver_M!$B$1:$B$1000,0),MATCH(data!X$1,Haver_M!$B$1:$ZN$1,0))),INDEX(Haver_M!$B$1:$ZN$1000,MATCH(data!$A244,Haver_M!$B$1:$B$1000,0),MATCH(data!X$1,Haver_M!$B$1:$ZN$1,0)),"na")</f>
        <v>108.41</v>
      </c>
      <c r="Y244">
        <f>IF(ISNUMBER(INDEX(Haver_M!$B$1:$ZN$1000,MATCH(data!$A244,Haver_M!$B$1:$B$1000,0),MATCH(data!Y$1,Haver_M!$B$1:$ZN$1,0))),INDEX(Haver_M!$B$1:$ZN$1000,MATCH(data!$A244,Haver_M!$B$1:$B$1000,0),MATCH(data!Y$1,Haver_M!$B$1:$ZN$1,0)),"na")</f>
        <v>99.34</v>
      </c>
      <c r="Z244">
        <f>IF(ISNUMBER(INDEX(Haver_M!$B$1:$ZN$1000,MATCH(data!$A244,Haver_M!$B$1:$B$1000,0),MATCH(data!Z$1,Haver_M!$B$1:$ZN$1,0))),INDEX(Haver_M!$B$1:$ZN$1000,MATCH(data!$A244,Haver_M!$B$1:$B$1000,0),MATCH(data!Z$1,Haver_M!$B$1:$ZN$1,0)),"na")</f>
        <v>113.7764</v>
      </c>
      <c r="AA244">
        <f>IF(ISNUMBER(INDEX(Haver_M!$B$1:$ZN$1000,MATCH(data!$A244,Haver_M!$B$1:$B$1000,0),MATCH(data!AA$1,Haver_M!$B$1:$ZN$1,0))),INDEX(Haver_M!$B$1:$ZN$1000,MATCH(data!$A244,Haver_M!$B$1:$B$1000,0),MATCH(data!AA$1,Haver_M!$B$1:$ZN$1,0)),"na")</f>
        <v>105.1238</v>
      </c>
      <c r="AB244">
        <f>IF(ISNUMBER(INDEX(Haver_M!$B$1:$ZN$1000,MATCH(data!$A244,Haver_M!$B$1:$B$1000,0),MATCH(data!AB$1,Haver_M!$B$1:$ZN$1,0))),INDEX(Haver_M!$B$1:$ZN$1000,MATCH(data!$A244,Haver_M!$B$1:$B$1000,0),MATCH(data!AB$1,Haver_M!$B$1:$ZN$1,0)),"na")</f>
        <v>36535.599999999999</v>
      </c>
      <c r="AC244">
        <f>IF(ISNUMBER(INDEX(Haver_M!$B$1:$ZN$1000,MATCH(data!$A244,Haver_M!$B$1:$B$1000,0),MATCH(data!AC$1,Haver_M!$B$1:$ZN$1,0))),INDEX(Haver_M!$B$1:$ZN$1000,MATCH(data!$A244,Haver_M!$B$1:$B$1000,0),MATCH(data!AC$1,Haver_M!$B$1:$ZN$1,0)),"na")</f>
        <v>34598.6</v>
      </c>
      <c r="AD244">
        <f>IF(ISNUMBER(INDEX(Haver_M!$B$1:$ZN$1000,MATCH(data!$A244,Haver_M!$B$1:$B$1000,0),MATCH(data!AD$1,Haver_M!$B$1:$ZN$1,0))),INDEX(Haver_M!$B$1:$ZN$1000,MATCH(data!$A244,Haver_M!$B$1:$B$1000,0),MATCH(data!AD$1,Haver_M!$B$1:$ZN$1,0)),"na")</f>
        <v>98.59</v>
      </c>
      <c r="AE244">
        <f>IF(ISNUMBER(INDEX(Haver_M!$B$1:$ZN$1000,MATCH(data!$A244,Haver_M!$B$1:$B$1000,0),MATCH(data!AE$1,Haver_M!$B$1:$ZN$1,0))),INDEX(Haver_M!$B$1:$ZN$1000,MATCH(data!$A244,Haver_M!$B$1:$B$1000,0),MATCH(data!AE$1,Haver_M!$B$1:$ZN$1,0)),"na")</f>
        <v>42.6</v>
      </c>
      <c r="AF244">
        <f>IF(ISNUMBER(INDEX(Haver_M!$B$1:$ZN$1000,MATCH(data!$A244,Haver_M!$B$1:$B$1000,0),MATCH(data!AF$1,Haver_M!$B$1:$ZN$1,0))),INDEX(Haver_M!$B$1:$ZN$1000,MATCH(data!$A244,Haver_M!$B$1:$B$1000,0),MATCH(data!AF$1,Haver_M!$B$1:$ZN$1,0)),"na")</f>
        <v>98.75</v>
      </c>
      <c r="AG244">
        <f>IF(ISNUMBER(INDEX(Haver_M!$B$1:$ZN$1000,MATCH(data!$A244,Haver_M!$B$1:$B$1000,0),MATCH(data!AG$1,Haver_M!$B$1:$ZN$1,0))),INDEX(Haver_M!$B$1:$ZN$1000,MATCH(data!$A244,Haver_M!$B$1:$B$1000,0),MATCH(data!AG$1,Haver_M!$B$1:$ZN$1,0)),"na")</f>
        <v>47.917000000000002</v>
      </c>
      <c r="AH244">
        <f>IF(ISNUMBER(INDEX(Haver_M!$B$1:$ZN$1000,MATCH(data!$A244,Haver_M!$B$1:$B$1000,0),MATCH(data!AH$1,Haver_M!$B$1:$ZN$1,0))),INDEX(Haver_M!$B$1:$ZN$1000,MATCH(data!$A244,Haver_M!$B$1:$B$1000,0),MATCH(data!AH$1,Haver_M!$B$1:$ZN$1,0)),"na")</f>
        <v>46.948700000000002</v>
      </c>
      <c r="AI244">
        <f>IF(ISNUMBER(INDEX(Haver_M!$B$1:$ZN$1000,MATCH(data!$A244,Haver_M!$B$1:$B$1000,0),MATCH(data!AI$1,Haver_M!$B$1:$ZN$1,0))),INDEX(Haver_M!$B$1:$ZN$1000,MATCH(data!$A244,Haver_M!$B$1:$B$1000,0),MATCH(data!AI$1,Haver_M!$B$1:$ZN$1,0)),"na")</f>
        <v>45.460799999999999</v>
      </c>
      <c r="AJ244">
        <f>IF(ISNUMBER(INDEX(Haver_M!$B$1:$ZN$1000,MATCH(data!$A244,Haver_M!$B$1:$B$1000,0),MATCH(data!AJ$1,Haver_M!$B$1:$ZN$1,0))),INDEX(Haver_M!$B$1:$ZN$1000,MATCH(data!$A244,Haver_M!$B$1:$B$1000,0),MATCH(data!AJ$1,Haver_M!$B$1:$ZN$1,0)),"na")</f>
        <v>49.162700000000001</v>
      </c>
      <c r="AK244">
        <f>IF(ISNUMBER(INDEX(Haver_M!$B$1:$ZN$1000,MATCH(data!$A244,Haver_M!$B$1:$B$1000,0),MATCH(data!AK$1,Haver_M!$B$1:$ZN$1,0))),INDEX(Haver_M!$B$1:$ZN$1000,MATCH(data!$A244,Haver_M!$B$1:$B$1000,0),MATCH(data!AK$1,Haver_M!$B$1:$ZN$1,0)),"na")</f>
        <v>47.563499999999998</v>
      </c>
      <c r="AL244">
        <f>IF(ISNUMBER(INDEX(Haver_M!$B$1:$ZN$1000,MATCH(data!$A244,Haver_M!$B$1:$B$1000,0),MATCH(data!AL$1,Haver_M!$B$1:$ZN$1,0))),INDEX(Haver_M!$B$1:$ZN$1000,MATCH(data!$A244,Haver_M!$B$1:$B$1000,0),MATCH(data!AL$1,Haver_M!$B$1:$ZN$1,0)),"na")</f>
        <v>48.435899999999997</v>
      </c>
      <c r="AM244">
        <f>IF(ISNUMBER(INDEX(Haver_M!$B$1:$ZN$1000,MATCH(data!$A244,Haver_M!$B$1:$B$1000,0),MATCH(data!AM$1,Haver_M!$B$1:$ZN$1,0))),INDEX(Haver_M!$B$1:$ZN$1000,MATCH(data!$A244,Haver_M!$B$1:$B$1000,0),MATCH(data!AM$1,Haver_M!$B$1:$ZN$1,0)),"na")</f>
        <v>52.022100000000002</v>
      </c>
      <c r="AN244">
        <f>IF(ISNUMBER(INDEX(Haver_M!$B$1:$ZN$1000,MATCH(data!$A244,Haver_M!$B$1:$B$1000,0),MATCH(data!AN$1,Haver_M!$B$1:$ZN$1,0))),INDEX(Haver_M!$B$1:$ZN$1000,MATCH(data!$A244,Haver_M!$B$1:$B$1000,0),MATCH(data!AN$1,Haver_M!$B$1:$ZN$1,0)),"na")</f>
        <v>49.638800000000003</v>
      </c>
      <c r="AO244">
        <f>IF(ISNUMBER(INDEX(Haver_M!$B$1:$ZN$1000,MATCH(data!$A244,Haver_M!$B$1:$B$1000,0),MATCH(data!AO$1,Haver_M!$B$1:$ZN$1,0))),INDEX(Haver_M!$B$1:$ZN$1000,MATCH(data!$A244,Haver_M!$B$1:$B$1000,0),MATCH(data!AO$1,Haver_M!$B$1:$ZN$1,0)),"na")</f>
        <v>48.435899999999997</v>
      </c>
      <c r="AP244">
        <f>IF(ISNUMBER(INDEX(Haver_M!$B$1:$ZN$1000,MATCH(data!$A244,Haver_M!$B$1:$B$1000,0),MATCH(data!AP$1,Haver_M!$B$1:$ZN$1,0))),INDEX(Haver_M!$B$1:$ZN$1000,MATCH(data!$A244,Haver_M!$B$1:$B$1000,0),MATCH(data!AP$1,Haver_M!$B$1:$ZN$1,0)),"na")</f>
        <v>48.964599999999997</v>
      </c>
      <c r="AQ244">
        <f>IF(ISNUMBER(INDEX(Haver_M!$B$1:$ZN$1000,MATCH(data!$A244,Haver_M!$B$1:$B$1000,0),MATCH(data!AQ$1,Haver_M!$B$1:$ZN$1,0))),INDEX(Haver_M!$B$1:$ZN$1000,MATCH(data!$A244,Haver_M!$B$1:$B$1000,0),MATCH(data!AQ$1,Haver_M!$B$1:$ZN$1,0)),"na")</f>
        <v>49.851300000000002</v>
      </c>
      <c r="AR244">
        <f>IF(ISNUMBER(INDEX(Haver_M!$B$1:$ZN$1000,MATCH(data!$A244,Haver_M!$B$1:$B$1000,0),MATCH(data!AR$1,Haver_M!$B$1:$ZN$1,0))),INDEX(Haver_M!$B$1:$ZN$1000,MATCH(data!$A244,Haver_M!$B$1:$B$1000,0),MATCH(data!AR$1,Haver_M!$B$1:$ZN$1,0)),"na")</f>
        <v>50.018799999999999</v>
      </c>
      <c r="AS244">
        <f>IF(ISNUMBER(INDEX(Haver_M!$B$1:$ZN$1000,MATCH(data!$A244,Haver_M!$B$1:$B$1000,0),MATCH(data!AS$1,Haver_M!$B$1:$ZN$1,0))),INDEX(Haver_M!$B$1:$ZN$1000,MATCH(data!$A244,Haver_M!$B$1:$B$1000,0),MATCH(data!AS$1,Haver_M!$B$1:$ZN$1,0)),"na")</f>
        <v>37457.620000000003</v>
      </c>
      <c r="AT244">
        <f>IF(ISNUMBER(INDEX(Haver_M!$B$1:$ZN$1000,MATCH(data!$A244,Haver_M!$B$1:$B$1000,0),MATCH(data!AT$1,Haver_M!$B$1:$ZN$1,0))),INDEX(Haver_M!$B$1:$ZN$1000,MATCH(data!$A244,Haver_M!$B$1:$B$1000,0),MATCH(data!AT$1,Haver_M!$B$1:$ZN$1,0)),"na")</f>
        <v>113.304</v>
      </c>
      <c r="AU244">
        <f>IF(ISNUMBER(INDEX(Haver_M!$B$1:$ZN$1000,MATCH(data!$A244,Haver_M!$B$1:$B$1000,0),MATCH(data!AU$1,Haver_M!$B$1:$ZN$1,0))),INDEX(Haver_M!$B$1:$ZN$1000,MATCH(data!$A244,Haver_M!$B$1:$B$1000,0),MATCH(data!AU$1,Haver_M!$B$1:$ZN$1,0)),"na")</f>
        <v>109.736181</v>
      </c>
      <c r="AV244">
        <f>IF(ISNUMBER(INDEX(Haver_M!$B$1:$ZN$1000,MATCH(data!$A244,Haver_M!$B$1:$B$1000,0),MATCH(data!AV$1,Haver_M!$B$1:$ZN$1,0))),INDEX(Haver_M!$B$1:$ZN$1000,MATCH(data!$A244,Haver_M!$B$1:$B$1000,0),MATCH(data!AV$1,Haver_M!$B$1:$ZN$1,0)),"na")</f>
        <v>94</v>
      </c>
      <c r="AW244">
        <f>IF(ISNUMBER(INDEX(Haver_M!$B$1:$ZN$1000,MATCH(data!$A244,Haver_M!$B$1:$B$1000,0),MATCH(data!AW$1,Haver_M!$B$1:$ZN$1,0))),INDEX(Haver_M!$B$1:$ZN$1000,MATCH(data!$A244,Haver_M!$B$1:$B$1000,0),MATCH(data!AW$1,Haver_M!$B$1:$ZN$1,0)),"na")</f>
        <v>1141929.3569973421</v>
      </c>
      <c r="AX244">
        <f>IF(ISNUMBER(INDEX(Haver_M!$B$1:$ZN$1000,MATCH(data!$A244,Haver_M!$B$1:$B$1000,0),MATCH(data!AX$1,Haver_M!$B$1:$ZN$1,0))),INDEX(Haver_M!$B$1:$ZN$1000,MATCH(data!$A244,Haver_M!$B$1:$B$1000,0),MATCH(data!AX$1,Haver_M!$B$1:$ZN$1,0)),"na")</f>
        <v>1747</v>
      </c>
      <c r="AY244">
        <f>IF(ISNUMBER(INDEX(Haver_M!$B$1:$ZN$1000,MATCH(data!$A244,Haver_M!$B$1:$B$1000,0),MATCH(data!AY$1,Haver_M!$B$1:$ZN$1,0))),INDEX(Haver_M!$B$1:$ZN$1000,MATCH(data!$A244,Haver_M!$B$1:$B$1000,0),MATCH(data!AY$1,Haver_M!$B$1:$ZN$1,0)),"na")</f>
        <v>1144</v>
      </c>
      <c r="AZ244">
        <f>IF(ISNUMBER(INDEX(Haver_M!$B$1:$ZN$1000,MATCH(data!$A244,Haver_M!$B$1:$B$1000,0),MATCH(data!AZ$1,Haver_M!$B$1:$ZN$1,0))),INDEX(Haver_M!$B$1:$ZN$1000,MATCH(data!$A244,Haver_M!$B$1:$B$1000,0),MATCH(data!AZ$1,Haver_M!$B$1:$ZN$1,0)),"na")</f>
        <v>46</v>
      </c>
      <c r="BA244">
        <f>IF(ISNUMBER(INDEX(Haver_M!$B$1:$ZN$1000,MATCH(data!$A244,Haver_M!$B$1:$B$1000,0),MATCH(data!BA$1,Haver_M!$B$1:$ZN$1,0))),INDEX(Haver_M!$B$1:$ZN$1000,MATCH(data!$A244,Haver_M!$B$1:$B$1000,0),MATCH(data!BA$1,Haver_M!$B$1:$ZN$1,0)),"na")</f>
        <v>245.43390500635138</v>
      </c>
      <c r="BB244" t="str">
        <f>IF(ISNUMBER(INDEX(Haver_M!$B$1:$ZN$1000,MATCH(data!$A244,Haver_M!$B$1:$B$1000,0),MATCH(data!BB$1,Haver_M!$B$1:$ZN$1,0))),INDEX(Haver_M!$B$1:$ZN$1000,MATCH(data!$A244,Haver_M!$B$1:$B$1000,0),MATCH(data!BB$1,Haver_M!$B$1:$ZN$1,0)),"")</f>
        <v/>
      </c>
    </row>
    <row r="245" spans="1:54" x14ac:dyDescent="0.25">
      <c r="A245" s="2">
        <v>43951</v>
      </c>
      <c r="B245" t="str">
        <f>IF(ISNUMBER(INDEX(Haver_Q!$B$1:$BD$1000,MATCH(data!$A245,Haver_Q!$B$1:$B$1000,0),MATCH(data!B$1,Haver_Q!$B$1:$BD$1,0))),100*INDEX(Haver_Q!$B$1:$BD$1000,MATCH(data!$A245,Haver_Q!$B$1:$B$1000,0),MATCH(data!B$1,Haver_Q!$B$1:$BD$1,0)),"na")</f>
        <v>na</v>
      </c>
      <c r="C245" t="str">
        <f>IF(ISNUMBER(INDEX(Haver_Q!$B$1:$BD$1000,MATCH(data!$A245,Haver_Q!$B$1:$B$1000,0),MATCH(data!C$1,Haver_Q!$B$1:$BD$1,0))),100*INDEX(Haver_Q!$B$1:$BD$1000,MATCH(data!$A245,Haver_Q!$B$1:$B$1000,0),MATCH(data!C$1,Haver_Q!$B$1:$BD$1,0)),"na")</f>
        <v>na</v>
      </c>
      <c r="D245" t="str">
        <f>IF(ISNUMBER(INDEX(Haver_Q!$B$1:$BD$1000,MATCH(data!$A245,Haver_Q!$B$1:$B$1000,0),MATCH(data!D$1,Haver_Q!$B$1:$BD$1,0))),100*INDEX(Haver_Q!$B$1:$BD$1000,MATCH(data!$A245,Haver_Q!$B$1:$B$1000,0),MATCH(data!D$1,Haver_Q!$B$1:$BD$1,0)),"na")</f>
        <v>na</v>
      </c>
      <c r="E245" t="str">
        <f>IF(ISNUMBER(INDEX(Haver_Q!$B$1:$BD$1000,MATCH(data!$A245,Haver_Q!$B$1:$B$1000,0),MATCH(data!E$1,Haver_Q!$B$1:$BD$1,0))),100*INDEX(Haver_Q!$B$1:$BD$1000,MATCH(data!$A245,Haver_Q!$B$1:$B$1000,0),MATCH(data!E$1,Haver_Q!$B$1:$BD$1,0)),"na")</f>
        <v>na</v>
      </c>
      <c r="F245" t="str">
        <f>IF(ISNUMBER(INDEX(Haver_Q!$B$1:$BD$1000,MATCH(data!$A245,Haver_Q!$B$1:$B$1000,0),MATCH(data!F$1,Haver_Q!$B$1:$BD$1,0))),100*INDEX(Haver_Q!$B$1:$BD$1000,MATCH(data!$A245,Haver_Q!$B$1:$B$1000,0),MATCH(data!F$1,Haver_Q!$B$1:$BD$1,0)),"na")</f>
        <v>na</v>
      </c>
      <c r="G245" t="str">
        <f>IF(ISNUMBER(INDEX(Haver_Q!$B$1:$BD$1000,MATCH(data!$A245,Haver_Q!$B$1:$B$1000,0),MATCH(data!G$1,Haver_Q!$B$1:$BD$1,0))),100*INDEX(Haver_Q!$B$1:$BD$1000,MATCH(data!$A245,Haver_Q!$B$1:$B$1000,0),MATCH(data!G$1,Haver_Q!$B$1:$BD$1,0)),"na")</f>
        <v>na</v>
      </c>
      <c r="H245" t="str">
        <f>IF(ISNUMBER(INDEX(Haver_Q!$B$1:$BD$1000,MATCH(data!$A245,Haver_Q!$B$1:$B$1000,0),MATCH(data!H$1,Haver_Q!$B$1:$BD$1,0))),100*INDEX(Haver_Q!$B$1:$BD$1000,MATCH(data!$A245,Haver_Q!$B$1:$B$1000,0),MATCH(data!H$1,Haver_Q!$B$1:$BD$1,0)),"na")</f>
        <v>na</v>
      </c>
      <c r="I245" s="3">
        <f>IF(ISNUMBER(Bloomberg_m!C261),Bloomberg_m!C261,"na")</f>
        <v>664</v>
      </c>
      <c r="J245" s="3">
        <f>IF(ISNUMBER(Bloomberg_m!D261),Bloomberg_m!D261,"na")</f>
        <v>1500.39</v>
      </c>
      <c r="K245" s="3">
        <f>IF(ISNUMBER(Bloomberg_m!E261),Bloomberg_m!E261,"na")</f>
        <v>851.58</v>
      </c>
      <c r="L245" s="3">
        <f>IF(ISNUMBER(Bloomberg_m!L261),Bloomberg_m!L261,"na")</f>
        <v>16.52</v>
      </c>
      <c r="M245">
        <f>IF(ISNUMBER(INDEX(Haver_M!$B$1:$ZN$1000,MATCH(data!$A245,Haver_M!$B$1:$B$1000,0),MATCH(data!M$1,Haver_M!$B$1:$ZN$1,0))),INDEX(Haver_M!$B$1:$ZN$1000,MATCH(data!$A245,Haver_M!$B$1:$B$1000,0),MATCH(data!M$1,Haver_M!$B$1:$ZN$1,0)),"na")</f>
        <v>6</v>
      </c>
      <c r="N245">
        <f>IF(ISNUMBER(INDEX(Haver_M!$B$1:$ZN$1000,MATCH(data!$A245,Haver_M!$B$1:$B$1000,0),MATCH(data!N$1,Haver_M!$B$1:$ZN$1,0))),INDEX(Haver_M!$B$1:$ZN$1000,MATCH(data!$A245,Haver_M!$B$1:$B$1000,0),MATCH(data!N$1,Haver_M!$B$1:$ZN$1,0)),"na")</f>
        <v>6.9939</v>
      </c>
      <c r="O245">
        <f>IF(ISNUMBER(INDEX(Haver_M!$B$1:$ZN$1000,MATCH(data!$A245,Haver_M!$B$1:$B$1000,0),MATCH(data!O$1,Haver_M!$B$1:$ZN$1,0))),INDEX(Haver_M!$B$1:$ZN$1000,MATCH(data!$A245,Haver_M!$B$1:$B$1000,0),MATCH(data!O$1,Haver_M!$B$1:$ZN$1,0)),"na")</f>
        <v>69.181790000000007</v>
      </c>
      <c r="P245">
        <f>IF(ISNUMBER(INDEX(Haver_M!$B$1:$ZN$1000,MATCH(data!$A245,Haver_M!$B$1:$B$1000,0),MATCH(data!P$1,Haver_M!$B$1:$ZN$1,0))),INDEX(Haver_M!$B$1:$ZN$1000,MATCH(data!$A245,Haver_M!$B$1:$B$1000,0),MATCH(data!P$1,Haver_M!$B$1:$ZN$1,0)),"na")</f>
        <v>105.5198</v>
      </c>
      <c r="Q245">
        <f>IF(ISNUMBER(INDEX(Haver_M!$B$1:$ZN$1000,MATCH(data!$A245,Haver_M!$B$1:$B$1000,0),MATCH(data!Q$1,Haver_M!$B$1:$ZN$1,0))),INDEX(Haver_M!$B$1:$ZN$1000,MATCH(data!$A245,Haver_M!$B$1:$B$1000,0),MATCH(data!Q$1,Haver_M!$B$1:$ZN$1,0)),"na")</f>
        <v>106.4422</v>
      </c>
      <c r="R245">
        <f>IF(ISNUMBER(INDEX(Haver_M!$B$1:$ZN$1000,MATCH(data!$A245,Haver_M!$B$1:$B$1000,0),MATCH(data!R$1,Haver_M!$B$1:$ZN$1,0))),INDEX(Haver_M!$B$1:$ZN$1000,MATCH(data!$A245,Haver_M!$B$1:$B$1000,0),MATCH(data!R$1,Haver_M!$B$1:$ZN$1,0)),"na")</f>
        <v>73.139899999999997</v>
      </c>
      <c r="S245">
        <f>IF(ISNUMBER(INDEX(Haver_M!$B$1:$ZN$1000,MATCH(data!$A245,Haver_M!$B$1:$B$1000,0),MATCH(data!S$1,Haver_M!$B$1:$ZN$1,0))),INDEX(Haver_M!$B$1:$ZN$1000,MATCH(data!$A245,Haver_M!$B$1:$B$1000,0),MATCH(data!S$1,Haver_M!$B$1:$ZN$1,0)),"na")</f>
        <v>70.281800000000004</v>
      </c>
      <c r="T245">
        <f>IF(ISNUMBER(INDEX(Haver_M!$B$1:$ZN$1000,MATCH(data!$A245,Haver_M!$B$1:$B$1000,0),MATCH(data!T$1,Haver_M!$B$1:$ZN$1,0))),INDEX(Haver_M!$B$1:$ZN$1000,MATCH(data!$A245,Haver_M!$B$1:$B$1000,0),MATCH(data!T$1,Haver_M!$B$1:$ZN$1,0)),"na")</f>
        <v>115.8271</v>
      </c>
      <c r="U245">
        <f>IF(ISNUMBER(INDEX(Haver_M!$B$1:$ZN$1000,MATCH(data!$A245,Haver_M!$B$1:$B$1000,0),MATCH(data!U$1,Haver_M!$B$1:$ZN$1,0))),INDEX(Haver_M!$B$1:$ZN$1000,MATCH(data!$A245,Haver_M!$B$1:$B$1000,0),MATCH(data!U$1,Haver_M!$B$1:$ZN$1,0)),"na")</f>
        <v>64.680800000000005</v>
      </c>
      <c r="V245">
        <f>IF(ISNUMBER(INDEX(Haver_M!$B$1:$ZN$1000,MATCH(data!$A245,Haver_M!$B$1:$B$1000,0),MATCH(data!V$1,Haver_M!$B$1:$ZN$1,0))),INDEX(Haver_M!$B$1:$ZN$1000,MATCH(data!$A245,Haver_M!$B$1:$B$1000,0),MATCH(data!V$1,Haver_M!$B$1:$ZN$1,0)),"na")</f>
        <v>74.315700000000007</v>
      </c>
      <c r="W245">
        <f>IF(ISNUMBER(INDEX(Haver_M!$B$1:$ZN$1000,MATCH(data!$A245,Haver_M!$B$1:$B$1000,0),MATCH(data!W$1,Haver_M!$B$1:$ZN$1,0))),INDEX(Haver_M!$B$1:$ZN$1000,MATCH(data!$A245,Haver_M!$B$1:$B$1000,0),MATCH(data!W$1,Haver_M!$B$1:$ZN$1,0)),"na")</f>
        <v>4.72</v>
      </c>
      <c r="X245">
        <f>IF(ISNUMBER(INDEX(Haver_M!$B$1:$ZN$1000,MATCH(data!$A245,Haver_M!$B$1:$B$1000,0),MATCH(data!X$1,Haver_M!$B$1:$ZN$1,0))),INDEX(Haver_M!$B$1:$ZN$1000,MATCH(data!$A245,Haver_M!$B$1:$B$1000,0),MATCH(data!X$1,Haver_M!$B$1:$ZN$1,0)),"na")</f>
        <v>106.09</v>
      </c>
      <c r="Y245">
        <f>IF(ISNUMBER(INDEX(Haver_M!$B$1:$ZN$1000,MATCH(data!$A245,Haver_M!$B$1:$B$1000,0),MATCH(data!Y$1,Haver_M!$B$1:$ZN$1,0))),INDEX(Haver_M!$B$1:$ZN$1000,MATCH(data!$A245,Haver_M!$B$1:$B$1000,0),MATCH(data!Y$1,Haver_M!$B$1:$ZN$1,0)),"na")</f>
        <v>98.82</v>
      </c>
      <c r="Z245">
        <f>IF(ISNUMBER(INDEX(Haver_M!$B$1:$ZN$1000,MATCH(data!$A245,Haver_M!$B$1:$B$1000,0),MATCH(data!Z$1,Haver_M!$B$1:$ZN$1,0))),INDEX(Haver_M!$B$1:$ZN$1000,MATCH(data!$A245,Haver_M!$B$1:$B$1000,0),MATCH(data!Z$1,Haver_M!$B$1:$ZN$1,0)),"na")</f>
        <v>88.126900000000006</v>
      </c>
      <c r="AA245">
        <f>IF(ISNUMBER(INDEX(Haver_M!$B$1:$ZN$1000,MATCH(data!$A245,Haver_M!$B$1:$B$1000,0),MATCH(data!AA$1,Haver_M!$B$1:$ZN$1,0))),INDEX(Haver_M!$B$1:$ZN$1000,MATCH(data!$A245,Haver_M!$B$1:$B$1000,0),MATCH(data!AA$1,Haver_M!$B$1:$ZN$1,0)),"na")</f>
        <v>86.031899999999993</v>
      </c>
      <c r="AB245">
        <f>IF(ISNUMBER(INDEX(Haver_M!$B$1:$ZN$1000,MATCH(data!$A245,Haver_M!$B$1:$B$1000,0),MATCH(data!AB$1,Haver_M!$B$1:$ZN$1,0))),INDEX(Haver_M!$B$1:$ZN$1000,MATCH(data!$A245,Haver_M!$B$1:$B$1000,0),MATCH(data!AB$1,Haver_M!$B$1:$ZN$1,0)),"na")</f>
        <v>23051.8</v>
      </c>
      <c r="AC245">
        <f>IF(ISNUMBER(INDEX(Haver_M!$B$1:$ZN$1000,MATCH(data!$A245,Haver_M!$B$1:$B$1000,0),MATCH(data!AC$1,Haver_M!$B$1:$ZN$1,0))),INDEX(Haver_M!$B$1:$ZN$1000,MATCH(data!$A245,Haver_M!$B$1:$B$1000,0),MATCH(data!AC$1,Haver_M!$B$1:$ZN$1,0)),"na")</f>
        <v>27227.3</v>
      </c>
      <c r="AD245">
        <f>IF(ISNUMBER(INDEX(Haver_M!$B$1:$ZN$1000,MATCH(data!$A245,Haver_M!$B$1:$B$1000,0),MATCH(data!AD$1,Haver_M!$B$1:$ZN$1,0))),INDEX(Haver_M!$B$1:$ZN$1000,MATCH(data!$A245,Haver_M!$B$1:$B$1000,0),MATCH(data!AD$1,Haver_M!$B$1:$ZN$1,0)),"na")</f>
        <v>90.83</v>
      </c>
      <c r="AE245" t="str">
        <f>IF(ISNUMBER(INDEX(Haver_M!$B$1:$ZN$1000,MATCH(data!$A245,Haver_M!$B$1:$B$1000,0),MATCH(data!AE$1,Haver_M!$B$1:$ZN$1,0))),INDEX(Haver_M!$B$1:$ZN$1000,MATCH(data!$A245,Haver_M!$B$1:$B$1000,0),MATCH(data!AE$1,Haver_M!$B$1:$ZN$1,0)),"na")</f>
        <v>na</v>
      </c>
      <c r="AF245">
        <f>IF(ISNUMBER(INDEX(Haver_M!$B$1:$ZN$1000,MATCH(data!$A245,Haver_M!$B$1:$B$1000,0),MATCH(data!AF$1,Haver_M!$B$1:$ZN$1,0))),INDEX(Haver_M!$B$1:$ZN$1000,MATCH(data!$A245,Haver_M!$B$1:$B$1000,0),MATCH(data!AF$1,Haver_M!$B$1:$ZN$1,0)),"na")</f>
        <v>98.15</v>
      </c>
      <c r="AG245">
        <f>IF(ISNUMBER(INDEX(Haver_M!$B$1:$ZN$1000,MATCH(data!$A245,Haver_M!$B$1:$B$1000,0),MATCH(data!AG$1,Haver_M!$B$1:$ZN$1,0))),INDEX(Haver_M!$B$1:$ZN$1000,MATCH(data!$A245,Haver_M!$B$1:$B$1000,0),MATCH(data!AG$1,Haver_M!$B$1:$ZN$1,0)),"na")</f>
        <v>35.033099999999997</v>
      </c>
      <c r="AH245">
        <f>IF(ISNUMBER(INDEX(Haver_M!$B$1:$ZN$1000,MATCH(data!$A245,Haver_M!$B$1:$B$1000,0),MATCH(data!AH$1,Haver_M!$B$1:$ZN$1,0))),INDEX(Haver_M!$B$1:$ZN$1000,MATCH(data!$A245,Haver_M!$B$1:$B$1000,0),MATCH(data!AH$1,Haver_M!$B$1:$ZN$1,0)),"na")</f>
        <v>29.671199999999999</v>
      </c>
      <c r="AI245">
        <f>IF(ISNUMBER(INDEX(Haver_M!$B$1:$ZN$1000,MATCH(data!$A245,Haver_M!$B$1:$B$1000,0),MATCH(data!AI$1,Haver_M!$B$1:$ZN$1,0))),INDEX(Haver_M!$B$1:$ZN$1000,MATCH(data!$A245,Haver_M!$B$1:$B$1000,0),MATCH(data!AI$1,Haver_M!$B$1:$ZN$1,0)),"na")</f>
        <v>27.699000000000002</v>
      </c>
      <c r="AJ245">
        <f>IF(ISNUMBER(INDEX(Haver_M!$B$1:$ZN$1000,MATCH(data!$A245,Haver_M!$B$1:$B$1000,0),MATCH(data!AJ$1,Haver_M!$B$1:$ZN$1,0))),INDEX(Haver_M!$B$1:$ZN$1000,MATCH(data!$A245,Haver_M!$B$1:$B$1000,0),MATCH(data!AJ$1,Haver_M!$B$1:$ZN$1,0)),"na")</f>
        <v>34.190399999999997</v>
      </c>
      <c r="AK245">
        <f>IF(ISNUMBER(INDEX(Haver_M!$B$1:$ZN$1000,MATCH(data!$A245,Haver_M!$B$1:$B$1000,0),MATCH(data!AK$1,Haver_M!$B$1:$ZN$1,0))),INDEX(Haver_M!$B$1:$ZN$1000,MATCH(data!$A245,Haver_M!$B$1:$B$1000,0),MATCH(data!AK$1,Haver_M!$B$1:$ZN$1,0)),"na")</f>
        <v>37.136699999999998</v>
      </c>
      <c r="AL245">
        <f>IF(ISNUMBER(INDEX(Haver_M!$B$1:$ZN$1000,MATCH(data!$A245,Haver_M!$B$1:$B$1000,0),MATCH(data!AL$1,Haver_M!$B$1:$ZN$1,0))),INDEX(Haver_M!$B$1:$ZN$1000,MATCH(data!$A245,Haver_M!$B$1:$B$1000,0),MATCH(data!AL$1,Haver_M!$B$1:$ZN$1,0)),"na")</f>
        <v>30.3797</v>
      </c>
      <c r="AM245">
        <f>IF(ISNUMBER(INDEX(Haver_M!$B$1:$ZN$1000,MATCH(data!$A245,Haver_M!$B$1:$B$1000,0),MATCH(data!AM$1,Haver_M!$B$1:$ZN$1,0))),INDEX(Haver_M!$B$1:$ZN$1000,MATCH(data!$A245,Haver_M!$B$1:$B$1000,0),MATCH(data!AM$1,Haver_M!$B$1:$ZN$1,0)),"na")</f>
        <v>45.805900000000001</v>
      </c>
      <c r="AN245">
        <f>IF(ISNUMBER(INDEX(Haver_M!$B$1:$ZN$1000,MATCH(data!$A245,Haver_M!$B$1:$B$1000,0),MATCH(data!AN$1,Haver_M!$B$1:$ZN$1,0))),INDEX(Haver_M!$B$1:$ZN$1000,MATCH(data!$A245,Haver_M!$B$1:$B$1000,0),MATCH(data!AN$1,Haver_M!$B$1:$ZN$1,0)),"na")</f>
        <v>29.182500000000001</v>
      </c>
      <c r="AO245">
        <f>IF(ISNUMBER(INDEX(Haver_M!$B$1:$ZN$1000,MATCH(data!$A245,Haver_M!$B$1:$B$1000,0),MATCH(data!AO$1,Haver_M!$B$1:$ZN$1,0))),INDEX(Haver_M!$B$1:$ZN$1000,MATCH(data!$A245,Haver_M!$B$1:$B$1000,0),MATCH(data!AO$1,Haver_M!$B$1:$ZN$1,0)),"na")</f>
        <v>30.3797</v>
      </c>
      <c r="AP245">
        <f>IF(ISNUMBER(INDEX(Haver_M!$B$1:$ZN$1000,MATCH(data!$A245,Haver_M!$B$1:$B$1000,0),MATCH(data!AP$1,Haver_M!$B$1:$ZN$1,0))),INDEX(Haver_M!$B$1:$ZN$1000,MATCH(data!$A245,Haver_M!$B$1:$B$1000,0),MATCH(data!AP$1,Haver_M!$B$1:$ZN$1,0)),"na")</f>
        <v>30.798999999999999</v>
      </c>
      <c r="AQ245">
        <f>IF(ISNUMBER(INDEX(Haver_M!$B$1:$ZN$1000,MATCH(data!$A245,Haver_M!$B$1:$B$1000,0),MATCH(data!AQ$1,Haver_M!$B$1:$ZN$1,0))),INDEX(Haver_M!$B$1:$ZN$1000,MATCH(data!$A245,Haver_M!$B$1:$B$1000,0),MATCH(data!AQ$1,Haver_M!$B$1:$ZN$1,0)),"na")</f>
        <v>43.712899999999998</v>
      </c>
      <c r="AR245">
        <f>IF(ISNUMBER(INDEX(Haver_M!$B$1:$ZN$1000,MATCH(data!$A245,Haver_M!$B$1:$B$1000,0),MATCH(data!AR$1,Haver_M!$B$1:$ZN$1,0))),INDEX(Haver_M!$B$1:$ZN$1000,MATCH(data!$A245,Haver_M!$B$1:$B$1000,0),MATCH(data!AR$1,Haver_M!$B$1:$ZN$1,0)),"na")</f>
        <v>36.846699999999998</v>
      </c>
      <c r="AS245">
        <f>IF(ISNUMBER(INDEX(Haver_M!$B$1:$ZN$1000,MATCH(data!$A245,Haver_M!$B$1:$B$1000,0),MATCH(data!AS$1,Haver_M!$B$1:$ZN$1,0))),INDEX(Haver_M!$B$1:$ZN$1000,MATCH(data!$A245,Haver_M!$B$1:$B$1000,0),MATCH(data!AS$1,Haver_M!$B$1:$ZN$1,0)),"na")</f>
        <v>34555.57</v>
      </c>
      <c r="AT245">
        <f>IF(ISNUMBER(INDEX(Haver_M!$B$1:$ZN$1000,MATCH(data!$A245,Haver_M!$B$1:$B$1000,0),MATCH(data!AT$1,Haver_M!$B$1:$ZN$1,0))),INDEX(Haver_M!$B$1:$ZN$1000,MATCH(data!$A245,Haver_M!$B$1:$B$1000,0),MATCH(data!AT$1,Haver_M!$B$1:$ZN$1,0)),"na")</f>
        <v>91.004000000000005</v>
      </c>
      <c r="AU245">
        <f>IF(ISNUMBER(INDEX(Haver_M!$B$1:$ZN$1000,MATCH(data!$A245,Haver_M!$B$1:$B$1000,0),MATCH(data!AU$1,Haver_M!$B$1:$ZN$1,0))),INDEX(Haver_M!$B$1:$ZN$1000,MATCH(data!$A245,Haver_M!$B$1:$B$1000,0),MATCH(data!AU$1,Haver_M!$B$1:$ZN$1,0)),"na")</f>
        <v>90.793462000000005</v>
      </c>
      <c r="AV245">
        <f>IF(ISNUMBER(INDEX(Haver_M!$B$1:$ZN$1000,MATCH(data!$A245,Haver_M!$B$1:$B$1000,0),MATCH(data!AV$1,Haver_M!$B$1:$ZN$1,0))),INDEX(Haver_M!$B$1:$ZN$1000,MATCH(data!$A245,Haver_M!$B$1:$B$1000,0),MATCH(data!AV$1,Haver_M!$B$1:$ZN$1,0)),"na")</f>
        <v>66.8</v>
      </c>
      <c r="AW245">
        <f>IF(ISNUMBER(INDEX(Haver_M!$B$1:$ZN$1000,MATCH(data!$A245,Haver_M!$B$1:$B$1000,0),MATCH(data!AW$1,Haver_M!$B$1:$ZN$1,0))),INDEX(Haver_M!$B$1:$ZN$1000,MATCH(data!$A245,Haver_M!$B$1:$B$1000,0),MATCH(data!AW$1,Haver_M!$B$1:$ZN$1,0)),"na")</f>
        <v>133420.18409597297</v>
      </c>
      <c r="AX245">
        <f>IF(ISNUMBER(INDEX(Haver_M!$B$1:$ZN$1000,MATCH(data!$A245,Haver_M!$B$1:$B$1000,0),MATCH(data!AX$1,Haver_M!$B$1:$ZN$1,0))),INDEX(Haver_M!$B$1:$ZN$1000,MATCH(data!$A245,Haver_M!$B$1:$B$1000,0),MATCH(data!AX$1,Haver_M!$B$1:$ZN$1,0)),"na")</f>
        <v>1716</v>
      </c>
      <c r="AY245">
        <f>IF(ISNUMBER(INDEX(Haver_M!$B$1:$ZN$1000,MATCH(data!$A245,Haver_M!$B$1:$B$1000,0),MATCH(data!AY$1,Haver_M!$B$1:$ZN$1,0))),INDEX(Haver_M!$B$1:$ZN$1000,MATCH(data!$A245,Haver_M!$B$1:$B$1000,0),MATCH(data!AY$1,Haver_M!$B$1:$ZN$1,0)),"na")</f>
        <v>1178</v>
      </c>
      <c r="AZ245">
        <f>IF(ISNUMBER(INDEX(Haver_M!$B$1:$ZN$1000,MATCH(data!$A245,Haver_M!$B$1:$B$1000,0),MATCH(data!AZ$1,Haver_M!$B$1:$ZN$1,0))),INDEX(Haver_M!$B$1:$ZN$1000,MATCH(data!$A245,Haver_M!$B$1:$B$1000,0),MATCH(data!AZ$1,Haver_M!$B$1:$ZN$1,0)),"na")</f>
        <v>41.5</v>
      </c>
      <c r="BA245">
        <f>IF(ISNUMBER(INDEX(Haver_M!$B$1:$ZN$1000,MATCH(data!$A245,Haver_M!$B$1:$B$1000,0),MATCH(data!BA$1,Haver_M!$B$1:$ZN$1,0))),INDEX(Haver_M!$B$1:$ZN$1000,MATCH(data!$A245,Haver_M!$B$1:$B$1000,0),MATCH(data!BA$1,Haver_M!$B$1:$ZN$1,0)),"na")</f>
        <v>182.68365398343687</v>
      </c>
      <c r="BB245" t="str">
        <f>IF(ISNUMBER(INDEX(Haver_M!$B$1:$ZN$1000,MATCH(data!$A245,Haver_M!$B$1:$B$1000,0),MATCH(data!BB$1,Haver_M!$B$1:$ZN$1,0))),INDEX(Haver_M!$B$1:$ZN$1000,MATCH(data!$A245,Haver_M!$B$1:$B$1000,0),MATCH(data!BB$1,Haver_M!$B$1:$ZN$1,0)),"")</f>
        <v/>
      </c>
    </row>
    <row r="246" spans="1:54" x14ac:dyDescent="0.25">
      <c r="A246" s="2">
        <v>43982</v>
      </c>
      <c r="B246" t="str">
        <f>IF(ISNUMBER(INDEX(Haver_Q!$B$1:$BD$1000,MATCH(data!$A246,Haver_Q!$B$1:$B$1000,0),MATCH(data!B$1,Haver_Q!$B$1:$BD$1,0))),100*INDEX(Haver_Q!$B$1:$BD$1000,MATCH(data!$A246,Haver_Q!$B$1:$B$1000,0),MATCH(data!B$1,Haver_Q!$B$1:$BD$1,0)),"na")</f>
        <v>na</v>
      </c>
      <c r="C246" t="str">
        <f>IF(ISNUMBER(INDEX(Haver_Q!$B$1:$BD$1000,MATCH(data!$A246,Haver_Q!$B$1:$B$1000,0),MATCH(data!C$1,Haver_Q!$B$1:$BD$1,0))),100*INDEX(Haver_Q!$B$1:$BD$1000,MATCH(data!$A246,Haver_Q!$B$1:$B$1000,0),MATCH(data!C$1,Haver_Q!$B$1:$BD$1,0)),"na")</f>
        <v>na</v>
      </c>
      <c r="D246" t="str">
        <f>IF(ISNUMBER(INDEX(Haver_Q!$B$1:$BD$1000,MATCH(data!$A246,Haver_Q!$B$1:$B$1000,0),MATCH(data!D$1,Haver_Q!$B$1:$BD$1,0))),100*INDEX(Haver_Q!$B$1:$BD$1000,MATCH(data!$A246,Haver_Q!$B$1:$B$1000,0),MATCH(data!D$1,Haver_Q!$B$1:$BD$1,0)),"na")</f>
        <v>na</v>
      </c>
      <c r="E246" t="str">
        <f>IF(ISNUMBER(INDEX(Haver_Q!$B$1:$BD$1000,MATCH(data!$A246,Haver_Q!$B$1:$B$1000,0),MATCH(data!E$1,Haver_Q!$B$1:$BD$1,0))),100*INDEX(Haver_Q!$B$1:$BD$1000,MATCH(data!$A246,Haver_Q!$B$1:$B$1000,0),MATCH(data!E$1,Haver_Q!$B$1:$BD$1,0)),"na")</f>
        <v>na</v>
      </c>
      <c r="F246" t="str">
        <f>IF(ISNUMBER(INDEX(Haver_Q!$B$1:$BD$1000,MATCH(data!$A246,Haver_Q!$B$1:$B$1000,0),MATCH(data!F$1,Haver_Q!$B$1:$BD$1,0))),100*INDEX(Haver_Q!$B$1:$BD$1000,MATCH(data!$A246,Haver_Q!$B$1:$B$1000,0),MATCH(data!F$1,Haver_Q!$B$1:$BD$1,0)),"na")</f>
        <v>na</v>
      </c>
      <c r="G246" t="str">
        <f>IF(ISNUMBER(INDEX(Haver_Q!$B$1:$BD$1000,MATCH(data!$A246,Haver_Q!$B$1:$B$1000,0),MATCH(data!G$1,Haver_Q!$B$1:$BD$1,0))),100*INDEX(Haver_Q!$B$1:$BD$1000,MATCH(data!$A246,Haver_Q!$B$1:$B$1000,0),MATCH(data!G$1,Haver_Q!$B$1:$BD$1,0)),"na")</f>
        <v>na</v>
      </c>
      <c r="H246" t="str">
        <f>IF(ISNUMBER(INDEX(Haver_Q!$B$1:$BD$1000,MATCH(data!$A246,Haver_Q!$B$1:$B$1000,0),MATCH(data!H$1,Haver_Q!$B$1:$BD$1,0))),100*INDEX(Haver_Q!$B$1:$BD$1000,MATCH(data!$A246,Haver_Q!$B$1:$B$1000,0),MATCH(data!H$1,Haver_Q!$B$1:$BD$1,0)),"na")</f>
        <v>na</v>
      </c>
      <c r="I246" s="3">
        <f>IF(ISNUMBER(Bloomberg_m!C262),Bloomberg_m!C262,"na")</f>
        <v>489</v>
      </c>
      <c r="J246" s="3">
        <f>IF(ISNUMBER(Bloomberg_m!D262),Bloomberg_m!D262,"na")</f>
        <v>1549.31</v>
      </c>
      <c r="K246" s="3">
        <f>IF(ISNUMBER(Bloomberg_m!E262),Bloomberg_m!E262,"na")</f>
        <v>869.29</v>
      </c>
      <c r="L246" s="3">
        <f>IF(ISNUMBER(Bloomberg_m!L262),Bloomberg_m!L262,"na")</f>
        <v>28.56</v>
      </c>
      <c r="M246">
        <f>IF(ISNUMBER(INDEX(Haver_M!$B$1:$ZN$1000,MATCH(data!$A246,Haver_M!$B$1:$B$1000,0),MATCH(data!M$1,Haver_M!$B$1:$ZN$1,0))),INDEX(Haver_M!$B$1:$ZN$1000,MATCH(data!$A246,Haver_M!$B$1:$B$1000,0),MATCH(data!M$1,Haver_M!$B$1:$ZN$1,0)),"na")</f>
        <v>5.5</v>
      </c>
      <c r="N246">
        <f>IF(ISNUMBER(INDEX(Haver_M!$B$1:$ZN$1000,MATCH(data!$A246,Haver_M!$B$1:$B$1000,0),MATCH(data!N$1,Haver_M!$B$1:$ZN$1,0))),INDEX(Haver_M!$B$1:$ZN$1000,MATCH(data!$A246,Haver_M!$B$1:$B$1000,0),MATCH(data!N$1,Haver_M!$B$1:$ZN$1,0)),"na")</f>
        <v>6.1372</v>
      </c>
      <c r="O246">
        <f>IF(ISNUMBER(INDEX(Haver_M!$B$1:$ZN$1000,MATCH(data!$A246,Haver_M!$B$1:$B$1000,0),MATCH(data!O$1,Haver_M!$B$1:$ZN$1,0))),INDEX(Haver_M!$B$1:$ZN$1000,MATCH(data!$A246,Haver_M!$B$1:$B$1000,0),MATCH(data!O$1,Haver_M!$B$1:$ZN$1,0)),"na")</f>
        <v>71.568160000000006</v>
      </c>
      <c r="P246">
        <f>IF(ISNUMBER(INDEX(Haver_M!$B$1:$ZN$1000,MATCH(data!$A246,Haver_M!$B$1:$B$1000,0),MATCH(data!P$1,Haver_M!$B$1:$ZN$1,0))),INDEX(Haver_M!$B$1:$ZN$1000,MATCH(data!$A246,Haver_M!$B$1:$B$1000,0),MATCH(data!P$1,Haver_M!$B$1:$ZN$1,0)),"na")</f>
        <v>106.58669999999999</v>
      </c>
      <c r="Q246">
        <f>IF(ISNUMBER(INDEX(Haver_M!$B$1:$ZN$1000,MATCH(data!$A246,Haver_M!$B$1:$B$1000,0),MATCH(data!Q$1,Haver_M!$B$1:$ZN$1,0))),INDEX(Haver_M!$B$1:$ZN$1000,MATCH(data!$A246,Haver_M!$B$1:$B$1000,0),MATCH(data!Q$1,Haver_M!$B$1:$ZN$1,0)),"na")</f>
        <v>106.87739999999999</v>
      </c>
      <c r="R246">
        <f>IF(ISNUMBER(INDEX(Haver_M!$B$1:$ZN$1000,MATCH(data!$A246,Haver_M!$B$1:$B$1000,0),MATCH(data!R$1,Haver_M!$B$1:$ZN$1,0))),INDEX(Haver_M!$B$1:$ZN$1000,MATCH(data!$A246,Haver_M!$B$1:$B$1000,0),MATCH(data!R$1,Haver_M!$B$1:$ZN$1,0)),"na")</f>
        <v>71.789199999999994</v>
      </c>
      <c r="S246">
        <f>IF(ISNUMBER(INDEX(Haver_M!$B$1:$ZN$1000,MATCH(data!$A246,Haver_M!$B$1:$B$1000,0),MATCH(data!S$1,Haver_M!$B$1:$ZN$1,0))),INDEX(Haver_M!$B$1:$ZN$1000,MATCH(data!$A246,Haver_M!$B$1:$B$1000,0),MATCH(data!S$1,Haver_M!$B$1:$ZN$1,0)),"na")</f>
        <v>68.180199999999999</v>
      </c>
      <c r="T246">
        <f>IF(ISNUMBER(INDEX(Haver_M!$B$1:$ZN$1000,MATCH(data!$A246,Haver_M!$B$1:$B$1000,0),MATCH(data!T$1,Haver_M!$B$1:$ZN$1,0))),INDEX(Haver_M!$B$1:$ZN$1000,MATCH(data!$A246,Haver_M!$B$1:$B$1000,0),MATCH(data!T$1,Haver_M!$B$1:$ZN$1,0)),"na")</f>
        <v>104.0667</v>
      </c>
      <c r="U246">
        <f>IF(ISNUMBER(INDEX(Haver_M!$B$1:$ZN$1000,MATCH(data!$A246,Haver_M!$B$1:$B$1000,0),MATCH(data!U$1,Haver_M!$B$1:$ZN$1,0))),INDEX(Haver_M!$B$1:$ZN$1000,MATCH(data!$A246,Haver_M!$B$1:$B$1000,0),MATCH(data!U$1,Haver_M!$B$1:$ZN$1,0)),"na")</f>
        <v>63.811799999999998</v>
      </c>
      <c r="V246">
        <f>IF(ISNUMBER(INDEX(Haver_M!$B$1:$ZN$1000,MATCH(data!$A246,Haver_M!$B$1:$B$1000,0),MATCH(data!V$1,Haver_M!$B$1:$ZN$1,0))),INDEX(Haver_M!$B$1:$ZN$1000,MATCH(data!$A246,Haver_M!$B$1:$B$1000,0),MATCH(data!V$1,Haver_M!$B$1:$ZN$1,0)),"na")</f>
        <v>74.076400000000007</v>
      </c>
      <c r="W246">
        <f>IF(ISNUMBER(INDEX(Haver_M!$B$1:$ZN$1000,MATCH(data!$A246,Haver_M!$B$1:$B$1000,0),MATCH(data!W$1,Haver_M!$B$1:$ZN$1,0))),INDEX(Haver_M!$B$1:$ZN$1000,MATCH(data!$A246,Haver_M!$B$1:$B$1000,0),MATCH(data!W$1,Haver_M!$B$1:$ZN$1,0)),"na")</f>
        <v>4.22</v>
      </c>
      <c r="X246">
        <f>IF(ISNUMBER(INDEX(Haver_M!$B$1:$ZN$1000,MATCH(data!$A246,Haver_M!$B$1:$B$1000,0),MATCH(data!X$1,Haver_M!$B$1:$ZN$1,0))),INDEX(Haver_M!$B$1:$ZN$1000,MATCH(data!$A246,Haver_M!$B$1:$B$1000,0),MATCH(data!X$1,Haver_M!$B$1:$ZN$1,0)),"na")</f>
        <v>103.77</v>
      </c>
      <c r="Y246">
        <f>IF(ISNUMBER(INDEX(Haver_M!$B$1:$ZN$1000,MATCH(data!$A246,Haver_M!$B$1:$B$1000,0),MATCH(data!Y$1,Haver_M!$B$1:$ZN$1,0))),INDEX(Haver_M!$B$1:$ZN$1000,MATCH(data!$A246,Haver_M!$B$1:$B$1000,0),MATCH(data!Y$1,Haver_M!$B$1:$ZN$1,0)),"na")</f>
        <v>98.39</v>
      </c>
      <c r="Z246">
        <f>IF(ISNUMBER(INDEX(Haver_M!$B$1:$ZN$1000,MATCH(data!$A246,Haver_M!$B$1:$B$1000,0),MATCH(data!Z$1,Haver_M!$B$1:$ZN$1,0))),INDEX(Haver_M!$B$1:$ZN$1000,MATCH(data!$A246,Haver_M!$B$1:$B$1000,0),MATCH(data!Z$1,Haver_M!$B$1:$ZN$1,0)),"na")</f>
        <v>88.808499999999995</v>
      </c>
      <c r="AA246">
        <f>IF(ISNUMBER(INDEX(Haver_M!$B$1:$ZN$1000,MATCH(data!$A246,Haver_M!$B$1:$B$1000,0),MATCH(data!AA$1,Haver_M!$B$1:$ZN$1,0))),INDEX(Haver_M!$B$1:$ZN$1000,MATCH(data!$A246,Haver_M!$B$1:$B$1000,0),MATCH(data!AA$1,Haver_M!$B$1:$ZN$1,0)),"na")</f>
        <v>81.619799999999998</v>
      </c>
      <c r="AB246">
        <f>IF(ISNUMBER(INDEX(Haver_M!$B$1:$ZN$1000,MATCH(data!$A246,Haver_M!$B$1:$B$1000,0),MATCH(data!AB$1,Haver_M!$B$1:$ZN$1,0))),INDEX(Haver_M!$B$1:$ZN$1000,MATCH(data!$A246,Haver_M!$B$1:$B$1000,0),MATCH(data!AB$1,Haver_M!$B$1:$ZN$1,0)),"na")</f>
        <v>18042.099999999999</v>
      </c>
      <c r="AC246">
        <f>IF(ISNUMBER(INDEX(Haver_M!$B$1:$ZN$1000,MATCH(data!$A246,Haver_M!$B$1:$B$1000,0),MATCH(data!AC$1,Haver_M!$B$1:$ZN$1,0))),INDEX(Haver_M!$B$1:$ZN$1000,MATCH(data!$A246,Haver_M!$B$1:$B$1000,0),MATCH(data!AC$1,Haver_M!$B$1:$ZN$1,0)),"na")</f>
        <v>22136.1</v>
      </c>
      <c r="AD246" t="str">
        <f>IF(ISNUMBER(INDEX(Haver_M!$B$1:$ZN$1000,MATCH(data!$A246,Haver_M!$B$1:$B$1000,0),MATCH(data!AD$1,Haver_M!$B$1:$ZN$1,0))),INDEX(Haver_M!$B$1:$ZN$1000,MATCH(data!$A246,Haver_M!$B$1:$B$1000,0),MATCH(data!AD$1,Haver_M!$B$1:$ZN$1,0)),"na")</f>
        <v>na</v>
      </c>
      <c r="AE246" t="str">
        <f>IF(ISNUMBER(INDEX(Haver_M!$B$1:$ZN$1000,MATCH(data!$A246,Haver_M!$B$1:$B$1000,0),MATCH(data!AE$1,Haver_M!$B$1:$ZN$1,0))),INDEX(Haver_M!$B$1:$ZN$1000,MATCH(data!$A246,Haver_M!$B$1:$B$1000,0),MATCH(data!AE$1,Haver_M!$B$1:$ZN$1,0)),"na")</f>
        <v>na</v>
      </c>
      <c r="AF246">
        <f>IF(ISNUMBER(INDEX(Haver_M!$B$1:$ZN$1000,MATCH(data!$A246,Haver_M!$B$1:$B$1000,0),MATCH(data!AF$1,Haver_M!$B$1:$ZN$1,0))),INDEX(Haver_M!$B$1:$ZN$1000,MATCH(data!$A246,Haver_M!$B$1:$B$1000,0),MATCH(data!AF$1,Haver_M!$B$1:$ZN$1,0)),"na")</f>
        <v>97.67</v>
      </c>
      <c r="AG246">
        <f>IF(ISNUMBER(INDEX(Haver_M!$B$1:$ZN$1000,MATCH(data!$A246,Haver_M!$B$1:$B$1000,0),MATCH(data!AG$1,Haver_M!$B$1:$ZN$1,0))),INDEX(Haver_M!$B$1:$ZN$1000,MATCH(data!$A246,Haver_M!$B$1:$B$1000,0),MATCH(data!AG$1,Haver_M!$B$1:$ZN$1,0)),"na")</f>
        <v>38.314</v>
      </c>
      <c r="AH246">
        <f>IF(ISNUMBER(INDEX(Haver_M!$B$1:$ZN$1000,MATCH(data!$A246,Haver_M!$B$1:$B$1000,0),MATCH(data!AH$1,Haver_M!$B$1:$ZN$1,0))),INDEX(Haver_M!$B$1:$ZN$1000,MATCH(data!$A246,Haver_M!$B$1:$B$1000,0),MATCH(data!AH$1,Haver_M!$B$1:$ZN$1,0)),"na")</f>
        <v>34.247700000000002</v>
      </c>
      <c r="AI246">
        <f>IF(ISNUMBER(INDEX(Haver_M!$B$1:$ZN$1000,MATCH(data!$A246,Haver_M!$B$1:$B$1000,0),MATCH(data!AI$1,Haver_M!$B$1:$ZN$1,0))),INDEX(Haver_M!$B$1:$ZN$1000,MATCH(data!$A246,Haver_M!$B$1:$B$1000,0),MATCH(data!AI$1,Haver_M!$B$1:$ZN$1,0)),"na")</f>
        <v>32.824300000000001</v>
      </c>
      <c r="AJ246">
        <f>IF(ISNUMBER(INDEX(Haver_M!$B$1:$ZN$1000,MATCH(data!$A246,Haver_M!$B$1:$B$1000,0),MATCH(data!AJ$1,Haver_M!$B$1:$ZN$1,0))),INDEX(Haver_M!$B$1:$ZN$1000,MATCH(data!$A246,Haver_M!$B$1:$B$1000,0),MATCH(data!AJ$1,Haver_M!$B$1:$ZN$1,0)),"na")</f>
        <v>35.690899999999999</v>
      </c>
      <c r="AK246">
        <f>IF(ISNUMBER(INDEX(Haver_M!$B$1:$ZN$1000,MATCH(data!$A246,Haver_M!$B$1:$B$1000,0),MATCH(data!AK$1,Haver_M!$B$1:$ZN$1,0))),INDEX(Haver_M!$B$1:$ZN$1000,MATCH(data!$A246,Haver_M!$B$1:$B$1000,0),MATCH(data!AK$1,Haver_M!$B$1:$ZN$1,0)),"na")</f>
        <v>37.546199999999999</v>
      </c>
      <c r="AL246">
        <f>IF(ISNUMBER(INDEX(Haver_M!$B$1:$ZN$1000,MATCH(data!$A246,Haver_M!$B$1:$B$1000,0),MATCH(data!AL$1,Haver_M!$B$1:$ZN$1,0))),INDEX(Haver_M!$B$1:$ZN$1000,MATCH(data!$A246,Haver_M!$B$1:$B$1000,0),MATCH(data!AL$1,Haver_M!$B$1:$ZN$1,0)),"na")</f>
        <v>33.985300000000002</v>
      </c>
      <c r="AM246">
        <f>IF(ISNUMBER(INDEX(Haver_M!$B$1:$ZN$1000,MATCH(data!$A246,Haver_M!$B$1:$B$1000,0),MATCH(data!AM$1,Haver_M!$B$1:$ZN$1,0))),INDEX(Haver_M!$B$1:$ZN$1000,MATCH(data!$A246,Haver_M!$B$1:$B$1000,0),MATCH(data!AM$1,Haver_M!$B$1:$ZN$1,0)),"na")</f>
        <v>47.639200000000002</v>
      </c>
      <c r="AN246">
        <f>IF(ISNUMBER(INDEX(Haver_M!$B$1:$ZN$1000,MATCH(data!$A246,Haver_M!$B$1:$B$1000,0),MATCH(data!AN$1,Haver_M!$B$1:$ZN$1,0))),INDEX(Haver_M!$B$1:$ZN$1000,MATCH(data!$A246,Haver_M!$B$1:$B$1000,0),MATCH(data!AN$1,Haver_M!$B$1:$ZN$1,0)),"na")</f>
        <v>34.989400000000003</v>
      </c>
      <c r="AO246">
        <f>IF(ISNUMBER(INDEX(Haver_M!$B$1:$ZN$1000,MATCH(data!$A246,Haver_M!$B$1:$B$1000,0),MATCH(data!AO$1,Haver_M!$B$1:$ZN$1,0))),INDEX(Haver_M!$B$1:$ZN$1000,MATCH(data!$A246,Haver_M!$B$1:$B$1000,0),MATCH(data!AO$1,Haver_M!$B$1:$ZN$1,0)),"na")</f>
        <v>33.985300000000002</v>
      </c>
      <c r="AP246">
        <f>IF(ISNUMBER(INDEX(Haver_M!$B$1:$ZN$1000,MATCH(data!$A246,Haver_M!$B$1:$B$1000,0),MATCH(data!AP$1,Haver_M!$B$1:$ZN$1,0))),INDEX(Haver_M!$B$1:$ZN$1000,MATCH(data!$A246,Haver_M!$B$1:$B$1000,0),MATCH(data!AP$1,Haver_M!$B$1:$ZN$1,0)),"na")</f>
        <v>34.201599999999999</v>
      </c>
      <c r="AQ246">
        <f>IF(ISNUMBER(INDEX(Haver_M!$B$1:$ZN$1000,MATCH(data!$A246,Haver_M!$B$1:$B$1000,0),MATCH(data!AQ$1,Haver_M!$B$1:$ZN$1,0))),INDEX(Haver_M!$B$1:$ZN$1000,MATCH(data!$A246,Haver_M!$B$1:$B$1000,0),MATCH(data!AQ$1,Haver_M!$B$1:$ZN$1,0)),"na")</f>
        <v>44.2622</v>
      </c>
      <c r="AR246">
        <f>IF(ISNUMBER(INDEX(Haver_M!$B$1:$ZN$1000,MATCH(data!$A246,Haver_M!$B$1:$B$1000,0),MATCH(data!AR$1,Haver_M!$B$1:$ZN$1,0))),INDEX(Haver_M!$B$1:$ZN$1000,MATCH(data!$A246,Haver_M!$B$1:$B$1000,0),MATCH(data!AR$1,Haver_M!$B$1:$ZN$1,0)),"na")</f>
        <v>37.223399999999998</v>
      </c>
      <c r="AS246">
        <f>IF(ISNUMBER(INDEX(Haver_M!$B$1:$ZN$1000,MATCH(data!$A246,Haver_M!$B$1:$B$1000,0),MATCH(data!AS$1,Haver_M!$B$1:$ZN$1,0))),INDEX(Haver_M!$B$1:$ZN$1000,MATCH(data!$A246,Haver_M!$B$1:$B$1000,0),MATCH(data!AS$1,Haver_M!$B$1:$ZN$1,0)),"na")</f>
        <v>36478.54</v>
      </c>
      <c r="AT246" t="str">
        <f>IF(ISNUMBER(INDEX(Haver_M!$B$1:$ZN$1000,MATCH(data!$A246,Haver_M!$B$1:$B$1000,0),MATCH(data!AT$1,Haver_M!$B$1:$ZN$1,0))),INDEX(Haver_M!$B$1:$ZN$1000,MATCH(data!$A246,Haver_M!$B$1:$B$1000,0),MATCH(data!AT$1,Haver_M!$B$1:$ZN$1,0)),"na")</f>
        <v>na</v>
      </c>
      <c r="AU246">
        <f>IF(ISNUMBER(INDEX(Haver_M!$B$1:$ZN$1000,MATCH(data!$A246,Haver_M!$B$1:$B$1000,0),MATCH(data!AU$1,Haver_M!$B$1:$ZN$1,0))),INDEX(Haver_M!$B$1:$ZN$1000,MATCH(data!$A246,Haver_M!$B$1:$B$1000,0),MATCH(data!AU$1,Haver_M!$B$1:$ZN$1,0)),"na")</f>
        <v>88.414124999999999</v>
      </c>
      <c r="AV246" t="str">
        <f>IF(ISNUMBER(INDEX(Haver_M!$B$1:$ZN$1000,MATCH(data!$A246,Haver_M!$B$1:$B$1000,0),MATCH(data!AV$1,Haver_M!$B$1:$ZN$1,0))),INDEX(Haver_M!$B$1:$ZN$1000,MATCH(data!$A246,Haver_M!$B$1:$B$1000,0),MATCH(data!AV$1,Haver_M!$B$1:$ZN$1,0)),"na")</f>
        <v>na</v>
      </c>
      <c r="AW246">
        <f>IF(ISNUMBER(INDEX(Haver_M!$B$1:$ZN$1000,MATCH(data!$A246,Haver_M!$B$1:$B$1000,0),MATCH(data!AW$1,Haver_M!$B$1:$ZN$1,0))),INDEX(Haver_M!$B$1:$ZN$1000,MATCH(data!$A246,Haver_M!$B$1:$B$1000,0),MATCH(data!AW$1,Haver_M!$B$1:$ZN$1,0)),"na")</f>
        <v>183837.10074400686</v>
      </c>
      <c r="AX246">
        <f>IF(ISNUMBER(INDEX(Haver_M!$B$1:$ZN$1000,MATCH(data!$A246,Haver_M!$B$1:$B$1000,0),MATCH(data!AX$1,Haver_M!$B$1:$ZN$1,0))),INDEX(Haver_M!$B$1:$ZN$1000,MATCH(data!$A246,Haver_M!$B$1:$B$1000,0),MATCH(data!AX$1,Haver_M!$B$1:$ZN$1,0)),"na")</f>
        <v>1628</v>
      </c>
      <c r="AY246">
        <f>IF(ISNUMBER(INDEX(Haver_M!$B$1:$ZN$1000,MATCH(data!$A246,Haver_M!$B$1:$B$1000,0),MATCH(data!AY$1,Haver_M!$B$1:$ZN$1,0))),INDEX(Haver_M!$B$1:$ZN$1000,MATCH(data!$A246,Haver_M!$B$1:$B$1000,0),MATCH(data!AY$1,Haver_M!$B$1:$ZN$1,0)),"na")</f>
        <v>1062</v>
      </c>
      <c r="AZ246">
        <f>IF(ISNUMBER(INDEX(Haver_M!$B$1:$ZN$1000,MATCH(data!$A246,Haver_M!$B$1:$B$1000,0),MATCH(data!AZ$1,Haver_M!$B$1:$ZN$1,0))),INDEX(Haver_M!$B$1:$ZN$1000,MATCH(data!$A246,Haver_M!$B$1:$B$1000,0),MATCH(data!AZ$1,Haver_M!$B$1:$ZN$1,0)),"na")</f>
        <v>39.1</v>
      </c>
      <c r="BA246">
        <f>IF(ISNUMBER(INDEX(Haver_M!$B$1:$ZN$1000,MATCH(data!$A246,Haver_M!$B$1:$B$1000,0),MATCH(data!BA$1,Haver_M!$B$1:$ZN$1,0))),INDEX(Haver_M!$B$1:$ZN$1000,MATCH(data!$A246,Haver_M!$B$1:$B$1000,0),MATCH(data!BA$1,Haver_M!$B$1:$ZN$1,0)),"na")</f>
        <v>139.4180060266774</v>
      </c>
      <c r="BB246" t="str">
        <f>IF(ISNUMBER(INDEX(Haver_M!$B$1:$ZN$1000,MATCH(data!$A246,Haver_M!$B$1:$B$1000,0),MATCH(data!BB$1,Haver_M!$B$1:$ZN$1,0))),INDEX(Haver_M!$B$1:$ZN$1000,MATCH(data!$A246,Haver_M!$B$1:$B$1000,0),MATCH(data!BB$1,Haver_M!$B$1:$ZN$1,0)),"")</f>
        <v/>
      </c>
    </row>
    <row r="247" spans="1:54" x14ac:dyDescent="0.25">
      <c r="A247" s="2">
        <v>44012</v>
      </c>
      <c r="B247" t="str">
        <f>IF(ISNUMBER(INDEX(Haver_Q!$B$1:$BD$1000,MATCH(data!$A247,Haver_Q!$B$1:$B$1000,0),MATCH(data!B$1,Haver_Q!$B$1:$BD$1,0))),100*INDEX(Haver_Q!$B$1:$BD$1000,MATCH(data!$A247,Haver_Q!$B$1:$B$1000,0),MATCH(data!B$1,Haver_Q!$B$1:$BD$1,0)),"na")</f>
        <v>na</v>
      </c>
      <c r="C247" t="str">
        <f>IF(ISNUMBER(INDEX(Haver_Q!$B$1:$BD$1000,MATCH(data!$A247,Haver_Q!$B$1:$B$1000,0),MATCH(data!C$1,Haver_Q!$B$1:$BD$1,0))),100*INDEX(Haver_Q!$B$1:$BD$1000,MATCH(data!$A247,Haver_Q!$B$1:$B$1000,0),MATCH(data!C$1,Haver_Q!$B$1:$BD$1,0)),"na")</f>
        <v>na</v>
      </c>
      <c r="D247" t="str">
        <f>IF(ISNUMBER(INDEX(Haver_Q!$B$1:$BD$1000,MATCH(data!$A247,Haver_Q!$B$1:$B$1000,0),MATCH(data!D$1,Haver_Q!$B$1:$BD$1,0))),100*INDEX(Haver_Q!$B$1:$BD$1000,MATCH(data!$A247,Haver_Q!$B$1:$B$1000,0),MATCH(data!D$1,Haver_Q!$B$1:$BD$1,0)),"na")</f>
        <v>na</v>
      </c>
      <c r="E247" t="str">
        <f>IF(ISNUMBER(INDEX(Haver_Q!$B$1:$BD$1000,MATCH(data!$A247,Haver_Q!$B$1:$B$1000,0),MATCH(data!E$1,Haver_Q!$B$1:$BD$1,0))),100*INDEX(Haver_Q!$B$1:$BD$1000,MATCH(data!$A247,Haver_Q!$B$1:$B$1000,0),MATCH(data!E$1,Haver_Q!$B$1:$BD$1,0)),"na")</f>
        <v>na</v>
      </c>
      <c r="F247" t="str">
        <f>IF(ISNUMBER(INDEX(Haver_Q!$B$1:$BD$1000,MATCH(data!$A247,Haver_Q!$B$1:$B$1000,0),MATCH(data!F$1,Haver_Q!$B$1:$BD$1,0))),100*INDEX(Haver_Q!$B$1:$BD$1000,MATCH(data!$A247,Haver_Q!$B$1:$B$1000,0),MATCH(data!F$1,Haver_Q!$B$1:$BD$1,0)),"na")</f>
        <v>na</v>
      </c>
      <c r="G247" t="str">
        <f>IF(ISNUMBER(INDEX(Haver_Q!$B$1:$BD$1000,MATCH(data!$A247,Haver_Q!$B$1:$B$1000,0),MATCH(data!G$1,Haver_Q!$B$1:$BD$1,0))),100*INDEX(Haver_Q!$B$1:$BD$1000,MATCH(data!$A247,Haver_Q!$B$1:$B$1000,0),MATCH(data!G$1,Haver_Q!$B$1:$BD$1,0)),"na")</f>
        <v>na</v>
      </c>
      <c r="H247" t="str">
        <f>IF(ISNUMBER(INDEX(Haver_Q!$B$1:$BD$1000,MATCH(data!$A247,Haver_Q!$B$1:$B$1000,0),MATCH(data!H$1,Haver_Q!$B$1:$BD$1,0))),100*INDEX(Haver_Q!$B$1:$BD$1000,MATCH(data!$A247,Haver_Q!$B$1:$B$1000,0),MATCH(data!H$1,Haver_Q!$B$1:$BD$1,0)),"na")</f>
        <v>na</v>
      </c>
      <c r="I247" s="3">
        <f>IF(ISNUMBER(Bloomberg_m!C263),Bloomberg_m!C263,"na")</f>
        <v>1146</v>
      </c>
      <c r="J247" s="3">
        <f>IF(ISNUMBER(Bloomberg_m!D263),Bloomberg_m!D263,"na")</f>
        <v>1788.16</v>
      </c>
      <c r="K247" s="3">
        <f>IF(ISNUMBER(Bloomberg_m!E263),Bloomberg_m!E263,"na")</f>
        <v>982.75</v>
      </c>
      <c r="L247" s="3">
        <f>IF(ISNUMBER(Bloomberg_m!L263),Bloomberg_m!L263,"na")</f>
        <v>38.299999999999997</v>
      </c>
      <c r="M247">
        <f>IF(ISNUMBER(INDEX(Haver_M!$B$1:$ZN$1000,MATCH(data!$A247,Haver_M!$B$1:$B$1000,0),MATCH(data!M$1,Haver_M!$B$1:$ZN$1,0))),INDEX(Haver_M!$B$1:$ZN$1000,MATCH(data!$A247,Haver_M!$B$1:$B$1000,0),MATCH(data!M$1,Haver_M!$B$1:$ZN$1,0)),"na")</f>
        <v>5</v>
      </c>
      <c r="N247">
        <f>IF(ISNUMBER(INDEX(Haver_M!$B$1:$ZN$1000,MATCH(data!$A247,Haver_M!$B$1:$B$1000,0),MATCH(data!N$1,Haver_M!$B$1:$ZN$1,0))),INDEX(Haver_M!$B$1:$ZN$1000,MATCH(data!$A247,Haver_M!$B$1:$B$1000,0),MATCH(data!N$1,Haver_M!$B$1:$ZN$1,0)),"na")</f>
        <v>6.0030000000000001</v>
      </c>
      <c r="O247">
        <f>IF(ISNUMBER(INDEX(Haver_M!$B$1:$ZN$1000,MATCH(data!$A247,Haver_M!$B$1:$B$1000,0),MATCH(data!O$1,Haver_M!$B$1:$ZN$1,0))),INDEX(Haver_M!$B$1:$ZN$1000,MATCH(data!$A247,Haver_M!$B$1:$B$1000,0),MATCH(data!O$1,Haver_M!$B$1:$ZN$1,0)),"na")</f>
        <v>75.033010000000004</v>
      </c>
      <c r="P247">
        <f>IF(ISNUMBER(INDEX(Haver_M!$B$1:$ZN$1000,MATCH(data!$A247,Haver_M!$B$1:$B$1000,0),MATCH(data!P$1,Haver_M!$B$1:$ZN$1,0))),INDEX(Haver_M!$B$1:$ZN$1000,MATCH(data!$A247,Haver_M!$B$1:$B$1000,0),MATCH(data!P$1,Haver_M!$B$1:$ZN$1,0)),"na")</f>
        <v>107.3229</v>
      </c>
      <c r="Q247">
        <f>IF(ISNUMBER(INDEX(Haver_M!$B$1:$ZN$1000,MATCH(data!$A247,Haver_M!$B$1:$B$1000,0),MATCH(data!Q$1,Haver_M!$B$1:$ZN$1,0))),INDEX(Haver_M!$B$1:$ZN$1000,MATCH(data!$A247,Haver_M!$B$1:$B$1000,0),MATCH(data!Q$1,Haver_M!$B$1:$ZN$1,0)),"na")</f>
        <v>107.3086</v>
      </c>
      <c r="R247" t="str">
        <f>IF(ISNUMBER(INDEX(Haver_M!$B$1:$ZN$1000,MATCH(data!$A247,Haver_M!$B$1:$B$1000,0),MATCH(data!R$1,Haver_M!$B$1:$ZN$1,0))),INDEX(Haver_M!$B$1:$ZN$1000,MATCH(data!$A247,Haver_M!$B$1:$B$1000,0),MATCH(data!R$1,Haver_M!$B$1:$ZN$1,0)),"na")</f>
        <v>na</v>
      </c>
      <c r="S247" t="str">
        <f>IF(ISNUMBER(INDEX(Haver_M!$B$1:$ZN$1000,MATCH(data!$A247,Haver_M!$B$1:$B$1000,0),MATCH(data!S$1,Haver_M!$B$1:$ZN$1,0))),INDEX(Haver_M!$B$1:$ZN$1000,MATCH(data!$A247,Haver_M!$B$1:$B$1000,0),MATCH(data!S$1,Haver_M!$B$1:$ZN$1,0)),"na")</f>
        <v>na</v>
      </c>
      <c r="T247" t="str">
        <f>IF(ISNUMBER(INDEX(Haver_M!$B$1:$ZN$1000,MATCH(data!$A247,Haver_M!$B$1:$B$1000,0),MATCH(data!T$1,Haver_M!$B$1:$ZN$1,0))),INDEX(Haver_M!$B$1:$ZN$1000,MATCH(data!$A247,Haver_M!$B$1:$B$1000,0),MATCH(data!T$1,Haver_M!$B$1:$ZN$1,0)),"na")</f>
        <v>na</v>
      </c>
      <c r="U247" t="str">
        <f>IF(ISNUMBER(INDEX(Haver_M!$B$1:$ZN$1000,MATCH(data!$A247,Haver_M!$B$1:$B$1000,0),MATCH(data!U$1,Haver_M!$B$1:$ZN$1,0))),INDEX(Haver_M!$B$1:$ZN$1000,MATCH(data!$A247,Haver_M!$B$1:$B$1000,0),MATCH(data!U$1,Haver_M!$B$1:$ZN$1,0)),"na")</f>
        <v>na</v>
      </c>
      <c r="V247" t="str">
        <f>IF(ISNUMBER(INDEX(Haver_M!$B$1:$ZN$1000,MATCH(data!$A247,Haver_M!$B$1:$B$1000,0),MATCH(data!V$1,Haver_M!$B$1:$ZN$1,0))),INDEX(Haver_M!$B$1:$ZN$1000,MATCH(data!$A247,Haver_M!$B$1:$B$1000,0),MATCH(data!V$1,Haver_M!$B$1:$ZN$1,0)),"na")</f>
        <v>na</v>
      </c>
      <c r="W247" t="str">
        <f>IF(ISNUMBER(INDEX(Haver_M!$B$1:$ZN$1000,MATCH(data!$A247,Haver_M!$B$1:$B$1000,0),MATCH(data!W$1,Haver_M!$B$1:$ZN$1,0))),INDEX(Haver_M!$B$1:$ZN$1000,MATCH(data!$A247,Haver_M!$B$1:$B$1000,0),MATCH(data!W$1,Haver_M!$B$1:$ZN$1,0)),"na")</f>
        <v>na</v>
      </c>
      <c r="X247" t="str">
        <f>IF(ISNUMBER(INDEX(Haver_M!$B$1:$ZN$1000,MATCH(data!$A247,Haver_M!$B$1:$B$1000,0),MATCH(data!X$1,Haver_M!$B$1:$ZN$1,0))),INDEX(Haver_M!$B$1:$ZN$1000,MATCH(data!$A247,Haver_M!$B$1:$B$1000,0),MATCH(data!X$1,Haver_M!$B$1:$ZN$1,0)),"na")</f>
        <v>na</v>
      </c>
      <c r="Y247" t="str">
        <f>IF(ISNUMBER(INDEX(Haver_M!$B$1:$ZN$1000,MATCH(data!$A247,Haver_M!$B$1:$B$1000,0),MATCH(data!Y$1,Haver_M!$B$1:$ZN$1,0))),INDEX(Haver_M!$B$1:$ZN$1000,MATCH(data!$A247,Haver_M!$B$1:$B$1000,0),MATCH(data!Y$1,Haver_M!$B$1:$ZN$1,0)),"na")</f>
        <v>na</v>
      </c>
      <c r="Z247" t="str">
        <f>IF(ISNUMBER(INDEX(Haver_M!$B$1:$ZN$1000,MATCH(data!$A247,Haver_M!$B$1:$B$1000,0),MATCH(data!Z$1,Haver_M!$B$1:$ZN$1,0))),INDEX(Haver_M!$B$1:$ZN$1000,MATCH(data!$A247,Haver_M!$B$1:$B$1000,0),MATCH(data!Z$1,Haver_M!$B$1:$ZN$1,0)),"na")</f>
        <v>na</v>
      </c>
      <c r="AA247" t="str">
        <f>IF(ISNUMBER(INDEX(Haver_M!$B$1:$ZN$1000,MATCH(data!$A247,Haver_M!$B$1:$B$1000,0),MATCH(data!AA$1,Haver_M!$B$1:$ZN$1,0))),INDEX(Haver_M!$B$1:$ZN$1000,MATCH(data!$A247,Haver_M!$B$1:$B$1000,0),MATCH(data!AA$1,Haver_M!$B$1:$ZN$1,0)),"na")</f>
        <v>na</v>
      </c>
      <c r="AB247">
        <f>IF(ISNUMBER(INDEX(Haver_M!$B$1:$ZN$1000,MATCH(data!$A247,Haver_M!$B$1:$B$1000,0),MATCH(data!AB$1,Haver_M!$B$1:$ZN$1,0))),INDEX(Haver_M!$B$1:$ZN$1000,MATCH(data!$A247,Haver_M!$B$1:$B$1000,0),MATCH(data!AB$1,Haver_M!$B$1:$ZN$1,0)),"na")</f>
        <v>31677.1</v>
      </c>
      <c r="AC247">
        <f>IF(ISNUMBER(INDEX(Haver_M!$B$1:$ZN$1000,MATCH(data!$A247,Haver_M!$B$1:$B$1000,0),MATCH(data!AC$1,Haver_M!$B$1:$ZN$1,0))),INDEX(Haver_M!$B$1:$ZN$1000,MATCH(data!$A247,Haver_M!$B$1:$B$1000,0),MATCH(data!AC$1,Haver_M!$B$1:$ZN$1,0)),"na")</f>
        <v>27058.3</v>
      </c>
      <c r="AD247" t="str">
        <f>IF(ISNUMBER(INDEX(Haver_M!$B$1:$ZN$1000,MATCH(data!$A247,Haver_M!$B$1:$B$1000,0),MATCH(data!AD$1,Haver_M!$B$1:$ZN$1,0))),INDEX(Haver_M!$B$1:$ZN$1000,MATCH(data!$A247,Haver_M!$B$1:$B$1000,0),MATCH(data!AD$1,Haver_M!$B$1:$ZN$1,0)),"na")</f>
        <v>na</v>
      </c>
      <c r="AE247" t="str">
        <f>IF(ISNUMBER(INDEX(Haver_M!$B$1:$ZN$1000,MATCH(data!$A247,Haver_M!$B$1:$B$1000,0),MATCH(data!AE$1,Haver_M!$B$1:$ZN$1,0))),INDEX(Haver_M!$B$1:$ZN$1000,MATCH(data!$A247,Haver_M!$B$1:$B$1000,0),MATCH(data!AE$1,Haver_M!$B$1:$ZN$1,0)),"na")</f>
        <v>na</v>
      </c>
      <c r="AF247">
        <f>IF(ISNUMBER(INDEX(Haver_M!$B$1:$ZN$1000,MATCH(data!$A247,Haver_M!$B$1:$B$1000,0),MATCH(data!AF$1,Haver_M!$B$1:$ZN$1,0))),INDEX(Haver_M!$B$1:$ZN$1000,MATCH(data!$A247,Haver_M!$B$1:$B$1000,0),MATCH(data!AF$1,Haver_M!$B$1:$ZN$1,0)),"na")</f>
        <v>97.31</v>
      </c>
      <c r="AG247">
        <f>IF(ISNUMBER(INDEX(Haver_M!$B$1:$ZN$1000,MATCH(data!$A247,Haver_M!$B$1:$B$1000,0),MATCH(data!AG$1,Haver_M!$B$1:$ZN$1,0))),INDEX(Haver_M!$B$1:$ZN$1000,MATCH(data!$A247,Haver_M!$B$1:$B$1000,0),MATCH(data!AG$1,Haver_M!$B$1:$ZN$1,0)),"na")</f>
        <v>38.564599999999999</v>
      </c>
      <c r="AH247">
        <f>IF(ISNUMBER(INDEX(Haver_M!$B$1:$ZN$1000,MATCH(data!$A247,Haver_M!$B$1:$B$1000,0),MATCH(data!AH$1,Haver_M!$B$1:$ZN$1,0))),INDEX(Haver_M!$B$1:$ZN$1000,MATCH(data!$A247,Haver_M!$B$1:$B$1000,0),MATCH(data!AH$1,Haver_M!$B$1:$ZN$1,0)),"na")</f>
        <v>34.111600000000003</v>
      </c>
      <c r="AI247">
        <f>IF(ISNUMBER(INDEX(Haver_M!$B$1:$ZN$1000,MATCH(data!$A247,Haver_M!$B$1:$B$1000,0),MATCH(data!AI$1,Haver_M!$B$1:$ZN$1,0))),INDEX(Haver_M!$B$1:$ZN$1000,MATCH(data!$A247,Haver_M!$B$1:$B$1000,0),MATCH(data!AI$1,Haver_M!$B$1:$ZN$1,0)),"na")</f>
        <v>33.874200000000002</v>
      </c>
      <c r="AJ247">
        <f>IF(ISNUMBER(INDEX(Haver_M!$B$1:$ZN$1000,MATCH(data!$A247,Haver_M!$B$1:$B$1000,0),MATCH(data!AJ$1,Haver_M!$B$1:$ZN$1,0))),INDEX(Haver_M!$B$1:$ZN$1000,MATCH(data!$A247,Haver_M!$B$1:$B$1000,0),MATCH(data!AJ$1,Haver_M!$B$1:$ZN$1,0)),"na")</f>
        <v>36.792000000000002</v>
      </c>
      <c r="AK247">
        <f>IF(ISNUMBER(INDEX(Haver_M!$B$1:$ZN$1000,MATCH(data!$A247,Haver_M!$B$1:$B$1000,0),MATCH(data!AK$1,Haver_M!$B$1:$ZN$1,0))),INDEX(Haver_M!$B$1:$ZN$1000,MATCH(data!$A247,Haver_M!$B$1:$B$1000,0),MATCH(data!AK$1,Haver_M!$B$1:$ZN$1,0)),"na")</f>
        <v>40.166800000000002</v>
      </c>
      <c r="AL247">
        <f>IF(ISNUMBER(INDEX(Haver_M!$B$1:$ZN$1000,MATCH(data!$A247,Haver_M!$B$1:$B$1000,0),MATCH(data!AL$1,Haver_M!$B$1:$ZN$1,0))),INDEX(Haver_M!$B$1:$ZN$1000,MATCH(data!$A247,Haver_M!$B$1:$B$1000,0),MATCH(data!AL$1,Haver_M!$B$1:$ZN$1,0)),"na")</f>
        <v>35.410800000000002</v>
      </c>
      <c r="AM247">
        <f>IF(ISNUMBER(INDEX(Haver_M!$B$1:$ZN$1000,MATCH(data!$A247,Haver_M!$B$1:$B$1000,0),MATCH(data!AM$1,Haver_M!$B$1:$ZN$1,0))),INDEX(Haver_M!$B$1:$ZN$1000,MATCH(data!$A247,Haver_M!$B$1:$B$1000,0),MATCH(data!AM$1,Haver_M!$B$1:$ZN$1,0)),"na")</f>
        <v>47.574100000000001</v>
      </c>
      <c r="AN247">
        <f>IF(ISNUMBER(INDEX(Haver_M!$B$1:$ZN$1000,MATCH(data!$A247,Haver_M!$B$1:$B$1000,0),MATCH(data!AN$1,Haver_M!$B$1:$ZN$1,0))),INDEX(Haver_M!$B$1:$ZN$1000,MATCH(data!$A247,Haver_M!$B$1:$B$1000,0),MATCH(data!AN$1,Haver_M!$B$1:$ZN$1,0)),"na")</f>
        <v>33.971899999999998</v>
      </c>
      <c r="AO247">
        <f>IF(ISNUMBER(INDEX(Haver_M!$B$1:$ZN$1000,MATCH(data!$A247,Haver_M!$B$1:$B$1000,0),MATCH(data!AO$1,Haver_M!$B$1:$ZN$1,0))),INDEX(Haver_M!$B$1:$ZN$1000,MATCH(data!$A247,Haver_M!$B$1:$B$1000,0),MATCH(data!AO$1,Haver_M!$B$1:$ZN$1,0)),"na")</f>
        <v>35.410800000000002</v>
      </c>
      <c r="AP247">
        <f>IF(ISNUMBER(INDEX(Haver_M!$B$1:$ZN$1000,MATCH(data!$A247,Haver_M!$B$1:$B$1000,0),MATCH(data!AP$1,Haver_M!$B$1:$ZN$1,0))),INDEX(Haver_M!$B$1:$ZN$1000,MATCH(data!$A247,Haver_M!$B$1:$B$1000,0),MATCH(data!AP$1,Haver_M!$B$1:$ZN$1,0)),"na")</f>
        <v>36.122700000000002</v>
      </c>
      <c r="AQ247">
        <f>IF(ISNUMBER(INDEX(Haver_M!$B$1:$ZN$1000,MATCH(data!$A247,Haver_M!$B$1:$B$1000,0),MATCH(data!AQ$1,Haver_M!$B$1:$ZN$1,0))),INDEX(Haver_M!$B$1:$ZN$1000,MATCH(data!$A247,Haver_M!$B$1:$B$1000,0),MATCH(data!AQ$1,Haver_M!$B$1:$ZN$1,0)),"na")</f>
        <v>44.1267</v>
      </c>
      <c r="AR247">
        <f>IF(ISNUMBER(INDEX(Haver_M!$B$1:$ZN$1000,MATCH(data!$A247,Haver_M!$B$1:$B$1000,0),MATCH(data!AR$1,Haver_M!$B$1:$ZN$1,0))),INDEX(Haver_M!$B$1:$ZN$1000,MATCH(data!$A247,Haver_M!$B$1:$B$1000,0),MATCH(data!AR$1,Haver_M!$B$1:$ZN$1,0)),"na")</f>
        <v>39.304699999999997</v>
      </c>
      <c r="AS247">
        <f>IF(ISNUMBER(INDEX(Haver_M!$B$1:$ZN$1000,MATCH(data!$A247,Haver_M!$B$1:$B$1000,0),MATCH(data!AS$1,Haver_M!$B$1:$ZN$1,0))),INDEX(Haver_M!$B$1:$ZN$1000,MATCH(data!$A247,Haver_M!$B$1:$B$1000,0),MATCH(data!AS$1,Haver_M!$B$1:$ZN$1,0)),"na")</f>
        <v>37982.400000000001</v>
      </c>
      <c r="AT247" t="str">
        <f>IF(ISNUMBER(INDEX(Haver_M!$B$1:$ZN$1000,MATCH(data!$A247,Haver_M!$B$1:$B$1000,0),MATCH(data!AT$1,Haver_M!$B$1:$ZN$1,0))),INDEX(Haver_M!$B$1:$ZN$1000,MATCH(data!$A247,Haver_M!$B$1:$B$1000,0),MATCH(data!AT$1,Haver_M!$B$1:$ZN$1,0)),"na")</f>
        <v>na</v>
      </c>
      <c r="AU247" t="str">
        <f>IF(ISNUMBER(INDEX(Haver_M!$B$1:$ZN$1000,MATCH(data!$A247,Haver_M!$B$1:$B$1000,0),MATCH(data!AU$1,Haver_M!$B$1:$ZN$1,0))),INDEX(Haver_M!$B$1:$ZN$1000,MATCH(data!$A247,Haver_M!$B$1:$B$1000,0),MATCH(data!AU$1,Haver_M!$B$1:$ZN$1,0)),"na")</f>
        <v>na</v>
      </c>
      <c r="AV247" t="str">
        <f>IF(ISNUMBER(INDEX(Haver_M!$B$1:$ZN$1000,MATCH(data!$A247,Haver_M!$B$1:$B$1000,0),MATCH(data!AV$1,Haver_M!$B$1:$ZN$1,0))),INDEX(Haver_M!$B$1:$ZN$1000,MATCH(data!$A247,Haver_M!$B$1:$B$1000,0),MATCH(data!AV$1,Haver_M!$B$1:$ZN$1,0)),"na")</f>
        <v>na</v>
      </c>
      <c r="AW247" t="str">
        <f>IF(ISNUMBER(INDEX(Haver_M!$B$1:$ZN$1000,MATCH(data!$A247,Haver_M!$B$1:$B$1000,0),MATCH(data!AW$1,Haver_M!$B$1:$ZN$1,0))),INDEX(Haver_M!$B$1:$ZN$1000,MATCH(data!$A247,Haver_M!$B$1:$B$1000,0),MATCH(data!AW$1,Haver_M!$B$1:$ZN$1,0)),"na")</f>
        <v>na</v>
      </c>
      <c r="AX247" t="str">
        <f>IF(ISNUMBER(INDEX(Haver_M!$B$1:$ZN$1000,MATCH(data!$A247,Haver_M!$B$1:$B$1000,0),MATCH(data!AX$1,Haver_M!$B$1:$ZN$1,0))),INDEX(Haver_M!$B$1:$ZN$1000,MATCH(data!$A247,Haver_M!$B$1:$B$1000,0),MATCH(data!AX$1,Haver_M!$B$1:$ZN$1,0)),"na")</f>
        <v>na</v>
      </c>
      <c r="AY247" t="str">
        <f>IF(ISNUMBER(INDEX(Haver_M!$B$1:$ZN$1000,MATCH(data!$A247,Haver_M!$B$1:$B$1000,0),MATCH(data!AY$1,Haver_M!$B$1:$ZN$1,0))),INDEX(Haver_M!$B$1:$ZN$1000,MATCH(data!$A247,Haver_M!$B$1:$B$1000,0),MATCH(data!AY$1,Haver_M!$B$1:$ZN$1,0)),"na")</f>
        <v>na</v>
      </c>
      <c r="AZ247">
        <f>IF(ISNUMBER(INDEX(Haver_M!$B$1:$ZN$1000,MATCH(data!$A247,Haver_M!$B$1:$B$1000,0),MATCH(data!AZ$1,Haver_M!$B$1:$ZN$1,0))),INDEX(Haver_M!$B$1:$ZN$1000,MATCH(data!$A247,Haver_M!$B$1:$B$1000,0),MATCH(data!AZ$1,Haver_M!$B$1:$ZN$1,0)),"na")</f>
        <v>46.2</v>
      </c>
      <c r="BA247" t="str">
        <f>IF(ISNUMBER(INDEX(Haver_M!$B$1:$ZN$1000,MATCH(data!$A247,Haver_M!$B$1:$B$1000,0),MATCH(data!BA$1,Haver_M!$B$1:$ZN$1,0))),INDEX(Haver_M!$B$1:$ZN$1000,MATCH(data!$A247,Haver_M!$B$1:$B$1000,0),MATCH(data!BA$1,Haver_M!$B$1:$ZN$1,0)),"na")</f>
        <v>na</v>
      </c>
      <c r="BB247" t="str">
        <f>IF(ISNUMBER(INDEX(Haver_M!$B$1:$ZN$1000,MATCH(data!$A247,Haver_M!$B$1:$B$1000,0),MATCH(data!BB$1,Haver_M!$B$1:$ZN$1,0))),INDEX(Haver_M!$B$1:$ZN$1000,MATCH(data!$A247,Haver_M!$B$1:$B$1000,0),MATCH(data!BB$1,Haver_M!$B$1:$ZN$1,0)),"")</f>
        <v/>
      </c>
    </row>
    <row r="248" spans="1:54" x14ac:dyDescent="0.25">
      <c r="A248" s="2">
        <v>44043</v>
      </c>
      <c r="B248" t="str">
        <f>IF(ISNUMBER(INDEX(Haver_Q!$B$1:$BD$1000,MATCH(data!$A248,Haver_Q!$B$1:$B$1000,0),MATCH(data!B$1,Haver_Q!$B$1:$BD$1,0))),100*INDEX(Haver_Q!$B$1:$BD$1000,MATCH(data!$A248,Haver_Q!$B$1:$B$1000,0),MATCH(data!B$1,Haver_Q!$B$1:$BD$1,0)),"na")</f>
        <v>na</v>
      </c>
      <c r="C248" t="str">
        <f>IF(ISNUMBER(INDEX(Haver_Q!$B$1:$BD$1000,MATCH(data!$A248,Haver_Q!$B$1:$B$1000,0),MATCH(data!C$1,Haver_Q!$B$1:$BD$1,0))),100*INDEX(Haver_Q!$B$1:$BD$1000,MATCH(data!$A248,Haver_Q!$B$1:$B$1000,0),MATCH(data!C$1,Haver_Q!$B$1:$BD$1,0)),"na")</f>
        <v>na</v>
      </c>
      <c r="D248" t="str">
        <f>IF(ISNUMBER(INDEX(Haver_Q!$B$1:$BD$1000,MATCH(data!$A248,Haver_Q!$B$1:$B$1000,0),MATCH(data!D$1,Haver_Q!$B$1:$BD$1,0))),100*INDEX(Haver_Q!$B$1:$BD$1000,MATCH(data!$A248,Haver_Q!$B$1:$B$1000,0),MATCH(data!D$1,Haver_Q!$B$1:$BD$1,0)),"na")</f>
        <v>na</v>
      </c>
      <c r="E248" t="str">
        <f>IF(ISNUMBER(INDEX(Haver_Q!$B$1:$BD$1000,MATCH(data!$A248,Haver_Q!$B$1:$B$1000,0),MATCH(data!E$1,Haver_Q!$B$1:$BD$1,0))),100*INDEX(Haver_Q!$B$1:$BD$1000,MATCH(data!$A248,Haver_Q!$B$1:$B$1000,0),MATCH(data!E$1,Haver_Q!$B$1:$BD$1,0)),"na")</f>
        <v>na</v>
      </c>
      <c r="F248" t="str">
        <f>IF(ISNUMBER(INDEX(Haver_Q!$B$1:$BD$1000,MATCH(data!$A248,Haver_Q!$B$1:$B$1000,0),MATCH(data!F$1,Haver_Q!$B$1:$BD$1,0))),100*INDEX(Haver_Q!$B$1:$BD$1000,MATCH(data!$A248,Haver_Q!$B$1:$B$1000,0),MATCH(data!F$1,Haver_Q!$B$1:$BD$1,0)),"na")</f>
        <v>na</v>
      </c>
      <c r="G248" t="str">
        <f>IF(ISNUMBER(INDEX(Haver_Q!$B$1:$BD$1000,MATCH(data!$A248,Haver_Q!$B$1:$B$1000,0),MATCH(data!G$1,Haver_Q!$B$1:$BD$1,0))),100*INDEX(Haver_Q!$B$1:$BD$1000,MATCH(data!$A248,Haver_Q!$B$1:$B$1000,0),MATCH(data!G$1,Haver_Q!$B$1:$BD$1,0)),"na")</f>
        <v>na</v>
      </c>
      <c r="H248" t="str">
        <f>IF(ISNUMBER(INDEX(Haver_Q!$B$1:$BD$1000,MATCH(data!$A248,Haver_Q!$B$1:$B$1000,0),MATCH(data!H$1,Haver_Q!$B$1:$BD$1,0))),100*INDEX(Haver_Q!$B$1:$BD$1000,MATCH(data!$A248,Haver_Q!$B$1:$B$1000,0),MATCH(data!H$1,Haver_Q!$B$1:$BD$1,0)),"na")</f>
        <v>na</v>
      </c>
      <c r="I248" s="3" t="str">
        <f>IF(ISNUMBER(Bloomberg_m!C264),Bloomberg_m!C264,"na")</f>
        <v>na</v>
      </c>
      <c r="J248" s="3" t="str">
        <f>IF(ISNUMBER(Bloomberg_m!D264),Bloomberg_m!D264,"na")</f>
        <v>na</v>
      </c>
      <c r="K248" s="3" t="str">
        <f>IF(ISNUMBER(Bloomberg_m!E264),Bloomberg_m!E264,"na")</f>
        <v>na</v>
      </c>
      <c r="L248" s="3" t="str">
        <f>IF(ISNUMBER(Bloomberg_m!L264),Bloomberg_m!L264,"na")</f>
        <v>na</v>
      </c>
      <c r="M248" t="str">
        <f>IF(ISNUMBER(INDEX(Haver_M!$B$1:$ZN$1000,MATCH(data!$A248,Haver_M!$B$1:$B$1000,0),MATCH(data!M$1,Haver_M!$B$1:$ZN$1,0))),INDEX(Haver_M!$B$1:$ZN$1000,MATCH(data!$A248,Haver_M!$B$1:$B$1000,0),MATCH(data!M$1,Haver_M!$B$1:$ZN$1,0)),"na")</f>
        <v>na</v>
      </c>
      <c r="N248" t="str">
        <f>IF(ISNUMBER(INDEX(Haver_M!$B$1:$ZN$1000,MATCH(data!$A248,Haver_M!$B$1:$B$1000,0),MATCH(data!N$1,Haver_M!$B$1:$ZN$1,0))),INDEX(Haver_M!$B$1:$ZN$1000,MATCH(data!$A248,Haver_M!$B$1:$B$1000,0),MATCH(data!N$1,Haver_M!$B$1:$ZN$1,0)),"na")</f>
        <v>na</v>
      </c>
      <c r="O248" t="str">
        <f>IF(ISNUMBER(INDEX(Haver_M!$B$1:$ZN$1000,MATCH(data!$A248,Haver_M!$B$1:$B$1000,0),MATCH(data!O$1,Haver_M!$B$1:$ZN$1,0))),INDEX(Haver_M!$B$1:$ZN$1000,MATCH(data!$A248,Haver_M!$B$1:$B$1000,0),MATCH(data!O$1,Haver_M!$B$1:$ZN$1,0)),"na")</f>
        <v>na</v>
      </c>
      <c r="P248" t="str">
        <f>IF(ISNUMBER(INDEX(Haver_M!$B$1:$ZN$1000,MATCH(data!$A248,Haver_M!$B$1:$B$1000,0),MATCH(data!P$1,Haver_M!$B$1:$ZN$1,0))),INDEX(Haver_M!$B$1:$ZN$1000,MATCH(data!$A248,Haver_M!$B$1:$B$1000,0),MATCH(data!P$1,Haver_M!$B$1:$ZN$1,0)),"na")</f>
        <v>na</v>
      </c>
      <c r="Q248" t="str">
        <f>IF(ISNUMBER(INDEX(Haver_M!$B$1:$ZN$1000,MATCH(data!$A248,Haver_M!$B$1:$B$1000,0),MATCH(data!Q$1,Haver_M!$B$1:$ZN$1,0))),INDEX(Haver_M!$B$1:$ZN$1000,MATCH(data!$A248,Haver_M!$B$1:$B$1000,0),MATCH(data!Q$1,Haver_M!$B$1:$ZN$1,0)),"na")</f>
        <v>na</v>
      </c>
      <c r="R248" t="str">
        <f>IF(ISNUMBER(INDEX(Haver_M!$B$1:$ZN$1000,MATCH(data!$A248,Haver_M!$B$1:$B$1000,0),MATCH(data!R$1,Haver_M!$B$1:$ZN$1,0))),INDEX(Haver_M!$B$1:$ZN$1000,MATCH(data!$A248,Haver_M!$B$1:$B$1000,0),MATCH(data!R$1,Haver_M!$B$1:$ZN$1,0)),"na")</f>
        <v>na</v>
      </c>
      <c r="S248" t="str">
        <f>IF(ISNUMBER(INDEX(Haver_M!$B$1:$ZN$1000,MATCH(data!$A248,Haver_M!$B$1:$B$1000,0),MATCH(data!S$1,Haver_M!$B$1:$ZN$1,0))),INDEX(Haver_M!$B$1:$ZN$1000,MATCH(data!$A248,Haver_M!$B$1:$B$1000,0),MATCH(data!S$1,Haver_M!$B$1:$ZN$1,0)),"na")</f>
        <v>na</v>
      </c>
      <c r="T248" t="str">
        <f>IF(ISNUMBER(INDEX(Haver_M!$B$1:$ZN$1000,MATCH(data!$A248,Haver_M!$B$1:$B$1000,0),MATCH(data!T$1,Haver_M!$B$1:$ZN$1,0))),INDEX(Haver_M!$B$1:$ZN$1000,MATCH(data!$A248,Haver_M!$B$1:$B$1000,0),MATCH(data!T$1,Haver_M!$B$1:$ZN$1,0)),"na")</f>
        <v>na</v>
      </c>
      <c r="U248" t="str">
        <f>IF(ISNUMBER(INDEX(Haver_M!$B$1:$ZN$1000,MATCH(data!$A248,Haver_M!$B$1:$B$1000,0),MATCH(data!U$1,Haver_M!$B$1:$ZN$1,0))),INDEX(Haver_M!$B$1:$ZN$1000,MATCH(data!$A248,Haver_M!$B$1:$B$1000,0),MATCH(data!U$1,Haver_M!$B$1:$ZN$1,0)),"na")</f>
        <v>na</v>
      </c>
      <c r="V248" t="str">
        <f>IF(ISNUMBER(INDEX(Haver_M!$B$1:$ZN$1000,MATCH(data!$A248,Haver_M!$B$1:$B$1000,0),MATCH(data!V$1,Haver_M!$B$1:$ZN$1,0))),INDEX(Haver_M!$B$1:$ZN$1000,MATCH(data!$A248,Haver_M!$B$1:$B$1000,0),MATCH(data!V$1,Haver_M!$B$1:$ZN$1,0)),"na")</f>
        <v>na</v>
      </c>
      <c r="W248" t="str">
        <f>IF(ISNUMBER(INDEX(Haver_M!$B$1:$ZN$1000,MATCH(data!$A248,Haver_M!$B$1:$B$1000,0),MATCH(data!W$1,Haver_M!$B$1:$ZN$1,0))),INDEX(Haver_M!$B$1:$ZN$1000,MATCH(data!$A248,Haver_M!$B$1:$B$1000,0),MATCH(data!W$1,Haver_M!$B$1:$ZN$1,0)),"na")</f>
        <v>na</v>
      </c>
      <c r="X248" t="str">
        <f>IF(ISNUMBER(INDEX(Haver_M!$B$1:$ZN$1000,MATCH(data!$A248,Haver_M!$B$1:$B$1000,0),MATCH(data!X$1,Haver_M!$B$1:$ZN$1,0))),INDEX(Haver_M!$B$1:$ZN$1000,MATCH(data!$A248,Haver_M!$B$1:$B$1000,0),MATCH(data!X$1,Haver_M!$B$1:$ZN$1,0)),"na")</f>
        <v>na</v>
      </c>
      <c r="Y248" t="str">
        <f>IF(ISNUMBER(INDEX(Haver_M!$B$1:$ZN$1000,MATCH(data!$A248,Haver_M!$B$1:$B$1000,0),MATCH(data!Y$1,Haver_M!$B$1:$ZN$1,0))),INDEX(Haver_M!$B$1:$ZN$1000,MATCH(data!$A248,Haver_M!$B$1:$B$1000,0),MATCH(data!Y$1,Haver_M!$B$1:$ZN$1,0)),"na")</f>
        <v>na</v>
      </c>
      <c r="Z248" t="str">
        <f>IF(ISNUMBER(INDEX(Haver_M!$B$1:$ZN$1000,MATCH(data!$A248,Haver_M!$B$1:$B$1000,0),MATCH(data!Z$1,Haver_M!$B$1:$ZN$1,0))),INDEX(Haver_M!$B$1:$ZN$1000,MATCH(data!$A248,Haver_M!$B$1:$B$1000,0),MATCH(data!Z$1,Haver_M!$B$1:$ZN$1,0)),"na")</f>
        <v>na</v>
      </c>
      <c r="AA248" t="str">
        <f>IF(ISNUMBER(INDEX(Haver_M!$B$1:$ZN$1000,MATCH(data!$A248,Haver_M!$B$1:$B$1000,0),MATCH(data!AA$1,Haver_M!$B$1:$ZN$1,0))),INDEX(Haver_M!$B$1:$ZN$1000,MATCH(data!$A248,Haver_M!$B$1:$B$1000,0),MATCH(data!AA$1,Haver_M!$B$1:$ZN$1,0)),"na")</f>
        <v>na</v>
      </c>
      <c r="AB248" t="str">
        <f>IF(ISNUMBER(INDEX(Haver_M!$B$1:$ZN$1000,MATCH(data!$A248,Haver_M!$B$1:$B$1000,0),MATCH(data!AB$1,Haver_M!$B$1:$ZN$1,0))),INDEX(Haver_M!$B$1:$ZN$1000,MATCH(data!$A248,Haver_M!$B$1:$B$1000,0),MATCH(data!AB$1,Haver_M!$B$1:$ZN$1,0)),"na")</f>
        <v>na</v>
      </c>
      <c r="AC248" t="str">
        <f>IF(ISNUMBER(INDEX(Haver_M!$B$1:$ZN$1000,MATCH(data!$A248,Haver_M!$B$1:$B$1000,0),MATCH(data!AC$1,Haver_M!$B$1:$ZN$1,0))),INDEX(Haver_M!$B$1:$ZN$1000,MATCH(data!$A248,Haver_M!$B$1:$B$1000,0),MATCH(data!AC$1,Haver_M!$B$1:$ZN$1,0)),"na")</f>
        <v>na</v>
      </c>
      <c r="AD248" t="str">
        <f>IF(ISNUMBER(INDEX(Haver_M!$B$1:$ZN$1000,MATCH(data!$A248,Haver_M!$B$1:$B$1000,0),MATCH(data!AD$1,Haver_M!$B$1:$ZN$1,0))),INDEX(Haver_M!$B$1:$ZN$1000,MATCH(data!$A248,Haver_M!$B$1:$B$1000,0),MATCH(data!AD$1,Haver_M!$B$1:$ZN$1,0)),"na")</f>
        <v>na</v>
      </c>
      <c r="AE248" t="str">
        <f>IF(ISNUMBER(INDEX(Haver_M!$B$1:$ZN$1000,MATCH(data!$A248,Haver_M!$B$1:$B$1000,0),MATCH(data!AE$1,Haver_M!$B$1:$ZN$1,0))),INDEX(Haver_M!$B$1:$ZN$1000,MATCH(data!$A248,Haver_M!$B$1:$B$1000,0),MATCH(data!AE$1,Haver_M!$B$1:$ZN$1,0)),"na")</f>
        <v>na</v>
      </c>
      <c r="AF248" t="str">
        <f>IF(ISNUMBER(INDEX(Haver_M!$B$1:$ZN$1000,MATCH(data!$A248,Haver_M!$B$1:$B$1000,0),MATCH(data!AF$1,Haver_M!$B$1:$ZN$1,0))),INDEX(Haver_M!$B$1:$ZN$1000,MATCH(data!$A248,Haver_M!$B$1:$B$1000,0),MATCH(data!AF$1,Haver_M!$B$1:$ZN$1,0)),"na")</f>
        <v>na</v>
      </c>
      <c r="AG248" t="str">
        <f>IF(ISNUMBER(INDEX(Haver_M!$B$1:$ZN$1000,MATCH(data!$A248,Haver_M!$B$1:$B$1000,0),MATCH(data!AG$1,Haver_M!$B$1:$ZN$1,0))),INDEX(Haver_M!$B$1:$ZN$1000,MATCH(data!$A248,Haver_M!$B$1:$B$1000,0),MATCH(data!AG$1,Haver_M!$B$1:$ZN$1,0)),"na")</f>
        <v>na</v>
      </c>
      <c r="AH248" t="str">
        <f>IF(ISNUMBER(INDEX(Haver_M!$B$1:$ZN$1000,MATCH(data!$A248,Haver_M!$B$1:$B$1000,0),MATCH(data!AH$1,Haver_M!$B$1:$ZN$1,0))),INDEX(Haver_M!$B$1:$ZN$1000,MATCH(data!$A248,Haver_M!$B$1:$B$1000,0),MATCH(data!AH$1,Haver_M!$B$1:$ZN$1,0)),"na")</f>
        <v>na</v>
      </c>
      <c r="AI248" t="str">
        <f>IF(ISNUMBER(INDEX(Haver_M!$B$1:$ZN$1000,MATCH(data!$A248,Haver_M!$B$1:$B$1000,0),MATCH(data!AI$1,Haver_M!$B$1:$ZN$1,0))),INDEX(Haver_M!$B$1:$ZN$1000,MATCH(data!$A248,Haver_M!$B$1:$B$1000,0),MATCH(data!AI$1,Haver_M!$B$1:$ZN$1,0)),"na")</f>
        <v>na</v>
      </c>
      <c r="AJ248" t="str">
        <f>IF(ISNUMBER(INDEX(Haver_M!$B$1:$ZN$1000,MATCH(data!$A248,Haver_M!$B$1:$B$1000,0),MATCH(data!AJ$1,Haver_M!$B$1:$ZN$1,0))),INDEX(Haver_M!$B$1:$ZN$1000,MATCH(data!$A248,Haver_M!$B$1:$B$1000,0),MATCH(data!AJ$1,Haver_M!$B$1:$ZN$1,0)),"na")</f>
        <v>na</v>
      </c>
      <c r="AK248" t="str">
        <f>IF(ISNUMBER(INDEX(Haver_M!$B$1:$ZN$1000,MATCH(data!$A248,Haver_M!$B$1:$B$1000,0),MATCH(data!AK$1,Haver_M!$B$1:$ZN$1,0))),INDEX(Haver_M!$B$1:$ZN$1000,MATCH(data!$A248,Haver_M!$B$1:$B$1000,0),MATCH(data!AK$1,Haver_M!$B$1:$ZN$1,0)),"na")</f>
        <v>na</v>
      </c>
      <c r="AL248" t="str">
        <f>IF(ISNUMBER(INDEX(Haver_M!$B$1:$ZN$1000,MATCH(data!$A248,Haver_M!$B$1:$B$1000,0),MATCH(data!AL$1,Haver_M!$B$1:$ZN$1,0))),INDEX(Haver_M!$B$1:$ZN$1000,MATCH(data!$A248,Haver_M!$B$1:$B$1000,0),MATCH(data!AL$1,Haver_M!$B$1:$ZN$1,0)),"na")</f>
        <v>na</v>
      </c>
      <c r="AM248" t="str">
        <f>IF(ISNUMBER(INDEX(Haver_M!$B$1:$ZN$1000,MATCH(data!$A248,Haver_M!$B$1:$B$1000,0),MATCH(data!AM$1,Haver_M!$B$1:$ZN$1,0))),INDEX(Haver_M!$B$1:$ZN$1000,MATCH(data!$A248,Haver_M!$B$1:$B$1000,0),MATCH(data!AM$1,Haver_M!$B$1:$ZN$1,0)),"na")</f>
        <v>na</v>
      </c>
      <c r="AN248" t="str">
        <f>IF(ISNUMBER(INDEX(Haver_M!$B$1:$ZN$1000,MATCH(data!$A248,Haver_M!$B$1:$B$1000,0),MATCH(data!AN$1,Haver_M!$B$1:$ZN$1,0))),INDEX(Haver_M!$B$1:$ZN$1000,MATCH(data!$A248,Haver_M!$B$1:$B$1000,0),MATCH(data!AN$1,Haver_M!$B$1:$ZN$1,0)),"na")</f>
        <v>na</v>
      </c>
      <c r="AO248" t="str">
        <f>IF(ISNUMBER(INDEX(Haver_M!$B$1:$ZN$1000,MATCH(data!$A248,Haver_M!$B$1:$B$1000,0),MATCH(data!AO$1,Haver_M!$B$1:$ZN$1,0))),INDEX(Haver_M!$B$1:$ZN$1000,MATCH(data!$A248,Haver_M!$B$1:$B$1000,0),MATCH(data!AO$1,Haver_M!$B$1:$ZN$1,0)),"na")</f>
        <v>na</v>
      </c>
      <c r="AP248" t="str">
        <f>IF(ISNUMBER(INDEX(Haver_M!$B$1:$ZN$1000,MATCH(data!$A248,Haver_M!$B$1:$B$1000,0),MATCH(data!AP$1,Haver_M!$B$1:$ZN$1,0))),INDEX(Haver_M!$B$1:$ZN$1000,MATCH(data!$A248,Haver_M!$B$1:$B$1000,0),MATCH(data!AP$1,Haver_M!$B$1:$ZN$1,0)),"na")</f>
        <v>na</v>
      </c>
      <c r="AQ248" t="str">
        <f>IF(ISNUMBER(INDEX(Haver_M!$B$1:$ZN$1000,MATCH(data!$A248,Haver_M!$B$1:$B$1000,0),MATCH(data!AQ$1,Haver_M!$B$1:$ZN$1,0))),INDEX(Haver_M!$B$1:$ZN$1000,MATCH(data!$A248,Haver_M!$B$1:$B$1000,0),MATCH(data!AQ$1,Haver_M!$B$1:$ZN$1,0)),"na")</f>
        <v>na</v>
      </c>
      <c r="AR248" t="str">
        <f>IF(ISNUMBER(INDEX(Haver_M!$B$1:$ZN$1000,MATCH(data!$A248,Haver_M!$B$1:$B$1000,0),MATCH(data!AR$1,Haver_M!$B$1:$ZN$1,0))),INDEX(Haver_M!$B$1:$ZN$1000,MATCH(data!$A248,Haver_M!$B$1:$B$1000,0),MATCH(data!AR$1,Haver_M!$B$1:$ZN$1,0)),"na")</f>
        <v>na</v>
      </c>
      <c r="AS248" t="str">
        <f>IF(ISNUMBER(INDEX(Haver_M!$B$1:$ZN$1000,MATCH(data!$A248,Haver_M!$B$1:$B$1000,0),MATCH(data!AS$1,Haver_M!$B$1:$ZN$1,0))),INDEX(Haver_M!$B$1:$ZN$1000,MATCH(data!$A248,Haver_M!$B$1:$B$1000,0),MATCH(data!AS$1,Haver_M!$B$1:$ZN$1,0)),"na")</f>
        <v>na</v>
      </c>
      <c r="AT248" t="str">
        <f>IF(ISNUMBER(INDEX(Haver_M!$B$1:$ZN$1000,MATCH(data!$A248,Haver_M!$B$1:$B$1000,0),MATCH(data!AT$1,Haver_M!$B$1:$ZN$1,0))),INDEX(Haver_M!$B$1:$ZN$1000,MATCH(data!$A248,Haver_M!$B$1:$B$1000,0),MATCH(data!AT$1,Haver_M!$B$1:$ZN$1,0)),"na")</f>
        <v>na</v>
      </c>
      <c r="AU248" t="str">
        <f>IF(ISNUMBER(INDEX(Haver_M!$B$1:$ZN$1000,MATCH(data!$A248,Haver_M!$B$1:$B$1000,0),MATCH(data!AU$1,Haver_M!$B$1:$ZN$1,0))),INDEX(Haver_M!$B$1:$ZN$1000,MATCH(data!$A248,Haver_M!$B$1:$B$1000,0),MATCH(data!AU$1,Haver_M!$B$1:$ZN$1,0)),"na")</f>
        <v>na</v>
      </c>
      <c r="AV248" t="str">
        <f>IF(ISNUMBER(INDEX(Haver_M!$B$1:$ZN$1000,MATCH(data!$A248,Haver_M!$B$1:$B$1000,0),MATCH(data!AV$1,Haver_M!$B$1:$ZN$1,0))),INDEX(Haver_M!$B$1:$ZN$1000,MATCH(data!$A248,Haver_M!$B$1:$B$1000,0),MATCH(data!AV$1,Haver_M!$B$1:$ZN$1,0)),"na")</f>
        <v>na</v>
      </c>
      <c r="AW248" t="str">
        <f>IF(ISNUMBER(INDEX(Haver_M!$B$1:$ZN$1000,MATCH(data!$A248,Haver_M!$B$1:$B$1000,0),MATCH(data!AW$1,Haver_M!$B$1:$ZN$1,0))),INDEX(Haver_M!$B$1:$ZN$1000,MATCH(data!$A248,Haver_M!$B$1:$B$1000,0),MATCH(data!AW$1,Haver_M!$B$1:$ZN$1,0)),"na")</f>
        <v>na</v>
      </c>
      <c r="AX248" t="str">
        <f>IF(ISNUMBER(INDEX(Haver_M!$B$1:$ZN$1000,MATCH(data!$A248,Haver_M!$B$1:$B$1000,0),MATCH(data!AX$1,Haver_M!$B$1:$ZN$1,0))),INDEX(Haver_M!$B$1:$ZN$1000,MATCH(data!$A248,Haver_M!$B$1:$B$1000,0),MATCH(data!AX$1,Haver_M!$B$1:$ZN$1,0)),"na")</f>
        <v>na</v>
      </c>
      <c r="AY248" t="str">
        <f>IF(ISNUMBER(INDEX(Haver_M!$B$1:$ZN$1000,MATCH(data!$A248,Haver_M!$B$1:$B$1000,0),MATCH(data!AY$1,Haver_M!$B$1:$ZN$1,0))),INDEX(Haver_M!$B$1:$ZN$1000,MATCH(data!$A248,Haver_M!$B$1:$B$1000,0),MATCH(data!AY$1,Haver_M!$B$1:$ZN$1,0)),"na")</f>
        <v>na</v>
      </c>
      <c r="AZ248" t="str">
        <f>IF(ISNUMBER(INDEX(Haver_M!$B$1:$ZN$1000,MATCH(data!$A248,Haver_M!$B$1:$B$1000,0),MATCH(data!AZ$1,Haver_M!$B$1:$ZN$1,0))),INDEX(Haver_M!$B$1:$ZN$1000,MATCH(data!$A248,Haver_M!$B$1:$B$1000,0),MATCH(data!AZ$1,Haver_M!$B$1:$ZN$1,0)),"na")</f>
        <v>na</v>
      </c>
      <c r="BA248" t="str">
        <f>IF(ISNUMBER(INDEX(Haver_M!$B$1:$ZN$1000,MATCH(data!$A248,Haver_M!$B$1:$B$1000,0),MATCH(data!BA$1,Haver_M!$B$1:$ZN$1,0))),INDEX(Haver_M!$B$1:$ZN$1000,MATCH(data!$A248,Haver_M!$B$1:$B$1000,0),MATCH(data!BA$1,Haver_M!$B$1:$ZN$1,0)),"na")</f>
        <v>na</v>
      </c>
      <c r="BB248" t="str">
        <f>IF(ISNUMBER(INDEX(Haver_M!$B$1:$ZN$1000,MATCH(data!$A248,Haver_M!$B$1:$B$1000,0),MATCH(data!BB$1,Haver_M!$B$1:$ZN$1,0))),INDEX(Haver_M!$B$1:$ZN$1000,MATCH(data!$A248,Haver_M!$B$1:$B$1000,0),MATCH(data!BB$1,Haver_M!$B$1:$ZN$1,0)),"")</f>
        <v/>
      </c>
    </row>
    <row r="249" spans="1:54" x14ac:dyDescent="0.25">
      <c r="A249" s="2">
        <v>44074</v>
      </c>
      <c r="B249" t="str">
        <f>IF(ISNUMBER(INDEX(Haver_Q!$B$1:$BD$1000,MATCH(data!$A249,Haver_Q!$B$1:$B$1000,0),MATCH(data!B$1,Haver_Q!$B$1:$BD$1,0))),100*INDEX(Haver_Q!$B$1:$BD$1000,MATCH(data!$A249,Haver_Q!$B$1:$B$1000,0),MATCH(data!B$1,Haver_Q!$B$1:$BD$1,0)),"na")</f>
        <v>na</v>
      </c>
      <c r="C249" t="str">
        <f>IF(ISNUMBER(INDEX(Haver_Q!$B$1:$BD$1000,MATCH(data!$A249,Haver_Q!$B$1:$B$1000,0),MATCH(data!C$1,Haver_Q!$B$1:$BD$1,0))),100*INDEX(Haver_Q!$B$1:$BD$1000,MATCH(data!$A249,Haver_Q!$B$1:$B$1000,0),MATCH(data!C$1,Haver_Q!$B$1:$BD$1,0)),"na")</f>
        <v>na</v>
      </c>
      <c r="D249" t="str">
        <f>IF(ISNUMBER(INDEX(Haver_Q!$B$1:$BD$1000,MATCH(data!$A249,Haver_Q!$B$1:$B$1000,0),MATCH(data!D$1,Haver_Q!$B$1:$BD$1,0))),100*INDEX(Haver_Q!$B$1:$BD$1000,MATCH(data!$A249,Haver_Q!$B$1:$B$1000,0),MATCH(data!D$1,Haver_Q!$B$1:$BD$1,0)),"na")</f>
        <v>na</v>
      </c>
      <c r="E249" t="str">
        <f>IF(ISNUMBER(INDEX(Haver_Q!$B$1:$BD$1000,MATCH(data!$A249,Haver_Q!$B$1:$B$1000,0),MATCH(data!E$1,Haver_Q!$B$1:$BD$1,0))),100*INDEX(Haver_Q!$B$1:$BD$1000,MATCH(data!$A249,Haver_Q!$B$1:$B$1000,0),MATCH(data!E$1,Haver_Q!$B$1:$BD$1,0)),"na")</f>
        <v>na</v>
      </c>
      <c r="F249" t="str">
        <f>IF(ISNUMBER(INDEX(Haver_Q!$B$1:$BD$1000,MATCH(data!$A249,Haver_Q!$B$1:$B$1000,0),MATCH(data!F$1,Haver_Q!$B$1:$BD$1,0))),100*INDEX(Haver_Q!$B$1:$BD$1000,MATCH(data!$A249,Haver_Q!$B$1:$B$1000,0),MATCH(data!F$1,Haver_Q!$B$1:$BD$1,0)),"na")</f>
        <v>na</v>
      </c>
      <c r="G249" t="str">
        <f>IF(ISNUMBER(INDEX(Haver_Q!$B$1:$BD$1000,MATCH(data!$A249,Haver_Q!$B$1:$B$1000,0),MATCH(data!G$1,Haver_Q!$B$1:$BD$1,0))),100*INDEX(Haver_Q!$B$1:$BD$1000,MATCH(data!$A249,Haver_Q!$B$1:$B$1000,0),MATCH(data!G$1,Haver_Q!$B$1:$BD$1,0)),"na")</f>
        <v>na</v>
      </c>
      <c r="H249" t="str">
        <f>IF(ISNUMBER(INDEX(Haver_Q!$B$1:$BD$1000,MATCH(data!$A249,Haver_Q!$B$1:$B$1000,0),MATCH(data!H$1,Haver_Q!$B$1:$BD$1,0))),100*INDEX(Haver_Q!$B$1:$BD$1000,MATCH(data!$A249,Haver_Q!$B$1:$B$1000,0),MATCH(data!H$1,Haver_Q!$B$1:$BD$1,0)),"na")</f>
        <v>na</v>
      </c>
      <c r="I249" s="3" t="str">
        <f>IF(ISNUMBER(Bloomberg_m!C265),Bloomberg_m!C265,"na")</f>
        <v>na</v>
      </c>
      <c r="J249" s="3" t="str">
        <f>IF(ISNUMBER(Bloomberg_m!D265),Bloomberg_m!D265,"na")</f>
        <v>na</v>
      </c>
      <c r="K249" s="3" t="str">
        <f>IF(ISNUMBER(Bloomberg_m!E265),Bloomberg_m!E265,"na")</f>
        <v>na</v>
      </c>
      <c r="L249" s="3" t="str">
        <f>IF(ISNUMBER(Bloomberg_m!L265),Bloomberg_m!L265,"na")</f>
        <v>na</v>
      </c>
      <c r="M249" t="str">
        <f>IF(ISNUMBER(INDEX(Haver_M!$B$1:$ZN$1000,MATCH(data!$A249,Haver_M!$B$1:$B$1000,0),MATCH(data!M$1,Haver_M!$B$1:$ZN$1,0))),INDEX(Haver_M!$B$1:$ZN$1000,MATCH(data!$A249,Haver_M!$B$1:$B$1000,0),MATCH(data!M$1,Haver_M!$B$1:$ZN$1,0)),"na")</f>
        <v>na</v>
      </c>
      <c r="N249" t="str">
        <f>IF(ISNUMBER(INDEX(Haver_M!$B$1:$ZN$1000,MATCH(data!$A249,Haver_M!$B$1:$B$1000,0),MATCH(data!N$1,Haver_M!$B$1:$ZN$1,0))),INDEX(Haver_M!$B$1:$ZN$1000,MATCH(data!$A249,Haver_M!$B$1:$B$1000,0),MATCH(data!N$1,Haver_M!$B$1:$ZN$1,0)),"na")</f>
        <v>na</v>
      </c>
      <c r="O249" t="str">
        <f>IF(ISNUMBER(INDEX(Haver_M!$B$1:$ZN$1000,MATCH(data!$A249,Haver_M!$B$1:$B$1000,0),MATCH(data!O$1,Haver_M!$B$1:$ZN$1,0))),INDEX(Haver_M!$B$1:$ZN$1000,MATCH(data!$A249,Haver_M!$B$1:$B$1000,0),MATCH(data!O$1,Haver_M!$B$1:$ZN$1,0)),"na")</f>
        <v>na</v>
      </c>
      <c r="P249" t="str">
        <f>IF(ISNUMBER(INDEX(Haver_M!$B$1:$ZN$1000,MATCH(data!$A249,Haver_M!$B$1:$B$1000,0),MATCH(data!P$1,Haver_M!$B$1:$ZN$1,0))),INDEX(Haver_M!$B$1:$ZN$1000,MATCH(data!$A249,Haver_M!$B$1:$B$1000,0),MATCH(data!P$1,Haver_M!$B$1:$ZN$1,0)),"na")</f>
        <v>na</v>
      </c>
      <c r="Q249" t="str">
        <f>IF(ISNUMBER(INDEX(Haver_M!$B$1:$ZN$1000,MATCH(data!$A249,Haver_M!$B$1:$B$1000,0),MATCH(data!Q$1,Haver_M!$B$1:$ZN$1,0))),INDEX(Haver_M!$B$1:$ZN$1000,MATCH(data!$A249,Haver_M!$B$1:$B$1000,0),MATCH(data!Q$1,Haver_M!$B$1:$ZN$1,0)),"na")</f>
        <v>na</v>
      </c>
      <c r="R249" t="str">
        <f>IF(ISNUMBER(INDEX(Haver_M!$B$1:$ZN$1000,MATCH(data!$A249,Haver_M!$B$1:$B$1000,0),MATCH(data!R$1,Haver_M!$B$1:$ZN$1,0))),INDEX(Haver_M!$B$1:$ZN$1000,MATCH(data!$A249,Haver_M!$B$1:$B$1000,0),MATCH(data!R$1,Haver_M!$B$1:$ZN$1,0)),"na")</f>
        <v>na</v>
      </c>
      <c r="S249" t="str">
        <f>IF(ISNUMBER(INDEX(Haver_M!$B$1:$ZN$1000,MATCH(data!$A249,Haver_M!$B$1:$B$1000,0),MATCH(data!S$1,Haver_M!$B$1:$ZN$1,0))),INDEX(Haver_M!$B$1:$ZN$1000,MATCH(data!$A249,Haver_M!$B$1:$B$1000,0),MATCH(data!S$1,Haver_M!$B$1:$ZN$1,0)),"na")</f>
        <v>na</v>
      </c>
      <c r="T249" t="str">
        <f>IF(ISNUMBER(INDEX(Haver_M!$B$1:$ZN$1000,MATCH(data!$A249,Haver_M!$B$1:$B$1000,0),MATCH(data!T$1,Haver_M!$B$1:$ZN$1,0))),INDEX(Haver_M!$B$1:$ZN$1000,MATCH(data!$A249,Haver_M!$B$1:$B$1000,0),MATCH(data!T$1,Haver_M!$B$1:$ZN$1,0)),"na")</f>
        <v>na</v>
      </c>
      <c r="U249" t="str">
        <f>IF(ISNUMBER(INDEX(Haver_M!$B$1:$ZN$1000,MATCH(data!$A249,Haver_M!$B$1:$B$1000,0),MATCH(data!U$1,Haver_M!$B$1:$ZN$1,0))),INDEX(Haver_M!$B$1:$ZN$1000,MATCH(data!$A249,Haver_M!$B$1:$B$1000,0),MATCH(data!U$1,Haver_M!$B$1:$ZN$1,0)),"na")</f>
        <v>na</v>
      </c>
      <c r="V249" t="str">
        <f>IF(ISNUMBER(INDEX(Haver_M!$B$1:$ZN$1000,MATCH(data!$A249,Haver_M!$B$1:$B$1000,0),MATCH(data!V$1,Haver_M!$B$1:$ZN$1,0))),INDEX(Haver_M!$B$1:$ZN$1000,MATCH(data!$A249,Haver_M!$B$1:$B$1000,0),MATCH(data!V$1,Haver_M!$B$1:$ZN$1,0)),"na")</f>
        <v>na</v>
      </c>
      <c r="W249" t="str">
        <f>IF(ISNUMBER(INDEX(Haver_M!$B$1:$ZN$1000,MATCH(data!$A249,Haver_M!$B$1:$B$1000,0),MATCH(data!W$1,Haver_M!$B$1:$ZN$1,0))),INDEX(Haver_M!$B$1:$ZN$1000,MATCH(data!$A249,Haver_M!$B$1:$B$1000,0),MATCH(data!W$1,Haver_M!$B$1:$ZN$1,0)),"na")</f>
        <v>na</v>
      </c>
      <c r="X249" t="str">
        <f>IF(ISNUMBER(INDEX(Haver_M!$B$1:$ZN$1000,MATCH(data!$A249,Haver_M!$B$1:$B$1000,0),MATCH(data!X$1,Haver_M!$B$1:$ZN$1,0))),INDEX(Haver_M!$B$1:$ZN$1000,MATCH(data!$A249,Haver_M!$B$1:$B$1000,0),MATCH(data!X$1,Haver_M!$B$1:$ZN$1,0)),"na")</f>
        <v>na</v>
      </c>
      <c r="Y249" t="str">
        <f>IF(ISNUMBER(INDEX(Haver_M!$B$1:$ZN$1000,MATCH(data!$A249,Haver_M!$B$1:$B$1000,0),MATCH(data!Y$1,Haver_M!$B$1:$ZN$1,0))),INDEX(Haver_M!$B$1:$ZN$1000,MATCH(data!$A249,Haver_M!$B$1:$B$1000,0),MATCH(data!Y$1,Haver_M!$B$1:$ZN$1,0)),"na")</f>
        <v>na</v>
      </c>
      <c r="Z249" t="str">
        <f>IF(ISNUMBER(INDEX(Haver_M!$B$1:$ZN$1000,MATCH(data!$A249,Haver_M!$B$1:$B$1000,0),MATCH(data!Z$1,Haver_M!$B$1:$ZN$1,0))),INDEX(Haver_M!$B$1:$ZN$1000,MATCH(data!$A249,Haver_M!$B$1:$B$1000,0),MATCH(data!Z$1,Haver_M!$B$1:$ZN$1,0)),"na")</f>
        <v>na</v>
      </c>
      <c r="AA249" t="str">
        <f>IF(ISNUMBER(INDEX(Haver_M!$B$1:$ZN$1000,MATCH(data!$A249,Haver_M!$B$1:$B$1000,0),MATCH(data!AA$1,Haver_M!$B$1:$ZN$1,0))),INDEX(Haver_M!$B$1:$ZN$1000,MATCH(data!$A249,Haver_M!$B$1:$B$1000,0),MATCH(data!AA$1,Haver_M!$B$1:$ZN$1,0)),"na")</f>
        <v>na</v>
      </c>
      <c r="AB249" t="str">
        <f>IF(ISNUMBER(INDEX(Haver_M!$B$1:$ZN$1000,MATCH(data!$A249,Haver_M!$B$1:$B$1000,0),MATCH(data!AB$1,Haver_M!$B$1:$ZN$1,0))),INDEX(Haver_M!$B$1:$ZN$1000,MATCH(data!$A249,Haver_M!$B$1:$B$1000,0),MATCH(data!AB$1,Haver_M!$B$1:$ZN$1,0)),"na")</f>
        <v>na</v>
      </c>
      <c r="AC249" t="str">
        <f>IF(ISNUMBER(INDEX(Haver_M!$B$1:$ZN$1000,MATCH(data!$A249,Haver_M!$B$1:$B$1000,0),MATCH(data!AC$1,Haver_M!$B$1:$ZN$1,0))),INDEX(Haver_M!$B$1:$ZN$1000,MATCH(data!$A249,Haver_M!$B$1:$B$1000,0),MATCH(data!AC$1,Haver_M!$B$1:$ZN$1,0)),"na")</f>
        <v>na</v>
      </c>
      <c r="AD249" t="str">
        <f>IF(ISNUMBER(INDEX(Haver_M!$B$1:$ZN$1000,MATCH(data!$A249,Haver_M!$B$1:$B$1000,0),MATCH(data!AD$1,Haver_M!$B$1:$ZN$1,0))),INDEX(Haver_M!$B$1:$ZN$1000,MATCH(data!$A249,Haver_M!$B$1:$B$1000,0),MATCH(data!AD$1,Haver_M!$B$1:$ZN$1,0)),"na")</f>
        <v>na</v>
      </c>
      <c r="AE249" t="str">
        <f>IF(ISNUMBER(INDEX(Haver_M!$B$1:$ZN$1000,MATCH(data!$A249,Haver_M!$B$1:$B$1000,0),MATCH(data!AE$1,Haver_M!$B$1:$ZN$1,0))),INDEX(Haver_M!$B$1:$ZN$1000,MATCH(data!$A249,Haver_M!$B$1:$B$1000,0),MATCH(data!AE$1,Haver_M!$B$1:$ZN$1,0)),"na")</f>
        <v>na</v>
      </c>
      <c r="AF249" t="str">
        <f>IF(ISNUMBER(INDEX(Haver_M!$B$1:$ZN$1000,MATCH(data!$A249,Haver_M!$B$1:$B$1000,0),MATCH(data!AF$1,Haver_M!$B$1:$ZN$1,0))),INDEX(Haver_M!$B$1:$ZN$1000,MATCH(data!$A249,Haver_M!$B$1:$B$1000,0),MATCH(data!AF$1,Haver_M!$B$1:$ZN$1,0)),"na")</f>
        <v>na</v>
      </c>
      <c r="AG249" t="str">
        <f>IF(ISNUMBER(INDEX(Haver_M!$B$1:$ZN$1000,MATCH(data!$A249,Haver_M!$B$1:$B$1000,0),MATCH(data!AG$1,Haver_M!$B$1:$ZN$1,0))),INDEX(Haver_M!$B$1:$ZN$1000,MATCH(data!$A249,Haver_M!$B$1:$B$1000,0),MATCH(data!AG$1,Haver_M!$B$1:$ZN$1,0)),"na")</f>
        <v>na</v>
      </c>
      <c r="AH249" t="str">
        <f>IF(ISNUMBER(INDEX(Haver_M!$B$1:$ZN$1000,MATCH(data!$A249,Haver_M!$B$1:$B$1000,0),MATCH(data!AH$1,Haver_M!$B$1:$ZN$1,0))),INDEX(Haver_M!$B$1:$ZN$1000,MATCH(data!$A249,Haver_M!$B$1:$B$1000,0),MATCH(data!AH$1,Haver_M!$B$1:$ZN$1,0)),"na")</f>
        <v>na</v>
      </c>
      <c r="AI249" t="str">
        <f>IF(ISNUMBER(INDEX(Haver_M!$B$1:$ZN$1000,MATCH(data!$A249,Haver_M!$B$1:$B$1000,0),MATCH(data!AI$1,Haver_M!$B$1:$ZN$1,0))),INDEX(Haver_M!$B$1:$ZN$1000,MATCH(data!$A249,Haver_M!$B$1:$B$1000,0),MATCH(data!AI$1,Haver_M!$B$1:$ZN$1,0)),"na")</f>
        <v>na</v>
      </c>
      <c r="AJ249" t="str">
        <f>IF(ISNUMBER(INDEX(Haver_M!$B$1:$ZN$1000,MATCH(data!$A249,Haver_M!$B$1:$B$1000,0),MATCH(data!AJ$1,Haver_M!$B$1:$ZN$1,0))),INDEX(Haver_M!$B$1:$ZN$1000,MATCH(data!$A249,Haver_M!$B$1:$B$1000,0),MATCH(data!AJ$1,Haver_M!$B$1:$ZN$1,0)),"na")</f>
        <v>na</v>
      </c>
      <c r="AK249" t="str">
        <f>IF(ISNUMBER(INDEX(Haver_M!$B$1:$ZN$1000,MATCH(data!$A249,Haver_M!$B$1:$B$1000,0),MATCH(data!AK$1,Haver_M!$B$1:$ZN$1,0))),INDEX(Haver_M!$B$1:$ZN$1000,MATCH(data!$A249,Haver_M!$B$1:$B$1000,0),MATCH(data!AK$1,Haver_M!$B$1:$ZN$1,0)),"na")</f>
        <v>na</v>
      </c>
      <c r="AL249" t="str">
        <f>IF(ISNUMBER(INDEX(Haver_M!$B$1:$ZN$1000,MATCH(data!$A249,Haver_M!$B$1:$B$1000,0),MATCH(data!AL$1,Haver_M!$B$1:$ZN$1,0))),INDEX(Haver_M!$B$1:$ZN$1000,MATCH(data!$A249,Haver_M!$B$1:$B$1000,0),MATCH(data!AL$1,Haver_M!$B$1:$ZN$1,0)),"na")</f>
        <v>na</v>
      </c>
      <c r="AM249" t="str">
        <f>IF(ISNUMBER(INDEX(Haver_M!$B$1:$ZN$1000,MATCH(data!$A249,Haver_M!$B$1:$B$1000,0),MATCH(data!AM$1,Haver_M!$B$1:$ZN$1,0))),INDEX(Haver_M!$B$1:$ZN$1000,MATCH(data!$A249,Haver_M!$B$1:$B$1000,0),MATCH(data!AM$1,Haver_M!$B$1:$ZN$1,0)),"na")</f>
        <v>na</v>
      </c>
      <c r="AN249" t="str">
        <f>IF(ISNUMBER(INDEX(Haver_M!$B$1:$ZN$1000,MATCH(data!$A249,Haver_M!$B$1:$B$1000,0),MATCH(data!AN$1,Haver_M!$B$1:$ZN$1,0))),INDEX(Haver_M!$B$1:$ZN$1000,MATCH(data!$A249,Haver_M!$B$1:$B$1000,0),MATCH(data!AN$1,Haver_M!$B$1:$ZN$1,0)),"na")</f>
        <v>na</v>
      </c>
      <c r="AO249" t="str">
        <f>IF(ISNUMBER(INDEX(Haver_M!$B$1:$ZN$1000,MATCH(data!$A249,Haver_M!$B$1:$B$1000,0),MATCH(data!AO$1,Haver_M!$B$1:$ZN$1,0))),INDEX(Haver_M!$B$1:$ZN$1000,MATCH(data!$A249,Haver_M!$B$1:$B$1000,0),MATCH(data!AO$1,Haver_M!$B$1:$ZN$1,0)),"na")</f>
        <v>na</v>
      </c>
      <c r="AP249" t="str">
        <f>IF(ISNUMBER(INDEX(Haver_M!$B$1:$ZN$1000,MATCH(data!$A249,Haver_M!$B$1:$B$1000,0),MATCH(data!AP$1,Haver_M!$B$1:$ZN$1,0))),INDEX(Haver_M!$B$1:$ZN$1000,MATCH(data!$A249,Haver_M!$B$1:$B$1000,0),MATCH(data!AP$1,Haver_M!$B$1:$ZN$1,0)),"na")</f>
        <v>na</v>
      </c>
      <c r="AQ249" t="str">
        <f>IF(ISNUMBER(INDEX(Haver_M!$B$1:$ZN$1000,MATCH(data!$A249,Haver_M!$B$1:$B$1000,0),MATCH(data!AQ$1,Haver_M!$B$1:$ZN$1,0))),INDEX(Haver_M!$B$1:$ZN$1000,MATCH(data!$A249,Haver_M!$B$1:$B$1000,0),MATCH(data!AQ$1,Haver_M!$B$1:$ZN$1,0)),"na")</f>
        <v>na</v>
      </c>
      <c r="AR249" t="str">
        <f>IF(ISNUMBER(INDEX(Haver_M!$B$1:$ZN$1000,MATCH(data!$A249,Haver_M!$B$1:$B$1000,0),MATCH(data!AR$1,Haver_M!$B$1:$ZN$1,0))),INDEX(Haver_M!$B$1:$ZN$1000,MATCH(data!$A249,Haver_M!$B$1:$B$1000,0),MATCH(data!AR$1,Haver_M!$B$1:$ZN$1,0)),"na")</f>
        <v>na</v>
      </c>
      <c r="AS249" t="str">
        <f>IF(ISNUMBER(INDEX(Haver_M!$B$1:$ZN$1000,MATCH(data!$A249,Haver_M!$B$1:$B$1000,0),MATCH(data!AS$1,Haver_M!$B$1:$ZN$1,0))),INDEX(Haver_M!$B$1:$ZN$1000,MATCH(data!$A249,Haver_M!$B$1:$B$1000,0),MATCH(data!AS$1,Haver_M!$B$1:$ZN$1,0)),"na")</f>
        <v>na</v>
      </c>
      <c r="AT249" t="str">
        <f>IF(ISNUMBER(INDEX(Haver_M!$B$1:$ZN$1000,MATCH(data!$A249,Haver_M!$B$1:$B$1000,0),MATCH(data!AT$1,Haver_M!$B$1:$ZN$1,0))),INDEX(Haver_M!$B$1:$ZN$1000,MATCH(data!$A249,Haver_M!$B$1:$B$1000,0),MATCH(data!AT$1,Haver_M!$B$1:$ZN$1,0)),"na")</f>
        <v>na</v>
      </c>
      <c r="AU249" t="str">
        <f>IF(ISNUMBER(INDEX(Haver_M!$B$1:$ZN$1000,MATCH(data!$A249,Haver_M!$B$1:$B$1000,0),MATCH(data!AU$1,Haver_M!$B$1:$ZN$1,0))),INDEX(Haver_M!$B$1:$ZN$1000,MATCH(data!$A249,Haver_M!$B$1:$B$1000,0),MATCH(data!AU$1,Haver_M!$B$1:$ZN$1,0)),"na")</f>
        <v>na</v>
      </c>
      <c r="AV249" t="str">
        <f>IF(ISNUMBER(INDEX(Haver_M!$B$1:$ZN$1000,MATCH(data!$A249,Haver_M!$B$1:$B$1000,0),MATCH(data!AV$1,Haver_M!$B$1:$ZN$1,0))),INDEX(Haver_M!$B$1:$ZN$1000,MATCH(data!$A249,Haver_M!$B$1:$B$1000,0),MATCH(data!AV$1,Haver_M!$B$1:$ZN$1,0)),"na")</f>
        <v>na</v>
      </c>
      <c r="AW249" t="str">
        <f>IF(ISNUMBER(INDEX(Haver_M!$B$1:$ZN$1000,MATCH(data!$A249,Haver_M!$B$1:$B$1000,0),MATCH(data!AW$1,Haver_M!$B$1:$ZN$1,0))),INDEX(Haver_M!$B$1:$ZN$1000,MATCH(data!$A249,Haver_M!$B$1:$B$1000,0),MATCH(data!AW$1,Haver_M!$B$1:$ZN$1,0)),"na")</f>
        <v>na</v>
      </c>
      <c r="AX249" t="str">
        <f>IF(ISNUMBER(INDEX(Haver_M!$B$1:$ZN$1000,MATCH(data!$A249,Haver_M!$B$1:$B$1000,0),MATCH(data!AX$1,Haver_M!$B$1:$ZN$1,0))),INDEX(Haver_M!$B$1:$ZN$1000,MATCH(data!$A249,Haver_M!$B$1:$B$1000,0),MATCH(data!AX$1,Haver_M!$B$1:$ZN$1,0)),"na")</f>
        <v>na</v>
      </c>
      <c r="AY249" t="str">
        <f>IF(ISNUMBER(INDEX(Haver_M!$B$1:$ZN$1000,MATCH(data!$A249,Haver_M!$B$1:$B$1000,0),MATCH(data!AY$1,Haver_M!$B$1:$ZN$1,0))),INDEX(Haver_M!$B$1:$ZN$1000,MATCH(data!$A249,Haver_M!$B$1:$B$1000,0),MATCH(data!AY$1,Haver_M!$B$1:$ZN$1,0)),"na")</f>
        <v>na</v>
      </c>
      <c r="AZ249" t="str">
        <f>IF(ISNUMBER(INDEX(Haver_M!$B$1:$ZN$1000,MATCH(data!$A249,Haver_M!$B$1:$B$1000,0),MATCH(data!AZ$1,Haver_M!$B$1:$ZN$1,0))),INDEX(Haver_M!$B$1:$ZN$1000,MATCH(data!$A249,Haver_M!$B$1:$B$1000,0),MATCH(data!AZ$1,Haver_M!$B$1:$ZN$1,0)),"na")</f>
        <v>na</v>
      </c>
      <c r="BA249" t="str">
        <f>IF(ISNUMBER(INDEX(Haver_M!$B$1:$ZN$1000,MATCH(data!$A249,Haver_M!$B$1:$B$1000,0),MATCH(data!BA$1,Haver_M!$B$1:$ZN$1,0))),INDEX(Haver_M!$B$1:$ZN$1000,MATCH(data!$A249,Haver_M!$B$1:$B$1000,0),MATCH(data!BA$1,Haver_M!$B$1:$ZN$1,0)),"na")</f>
        <v>na</v>
      </c>
      <c r="BB249" t="str">
        <f>IF(ISNUMBER(INDEX(Haver_M!$B$1:$ZN$1000,MATCH(data!$A249,Haver_M!$B$1:$B$1000,0),MATCH(data!BB$1,Haver_M!$B$1:$ZN$1,0))),INDEX(Haver_M!$B$1:$ZN$1000,MATCH(data!$A249,Haver_M!$B$1:$B$1000,0),MATCH(data!BB$1,Haver_M!$B$1:$ZN$1,0)),"")</f>
        <v/>
      </c>
    </row>
    <row r="250" spans="1:54" x14ac:dyDescent="0.25">
      <c r="A250" s="2">
        <v>44104</v>
      </c>
      <c r="B250" t="str">
        <f>IF(ISNUMBER(INDEX(Haver_Q!$B$1:$BD$1000,MATCH(data!$A250,Haver_Q!$B$1:$B$1000,0),MATCH(data!B$1,Haver_Q!$B$1:$BD$1,0))),100*INDEX(Haver_Q!$B$1:$BD$1000,MATCH(data!$A250,Haver_Q!$B$1:$B$1000,0),MATCH(data!B$1,Haver_Q!$B$1:$BD$1,0)),"na")</f>
        <v>na</v>
      </c>
      <c r="C250" t="str">
        <f>IF(ISNUMBER(INDEX(Haver_Q!$B$1:$BD$1000,MATCH(data!$A250,Haver_Q!$B$1:$B$1000,0),MATCH(data!C$1,Haver_Q!$B$1:$BD$1,0))),100*INDEX(Haver_Q!$B$1:$BD$1000,MATCH(data!$A250,Haver_Q!$B$1:$B$1000,0),MATCH(data!C$1,Haver_Q!$B$1:$BD$1,0)),"na")</f>
        <v>na</v>
      </c>
      <c r="D250" t="str">
        <f>IF(ISNUMBER(INDEX(Haver_Q!$B$1:$BD$1000,MATCH(data!$A250,Haver_Q!$B$1:$B$1000,0),MATCH(data!D$1,Haver_Q!$B$1:$BD$1,0))),100*INDEX(Haver_Q!$B$1:$BD$1000,MATCH(data!$A250,Haver_Q!$B$1:$B$1000,0),MATCH(data!D$1,Haver_Q!$B$1:$BD$1,0)),"na")</f>
        <v>na</v>
      </c>
      <c r="E250" t="str">
        <f>IF(ISNUMBER(INDEX(Haver_Q!$B$1:$BD$1000,MATCH(data!$A250,Haver_Q!$B$1:$B$1000,0),MATCH(data!E$1,Haver_Q!$B$1:$BD$1,0))),100*INDEX(Haver_Q!$B$1:$BD$1000,MATCH(data!$A250,Haver_Q!$B$1:$B$1000,0),MATCH(data!E$1,Haver_Q!$B$1:$BD$1,0)),"na")</f>
        <v>na</v>
      </c>
      <c r="F250" t="str">
        <f>IF(ISNUMBER(INDEX(Haver_Q!$B$1:$BD$1000,MATCH(data!$A250,Haver_Q!$B$1:$B$1000,0),MATCH(data!F$1,Haver_Q!$B$1:$BD$1,0))),100*INDEX(Haver_Q!$B$1:$BD$1000,MATCH(data!$A250,Haver_Q!$B$1:$B$1000,0),MATCH(data!F$1,Haver_Q!$B$1:$BD$1,0)),"na")</f>
        <v>na</v>
      </c>
      <c r="G250" t="str">
        <f>IF(ISNUMBER(INDEX(Haver_Q!$B$1:$BD$1000,MATCH(data!$A250,Haver_Q!$B$1:$B$1000,0),MATCH(data!G$1,Haver_Q!$B$1:$BD$1,0))),100*INDEX(Haver_Q!$B$1:$BD$1000,MATCH(data!$A250,Haver_Q!$B$1:$B$1000,0),MATCH(data!G$1,Haver_Q!$B$1:$BD$1,0)),"na")</f>
        <v>na</v>
      </c>
      <c r="H250" t="str">
        <f>IF(ISNUMBER(INDEX(Haver_Q!$B$1:$BD$1000,MATCH(data!$A250,Haver_Q!$B$1:$B$1000,0),MATCH(data!H$1,Haver_Q!$B$1:$BD$1,0))),100*INDEX(Haver_Q!$B$1:$BD$1000,MATCH(data!$A250,Haver_Q!$B$1:$B$1000,0),MATCH(data!H$1,Haver_Q!$B$1:$BD$1,0)),"na")</f>
        <v>na</v>
      </c>
      <c r="I250" s="3" t="str">
        <f>IF(ISNUMBER(Bloomberg_m!C266),Bloomberg_m!C266,"na")</f>
        <v>na</v>
      </c>
      <c r="J250" s="3" t="str">
        <f>IF(ISNUMBER(Bloomberg_m!D266),Bloomberg_m!D266,"na")</f>
        <v>na</v>
      </c>
      <c r="K250" s="3" t="str">
        <f>IF(ISNUMBER(Bloomberg_m!E266),Bloomberg_m!E266,"na")</f>
        <v>na</v>
      </c>
      <c r="L250" s="3" t="str">
        <f>IF(ISNUMBER(Bloomberg_m!L266),Bloomberg_m!L266,"na")</f>
        <v>na</v>
      </c>
      <c r="M250" t="str">
        <f>IF(ISNUMBER(INDEX(Haver_M!$B$1:$ZN$1000,MATCH(data!$A250,Haver_M!$B$1:$B$1000,0),MATCH(data!M$1,Haver_M!$B$1:$ZN$1,0))),INDEX(Haver_M!$B$1:$ZN$1000,MATCH(data!$A250,Haver_M!$B$1:$B$1000,0),MATCH(data!M$1,Haver_M!$B$1:$ZN$1,0)),"na")</f>
        <v>na</v>
      </c>
      <c r="N250" t="str">
        <f>IF(ISNUMBER(INDEX(Haver_M!$B$1:$ZN$1000,MATCH(data!$A250,Haver_M!$B$1:$B$1000,0),MATCH(data!N$1,Haver_M!$B$1:$ZN$1,0))),INDEX(Haver_M!$B$1:$ZN$1000,MATCH(data!$A250,Haver_M!$B$1:$B$1000,0),MATCH(data!N$1,Haver_M!$B$1:$ZN$1,0)),"na")</f>
        <v>na</v>
      </c>
      <c r="O250" t="str">
        <f>IF(ISNUMBER(INDEX(Haver_M!$B$1:$ZN$1000,MATCH(data!$A250,Haver_M!$B$1:$B$1000,0),MATCH(data!O$1,Haver_M!$B$1:$ZN$1,0))),INDEX(Haver_M!$B$1:$ZN$1000,MATCH(data!$A250,Haver_M!$B$1:$B$1000,0),MATCH(data!O$1,Haver_M!$B$1:$ZN$1,0)),"na")</f>
        <v>na</v>
      </c>
      <c r="P250" t="str">
        <f>IF(ISNUMBER(INDEX(Haver_M!$B$1:$ZN$1000,MATCH(data!$A250,Haver_M!$B$1:$B$1000,0),MATCH(data!P$1,Haver_M!$B$1:$ZN$1,0))),INDEX(Haver_M!$B$1:$ZN$1000,MATCH(data!$A250,Haver_M!$B$1:$B$1000,0),MATCH(data!P$1,Haver_M!$B$1:$ZN$1,0)),"na")</f>
        <v>na</v>
      </c>
      <c r="Q250" t="str">
        <f>IF(ISNUMBER(INDEX(Haver_M!$B$1:$ZN$1000,MATCH(data!$A250,Haver_M!$B$1:$B$1000,0),MATCH(data!Q$1,Haver_M!$B$1:$ZN$1,0))),INDEX(Haver_M!$B$1:$ZN$1000,MATCH(data!$A250,Haver_M!$B$1:$B$1000,0),MATCH(data!Q$1,Haver_M!$B$1:$ZN$1,0)),"na")</f>
        <v>na</v>
      </c>
      <c r="R250" t="str">
        <f>IF(ISNUMBER(INDEX(Haver_M!$B$1:$ZN$1000,MATCH(data!$A250,Haver_M!$B$1:$B$1000,0),MATCH(data!R$1,Haver_M!$B$1:$ZN$1,0))),INDEX(Haver_M!$B$1:$ZN$1000,MATCH(data!$A250,Haver_M!$B$1:$B$1000,0),MATCH(data!R$1,Haver_M!$B$1:$ZN$1,0)),"na")</f>
        <v>na</v>
      </c>
      <c r="S250" t="str">
        <f>IF(ISNUMBER(INDEX(Haver_M!$B$1:$ZN$1000,MATCH(data!$A250,Haver_M!$B$1:$B$1000,0),MATCH(data!S$1,Haver_M!$B$1:$ZN$1,0))),INDEX(Haver_M!$B$1:$ZN$1000,MATCH(data!$A250,Haver_M!$B$1:$B$1000,0),MATCH(data!S$1,Haver_M!$B$1:$ZN$1,0)),"na")</f>
        <v>na</v>
      </c>
      <c r="T250" t="str">
        <f>IF(ISNUMBER(INDEX(Haver_M!$B$1:$ZN$1000,MATCH(data!$A250,Haver_M!$B$1:$B$1000,0),MATCH(data!T$1,Haver_M!$B$1:$ZN$1,0))),INDEX(Haver_M!$B$1:$ZN$1000,MATCH(data!$A250,Haver_M!$B$1:$B$1000,0),MATCH(data!T$1,Haver_M!$B$1:$ZN$1,0)),"na")</f>
        <v>na</v>
      </c>
      <c r="U250" t="str">
        <f>IF(ISNUMBER(INDEX(Haver_M!$B$1:$ZN$1000,MATCH(data!$A250,Haver_M!$B$1:$B$1000,0),MATCH(data!U$1,Haver_M!$B$1:$ZN$1,0))),INDEX(Haver_M!$B$1:$ZN$1000,MATCH(data!$A250,Haver_M!$B$1:$B$1000,0),MATCH(data!U$1,Haver_M!$B$1:$ZN$1,0)),"na")</f>
        <v>na</v>
      </c>
      <c r="V250" t="str">
        <f>IF(ISNUMBER(INDEX(Haver_M!$B$1:$ZN$1000,MATCH(data!$A250,Haver_M!$B$1:$B$1000,0),MATCH(data!V$1,Haver_M!$B$1:$ZN$1,0))),INDEX(Haver_M!$B$1:$ZN$1000,MATCH(data!$A250,Haver_M!$B$1:$B$1000,0),MATCH(data!V$1,Haver_M!$B$1:$ZN$1,0)),"na")</f>
        <v>na</v>
      </c>
      <c r="W250" t="str">
        <f>IF(ISNUMBER(INDEX(Haver_M!$B$1:$ZN$1000,MATCH(data!$A250,Haver_M!$B$1:$B$1000,0),MATCH(data!W$1,Haver_M!$B$1:$ZN$1,0))),INDEX(Haver_M!$B$1:$ZN$1000,MATCH(data!$A250,Haver_M!$B$1:$B$1000,0),MATCH(data!W$1,Haver_M!$B$1:$ZN$1,0)),"na")</f>
        <v>na</v>
      </c>
      <c r="X250" t="str">
        <f>IF(ISNUMBER(INDEX(Haver_M!$B$1:$ZN$1000,MATCH(data!$A250,Haver_M!$B$1:$B$1000,0),MATCH(data!X$1,Haver_M!$B$1:$ZN$1,0))),INDEX(Haver_M!$B$1:$ZN$1000,MATCH(data!$A250,Haver_M!$B$1:$B$1000,0),MATCH(data!X$1,Haver_M!$B$1:$ZN$1,0)),"na")</f>
        <v>na</v>
      </c>
      <c r="Y250" t="str">
        <f>IF(ISNUMBER(INDEX(Haver_M!$B$1:$ZN$1000,MATCH(data!$A250,Haver_M!$B$1:$B$1000,0),MATCH(data!Y$1,Haver_M!$B$1:$ZN$1,0))),INDEX(Haver_M!$B$1:$ZN$1000,MATCH(data!$A250,Haver_M!$B$1:$B$1000,0),MATCH(data!Y$1,Haver_M!$B$1:$ZN$1,0)),"na")</f>
        <v>na</v>
      </c>
      <c r="Z250" t="str">
        <f>IF(ISNUMBER(INDEX(Haver_M!$B$1:$ZN$1000,MATCH(data!$A250,Haver_M!$B$1:$B$1000,0),MATCH(data!Z$1,Haver_M!$B$1:$ZN$1,0))),INDEX(Haver_M!$B$1:$ZN$1000,MATCH(data!$A250,Haver_M!$B$1:$B$1000,0),MATCH(data!Z$1,Haver_M!$B$1:$ZN$1,0)),"na")</f>
        <v>na</v>
      </c>
      <c r="AA250" t="str">
        <f>IF(ISNUMBER(INDEX(Haver_M!$B$1:$ZN$1000,MATCH(data!$A250,Haver_M!$B$1:$B$1000,0),MATCH(data!AA$1,Haver_M!$B$1:$ZN$1,0))),INDEX(Haver_M!$B$1:$ZN$1000,MATCH(data!$A250,Haver_M!$B$1:$B$1000,0),MATCH(data!AA$1,Haver_M!$B$1:$ZN$1,0)),"na")</f>
        <v>na</v>
      </c>
      <c r="AB250" t="str">
        <f>IF(ISNUMBER(INDEX(Haver_M!$B$1:$ZN$1000,MATCH(data!$A250,Haver_M!$B$1:$B$1000,0),MATCH(data!AB$1,Haver_M!$B$1:$ZN$1,0))),INDEX(Haver_M!$B$1:$ZN$1000,MATCH(data!$A250,Haver_M!$B$1:$B$1000,0),MATCH(data!AB$1,Haver_M!$B$1:$ZN$1,0)),"na")</f>
        <v>na</v>
      </c>
      <c r="AC250" t="str">
        <f>IF(ISNUMBER(INDEX(Haver_M!$B$1:$ZN$1000,MATCH(data!$A250,Haver_M!$B$1:$B$1000,0),MATCH(data!AC$1,Haver_M!$B$1:$ZN$1,0))),INDEX(Haver_M!$B$1:$ZN$1000,MATCH(data!$A250,Haver_M!$B$1:$B$1000,0),MATCH(data!AC$1,Haver_M!$B$1:$ZN$1,0)),"na")</f>
        <v>na</v>
      </c>
      <c r="AD250" t="str">
        <f>IF(ISNUMBER(INDEX(Haver_M!$B$1:$ZN$1000,MATCH(data!$A250,Haver_M!$B$1:$B$1000,0),MATCH(data!AD$1,Haver_M!$B$1:$ZN$1,0))),INDEX(Haver_M!$B$1:$ZN$1000,MATCH(data!$A250,Haver_M!$B$1:$B$1000,0),MATCH(data!AD$1,Haver_M!$B$1:$ZN$1,0)),"na")</f>
        <v>na</v>
      </c>
      <c r="AE250" t="str">
        <f>IF(ISNUMBER(INDEX(Haver_M!$B$1:$ZN$1000,MATCH(data!$A250,Haver_M!$B$1:$B$1000,0),MATCH(data!AE$1,Haver_M!$B$1:$ZN$1,0))),INDEX(Haver_M!$B$1:$ZN$1000,MATCH(data!$A250,Haver_M!$B$1:$B$1000,0),MATCH(data!AE$1,Haver_M!$B$1:$ZN$1,0)),"na")</f>
        <v>na</v>
      </c>
      <c r="AF250" t="str">
        <f>IF(ISNUMBER(INDEX(Haver_M!$B$1:$ZN$1000,MATCH(data!$A250,Haver_M!$B$1:$B$1000,0),MATCH(data!AF$1,Haver_M!$B$1:$ZN$1,0))),INDEX(Haver_M!$B$1:$ZN$1000,MATCH(data!$A250,Haver_M!$B$1:$B$1000,0),MATCH(data!AF$1,Haver_M!$B$1:$ZN$1,0)),"na")</f>
        <v>na</v>
      </c>
      <c r="AG250" t="str">
        <f>IF(ISNUMBER(INDEX(Haver_M!$B$1:$ZN$1000,MATCH(data!$A250,Haver_M!$B$1:$B$1000,0),MATCH(data!AG$1,Haver_M!$B$1:$ZN$1,0))),INDEX(Haver_M!$B$1:$ZN$1000,MATCH(data!$A250,Haver_M!$B$1:$B$1000,0),MATCH(data!AG$1,Haver_M!$B$1:$ZN$1,0)),"na")</f>
        <v>na</v>
      </c>
      <c r="AH250" t="str">
        <f>IF(ISNUMBER(INDEX(Haver_M!$B$1:$ZN$1000,MATCH(data!$A250,Haver_M!$B$1:$B$1000,0),MATCH(data!AH$1,Haver_M!$B$1:$ZN$1,0))),INDEX(Haver_M!$B$1:$ZN$1000,MATCH(data!$A250,Haver_M!$B$1:$B$1000,0),MATCH(data!AH$1,Haver_M!$B$1:$ZN$1,0)),"na")</f>
        <v>na</v>
      </c>
      <c r="AI250" t="str">
        <f>IF(ISNUMBER(INDEX(Haver_M!$B$1:$ZN$1000,MATCH(data!$A250,Haver_M!$B$1:$B$1000,0),MATCH(data!AI$1,Haver_M!$B$1:$ZN$1,0))),INDEX(Haver_M!$B$1:$ZN$1000,MATCH(data!$A250,Haver_M!$B$1:$B$1000,0),MATCH(data!AI$1,Haver_M!$B$1:$ZN$1,0)),"na")</f>
        <v>na</v>
      </c>
      <c r="AJ250" t="str">
        <f>IF(ISNUMBER(INDEX(Haver_M!$B$1:$ZN$1000,MATCH(data!$A250,Haver_M!$B$1:$B$1000,0),MATCH(data!AJ$1,Haver_M!$B$1:$ZN$1,0))),INDEX(Haver_M!$B$1:$ZN$1000,MATCH(data!$A250,Haver_M!$B$1:$B$1000,0),MATCH(data!AJ$1,Haver_M!$B$1:$ZN$1,0)),"na")</f>
        <v>na</v>
      </c>
      <c r="AK250" t="str">
        <f>IF(ISNUMBER(INDEX(Haver_M!$B$1:$ZN$1000,MATCH(data!$A250,Haver_M!$B$1:$B$1000,0),MATCH(data!AK$1,Haver_M!$B$1:$ZN$1,0))),INDEX(Haver_M!$B$1:$ZN$1000,MATCH(data!$A250,Haver_M!$B$1:$B$1000,0),MATCH(data!AK$1,Haver_M!$B$1:$ZN$1,0)),"na")</f>
        <v>na</v>
      </c>
      <c r="AL250" t="str">
        <f>IF(ISNUMBER(INDEX(Haver_M!$B$1:$ZN$1000,MATCH(data!$A250,Haver_M!$B$1:$B$1000,0),MATCH(data!AL$1,Haver_M!$B$1:$ZN$1,0))),INDEX(Haver_M!$B$1:$ZN$1000,MATCH(data!$A250,Haver_M!$B$1:$B$1000,0),MATCH(data!AL$1,Haver_M!$B$1:$ZN$1,0)),"na")</f>
        <v>na</v>
      </c>
      <c r="AM250" t="str">
        <f>IF(ISNUMBER(INDEX(Haver_M!$B$1:$ZN$1000,MATCH(data!$A250,Haver_M!$B$1:$B$1000,0),MATCH(data!AM$1,Haver_M!$B$1:$ZN$1,0))),INDEX(Haver_M!$B$1:$ZN$1000,MATCH(data!$A250,Haver_M!$B$1:$B$1000,0),MATCH(data!AM$1,Haver_M!$B$1:$ZN$1,0)),"na")</f>
        <v>na</v>
      </c>
      <c r="AN250" t="str">
        <f>IF(ISNUMBER(INDEX(Haver_M!$B$1:$ZN$1000,MATCH(data!$A250,Haver_M!$B$1:$B$1000,0),MATCH(data!AN$1,Haver_M!$B$1:$ZN$1,0))),INDEX(Haver_M!$B$1:$ZN$1000,MATCH(data!$A250,Haver_M!$B$1:$B$1000,0),MATCH(data!AN$1,Haver_M!$B$1:$ZN$1,0)),"na")</f>
        <v>na</v>
      </c>
      <c r="AO250" t="str">
        <f>IF(ISNUMBER(INDEX(Haver_M!$B$1:$ZN$1000,MATCH(data!$A250,Haver_M!$B$1:$B$1000,0),MATCH(data!AO$1,Haver_M!$B$1:$ZN$1,0))),INDEX(Haver_M!$B$1:$ZN$1000,MATCH(data!$A250,Haver_M!$B$1:$B$1000,0),MATCH(data!AO$1,Haver_M!$B$1:$ZN$1,0)),"na")</f>
        <v>na</v>
      </c>
      <c r="AP250" t="str">
        <f>IF(ISNUMBER(INDEX(Haver_M!$B$1:$ZN$1000,MATCH(data!$A250,Haver_M!$B$1:$B$1000,0),MATCH(data!AP$1,Haver_M!$B$1:$ZN$1,0))),INDEX(Haver_M!$B$1:$ZN$1000,MATCH(data!$A250,Haver_M!$B$1:$B$1000,0),MATCH(data!AP$1,Haver_M!$B$1:$ZN$1,0)),"na")</f>
        <v>na</v>
      </c>
      <c r="AQ250" t="str">
        <f>IF(ISNUMBER(INDEX(Haver_M!$B$1:$ZN$1000,MATCH(data!$A250,Haver_M!$B$1:$B$1000,0),MATCH(data!AQ$1,Haver_M!$B$1:$ZN$1,0))),INDEX(Haver_M!$B$1:$ZN$1000,MATCH(data!$A250,Haver_M!$B$1:$B$1000,0),MATCH(data!AQ$1,Haver_M!$B$1:$ZN$1,0)),"na")</f>
        <v>na</v>
      </c>
      <c r="AR250" t="str">
        <f>IF(ISNUMBER(INDEX(Haver_M!$B$1:$ZN$1000,MATCH(data!$A250,Haver_M!$B$1:$B$1000,0),MATCH(data!AR$1,Haver_M!$B$1:$ZN$1,0))),INDEX(Haver_M!$B$1:$ZN$1000,MATCH(data!$A250,Haver_M!$B$1:$B$1000,0),MATCH(data!AR$1,Haver_M!$B$1:$ZN$1,0)),"na")</f>
        <v>na</v>
      </c>
      <c r="AS250" t="str">
        <f>IF(ISNUMBER(INDEX(Haver_M!$B$1:$ZN$1000,MATCH(data!$A250,Haver_M!$B$1:$B$1000,0),MATCH(data!AS$1,Haver_M!$B$1:$ZN$1,0))),INDEX(Haver_M!$B$1:$ZN$1000,MATCH(data!$A250,Haver_M!$B$1:$B$1000,0),MATCH(data!AS$1,Haver_M!$B$1:$ZN$1,0)),"na")</f>
        <v>na</v>
      </c>
      <c r="AT250" t="str">
        <f>IF(ISNUMBER(INDEX(Haver_M!$B$1:$ZN$1000,MATCH(data!$A250,Haver_M!$B$1:$B$1000,0),MATCH(data!AT$1,Haver_M!$B$1:$ZN$1,0))),INDEX(Haver_M!$B$1:$ZN$1000,MATCH(data!$A250,Haver_M!$B$1:$B$1000,0),MATCH(data!AT$1,Haver_M!$B$1:$ZN$1,0)),"na")</f>
        <v>na</v>
      </c>
      <c r="AU250" t="str">
        <f>IF(ISNUMBER(INDEX(Haver_M!$B$1:$ZN$1000,MATCH(data!$A250,Haver_M!$B$1:$B$1000,0),MATCH(data!AU$1,Haver_M!$B$1:$ZN$1,0))),INDEX(Haver_M!$B$1:$ZN$1000,MATCH(data!$A250,Haver_M!$B$1:$B$1000,0),MATCH(data!AU$1,Haver_M!$B$1:$ZN$1,0)),"na")</f>
        <v>na</v>
      </c>
      <c r="AV250" t="str">
        <f>IF(ISNUMBER(INDEX(Haver_M!$B$1:$ZN$1000,MATCH(data!$A250,Haver_M!$B$1:$B$1000,0),MATCH(data!AV$1,Haver_M!$B$1:$ZN$1,0))),INDEX(Haver_M!$B$1:$ZN$1000,MATCH(data!$A250,Haver_M!$B$1:$B$1000,0),MATCH(data!AV$1,Haver_M!$B$1:$ZN$1,0)),"na")</f>
        <v>na</v>
      </c>
      <c r="AW250" t="str">
        <f>IF(ISNUMBER(INDEX(Haver_M!$B$1:$ZN$1000,MATCH(data!$A250,Haver_M!$B$1:$B$1000,0),MATCH(data!AW$1,Haver_M!$B$1:$ZN$1,0))),INDEX(Haver_M!$B$1:$ZN$1000,MATCH(data!$A250,Haver_M!$B$1:$B$1000,0),MATCH(data!AW$1,Haver_M!$B$1:$ZN$1,0)),"na")</f>
        <v>na</v>
      </c>
      <c r="AX250" t="str">
        <f>IF(ISNUMBER(INDEX(Haver_M!$B$1:$ZN$1000,MATCH(data!$A250,Haver_M!$B$1:$B$1000,0),MATCH(data!AX$1,Haver_M!$B$1:$ZN$1,0))),INDEX(Haver_M!$B$1:$ZN$1000,MATCH(data!$A250,Haver_M!$B$1:$B$1000,0),MATCH(data!AX$1,Haver_M!$B$1:$ZN$1,0)),"na")</f>
        <v>na</v>
      </c>
      <c r="AY250" t="str">
        <f>IF(ISNUMBER(INDEX(Haver_M!$B$1:$ZN$1000,MATCH(data!$A250,Haver_M!$B$1:$B$1000,0),MATCH(data!AY$1,Haver_M!$B$1:$ZN$1,0))),INDEX(Haver_M!$B$1:$ZN$1000,MATCH(data!$A250,Haver_M!$B$1:$B$1000,0),MATCH(data!AY$1,Haver_M!$B$1:$ZN$1,0)),"na")</f>
        <v>na</v>
      </c>
      <c r="AZ250" t="str">
        <f>IF(ISNUMBER(INDEX(Haver_M!$B$1:$ZN$1000,MATCH(data!$A250,Haver_M!$B$1:$B$1000,0),MATCH(data!AZ$1,Haver_M!$B$1:$ZN$1,0))),INDEX(Haver_M!$B$1:$ZN$1000,MATCH(data!$A250,Haver_M!$B$1:$B$1000,0),MATCH(data!AZ$1,Haver_M!$B$1:$ZN$1,0)),"na")</f>
        <v>na</v>
      </c>
      <c r="BA250" t="str">
        <f>IF(ISNUMBER(INDEX(Haver_M!$B$1:$ZN$1000,MATCH(data!$A250,Haver_M!$B$1:$B$1000,0),MATCH(data!BA$1,Haver_M!$B$1:$ZN$1,0))),INDEX(Haver_M!$B$1:$ZN$1000,MATCH(data!$A250,Haver_M!$B$1:$B$1000,0),MATCH(data!BA$1,Haver_M!$B$1:$ZN$1,0)),"na")</f>
        <v>na</v>
      </c>
      <c r="BB250" t="str">
        <f>IF(ISNUMBER(INDEX(Haver_M!$B$1:$ZN$1000,MATCH(data!$A250,Haver_M!$B$1:$B$1000,0),MATCH(data!BB$1,Haver_M!$B$1:$ZN$1,0))),INDEX(Haver_M!$B$1:$ZN$1000,MATCH(data!$A250,Haver_M!$B$1:$B$1000,0),MATCH(data!BB$1,Haver_M!$B$1:$ZN$1,0)),"")</f>
        <v/>
      </c>
    </row>
    <row r="251" spans="1:54" x14ac:dyDescent="0.25">
      <c r="A251" s="28"/>
    </row>
    <row r="252" spans="1:54" x14ac:dyDescent="0.25">
      <c r="A252" s="28"/>
    </row>
    <row r="253" spans="1:54" x14ac:dyDescent="0.25">
      <c r="A253" s="28"/>
    </row>
    <row r="254" spans="1:54" x14ac:dyDescent="0.25">
      <c r="A254" s="28"/>
    </row>
    <row r="255" spans="1:54" x14ac:dyDescent="0.25">
      <c r="A255" s="28"/>
    </row>
    <row r="256" spans="1:54" x14ac:dyDescent="0.25">
      <c r="A256" s="28"/>
    </row>
    <row r="257" spans="1:1" x14ac:dyDescent="0.25">
      <c r="A257" s="28"/>
    </row>
    <row r="258" spans="1:1" x14ac:dyDescent="0.25">
      <c r="A258" s="28"/>
    </row>
    <row r="259" spans="1:1" x14ac:dyDescent="0.25">
      <c r="A259" s="28"/>
    </row>
    <row r="260" spans="1:1" x14ac:dyDescent="0.25">
      <c r="A260" s="28"/>
    </row>
    <row r="261" spans="1:1" x14ac:dyDescent="0.25">
      <c r="A261" s="28"/>
    </row>
    <row r="262" spans="1:1" x14ac:dyDescent="0.25">
      <c r="A262" s="28"/>
    </row>
    <row r="263" spans="1:1" x14ac:dyDescent="0.25">
      <c r="A263" s="28"/>
    </row>
    <row r="264" spans="1:1" x14ac:dyDescent="0.25">
      <c r="A264" s="28"/>
    </row>
    <row r="265" spans="1:1" x14ac:dyDescent="0.25">
      <c r="A265" s="28"/>
    </row>
    <row r="266" spans="1:1" x14ac:dyDescent="0.25">
      <c r="A266" s="28"/>
    </row>
    <row r="267" spans="1:1" x14ac:dyDescent="0.25">
      <c r="A267" s="28"/>
    </row>
    <row r="268" spans="1:1" x14ac:dyDescent="0.25">
      <c r="A268" s="28"/>
    </row>
    <row r="269" spans="1:1" x14ac:dyDescent="0.25">
      <c r="A269" s="28"/>
    </row>
    <row r="270" spans="1:1" x14ac:dyDescent="0.25">
      <c r="A270" s="28"/>
    </row>
    <row r="271" spans="1:1" x14ac:dyDescent="0.25">
      <c r="A271" s="28"/>
    </row>
    <row r="272" spans="1:1" x14ac:dyDescent="0.25">
      <c r="A272" s="28"/>
    </row>
    <row r="273" spans="1:1" x14ac:dyDescent="0.25">
      <c r="A273" s="28"/>
    </row>
    <row r="274" spans="1:1" x14ac:dyDescent="0.25">
      <c r="A274" s="28"/>
    </row>
    <row r="275" spans="1:1" x14ac:dyDescent="0.25">
      <c r="A275" s="28"/>
    </row>
    <row r="276" spans="1:1" x14ac:dyDescent="0.25">
      <c r="A276" s="28"/>
    </row>
    <row r="277" spans="1:1" x14ac:dyDescent="0.25">
      <c r="A277" s="28"/>
    </row>
    <row r="278" spans="1:1" x14ac:dyDescent="0.25">
      <c r="A278" s="28"/>
    </row>
    <row r="279" spans="1:1" x14ac:dyDescent="0.25">
      <c r="A279" s="28"/>
    </row>
    <row r="280" spans="1:1" x14ac:dyDescent="0.25">
      <c r="A280" s="28"/>
    </row>
    <row r="281" spans="1:1" x14ac:dyDescent="0.25">
      <c r="A281" s="28"/>
    </row>
    <row r="282" spans="1:1" x14ac:dyDescent="0.25">
      <c r="A282" s="28"/>
    </row>
    <row r="283" spans="1:1" x14ac:dyDescent="0.25">
      <c r="A283" s="28"/>
    </row>
    <row r="284" spans="1:1" x14ac:dyDescent="0.25">
      <c r="A284" s="28"/>
    </row>
    <row r="285" spans="1:1" x14ac:dyDescent="0.25">
      <c r="A285" s="28"/>
    </row>
    <row r="286" spans="1:1" x14ac:dyDescent="0.25">
      <c r="A286" s="28"/>
    </row>
    <row r="287" spans="1:1" x14ac:dyDescent="0.25">
      <c r="A287" s="28"/>
    </row>
    <row r="288" spans="1:1" x14ac:dyDescent="0.25">
      <c r="A288" s="28"/>
    </row>
    <row r="289" spans="1:1" x14ac:dyDescent="0.25">
      <c r="A289" s="28"/>
    </row>
    <row r="290" spans="1:1" x14ac:dyDescent="0.25">
      <c r="A290" s="28"/>
    </row>
    <row r="291" spans="1:1" x14ac:dyDescent="0.25">
      <c r="A291" s="28"/>
    </row>
    <row r="292" spans="1:1" x14ac:dyDescent="0.25">
      <c r="A292" s="28"/>
    </row>
    <row r="293" spans="1:1" x14ac:dyDescent="0.25">
      <c r="A293" s="28"/>
    </row>
    <row r="294" spans="1:1" x14ac:dyDescent="0.25">
      <c r="A294" s="28"/>
    </row>
    <row r="295" spans="1:1" x14ac:dyDescent="0.25">
      <c r="A295" s="28"/>
    </row>
    <row r="296" spans="1:1" x14ac:dyDescent="0.25">
      <c r="A296" s="28"/>
    </row>
    <row r="297" spans="1:1" x14ac:dyDescent="0.25">
      <c r="A297" s="28"/>
    </row>
    <row r="298" spans="1:1" x14ac:dyDescent="0.25">
      <c r="A298" s="28"/>
    </row>
    <row r="299" spans="1:1" x14ac:dyDescent="0.25">
      <c r="A299" s="28"/>
    </row>
    <row r="300" spans="1:1" x14ac:dyDescent="0.25">
      <c r="A300" s="28"/>
    </row>
    <row r="301" spans="1:1" x14ac:dyDescent="0.25">
      <c r="A301" s="28"/>
    </row>
    <row r="302" spans="1:1" x14ac:dyDescent="0.25">
      <c r="A302" s="28"/>
    </row>
    <row r="303" spans="1:1" x14ac:dyDescent="0.25">
      <c r="A303" s="28"/>
    </row>
    <row r="304" spans="1:1" x14ac:dyDescent="0.25">
      <c r="A304" s="28"/>
    </row>
    <row r="305" spans="1:1" x14ac:dyDescent="0.25">
      <c r="A305" s="28"/>
    </row>
    <row r="306" spans="1:1" x14ac:dyDescent="0.25">
      <c r="A306" s="28"/>
    </row>
    <row r="307" spans="1:1" x14ac:dyDescent="0.25">
      <c r="A307" s="28"/>
    </row>
    <row r="308" spans="1:1" x14ac:dyDescent="0.25">
      <c r="A308" s="28"/>
    </row>
    <row r="309" spans="1:1" x14ac:dyDescent="0.25">
      <c r="A309" s="28"/>
    </row>
    <row r="310" spans="1:1" x14ac:dyDescent="0.25">
      <c r="A310" s="28"/>
    </row>
    <row r="311" spans="1:1" x14ac:dyDescent="0.25">
      <c r="A311" s="28"/>
    </row>
    <row r="312" spans="1:1" x14ac:dyDescent="0.25">
      <c r="A312" s="28"/>
    </row>
    <row r="313" spans="1:1" x14ac:dyDescent="0.25">
      <c r="A313" s="28"/>
    </row>
    <row r="314" spans="1:1" x14ac:dyDescent="0.25">
      <c r="A314" s="28"/>
    </row>
    <row r="315" spans="1:1" x14ac:dyDescent="0.25">
      <c r="A315" s="28"/>
    </row>
    <row r="316" spans="1:1" x14ac:dyDescent="0.25">
      <c r="A316" s="28"/>
    </row>
    <row r="317" spans="1:1" x14ac:dyDescent="0.25">
      <c r="A317" s="28"/>
    </row>
    <row r="318" spans="1:1" x14ac:dyDescent="0.25">
      <c r="A318" s="28"/>
    </row>
    <row r="319" spans="1:1" x14ac:dyDescent="0.25">
      <c r="A319" s="28"/>
    </row>
    <row r="320" spans="1:1" x14ac:dyDescent="0.25">
      <c r="A320" s="28"/>
    </row>
    <row r="321" spans="1:1" x14ac:dyDescent="0.25">
      <c r="A321" s="28"/>
    </row>
    <row r="322" spans="1:1" x14ac:dyDescent="0.25">
      <c r="A322" s="28"/>
    </row>
    <row r="323" spans="1:1" x14ac:dyDescent="0.25">
      <c r="A323" s="28"/>
    </row>
    <row r="324" spans="1:1" x14ac:dyDescent="0.25">
      <c r="A324" s="28"/>
    </row>
    <row r="325" spans="1:1" x14ac:dyDescent="0.25">
      <c r="A325" s="28"/>
    </row>
    <row r="326" spans="1:1" x14ac:dyDescent="0.25">
      <c r="A326" s="28"/>
    </row>
    <row r="327" spans="1:1" x14ac:dyDescent="0.25">
      <c r="A327" s="28"/>
    </row>
    <row r="328" spans="1:1" x14ac:dyDescent="0.25">
      <c r="A328" s="28"/>
    </row>
    <row r="329" spans="1:1" x14ac:dyDescent="0.25">
      <c r="A329" s="28"/>
    </row>
    <row r="330" spans="1:1" x14ac:dyDescent="0.25">
      <c r="A330" s="28"/>
    </row>
    <row r="331" spans="1:1" x14ac:dyDescent="0.25">
      <c r="A331" s="28"/>
    </row>
    <row r="332" spans="1:1" x14ac:dyDescent="0.25">
      <c r="A332" s="28"/>
    </row>
    <row r="333" spans="1:1" x14ac:dyDescent="0.25">
      <c r="A333" s="28"/>
    </row>
    <row r="334" spans="1:1" x14ac:dyDescent="0.25">
      <c r="A334" s="28"/>
    </row>
    <row r="335" spans="1:1" x14ac:dyDescent="0.25">
      <c r="A335" s="28"/>
    </row>
    <row r="336" spans="1:1" x14ac:dyDescent="0.25">
      <c r="A336" s="28"/>
    </row>
    <row r="337" spans="1:1" x14ac:dyDescent="0.25">
      <c r="A337" s="28"/>
    </row>
    <row r="338" spans="1:1" x14ac:dyDescent="0.25">
      <c r="A338" s="28"/>
    </row>
    <row r="339" spans="1:1" x14ac:dyDescent="0.25">
      <c r="A339" s="28"/>
    </row>
    <row r="340" spans="1:1" x14ac:dyDescent="0.25">
      <c r="A340" s="28"/>
    </row>
    <row r="341" spans="1:1" x14ac:dyDescent="0.25">
      <c r="A341" s="28"/>
    </row>
    <row r="342" spans="1:1" x14ac:dyDescent="0.25">
      <c r="A342" s="28"/>
    </row>
    <row r="343" spans="1:1" x14ac:dyDescent="0.25">
      <c r="A343" s="28"/>
    </row>
    <row r="344" spans="1:1" x14ac:dyDescent="0.25">
      <c r="A344" s="28"/>
    </row>
    <row r="345" spans="1:1" x14ac:dyDescent="0.25">
      <c r="A345" s="28"/>
    </row>
    <row r="346" spans="1:1" x14ac:dyDescent="0.25">
      <c r="A346" s="28"/>
    </row>
    <row r="347" spans="1:1" x14ac:dyDescent="0.25">
      <c r="A347" s="28"/>
    </row>
    <row r="348" spans="1:1" x14ac:dyDescent="0.25">
      <c r="A348" s="28"/>
    </row>
    <row r="349" spans="1:1" x14ac:dyDescent="0.25">
      <c r="A349" s="28"/>
    </row>
    <row r="350" spans="1:1" x14ac:dyDescent="0.25">
      <c r="A350" s="28"/>
    </row>
    <row r="351" spans="1:1" x14ac:dyDescent="0.25">
      <c r="A351" s="28"/>
    </row>
    <row r="352" spans="1:1" x14ac:dyDescent="0.25">
      <c r="A352" s="28"/>
    </row>
    <row r="353" spans="1:1" x14ac:dyDescent="0.25">
      <c r="A353" s="28"/>
    </row>
    <row r="354" spans="1:1" x14ac:dyDescent="0.25">
      <c r="A354" s="28"/>
    </row>
    <row r="355" spans="1:1" x14ac:dyDescent="0.25">
      <c r="A355" s="28"/>
    </row>
    <row r="356" spans="1:1" x14ac:dyDescent="0.25">
      <c r="A356" s="28"/>
    </row>
    <row r="357" spans="1:1" x14ac:dyDescent="0.25">
      <c r="A357" s="28"/>
    </row>
    <row r="358" spans="1:1" x14ac:dyDescent="0.25">
      <c r="A358" s="28"/>
    </row>
    <row r="359" spans="1:1" x14ac:dyDescent="0.25">
      <c r="A359" s="28"/>
    </row>
    <row r="360" spans="1:1" x14ac:dyDescent="0.25">
      <c r="A360" s="28"/>
    </row>
    <row r="361" spans="1:1" x14ac:dyDescent="0.25">
      <c r="A361" s="28"/>
    </row>
    <row r="362" spans="1:1" x14ac:dyDescent="0.25">
      <c r="A362" s="28"/>
    </row>
    <row r="363" spans="1:1" x14ac:dyDescent="0.25">
      <c r="A363" s="28"/>
    </row>
    <row r="364" spans="1:1" x14ac:dyDescent="0.25">
      <c r="A364" s="28"/>
    </row>
    <row r="365" spans="1:1" x14ac:dyDescent="0.25">
      <c r="A365" s="28"/>
    </row>
    <row r="366" spans="1:1" x14ac:dyDescent="0.25">
      <c r="A366" s="28"/>
    </row>
    <row r="367" spans="1:1" x14ac:dyDescent="0.25">
      <c r="A367" s="28"/>
    </row>
    <row r="368" spans="1:1" x14ac:dyDescent="0.25">
      <c r="A368" s="28"/>
    </row>
    <row r="369" spans="1:1" x14ac:dyDescent="0.25">
      <c r="A369" s="28"/>
    </row>
    <row r="370" spans="1:1" x14ac:dyDescent="0.25">
      <c r="A370" s="28"/>
    </row>
    <row r="371" spans="1:1" x14ac:dyDescent="0.25">
      <c r="A371" s="28"/>
    </row>
    <row r="372" spans="1:1" x14ac:dyDescent="0.25">
      <c r="A372" s="28"/>
    </row>
    <row r="373" spans="1:1" x14ac:dyDescent="0.25">
      <c r="A373" s="28"/>
    </row>
    <row r="374" spans="1:1" x14ac:dyDescent="0.25">
      <c r="A374" s="28"/>
    </row>
    <row r="375" spans="1:1" x14ac:dyDescent="0.25">
      <c r="A375" s="28"/>
    </row>
    <row r="376" spans="1:1" x14ac:dyDescent="0.25">
      <c r="A376" s="28"/>
    </row>
    <row r="377" spans="1:1" x14ac:dyDescent="0.25">
      <c r="A377" s="28"/>
    </row>
    <row r="378" spans="1:1" x14ac:dyDescent="0.25">
      <c r="A378" s="28"/>
    </row>
    <row r="379" spans="1:1" x14ac:dyDescent="0.25">
      <c r="A379" s="28"/>
    </row>
    <row r="380" spans="1:1" x14ac:dyDescent="0.25">
      <c r="A380" s="28"/>
    </row>
    <row r="381" spans="1:1" x14ac:dyDescent="0.25">
      <c r="A381" s="28"/>
    </row>
    <row r="382" spans="1:1" x14ac:dyDescent="0.25">
      <c r="A382" s="28"/>
    </row>
    <row r="383" spans="1:1" x14ac:dyDescent="0.25">
      <c r="A383" s="28"/>
    </row>
    <row r="384" spans="1:1" x14ac:dyDescent="0.25">
      <c r="A384" s="28"/>
    </row>
    <row r="385" spans="1:1" x14ac:dyDescent="0.25">
      <c r="A385" s="28"/>
    </row>
    <row r="386" spans="1:1" x14ac:dyDescent="0.25">
      <c r="A386" s="28"/>
    </row>
    <row r="387" spans="1:1" x14ac:dyDescent="0.25">
      <c r="A387" s="28"/>
    </row>
    <row r="388" spans="1:1" x14ac:dyDescent="0.25">
      <c r="A388" s="28"/>
    </row>
    <row r="389" spans="1:1" x14ac:dyDescent="0.25">
      <c r="A389" s="28"/>
    </row>
    <row r="390" spans="1:1" x14ac:dyDescent="0.25">
      <c r="A390" s="28"/>
    </row>
    <row r="391" spans="1:1" x14ac:dyDescent="0.25">
      <c r="A391" s="28"/>
    </row>
    <row r="392" spans="1:1" x14ac:dyDescent="0.25">
      <c r="A392" s="28"/>
    </row>
    <row r="393" spans="1:1" x14ac:dyDescent="0.25">
      <c r="A393" s="28"/>
    </row>
    <row r="394" spans="1:1" x14ac:dyDescent="0.25">
      <c r="A394" s="28"/>
    </row>
    <row r="395" spans="1:1" x14ac:dyDescent="0.25">
      <c r="A395" s="28"/>
    </row>
    <row r="396" spans="1:1" x14ac:dyDescent="0.25">
      <c r="A396" s="28"/>
    </row>
    <row r="397" spans="1:1" x14ac:dyDescent="0.25">
      <c r="A397" s="28"/>
    </row>
    <row r="398" spans="1:1" x14ac:dyDescent="0.25">
      <c r="A398" s="28"/>
    </row>
    <row r="399" spans="1:1" x14ac:dyDescent="0.25">
      <c r="A399" s="28"/>
    </row>
    <row r="400" spans="1:1" x14ac:dyDescent="0.25">
      <c r="A400" s="28"/>
    </row>
    <row r="401" spans="1:1" x14ac:dyDescent="0.25">
      <c r="A401" s="28"/>
    </row>
    <row r="402" spans="1:1" x14ac:dyDescent="0.25">
      <c r="A402" s="28"/>
    </row>
    <row r="403" spans="1:1" x14ac:dyDescent="0.25">
      <c r="A403" s="28"/>
    </row>
    <row r="404" spans="1:1" x14ac:dyDescent="0.25">
      <c r="A404" s="28"/>
    </row>
    <row r="405" spans="1:1" x14ac:dyDescent="0.25">
      <c r="A405" s="28"/>
    </row>
    <row r="406" spans="1:1" x14ac:dyDescent="0.25">
      <c r="A406" s="28"/>
    </row>
    <row r="407" spans="1:1" x14ac:dyDescent="0.25">
      <c r="A407" s="28"/>
    </row>
    <row r="408" spans="1:1" x14ac:dyDescent="0.25">
      <c r="A408" s="28"/>
    </row>
    <row r="409" spans="1:1" x14ac:dyDescent="0.25">
      <c r="A409" s="28"/>
    </row>
    <row r="410" spans="1:1" x14ac:dyDescent="0.25">
      <c r="A410" s="28"/>
    </row>
    <row r="411" spans="1:1" x14ac:dyDescent="0.25">
      <c r="A411" s="28"/>
    </row>
    <row r="412" spans="1:1" x14ac:dyDescent="0.25">
      <c r="A412" s="28"/>
    </row>
    <row r="413" spans="1:1" x14ac:dyDescent="0.25">
      <c r="A413" s="28"/>
    </row>
    <row r="414" spans="1:1" x14ac:dyDescent="0.25">
      <c r="A414" s="28"/>
    </row>
    <row r="415" spans="1:1" x14ac:dyDescent="0.25">
      <c r="A415" s="28"/>
    </row>
    <row r="416" spans="1:1" x14ac:dyDescent="0.25">
      <c r="A416" s="28"/>
    </row>
    <row r="417" spans="1:1" x14ac:dyDescent="0.25">
      <c r="A417" s="28"/>
    </row>
    <row r="418" spans="1:1" x14ac:dyDescent="0.25">
      <c r="A418" s="28"/>
    </row>
    <row r="419" spans="1:1" x14ac:dyDescent="0.25">
      <c r="A419" s="28"/>
    </row>
    <row r="420" spans="1:1" x14ac:dyDescent="0.25">
      <c r="A420" s="28"/>
    </row>
    <row r="421" spans="1:1" x14ac:dyDescent="0.25">
      <c r="A421" s="28"/>
    </row>
    <row r="422" spans="1:1" x14ac:dyDescent="0.25">
      <c r="A422" s="28"/>
    </row>
    <row r="423" spans="1:1" x14ac:dyDescent="0.25">
      <c r="A423" s="28"/>
    </row>
    <row r="424" spans="1:1" x14ac:dyDescent="0.25">
      <c r="A424" s="28"/>
    </row>
    <row r="425" spans="1:1" x14ac:dyDescent="0.25">
      <c r="A425" s="28"/>
    </row>
    <row r="426" spans="1:1" x14ac:dyDescent="0.25">
      <c r="A426" s="28"/>
    </row>
    <row r="427" spans="1:1" x14ac:dyDescent="0.25">
      <c r="A427" s="28"/>
    </row>
    <row r="428" spans="1:1" x14ac:dyDescent="0.25">
      <c r="A428" s="28"/>
    </row>
    <row r="429" spans="1:1" x14ac:dyDescent="0.25">
      <c r="A429" s="28"/>
    </row>
    <row r="430" spans="1:1" x14ac:dyDescent="0.25">
      <c r="A430" s="28"/>
    </row>
    <row r="431" spans="1:1" x14ac:dyDescent="0.25">
      <c r="A431" s="28"/>
    </row>
    <row r="432" spans="1:1" x14ac:dyDescent="0.25">
      <c r="A432" s="28"/>
    </row>
    <row r="433" spans="1:1" x14ac:dyDescent="0.25">
      <c r="A433" s="28"/>
    </row>
    <row r="434" spans="1:1" x14ac:dyDescent="0.25">
      <c r="A434" s="28"/>
    </row>
    <row r="435" spans="1:1" x14ac:dyDescent="0.25">
      <c r="A435" s="28"/>
    </row>
    <row r="436" spans="1:1" x14ac:dyDescent="0.25">
      <c r="A436" s="28"/>
    </row>
    <row r="437" spans="1:1" x14ac:dyDescent="0.25">
      <c r="A437" s="28"/>
    </row>
    <row r="438" spans="1:1" x14ac:dyDescent="0.25">
      <c r="A438" s="28"/>
    </row>
    <row r="439" spans="1:1" x14ac:dyDescent="0.25">
      <c r="A439" s="28"/>
    </row>
    <row r="440" spans="1:1" x14ac:dyDescent="0.25">
      <c r="A440" s="28"/>
    </row>
    <row r="441" spans="1:1" x14ac:dyDescent="0.25">
      <c r="A441" s="28"/>
    </row>
    <row r="442" spans="1:1" x14ac:dyDescent="0.25">
      <c r="A442" s="28"/>
    </row>
    <row r="443" spans="1:1" x14ac:dyDescent="0.25">
      <c r="A443" s="28"/>
    </row>
    <row r="444" spans="1:1" x14ac:dyDescent="0.25">
      <c r="A444" s="28"/>
    </row>
    <row r="445" spans="1:1" x14ac:dyDescent="0.25">
      <c r="A445" s="28"/>
    </row>
    <row r="446" spans="1:1" x14ac:dyDescent="0.25">
      <c r="A446" s="28"/>
    </row>
    <row r="447" spans="1:1" x14ac:dyDescent="0.25">
      <c r="A447" s="28"/>
    </row>
    <row r="448" spans="1:1" x14ac:dyDescent="0.25">
      <c r="A448" s="28"/>
    </row>
    <row r="449" spans="1:1" x14ac:dyDescent="0.25">
      <c r="A449" s="28"/>
    </row>
    <row r="450" spans="1:1" x14ac:dyDescent="0.25">
      <c r="A450" s="28"/>
    </row>
    <row r="451" spans="1:1" x14ac:dyDescent="0.25">
      <c r="A451" s="28"/>
    </row>
    <row r="452" spans="1:1" x14ac:dyDescent="0.25">
      <c r="A452" s="28"/>
    </row>
    <row r="453" spans="1:1" x14ac:dyDescent="0.25">
      <c r="A453" s="28"/>
    </row>
    <row r="454" spans="1:1" x14ac:dyDescent="0.25">
      <c r="A454" s="28"/>
    </row>
    <row r="455" spans="1:1" x14ac:dyDescent="0.25">
      <c r="A455" s="28"/>
    </row>
    <row r="456" spans="1:1" x14ac:dyDescent="0.25">
      <c r="A456" s="28"/>
    </row>
    <row r="457" spans="1:1" x14ac:dyDescent="0.25">
      <c r="A457" s="28"/>
    </row>
    <row r="458" spans="1:1" x14ac:dyDescent="0.25">
      <c r="A458" s="28"/>
    </row>
    <row r="459" spans="1:1" x14ac:dyDescent="0.25">
      <c r="A459" s="28"/>
    </row>
    <row r="460" spans="1:1" x14ac:dyDescent="0.25">
      <c r="A460" s="28"/>
    </row>
    <row r="461" spans="1:1" x14ac:dyDescent="0.25">
      <c r="A461" s="28"/>
    </row>
    <row r="462" spans="1:1" x14ac:dyDescent="0.25">
      <c r="A462" s="28"/>
    </row>
    <row r="463" spans="1:1" x14ac:dyDescent="0.25">
      <c r="A463" s="28"/>
    </row>
    <row r="464" spans="1:1" x14ac:dyDescent="0.25">
      <c r="A464" s="28"/>
    </row>
    <row r="465" spans="1:1" x14ac:dyDescent="0.25">
      <c r="A465" s="28"/>
    </row>
    <row r="466" spans="1:1" x14ac:dyDescent="0.25">
      <c r="A466" s="28"/>
    </row>
    <row r="467" spans="1:1" x14ac:dyDescent="0.25">
      <c r="A467" s="28"/>
    </row>
    <row r="468" spans="1:1" x14ac:dyDescent="0.25">
      <c r="A468" s="28"/>
    </row>
    <row r="469" spans="1:1" x14ac:dyDescent="0.25">
      <c r="A469" s="28"/>
    </row>
    <row r="470" spans="1:1" x14ac:dyDescent="0.25">
      <c r="A470" s="28"/>
    </row>
    <row r="471" spans="1:1" x14ac:dyDescent="0.25">
      <c r="A471" s="28"/>
    </row>
    <row r="472" spans="1:1" x14ac:dyDescent="0.25">
      <c r="A472" s="28"/>
    </row>
    <row r="473" spans="1:1" x14ac:dyDescent="0.25">
      <c r="A473" s="28"/>
    </row>
    <row r="474" spans="1:1" x14ac:dyDescent="0.25">
      <c r="A474" s="28"/>
    </row>
    <row r="475" spans="1:1" x14ac:dyDescent="0.25">
      <c r="A475" s="28"/>
    </row>
    <row r="476" spans="1:1" x14ac:dyDescent="0.25">
      <c r="A476" s="28"/>
    </row>
    <row r="477" spans="1:1" x14ac:dyDescent="0.25">
      <c r="A477" s="28"/>
    </row>
    <row r="478" spans="1:1" x14ac:dyDescent="0.25">
      <c r="A478" s="28"/>
    </row>
    <row r="479" spans="1:1" x14ac:dyDescent="0.25">
      <c r="A479" s="28"/>
    </row>
    <row r="480" spans="1:1" x14ac:dyDescent="0.25">
      <c r="A480" s="28"/>
    </row>
    <row r="481" spans="1:1" x14ac:dyDescent="0.25">
      <c r="A481" s="28"/>
    </row>
    <row r="482" spans="1:1" x14ac:dyDescent="0.25">
      <c r="A482" s="28"/>
    </row>
    <row r="483" spans="1:1" x14ac:dyDescent="0.25">
      <c r="A483" s="28"/>
    </row>
    <row r="484" spans="1:1" x14ac:dyDescent="0.25">
      <c r="A484" s="28"/>
    </row>
    <row r="485" spans="1:1" x14ac:dyDescent="0.25">
      <c r="A485" s="28"/>
    </row>
    <row r="486" spans="1:1" x14ac:dyDescent="0.25">
      <c r="A486" s="28"/>
    </row>
    <row r="487" spans="1:1" x14ac:dyDescent="0.25">
      <c r="A487" s="28"/>
    </row>
    <row r="488" spans="1:1" x14ac:dyDescent="0.25">
      <c r="A488" s="28"/>
    </row>
    <row r="489" spans="1:1" x14ac:dyDescent="0.25">
      <c r="A489" s="28"/>
    </row>
    <row r="490" spans="1:1" x14ac:dyDescent="0.25">
      <c r="A490" s="28"/>
    </row>
    <row r="491" spans="1:1" x14ac:dyDescent="0.25">
      <c r="A491" s="28"/>
    </row>
    <row r="492" spans="1:1" x14ac:dyDescent="0.25">
      <c r="A492" s="28"/>
    </row>
    <row r="493" spans="1:1" x14ac:dyDescent="0.25">
      <c r="A493" s="28"/>
    </row>
    <row r="494" spans="1:1" x14ac:dyDescent="0.25">
      <c r="A494" s="28"/>
    </row>
    <row r="495" spans="1:1" x14ac:dyDescent="0.25">
      <c r="A495" s="28"/>
    </row>
    <row r="496" spans="1:1" x14ac:dyDescent="0.25">
      <c r="A496" s="28"/>
    </row>
    <row r="497" spans="1:1" x14ac:dyDescent="0.25">
      <c r="A497" s="28"/>
    </row>
    <row r="498" spans="1:1" x14ac:dyDescent="0.25">
      <c r="A498" s="28"/>
    </row>
    <row r="499" spans="1:1" x14ac:dyDescent="0.25">
      <c r="A499" s="28"/>
    </row>
    <row r="500" spans="1:1" x14ac:dyDescent="0.25">
      <c r="A500" s="28"/>
    </row>
    <row r="501" spans="1:1" x14ac:dyDescent="0.25">
      <c r="A501" s="28"/>
    </row>
    <row r="502" spans="1:1" x14ac:dyDescent="0.25">
      <c r="A502" s="28"/>
    </row>
    <row r="503" spans="1:1" x14ac:dyDescent="0.25">
      <c r="A503" s="28"/>
    </row>
    <row r="504" spans="1:1" x14ac:dyDescent="0.25">
      <c r="A504" s="28"/>
    </row>
    <row r="505" spans="1:1" x14ac:dyDescent="0.25">
      <c r="A505" s="28"/>
    </row>
    <row r="506" spans="1:1" x14ac:dyDescent="0.25">
      <c r="A506" s="28"/>
    </row>
    <row r="507" spans="1:1" x14ac:dyDescent="0.25">
      <c r="A507" s="28"/>
    </row>
    <row r="508" spans="1:1" x14ac:dyDescent="0.25">
      <c r="A508" s="28"/>
    </row>
    <row r="509" spans="1:1" x14ac:dyDescent="0.25">
      <c r="A509" s="28"/>
    </row>
    <row r="510" spans="1:1" x14ac:dyDescent="0.25">
      <c r="A510" s="28"/>
    </row>
    <row r="511" spans="1:1" x14ac:dyDescent="0.25">
      <c r="A511" s="28"/>
    </row>
    <row r="512" spans="1:1" x14ac:dyDescent="0.25">
      <c r="A512" s="28"/>
    </row>
    <row r="513" spans="1:1" x14ac:dyDescent="0.25">
      <c r="A513" s="28"/>
    </row>
    <row r="514" spans="1:1" x14ac:dyDescent="0.25">
      <c r="A514" s="28"/>
    </row>
    <row r="515" spans="1:1" x14ac:dyDescent="0.25">
      <c r="A515" s="28"/>
    </row>
    <row r="516" spans="1:1" x14ac:dyDescent="0.25">
      <c r="A516" s="28"/>
    </row>
    <row r="517" spans="1:1" x14ac:dyDescent="0.25">
      <c r="A517" s="28"/>
    </row>
    <row r="518" spans="1:1" x14ac:dyDescent="0.25">
      <c r="A518" s="28"/>
    </row>
    <row r="519" spans="1:1" x14ac:dyDescent="0.25">
      <c r="A519" s="28"/>
    </row>
    <row r="520" spans="1:1" x14ac:dyDescent="0.25">
      <c r="A520" s="28"/>
    </row>
    <row r="521" spans="1:1" x14ac:dyDescent="0.25">
      <c r="A521" s="28"/>
    </row>
    <row r="522" spans="1:1" x14ac:dyDescent="0.25">
      <c r="A522" s="28"/>
    </row>
    <row r="523" spans="1:1" x14ac:dyDescent="0.25">
      <c r="A523" s="28"/>
    </row>
    <row r="524" spans="1:1" x14ac:dyDescent="0.25">
      <c r="A524" s="28"/>
    </row>
    <row r="525" spans="1:1" x14ac:dyDescent="0.25">
      <c r="A525" s="28"/>
    </row>
    <row r="526" spans="1:1" x14ac:dyDescent="0.25">
      <c r="A526" s="28"/>
    </row>
    <row r="527" spans="1:1" x14ac:dyDescent="0.25">
      <c r="A527" s="28"/>
    </row>
    <row r="528" spans="1:1" x14ac:dyDescent="0.25">
      <c r="A528" s="28"/>
    </row>
    <row r="529" spans="1:1" x14ac:dyDescent="0.25">
      <c r="A529" s="28"/>
    </row>
    <row r="530" spans="1:1" x14ac:dyDescent="0.25">
      <c r="A530" s="28"/>
    </row>
    <row r="531" spans="1:1" x14ac:dyDescent="0.25">
      <c r="A531" s="28"/>
    </row>
    <row r="532" spans="1:1" x14ac:dyDescent="0.25">
      <c r="A532" s="28"/>
    </row>
    <row r="533" spans="1:1" x14ac:dyDescent="0.25">
      <c r="A533" s="28"/>
    </row>
    <row r="534" spans="1:1" x14ac:dyDescent="0.25">
      <c r="A534" s="28"/>
    </row>
    <row r="535" spans="1:1" x14ac:dyDescent="0.25">
      <c r="A535" s="28"/>
    </row>
    <row r="536" spans="1:1" x14ac:dyDescent="0.25">
      <c r="A536" s="28"/>
    </row>
    <row r="537" spans="1:1" x14ac:dyDescent="0.25">
      <c r="A537" s="28"/>
    </row>
    <row r="538" spans="1:1" x14ac:dyDescent="0.25">
      <c r="A538" s="28"/>
    </row>
    <row r="539" spans="1:1" x14ac:dyDescent="0.25">
      <c r="A539" s="28"/>
    </row>
    <row r="540" spans="1:1" x14ac:dyDescent="0.25">
      <c r="A540" s="28"/>
    </row>
    <row r="541" spans="1:1" x14ac:dyDescent="0.25">
      <c r="A541" s="28"/>
    </row>
    <row r="542" spans="1:1" x14ac:dyDescent="0.25">
      <c r="A542" s="28"/>
    </row>
    <row r="543" spans="1:1" x14ac:dyDescent="0.25">
      <c r="A543" s="28"/>
    </row>
    <row r="544" spans="1:1" x14ac:dyDescent="0.25">
      <c r="A544" s="28"/>
    </row>
    <row r="545" spans="1:1" x14ac:dyDescent="0.25">
      <c r="A545" s="28"/>
    </row>
    <row r="546" spans="1:1" x14ac:dyDescent="0.25">
      <c r="A546" s="28"/>
    </row>
    <row r="547" spans="1:1" x14ac:dyDescent="0.25">
      <c r="A547" s="28"/>
    </row>
    <row r="548" spans="1:1" x14ac:dyDescent="0.25">
      <c r="A548" s="28"/>
    </row>
    <row r="549" spans="1:1" x14ac:dyDescent="0.25">
      <c r="A549" s="28"/>
    </row>
    <row r="550" spans="1:1" x14ac:dyDescent="0.25">
      <c r="A550" s="28"/>
    </row>
    <row r="551" spans="1:1" x14ac:dyDescent="0.25">
      <c r="A551" s="28"/>
    </row>
    <row r="552" spans="1:1" x14ac:dyDescent="0.25">
      <c r="A552" s="28"/>
    </row>
    <row r="553" spans="1:1" x14ac:dyDescent="0.25">
      <c r="A553" s="28"/>
    </row>
    <row r="554" spans="1:1" x14ac:dyDescent="0.25">
      <c r="A554" s="28"/>
    </row>
    <row r="555" spans="1:1" x14ac:dyDescent="0.25">
      <c r="A555" s="28"/>
    </row>
    <row r="556" spans="1:1" x14ac:dyDescent="0.25">
      <c r="A556" s="28"/>
    </row>
    <row r="557" spans="1:1" x14ac:dyDescent="0.25">
      <c r="A557" s="28"/>
    </row>
    <row r="558" spans="1:1" x14ac:dyDescent="0.25">
      <c r="A558" s="28"/>
    </row>
    <row r="559" spans="1:1" x14ac:dyDescent="0.25">
      <c r="A559" s="28"/>
    </row>
    <row r="560" spans="1:1" x14ac:dyDescent="0.25">
      <c r="A560" s="28"/>
    </row>
    <row r="561" spans="1:1" x14ac:dyDescent="0.25">
      <c r="A561" s="28"/>
    </row>
    <row r="562" spans="1:1" x14ac:dyDescent="0.25">
      <c r="A562" s="28"/>
    </row>
    <row r="563" spans="1:1" x14ac:dyDescent="0.25">
      <c r="A563" s="28"/>
    </row>
    <row r="564" spans="1:1" x14ac:dyDescent="0.25">
      <c r="A564" s="28"/>
    </row>
    <row r="565" spans="1:1" x14ac:dyDescent="0.25">
      <c r="A565" s="28"/>
    </row>
    <row r="566" spans="1:1" x14ac:dyDescent="0.25">
      <c r="A566" s="28"/>
    </row>
    <row r="567" spans="1:1" x14ac:dyDescent="0.25">
      <c r="A567" s="28"/>
    </row>
    <row r="568" spans="1:1" x14ac:dyDescent="0.25">
      <c r="A568" s="28"/>
    </row>
    <row r="569" spans="1:1" x14ac:dyDescent="0.25">
      <c r="A569" s="28"/>
    </row>
    <row r="570" spans="1:1" x14ac:dyDescent="0.25">
      <c r="A570" s="28"/>
    </row>
    <row r="571" spans="1:1" x14ac:dyDescent="0.25">
      <c r="A571" s="28"/>
    </row>
    <row r="572" spans="1:1" x14ac:dyDescent="0.25">
      <c r="A572" s="28"/>
    </row>
    <row r="573" spans="1:1" x14ac:dyDescent="0.25">
      <c r="A573" s="28"/>
    </row>
    <row r="574" spans="1:1" x14ac:dyDescent="0.25">
      <c r="A574" s="28"/>
    </row>
    <row r="575" spans="1:1" x14ac:dyDescent="0.25">
      <c r="A575" s="28"/>
    </row>
    <row r="576" spans="1:1" x14ac:dyDescent="0.25">
      <c r="A576" s="28"/>
    </row>
    <row r="577" spans="1:1" x14ac:dyDescent="0.25">
      <c r="A577" s="28"/>
    </row>
    <row r="578" spans="1:1" x14ac:dyDescent="0.25">
      <c r="A578" s="28"/>
    </row>
    <row r="579" spans="1:1" x14ac:dyDescent="0.25">
      <c r="A579" s="28"/>
    </row>
    <row r="580" spans="1:1" x14ac:dyDescent="0.25">
      <c r="A580" s="28"/>
    </row>
    <row r="581" spans="1:1" x14ac:dyDescent="0.25">
      <c r="A581" s="28"/>
    </row>
    <row r="582" spans="1:1" x14ac:dyDescent="0.25">
      <c r="A582" s="28"/>
    </row>
    <row r="583" spans="1:1" x14ac:dyDescent="0.25">
      <c r="A583" s="28"/>
    </row>
    <row r="584" spans="1:1" x14ac:dyDescent="0.25">
      <c r="A584" s="28"/>
    </row>
    <row r="585" spans="1:1" x14ac:dyDescent="0.25">
      <c r="A585" s="28"/>
    </row>
    <row r="586" spans="1:1" x14ac:dyDescent="0.25">
      <c r="A586" s="28"/>
    </row>
    <row r="587" spans="1:1" x14ac:dyDescent="0.25">
      <c r="A587" s="28"/>
    </row>
    <row r="588" spans="1:1" x14ac:dyDescent="0.25">
      <c r="A588" s="28"/>
    </row>
    <row r="589" spans="1:1" x14ac:dyDescent="0.25">
      <c r="A589" s="28"/>
    </row>
    <row r="590" spans="1:1" x14ac:dyDescent="0.25">
      <c r="A590" s="28"/>
    </row>
    <row r="591" spans="1:1" x14ac:dyDescent="0.25">
      <c r="A591" s="28"/>
    </row>
    <row r="592" spans="1:1" x14ac:dyDescent="0.25">
      <c r="A592" s="28"/>
    </row>
    <row r="593" spans="1:1" x14ac:dyDescent="0.25">
      <c r="A593" s="28"/>
    </row>
    <row r="594" spans="1:1" x14ac:dyDescent="0.25">
      <c r="A594" s="28"/>
    </row>
    <row r="595" spans="1:1" x14ac:dyDescent="0.25">
      <c r="A595" s="28"/>
    </row>
    <row r="596" spans="1:1" x14ac:dyDescent="0.25">
      <c r="A596" s="28"/>
    </row>
    <row r="597" spans="1:1" x14ac:dyDescent="0.25">
      <c r="A597" s="28"/>
    </row>
    <row r="598" spans="1:1" x14ac:dyDescent="0.25">
      <c r="A598" s="28"/>
    </row>
    <row r="599" spans="1:1" x14ac:dyDescent="0.25">
      <c r="A599" s="28"/>
    </row>
    <row r="600" spans="1:1" x14ac:dyDescent="0.25">
      <c r="A600" s="28"/>
    </row>
    <row r="601" spans="1:1" x14ac:dyDescent="0.25">
      <c r="A601" s="28"/>
    </row>
    <row r="602" spans="1:1" x14ac:dyDescent="0.25">
      <c r="A602" s="28"/>
    </row>
    <row r="603" spans="1:1" x14ac:dyDescent="0.25">
      <c r="A603" s="28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Haver_M</vt:lpstr>
      <vt:lpstr>Haver_Q</vt:lpstr>
      <vt:lpstr>Bloomberg_m</vt:lpstr>
      <vt:lpstr>data</vt:lpstr>
      <vt:lpstr>_DLX1.USE</vt:lpstr>
      <vt:lpstr>_DLX2.USE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2019-06-19T19:44:39Z</dcterms:created>
  <dcterms:modified xsi:type="dcterms:W3CDTF">2020-07-27T20:19:00Z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20200727161858569</vt:lpwstr>
  </property>
</Properties>
</file>
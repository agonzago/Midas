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"/>
    </mc:Choice>
  </mc:AlternateContent>
  <xr:revisionPtr revIDLastSave="0" documentId="14_{1FCC7840-5473-49A7-893C-8057DD4D318C}" xr6:coauthVersionLast="36" xr6:coauthVersionMax="36" xr10:uidLastSave="{00000000-0000-0000-0000-000000000000}"/>
  <bookViews>
    <workbookView xWindow="0" yWindow="0" windowWidth="25200" windowHeight="11760" activeTab="4" xr2:uid="{00000000-000D-0000-FFFF-FFFF00000000}"/>
  </bookViews>
  <sheets>
    <sheet name="0814" sheetId="2" r:id="rId1"/>
    <sheet name="Charts0814" sheetId="3" r:id="rId2"/>
    <sheet name="0830" sheetId="4" r:id="rId3"/>
    <sheet name="Charts0830" sheetId="5" r:id="rId4"/>
    <sheet name="0906" sheetId="6" r:id="rId5"/>
    <sheet name="Charts0906" sheetId="7" r:id="rId6"/>
  </sheets>
  <definedNames>
    <definedName name="_DLX1.USE" localSheetId="1">#REF!</definedName>
    <definedName name="_DLX1.USE" localSheetId="3">#REF!</definedName>
    <definedName name="_DLX1.USE" localSheetId="5">#REF!</definedName>
    <definedName name="_DLX3.USE">#REF!</definedName>
    <definedName name="_DLX4.USE">#REF!</definedName>
    <definedName name="_DLX5.USE">#REF!</definedName>
    <definedName name="EdssBatch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<sst xmlns="http://schemas.openxmlformats.org/spreadsheetml/2006/main" count="9" uniqueCount="4">
  <si>
    <t>2019Q2 tracking</t>
  </si>
  <si>
    <t>2019Q3 tracking</t>
  </si>
  <si>
    <t>Actual Q2*</t>
  </si>
  <si>
    <t>2019Q4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</si>
</sst>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4" fontId="0" fillId="0" borderId="0" xfId="0" applyNumberFormat="1"/>
    <xf numFmtId="17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76071741032372E-2"/>
          <c:y val="5.7060367454068242E-2"/>
          <c:w val="0.89215726159230091"/>
          <c:h val="0.7889103966170895"/>
        </c:manualLayout>
      </c:layout>
      <c:lineChart>
        <c:grouping val="standard"/>
        <c:varyColors val="0"/>
        <c:ser>
          <c:idx val="0"/>
          <c:order val="0"/>
          <c:tx>
            <c:strRef>
              <c:f>'0814'!$B$2</c:f>
              <c:strCache>
                <c:ptCount val="1"/>
                <c:pt idx="0">
                  <c:v>2019Q2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'0814'!$A$3:$A$12</c:f>
              <c:numCache>
                <c:formatCode>m/d/yyyy</c:formatCode>
                <c:ptCount val="10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</c:numCache>
            </c:numRef>
          </c:cat>
          <c:val>
            <c:numRef>
              <c:f>'0814'!$B$3:$B$12</c:f>
              <c:numCache>
                <c:formatCode>0.00</c:formatCode>
                <c:ptCount val="10"/>
                <c:pt idx="0">
                  <c:v>3.41</c:v>
                </c:pt>
                <c:pt idx="1">
                  <c:v>3.2</c:v>
                </c:pt>
                <c:pt idx="2">
                  <c:v>3.49</c:v>
                </c:pt>
                <c:pt idx="3">
                  <c:v>3.52</c:v>
                </c:pt>
                <c:pt idx="4">
                  <c:v>3.2</c:v>
                </c:pt>
                <c:pt idx="5">
                  <c:v>3.19</c:v>
                </c:pt>
                <c:pt idx="6">
                  <c:v>3.31</c:v>
                </c:pt>
                <c:pt idx="7">
                  <c:v>3.49</c:v>
                </c:pt>
                <c:pt idx="8">
                  <c:v>3.26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8-4BB3-88A3-B472A7BBA645}"/>
            </c:ext>
          </c:extLst>
        </c:ser>
        <c:ser>
          <c:idx val="1"/>
          <c:order val="1"/>
          <c:tx>
            <c:strRef>
              <c:f>'0814'!$C$2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'0814'!$A$3:$A$12</c:f>
              <c:numCache>
                <c:formatCode>m/d/yyyy</c:formatCode>
                <c:ptCount val="10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</c:numCache>
            </c:numRef>
          </c:cat>
          <c:val>
            <c:numRef>
              <c:f>'0814'!$C$3:$C$12</c:f>
              <c:numCache>
                <c:formatCode>0.00</c:formatCode>
                <c:ptCount val="10"/>
                <c:pt idx="3">
                  <c:v>3.7</c:v>
                </c:pt>
                <c:pt idx="4">
                  <c:v>3.15</c:v>
                </c:pt>
                <c:pt idx="5">
                  <c:v>3.16</c:v>
                </c:pt>
                <c:pt idx="6">
                  <c:v>3.17</c:v>
                </c:pt>
                <c:pt idx="7">
                  <c:v>3.04</c:v>
                </c:pt>
                <c:pt idx="8">
                  <c:v>2.99</c:v>
                </c:pt>
                <c:pt idx="9">
                  <c:v>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8-4BB3-88A3-B472A7BBA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  <c:min val="2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04899387576552"/>
          <c:y val="0.63655766987459905"/>
          <c:w val="0.87367957130358698"/>
          <c:h val="9.4923811606882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34496580381327E-2"/>
          <c:y val="5.7060367454068242E-2"/>
          <c:w val="0.89336548556430451"/>
          <c:h val="0.7889103966170895"/>
        </c:manualLayout>
      </c:layout>
      <c:lineChart>
        <c:grouping val="standard"/>
        <c:varyColors val="0"/>
        <c:ser>
          <c:idx val="7"/>
          <c:order val="0"/>
          <c:tx>
            <c:strRef>
              <c:f>'0814'!$B$2</c:f>
              <c:strCache>
                <c:ptCount val="1"/>
                <c:pt idx="0">
                  <c:v>2019Q2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'0814'!$A$3:$A$12</c:f>
              <c:numCache>
                <c:formatCode>m/d/yyyy</c:formatCode>
                <c:ptCount val="10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</c:numCache>
            </c:numRef>
          </c:cat>
          <c:val>
            <c:numRef>
              <c:f>'0814'!$B$3:$B$12</c:f>
              <c:numCache>
                <c:formatCode>0.00</c:formatCode>
                <c:ptCount val="10"/>
                <c:pt idx="0">
                  <c:v>3.41</c:v>
                </c:pt>
                <c:pt idx="1">
                  <c:v>3.2</c:v>
                </c:pt>
                <c:pt idx="2">
                  <c:v>3.49</c:v>
                </c:pt>
                <c:pt idx="3">
                  <c:v>3.52</c:v>
                </c:pt>
                <c:pt idx="4">
                  <c:v>3.2</c:v>
                </c:pt>
                <c:pt idx="5">
                  <c:v>3.19</c:v>
                </c:pt>
                <c:pt idx="6">
                  <c:v>3.31</c:v>
                </c:pt>
                <c:pt idx="7">
                  <c:v>3.49</c:v>
                </c:pt>
                <c:pt idx="8">
                  <c:v>3.26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6-4837-92FB-8591E230E1D9}"/>
            </c:ext>
          </c:extLst>
        </c:ser>
        <c:ser>
          <c:idx val="8"/>
          <c:order val="1"/>
          <c:tx>
            <c:strRef>
              <c:f>'0814'!$C$2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'0814'!$A$3:$A$12</c:f>
              <c:numCache>
                <c:formatCode>m/d/yyyy</c:formatCode>
                <c:ptCount val="10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</c:numCache>
            </c:numRef>
          </c:cat>
          <c:val>
            <c:numRef>
              <c:f>'0814'!$C$3:$C$12</c:f>
              <c:numCache>
                <c:formatCode>0.00</c:formatCode>
                <c:ptCount val="10"/>
                <c:pt idx="3">
                  <c:v>3.7</c:v>
                </c:pt>
                <c:pt idx="4">
                  <c:v>3.15</c:v>
                </c:pt>
                <c:pt idx="5">
                  <c:v>3.16</c:v>
                </c:pt>
                <c:pt idx="6">
                  <c:v>3.17</c:v>
                </c:pt>
                <c:pt idx="7">
                  <c:v>3.04</c:v>
                </c:pt>
                <c:pt idx="8">
                  <c:v>2.99</c:v>
                </c:pt>
                <c:pt idx="9">
                  <c:v>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6-4837-92FB-8591E230E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17440"/>
        <c:axId val="1662389791"/>
      </c:lineChart>
      <c:dateAx>
        <c:axId val="1728917440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89791"/>
        <c:crosses val="autoZero"/>
        <c:auto val="1"/>
        <c:lblOffset val="100"/>
        <c:baseTimeUnit val="days"/>
        <c:majorUnit val="30"/>
        <c:majorTimeUnit val="days"/>
      </c:dateAx>
      <c:valAx>
        <c:axId val="1662389791"/>
        <c:scaling>
          <c:orientation val="minMax"/>
          <c:min val="2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174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024915786326385E-2"/>
          <c:y val="0.72280037911927675"/>
          <c:w val="0.88834998067585724"/>
          <c:h val="0.11578995333916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76071741032372E-2"/>
          <c:y val="5.7060367454068242E-2"/>
          <c:w val="0.89215726159230091"/>
          <c:h val="0.7889103966170895"/>
        </c:manualLayout>
      </c:layout>
      <c:lineChart>
        <c:grouping val="standard"/>
        <c:varyColors val="0"/>
        <c:ser>
          <c:idx val="0"/>
          <c:order val="0"/>
          <c:tx>
            <c:strRef>
              <c:f>'0830'!$B$2</c:f>
              <c:strCache>
                <c:ptCount val="1"/>
                <c:pt idx="0">
                  <c:v>2019Q2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'0830'!$A$3:$A$13</c:f>
              <c:numCache>
                <c:formatCode>m/d/yyyy</c:formatCode>
                <c:ptCount val="11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</c:numCache>
            </c:numRef>
          </c:cat>
          <c:val>
            <c:numRef>
              <c:f>'0830'!$B$3:$B$13</c:f>
              <c:numCache>
                <c:formatCode>0.00</c:formatCode>
                <c:ptCount val="11"/>
                <c:pt idx="0">
                  <c:v>3.42</c:v>
                </c:pt>
                <c:pt idx="1">
                  <c:v>3.21</c:v>
                </c:pt>
                <c:pt idx="2">
                  <c:v>3.51</c:v>
                </c:pt>
                <c:pt idx="3">
                  <c:v>3.53</c:v>
                </c:pt>
                <c:pt idx="4">
                  <c:v>3.21</c:v>
                </c:pt>
                <c:pt idx="5">
                  <c:v>3.21</c:v>
                </c:pt>
                <c:pt idx="6">
                  <c:v>3.32</c:v>
                </c:pt>
                <c:pt idx="7">
                  <c:v>3.5</c:v>
                </c:pt>
                <c:pt idx="8">
                  <c:v>3.27</c:v>
                </c:pt>
                <c:pt idx="9">
                  <c:v>3.01</c:v>
                </c:pt>
                <c:pt idx="10">
                  <c:v>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6-4789-B73E-182C244553AD}"/>
            </c:ext>
          </c:extLst>
        </c:ser>
        <c:ser>
          <c:idx val="1"/>
          <c:order val="1"/>
          <c:tx>
            <c:strRef>
              <c:f>'0830'!$C$2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'0830'!$A$3:$A$13</c:f>
              <c:numCache>
                <c:formatCode>m/d/yyyy</c:formatCode>
                <c:ptCount val="11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</c:numCache>
            </c:numRef>
          </c:cat>
          <c:val>
            <c:numRef>
              <c:f>'0830'!$C$3:$C$13</c:f>
              <c:numCache>
                <c:formatCode>0.00</c:formatCode>
                <c:ptCount val="11"/>
                <c:pt idx="3">
                  <c:v>3.71</c:v>
                </c:pt>
                <c:pt idx="4">
                  <c:v>3.16</c:v>
                </c:pt>
                <c:pt idx="5">
                  <c:v>3.17</c:v>
                </c:pt>
                <c:pt idx="6">
                  <c:v>3.19</c:v>
                </c:pt>
                <c:pt idx="7">
                  <c:v>3.05</c:v>
                </c:pt>
                <c:pt idx="8">
                  <c:v>3</c:v>
                </c:pt>
                <c:pt idx="9">
                  <c:v>3.08</c:v>
                </c:pt>
                <c:pt idx="10">
                  <c:v>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36-4789-B73E-182C244553AD}"/>
            </c:ext>
          </c:extLst>
        </c:ser>
        <c:ser>
          <c:idx val="2"/>
          <c:order val="2"/>
          <c:tx>
            <c:strRef>
              <c:f>'0830'!$D$2</c:f>
              <c:strCache>
                <c:ptCount val="1"/>
                <c:pt idx="0">
                  <c:v>Actual Q2*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'0830'!$A$3:$A$13</c:f>
              <c:numCache>
                <c:formatCode>m/d/yyyy</c:formatCode>
                <c:ptCount val="11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</c:numCache>
            </c:numRef>
          </c:cat>
          <c:val>
            <c:numRef>
              <c:f>'0830'!$D$3:$D$13</c:f>
              <c:numCache>
                <c:formatCode>General</c:formatCode>
                <c:ptCount val="11"/>
                <c:pt idx="10">
                  <c:v>2.8319999999999999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36-4789-B73E-182C24455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  <c:min val="2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04899387576552"/>
          <c:y val="0.63655766987459905"/>
          <c:w val="0.89795100612423451"/>
          <c:h val="9.4923811606882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34496580381327E-2"/>
          <c:y val="5.7060367454068242E-2"/>
          <c:w val="0.89336548556430451"/>
          <c:h val="0.7889103966170895"/>
        </c:manualLayout>
      </c:layout>
      <c:lineChart>
        <c:grouping val="standard"/>
        <c:varyColors val="0"/>
        <c:ser>
          <c:idx val="7"/>
          <c:order val="0"/>
          <c:tx>
            <c:strRef>
              <c:f>'0830'!$B$2</c:f>
              <c:strCache>
                <c:ptCount val="1"/>
                <c:pt idx="0">
                  <c:v>2019Q2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'0830'!$A$3:$A$13</c:f>
              <c:numCache>
                <c:formatCode>m/d/yyyy</c:formatCode>
                <c:ptCount val="11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</c:numCache>
            </c:numRef>
          </c:cat>
          <c:val>
            <c:numRef>
              <c:f>'0830'!$B$3:$B$13</c:f>
              <c:numCache>
                <c:formatCode>0.00</c:formatCode>
                <c:ptCount val="11"/>
                <c:pt idx="0">
                  <c:v>3.42</c:v>
                </c:pt>
                <c:pt idx="1">
                  <c:v>3.21</c:v>
                </c:pt>
                <c:pt idx="2">
                  <c:v>3.51</c:v>
                </c:pt>
                <c:pt idx="3">
                  <c:v>3.53</c:v>
                </c:pt>
                <c:pt idx="4">
                  <c:v>3.21</c:v>
                </c:pt>
                <c:pt idx="5">
                  <c:v>3.21</c:v>
                </c:pt>
                <c:pt idx="6">
                  <c:v>3.32</c:v>
                </c:pt>
                <c:pt idx="7">
                  <c:v>3.5</c:v>
                </c:pt>
                <c:pt idx="8">
                  <c:v>3.27</c:v>
                </c:pt>
                <c:pt idx="9">
                  <c:v>3.01</c:v>
                </c:pt>
                <c:pt idx="10">
                  <c:v>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3-4B6B-ACDA-C93C11655FE6}"/>
            </c:ext>
          </c:extLst>
        </c:ser>
        <c:ser>
          <c:idx val="8"/>
          <c:order val="1"/>
          <c:tx>
            <c:strRef>
              <c:f>'0830'!$C$2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'0830'!$A$3:$A$13</c:f>
              <c:numCache>
                <c:formatCode>m/d/yyyy</c:formatCode>
                <c:ptCount val="11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</c:numCache>
            </c:numRef>
          </c:cat>
          <c:val>
            <c:numRef>
              <c:f>'0830'!$C$3:$C$13</c:f>
              <c:numCache>
                <c:formatCode>0.00</c:formatCode>
                <c:ptCount val="11"/>
                <c:pt idx="3">
                  <c:v>3.71</c:v>
                </c:pt>
                <c:pt idx="4">
                  <c:v>3.16</c:v>
                </c:pt>
                <c:pt idx="5">
                  <c:v>3.17</c:v>
                </c:pt>
                <c:pt idx="6">
                  <c:v>3.19</c:v>
                </c:pt>
                <c:pt idx="7">
                  <c:v>3.05</c:v>
                </c:pt>
                <c:pt idx="8">
                  <c:v>3</c:v>
                </c:pt>
                <c:pt idx="9">
                  <c:v>3.08</c:v>
                </c:pt>
                <c:pt idx="10">
                  <c:v>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C3-4B6B-ACDA-C93C11655FE6}"/>
            </c:ext>
          </c:extLst>
        </c:ser>
        <c:ser>
          <c:idx val="0"/>
          <c:order val="2"/>
          <c:tx>
            <c:strRef>
              <c:f>'0830'!$D$2</c:f>
              <c:strCache>
                <c:ptCount val="1"/>
                <c:pt idx="0">
                  <c:v>Actual Q2*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'0830'!$A$3:$A$13</c:f>
              <c:numCache>
                <c:formatCode>m/d/yyyy</c:formatCode>
                <c:ptCount val="11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</c:numCache>
            </c:numRef>
          </c:cat>
          <c:val>
            <c:numRef>
              <c:f>'0830'!$D$3:$D$13</c:f>
              <c:numCache>
                <c:formatCode>General</c:formatCode>
                <c:ptCount val="11"/>
                <c:pt idx="10">
                  <c:v>2.8319999999999999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C3-4B6B-ACDA-C93C11655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17440"/>
        <c:axId val="1662389791"/>
      </c:lineChart>
      <c:dateAx>
        <c:axId val="1728917440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89791"/>
        <c:crosses val="autoZero"/>
        <c:auto val="1"/>
        <c:lblOffset val="100"/>
        <c:baseTimeUnit val="days"/>
        <c:majorUnit val="30"/>
        <c:majorTimeUnit val="days"/>
      </c:dateAx>
      <c:valAx>
        <c:axId val="1662389791"/>
        <c:scaling>
          <c:orientation val="minMax"/>
          <c:min val="2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174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024915786326385E-2"/>
          <c:y val="0.72280037911927675"/>
          <c:w val="0.89999980314964934"/>
          <c:h val="9.4923811606882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76071741032372E-2"/>
          <c:y val="5.7060367454068242E-2"/>
          <c:w val="0.89215726159230091"/>
          <c:h val="0.7889103966170895"/>
        </c:manualLayout>
      </c:layout>
      <c:lineChart>
        <c:grouping val="standard"/>
        <c:varyColors val="0"/>
        <c:ser>
          <c:idx val="0"/>
          <c:order val="0"/>
          <c:tx>
            <c:strRef>
              <c:f>'0906'!$B$2</c:f>
              <c:strCache>
                <c:ptCount val="1"/>
                <c:pt idx="0">
                  <c:v>2019Q2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'0906'!$A$3:$A$14</c:f>
              <c:numCache>
                <c:formatCode>m/d/yyyy</c:formatCode>
                <c:ptCount val="12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  <c:pt idx="11">
                  <c:v>43714</c:v>
                </c:pt>
              </c:numCache>
            </c:numRef>
          </c:cat>
          <c:val>
            <c:numRef>
              <c:f>'0906'!$B$3:$B$14</c:f>
              <c:numCache>
                <c:formatCode>0.00</c:formatCode>
                <c:ptCount val="12"/>
                <c:pt idx="0">
                  <c:v>3.42</c:v>
                </c:pt>
                <c:pt idx="1">
                  <c:v>3.22</c:v>
                </c:pt>
                <c:pt idx="2">
                  <c:v>3.51</c:v>
                </c:pt>
                <c:pt idx="3">
                  <c:v>3.54</c:v>
                </c:pt>
                <c:pt idx="4">
                  <c:v>3.22</c:v>
                </c:pt>
                <c:pt idx="5">
                  <c:v>3.21</c:v>
                </c:pt>
                <c:pt idx="6">
                  <c:v>3.32</c:v>
                </c:pt>
                <c:pt idx="7">
                  <c:v>3.5</c:v>
                </c:pt>
                <c:pt idx="8">
                  <c:v>3.27</c:v>
                </c:pt>
                <c:pt idx="9">
                  <c:v>3</c:v>
                </c:pt>
                <c:pt idx="10">
                  <c:v>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B7-4E4D-966F-21F35977E347}"/>
            </c:ext>
          </c:extLst>
        </c:ser>
        <c:ser>
          <c:idx val="1"/>
          <c:order val="1"/>
          <c:tx>
            <c:strRef>
              <c:f>'0906'!$C$2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'0906'!$A$3:$A$14</c:f>
              <c:numCache>
                <c:formatCode>m/d/yyyy</c:formatCode>
                <c:ptCount val="12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  <c:pt idx="11">
                  <c:v>43714</c:v>
                </c:pt>
              </c:numCache>
            </c:numRef>
          </c:cat>
          <c:val>
            <c:numRef>
              <c:f>'0906'!$C$3:$C$14</c:f>
              <c:numCache>
                <c:formatCode>0.00</c:formatCode>
                <c:ptCount val="12"/>
                <c:pt idx="3">
                  <c:v>3.72</c:v>
                </c:pt>
                <c:pt idx="4">
                  <c:v>3.16</c:v>
                </c:pt>
                <c:pt idx="5">
                  <c:v>3.17</c:v>
                </c:pt>
                <c:pt idx="6">
                  <c:v>3.19</c:v>
                </c:pt>
                <c:pt idx="7">
                  <c:v>3.06</c:v>
                </c:pt>
                <c:pt idx="8">
                  <c:v>3</c:v>
                </c:pt>
                <c:pt idx="9">
                  <c:v>3.09</c:v>
                </c:pt>
                <c:pt idx="10">
                  <c:v>3.15</c:v>
                </c:pt>
                <c:pt idx="11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B7-4E4D-966F-21F35977E347}"/>
            </c:ext>
          </c:extLst>
        </c:ser>
        <c:ser>
          <c:idx val="2"/>
          <c:order val="2"/>
          <c:tx>
            <c:strRef>
              <c:f>'0906'!$D$2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'0906'!$A$3:$A$14</c:f>
              <c:numCache>
                <c:formatCode>m/d/yyyy</c:formatCode>
                <c:ptCount val="12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  <c:pt idx="11">
                  <c:v>43714</c:v>
                </c:pt>
              </c:numCache>
            </c:numRef>
          </c:cat>
          <c:val>
            <c:numRef>
              <c:f>'0906'!$D$3:$D$14</c:f>
              <c:numCache>
                <c:formatCode>0.00</c:formatCode>
                <c:ptCount val="12"/>
                <c:pt idx="7">
                  <c:v>2.96</c:v>
                </c:pt>
                <c:pt idx="8">
                  <c:v>2.9</c:v>
                </c:pt>
                <c:pt idx="9">
                  <c:v>2.95</c:v>
                </c:pt>
                <c:pt idx="10">
                  <c:v>2.95</c:v>
                </c:pt>
                <c:pt idx="11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B7-4E4D-966F-21F35977E347}"/>
            </c:ext>
          </c:extLst>
        </c:ser>
        <c:ser>
          <c:idx val="3"/>
          <c:order val="3"/>
          <c:tx>
            <c:strRef>
              <c:f>'0906'!$E$2</c:f>
              <c:strCache>
                <c:ptCount val="1"/>
                <c:pt idx="0">
                  <c:v>Actual Q2*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numRef>
              <c:f>'0906'!$A$3:$A$14</c:f>
              <c:numCache>
                <c:formatCode>m/d/yyyy</c:formatCode>
                <c:ptCount val="12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  <c:pt idx="11">
                  <c:v>43714</c:v>
                </c:pt>
              </c:numCache>
            </c:numRef>
          </c:cat>
          <c:val>
            <c:numRef>
              <c:f>'0906'!$E$3:$E$14</c:f>
              <c:numCache>
                <c:formatCode>General</c:formatCode>
                <c:ptCount val="12"/>
                <c:pt idx="10">
                  <c:v>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6-41A9-82F6-225A49B49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  <c:min val="2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04899387576552"/>
          <c:y val="0.63655766987459905"/>
          <c:w val="0.76602930883639531"/>
          <c:h val="0.190303885424726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34496580381327E-2"/>
          <c:y val="5.7060367454068242E-2"/>
          <c:w val="0.89336548556430451"/>
          <c:h val="0.72338853402282333"/>
        </c:manualLayout>
      </c:layout>
      <c:lineChart>
        <c:grouping val="standard"/>
        <c:varyColors val="0"/>
        <c:ser>
          <c:idx val="7"/>
          <c:order val="0"/>
          <c:tx>
            <c:strRef>
              <c:f>'0906'!$B$2</c:f>
              <c:strCache>
                <c:ptCount val="1"/>
                <c:pt idx="0">
                  <c:v>2019Q2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'0906'!$A$3:$A$14</c:f>
              <c:numCache>
                <c:formatCode>m/d/yyyy</c:formatCode>
                <c:ptCount val="12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  <c:pt idx="11">
                  <c:v>43714</c:v>
                </c:pt>
              </c:numCache>
            </c:numRef>
          </c:cat>
          <c:val>
            <c:numRef>
              <c:f>'0906'!$B$3:$B$20</c:f>
              <c:numCache>
                <c:formatCode>0.00</c:formatCode>
                <c:ptCount val="18"/>
                <c:pt idx="0">
                  <c:v>3.42</c:v>
                </c:pt>
                <c:pt idx="1">
                  <c:v>3.22</c:v>
                </c:pt>
                <c:pt idx="2">
                  <c:v>3.51</c:v>
                </c:pt>
                <c:pt idx="3">
                  <c:v>3.54</c:v>
                </c:pt>
                <c:pt idx="4">
                  <c:v>3.22</c:v>
                </c:pt>
                <c:pt idx="5">
                  <c:v>3.21</c:v>
                </c:pt>
                <c:pt idx="6">
                  <c:v>3.32</c:v>
                </c:pt>
                <c:pt idx="7">
                  <c:v>3.5</c:v>
                </c:pt>
                <c:pt idx="8">
                  <c:v>3.27</c:v>
                </c:pt>
                <c:pt idx="9">
                  <c:v>3</c:v>
                </c:pt>
                <c:pt idx="10">
                  <c:v>2.83</c:v>
                </c:pt>
                <c:pt idx="12">
                  <c:v>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3-4F77-803B-7CEC8B8A4DF5}"/>
            </c:ext>
          </c:extLst>
        </c:ser>
        <c:ser>
          <c:idx val="8"/>
          <c:order val="1"/>
          <c:tx>
            <c:strRef>
              <c:f>'0906'!$C$2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'0906'!$A$3:$A$14</c:f>
              <c:numCache>
                <c:formatCode>m/d/yyyy</c:formatCode>
                <c:ptCount val="12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  <c:pt idx="11">
                  <c:v>43714</c:v>
                </c:pt>
              </c:numCache>
            </c:numRef>
          </c:cat>
          <c:val>
            <c:numRef>
              <c:f>'0906'!$C$3:$C$20</c:f>
              <c:numCache>
                <c:formatCode>0.00</c:formatCode>
                <c:ptCount val="18"/>
                <c:pt idx="3">
                  <c:v>3.72</c:v>
                </c:pt>
                <c:pt idx="4">
                  <c:v>3.16</c:v>
                </c:pt>
                <c:pt idx="5">
                  <c:v>3.17</c:v>
                </c:pt>
                <c:pt idx="6">
                  <c:v>3.19</c:v>
                </c:pt>
                <c:pt idx="7">
                  <c:v>3.06</c:v>
                </c:pt>
                <c:pt idx="8">
                  <c:v>3</c:v>
                </c:pt>
                <c:pt idx="9">
                  <c:v>3.09</c:v>
                </c:pt>
                <c:pt idx="10">
                  <c:v>3.15</c:v>
                </c:pt>
                <c:pt idx="11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3-4F77-803B-7CEC8B8A4DF5}"/>
            </c:ext>
          </c:extLst>
        </c:ser>
        <c:ser>
          <c:idx val="0"/>
          <c:order val="2"/>
          <c:tx>
            <c:strRef>
              <c:f>'0906'!$E$2</c:f>
              <c:strCache>
                <c:ptCount val="1"/>
                <c:pt idx="0">
                  <c:v>Actual Q2*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'0906'!$A$3:$A$14</c:f>
              <c:numCache>
                <c:formatCode>m/d/yyyy</c:formatCode>
                <c:ptCount val="12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  <c:pt idx="11">
                  <c:v>43714</c:v>
                </c:pt>
              </c:numCache>
            </c:numRef>
          </c:cat>
          <c:val>
            <c:numRef>
              <c:f>'0906'!$E$3:$E$20</c:f>
              <c:numCache>
                <c:formatCode>General</c:formatCode>
                <c:ptCount val="18"/>
                <c:pt idx="10">
                  <c:v>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B3-4F77-803B-7CEC8B8A4DF5}"/>
            </c:ext>
          </c:extLst>
        </c:ser>
        <c:ser>
          <c:idx val="1"/>
          <c:order val="3"/>
          <c:tx>
            <c:strRef>
              <c:f>'0906'!$D$2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'0906'!$A$3:$A$14</c:f>
              <c:numCache>
                <c:formatCode>m/d/yyyy</c:formatCode>
                <c:ptCount val="12"/>
                <c:pt idx="0">
                  <c:v>43473</c:v>
                </c:pt>
                <c:pt idx="1">
                  <c:v>43504</c:v>
                </c:pt>
                <c:pt idx="2">
                  <c:v>43525</c:v>
                </c:pt>
                <c:pt idx="3">
                  <c:v>43556</c:v>
                </c:pt>
                <c:pt idx="4">
                  <c:v>43593</c:v>
                </c:pt>
                <c:pt idx="5">
                  <c:v>43600</c:v>
                </c:pt>
                <c:pt idx="6">
                  <c:v>43615</c:v>
                </c:pt>
                <c:pt idx="7">
                  <c:v>43627</c:v>
                </c:pt>
                <c:pt idx="8">
                  <c:v>43668</c:v>
                </c:pt>
                <c:pt idx="9">
                  <c:v>43691</c:v>
                </c:pt>
                <c:pt idx="10">
                  <c:v>43707</c:v>
                </c:pt>
                <c:pt idx="11">
                  <c:v>43714</c:v>
                </c:pt>
              </c:numCache>
            </c:numRef>
          </c:cat>
          <c:val>
            <c:numRef>
              <c:f>'0906'!$D$3:$D$14</c:f>
              <c:numCache>
                <c:formatCode>0.00</c:formatCode>
                <c:ptCount val="12"/>
                <c:pt idx="7">
                  <c:v>2.96</c:v>
                </c:pt>
                <c:pt idx="8">
                  <c:v>2.9</c:v>
                </c:pt>
                <c:pt idx="9">
                  <c:v>2.95</c:v>
                </c:pt>
                <c:pt idx="10">
                  <c:v>2.95</c:v>
                </c:pt>
                <c:pt idx="11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0C-4400-804A-22B08430B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17440"/>
        <c:axId val="1662389791"/>
      </c:lineChart>
      <c:dateAx>
        <c:axId val="1728917440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89791"/>
        <c:crosses val="autoZero"/>
        <c:auto val="1"/>
        <c:lblOffset val="100"/>
        <c:baseTimeUnit val="days"/>
        <c:majorUnit val="30"/>
        <c:majorTimeUnit val="days"/>
      </c:dateAx>
      <c:valAx>
        <c:axId val="1662389791"/>
        <c:scaling>
          <c:orientation val="minMax"/>
          <c:min val="2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174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8995831944199E-2"/>
          <c:y val="0.52640146950383504"/>
          <c:w val="0.4369174447622402"/>
          <c:h val="0.222779195356126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11</xdr:row>
      <xdr:rowOff>85725</xdr:rowOff>
    </xdr:from>
    <xdr:to>
      <xdr:col>15</xdr:col>
      <xdr:colOff>57150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F9DCF-9AE1-450C-8C32-6C5F1DACC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247650</xdr:colOff>
      <xdr:row>16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B34B0C-B8F2-4957-96EB-2522F10AB5B0}"/>
            </a:ext>
          </a:extLst>
        </xdr:cNvPr>
        <xdr:cNvSpPr txBox="1"/>
      </xdr:nvSpPr>
      <xdr:spPr>
        <a:xfrm>
          <a:off x="108204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371475</xdr:colOff>
      <xdr:row>8</xdr:row>
      <xdr:rowOff>38100</xdr:rowOff>
    </xdr:from>
    <xdr:to>
      <xdr:col>15</xdr:col>
      <xdr:colOff>66346</xdr:colOff>
      <xdr:row>10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C11B61-50A5-4B46-B8DF-719F96B5F10B}"/>
            </a:ext>
          </a:extLst>
        </xdr:cNvPr>
        <xdr:cNvSpPr txBox="1"/>
      </xdr:nvSpPr>
      <xdr:spPr>
        <a:xfrm>
          <a:off x="5457825" y="1562100"/>
          <a:ext cx="4571671" cy="47625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Global Dynamic Factor Model tracking </a:t>
          </a:r>
        </a:p>
      </xdr:txBody>
    </xdr:sp>
    <xdr:clientData/>
  </xdr:twoCellAnchor>
  <xdr:twoCellAnchor>
    <xdr:from>
      <xdr:col>7</xdr:col>
      <xdr:colOff>371475</xdr:colOff>
      <xdr:row>26</xdr:row>
      <xdr:rowOff>114300</xdr:rowOff>
    </xdr:from>
    <xdr:to>
      <xdr:col>15</xdr:col>
      <xdr:colOff>37771</xdr:colOff>
      <xdr:row>29</xdr:row>
      <xdr:rowOff>4396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28E2AA-D9E7-4380-8AC5-F803D6272298}"/>
            </a:ext>
          </a:extLst>
        </xdr:cNvPr>
        <xdr:cNvSpPr txBox="1"/>
      </xdr:nvSpPr>
      <xdr:spPr>
        <a:xfrm>
          <a:off x="5457825" y="5067300"/>
          <a:ext cx="4543096" cy="4615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Source: </a:t>
          </a:r>
          <a:r>
            <a:rPr lang="en-US" sz="1100">
              <a:effectLst/>
              <a:latin typeface="+mn-lt"/>
              <a:ea typeface="+mn-ea"/>
              <a:cs typeface="+mn-cs"/>
            </a:rPr>
            <a:t>Haver/GPM calculations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72258</xdr:rowOff>
    </xdr:from>
    <xdr:to>
      <xdr:col>8</xdr:col>
      <xdr:colOff>266700</xdr:colOff>
      <xdr:row>20</xdr:row>
      <xdr:rowOff>137948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896B98-6386-4C92-89E1-331D69E3957A}"/>
            </a:ext>
          </a:extLst>
        </xdr:cNvPr>
        <xdr:cNvSpPr txBox="1"/>
      </xdr:nvSpPr>
      <xdr:spPr>
        <a:xfrm>
          <a:off x="197069" y="3501258"/>
          <a:ext cx="4543097" cy="4466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Current</a:t>
          </a:r>
          <a:r>
            <a:rPr lang="en-US" sz="1100" b="0" baseline="0"/>
            <a:t> Nowcast Q2: 3.0% qoq saar          Current Nowcast Q3: 3.1% qoq saar</a:t>
          </a:r>
        </a:p>
        <a:p>
          <a:r>
            <a:rPr lang="en-US" sz="1100" b="0"/>
            <a:t>Source: GPM calculations.</a:t>
          </a: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8</xdr:col>
      <xdr:colOff>295604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989D2-BFF7-44B4-8305-2E298C9F1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</xdr:row>
      <xdr:rowOff>118242</xdr:rowOff>
    </xdr:from>
    <xdr:to>
      <xdr:col>8</xdr:col>
      <xdr:colOff>288706</xdr:colOff>
      <xdr:row>4</xdr:row>
      <xdr:rowOff>22992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4C3938-8946-442D-BBC5-FCAC98D9D3B9}"/>
            </a:ext>
          </a:extLst>
        </xdr:cNvPr>
        <xdr:cNvSpPr txBox="1"/>
      </xdr:nvSpPr>
      <xdr:spPr>
        <a:xfrm>
          <a:off x="190500" y="308742"/>
          <a:ext cx="4571672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Global:</a:t>
          </a:r>
          <a:r>
            <a:rPr lang="en-US" sz="1100" b="1" baseline="0"/>
            <a:t> 2019Q2 and 2019Q3 GDP</a:t>
          </a:r>
        </a:p>
        <a:p>
          <a:r>
            <a:rPr lang="en-US" sz="1100" b="1" baseline="0"/>
            <a:t>(percentage change; quarter-on-quarter; annualized; seasonally adjusted) </a:t>
          </a:r>
          <a:endParaRPr lang="en-US" sz="1100" b="1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0.01437</cdr:x>
      <cdr:y>0.94109</cdr:y>
    </cdr:from>
    <cdr:to>
      <cdr:x>0.22126</cdr:x>
      <cdr:y>0.99138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54D3B13-C82D-4E88-A395-329D03ADFA29}"/>
            </a:ext>
          </a:extLst>
        </cdr:cNvPr>
        <cdr:cNvSpPr txBox="1"/>
      </cdr:nvSpPr>
      <cdr:spPr>
        <a:xfrm xmlns:a="http://schemas.openxmlformats.org/drawingml/2006/main">
          <a:off x="65689" y="2581603"/>
          <a:ext cx="945931" cy="1379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0444A0-533D-4DE5-B3BF-D17146349935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0.91475</cdr:y>
    </cdr:from>
    <cdr:to>
      <cdr:x>0.3319</cdr:x>
      <cdr:y>0.99617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079D463-1FDC-4B50-98CD-F581A9177A33}"/>
            </a:ext>
          </a:extLst>
        </cdr:cNvPr>
        <cdr:cNvSpPr txBox="1"/>
      </cdr:nvSpPr>
      <cdr:spPr>
        <a:xfrm xmlns:a="http://schemas.openxmlformats.org/drawingml/2006/main">
          <a:off x="0" y="2509344"/>
          <a:ext cx="1517432" cy="2233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0.56178</cdr:x>
      <cdr:y>0.1772</cdr:y>
    </cdr:from>
    <cdr:to>
      <cdr:x>0.73851</cdr:x>
      <cdr:y>0.35441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93E8FF65-53E7-4901-A57F-A286A74650D0}"/>
            </a:ext>
          </a:extLst>
        </cdr:cNvPr>
        <cdr:cNvSpPr txBox="1"/>
      </cdr:nvSpPr>
      <cdr:spPr>
        <a:xfrm xmlns:a="http://schemas.openxmlformats.org/drawingml/2006/main">
          <a:off x="2568465" y="486103"/>
          <a:ext cx="807983" cy="4861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Stronger</a:t>
          </a:r>
          <a:r>
            <a:rPr lang="en-US" sz="800" baseline="0">
              <a:latin typeface="Arial" panose="020B0604020202020204" pitchFamily="34" charset="0"/>
              <a:cs typeface="Arial" panose="020B0604020202020204" pitchFamily="34" charset="0"/>
            </a:rPr>
            <a:t> than expected imports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0.77835</cdr:x>
      <cdr:y>0.19572</cdr:y>
    </cdr:from>
    <cdr:to>
      <cdr:x>0.95508</cdr:x>
      <cdr:y>0.37292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BBEE8BEF-6BCF-4B39-92FD-F1D7C31CB815}"/>
            </a:ext>
          </a:extLst>
        </cdr:cNvPr>
        <cdr:cNvSpPr txBox="1"/>
      </cdr:nvSpPr>
      <cdr:spPr>
        <a:xfrm xmlns:a="http://schemas.openxmlformats.org/drawingml/2006/main">
          <a:off x="3558626" y="536903"/>
          <a:ext cx="807983" cy="4861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Trade data slowdown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11</xdr:row>
      <xdr:rowOff>85725</xdr:rowOff>
    </xdr:from>
    <xdr:to>
      <xdr:col>15</xdr:col>
      <xdr:colOff>57150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E59C1-9B5F-4FD5-8D7E-819FF4C6D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247650</xdr:colOff>
      <xdr:row>16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B51C4F-7D9E-470D-ADC4-11235AF66117}"/>
            </a:ext>
          </a:extLst>
        </xdr:cNvPr>
        <xdr:cNvSpPr txBox="1"/>
      </xdr:nvSpPr>
      <xdr:spPr>
        <a:xfrm>
          <a:off x="108204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371475</xdr:colOff>
      <xdr:row>8</xdr:row>
      <xdr:rowOff>38100</xdr:rowOff>
    </xdr:from>
    <xdr:to>
      <xdr:col>15</xdr:col>
      <xdr:colOff>66346</xdr:colOff>
      <xdr:row>10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B6521EB-FDE4-41AC-9997-C501BA566FBB}"/>
            </a:ext>
          </a:extLst>
        </xdr:cNvPr>
        <xdr:cNvSpPr txBox="1"/>
      </xdr:nvSpPr>
      <xdr:spPr>
        <a:xfrm>
          <a:off x="5457825" y="1562100"/>
          <a:ext cx="4571671" cy="47625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Global Dynamic Factor Model tracking </a:t>
          </a:r>
        </a:p>
      </xdr:txBody>
    </xdr:sp>
    <xdr:clientData/>
  </xdr:twoCellAnchor>
  <xdr:twoCellAnchor>
    <xdr:from>
      <xdr:col>7</xdr:col>
      <xdr:colOff>371475</xdr:colOff>
      <xdr:row>26</xdr:row>
      <xdr:rowOff>114300</xdr:rowOff>
    </xdr:from>
    <xdr:to>
      <xdr:col>15</xdr:col>
      <xdr:colOff>37771</xdr:colOff>
      <xdr:row>29</xdr:row>
      <xdr:rowOff>4396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801F04-715D-4C72-B6B7-7387D5E3FF92}"/>
            </a:ext>
          </a:extLst>
        </xdr:cNvPr>
        <xdr:cNvSpPr txBox="1"/>
      </xdr:nvSpPr>
      <xdr:spPr>
        <a:xfrm>
          <a:off x="5457825" y="5067300"/>
          <a:ext cx="4543096" cy="4615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Source: </a:t>
          </a:r>
          <a:r>
            <a:rPr lang="en-US" sz="1100">
              <a:effectLst/>
              <a:latin typeface="+mn-lt"/>
              <a:ea typeface="+mn-ea"/>
              <a:cs typeface="+mn-cs"/>
            </a:rPr>
            <a:t>Haver/GPM calculations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* Includes Q2 GDP releases available as of August 30th 2019.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72257</xdr:rowOff>
    </xdr:from>
    <xdr:to>
      <xdr:col>8</xdr:col>
      <xdr:colOff>266700</xdr:colOff>
      <xdr:row>21</xdr:row>
      <xdr:rowOff>131378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478146-C40F-46E9-B700-6CED363187D7}"/>
            </a:ext>
          </a:extLst>
        </xdr:cNvPr>
        <xdr:cNvSpPr txBox="1"/>
      </xdr:nvSpPr>
      <xdr:spPr>
        <a:xfrm>
          <a:off x="197069" y="3501257"/>
          <a:ext cx="4543097" cy="6306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Current</a:t>
          </a:r>
          <a:r>
            <a:rPr lang="en-US" sz="1100" b="0" baseline="0"/>
            <a:t> Nowcast Q2: 3.1% qoq saar          Current Nowcast Q3: 3.1% qoq saar</a:t>
          </a:r>
        </a:p>
        <a:p>
          <a:r>
            <a:rPr lang="en-US" sz="1100" b="0"/>
            <a:t>Source: GPM calculations.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*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Includes Q2 GDP releases available as of August 30th 2019. </a:t>
          </a:r>
          <a:endParaRPr lang="en-US">
            <a:effectLst/>
          </a:endParaRPr>
        </a:p>
        <a:p>
          <a:endParaRPr lang="en-US" sz="1100" b="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8</xdr:col>
      <xdr:colOff>295604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87F3A8-602C-430F-B21C-8B704E639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</xdr:row>
      <xdr:rowOff>118242</xdr:rowOff>
    </xdr:from>
    <xdr:to>
      <xdr:col>8</xdr:col>
      <xdr:colOff>288706</xdr:colOff>
      <xdr:row>4</xdr:row>
      <xdr:rowOff>22992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14B28DB-FA2E-4529-9B2A-071D85B65EE3}"/>
            </a:ext>
          </a:extLst>
        </xdr:cNvPr>
        <xdr:cNvSpPr txBox="1"/>
      </xdr:nvSpPr>
      <xdr:spPr>
        <a:xfrm>
          <a:off x="190500" y="308742"/>
          <a:ext cx="4565431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Global:</a:t>
          </a:r>
          <a:r>
            <a:rPr lang="en-US" sz="1100" b="1" baseline="0"/>
            <a:t> 2019Q2 and 2019Q3 GDP</a:t>
          </a:r>
        </a:p>
        <a:p>
          <a:r>
            <a:rPr lang="en-US" sz="1100" b="1" baseline="0"/>
            <a:t>(percentage change; quarter-on-quarter; annualized; seasonally adjusted) </a:t>
          </a:r>
          <a:endParaRPr lang="en-US" sz="1100" b="1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0.01437</cdr:x>
      <cdr:y>0.94109</cdr:y>
    </cdr:from>
    <cdr:to>
      <cdr:x>0.22126</cdr:x>
      <cdr:y>0.99138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54D3B13-C82D-4E88-A395-329D03ADFA29}"/>
            </a:ext>
          </a:extLst>
        </cdr:cNvPr>
        <cdr:cNvSpPr txBox="1"/>
      </cdr:nvSpPr>
      <cdr:spPr>
        <a:xfrm xmlns:a="http://schemas.openxmlformats.org/drawingml/2006/main">
          <a:off x="65689" y="2581603"/>
          <a:ext cx="945931" cy="1379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0444A0-533D-4DE5-B3BF-D17146349935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0.91475</cdr:y>
    </cdr:from>
    <cdr:to>
      <cdr:x>0.3319</cdr:x>
      <cdr:y>0.99617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079D463-1FDC-4B50-98CD-F581A9177A33}"/>
            </a:ext>
          </a:extLst>
        </cdr:cNvPr>
        <cdr:cNvSpPr txBox="1"/>
      </cdr:nvSpPr>
      <cdr:spPr>
        <a:xfrm xmlns:a="http://schemas.openxmlformats.org/drawingml/2006/main">
          <a:off x="0" y="2509344"/>
          <a:ext cx="1517432" cy="2233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0.53304</cdr:x>
      <cdr:y>0.15565</cdr:y>
    </cdr:from>
    <cdr:to>
      <cdr:x>0.70977</cdr:x>
      <cdr:y>0.33286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93E8FF65-53E7-4901-A57F-A286A74650D0}"/>
            </a:ext>
          </a:extLst>
        </cdr:cNvPr>
        <cdr:cNvSpPr txBox="1"/>
      </cdr:nvSpPr>
      <cdr:spPr>
        <a:xfrm xmlns:a="http://schemas.openxmlformats.org/drawingml/2006/main">
          <a:off x="2437080" y="426975"/>
          <a:ext cx="808009" cy="486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Stronger</a:t>
          </a:r>
          <a:r>
            <a:rPr lang="en-US" sz="800" baseline="0">
              <a:latin typeface="Arial" panose="020B0604020202020204" pitchFamily="34" charset="0"/>
              <a:cs typeface="Arial" panose="020B0604020202020204" pitchFamily="34" charset="0"/>
            </a:rPr>
            <a:t> than expected imports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0.77835</cdr:x>
      <cdr:y>0.19572</cdr:y>
    </cdr:from>
    <cdr:to>
      <cdr:x>0.95508</cdr:x>
      <cdr:y>0.37292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BBEE8BEF-6BCF-4B39-92FD-F1D7C31CB815}"/>
            </a:ext>
          </a:extLst>
        </cdr:cNvPr>
        <cdr:cNvSpPr txBox="1"/>
      </cdr:nvSpPr>
      <cdr:spPr>
        <a:xfrm xmlns:a="http://schemas.openxmlformats.org/drawingml/2006/main">
          <a:off x="3558626" y="536903"/>
          <a:ext cx="807983" cy="4861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Trade data slowdown</a:t>
          </a:r>
        </a:p>
      </cdr:txBody>
    </cdr:sp>
  </cdr:relSizeAnchor>
  <cdr:relSizeAnchor xmlns:cdr="http://schemas.openxmlformats.org/drawingml/2006/chartDrawing">
    <cdr:from>
      <cdr:x>0.81427</cdr:x>
      <cdr:y>0.47589</cdr:y>
    </cdr:from>
    <cdr:to>
      <cdr:x>0.991</cdr:x>
      <cdr:y>0.72079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CEBA5036-A9DA-4862-8642-7127FC0386D8}"/>
            </a:ext>
          </a:extLst>
        </cdr:cNvPr>
        <cdr:cNvSpPr txBox="1"/>
      </cdr:nvSpPr>
      <cdr:spPr>
        <a:xfrm xmlns:a="http://schemas.openxmlformats.org/drawingml/2006/main">
          <a:off x="3722852" y="1305472"/>
          <a:ext cx="808010" cy="6717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Discrepancy from large negative suprise from India release.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11</xdr:row>
      <xdr:rowOff>85725</xdr:rowOff>
    </xdr:from>
    <xdr:to>
      <xdr:col>16</xdr:col>
      <xdr:colOff>57150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DBAC9-6FD2-45BF-80D3-B7B9EB013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247650</xdr:colOff>
      <xdr:row>16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308E68-EF02-4A73-B2A2-404A1C14C99E}"/>
            </a:ext>
          </a:extLst>
        </xdr:cNvPr>
        <xdr:cNvSpPr txBox="1"/>
      </xdr:nvSpPr>
      <xdr:spPr>
        <a:xfrm>
          <a:off x="1090612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371475</xdr:colOff>
      <xdr:row>8</xdr:row>
      <xdr:rowOff>38100</xdr:rowOff>
    </xdr:from>
    <xdr:to>
      <xdr:col>16</xdr:col>
      <xdr:colOff>66346</xdr:colOff>
      <xdr:row>10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5A762A-26A1-4DBB-9694-C4645845170F}"/>
            </a:ext>
          </a:extLst>
        </xdr:cNvPr>
        <xdr:cNvSpPr txBox="1"/>
      </xdr:nvSpPr>
      <xdr:spPr>
        <a:xfrm>
          <a:off x="5543550" y="1562100"/>
          <a:ext cx="4571671" cy="47625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Global Dynamic Factor Model tracking </a:t>
          </a:r>
        </a:p>
      </xdr:txBody>
    </xdr:sp>
    <xdr:clientData/>
  </xdr:twoCellAnchor>
  <xdr:twoCellAnchor>
    <xdr:from>
      <xdr:col>8</xdr:col>
      <xdr:colOff>371475</xdr:colOff>
      <xdr:row>26</xdr:row>
      <xdr:rowOff>114300</xdr:rowOff>
    </xdr:from>
    <xdr:to>
      <xdr:col>16</xdr:col>
      <xdr:colOff>37771</xdr:colOff>
      <xdr:row>29</xdr:row>
      <xdr:rowOff>4396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9026E8-6FC5-4176-8BE7-D829BF8D1C9C}"/>
            </a:ext>
          </a:extLst>
        </xdr:cNvPr>
        <xdr:cNvSpPr txBox="1"/>
      </xdr:nvSpPr>
      <xdr:spPr>
        <a:xfrm>
          <a:off x="5543550" y="5067300"/>
          <a:ext cx="4543096" cy="4615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Source: </a:t>
          </a:r>
          <a:r>
            <a:rPr lang="en-US" sz="1100">
              <a:effectLst/>
              <a:latin typeface="+mn-lt"/>
              <a:ea typeface="+mn-ea"/>
              <a:cs typeface="+mn-cs"/>
            </a:rPr>
            <a:t>Haver/GPM calculations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* Includes Q2 GDP releases available as of August 30th 2019.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131378</xdr:rowOff>
    </xdr:from>
    <xdr:to>
      <xdr:col>8</xdr:col>
      <xdr:colOff>266700</xdr:colOff>
      <xdr:row>22</xdr:row>
      <xdr:rowOff>63061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B4751B-F36B-4C87-B510-D28CB07D5A2C}"/>
            </a:ext>
          </a:extLst>
        </xdr:cNvPr>
        <xdr:cNvSpPr txBox="1"/>
      </xdr:nvSpPr>
      <xdr:spPr>
        <a:xfrm>
          <a:off x="204952" y="3442137"/>
          <a:ext cx="4644258" cy="667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Current</a:t>
          </a:r>
          <a:r>
            <a:rPr lang="en-US" sz="1100" b="0" baseline="0"/>
            <a:t> Nowcast Q2: 2.9% qoq saar. Q3: 3.0% qoq saar Q4: 2.9% qoq saar</a:t>
          </a:r>
        </a:p>
        <a:p>
          <a:r>
            <a:rPr lang="en-US" sz="1100" b="0"/>
            <a:t>Source: GPM calculations.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*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Includes Q2 GDP releases available as of September 6th, 2019. </a:t>
          </a:r>
          <a:endParaRPr lang="en-US">
            <a:effectLst/>
          </a:endParaRPr>
        </a:p>
        <a:p>
          <a:endParaRPr lang="en-US" sz="1100" b="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8</xdr:col>
      <xdr:colOff>295604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132741-87D9-4165-B4F6-382891171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</xdr:row>
      <xdr:rowOff>118242</xdr:rowOff>
    </xdr:from>
    <xdr:to>
      <xdr:col>8</xdr:col>
      <xdr:colOff>288706</xdr:colOff>
      <xdr:row>4</xdr:row>
      <xdr:rowOff>22992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616ADD-E201-4236-A353-58956D28BFB5}"/>
            </a:ext>
          </a:extLst>
        </xdr:cNvPr>
        <xdr:cNvSpPr txBox="1"/>
      </xdr:nvSpPr>
      <xdr:spPr>
        <a:xfrm>
          <a:off x="190500" y="308742"/>
          <a:ext cx="4565431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Global:</a:t>
          </a:r>
          <a:r>
            <a:rPr lang="en-US" sz="1100" b="1" baseline="0"/>
            <a:t> 2019Q2 and 2019Q3 GDP</a:t>
          </a:r>
        </a:p>
        <a:p>
          <a:r>
            <a:rPr lang="en-US" sz="1100" b="1" baseline="0"/>
            <a:t>(percentage change; quarter-on-quarter; annualized; seasonally adjusted) </a:t>
          </a:r>
          <a:endParaRPr lang="en-US" sz="1100" b="1"/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0.01437</cdr:x>
      <cdr:y>0.94109</cdr:y>
    </cdr:from>
    <cdr:to>
      <cdr:x>0.22126</cdr:x>
      <cdr:y>0.99138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54D3B13-C82D-4E88-A395-329D03ADFA29}"/>
            </a:ext>
          </a:extLst>
        </cdr:cNvPr>
        <cdr:cNvSpPr txBox="1"/>
      </cdr:nvSpPr>
      <cdr:spPr>
        <a:xfrm xmlns:a="http://schemas.openxmlformats.org/drawingml/2006/main">
          <a:off x="65689" y="2581603"/>
          <a:ext cx="945931" cy="1379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0444A0-533D-4DE5-B3BF-D17146349935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0.91475</cdr:y>
    </cdr:from>
    <cdr:to>
      <cdr:x>0.3319</cdr:x>
      <cdr:y>0.99617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079D463-1FDC-4B50-98CD-F581A9177A33}"/>
            </a:ext>
          </a:extLst>
        </cdr:cNvPr>
        <cdr:cNvSpPr txBox="1"/>
      </cdr:nvSpPr>
      <cdr:spPr>
        <a:xfrm xmlns:a="http://schemas.openxmlformats.org/drawingml/2006/main">
          <a:off x="0" y="2509344"/>
          <a:ext cx="1517432" cy="2233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0.53304</cdr:x>
      <cdr:y>0.15565</cdr:y>
    </cdr:from>
    <cdr:to>
      <cdr:x>0.70977</cdr:x>
      <cdr:y>0.33286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93E8FF65-53E7-4901-A57F-A286A74650D0}"/>
            </a:ext>
          </a:extLst>
        </cdr:cNvPr>
        <cdr:cNvSpPr txBox="1"/>
      </cdr:nvSpPr>
      <cdr:spPr>
        <a:xfrm xmlns:a="http://schemas.openxmlformats.org/drawingml/2006/main">
          <a:off x="2437080" y="426975"/>
          <a:ext cx="808009" cy="486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Stronger</a:t>
          </a:r>
          <a:r>
            <a:rPr lang="en-US" sz="800" baseline="0">
              <a:latin typeface="Arial" panose="020B0604020202020204" pitchFamily="34" charset="0"/>
              <a:cs typeface="Arial" panose="020B0604020202020204" pitchFamily="34" charset="0"/>
            </a:rPr>
            <a:t> than expected imports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0.77835</cdr:x>
      <cdr:y>0.19572</cdr:y>
    </cdr:from>
    <cdr:to>
      <cdr:x>0.95508</cdr:x>
      <cdr:y>0.37292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BBEE8BEF-6BCF-4B39-92FD-F1D7C31CB815}"/>
            </a:ext>
          </a:extLst>
        </cdr:cNvPr>
        <cdr:cNvSpPr txBox="1"/>
      </cdr:nvSpPr>
      <cdr:spPr>
        <a:xfrm xmlns:a="http://schemas.openxmlformats.org/drawingml/2006/main">
          <a:off x="3558626" y="536903"/>
          <a:ext cx="807983" cy="4861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Trade data slowdown</a:t>
          </a:r>
        </a:p>
      </cdr:txBody>
    </cdr:sp>
  </cdr:relSizeAnchor>
  <cdr:relSizeAnchor xmlns:cdr="http://schemas.openxmlformats.org/drawingml/2006/chartDrawing">
    <cdr:from>
      <cdr:x>0.81427</cdr:x>
      <cdr:y>0.47589</cdr:y>
    </cdr:from>
    <cdr:to>
      <cdr:x>0.991</cdr:x>
      <cdr:y>0.72079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CEBA5036-A9DA-4862-8642-7127FC0386D8}"/>
            </a:ext>
          </a:extLst>
        </cdr:cNvPr>
        <cdr:cNvSpPr txBox="1"/>
      </cdr:nvSpPr>
      <cdr:spPr>
        <a:xfrm xmlns:a="http://schemas.openxmlformats.org/drawingml/2006/main">
          <a:off x="3722852" y="1305472"/>
          <a:ext cx="808010" cy="6717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Discrepancy from large negative suprise from India release.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7E4E-E9F5-4DAE-B33D-C338F6C185A6}">
  <dimension ref="A2:D12"/>
  <sheetViews>
    <sheetView workbookViewId="0">
      <selection activeCell="E19" sqref="E19"/>
    </sheetView>
  </sheetViews>
  <sheetFormatPr defaultRowHeight="14.4" x14ac:dyDescent="0.3"/>
  <cols>
    <col min="1" max="1" width="9.6640625" bestFit="1" customWidth="1"/>
    <col min="2" max="3" width="15" bestFit="1" customWidth="1"/>
  </cols>
  <sheetData>
    <row r="2" spans="1:4" x14ac:dyDescent="0.3">
      <c r="B2" t="s">
        <v>0</v>
      </c>
      <c r="C2" t="s">
        <v>1</v>
      </c>
    </row>
    <row r="3" spans="1:4" x14ac:dyDescent="0.3">
      <c r="A3" s="2">
        <v>43473</v>
      </c>
      <c r="B3" s="1">
        <v>3.41</v>
      </c>
      <c r="C3" s="1"/>
      <c r="D3" s="3"/>
    </row>
    <row r="4" spans="1:4" x14ac:dyDescent="0.3">
      <c r="A4" s="2">
        <v>43504</v>
      </c>
      <c r="B4" s="1">
        <v>3.2</v>
      </c>
      <c r="C4" s="1"/>
      <c r="D4" s="3"/>
    </row>
    <row r="5" spans="1:4" x14ac:dyDescent="0.3">
      <c r="A5" s="2">
        <v>43525</v>
      </c>
      <c r="B5" s="1">
        <v>3.49</v>
      </c>
      <c r="C5" s="1"/>
      <c r="D5" s="3"/>
    </row>
    <row r="6" spans="1:4" x14ac:dyDescent="0.3">
      <c r="A6" s="2">
        <v>43556</v>
      </c>
      <c r="B6" s="1">
        <v>3.52</v>
      </c>
      <c r="C6" s="1">
        <v>3.7</v>
      </c>
      <c r="D6" s="3"/>
    </row>
    <row r="7" spans="1:4" x14ac:dyDescent="0.3">
      <c r="A7" s="2">
        <v>43593</v>
      </c>
      <c r="B7" s="1">
        <v>3.2</v>
      </c>
      <c r="C7" s="1">
        <v>3.15</v>
      </c>
      <c r="D7" s="3"/>
    </row>
    <row r="8" spans="1:4" x14ac:dyDescent="0.3">
      <c r="A8" s="2">
        <v>43600</v>
      </c>
      <c r="B8" s="1">
        <v>3.19</v>
      </c>
      <c r="C8" s="1">
        <v>3.16</v>
      </c>
      <c r="D8" s="3"/>
    </row>
    <row r="9" spans="1:4" x14ac:dyDescent="0.3">
      <c r="A9" s="2">
        <v>43615</v>
      </c>
      <c r="B9" s="1">
        <v>3.31</v>
      </c>
      <c r="C9" s="1">
        <v>3.17</v>
      </c>
      <c r="D9" s="3"/>
    </row>
    <row r="10" spans="1:4" x14ac:dyDescent="0.3">
      <c r="A10" s="2">
        <v>43627</v>
      </c>
      <c r="B10" s="1">
        <v>3.49</v>
      </c>
      <c r="C10" s="1">
        <v>3.04</v>
      </c>
    </row>
    <row r="11" spans="1:4" x14ac:dyDescent="0.3">
      <c r="A11" s="2">
        <v>43668</v>
      </c>
      <c r="B11" s="1">
        <v>3.26</v>
      </c>
      <c r="C11" s="1">
        <v>2.99</v>
      </c>
    </row>
    <row r="12" spans="1:4" x14ac:dyDescent="0.3">
      <c r="A12" s="2">
        <v>43691</v>
      </c>
      <c r="B12" s="1">
        <v>3</v>
      </c>
      <c r="C12" s="1">
        <v>3.06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B50A-DD48-4D79-A510-9DAE5032CF27}">
  <sheetPr>
    <tabColor rgb="FF00B0F0"/>
  </sheetPr>
  <dimension ref="A1"/>
  <sheetViews>
    <sheetView zoomScale="145" zoomScaleNormal="145" workbookViewId="0">
      <selection activeCell="F23" sqref="F23"/>
    </sheetView>
  </sheetViews>
  <sheetFormatPr defaultColWidth="9.109375" defaultRowHeight="14.4" x14ac:dyDescent="0.3"/>
  <cols>
    <col min="1" max="1" width="3" style="4" customWidth="1"/>
    <col min="2" max="16384" width="9.109375" style="4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1717-2F9A-4796-B790-822E91687B1F}">
  <dimension ref="A2:D13"/>
  <sheetViews>
    <sheetView workbookViewId="0">
      <selection activeCell="U14" sqref="U14"/>
    </sheetView>
  </sheetViews>
  <sheetFormatPr defaultRowHeight="14.4" x14ac:dyDescent="0.3"/>
  <cols>
    <col min="1" max="1" width="9.6640625" bestFit="1" customWidth="1"/>
    <col min="2" max="3" width="15" bestFit="1" customWidth="1"/>
    <col min="4" max="4" width="10.44140625" bestFit="1" customWidth="1"/>
  </cols>
  <sheetData>
    <row r="2" spans="1:4" x14ac:dyDescent="0.3">
      <c r="B2" t="s">
        <v>0</v>
      </c>
      <c r="C2" t="s">
        <v>1</v>
      </c>
      <c r="D2" t="s">
        <v>2</v>
      </c>
    </row>
    <row r="3" spans="1:4" x14ac:dyDescent="0.3">
      <c r="A3" s="2">
        <v>43473</v>
      </c>
      <c r="B3" s="1">
        <v>3.42</v>
      </c>
      <c r="C3" s="1"/>
    </row>
    <row r="4" spans="1:4" x14ac:dyDescent="0.3">
      <c r="A4" s="2">
        <v>43504</v>
      </c>
      <c r="B4" s="1">
        <v>3.21</v>
      </c>
      <c r="C4" s="1"/>
    </row>
    <row r="5" spans="1:4" x14ac:dyDescent="0.3">
      <c r="A5" s="2">
        <v>43525</v>
      </c>
      <c r="B5" s="1">
        <v>3.51</v>
      </c>
      <c r="C5" s="1"/>
    </row>
    <row r="6" spans="1:4" x14ac:dyDescent="0.3">
      <c r="A6" s="2">
        <v>43556</v>
      </c>
      <c r="B6" s="1">
        <v>3.53</v>
      </c>
      <c r="C6" s="1">
        <v>3.71</v>
      </c>
    </row>
    <row r="7" spans="1:4" x14ac:dyDescent="0.3">
      <c r="A7" s="2">
        <v>43593</v>
      </c>
      <c r="B7" s="1">
        <v>3.21</v>
      </c>
      <c r="C7" s="1">
        <v>3.16</v>
      </c>
    </row>
    <row r="8" spans="1:4" x14ac:dyDescent="0.3">
      <c r="A8" s="2">
        <v>43600</v>
      </c>
      <c r="B8" s="1">
        <v>3.21</v>
      </c>
      <c r="C8" s="1">
        <v>3.17</v>
      </c>
    </row>
    <row r="9" spans="1:4" x14ac:dyDescent="0.3">
      <c r="A9" s="2">
        <v>43615</v>
      </c>
      <c r="B9" s="1">
        <v>3.32</v>
      </c>
      <c r="C9" s="1">
        <v>3.19</v>
      </c>
    </row>
    <row r="10" spans="1:4" x14ac:dyDescent="0.3">
      <c r="A10" s="2">
        <v>43627</v>
      </c>
      <c r="B10" s="1">
        <v>3.5</v>
      </c>
      <c r="C10" s="1">
        <v>3.05</v>
      </c>
    </row>
    <row r="11" spans="1:4" x14ac:dyDescent="0.3">
      <c r="A11" s="2">
        <v>43668</v>
      </c>
      <c r="B11" s="1">
        <v>3.27</v>
      </c>
      <c r="C11" s="1">
        <v>3</v>
      </c>
    </row>
    <row r="12" spans="1:4" x14ac:dyDescent="0.3">
      <c r="A12" s="2">
        <v>43691</v>
      </c>
      <c r="B12" s="1">
        <v>3.01</v>
      </c>
      <c r="C12" s="1">
        <v>3.08</v>
      </c>
    </row>
    <row r="13" spans="1:4" x14ac:dyDescent="0.3">
      <c r="A13" s="2">
        <v>43707</v>
      </c>
      <c r="B13" s="1">
        <v>3.09</v>
      </c>
      <c r="C13" s="1">
        <v>3.14</v>
      </c>
      <c r="D13">
        <v>2.8319999999999999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4D2A-E32B-4821-A423-C3636C51A2CF}">
  <sheetPr>
    <tabColor rgb="FF00B0F0"/>
  </sheetPr>
  <dimension ref="A1"/>
  <sheetViews>
    <sheetView zoomScale="145" zoomScaleNormal="145" workbookViewId="0">
      <selection activeCell="U14" sqref="U14"/>
    </sheetView>
  </sheetViews>
  <sheetFormatPr defaultColWidth="9.109375" defaultRowHeight="14.4" x14ac:dyDescent="0.3"/>
  <cols>
    <col min="1" max="1" width="3" style="4" customWidth="1"/>
    <col min="2" max="16384" width="9.109375" style="4"/>
  </cols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C97F-ABFC-4C15-81B5-7D0182F80A53}">
  <dimension ref="A2:E15"/>
  <sheetViews>
    <sheetView tabSelected="1" workbookViewId="0">
      <selection activeCell="E27" sqref="E27"/>
    </sheetView>
  </sheetViews>
  <sheetFormatPr defaultRowHeight="14.4" x14ac:dyDescent="0.3"/>
  <cols>
    <col min="1" max="1" width="9.6640625" bestFit="1" customWidth="1"/>
    <col min="2" max="3" width="15" bestFit="1" customWidth="1"/>
    <col min="4" max="4" width="15" customWidth="1"/>
    <col min="5" max="5" width="10.44140625" bestFit="1" customWidth="1"/>
  </cols>
  <sheetData>
    <row r="2" spans="1:5" x14ac:dyDescent="0.3">
      <c r="B2" t="s">
        <v>0</v>
      </c>
      <c r="C2" t="s">
        <v>1</v>
      </c>
      <c r="D2" t="s">
        <v>3</v>
      </c>
      <c r="E2" t="s">
        <v>2</v>
      </c>
    </row>
    <row r="3" spans="1:5" x14ac:dyDescent="0.3">
      <c r="A3" s="2">
        <v>43473</v>
      </c>
      <c r="B3" s="1">
        <v>3.42</v>
      </c>
      <c r="C3" s="1"/>
      <c r="D3" s="1"/>
    </row>
    <row r="4" spans="1:5" x14ac:dyDescent="0.3">
      <c r="A4" s="2">
        <v>43504</v>
      </c>
      <c r="B4" s="1">
        <v>3.22</v>
      </c>
      <c r="C4" s="1"/>
      <c r="D4" s="1"/>
    </row>
    <row r="5" spans="1:5" x14ac:dyDescent="0.3">
      <c r="A5" s="2">
        <v>43525</v>
      </c>
      <c r="B5" s="1">
        <v>3.51</v>
      </c>
      <c r="C5" s="1"/>
      <c r="D5" s="1"/>
    </row>
    <row r="6" spans="1:5" x14ac:dyDescent="0.3">
      <c r="A6" s="2">
        <v>43556</v>
      </c>
      <c r="B6" s="1">
        <v>3.54</v>
      </c>
      <c r="C6" s="1">
        <v>3.72</v>
      </c>
      <c r="D6" s="1"/>
    </row>
    <row r="7" spans="1:5" x14ac:dyDescent="0.3">
      <c r="A7" s="2">
        <v>43593</v>
      </c>
      <c r="B7" s="1">
        <v>3.22</v>
      </c>
      <c r="C7" s="1">
        <v>3.16</v>
      </c>
      <c r="D7" s="1"/>
    </row>
    <row r="8" spans="1:5" x14ac:dyDescent="0.3">
      <c r="A8" s="2">
        <v>43600</v>
      </c>
      <c r="B8" s="1">
        <v>3.21</v>
      </c>
      <c r="C8" s="1">
        <v>3.17</v>
      </c>
      <c r="D8" s="1"/>
    </row>
    <row r="9" spans="1:5" x14ac:dyDescent="0.3">
      <c r="A9" s="2">
        <v>43615</v>
      </c>
      <c r="B9" s="1">
        <v>3.32</v>
      </c>
      <c r="C9" s="1">
        <v>3.19</v>
      </c>
      <c r="D9" s="1"/>
    </row>
    <row r="10" spans="1:5" x14ac:dyDescent="0.3">
      <c r="A10" s="2">
        <v>43627</v>
      </c>
      <c r="B10" s="1">
        <v>3.5</v>
      </c>
      <c r="C10" s="1">
        <v>3.06</v>
      </c>
      <c r="D10" s="1">
        <v>2.96</v>
      </c>
    </row>
    <row r="11" spans="1:5" x14ac:dyDescent="0.3">
      <c r="A11" s="2">
        <v>43668</v>
      </c>
      <c r="B11" s="1">
        <v>3.27</v>
      </c>
      <c r="C11" s="1">
        <v>3</v>
      </c>
      <c r="D11" s="1">
        <v>2.9</v>
      </c>
    </row>
    <row r="12" spans="1:5" x14ac:dyDescent="0.3">
      <c r="A12" s="2">
        <v>43691</v>
      </c>
      <c r="B12" s="1">
        <v>3</v>
      </c>
      <c r="C12" s="1">
        <v>3.09</v>
      </c>
      <c r="D12" s="1">
        <v>2.95</v>
      </c>
    </row>
    <row r="13" spans="1:5" x14ac:dyDescent="0.3">
      <c r="A13" s="2">
        <v>43707</v>
      </c>
      <c r="B13" s="1">
        <v>2.83</v>
      </c>
      <c r="C13" s="1">
        <v>3.15</v>
      </c>
      <c r="D13" s="1">
        <v>2.95</v>
      </c>
      <c r="E13">
        <v>2.83</v>
      </c>
    </row>
    <row r="14" spans="1:5" x14ac:dyDescent="0.3">
      <c r="A14" s="2">
        <v>43714</v>
      </c>
      <c r="B14" s="1"/>
      <c r="C14" s="1">
        <v>3.08</v>
      </c>
      <c r="D14" s="1">
        <v>2.74</v>
      </c>
      <c r="E14" s="1"/>
    </row>
    <row r="15" spans="1:5" x14ac:dyDescent="0.3">
      <c r="B15" s="1">
        <v>3.09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1DB6-1C13-4885-B6F7-3D3CE21CA316}">
  <sheetPr>
    <tabColor rgb="FF00B0F0"/>
  </sheetPr>
  <dimension ref="A1"/>
  <sheetViews>
    <sheetView zoomScale="145" zoomScaleNormal="145" workbookViewId="0">
      <selection activeCell="O15" sqref="O15"/>
    </sheetView>
  </sheetViews>
  <sheetFormatPr defaultColWidth="9.109375" defaultRowHeight="14.4" x14ac:dyDescent="0.3"/>
  <cols>
    <col min="1" max="1" width="3" style="4" customWidth="1"/>
    <col min="2" max="16384" width="9.109375" style="4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0814</vt:lpstr>
      <vt:lpstr>Charts0814</vt:lpstr>
      <vt:lpstr>0830</vt:lpstr>
      <vt:lpstr>Charts0830</vt:lpstr>
      <vt:lpstr>0906</vt:lpstr>
      <vt:lpstr>Charts0906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Hunt, Benjamin Lee</dc:creator>
  <cp:lastModifiedBy>Rivera Greenwood, Daniel</cp:lastModifiedBy>
  <cp:lastPrinted>2019-05-30T18:08:52Z</cp:lastPrinted>
  <dcterms:created xsi:type="dcterms:W3CDTF">2019-05-10T14:03:47Z</dcterms:created>
  <dcterms:modified xsi:type="dcterms:W3CDTF">2019-09-09T21:29:29Z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
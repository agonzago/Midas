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"/>
    </mc:Choice>
  </mc:AlternateContent>
  <xr:revisionPtr revIDLastSave="0" documentId="14_{1DECBE49-3695-4E90-8861-F70C0402BF4B}" xr6:coauthVersionLast="44" xr6:coauthVersionMax="44" xr10:uidLastSave="{00000000-0000-0000-0000-000000000000}"/>
  <bookViews>
    <workbookView xWindow="15" yWindow="1620" windowWidth="18120" windowHeight="11025" activeTab="2" xr2:uid="{70753A3D-94C1-4FE1-A8DC-A9AFB9CEFD1C}"/>
  </bookViews>
  <sheets>
    <sheet name="0204" sheetId="1" r:id="rId1"/>
    <sheet name="0310" sheetId="2" r:id="rId2"/>
    <sheet name="0324" sheetId="3" r:id="rId3"/>
  </sheets>
  <definedNames>
    <definedName name="_DLX3.USE" localSheetId="0">#REF!</definedName>
    <definedName name="_DLX3.USE" localSheetId="1">#REF!</definedName>
    <definedName name="_DLX3.USE" localSheetId="2">#REF!</definedName>
    <definedName name="_DLX3.USE">#REF!</definedName>
    <definedName name="_DLX4.USE" localSheetId="0">#REF!</definedName>
    <definedName name="_DLX4.USE" localSheetId="1">#REF!</definedName>
    <definedName name="_DLX4.USE" localSheetId="2">#REF!</definedName>
    <definedName name="_DLX4.USE">#REF!</definedName>
    <definedName name="_DLX5.USE" localSheetId="0">#REF!</definedName>
    <definedName name="_DLX5.USE" localSheetId="1">#REF!</definedName>
    <definedName name="_DLX5.USE" localSheetId="2">#REF!</definedName>
    <definedName name="_DLX5.USE">#REF!</definedName>
    <definedName name="EdssBatchRange" localSheetId="0">#REF!</definedName>
    <definedName name="EdssBatchRange" localSheetId="1">#REF!</definedName>
    <definedName name="EdssBatchRange" localSheetId="2">#REF!</definedName>
    <definedName name="EdssBatch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2" i="1" l="1"/>
  <c r="G22" i="1"/>
  <c r="I21" i="1"/>
  <c r="G21" i="1"/>
  <c r="I20" i="1"/>
  <c r="G20" i="1"/>
  <c r="I19" i="1"/>
  <c r="G19" i="1"/>
  <c r="I18" i="1"/>
  <c r="G18" i="1"/>
  <c r="I17" i="1"/>
  <c r="G17" i="1"/>
  <c r="G16" i="1"/>
  <c r="G15" i="1"/>
  <c r="G14" i="1"/>
  <c r="G13" i="1"/>
  <c r="G12" i="1"/>
</calcChain>
</file>

<file path=xl/sharedStrings.xml><?xml version="1.0" encoding="utf-8"?>
<sst xmlns="http://schemas.openxmlformats.org/spreadsheetml/2006/main" count="16" uniqueCount="8">
  <si>
    <t>2019Q4 Tracking</t>
  </si>
  <si>
    <t>2020Q1 Tracking</t>
  </si>
  <si>
    <t>GPM Tracking 19Q4*</t>
  </si>
  <si>
    <t>GPM Tracking 20Q1</t>
  </si>
  <si>
    <t>19Q4 Revisions due to New Data Releases</t>
  </si>
  <si>
    <t>19Q4 Revisions due to Historical Data Revisions</t>
  </si>
  <si>
    <t>20Q1 Revisions due to New Data Releases</t>
  </si>
  <si>
    <t>20Q1 Revisions due to Historical Data Revisions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</si>
</sst>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09405074365709E-2"/>
          <c:y val="5.2141120278718783E-2"/>
          <c:w val="0.89215726159230091"/>
          <c:h val="0.82973025568745384"/>
        </c:manualLayout>
      </c:layout>
      <c:lineChart>
        <c:grouping val="standard"/>
        <c:varyColors val="0"/>
        <c:ser>
          <c:idx val="0"/>
          <c:order val="0"/>
          <c:tx>
            <c:strRef>
              <c:f>'0204'!$B$2</c:f>
              <c:strCache>
                <c:ptCount val="1"/>
                <c:pt idx="0">
                  <c:v>2019Q4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'0204'!$A$11:$A$25</c15:sqref>
                  </c15:fullRef>
                </c:ext>
              </c:extLst>
              <c:f>'0204'!$A$12:$A$25</c:f>
              <c:numCache>
                <c:formatCode>m/d/yyyy</c:formatCode>
                <c:ptCount val="14"/>
                <c:pt idx="0">
                  <c:v>43691</c:v>
                </c:pt>
                <c:pt idx="1">
                  <c:v>43707</c:v>
                </c:pt>
                <c:pt idx="2">
                  <c:v>43714</c:v>
                </c:pt>
                <c:pt idx="3">
                  <c:v>43738</c:v>
                </c:pt>
                <c:pt idx="4">
                  <c:v>43754</c:v>
                </c:pt>
                <c:pt idx="5">
                  <c:v>43772</c:v>
                </c:pt>
                <c:pt idx="6">
                  <c:v>43788</c:v>
                </c:pt>
                <c:pt idx="7">
                  <c:v>43802</c:v>
                </c:pt>
                <c:pt idx="8">
                  <c:v>43838</c:v>
                </c:pt>
                <c:pt idx="9">
                  <c:v>43858</c:v>
                </c:pt>
                <c:pt idx="10">
                  <c:v>43865</c:v>
                </c:pt>
                <c:pt idx="11">
                  <c:v>43875</c:v>
                </c:pt>
                <c:pt idx="12">
                  <c:v>43882</c:v>
                </c:pt>
                <c:pt idx="13">
                  <c:v>43900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'0204'!$B$11:$B$25</c15:sqref>
                  </c15:fullRef>
                </c:ext>
              </c:extLst>
              <c:f>'0204'!$B$12:$B$25</c:f>
              <c:numCache>
                <c:formatCode>0.00</c:formatCode>
                <c:ptCount val="14"/>
                <c:pt idx="0">
                  <c:v>2.98</c:v>
                </c:pt>
                <c:pt idx="1">
                  <c:v>2.97</c:v>
                </c:pt>
                <c:pt idx="2">
                  <c:v>2.75</c:v>
                </c:pt>
                <c:pt idx="3">
                  <c:v>2.57</c:v>
                </c:pt>
                <c:pt idx="4">
                  <c:v>2.61</c:v>
                </c:pt>
                <c:pt idx="5">
                  <c:v>2.2000000000000002</c:v>
                </c:pt>
                <c:pt idx="6">
                  <c:v>2.14</c:v>
                </c:pt>
                <c:pt idx="7">
                  <c:v>2.44</c:v>
                </c:pt>
                <c:pt idx="8">
                  <c:v>2.78</c:v>
                </c:pt>
                <c:pt idx="9">
                  <c:v>2.68</c:v>
                </c:pt>
                <c:pt idx="10">
                  <c:v>2.77</c:v>
                </c:pt>
                <c:pt idx="11">
                  <c:v>2.84</c:v>
                </c:pt>
                <c:pt idx="12">
                  <c:v>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19-4BE1-BCDC-E4E33E33397A}"/>
            </c:ext>
          </c:extLst>
        </c:ser>
        <c:ser>
          <c:idx val="1"/>
          <c:order val="1"/>
          <c:tx>
            <c:strRef>
              <c:f>'0204'!$C$2</c:f>
              <c:strCache>
                <c:ptCount val="1"/>
                <c:pt idx="0">
                  <c:v>2020Q1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'0204'!$A$11:$A$25</c15:sqref>
                  </c15:fullRef>
                </c:ext>
              </c:extLst>
              <c:f>'0204'!$A$12:$A$25</c:f>
              <c:numCache>
                <c:formatCode>m/d/yyyy</c:formatCode>
                <c:ptCount val="14"/>
                <c:pt idx="0">
                  <c:v>43691</c:v>
                </c:pt>
                <c:pt idx="1">
                  <c:v>43707</c:v>
                </c:pt>
                <c:pt idx="2">
                  <c:v>43714</c:v>
                </c:pt>
                <c:pt idx="3">
                  <c:v>43738</c:v>
                </c:pt>
                <c:pt idx="4">
                  <c:v>43754</c:v>
                </c:pt>
                <c:pt idx="5">
                  <c:v>43772</c:v>
                </c:pt>
                <c:pt idx="6">
                  <c:v>43788</c:v>
                </c:pt>
                <c:pt idx="7">
                  <c:v>43802</c:v>
                </c:pt>
                <c:pt idx="8">
                  <c:v>43838</c:v>
                </c:pt>
                <c:pt idx="9">
                  <c:v>43858</c:v>
                </c:pt>
                <c:pt idx="10">
                  <c:v>43865</c:v>
                </c:pt>
                <c:pt idx="11">
                  <c:v>43875</c:v>
                </c:pt>
                <c:pt idx="12">
                  <c:v>43882</c:v>
                </c:pt>
                <c:pt idx="13">
                  <c:v>43900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'0204'!$C$11:$C$25</c15:sqref>
                  </c15:fullRef>
                </c:ext>
              </c:extLst>
              <c:f>'0204'!$C$12:$C$25</c:f>
              <c:numCache>
                <c:formatCode>0.00</c:formatCode>
                <c:ptCount val="14"/>
                <c:pt idx="4">
                  <c:v>2.75</c:v>
                </c:pt>
                <c:pt idx="5">
                  <c:v>2.7</c:v>
                </c:pt>
                <c:pt idx="6">
                  <c:v>2.59</c:v>
                </c:pt>
                <c:pt idx="7">
                  <c:v>2.65</c:v>
                </c:pt>
                <c:pt idx="8">
                  <c:v>2.86</c:v>
                </c:pt>
                <c:pt idx="9">
                  <c:v>2.83</c:v>
                </c:pt>
                <c:pt idx="10">
                  <c:v>3.07</c:v>
                </c:pt>
                <c:pt idx="11">
                  <c:v>2.67</c:v>
                </c:pt>
                <c:pt idx="12">
                  <c:v>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19-4BE1-BCDC-E4E33E33397A}"/>
            </c:ext>
          </c:extLst>
        </c:ser>
        <c:ser>
          <c:idx val="2"/>
          <c:order val="2"/>
          <c:tx>
            <c:strRef>
              <c:f>'0204'!$D$2</c:f>
              <c:strCache>
                <c:ptCount val="1"/>
                <c:pt idx="0">
                  <c:v>GPM Tracking 19Q4*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'0204'!$A$11:$A$25</c15:sqref>
                  </c15:fullRef>
                </c:ext>
              </c:extLst>
              <c:f>'0204'!$A$12:$A$25</c:f>
              <c:numCache>
                <c:formatCode>m/d/yyyy</c:formatCode>
                <c:ptCount val="14"/>
                <c:pt idx="0">
                  <c:v>43691</c:v>
                </c:pt>
                <c:pt idx="1">
                  <c:v>43707</c:v>
                </c:pt>
                <c:pt idx="2">
                  <c:v>43714</c:v>
                </c:pt>
                <c:pt idx="3">
                  <c:v>43738</c:v>
                </c:pt>
                <c:pt idx="4">
                  <c:v>43754</c:v>
                </c:pt>
                <c:pt idx="5">
                  <c:v>43772</c:v>
                </c:pt>
                <c:pt idx="6">
                  <c:v>43788</c:v>
                </c:pt>
                <c:pt idx="7">
                  <c:v>43802</c:v>
                </c:pt>
                <c:pt idx="8">
                  <c:v>43838</c:v>
                </c:pt>
                <c:pt idx="9">
                  <c:v>43858</c:v>
                </c:pt>
                <c:pt idx="10">
                  <c:v>43865</c:v>
                </c:pt>
                <c:pt idx="11">
                  <c:v>43875</c:v>
                </c:pt>
                <c:pt idx="12">
                  <c:v>43882</c:v>
                </c:pt>
                <c:pt idx="13">
                  <c:v>43900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'0204'!$D$11:$D$25</c15:sqref>
                  </c15:fullRef>
                </c:ext>
              </c:extLst>
              <c:f>'0204'!$D$12:$D$25</c:f>
              <c:numCache>
                <c:formatCode>0.00</c:formatCode>
                <c:ptCount val="14"/>
                <c:pt idx="12" formatCode="General">
                  <c:v>2.6</c:v>
                </c:pt>
                <c:pt idx="13" formatCode="General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19-4BE1-BCDC-E4E33E33397A}"/>
            </c:ext>
          </c:extLst>
        </c:ser>
        <c:ser>
          <c:idx val="3"/>
          <c:order val="3"/>
          <c:tx>
            <c:strRef>
              <c:f>'0204'!$E$2</c:f>
              <c:strCache>
                <c:ptCount val="1"/>
                <c:pt idx="0">
                  <c:v>GPM Tracking 20Q1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'0204'!$A$11:$A$25</c15:sqref>
                  </c15:fullRef>
                </c:ext>
              </c:extLst>
              <c:f>'0204'!$A$12:$A$25</c:f>
              <c:numCache>
                <c:formatCode>m/d/yyyy</c:formatCode>
                <c:ptCount val="14"/>
                <c:pt idx="0">
                  <c:v>43691</c:v>
                </c:pt>
                <c:pt idx="1">
                  <c:v>43707</c:v>
                </c:pt>
                <c:pt idx="2">
                  <c:v>43714</c:v>
                </c:pt>
                <c:pt idx="3">
                  <c:v>43738</c:v>
                </c:pt>
                <c:pt idx="4">
                  <c:v>43754</c:v>
                </c:pt>
                <c:pt idx="5">
                  <c:v>43772</c:v>
                </c:pt>
                <c:pt idx="6">
                  <c:v>43788</c:v>
                </c:pt>
                <c:pt idx="7">
                  <c:v>43802</c:v>
                </c:pt>
                <c:pt idx="8">
                  <c:v>43838</c:v>
                </c:pt>
                <c:pt idx="9">
                  <c:v>43858</c:v>
                </c:pt>
                <c:pt idx="10">
                  <c:v>43865</c:v>
                </c:pt>
                <c:pt idx="11">
                  <c:v>43875</c:v>
                </c:pt>
                <c:pt idx="12">
                  <c:v>43882</c:v>
                </c:pt>
                <c:pt idx="13">
                  <c:v>43900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'0204'!$E$11:$E$25</c15:sqref>
                  </c15:fullRef>
                </c:ext>
              </c:extLst>
              <c:f>'0204'!$E$12:$E$25</c:f>
              <c:numCache>
                <c:formatCode>0.00</c:formatCode>
                <c:ptCount val="14"/>
                <c:pt idx="12" formatCode="General">
                  <c:v>2</c:v>
                </c:pt>
                <c:pt idx="13" formatCode="General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19-4BE1-BCDC-E4E33E333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  <c:max val="4"/>
          <c:min val="1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1566054243218E-2"/>
          <c:y val="3.3896786792434423E-4"/>
          <c:w val="0.92158486439195098"/>
          <c:h val="0.12734762321376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09405074365709E-2"/>
          <c:y val="2.7152960046660835E-2"/>
          <c:w val="0.89215726159230091"/>
          <c:h val="0.94010682456700534"/>
        </c:manualLayout>
      </c:layout>
      <c:barChart>
        <c:barDir val="col"/>
        <c:grouping val="stacked"/>
        <c:varyColors val="0"/>
        <c:ser>
          <c:idx val="4"/>
          <c:order val="0"/>
          <c:tx>
            <c:strRef>
              <c:f>'0204'!$F$2</c:f>
              <c:strCache>
                <c:ptCount val="1"/>
                <c:pt idx="0">
                  <c:v>19Q4 Revisions due to New Data Releases</c:v>
                </c:pt>
              </c:strCache>
            </c:strRef>
          </c:tx>
          <c:spPr>
            <a:solidFill>
              <a:srgbClr val="FF0000"/>
            </a:solidFill>
            <a:ln w="69850"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'0204'!$A$11:$A$22</c15:sqref>
                  </c15:fullRef>
                </c:ext>
              </c:extLst>
              <c:f>'0204'!$A$12:$A$22</c:f>
              <c:numCache>
                <c:formatCode>m/d/yyyy</c:formatCode>
                <c:ptCount val="11"/>
                <c:pt idx="0">
                  <c:v>43691</c:v>
                </c:pt>
                <c:pt idx="1">
                  <c:v>43707</c:v>
                </c:pt>
                <c:pt idx="2">
                  <c:v>43714</c:v>
                </c:pt>
                <c:pt idx="3">
                  <c:v>43738</c:v>
                </c:pt>
                <c:pt idx="4">
                  <c:v>43754</c:v>
                </c:pt>
                <c:pt idx="5">
                  <c:v>43772</c:v>
                </c:pt>
                <c:pt idx="6">
                  <c:v>43788</c:v>
                </c:pt>
                <c:pt idx="7">
                  <c:v>43802</c:v>
                </c:pt>
                <c:pt idx="8">
                  <c:v>43838</c:v>
                </c:pt>
                <c:pt idx="9">
                  <c:v>43858</c:v>
                </c:pt>
                <c:pt idx="10">
                  <c:v>43865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'0204'!$F$11:$F$22</c15:sqref>
                  </c15:fullRef>
                </c:ext>
              </c:extLst>
              <c:f>'0204'!$F$12:$F$22</c:f>
              <c:numCache>
                <c:formatCode>0.00</c:formatCode>
                <c:ptCount val="11"/>
                <c:pt idx="0">
                  <c:v>0.04</c:v>
                </c:pt>
                <c:pt idx="1">
                  <c:v>0</c:v>
                </c:pt>
                <c:pt idx="2">
                  <c:v>-0.21</c:v>
                </c:pt>
                <c:pt idx="3">
                  <c:v>-0.18</c:v>
                </c:pt>
                <c:pt idx="4">
                  <c:v>7.0000000000000007E-2</c:v>
                </c:pt>
                <c:pt idx="5">
                  <c:v>-0.37</c:v>
                </c:pt>
                <c:pt idx="6">
                  <c:v>-0.03</c:v>
                </c:pt>
                <c:pt idx="7">
                  <c:v>0.28999999999999998</c:v>
                </c:pt>
                <c:pt idx="8">
                  <c:v>0.23</c:v>
                </c:pt>
                <c:pt idx="9">
                  <c:v>-0.1</c:v>
                </c:pt>
                <c:pt idx="10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1-4A4A-B867-364946994A23}"/>
            </c:ext>
          </c:extLst>
        </c:ser>
        <c:ser>
          <c:idx val="5"/>
          <c:order val="1"/>
          <c:tx>
            <c:strRef>
              <c:f>'0204'!$G$2</c:f>
              <c:strCache>
                <c:ptCount val="1"/>
                <c:pt idx="0">
                  <c:v>19Q4 Revisions due to Historical Data Revisions</c:v>
                </c:pt>
              </c:strCache>
            </c:strRef>
          </c:tx>
          <c:spPr>
            <a:solidFill>
              <a:srgbClr val="0070C0"/>
            </a:solidFill>
            <a:ln w="69850"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'0204'!$A$11:$A$22</c15:sqref>
                  </c15:fullRef>
                </c:ext>
              </c:extLst>
              <c:f>'0204'!$A$12:$A$22</c:f>
              <c:numCache>
                <c:formatCode>m/d/yyyy</c:formatCode>
                <c:ptCount val="11"/>
                <c:pt idx="0">
                  <c:v>43691</c:v>
                </c:pt>
                <c:pt idx="1">
                  <c:v>43707</c:v>
                </c:pt>
                <c:pt idx="2">
                  <c:v>43714</c:v>
                </c:pt>
                <c:pt idx="3">
                  <c:v>43738</c:v>
                </c:pt>
                <c:pt idx="4">
                  <c:v>43754</c:v>
                </c:pt>
                <c:pt idx="5">
                  <c:v>43772</c:v>
                </c:pt>
                <c:pt idx="6">
                  <c:v>43788</c:v>
                </c:pt>
                <c:pt idx="7">
                  <c:v>43802</c:v>
                </c:pt>
                <c:pt idx="8">
                  <c:v>43838</c:v>
                </c:pt>
                <c:pt idx="9">
                  <c:v>43858</c:v>
                </c:pt>
                <c:pt idx="10">
                  <c:v>43865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'0204'!$G$11:$G$22</c15:sqref>
                  </c15:fullRef>
                </c:ext>
              </c:extLst>
              <c:f>'0204'!$G$12:$G$22</c:f>
              <c:numCache>
                <c:formatCode>0.00</c:formatCode>
                <c:ptCount val="11"/>
                <c:pt idx="0">
                  <c:v>9.9999999999998215E-3</c:v>
                </c:pt>
                <c:pt idx="1">
                  <c:v>-9.9999999999997868E-3</c:v>
                </c:pt>
                <c:pt idx="2">
                  <c:v>-1.0000000000000203E-2</c:v>
                </c:pt>
                <c:pt idx="3">
                  <c:v>0</c:v>
                </c:pt>
                <c:pt idx="4">
                  <c:v>-2.9999999999999971E-2</c:v>
                </c:pt>
                <c:pt idx="5">
                  <c:v>-3.9999999999999702E-2</c:v>
                </c:pt>
                <c:pt idx="6">
                  <c:v>-3.0000000000000054E-2</c:v>
                </c:pt>
                <c:pt idx="7">
                  <c:v>9.9999999999998423E-3</c:v>
                </c:pt>
                <c:pt idx="8">
                  <c:v>0.10999999999999985</c:v>
                </c:pt>
                <c:pt idx="9">
                  <c:v>3.6082248300317588E-16</c:v>
                </c:pt>
                <c:pt idx="10">
                  <c:v>-1.3877787807814457E-16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1-4A4A-B867-364946994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88531104"/>
        <c:axId val="374110111"/>
      </c:bar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1566054243218E-2"/>
          <c:y val="3.3896786792434423E-4"/>
          <c:w val="0.62535411198600177"/>
          <c:h val="0.156573754107002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09405074365709E-2"/>
          <c:y val="2.7152960046660835E-2"/>
          <c:w val="0.89215726159230091"/>
          <c:h val="0.94010682456700534"/>
        </c:manualLayout>
      </c:layout>
      <c:barChart>
        <c:barDir val="col"/>
        <c:grouping val="stacked"/>
        <c:varyColors val="0"/>
        <c:ser>
          <c:idx val="4"/>
          <c:order val="0"/>
          <c:tx>
            <c:strRef>
              <c:f>'0204'!$H$2</c:f>
              <c:strCache>
                <c:ptCount val="1"/>
                <c:pt idx="0">
                  <c:v>20Q1 Revisions due to New Data Releases</c:v>
                </c:pt>
              </c:strCache>
            </c:strRef>
          </c:tx>
          <c:spPr>
            <a:solidFill>
              <a:srgbClr val="FF0000"/>
            </a:solidFill>
            <a:ln w="69850"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'0204'!$A$11:$A$22</c15:sqref>
                  </c15:fullRef>
                </c:ext>
              </c:extLst>
              <c:f>'0204'!$A$12:$A$22</c:f>
              <c:numCache>
                <c:formatCode>m/d/yyyy</c:formatCode>
                <c:ptCount val="11"/>
                <c:pt idx="0">
                  <c:v>43691</c:v>
                </c:pt>
                <c:pt idx="1">
                  <c:v>43707</c:v>
                </c:pt>
                <c:pt idx="2">
                  <c:v>43714</c:v>
                </c:pt>
                <c:pt idx="3">
                  <c:v>43738</c:v>
                </c:pt>
                <c:pt idx="4">
                  <c:v>43754</c:v>
                </c:pt>
                <c:pt idx="5">
                  <c:v>43772</c:v>
                </c:pt>
                <c:pt idx="6">
                  <c:v>43788</c:v>
                </c:pt>
                <c:pt idx="7">
                  <c:v>43802</c:v>
                </c:pt>
                <c:pt idx="8">
                  <c:v>43838</c:v>
                </c:pt>
                <c:pt idx="9">
                  <c:v>43858</c:v>
                </c:pt>
                <c:pt idx="10">
                  <c:v>43865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'0204'!$H$11:$H$22</c15:sqref>
                  </c15:fullRef>
                </c:ext>
              </c:extLst>
              <c:f>'0204'!$H$12:$H$22</c:f>
              <c:numCache>
                <c:formatCode>0.00</c:formatCode>
                <c:ptCount val="11"/>
                <c:pt idx="5">
                  <c:v>-0.03</c:v>
                </c:pt>
                <c:pt idx="6">
                  <c:v>-0.04</c:v>
                </c:pt>
                <c:pt idx="7">
                  <c:v>0.06</c:v>
                </c:pt>
                <c:pt idx="8">
                  <c:v>0.2</c:v>
                </c:pt>
                <c:pt idx="9">
                  <c:v>-0.01</c:v>
                </c:pt>
                <c:pt idx="10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F-4809-96CD-5E3CFA1CBDE2}"/>
            </c:ext>
          </c:extLst>
        </c:ser>
        <c:ser>
          <c:idx val="5"/>
          <c:order val="1"/>
          <c:tx>
            <c:strRef>
              <c:f>'0204'!$I$2</c:f>
              <c:strCache>
                <c:ptCount val="1"/>
                <c:pt idx="0">
                  <c:v>20Q1 Revisions due to Historical Data Revisions</c:v>
                </c:pt>
              </c:strCache>
            </c:strRef>
          </c:tx>
          <c:spPr>
            <a:solidFill>
              <a:srgbClr val="0070C0"/>
            </a:solidFill>
            <a:ln w="69850"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'0204'!$A$11:$A$22</c15:sqref>
                  </c15:fullRef>
                </c:ext>
              </c:extLst>
              <c:f>'0204'!$A$12:$A$22</c:f>
              <c:numCache>
                <c:formatCode>m/d/yyyy</c:formatCode>
                <c:ptCount val="11"/>
                <c:pt idx="0">
                  <c:v>43691</c:v>
                </c:pt>
                <c:pt idx="1">
                  <c:v>43707</c:v>
                </c:pt>
                <c:pt idx="2">
                  <c:v>43714</c:v>
                </c:pt>
                <c:pt idx="3">
                  <c:v>43738</c:v>
                </c:pt>
                <c:pt idx="4">
                  <c:v>43754</c:v>
                </c:pt>
                <c:pt idx="5">
                  <c:v>43772</c:v>
                </c:pt>
                <c:pt idx="6">
                  <c:v>43788</c:v>
                </c:pt>
                <c:pt idx="7">
                  <c:v>43802</c:v>
                </c:pt>
                <c:pt idx="8">
                  <c:v>43838</c:v>
                </c:pt>
                <c:pt idx="9">
                  <c:v>43858</c:v>
                </c:pt>
                <c:pt idx="10">
                  <c:v>43865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'0204'!$I$11:$I$22</c15:sqref>
                  </c15:fullRef>
                </c:ext>
              </c:extLst>
              <c:f>'0204'!$I$12:$I$22</c:f>
              <c:numCache>
                <c:formatCode>0.00</c:formatCode>
                <c:ptCount val="11"/>
                <c:pt idx="5">
                  <c:v>-1.9999999999999823E-2</c:v>
                </c:pt>
                <c:pt idx="6">
                  <c:v>-7.0000000000000312E-2</c:v>
                </c:pt>
                <c:pt idx="7">
                  <c:v>5.5511151231257827E-17</c:v>
                </c:pt>
                <c:pt idx="8">
                  <c:v>9.9999999999999534E-3</c:v>
                </c:pt>
                <c:pt idx="9">
                  <c:v>-1.9999999999999803E-2</c:v>
                </c:pt>
                <c:pt idx="10">
                  <c:v>-2.2204460492503131E-16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2F-4809-96CD-5E3CFA1CB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88531104"/>
        <c:axId val="374110111"/>
      </c:bar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1566054243218E-2"/>
          <c:y val="3.3896786792434423E-4"/>
          <c:w val="0.82535411198600173"/>
          <c:h val="0.156573754107002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09405074365709E-2"/>
          <c:y val="2.7152960046660835E-2"/>
          <c:w val="0.89215726159230091"/>
          <c:h val="0.85372521143190438"/>
        </c:manualLayout>
      </c:layout>
      <c:lineChart>
        <c:grouping val="standard"/>
        <c:varyColors val="0"/>
        <c:ser>
          <c:idx val="0"/>
          <c:order val="0"/>
          <c:tx>
            <c:strRef>
              <c:f>'0204'!$B$2</c:f>
              <c:strCache>
                <c:ptCount val="1"/>
                <c:pt idx="0">
                  <c:v>2019Q4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'0204'!$A$11:$A$25</c15:sqref>
                  </c15:fullRef>
                </c:ext>
              </c:extLst>
              <c:f>'0204'!$A$12:$A$25</c:f>
              <c:numCache>
                <c:formatCode>m/d/yyyy</c:formatCode>
                <c:ptCount val="14"/>
                <c:pt idx="0">
                  <c:v>43691</c:v>
                </c:pt>
                <c:pt idx="1">
                  <c:v>43707</c:v>
                </c:pt>
                <c:pt idx="2">
                  <c:v>43714</c:v>
                </c:pt>
                <c:pt idx="3">
                  <c:v>43738</c:v>
                </c:pt>
                <c:pt idx="4">
                  <c:v>43754</c:v>
                </c:pt>
                <c:pt idx="5">
                  <c:v>43772</c:v>
                </c:pt>
                <c:pt idx="6">
                  <c:v>43788</c:v>
                </c:pt>
                <c:pt idx="7">
                  <c:v>43802</c:v>
                </c:pt>
                <c:pt idx="8">
                  <c:v>43838</c:v>
                </c:pt>
                <c:pt idx="9">
                  <c:v>43858</c:v>
                </c:pt>
                <c:pt idx="10">
                  <c:v>43865</c:v>
                </c:pt>
                <c:pt idx="11">
                  <c:v>43875</c:v>
                </c:pt>
                <c:pt idx="12">
                  <c:v>43882</c:v>
                </c:pt>
                <c:pt idx="13">
                  <c:v>43900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'0204'!$B$11:$B$25</c15:sqref>
                  </c15:fullRef>
                </c:ext>
              </c:extLst>
              <c:f>'0204'!$B$12:$B$25</c:f>
              <c:numCache>
                <c:formatCode>0.00</c:formatCode>
                <c:ptCount val="14"/>
                <c:pt idx="0">
                  <c:v>2.98</c:v>
                </c:pt>
                <c:pt idx="1">
                  <c:v>2.97</c:v>
                </c:pt>
                <c:pt idx="2">
                  <c:v>2.75</c:v>
                </c:pt>
                <c:pt idx="3">
                  <c:v>2.57</c:v>
                </c:pt>
                <c:pt idx="4">
                  <c:v>2.61</c:v>
                </c:pt>
                <c:pt idx="5">
                  <c:v>2.2000000000000002</c:v>
                </c:pt>
                <c:pt idx="6">
                  <c:v>2.14</c:v>
                </c:pt>
                <c:pt idx="7">
                  <c:v>2.44</c:v>
                </c:pt>
                <c:pt idx="8">
                  <c:v>2.78</c:v>
                </c:pt>
                <c:pt idx="9">
                  <c:v>2.68</c:v>
                </c:pt>
                <c:pt idx="10">
                  <c:v>2.77</c:v>
                </c:pt>
                <c:pt idx="11">
                  <c:v>2.84</c:v>
                </c:pt>
                <c:pt idx="12">
                  <c:v>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6-422A-8E86-56AAA873AF9F}"/>
            </c:ext>
          </c:extLst>
        </c:ser>
        <c:ser>
          <c:idx val="1"/>
          <c:order val="1"/>
          <c:tx>
            <c:strRef>
              <c:f>'0204'!$C$2</c:f>
              <c:strCache>
                <c:ptCount val="1"/>
                <c:pt idx="0">
                  <c:v>2020Q1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'0204'!$A$11:$A$25</c15:sqref>
                  </c15:fullRef>
                </c:ext>
              </c:extLst>
              <c:f>'0204'!$A$12:$A$25</c:f>
              <c:numCache>
                <c:formatCode>m/d/yyyy</c:formatCode>
                <c:ptCount val="14"/>
                <c:pt idx="0">
                  <c:v>43691</c:v>
                </c:pt>
                <c:pt idx="1">
                  <c:v>43707</c:v>
                </c:pt>
                <c:pt idx="2">
                  <c:v>43714</c:v>
                </c:pt>
                <c:pt idx="3">
                  <c:v>43738</c:v>
                </c:pt>
                <c:pt idx="4">
                  <c:v>43754</c:v>
                </c:pt>
                <c:pt idx="5">
                  <c:v>43772</c:v>
                </c:pt>
                <c:pt idx="6">
                  <c:v>43788</c:v>
                </c:pt>
                <c:pt idx="7">
                  <c:v>43802</c:v>
                </c:pt>
                <c:pt idx="8">
                  <c:v>43838</c:v>
                </c:pt>
                <c:pt idx="9">
                  <c:v>43858</c:v>
                </c:pt>
                <c:pt idx="10">
                  <c:v>43865</c:v>
                </c:pt>
                <c:pt idx="11">
                  <c:v>43875</c:v>
                </c:pt>
                <c:pt idx="12">
                  <c:v>43882</c:v>
                </c:pt>
                <c:pt idx="13">
                  <c:v>43900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'0204'!$C$11:$C$25</c15:sqref>
                  </c15:fullRef>
                </c:ext>
              </c:extLst>
              <c:f>'0204'!$C$12:$C$25</c:f>
              <c:numCache>
                <c:formatCode>0.00</c:formatCode>
                <c:ptCount val="14"/>
                <c:pt idx="4">
                  <c:v>2.75</c:v>
                </c:pt>
                <c:pt idx="5">
                  <c:v>2.7</c:v>
                </c:pt>
                <c:pt idx="6">
                  <c:v>2.59</c:v>
                </c:pt>
                <c:pt idx="7">
                  <c:v>2.65</c:v>
                </c:pt>
                <c:pt idx="8">
                  <c:v>2.86</c:v>
                </c:pt>
                <c:pt idx="9">
                  <c:v>2.83</c:v>
                </c:pt>
                <c:pt idx="10">
                  <c:v>3.07</c:v>
                </c:pt>
                <c:pt idx="11">
                  <c:v>2.67</c:v>
                </c:pt>
                <c:pt idx="12">
                  <c:v>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96-422A-8E86-56AAA873A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  <c:min val="1.8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1566054243218E-2"/>
          <c:y val="3.3896786792434423E-4"/>
          <c:w val="0.92158486439195098"/>
          <c:h val="0.12734762321376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09405074365709E-2"/>
          <c:y val="5.2141120278718783E-2"/>
          <c:w val="0.89215726159230091"/>
          <c:h val="0.82973025568745384"/>
        </c:manualLayout>
      </c:layout>
      <c:lineChart>
        <c:grouping val="standard"/>
        <c:varyColors val="0"/>
        <c:ser>
          <c:idx val="0"/>
          <c:order val="0"/>
          <c:tx>
            <c:strRef>
              <c:f>'0310'!$B$2</c:f>
              <c:strCache>
                <c:ptCount val="1"/>
                <c:pt idx="0">
                  <c:v>2019Q4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'0310'!$A$14:$A$25</c:f>
              <c:numCache>
                <c:formatCode>m/d/yyyy</c:formatCode>
                <c:ptCount val="12"/>
                <c:pt idx="0">
                  <c:v>43714</c:v>
                </c:pt>
                <c:pt idx="1">
                  <c:v>43738</c:v>
                </c:pt>
                <c:pt idx="2">
                  <c:v>43754</c:v>
                </c:pt>
                <c:pt idx="3">
                  <c:v>43772</c:v>
                </c:pt>
                <c:pt idx="4">
                  <c:v>43788</c:v>
                </c:pt>
                <c:pt idx="5">
                  <c:v>43802</c:v>
                </c:pt>
                <c:pt idx="6">
                  <c:v>43838</c:v>
                </c:pt>
                <c:pt idx="7">
                  <c:v>43858</c:v>
                </c:pt>
                <c:pt idx="8">
                  <c:v>43865</c:v>
                </c:pt>
                <c:pt idx="9">
                  <c:v>43875</c:v>
                </c:pt>
                <c:pt idx="10">
                  <c:v>43882</c:v>
                </c:pt>
                <c:pt idx="11">
                  <c:v>43900</c:v>
                </c:pt>
              </c:numCache>
            </c:numRef>
          </c:cat>
          <c:val>
            <c:numRef>
              <c:f>'0310'!$B$14:$B$25</c:f>
              <c:numCache>
                <c:formatCode>0.00</c:formatCode>
                <c:ptCount val="12"/>
                <c:pt idx="0">
                  <c:v>2.75</c:v>
                </c:pt>
                <c:pt idx="1">
                  <c:v>2.58</c:v>
                </c:pt>
                <c:pt idx="2">
                  <c:v>2.62</c:v>
                </c:pt>
                <c:pt idx="3">
                  <c:v>2.2200000000000002</c:v>
                </c:pt>
                <c:pt idx="4">
                  <c:v>2.16</c:v>
                </c:pt>
                <c:pt idx="5">
                  <c:v>2.46</c:v>
                </c:pt>
                <c:pt idx="6">
                  <c:v>2.78</c:v>
                </c:pt>
                <c:pt idx="7">
                  <c:v>2.68</c:v>
                </c:pt>
                <c:pt idx="8">
                  <c:v>2.77</c:v>
                </c:pt>
                <c:pt idx="9">
                  <c:v>2.84</c:v>
                </c:pt>
                <c:pt idx="10">
                  <c:v>2.87</c:v>
                </c:pt>
                <c:pt idx="11">
                  <c:v>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22-4517-9BAC-E1DB581705F3}"/>
            </c:ext>
          </c:extLst>
        </c:ser>
        <c:ser>
          <c:idx val="1"/>
          <c:order val="1"/>
          <c:tx>
            <c:strRef>
              <c:f>'0310'!$C$2</c:f>
              <c:strCache>
                <c:ptCount val="1"/>
                <c:pt idx="0">
                  <c:v>2020Q1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'0310'!$A$14:$A$25</c:f>
              <c:numCache>
                <c:formatCode>m/d/yyyy</c:formatCode>
                <c:ptCount val="12"/>
                <c:pt idx="0">
                  <c:v>43714</c:v>
                </c:pt>
                <c:pt idx="1">
                  <c:v>43738</c:v>
                </c:pt>
                <c:pt idx="2">
                  <c:v>43754</c:v>
                </c:pt>
                <c:pt idx="3">
                  <c:v>43772</c:v>
                </c:pt>
                <c:pt idx="4">
                  <c:v>43788</c:v>
                </c:pt>
                <c:pt idx="5">
                  <c:v>43802</c:v>
                </c:pt>
                <c:pt idx="6">
                  <c:v>43838</c:v>
                </c:pt>
                <c:pt idx="7">
                  <c:v>43858</c:v>
                </c:pt>
                <c:pt idx="8">
                  <c:v>43865</c:v>
                </c:pt>
                <c:pt idx="9">
                  <c:v>43875</c:v>
                </c:pt>
                <c:pt idx="10">
                  <c:v>43882</c:v>
                </c:pt>
                <c:pt idx="11">
                  <c:v>43900</c:v>
                </c:pt>
              </c:numCache>
            </c:numRef>
          </c:cat>
          <c:val>
            <c:numRef>
              <c:f>'0310'!$C$14:$C$25</c:f>
              <c:numCache>
                <c:formatCode>0.00</c:formatCode>
                <c:ptCount val="12"/>
                <c:pt idx="2">
                  <c:v>2.76</c:v>
                </c:pt>
                <c:pt idx="3">
                  <c:v>2.71</c:v>
                </c:pt>
                <c:pt idx="4">
                  <c:v>2.6</c:v>
                </c:pt>
                <c:pt idx="5">
                  <c:v>2.67</c:v>
                </c:pt>
                <c:pt idx="6">
                  <c:v>2.88</c:v>
                </c:pt>
                <c:pt idx="7">
                  <c:v>2.85</c:v>
                </c:pt>
                <c:pt idx="8">
                  <c:v>3.08</c:v>
                </c:pt>
                <c:pt idx="9">
                  <c:v>2.68</c:v>
                </c:pt>
                <c:pt idx="10">
                  <c:v>2.5</c:v>
                </c:pt>
                <c:pt idx="11">
                  <c:v>2.5299999999999998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22-4517-9BAC-E1DB581705F3}"/>
            </c:ext>
          </c:extLst>
        </c:ser>
        <c:ser>
          <c:idx val="2"/>
          <c:order val="2"/>
          <c:tx>
            <c:strRef>
              <c:f>'0310'!$D$2</c:f>
              <c:strCache>
                <c:ptCount val="1"/>
                <c:pt idx="0">
                  <c:v>GPM Tracking 19Q4*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'0310'!$A$14:$A$25</c:f>
              <c:numCache>
                <c:formatCode>m/d/yyyy</c:formatCode>
                <c:ptCount val="12"/>
                <c:pt idx="0">
                  <c:v>43714</c:v>
                </c:pt>
                <c:pt idx="1">
                  <c:v>43738</c:v>
                </c:pt>
                <c:pt idx="2">
                  <c:v>43754</c:v>
                </c:pt>
                <c:pt idx="3">
                  <c:v>43772</c:v>
                </c:pt>
                <c:pt idx="4">
                  <c:v>43788</c:v>
                </c:pt>
                <c:pt idx="5">
                  <c:v>43802</c:v>
                </c:pt>
                <c:pt idx="6">
                  <c:v>43838</c:v>
                </c:pt>
                <c:pt idx="7">
                  <c:v>43858</c:v>
                </c:pt>
                <c:pt idx="8">
                  <c:v>43865</c:v>
                </c:pt>
                <c:pt idx="9">
                  <c:v>43875</c:v>
                </c:pt>
                <c:pt idx="10">
                  <c:v>43882</c:v>
                </c:pt>
                <c:pt idx="11">
                  <c:v>43900</c:v>
                </c:pt>
              </c:numCache>
            </c:numRef>
          </c:cat>
          <c:val>
            <c:numRef>
              <c:f>'0310'!$D$14:$D$25</c:f>
              <c:numCache>
                <c:formatCode>0.00</c:formatCode>
                <c:ptCount val="12"/>
                <c:pt idx="11" formatCode="General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22-4517-9BAC-E1DB581705F3}"/>
            </c:ext>
          </c:extLst>
        </c:ser>
        <c:ser>
          <c:idx val="3"/>
          <c:order val="3"/>
          <c:tx>
            <c:strRef>
              <c:f>'0310'!$E$2</c:f>
              <c:strCache>
                <c:ptCount val="1"/>
                <c:pt idx="0">
                  <c:v>GPM Tracking 20Q1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'0310'!$A$14:$A$25</c:f>
              <c:numCache>
                <c:formatCode>m/d/yyyy</c:formatCode>
                <c:ptCount val="12"/>
                <c:pt idx="0">
                  <c:v>43714</c:v>
                </c:pt>
                <c:pt idx="1">
                  <c:v>43738</c:v>
                </c:pt>
                <c:pt idx="2">
                  <c:v>43754</c:v>
                </c:pt>
                <c:pt idx="3">
                  <c:v>43772</c:v>
                </c:pt>
                <c:pt idx="4">
                  <c:v>43788</c:v>
                </c:pt>
                <c:pt idx="5">
                  <c:v>43802</c:v>
                </c:pt>
                <c:pt idx="6">
                  <c:v>43838</c:v>
                </c:pt>
                <c:pt idx="7">
                  <c:v>43858</c:v>
                </c:pt>
                <c:pt idx="8">
                  <c:v>43865</c:v>
                </c:pt>
                <c:pt idx="9">
                  <c:v>43875</c:v>
                </c:pt>
                <c:pt idx="10">
                  <c:v>43882</c:v>
                </c:pt>
                <c:pt idx="11">
                  <c:v>43900</c:v>
                </c:pt>
              </c:numCache>
            </c:numRef>
          </c:cat>
          <c:val>
            <c:numRef>
              <c:f>'0310'!$E$14:$E$25</c:f>
              <c:numCache>
                <c:formatCode>0.00</c:formatCode>
                <c:ptCount val="12"/>
                <c:pt idx="11" formatCode="General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22-4517-9BAC-E1DB58170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  <c:max val="4"/>
          <c:min val="1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1566054243218E-2"/>
          <c:y val="3.3896786792434423E-4"/>
          <c:w val="0.92158486439195098"/>
          <c:h val="0.12734762321376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09405074365709E-2"/>
          <c:y val="2.7152960046660835E-2"/>
          <c:w val="0.89215726159230091"/>
          <c:h val="0.85372521143190438"/>
        </c:manualLayout>
      </c:layout>
      <c:lineChart>
        <c:grouping val="standard"/>
        <c:varyColors val="0"/>
        <c:ser>
          <c:idx val="0"/>
          <c:order val="0"/>
          <c:tx>
            <c:strRef>
              <c:f>'0310'!$B$2</c:f>
              <c:strCache>
                <c:ptCount val="1"/>
                <c:pt idx="0">
                  <c:v>2019Q4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'0310'!$A$11:$A$25</c15:sqref>
                  </c15:fullRef>
                </c:ext>
              </c:extLst>
              <c:f>'0310'!$A$12:$A$25</c:f>
              <c:numCache>
                <c:formatCode>m/d/yyyy</c:formatCode>
                <c:ptCount val="14"/>
                <c:pt idx="0">
                  <c:v>43691</c:v>
                </c:pt>
                <c:pt idx="1">
                  <c:v>43707</c:v>
                </c:pt>
                <c:pt idx="2">
                  <c:v>43714</c:v>
                </c:pt>
                <c:pt idx="3">
                  <c:v>43738</c:v>
                </c:pt>
                <c:pt idx="4">
                  <c:v>43754</c:v>
                </c:pt>
                <c:pt idx="5">
                  <c:v>43772</c:v>
                </c:pt>
                <c:pt idx="6">
                  <c:v>43788</c:v>
                </c:pt>
                <c:pt idx="7">
                  <c:v>43802</c:v>
                </c:pt>
                <c:pt idx="8">
                  <c:v>43838</c:v>
                </c:pt>
                <c:pt idx="9">
                  <c:v>43858</c:v>
                </c:pt>
                <c:pt idx="10">
                  <c:v>43865</c:v>
                </c:pt>
                <c:pt idx="11">
                  <c:v>43875</c:v>
                </c:pt>
                <c:pt idx="12">
                  <c:v>43882</c:v>
                </c:pt>
                <c:pt idx="13">
                  <c:v>43900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'0310'!$B$11:$B$25</c15:sqref>
                  </c15:fullRef>
                </c:ext>
              </c:extLst>
              <c:f>'0310'!$B$12:$B$25</c:f>
              <c:numCache>
                <c:formatCode>0.00</c:formatCode>
                <c:ptCount val="14"/>
                <c:pt idx="2">
                  <c:v>2.75</c:v>
                </c:pt>
                <c:pt idx="3">
                  <c:v>2.58</c:v>
                </c:pt>
                <c:pt idx="4">
                  <c:v>2.62</c:v>
                </c:pt>
                <c:pt idx="5">
                  <c:v>2.2200000000000002</c:v>
                </c:pt>
                <c:pt idx="6">
                  <c:v>2.16</c:v>
                </c:pt>
                <c:pt idx="7">
                  <c:v>2.46</c:v>
                </c:pt>
                <c:pt idx="8">
                  <c:v>2.78</c:v>
                </c:pt>
                <c:pt idx="9">
                  <c:v>2.68</c:v>
                </c:pt>
                <c:pt idx="10">
                  <c:v>2.77</c:v>
                </c:pt>
                <c:pt idx="11">
                  <c:v>2.84</c:v>
                </c:pt>
                <c:pt idx="12">
                  <c:v>2.87</c:v>
                </c:pt>
                <c:pt idx="13">
                  <c:v>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25-4539-B891-CFF1DE893EEB}"/>
            </c:ext>
          </c:extLst>
        </c:ser>
        <c:ser>
          <c:idx val="1"/>
          <c:order val="1"/>
          <c:tx>
            <c:strRef>
              <c:f>'0310'!$C$2</c:f>
              <c:strCache>
                <c:ptCount val="1"/>
                <c:pt idx="0">
                  <c:v>2020Q1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'0310'!$A$11:$A$25</c15:sqref>
                  </c15:fullRef>
                </c:ext>
              </c:extLst>
              <c:f>'0310'!$A$12:$A$25</c:f>
              <c:numCache>
                <c:formatCode>m/d/yyyy</c:formatCode>
                <c:ptCount val="14"/>
                <c:pt idx="0">
                  <c:v>43691</c:v>
                </c:pt>
                <c:pt idx="1">
                  <c:v>43707</c:v>
                </c:pt>
                <c:pt idx="2">
                  <c:v>43714</c:v>
                </c:pt>
                <c:pt idx="3">
                  <c:v>43738</c:v>
                </c:pt>
                <c:pt idx="4">
                  <c:v>43754</c:v>
                </c:pt>
                <c:pt idx="5">
                  <c:v>43772</c:v>
                </c:pt>
                <c:pt idx="6">
                  <c:v>43788</c:v>
                </c:pt>
                <c:pt idx="7">
                  <c:v>43802</c:v>
                </c:pt>
                <c:pt idx="8">
                  <c:v>43838</c:v>
                </c:pt>
                <c:pt idx="9">
                  <c:v>43858</c:v>
                </c:pt>
                <c:pt idx="10">
                  <c:v>43865</c:v>
                </c:pt>
                <c:pt idx="11">
                  <c:v>43875</c:v>
                </c:pt>
                <c:pt idx="12">
                  <c:v>43882</c:v>
                </c:pt>
                <c:pt idx="13">
                  <c:v>43900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'0310'!$C$11:$C$25</c15:sqref>
                  </c15:fullRef>
                </c:ext>
              </c:extLst>
              <c:f>'0310'!$C$12:$C$25</c:f>
              <c:numCache>
                <c:formatCode>0.00</c:formatCode>
                <c:ptCount val="14"/>
                <c:pt idx="4">
                  <c:v>2.76</c:v>
                </c:pt>
                <c:pt idx="5">
                  <c:v>2.71</c:v>
                </c:pt>
                <c:pt idx="6">
                  <c:v>2.6</c:v>
                </c:pt>
                <c:pt idx="7">
                  <c:v>2.67</c:v>
                </c:pt>
                <c:pt idx="8">
                  <c:v>2.88</c:v>
                </c:pt>
                <c:pt idx="9">
                  <c:v>2.85</c:v>
                </c:pt>
                <c:pt idx="10">
                  <c:v>3.08</c:v>
                </c:pt>
                <c:pt idx="11">
                  <c:v>2.68</c:v>
                </c:pt>
                <c:pt idx="12">
                  <c:v>2.5</c:v>
                </c:pt>
                <c:pt idx="13">
                  <c:v>2.5299999999999998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25-4539-B891-CFF1DE893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  <c:min val="1.8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1566054243218E-2"/>
          <c:y val="3.3896786792434423E-4"/>
          <c:w val="0.92158486439195098"/>
          <c:h val="0.12734762321376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09405074365709E-2"/>
          <c:y val="5.2141120278718783E-2"/>
          <c:w val="0.89215726159230091"/>
          <c:h val="0.82973025568745384"/>
        </c:manualLayout>
      </c:layout>
      <c:lineChart>
        <c:grouping val="standard"/>
        <c:varyColors val="0"/>
        <c:ser>
          <c:idx val="0"/>
          <c:order val="0"/>
          <c:tx>
            <c:strRef>
              <c:f>'0324'!$B$2</c:f>
              <c:strCache>
                <c:ptCount val="1"/>
                <c:pt idx="0">
                  <c:v>2019Q4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'0324'!$A$14:$A$26</c:f>
              <c:numCache>
                <c:formatCode>m/d/yyyy</c:formatCode>
                <c:ptCount val="13"/>
                <c:pt idx="0">
                  <c:v>43714</c:v>
                </c:pt>
                <c:pt idx="1">
                  <c:v>43738</c:v>
                </c:pt>
                <c:pt idx="2">
                  <c:v>43754</c:v>
                </c:pt>
                <c:pt idx="3">
                  <c:v>43772</c:v>
                </c:pt>
                <c:pt idx="4">
                  <c:v>43788</c:v>
                </c:pt>
                <c:pt idx="5">
                  <c:v>43802</c:v>
                </c:pt>
                <c:pt idx="6">
                  <c:v>43838</c:v>
                </c:pt>
                <c:pt idx="7">
                  <c:v>43858</c:v>
                </c:pt>
                <c:pt idx="8">
                  <c:v>43865</c:v>
                </c:pt>
                <c:pt idx="9">
                  <c:v>43875</c:v>
                </c:pt>
                <c:pt idx="10">
                  <c:v>43882</c:v>
                </c:pt>
                <c:pt idx="11">
                  <c:v>43900</c:v>
                </c:pt>
                <c:pt idx="12">
                  <c:v>43914</c:v>
                </c:pt>
              </c:numCache>
            </c:numRef>
          </c:cat>
          <c:val>
            <c:numRef>
              <c:f>'0324'!$B$14:$B$26</c:f>
              <c:numCache>
                <c:formatCode>0.00</c:formatCode>
                <c:ptCount val="13"/>
                <c:pt idx="0">
                  <c:v>2.75</c:v>
                </c:pt>
                <c:pt idx="1">
                  <c:v>2.58</c:v>
                </c:pt>
                <c:pt idx="2">
                  <c:v>2.62</c:v>
                </c:pt>
                <c:pt idx="3">
                  <c:v>2.2200000000000002</c:v>
                </c:pt>
                <c:pt idx="4">
                  <c:v>2.16</c:v>
                </c:pt>
                <c:pt idx="5">
                  <c:v>2.46</c:v>
                </c:pt>
                <c:pt idx="6">
                  <c:v>2.78</c:v>
                </c:pt>
                <c:pt idx="7">
                  <c:v>2.68</c:v>
                </c:pt>
                <c:pt idx="8">
                  <c:v>2.77</c:v>
                </c:pt>
                <c:pt idx="9">
                  <c:v>2.84</c:v>
                </c:pt>
                <c:pt idx="10">
                  <c:v>2.87</c:v>
                </c:pt>
                <c:pt idx="11">
                  <c:v>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F5-4DC7-87F0-6FF03215B52C}"/>
            </c:ext>
          </c:extLst>
        </c:ser>
        <c:ser>
          <c:idx val="1"/>
          <c:order val="1"/>
          <c:tx>
            <c:strRef>
              <c:f>'0324'!$C$2</c:f>
              <c:strCache>
                <c:ptCount val="1"/>
                <c:pt idx="0">
                  <c:v>2020Q1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'0324'!$A$14:$A$26</c:f>
              <c:numCache>
                <c:formatCode>m/d/yyyy</c:formatCode>
                <c:ptCount val="13"/>
                <c:pt idx="0">
                  <c:v>43714</c:v>
                </c:pt>
                <c:pt idx="1">
                  <c:v>43738</c:v>
                </c:pt>
                <c:pt idx="2">
                  <c:v>43754</c:v>
                </c:pt>
                <c:pt idx="3">
                  <c:v>43772</c:v>
                </c:pt>
                <c:pt idx="4">
                  <c:v>43788</c:v>
                </c:pt>
                <c:pt idx="5">
                  <c:v>43802</c:v>
                </c:pt>
                <c:pt idx="6">
                  <c:v>43838</c:v>
                </c:pt>
                <c:pt idx="7">
                  <c:v>43858</c:v>
                </c:pt>
                <c:pt idx="8">
                  <c:v>43865</c:v>
                </c:pt>
                <c:pt idx="9">
                  <c:v>43875</c:v>
                </c:pt>
                <c:pt idx="10">
                  <c:v>43882</c:v>
                </c:pt>
                <c:pt idx="11">
                  <c:v>43900</c:v>
                </c:pt>
                <c:pt idx="12">
                  <c:v>43914</c:v>
                </c:pt>
              </c:numCache>
            </c:numRef>
          </c:cat>
          <c:val>
            <c:numRef>
              <c:f>'0324'!$C$14:$C$26</c:f>
              <c:numCache>
                <c:formatCode>0.00</c:formatCode>
                <c:ptCount val="13"/>
                <c:pt idx="2">
                  <c:v>2.76</c:v>
                </c:pt>
                <c:pt idx="3">
                  <c:v>2.7</c:v>
                </c:pt>
                <c:pt idx="4">
                  <c:v>2.6</c:v>
                </c:pt>
                <c:pt idx="5">
                  <c:v>2.66</c:v>
                </c:pt>
                <c:pt idx="6">
                  <c:v>2.87</c:v>
                </c:pt>
                <c:pt idx="7">
                  <c:v>2.85</c:v>
                </c:pt>
                <c:pt idx="8">
                  <c:v>3.08</c:v>
                </c:pt>
                <c:pt idx="9">
                  <c:v>2.66</c:v>
                </c:pt>
                <c:pt idx="10">
                  <c:v>2.4500000000000002</c:v>
                </c:pt>
                <c:pt idx="11">
                  <c:v>2.54</c:v>
                </c:pt>
                <c:pt idx="12">
                  <c:v>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F5-4DC7-87F0-6FF03215B52C}"/>
            </c:ext>
          </c:extLst>
        </c:ser>
        <c:ser>
          <c:idx val="2"/>
          <c:order val="2"/>
          <c:tx>
            <c:strRef>
              <c:f>'0324'!$D$2</c:f>
              <c:strCache>
                <c:ptCount val="1"/>
                <c:pt idx="0">
                  <c:v>GPM Tracking 19Q4*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'0324'!$A$14:$A$26</c:f>
              <c:numCache>
                <c:formatCode>m/d/yyyy</c:formatCode>
                <c:ptCount val="13"/>
                <c:pt idx="0">
                  <c:v>43714</c:v>
                </c:pt>
                <c:pt idx="1">
                  <c:v>43738</c:v>
                </c:pt>
                <c:pt idx="2">
                  <c:v>43754</c:v>
                </c:pt>
                <c:pt idx="3">
                  <c:v>43772</c:v>
                </c:pt>
                <c:pt idx="4">
                  <c:v>43788</c:v>
                </c:pt>
                <c:pt idx="5">
                  <c:v>43802</c:v>
                </c:pt>
                <c:pt idx="6">
                  <c:v>43838</c:v>
                </c:pt>
                <c:pt idx="7">
                  <c:v>43858</c:v>
                </c:pt>
                <c:pt idx="8">
                  <c:v>43865</c:v>
                </c:pt>
                <c:pt idx="9">
                  <c:v>43875</c:v>
                </c:pt>
                <c:pt idx="10">
                  <c:v>43882</c:v>
                </c:pt>
                <c:pt idx="11">
                  <c:v>43900</c:v>
                </c:pt>
                <c:pt idx="12">
                  <c:v>43914</c:v>
                </c:pt>
              </c:numCache>
            </c:numRef>
          </c:cat>
          <c:val>
            <c:numRef>
              <c:f>'0324'!$D$14:$D$26</c:f>
              <c:numCache>
                <c:formatCode>0.00</c:formatCode>
                <c:ptCount val="13"/>
                <c:pt idx="11" formatCode="General">
                  <c:v>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F5-4DC7-87F0-6FF03215B52C}"/>
            </c:ext>
          </c:extLst>
        </c:ser>
        <c:ser>
          <c:idx val="3"/>
          <c:order val="3"/>
          <c:tx>
            <c:strRef>
              <c:f>'0324'!$E$2</c:f>
              <c:strCache>
                <c:ptCount val="1"/>
                <c:pt idx="0">
                  <c:v>GPM Tracking 20Q1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'0324'!$A$14:$A$26</c:f>
              <c:numCache>
                <c:formatCode>m/d/yyyy</c:formatCode>
                <c:ptCount val="13"/>
                <c:pt idx="0">
                  <c:v>43714</c:v>
                </c:pt>
                <c:pt idx="1">
                  <c:v>43738</c:v>
                </c:pt>
                <c:pt idx="2">
                  <c:v>43754</c:v>
                </c:pt>
                <c:pt idx="3">
                  <c:v>43772</c:v>
                </c:pt>
                <c:pt idx="4">
                  <c:v>43788</c:v>
                </c:pt>
                <c:pt idx="5">
                  <c:v>43802</c:v>
                </c:pt>
                <c:pt idx="6">
                  <c:v>43838</c:v>
                </c:pt>
                <c:pt idx="7">
                  <c:v>43858</c:v>
                </c:pt>
                <c:pt idx="8">
                  <c:v>43865</c:v>
                </c:pt>
                <c:pt idx="9">
                  <c:v>43875</c:v>
                </c:pt>
                <c:pt idx="10">
                  <c:v>43882</c:v>
                </c:pt>
                <c:pt idx="11">
                  <c:v>43900</c:v>
                </c:pt>
                <c:pt idx="12">
                  <c:v>43914</c:v>
                </c:pt>
              </c:numCache>
            </c:numRef>
          </c:cat>
          <c:val>
            <c:numRef>
              <c:f>'0324'!$E$14:$E$26</c:f>
              <c:numCache>
                <c:formatCode>0.00</c:formatCode>
                <c:ptCount val="13"/>
                <c:pt idx="11" formatCode="General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F5-4DC7-87F0-6FF03215B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  <c:max val="4"/>
          <c:min val="1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1566054243218E-2"/>
          <c:y val="3.3896786792434423E-4"/>
          <c:w val="0.92158486439195098"/>
          <c:h val="0.12734762321376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09405074365709E-2"/>
          <c:y val="2.7152960046660835E-2"/>
          <c:w val="0.89215726159230091"/>
          <c:h val="0.85372521143190438"/>
        </c:manualLayout>
      </c:layout>
      <c:lineChart>
        <c:grouping val="standard"/>
        <c:varyColors val="0"/>
        <c:ser>
          <c:idx val="0"/>
          <c:order val="0"/>
          <c:tx>
            <c:strRef>
              <c:f>'0324'!$B$2</c:f>
              <c:strCache>
                <c:ptCount val="1"/>
                <c:pt idx="0">
                  <c:v>2019Q4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'0324'!$A$11:$A$25</c15:sqref>
                  </c15:fullRef>
                </c:ext>
              </c:extLst>
              <c:f>'0324'!$A$12:$A$25</c:f>
              <c:numCache>
                <c:formatCode>m/d/yyyy</c:formatCode>
                <c:ptCount val="14"/>
                <c:pt idx="0">
                  <c:v>43691</c:v>
                </c:pt>
                <c:pt idx="1">
                  <c:v>43707</c:v>
                </c:pt>
                <c:pt idx="2">
                  <c:v>43714</c:v>
                </c:pt>
                <c:pt idx="3">
                  <c:v>43738</c:v>
                </c:pt>
                <c:pt idx="4">
                  <c:v>43754</c:v>
                </c:pt>
                <c:pt idx="5">
                  <c:v>43772</c:v>
                </c:pt>
                <c:pt idx="6">
                  <c:v>43788</c:v>
                </c:pt>
                <c:pt idx="7">
                  <c:v>43802</c:v>
                </c:pt>
                <c:pt idx="8">
                  <c:v>43838</c:v>
                </c:pt>
                <c:pt idx="9">
                  <c:v>43858</c:v>
                </c:pt>
                <c:pt idx="10">
                  <c:v>43865</c:v>
                </c:pt>
                <c:pt idx="11">
                  <c:v>43875</c:v>
                </c:pt>
                <c:pt idx="12">
                  <c:v>43882</c:v>
                </c:pt>
                <c:pt idx="13">
                  <c:v>43900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'0324'!$B$11:$B$25</c15:sqref>
                  </c15:fullRef>
                </c:ext>
              </c:extLst>
              <c:f>'0324'!$B$12:$B$25</c:f>
              <c:numCache>
                <c:formatCode>0.00</c:formatCode>
                <c:ptCount val="14"/>
                <c:pt idx="2">
                  <c:v>2.75</c:v>
                </c:pt>
                <c:pt idx="3">
                  <c:v>2.58</c:v>
                </c:pt>
                <c:pt idx="4">
                  <c:v>2.62</c:v>
                </c:pt>
                <c:pt idx="5">
                  <c:v>2.2200000000000002</c:v>
                </c:pt>
                <c:pt idx="6">
                  <c:v>2.16</c:v>
                </c:pt>
                <c:pt idx="7">
                  <c:v>2.46</c:v>
                </c:pt>
                <c:pt idx="8">
                  <c:v>2.78</c:v>
                </c:pt>
                <c:pt idx="9">
                  <c:v>2.68</c:v>
                </c:pt>
                <c:pt idx="10">
                  <c:v>2.77</c:v>
                </c:pt>
                <c:pt idx="11">
                  <c:v>2.84</c:v>
                </c:pt>
                <c:pt idx="12">
                  <c:v>2.87</c:v>
                </c:pt>
                <c:pt idx="13">
                  <c:v>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76-410B-8D3D-9129D1FC8DA9}"/>
            </c:ext>
          </c:extLst>
        </c:ser>
        <c:ser>
          <c:idx val="1"/>
          <c:order val="1"/>
          <c:tx>
            <c:strRef>
              <c:f>'0324'!$C$2</c:f>
              <c:strCache>
                <c:ptCount val="1"/>
                <c:pt idx="0">
                  <c:v>2020Q1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'0324'!$A$11:$A$25</c15:sqref>
                  </c15:fullRef>
                </c:ext>
              </c:extLst>
              <c:f>'0324'!$A$12:$A$25</c:f>
              <c:numCache>
                <c:formatCode>m/d/yyyy</c:formatCode>
                <c:ptCount val="14"/>
                <c:pt idx="0">
                  <c:v>43691</c:v>
                </c:pt>
                <c:pt idx="1">
                  <c:v>43707</c:v>
                </c:pt>
                <c:pt idx="2">
                  <c:v>43714</c:v>
                </c:pt>
                <c:pt idx="3">
                  <c:v>43738</c:v>
                </c:pt>
                <c:pt idx="4">
                  <c:v>43754</c:v>
                </c:pt>
                <c:pt idx="5">
                  <c:v>43772</c:v>
                </c:pt>
                <c:pt idx="6">
                  <c:v>43788</c:v>
                </c:pt>
                <c:pt idx="7">
                  <c:v>43802</c:v>
                </c:pt>
                <c:pt idx="8">
                  <c:v>43838</c:v>
                </c:pt>
                <c:pt idx="9">
                  <c:v>43858</c:v>
                </c:pt>
                <c:pt idx="10">
                  <c:v>43865</c:v>
                </c:pt>
                <c:pt idx="11">
                  <c:v>43875</c:v>
                </c:pt>
                <c:pt idx="12">
                  <c:v>43882</c:v>
                </c:pt>
                <c:pt idx="13">
                  <c:v>43900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'0324'!$C$11:$C$25</c15:sqref>
                  </c15:fullRef>
                </c:ext>
              </c:extLst>
              <c:f>'0324'!$C$12:$C$25</c:f>
              <c:numCache>
                <c:formatCode>0.00</c:formatCode>
                <c:ptCount val="14"/>
                <c:pt idx="4">
                  <c:v>2.76</c:v>
                </c:pt>
                <c:pt idx="5">
                  <c:v>2.7</c:v>
                </c:pt>
                <c:pt idx="6">
                  <c:v>2.6</c:v>
                </c:pt>
                <c:pt idx="7">
                  <c:v>2.66</c:v>
                </c:pt>
                <c:pt idx="8">
                  <c:v>2.87</c:v>
                </c:pt>
                <c:pt idx="9">
                  <c:v>2.85</c:v>
                </c:pt>
                <c:pt idx="10">
                  <c:v>3.08</c:v>
                </c:pt>
                <c:pt idx="11">
                  <c:v>2.66</c:v>
                </c:pt>
                <c:pt idx="12">
                  <c:v>2.4500000000000002</c:v>
                </c:pt>
                <c:pt idx="13">
                  <c:v>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76-410B-8D3D-9129D1FC8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  <c:min val="1.8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1566054243218E-2"/>
          <c:y val="3.3896786792434423E-4"/>
          <c:w val="0.92158486439195098"/>
          <c:h val="0.12734762321376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247650</xdr:colOff>
      <xdr:row>16</xdr:row>
      <xdr:rowOff>19050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9AFF26-EE97-4DFD-AEE6-EE2C02CA9FBD}"/>
            </a:ext>
          </a:extLst>
        </xdr:cNvPr>
        <xdr:cNvSpPr txBox="1"/>
      </xdr:nvSpPr>
      <xdr:spPr>
        <a:xfrm>
          <a:off x="11477625" y="4210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14</xdr:col>
      <xdr:colOff>152400</xdr:colOff>
      <xdr:row>7</xdr:row>
      <xdr:rowOff>47625</xdr:rowOff>
    </xdr:from>
    <xdr:to>
      <xdr:col>21</xdr:col>
      <xdr:colOff>476250</xdr:colOff>
      <xdr:row>25</xdr:row>
      <xdr:rowOff>109171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064A733-BE09-4599-A9F6-1900ECEEB165}"/>
            </a:ext>
          </a:extLst>
        </xdr:cNvPr>
        <xdr:cNvGrpSpPr/>
      </xdr:nvGrpSpPr>
      <xdr:grpSpPr>
        <a:xfrm>
          <a:off x="10163175" y="2524125"/>
          <a:ext cx="4591050" cy="3490546"/>
          <a:chOff x="5581650" y="1704975"/>
          <a:chExt cx="4591050" cy="3681046"/>
        </a:xfrm>
      </xdr:grpSpPr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13079D4A-3436-4EAA-B454-F642CE1CA854}"/>
              </a:ext>
            </a:extLst>
          </xdr:cNvPr>
          <xdr:cNvSpPr txBox="1"/>
        </xdr:nvSpPr>
        <xdr:spPr>
          <a:xfrm>
            <a:off x="5600700" y="1704975"/>
            <a:ext cx="4571671" cy="476250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5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Global Dynamic Factor Model tracking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1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(GPM World, percent qoq saar)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19144891-E3DA-4E65-A414-516A212F243E}"/>
              </a:ext>
            </a:extLst>
          </xdr:cNvPr>
          <xdr:cNvSpPr txBox="1"/>
        </xdr:nvSpPr>
        <xdr:spPr>
          <a:xfrm>
            <a:off x="5581650" y="4924425"/>
            <a:ext cx="4543096" cy="461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Source: </a:t>
            </a:r>
            <a:r>
              <a:rPr lang="en-US" sz="10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Haver/GPM calculations</a:t>
            </a: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 Includes GDP and data releases available as of February 21st, 2020. </a:t>
            </a:r>
          </a:p>
        </xdr:txBody>
      </xdr:sp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EC84F88A-959A-4325-BC23-6A74BC15B411}"/>
              </a:ext>
            </a:extLst>
          </xdr:cNvPr>
          <xdr:cNvGraphicFramePr>
            <a:graphicFrameLocks/>
          </xdr:cNvGraphicFramePr>
        </xdr:nvGraphicFramePr>
        <xdr:xfrm>
          <a:off x="5600700" y="2133600"/>
          <a:ext cx="4572000" cy="27908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14</xdr:col>
      <xdr:colOff>19050</xdr:colOff>
      <xdr:row>26</xdr:row>
      <xdr:rowOff>161924</xdr:rowOff>
    </xdr:from>
    <xdr:to>
      <xdr:col>21</xdr:col>
      <xdr:colOff>533071</xdr:colOff>
      <xdr:row>43</xdr:row>
      <xdr:rowOff>4837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63FEEF0-C10F-40B3-AF55-C08A23ED6357}"/>
            </a:ext>
          </a:extLst>
        </xdr:cNvPr>
        <xdr:cNvGrpSpPr/>
      </xdr:nvGrpSpPr>
      <xdr:grpSpPr>
        <a:xfrm>
          <a:off x="10029825" y="6257924"/>
          <a:ext cx="4781221" cy="3081413"/>
          <a:chOff x="5600700" y="1674840"/>
          <a:chExt cx="4781221" cy="3249585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5107541-8CF2-46ED-8279-E7FFE0C759BB}"/>
              </a:ext>
            </a:extLst>
          </xdr:cNvPr>
          <xdr:cNvSpPr txBox="1"/>
        </xdr:nvSpPr>
        <xdr:spPr>
          <a:xfrm>
            <a:off x="5810250" y="1674840"/>
            <a:ext cx="4571671" cy="476250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5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Global Dynamic Factor Model Tracking Revisions: 2019Q4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1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(GPM World, ppt differences)</a:t>
            </a:r>
          </a:p>
        </xdr:txBody>
      </xdr:sp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70F21D7C-5EE7-492B-B45D-7C488B84474A}"/>
              </a:ext>
            </a:extLst>
          </xdr:cNvPr>
          <xdr:cNvGraphicFramePr>
            <a:graphicFrameLocks/>
          </xdr:cNvGraphicFramePr>
        </xdr:nvGraphicFramePr>
        <xdr:xfrm>
          <a:off x="5600700" y="2133600"/>
          <a:ext cx="4572000" cy="27908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14</xdr:col>
      <xdr:colOff>19050</xdr:colOff>
      <xdr:row>47</xdr:row>
      <xdr:rowOff>0</xdr:rowOff>
    </xdr:from>
    <xdr:to>
      <xdr:col>21</xdr:col>
      <xdr:colOff>533071</xdr:colOff>
      <xdr:row>63</xdr:row>
      <xdr:rowOff>33413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D758ADD1-32C4-417E-A160-AA1B693CB956}"/>
            </a:ext>
          </a:extLst>
        </xdr:cNvPr>
        <xdr:cNvGrpSpPr/>
      </xdr:nvGrpSpPr>
      <xdr:grpSpPr>
        <a:xfrm>
          <a:off x="10029825" y="10096500"/>
          <a:ext cx="4781221" cy="3081413"/>
          <a:chOff x="5600700" y="1674840"/>
          <a:chExt cx="4781221" cy="3249585"/>
        </a:xfrm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BFDB3EF4-1D53-4E73-8FDE-F0F99731D831}"/>
              </a:ext>
            </a:extLst>
          </xdr:cNvPr>
          <xdr:cNvSpPr txBox="1"/>
        </xdr:nvSpPr>
        <xdr:spPr>
          <a:xfrm>
            <a:off x="5810250" y="1674840"/>
            <a:ext cx="4571671" cy="476250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5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Global Dynamic Factor Model Tracking Revisions: 2020Q1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1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(GPM World, ppt differences)</a:t>
            </a:r>
          </a:p>
        </xdr:txBody>
      </xdr:sp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0B3ED1E1-3125-40D8-8F54-40EC55BE531C}"/>
              </a:ext>
            </a:extLst>
          </xdr:cNvPr>
          <xdr:cNvGraphicFramePr>
            <a:graphicFrameLocks/>
          </xdr:cNvGraphicFramePr>
        </xdr:nvGraphicFramePr>
        <xdr:xfrm>
          <a:off x="5600700" y="2133600"/>
          <a:ext cx="4572000" cy="27908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23</xdr:col>
      <xdr:colOff>0</xdr:colOff>
      <xdr:row>7</xdr:row>
      <xdr:rowOff>0</xdr:rowOff>
    </xdr:from>
    <xdr:to>
      <xdr:col>30</xdr:col>
      <xdr:colOff>323850</xdr:colOff>
      <xdr:row>25</xdr:row>
      <xdr:rowOff>61546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168E663C-7FC6-4A7E-BCEA-D644F98BE9F2}"/>
            </a:ext>
          </a:extLst>
        </xdr:cNvPr>
        <xdr:cNvGrpSpPr/>
      </xdr:nvGrpSpPr>
      <xdr:grpSpPr>
        <a:xfrm>
          <a:off x="15497175" y="2476500"/>
          <a:ext cx="4591050" cy="3490546"/>
          <a:chOff x="5581650" y="1704975"/>
          <a:chExt cx="4591050" cy="3681046"/>
        </a:xfrm>
      </xdr:grpSpPr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F898DEF-09A4-4894-85C0-F482A558D09C}"/>
              </a:ext>
            </a:extLst>
          </xdr:cNvPr>
          <xdr:cNvSpPr txBox="1"/>
        </xdr:nvSpPr>
        <xdr:spPr>
          <a:xfrm>
            <a:off x="5600700" y="1704975"/>
            <a:ext cx="4571671" cy="476250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5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Global Dynamic Factor Model tracking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1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(GPM World, percent qoq saar)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5C7C2EFE-8BAD-497E-BDD7-6BAF1FDF2660}"/>
              </a:ext>
            </a:extLst>
          </xdr:cNvPr>
          <xdr:cNvSpPr txBox="1"/>
        </xdr:nvSpPr>
        <xdr:spPr>
          <a:xfrm>
            <a:off x="5581650" y="4924425"/>
            <a:ext cx="4543096" cy="461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Source: </a:t>
            </a:r>
            <a:r>
              <a:rPr lang="en-US" sz="10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Haver/GPM calculations</a:t>
            </a: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 Includes GDP and data releases available as of February 4th, 2020. </a:t>
            </a:r>
          </a:p>
        </xdr:txBody>
      </xdr:sp>
      <xdr:graphicFrame macro="">
        <xdr:nvGraphicFramePr>
          <xdr:cNvPr id="16" name="Chart 15">
            <a:extLst>
              <a:ext uri="{FF2B5EF4-FFF2-40B4-BE49-F238E27FC236}">
                <a16:creationId xmlns:a16="http://schemas.microsoft.com/office/drawing/2014/main" id="{3D849838-7CE2-415F-8A02-BE8FF0F112B7}"/>
              </a:ext>
            </a:extLst>
          </xdr:cNvPr>
          <xdr:cNvGraphicFramePr>
            <a:graphicFrameLocks/>
          </xdr:cNvGraphicFramePr>
        </xdr:nvGraphicFramePr>
        <xdr:xfrm>
          <a:off x="5600700" y="2133600"/>
          <a:ext cx="4572000" cy="27908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247650</xdr:colOff>
      <xdr:row>16</xdr:row>
      <xdr:rowOff>19050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CE5194D-8121-4615-8A3C-18DC4159B7DE}"/>
            </a:ext>
          </a:extLst>
        </xdr:cNvPr>
        <xdr:cNvSpPr txBox="1"/>
      </xdr:nvSpPr>
      <xdr:spPr>
        <a:xfrm>
          <a:off x="11477625" y="4210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14</xdr:col>
      <xdr:colOff>152400</xdr:colOff>
      <xdr:row>7</xdr:row>
      <xdr:rowOff>47625</xdr:rowOff>
    </xdr:from>
    <xdr:to>
      <xdr:col>21</xdr:col>
      <xdr:colOff>476250</xdr:colOff>
      <xdr:row>25</xdr:row>
      <xdr:rowOff>109171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E14F7DF-E52C-45EF-8B51-B65536A3E6EF}"/>
            </a:ext>
          </a:extLst>
        </xdr:cNvPr>
        <xdr:cNvGrpSpPr/>
      </xdr:nvGrpSpPr>
      <xdr:grpSpPr>
        <a:xfrm>
          <a:off x="10163175" y="1762125"/>
          <a:ext cx="4591050" cy="3490546"/>
          <a:chOff x="5581650" y="1704975"/>
          <a:chExt cx="4591050" cy="3681046"/>
        </a:xfrm>
      </xdr:grpSpPr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ECE934ED-8B0C-407D-B2CE-DC193F2ED9D9}"/>
              </a:ext>
            </a:extLst>
          </xdr:cNvPr>
          <xdr:cNvSpPr txBox="1"/>
        </xdr:nvSpPr>
        <xdr:spPr>
          <a:xfrm>
            <a:off x="5600700" y="1704975"/>
            <a:ext cx="4571671" cy="476250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5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Global Dynamic Factor Model tracking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1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(GPM World, percent qoq saar)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E2AD6EAA-33CF-4508-AF32-82384938224F}"/>
              </a:ext>
            </a:extLst>
          </xdr:cNvPr>
          <xdr:cNvSpPr txBox="1"/>
        </xdr:nvSpPr>
        <xdr:spPr>
          <a:xfrm>
            <a:off x="5581650" y="4924425"/>
            <a:ext cx="4543096" cy="461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Source: </a:t>
            </a:r>
            <a:r>
              <a:rPr lang="en-US" sz="10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Haver/GPM calculations</a:t>
            </a: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 Includes GDP and data releases available as of March 10th, 2020. </a:t>
            </a:r>
          </a:p>
        </xdr:txBody>
      </xdr:sp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0507ACC7-7206-4328-9AE1-4B2D21AF7561}"/>
              </a:ext>
            </a:extLst>
          </xdr:cNvPr>
          <xdr:cNvGraphicFramePr>
            <a:graphicFrameLocks/>
          </xdr:cNvGraphicFramePr>
        </xdr:nvGraphicFramePr>
        <xdr:xfrm>
          <a:off x="5600700" y="2133600"/>
          <a:ext cx="4572000" cy="27908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23</xdr:col>
      <xdr:colOff>0</xdr:colOff>
      <xdr:row>7</xdr:row>
      <xdr:rowOff>0</xdr:rowOff>
    </xdr:from>
    <xdr:to>
      <xdr:col>30</xdr:col>
      <xdr:colOff>323850</xdr:colOff>
      <xdr:row>25</xdr:row>
      <xdr:rowOff>61546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92323754-0A51-43A9-8B8E-91440E7C1E11}"/>
            </a:ext>
          </a:extLst>
        </xdr:cNvPr>
        <xdr:cNvGrpSpPr/>
      </xdr:nvGrpSpPr>
      <xdr:grpSpPr>
        <a:xfrm>
          <a:off x="15497175" y="1714500"/>
          <a:ext cx="4591050" cy="3490546"/>
          <a:chOff x="5581650" y="1704975"/>
          <a:chExt cx="4591050" cy="3681046"/>
        </a:xfrm>
      </xdr:grpSpPr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911EC1C-4F8B-4453-A861-383C09881FC6}"/>
              </a:ext>
            </a:extLst>
          </xdr:cNvPr>
          <xdr:cNvSpPr txBox="1"/>
        </xdr:nvSpPr>
        <xdr:spPr>
          <a:xfrm>
            <a:off x="5600700" y="1704975"/>
            <a:ext cx="4571671" cy="476250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5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Global Dynamic Factor Model tracking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1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(GPM World, percent qoq saar)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69EB32A0-A412-4460-A1E9-3BDAB7C0F09E}"/>
              </a:ext>
            </a:extLst>
          </xdr:cNvPr>
          <xdr:cNvSpPr txBox="1"/>
        </xdr:nvSpPr>
        <xdr:spPr>
          <a:xfrm>
            <a:off x="5581650" y="4924425"/>
            <a:ext cx="4543096" cy="461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Source: </a:t>
            </a:r>
            <a:r>
              <a:rPr lang="en-US" sz="10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Haver/GPM calculations</a:t>
            </a: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 Includes GDP and data releases available as of March 10th, 2020. </a:t>
            </a:r>
          </a:p>
        </xdr:txBody>
      </xdr:sp>
      <xdr:graphicFrame macro="">
        <xdr:nvGraphicFramePr>
          <xdr:cNvPr id="16" name="Chart 15">
            <a:extLst>
              <a:ext uri="{FF2B5EF4-FFF2-40B4-BE49-F238E27FC236}">
                <a16:creationId xmlns:a16="http://schemas.microsoft.com/office/drawing/2014/main" id="{DA05C1F1-0383-414F-A0B5-6F83543BCBDC}"/>
              </a:ext>
            </a:extLst>
          </xdr:cNvPr>
          <xdr:cNvGraphicFramePr>
            <a:graphicFrameLocks/>
          </xdr:cNvGraphicFramePr>
        </xdr:nvGraphicFramePr>
        <xdr:xfrm>
          <a:off x="5600700" y="2133600"/>
          <a:ext cx="4572000" cy="27908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247650</xdr:colOff>
      <xdr:row>16</xdr:row>
      <xdr:rowOff>19050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B8E1C9-E3CF-420D-9DA1-A5C46E70175E}"/>
            </a:ext>
          </a:extLst>
        </xdr:cNvPr>
        <xdr:cNvSpPr txBox="1"/>
      </xdr:nvSpPr>
      <xdr:spPr>
        <a:xfrm>
          <a:off x="11477625" y="344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5</xdr:col>
      <xdr:colOff>438150</xdr:colOff>
      <xdr:row>7</xdr:row>
      <xdr:rowOff>180975</xdr:rowOff>
    </xdr:from>
    <xdr:to>
      <xdr:col>12</xdr:col>
      <xdr:colOff>304800</xdr:colOff>
      <xdr:row>26</xdr:row>
      <xdr:rowOff>52021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42DB494-955B-47BE-9A7A-24B03C4856FE}"/>
            </a:ext>
          </a:extLst>
        </xdr:cNvPr>
        <xdr:cNvGrpSpPr/>
      </xdr:nvGrpSpPr>
      <xdr:grpSpPr>
        <a:xfrm>
          <a:off x="4505325" y="1895475"/>
          <a:ext cx="4591050" cy="3490546"/>
          <a:chOff x="5581650" y="1704975"/>
          <a:chExt cx="4591050" cy="3681046"/>
        </a:xfrm>
      </xdr:grpSpPr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A8CF78A-363F-4AE3-A7B4-49FB4259C866}"/>
              </a:ext>
            </a:extLst>
          </xdr:cNvPr>
          <xdr:cNvSpPr txBox="1"/>
        </xdr:nvSpPr>
        <xdr:spPr>
          <a:xfrm>
            <a:off x="5600700" y="1704975"/>
            <a:ext cx="4571671" cy="476250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5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Global Dynamic Factor Model tracking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1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(GPM World, percent qoq saar)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EA6D9973-2BA0-4620-ABD1-2F8CF5CEB294}"/>
              </a:ext>
            </a:extLst>
          </xdr:cNvPr>
          <xdr:cNvSpPr txBox="1"/>
        </xdr:nvSpPr>
        <xdr:spPr>
          <a:xfrm>
            <a:off x="5581650" y="4924425"/>
            <a:ext cx="4543096" cy="461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Source: </a:t>
            </a:r>
            <a:r>
              <a:rPr lang="en-US" sz="10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Haver/GPM calculations</a:t>
            </a: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 Includes GDP and data releases available as of March 24th, 2020. </a:t>
            </a:r>
          </a:p>
        </xdr:txBody>
      </xdr:sp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B2400425-EB6A-40F1-B80A-2444846CE9BE}"/>
              </a:ext>
            </a:extLst>
          </xdr:cNvPr>
          <xdr:cNvGraphicFramePr>
            <a:graphicFrameLocks/>
          </xdr:cNvGraphicFramePr>
        </xdr:nvGraphicFramePr>
        <xdr:xfrm>
          <a:off x="5600700" y="2133600"/>
          <a:ext cx="4572000" cy="27908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23</xdr:col>
      <xdr:colOff>0</xdr:colOff>
      <xdr:row>7</xdr:row>
      <xdr:rowOff>0</xdr:rowOff>
    </xdr:from>
    <xdr:to>
      <xdr:col>30</xdr:col>
      <xdr:colOff>323850</xdr:colOff>
      <xdr:row>25</xdr:row>
      <xdr:rowOff>61546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9540CAF6-A39F-495F-A479-24426C3EE4F6}"/>
            </a:ext>
          </a:extLst>
        </xdr:cNvPr>
        <xdr:cNvGrpSpPr/>
      </xdr:nvGrpSpPr>
      <xdr:grpSpPr>
        <a:xfrm>
          <a:off x="15497175" y="1714500"/>
          <a:ext cx="4591050" cy="3490546"/>
          <a:chOff x="5581650" y="1704975"/>
          <a:chExt cx="4591050" cy="3681046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C543386C-5588-4FCE-B922-3A94644DD034}"/>
              </a:ext>
            </a:extLst>
          </xdr:cNvPr>
          <xdr:cNvSpPr txBox="1"/>
        </xdr:nvSpPr>
        <xdr:spPr>
          <a:xfrm>
            <a:off x="5600700" y="1704975"/>
            <a:ext cx="4571671" cy="476250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5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Global Dynamic Factor Model tracking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1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(GPM World, percent qoq saar)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45F4BD4E-25C9-4579-B233-E4494CF05925}"/>
              </a:ext>
            </a:extLst>
          </xdr:cNvPr>
          <xdr:cNvSpPr txBox="1"/>
        </xdr:nvSpPr>
        <xdr:spPr>
          <a:xfrm>
            <a:off x="5581650" y="4924425"/>
            <a:ext cx="4543096" cy="461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Source: </a:t>
            </a:r>
            <a:r>
              <a:rPr lang="en-US" sz="10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Haver/GPM calculations</a:t>
            </a: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 Includes GDP and data releases available as of March 10th, 2020. </a:t>
            </a:r>
          </a:p>
        </xdr:txBody>
      </xdr:sp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F2AD2C2C-40B0-4A5F-83B1-85911B51E841}"/>
              </a:ext>
            </a:extLst>
          </xdr:cNvPr>
          <xdr:cNvGraphicFramePr>
            <a:graphicFrameLocks/>
          </xdr:cNvGraphicFramePr>
        </xdr:nvGraphicFramePr>
        <xdr:xfrm>
          <a:off x="5600700" y="2133600"/>
          <a:ext cx="4572000" cy="27908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B8F02-F7B5-4A36-996D-6FCF8E4C0872}">
  <dimension ref="A2:J25"/>
  <sheetViews>
    <sheetView workbookViewId="0">
      <selection activeCell="M11" sqref="M11"/>
    </sheetView>
  </sheetViews>
  <sheetFormatPr defaultRowHeight="15" x14ac:dyDescent="0.25"/>
  <cols>
    <col min="1" max="1" width="10.7109375" bestFit="1" customWidth="1"/>
    <col min="2" max="7" width="12.5703125" customWidth="1"/>
  </cols>
  <sheetData>
    <row r="2" spans="1:10" ht="10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/>
    </row>
    <row r="3" spans="1:10" x14ac:dyDescent="0.25">
      <c r="A3" s="2">
        <v>43473</v>
      </c>
      <c r="B3" s="3"/>
      <c r="C3" s="3"/>
      <c r="D3" s="3"/>
      <c r="E3" s="3"/>
      <c r="F3" s="3"/>
      <c r="G3" s="3"/>
      <c r="H3" s="3"/>
      <c r="I3" s="3"/>
    </row>
    <row r="4" spans="1:10" x14ac:dyDescent="0.25">
      <c r="A4" s="2">
        <v>43504</v>
      </c>
      <c r="B4" s="3"/>
      <c r="C4" s="3"/>
      <c r="D4" s="3"/>
      <c r="E4" s="3"/>
      <c r="F4" s="3"/>
      <c r="G4" s="3"/>
      <c r="H4" s="3"/>
      <c r="I4" s="3"/>
    </row>
    <row r="5" spans="1:10" x14ac:dyDescent="0.25">
      <c r="A5" s="2">
        <v>43525</v>
      </c>
      <c r="B5" s="3"/>
      <c r="C5" s="3"/>
      <c r="D5" s="3"/>
      <c r="E5" s="3"/>
      <c r="F5" s="3"/>
      <c r="G5" s="3"/>
      <c r="H5" s="3"/>
      <c r="I5" s="3"/>
    </row>
    <row r="6" spans="1:10" x14ac:dyDescent="0.25">
      <c r="A6" s="2">
        <v>43556</v>
      </c>
      <c r="B6" s="3"/>
      <c r="C6" s="3"/>
      <c r="D6" s="3"/>
      <c r="E6" s="3"/>
      <c r="F6" s="3"/>
      <c r="G6" s="3"/>
      <c r="H6" s="3"/>
      <c r="I6" s="3"/>
    </row>
    <row r="7" spans="1:10" x14ac:dyDescent="0.25">
      <c r="A7" s="2">
        <v>43593</v>
      </c>
      <c r="B7" s="3"/>
      <c r="C7" s="3"/>
      <c r="D7" s="3"/>
      <c r="E7" s="3"/>
      <c r="F7" s="3"/>
      <c r="G7" s="3"/>
      <c r="H7" s="3"/>
      <c r="I7" s="3"/>
    </row>
    <row r="8" spans="1:10" x14ac:dyDescent="0.25">
      <c r="A8" s="2">
        <v>43600</v>
      </c>
      <c r="B8" s="3"/>
      <c r="C8" s="3"/>
      <c r="D8" s="3"/>
      <c r="E8" s="3"/>
      <c r="F8" s="3"/>
      <c r="G8" s="3"/>
      <c r="H8" s="3"/>
      <c r="I8" s="3"/>
    </row>
    <row r="9" spans="1:10" x14ac:dyDescent="0.25">
      <c r="A9" s="2">
        <v>43615</v>
      </c>
      <c r="B9" s="3"/>
      <c r="C9" s="3"/>
      <c r="D9" s="3"/>
      <c r="E9" s="3"/>
      <c r="F9" s="3"/>
      <c r="G9" s="3"/>
      <c r="H9" s="3"/>
      <c r="I9" s="3"/>
    </row>
    <row r="10" spans="1:10" x14ac:dyDescent="0.25">
      <c r="A10" s="2">
        <v>43627</v>
      </c>
      <c r="B10" s="3"/>
      <c r="C10" s="3"/>
      <c r="D10" s="3"/>
      <c r="E10" s="3"/>
      <c r="F10" s="3"/>
      <c r="G10" s="3"/>
      <c r="H10" s="3"/>
      <c r="I10" s="3"/>
    </row>
    <row r="11" spans="1:10" x14ac:dyDescent="0.25">
      <c r="A11" s="2">
        <v>43668</v>
      </c>
      <c r="B11" s="3">
        <v>2.93</v>
      </c>
      <c r="C11" s="3"/>
      <c r="D11" s="3"/>
      <c r="E11" s="3"/>
      <c r="F11" s="3"/>
      <c r="G11" s="3"/>
      <c r="H11" s="3"/>
      <c r="I11" s="3"/>
    </row>
    <row r="12" spans="1:10" x14ac:dyDescent="0.25">
      <c r="A12" s="2">
        <v>43691</v>
      </c>
      <c r="B12" s="3">
        <v>2.98</v>
      </c>
      <c r="C12" s="3"/>
      <c r="D12" s="3"/>
      <c r="E12" s="3"/>
      <c r="F12" s="3">
        <v>0.04</v>
      </c>
      <c r="G12" s="3">
        <f>(B12-B11)-F12</f>
        <v>9.9999999999998215E-3</v>
      </c>
      <c r="H12" s="3"/>
      <c r="I12" s="3"/>
    </row>
    <row r="13" spans="1:10" x14ac:dyDescent="0.25">
      <c r="A13" s="2">
        <v>43707</v>
      </c>
      <c r="B13" s="3">
        <v>2.97</v>
      </c>
      <c r="C13" s="3"/>
      <c r="D13" s="3"/>
      <c r="E13" s="3"/>
      <c r="F13" s="3">
        <v>0</v>
      </c>
      <c r="G13" s="3">
        <f>(B13-B12)-F13</f>
        <v>-9.9999999999997868E-3</v>
      </c>
      <c r="H13" s="3"/>
      <c r="I13" s="3"/>
    </row>
    <row r="14" spans="1:10" x14ac:dyDescent="0.25">
      <c r="A14" s="2">
        <v>43714</v>
      </c>
      <c r="B14" s="3">
        <v>2.75</v>
      </c>
      <c r="C14" s="3"/>
      <c r="D14" s="3"/>
      <c r="E14" s="3"/>
      <c r="F14" s="3">
        <v>-0.21</v>
      </c>
      <c r="G14" s="3">
        <f t="shared" ref="G14:G22" si="0">(B14-B13)-F14</f>
        <v>-1.0000000000000203E-2</v>
      </c>
      <c r="H14" s="3"/>
      <c r="I14" s="3"/>
    </row>
    <row r="15" spans="1:10" x14ac:dyDescent="0.25">
      <c r="A15" s="2">
        <v>43738</v>
      </c>
      <c r="B15" s="3">
        <v>2.57</v>
      </c>
      <c r="C15" s="3"/>
      <c r="D15" s="3"/>
      <c r="E15" s="3"/>
      <c r="F15" s="3">
        <v>-0.18</v>
      </c>
      <c r="G15" s="3">
        <f t="shared" si="0"/>
        <v>0</v>
      </c>
      <c r="H15" s="3"/>
      <c r="I15" s="3"/>
    </row>
    <row r="16" spans="1:10" x14ac:dyDescent="0.25">
      <c r="A16" s="2">
        <v>43754</v>
      </c>
      <c r="B16" s="3">
        <v>2.61</v>
      </c>
      <c r="C16" s="3">
        <v>2.75</v>
      </c>
      <c r="D16" s="3"/>
      <c r="E16" s="3"/>
      <c r="F16" s="3">
        <v>7.0000000000000007E-2</v>
      </c>
      <c r="G16" s="3">
        <f t="shared" si="0"/>
        <v>-2.9999999999999971E-2</v>
      </c>
      <c r="H16" s="3"/>
      <c r="I16" s="3"/>
    </row>
    <row r="17" spans="1:9" x14ac:dyDescent="0.25">
      <c r="A17" s="2">
        <v>43772</v>
      </c>
      <c r="B17" s="3">
        <v>2.2000000000000002</v>
      </c>
      <c r="C17" s="3">
        <v>2.7</v>
      </c>
      <c r="D17" s="3"/>
      <c r="E17" s="3"/>
      <c r="F17" s="3">
        <v>-0.37</v>
      </c>
      <c r="G17" s="3">
        <f t="shared" si="0"/>
        <v>-3.9999999999999702E-2</v>
      </c>
      <c r="H17" s="3">
        <v>-0.03</v>
      </c>
      <c r="I17" s="3">
        <f>(C17-C16)-H17</f>
        <v>-1.9999999999999823E-2</v>
      </c>
    </row>
    <row r="18" spans="1:9" x14ac:dyDescent="0.25">
      <c r="A18" s="2">
        <v>43788</v>
      </c>
      <c r="B18" s="3">
        <v>2.14</v>
      </c>
      <c r="C18" s="3">
        <v>2.59</v>
      </c>
      <c r="D18" s="3"/>
      <c r="E18" s="3"/>
      <c r="F18" s="3">
        <v>-0.03</v>
      </c>
      <c r="G18" s="3">
        <f t="shared" si="0"/>
        <v>-3.0000000000000054E-2</v>
      </c>
      <c r="H18" s="3">
        <v>-0.04</v>
      </c>
      <c r="I18" s="3">
        <f>(C18-C17)-H18</f>
        <v>-7.0000000000000312E-2</v>
      </c>
    </row>
    <row r="19" spans="1:9" x14ac:dyDescent="0.25">
      <c r="A19" s="2">
        <v>43802</v>
      </c>
      <c r="B19" s="3">
        <v>2.44</v>
      </c>
      <c r="C19" s="3">
        <v>2.65</v>
      </c>
      <c r="D19" s="3"/>
      <c r="E19" s="3"/>
      <c r="F19" s="3">
        <v>0.28999999999999998</v>
      </c>
      <c r="G19" s="3">
        <f t="shared" si="0"/>
        <v>9.9999999999998423E-3</v>
      </c>
      <c r="H19" s="3">
        <v>0.06</v>
      </c>
      <c r="I19" s="3">
        <f t="shared" ref="I19:I22" si="1">(C19-C18)-H19</f>
        <v>5.5511151231257827E-17</v>
      </c>
    </row>
    <row r="20" spans="1:9" x14ac:dyDescent="0.25">
      <c r="A20" s="2">
        <v>43838</v>
      </c>
      <c r="B20" s="3">
        <v>2.78</v>
      </c>
      <c r="C20" s="3">
        <v>2.86</v>
      </c>
      <c r="D20" s="3"/>
      <c r="E20" s="3"/>
      <c r="F20" s="3">
        <v>0.23</v>
      </c>
      <c r="G20" s="3">
        <f t="shared" si="0"/>
        <v>0.10999999999999985</v>
      </c>
      <c r="H20" s="3">
        <v>0.2</v>
      </c>
      <c r="I20" s="3">
        <f t="shared" si="1"/>
        <v>9.9999999999999534E-3</v>
      </c>
    </row>
    <row r="21" spans="1:9" x14ac:dyDescent="0.25">
      <c r="A21" s="2">
        <v>43858</v>
      </c>
      <c r="B21" s="3">
        <v>2.68</v>
      </c>
      <c r="C21" s="3">
        <v>2.83</v>
      </c>
      <c r="D21" s="3"/>
      <c r="E21" s="3"/>
      <c r="F21" s="3">
        <v>-0.1</v>
      </c>
      <c r="G21" s="3">
        <f t="shared" si="0"/>
        <v>3.6082248300317588E-16</v>
      </c>
      <c r="H21" s="3">
        <v>-0.01</v>
      </c>
      <c r="I21" s="3">
        <f t="shared" si="1"/>
        <v>-1.9999999999999803E-2</v>
      </c>
    </row>
    <row r="22" spans="1:9" x14ac:dyDescent="0.25">
      <c r="A22" s="2">
        <v>43865</v>
      </c>
      <c r="B22" s="3">
        <v>2.77</v>
      </c>
      <c r="C22" s="3">
        <v>3.07</v>
      </c>
      <c r="F22" s="3">
        <v>0.09</v>
      </c>
      <c r="G22" s="3">
        <f t="shared" si="0"/>
        <v>-1.3877787807814457E-16</v>
      </c>
      <c r="H22" s="3">
        <v>0.24</v>
      </c>
      <c r="I22" s="3">
        <f t="shared" si="1"/>
        <v>-2.2204460492503131E-16</v>
      </c>
    </row>
    <row r="23" spans="1:9" x14ac:dyDescent="0.25">
      <c r="A23" s="2">
        <v>43875</v>
      </c>
      <c r="B23" s="3">
        <v>2.84</v>
      </c>
      <c r="C23" s="3">
        <v>2.67</v>
      </c>
    </row>
    <row r="24" spans="1:9" x14ac:dyDescent="0.25">
      <c r="A24" s="2">
        <v>43882</v>
      </c>
      <c r="B24" s="3">
        <v>2.86</v>
      </c>
      <c r="C24" s="3">
        <v>2.48</v>
      </c>
      <c r="D24">
        <v>2.6</v>
      </c>
      <c r="E24">
        <v>2</v>
      </c>
    </row>
    <row r="25" spans="1:9" x14ac:dyDescent="0.25">
      <c r="A25" s="2">
        <v>43900</v>
      </c>
      <c r="D25">
        <v>2.6</v>
      </c>
      <c r="E25">
        <v>1.4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D34EF-3973-4855-BA40-B64E2D247573}">
  <dimension ref="A2:J25"/>
  <sheetViews>
    <sheetView workbookViewId="0">
      <selection activeCell="I10" sqref="I10"/>
    </sheetView>
  </sheetViews>
  <sheetFormatPr defaultRowHeight="15" x14ac:dyDescent="0.25"/>
  <cols>
    <col min="1" max="1" width="10.7109375" bestFit="1" customWidth="1"/>
    <col min="2" max="7" width="12.5703125" customWidth="1"/>
  </cols>
  <sheetData>
    <row r="2" spans="1:10" ht="45" x14ac:dyDescent="0.25">
      <c r="B2" s="1" t="s">
        <v>0</v>
      </c>
      <c r="C2" s="1" t="s">
        <v>1</v>
      </c>
      <c r="D2" s="1" t="s">
        <v>2</v>
      </c>
      <c r="E2" s="1" t="s">
        <v>3</v>
      </c>
      <c r="F2" s="1"/>
      <c r="G2" s="1"/>
      <c r="H2" s="1"/>
      <c r="I2" s="1"/>
      <c r="J2" s="1"/>
    </row>
    <row r="3" spans="1:10" x14ac:dyDescent="0.25">
      <c r="A3" s="2">
        <v>43473</v>
      </c>
      <c r="B3" s="3"/>
      <c r="C3" s="3"/>
      <c r="D3" s="3"/>
      <c r="E3" s="3"/>
      <c r="F3" s="3"/>
      <c r="G3" s="3"/>
      <c r="H3" s="3"/>
      <c r="I3" s="3"/>
    </row>
    <row r="4" spans="1:10" x14ac:dyDescent="0.25">
      <c r="A4" s="2">
        <v>43504</v>
      </c>
      <c r="B4" s="3"/>
      <c r="C4" s="3"/>
      <c r="D4" s="3"/>
      <c r="E4" s="3"/>
      <c r="F4" s="3"/>
      <c r="G4" s="3"/>
      <c r="H4" s="3"/>
      <c r="I4" s="3"/>
    </row>
    <row r="5" spans="1:10" x14ac:dyDescent="0.25">
      <c r="A5" s="2">
        <v>43525</v>
      </c>
      <c r="B5" s="3"/>
      <c r="C5" s="3"/>
      <c r="D5" s="3"/>
      <c r="E5" s="3"/>
      <c r="F5" s="3"/>
      <c r="G5" s="3"/>
      <c r="H5" s="3"/>
      <c r="I5" s="3"/>
    </row>
    <row r="6" spans="1:10" x14ac:dyDescent="0.25">
      <c r="A6" s="2">
        <v>43556</v>
      </c>
      <c r="B6" s="3"/>
      <c r="C6" s="3"/>
      <c r="D6" s="3"/>
      <c r="E6" s="3"/>
      <c r="F6" s="3"/>
      <c r="G6" s="3"/>
      <c r="H6" s="3"/>
      <c r="I6" s="3"/>
    </row>
    <row r="7" spans="1:10" x14ac:dyDescent="0.25">
      <c r="A7" s="2">
        <v>43593</v>
      </c>
      <c r="B7" s="3"/>
      <c r="C7" s="3"/>
      <c r="D7" s="3"/>
      <c r="E7" s="3"/>
      <c r="F7" s="3"/>
      <c r="G7" s="3"/>
      <c r="H7" s="3"/>
      <c r="I7" s="3"/>
    </row>
    <row r="8" spans="1:10" x14ac:dyDescent="0.25">
      <c r="A8" s="2">
        <v>43600</v>
      </c>
      <c r="B8" s="3"/>
      <c r="C8" s="3"/>
      <c r="D8" s="3"/>
      <c r="E8" s="3"/>
      <c r="F8" s="3"/>
      <c r="G8" s="3"/>
      <c r="H8" s="3"/>
      <c r="I8" s="3"/>
    </row>
    <row r="9" spans="1:10" x14ac:dyDescent="0.25">
      <c r="A9" s="2">
        <v>43615</v>
      </c>
      <c r="B9" s="3"/>
      <c r="C9" s="3"/>
      <c r="D9" s="3"/>
      <c r="E9" s="3"/>
      <c r="F9" s="3"/>
      <c r="G9" s="3"/>
      <c r="H9" s="3"/>
      <c r="I9" s="3"/>
    </row>
    <row r="10" spans="1:10" x14ac:dyDescent="0.25">
      <c r="A10" s="2">
        <v>43627</v>
      </c>
      <c r="B10" s="3"/>
      <c r="C10" s="3"/>
      <c r="D10" s="3"/>
      <c r="E10" s="3"/>
      <c r="F10" s="3"/>
      <c r="G10" s="3"/>
      <c r="H10" s="3"/>
      <c r="I10" s="3"/>
    </row>
    <row r="11" spans="1:10" x14ac:dyDescent="0.25">
      <c r="A11" s="2">
        <v>43668</v>
      </c>
      <c r="B11" s="3"/>
      <c r="C11" s="3"/>
      <c r="D11" s="3"/>
      <c r="E11" s="3"/>
      <c r="F11" s="3"/>
      <c r="G11" s="3"/>
      <c r="H11" s="3"/>
      <c r="I11" s="3"/>
    </row>
    <row r="12" spans="1:10" x14ac:dyDescent="0.25">
      <c r="A12" s="2">
        <v>43691</v>
      </c>
      <c r="B12" s="3"/>
      <c r="C12" s="3"/>
      <c r="D12" s="3"/>
      <c r="E12" s="3"/>
      <c r="F12" s="3"/>
      <c r="G12" s="3"/>
      <c r="H12" s="3"/>
      <c r="I12" s="3"/>
    </row>
    <row r="13" spans="1:10" x14ac:dyDescent="0.25">
      <c r="A13" s="2">
        <v>43707</v>
      </c>
      <c r="B13" s="3"/>
      <c r="C13" s="3"/>
      <c r="D13" s="3"/>
      <c r="E13" s="3"/>
      <c r="F13" s="3"/>
      <c r="G13" s="3"/>
      <c r="H13" s="3"/>
      <c r="I13" s="3"/>
    </row>
    <row r="14" spans="1:10" x14ac:dyDescent="0.25">
      <c r="A14" s="2">
        <v>43714</v>
      </c>
      <c r="B14" s="3">
        <v>2.75</v>
      </c>
      <c r="C14" s="3"/>
      <c r="D14" s="3"/>
      <c r="E14" s="3"/>
      <c r="F14" s="3"/>
      <c r="G14" s="3"/>
      <c r="H14" s="3"/>
      <c r="I14" s="3"/>
    </row>
    <row r="15" spans="1:10" x14ac:dyDescent="0.25">
      <c r="A15" s="2">
        <v>43738</v>
      </c>
      <c r="B15" s="3">
        <v>2.58</v>
      </c>
      <c r="C15" s="3"/>
      <c r="D15" s="3"/>
      <c r="E15" s="3"/>
      <c r="F15" s="3"/>
      <c r="G15" s="3"/>
      <c r="H15" s="3"/>
      <c r="I15" s="3"/>
    </row>
    <row r="16" spans="1:10" x14ac:dyDescent="0.25">
      <c r="A16" s="2">
        <v>43754</v>
      </c>
      <c r="B16" s="3">
        <v>2.62</v>
      </c>
      <c r="C16" s="3">
        <v>2.76</v>
      </c>
      <c r="D16" s="3"/>
      <c r="E16" s="3"/>
      <c r="F16" s="3"/>
      <c r="G16" s="3"/>
      <c r="H16" s="3"/>
      <c r="I16" s="3"/>
    </row>
    <row r="17" spans="1:9" x14ac:dyDescent="0.25">
      <c r="A17" s="2">
        <v>43772</v>
      </c>
      <c r="B17" s="3">
        <v>2.2200000000000002</v>
      </c>
      <c r="C17" s="3">
        <v>2.71</v>
      </c>
      <c r="D17" s="3"/>
      <c r="E17" s="3"/>
      <c r="F17" s="3"/>
      <c r="G17" s="3"/>
      <c r="H17" s="3"/>
      <c r="I17" s="3"/>
    </row>
    <row r="18" spans="1:9" x14ac:dyDescent="0.25">
      <c r="A18" s="2">
        <v>43788</v>
      </c>
      <c r="B18" s="3">
        <v>2.16</v>
      </c>
      <c r="C18" s="3">
        <v>2.6</v>
      </c>
      <c r="D18" s="3"/>
      <c r="E18" s="3"/>
      <c r="F18" s="3"/>
      <c r="G18" s="3"/>
      <c r="H18" s="3"/>
      <c r="I18" s="3"/>
    </row>
    <row r="19" spans="1:9" x14ac:dyDescent="0.25">
      <c r="A19" s="2">
        <v>43802</v>
      </c>
      <c r="B19" s="3">
        <v>2.46</v>
      </c>
      <c r="C19" s="3">
        <v>2.67</v>
      </c>
      <c r="D19" s="3"/>
      <c r="E19" s="3"/>
      <c r="F19" s="3"/>
      <c r="G19" s="3"/>
      <c r="H19" s="3"/>
      <c r="I19" s="3"/>
    </row>
    <row r="20" spans="1:9" x14ac:dyDescent="0.25">
      <c r="A20" s="2">
        <v>43838</v>
      </c>
      <c r="B20" s="3">
        <v>2.78</v>
      </c>
      <c r="C20" s="3">
        <v>2.88</v>
      </c>
      <c r="D20" s="3"/>
      <c r="E20" s="3"/>
      <c r="F20" s="3"/>
      <c r="G20" s="3"/>
      <c r="H20" s="3"/>
      <c r="I20" s="3"/>
    </row>
    <row r="21" spans="1:9" x14ac:dyDescent="0.25">
      <c r="A21" s="2">
        <v>43858</v>
      </c>
      <c r="B21" s="3">
        <v>2.68</v>
      </c>
      <c r="C21" s="3">
        <v>2.85</v>
      </c>
      <c r="D21" s="3"/>
      <c r="E21" s="3"/>
      <c r="F21" s="3"/>
      <c r="G21" s="3"/>
      <c r="H21" s="3"/>
      <c r="I21" s="3"/>
    </row>
    <row r="22" spans="1:9" x14ac:dyDescent="0.25">
      <c r="A22" s="2">
        <v>43865</v>
      </c>
      <c r="B22" s="3">
        <v>2.77</v>
      </c>
      <c r="C22" s="3">
        <v>3.08</v>
      </c>
      <c r="F22" s="3"/>
      <c r="G22" s="3"/>
      <c r="H22" s="3"/>
      <c r="I22" s="3"/>
    </row>
    <row r="23" spans="1:9" x14ac:dyDescent="0.25">
      <c r="A23" s="2">
        <v>43875</v>
      </c>
      <c r="B23" s="3">
        <v>2.84</v>
      </c>
      <c r="C23" s="3">
        <v>2.68</v>
      </c>
    </row>
    <row r="24" spans="1:9" x14ac:dyDescent="0.25">
      <c r="A24" s="2">
        <v>43882</v>
      </c>
      <c r="B24" s="3">
        <v>2.87</v>
      </c>
      <c r="C24" s="3">
        <v>2.5</v>
      </c>
    </row>
    <row r="25" spans="1:9" x14ac:dyDescent="0.25">
      <c r="A25" s="2">
        <v>43900</v>
      </c>
      <c r="B25" s="3">
        <v>2.86</v>
      </c>
      <c r="C25" s="3">
        <v>2.5299999999999998</v>
      </c>
      <c r="D25">
        <v>2.6</v>
      </c>
      <c r="E25">
        <v>1.4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C113-2DC1-420D-820E-035427B02088}">
  <sheetPr>
    <tabColor rgb="FFFF0000"/>
  </sheetPr>
  <dimension ref="A2:J26"/>
  <sheetViews>
    <sheetView tabSelected="1" workbookViewId="0">
      <selection activeCell="D26" sqref="D26"/>
    </sheetView>
  </sheetViews>
  <sheetFormatPr defaultRowHeight="15" x14ac:dyDescent="0.25"/>
  <cols>
    <col min="1" max="1" width="10.7109375" bestFit="1" customWidth="1"/>
    <col min="2" max="7" width="12.5703125" customWidth="1"/>
  </cols>
  <sheetData>
    <row r="2" spans="1:10" ht="45" x14ac:dyDescent="0.25">
      <c r="B2" s="1" t="s">
        <v>0</v>
      </c>
      <c r="C2" s="1" t="s">
        <v>1</v>
      </c>
      <c r="D2" s="1" t="s">
        <v>2</v>
      </c>
      <c r="E2" s="1" t="s">
        <v>3</v>
      </c>
      <c r="F2" s="1"/>
      <c r="G2" s="1"/>
      <c r="H2" s="1"/>
      <c r="I2" s="1"/>
      <c r="J2" s="1"/>
    </row>
    <row r="3" spans="1:10" x14ac:dyDescent="0.25">
      <c r="A3" s="2">
        <v>43473</v>
      </c>
      <c r="B3" s="3"/>
      <c r="C3" s="3"/>
      <c r="D3" s="3"/>
      <c r="E3" s="3"/>
      <c r="F3" s="3"/>
      <c r="G3" s="3"/>
      <c r="H3" s="3"/>
      <c r="I3" s="3"/>
    </row>
    <row r="4" spans="1:10" x14ac:dyDescent="0.25">
      <c r="A4" s="2">
        <v>43504</v>
      </c>
      <c r="B4" s="3"/>
      <c r="C4" s="3"/>
      <c r="D4" s="3"/>
      <c r="E4" s="3"/>
      <c r="F4" s="3"/>
      <c r="G4" s="3"/>
      <c r="H4" s="3"/>
      <c r="I4" s="3"/>
    </row>
    <row r="5" spans="1:10" x14ac:dyDescent="0.25">
      <c r="A5" s="2">
        <v>43525</v>
      </c>
      <c r="B5" s="3"/>
      <c r="C5" s="3"/>
      <c r="D5" s="3"/>
      <c r="E5" s="3"/>
      <c r="F5" s="3"/>
      <c r="G5" s="3"/>
      <c r="H5" s="3"/>
      <c r="I5" s="3"/>
    </row>
    <row r="6" spans="1:10" x14ac:dyDescent="0.25">
      <c r="A6" s="2">
        <v>43556</v>
      </c>
      <c r="B6" s="3"/>
      <c r="C6" s="3"/>
      <c r="D6" s="3"/>
      <c r="E6" s="3"/>
      <c r="F6" s="3"/>
      <c r="G6" s="3"/>
      <c r="H6" s="3"/>
      <c r="I6" s="3"/>
    </row>
    <row r="7" spans="1:10" x14ac:dyDescent="0.25">
      <c r="A7" s="2">
        <v>43593</v>
      </c>
      <c r="B7" s="3"/>
      <c r="C7" s="3"/>
      <c r="D7" s="3"/>
      <c r="E7" s="3"/>
      <c r="F7" s="3"/>
      <c r="G7" s="3"/>
      <c r="H7" s="3"/>
      <c r="I7" s="3"/>
    </row>
    <row r="8" spans="1:10" x14ac:dyDescent="0.25">
      <c r="A8" s="2">
        <v>43600</v>
      </c>
      <c r="B8" s="3"/>
      <c r="C8" s="3"/>
      <c r="D8" s="3"/>
      <c r="E8" s="3"/>
      <c r="F8" s="3"/>
      <c r="G8" s="3"/>
      <c r="H8" s="3"/>
      <c r="I8" s="3"/>
    </row>
    <row r="9" spans="1:10" x14ac:dyDescent="0.25">
      <c r="A9" s="2">
        <v>43615</v>
      </c>
      <c r="B9" s="3"/>
      <c r="C9" s="3"/>
      <c r="D9" s="3"/>
      <c r="E9" s="3"/>
      <c r="F9" s="3"/>
      <c r="G9" s="3"/>
      <c r="H9" s="3"/>
      <c r="I9" s="3"/>
    </row>
    <row r="10" spans="1:10" x14ac:dyDescent="0.25">
      <c r="A10" s="2">
        <v>43627</v>
      </c>
      <c r="B10" s="3"/>
      <c r="C10" s="3"/>
      <c r="D10" s="3"/>
      <c r="E10" s="3"/>
      <c r="F10" s="3"/>
      <c r="G10" s="3"/>
      <c r="H10" s="3"/>
      <c r="I10" s="3"/>
    </row>
    <row r="11" spans="1:10" x14ac:dyDescent="0.25">
      <c r="A11" s="2">
        <v>43668</v>
      </c>
      <c r="B11" s="3"/>
      <c r="C11" s="3"/>
      <c r="D11" s="3"/>
      <c r="E11" s="3"/>
      <c r="F11" s="3"/>
      <c r="G11" s="3"/>
      <c r="H11" s="3"/>
      <c r="I11" s="3"/>
    </row>
    <row r="12" spans="1:10" x14ac:dyDescent="0.25">
      <c r="A12" s="2">
        <v>43691</v>
      </c>
      <c r="B12" s="3"/>
      <c r="C12" s="3"/>
      <c r="D12" s="3"/>
      <c r="E12" s="3"/>
      <c r="F12" s="3"/>
      <c r="G12" s="3"/>
      <c r="H12" s="3"/>
      <c r="I12" s="3"/>
    </row>
    <row r="13" spans="1:10" x14ac:dyDescent="0.25">
      <c r="A13" s="2">
        <v>43707</v>
      </c>
      <c r="B13" s="3"/>
      <c r="C13" s="3"/>
      <c r="D13" s="3"/>
      <c r="E13" s="3"/>
      <c r="F13" s="3"/>
      <c r="G13" s="3"/>
      <c r="H13" s="3"/>
      <c r="I13" s="3"/>
    </row>
    <row r="14" spans="1:10" x14ac:dyDescent="0.25">
      <c r="A14" s="2">
        <v>43714</v>
      </c>
      <c r="B14" s="3">
        <v>2.75</v>
      </c>
      <c r="C14" s="3"/>
      <c r="D14" s="3"/>
      <c r="E14" s="3"/>
      <c r="F14" s="3"/>
      <c r="G14" s="3"/>
      <c r="H14" s="3"/>
      <c r="I14" s="3"/>
    </row>
    <row r="15" spans="1:10" x14ac:dyDescent="0.25">
      <c r="A15" s="2">
        <v>43738</v>
      </c>
      <c r="B15" s="3">
        <v>2.58</v>
      </c>
      <c r="C15" s="3"/>
      <c r="D15" s="3"/>
      <c r="E15" s="3"/>
      <c r="F15" s="3"/>
      <c r="G15" s="3"/>
      <c r="H15" s="3"/>
      <c r="I15" s="3"/>
    </row>
    <row r="16" spans="1:10" x14ac:dyDescent="0.25">
      <c r="A16" s="2">
        <v>43754</v>
      </c>
      <c r="B16" s="3">
        <v>2.62</v>
      </c>
      <c r="C16" s="3">
        <v>2.76</v>
      </c>
      <c r="D16" s="3"/>
      <c r="E16" s="3"/>
      <c r="F16" s="3"/>
      <c r="G16" s="3"/>
      <c r="H16" s="3"/>
      <c r="I16" s="3"/>
    </row>
    <row r="17" spans="1:9" x14ac:dyDescent="0.25">
      <c r="A17" s="2">
        <v>43772</v>
      </c>
      <c r="B17" s="3">
        <v>2.2200000000000002</v>
      </c>
      <c r="C17" s="3">
        <v>2.7</v>
      </c>
      <c r="D17" s="3"/>
      <c r="E17" s="3"/>
      <c r="F17" s="3"/>
      <c r="G17" s="3"/>
      <c r="H17" s="3"/>
      <c r="I17" s="3"/>
    </row>
    <row r="18" spans="1:9" x14ac:dyDescent="0.25">
      <c r="A18" s="2">
        <v>43788</v>
      </c>
      <c r="B18" s="3">
        <v>2.16</v>
      </c>
      <c r="C18" s="3">
        <v>2.6</v>
      </c>
      <c r="D18" s="3"/>
      <c r="E18" s="3"/>
      <c r="F18" s="3"/>
      <c r="G18" s="3"/>
      <c r="H18" s="3"/>
      <c r="I18" s="3"/>
    </row>
    <row r="19" spans="1:9" x14ac:dyDescent="0.25">
      <c r="A19" s="2">
        <v>43802</v>
      </c>
      <c r="B19" s="3">
        <v>2.46</v>
      </c>
      <c r="C19" s="3">
        <v>2.66</v>
      </c>
      <c r="D19" s="3"/>
      <c r="E19" s="3"/>
      <c r="F19" s="3"/>
      <c r="G19" s="3"/>
      <c r="H19" s="3"/>
      <c r="I19" s="3"/>
    </row>
    <row r="20" spans="1:9" x14ac:dyDescent="0.25">
      <c r="A20" s="2">
        <v>43838</v>
      </c>
      <c r="B20" s="3">
        <v>2.78</v>
      </c>
      <c r="C20" s="3">
        <v>2.87</v>
      </c>
      <c r="D20" s="3"/>
      <c r="E20" s="3"/>
      <c r="F20" s="3"/>
      <c r="G20" s="3"/>
      <c r="H20" s="3"/>
      <c r="I20" s="3"/>
    </row>
    <row r="21" spans="1:9" x14ac:dyDescent="0.25">
      <c r="A21" s="2">
        <v>43858</v>
      </c>
      <c r="B21" s="3">
        <v>2.68</v>
      </c>
      <c r="C21" s="3">
        <v>2.85</v>
      </c>
      <c r="D21" s="3"/>
      <c r="E21" s="3"/>
      <c r="F21" s="3"/>
      <c r="G21" s="3"/>
      <c r="H21" s="3"/>
      <c r="I21" s="3"/>
    </row>
    <row r="22" spans="1:9" x14ac:dyDescent="0.25">
      <c r="A22" s="2">
        <v>43865</v>
      </c>
      <c r="B22" s="3">
        <v>2.77</v>
      </c>
      <c r="C22" s="3">
        <v>3.08</v>
      </c>
      <c r="F22" s="3"/>
      <c r="G22" s="3"/>
      <c r="H22" s="3"/>
      <c r="I22" s="3"/>
    </row>
    <row r="23" spans="1:9" x14ac:dyDescent="0.25">
      <c r="A23" s="2">
        <v>43875</v>
      </c>
      <c r="B23" s="3">
        <v>2.84</v>
      </c>
      <c r="C23" s="3">
        <v>2.66</v>
      </c>
    </row>
    <row r="24" spans="1:9" x14ac:dyDescent="0.25">
      <c r="A24" s="2">
        <v>43882</v>
      </c>
      <c r="B24" s="3">
        <v>2.87</v>
      </c>
      <c r="C24" s="3">
        <v>2.4500000000000002</v>
      </c>
    </row>
    <row r="25" spans="1:9" x14ac:dyDescent="0.25">
      <c r="A25" s="2">
        <v>43900</v>
      </c>
      <c r="B25" s="3">
        <v>2.86</v>
      </c>
      <c r="C25" s="3">
        <v>2.54</v>
      </c>
      <c r="D25">
        <v>2.61</v>
      </c>
      <c r="E25">
        <v>1.4</v>
      </c>
    </row>
    <row r="26" spans="1:9" x14ac:dyDescent="0.25">
      <c r="A26" s="2">
        <v>43914</v>
      </c>
      <c r="C26" s="3">
        <v>1.36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0204</vt:lpstr>
      <vt:lpstr>0310</vt:lpstr>
      <vt:lpstr>0324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2020-02-21T19:28:25Z</dcterms:created>
  <dcterms:modified xsi:type="dcterms:W3CDTF">2020-03-24T13:19:57Z</dcterms:modified>
</cp:coreProperties>
</file>
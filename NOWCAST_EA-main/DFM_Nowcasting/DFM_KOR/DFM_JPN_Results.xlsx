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"/>
    </mc:Choice>
  </mc:AlternateContent>
  <xr:revisionPtr revIDLastSave="0" documentId="14_{26DF62A0-ACFA-4DE5-9A18-D75F9F33D52A}" xr6:coauthVersionLast="36" xr6:coauthVersionMax="36" xr10:uidLastSave="{00000000-0000-0000-0000-000000000000}"/>
  <bookViews>
    <workbookView xWindow="0" yWindow="0" windowWidth="23040" windowHeight="8484" activeTab="3" xr2:uid="{D18A0661-1219-49BB-A20D-CD0204729060}"/>
  </bookViews>
  <sheets>
    <sheet name="Aug5" sheetId="7" r:id="rId1"/>
    <sheet name="Aug21" sheetId="8" r:id="rId2"/>
    <sheet name="Aug21_No_Consensus" sheetId="10" r:id="rId3"/>
    <sheet name="Sep09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9" i="11" l="1"/>
  <c r="D19" i="11"/>
  <c r="C19" i="11" s="1"/>
  <c r="B19" i="11" s="1"/>
  <c r="D14" i="11"/>
  <c r="C14" i="11"/>
  <c r="B14" i="11" s="1"/>
  <c r="D9" i="11"/>
  <c r="C9" i="11" s="1"/>
  <c r="B9" i="11" s="1"/>
  <c r="D4" i="11"/>
  <c r="C4" i="11"/>
  <c r="B4" i="11" s="1"/>
  <c r="E19" i="10" l="1"/>
  <c r="D19" i="10"/>
  <c r="C19" i="10" s="1"/>
  <c r="B19" i="10" s="1"/>
  <c r="D14" i="10"/>
  <c r="C14" i="10"/>
  <c r="B14" i="10" s="1"/>
  <c r="D9" i="10"/>
  <c r="C9" i="10" s="1"/>
  <c r="B9" i="10" s="1"/>
  <c r="D4" i="10"/>
  <c r="C4" i="10"/>
  <c r="B4" i="10"/>
  <c r="E19" i="8"/>
  <c r="D19" i="8" s="1"/>
  <c r="C19" i="8" s="1"/>
  <c r="B19" i="8" s="1"/>
  <c r="D14" i="8"/>
  <c r="C14" i="8" s="1"/>
  <c r="B14" i="8" s="1"/>
  <c r="D9" i="8"/>
  <c r="C9" i="8" s="1"/>
  <c r="B9" i="8" s="1"/>
  <c r="D4" i="8"/>
  <c r="C4" i="8" s="1"/>
  <c r="B4" i="8" s="1"/>
</calcChain>
</file>

<file path=xl/sharedStrings.xml><?xml version="1.0" encoding="utf-8"?>
<sst xmlns="http://schemas.openxmlformats.org/spreadsheetml/2006/main" count="203" uniqueCount="26">
  <si>
    <t>DFM Nowcast</t>
  </si>
  <si>
    <t>2018Q4</t>
  </si>
  <si>
    <t>2019Q1</t>
  </si>
  <si>
    <t>GPM Nowcast*</t>
  </si>
  <si>
    <t>Actual</t>
  </si>
  <si>
    <t>March</t>
  </si>
  <si>
    <t>September</t>
  </si>
  <si>
    <t>October</t>
  </si>
  <si>
    <t>November</t>
  </si>
  <si>
    <t>December</t>
  </si>
  <si>
    <t>January</t>
  </si>
  <si>
    <t>February</t>
  </si>
  <si>
    <t>2018Q3</t>
  </si>
  <si>
    <t>June</t>
  </si>
  <si>
    <t>July</t>
  </si>
  <si>
    <t>August</t>
  </si>
  <si>
    <t>2019Q2</t>
  </si>
  <si>
    <t>April</t>
  </si>
  <si>
    <t>May</t>
  </si>
  <si>
    <t>* GPM Nowcast refers to first monitoring forecast each month</t>
  </si>
  <si>
    <t>Includes Leading index and composite index</t>
  </si>
  <si>
    <t>2019Q3</t>
  </si>
  <si>
    <t>*** Model estimation with Q2 numbers</t>
  </si>
  <si>
    <t>* GPM Nowcast refers to Monitoring closer to data updates (21st of every month)</t>
  </si>
  <si>
    <t>Model estimation with all data available through August 21st 2019</t>
  </si>
  <si>
    <t>Model estimation with all data available through Sept 6th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</si>
</sst>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'Aug5'!$A$2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'Aug5'!$B$1:$E$1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'Aug5'!$B$2:$E$2</c:f>
              <c:numCache>
                <c:formatCode>0.00</c:formatCode>
                <c:ptCount val="4"/>
                <c:pt idx="0">
                  <c:v>0.2</c:v>
                </c:pt>
                <c:pt idx="1">
                  <c:v>0.22</c:v>
                </c:pt>
                <c:pt idx="2">
                  <c:v>0.28000000000000003</c:v>
                </c:pt>
                <c:pt idx="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61-4DFC-970C-67A0845A7568}"/>
            </c:ext>
          </c:extLst>
        </c:ser>
        <c:ser>
          <c:idx val="1"/>
          <c:order val="1"/>
          <c:tx>
            <c:strRef>
              <c:f>'Aug5'!$A$3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'Aug5'!$B$1:$E$1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'Aug5'!$B$3:$E$3</c:f>
              <c:numCache>
                <c:formatCode>0.00</c:formatCode>
                <c:ptCount val="4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61-4DFC-970C-67A0845A7568}"/>
            </c:ext>
          </c:extLst>
        </c:ser>
        <c:ser>
          <c:idx val="2"/>
          <c:order val="2"/>
          <c:tx>
            <c:strRef>
              <c:f>'Aug5'!$A$4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'Aug5'!$B$1:$E$1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'Aug5'!$B$4:$E$4</c:f>
              <c:numCache>
                <c:formatCode>0.00</c:formatCode>
                <c:ptCount val="4"/>
                <c:pt idx="3">
                  <c:v>-2.57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61-4DFC-970C-67A0845A7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'Aug5'!$A$7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'Aug5'!$B$6:$E$6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'Aug5'!$B$7:$E$7</c:f>
              <c:numCache>
                <c:formatCode>0.00</c:formatCode>
                <c:ptCount val="4"/>
                <c:pt idx="0">
                  <c:v>0.79</c:v>
                </c:pt>
                <c:pt idx="1">
                  <c:v>3.33</c:v>
                </c:pt>
                <c:pt idx="2">
                  <c:v>1.91</c:v>
                </c:pt>
                <c:pt idx="3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9-444B-AE61-F5D25DFC6B1D}"/>
            </c:ext>
          </c:extLst>
        </c:ser>
        <c:ser>
          <c:idx val="1"/>
          <c:order val="1"/>
          <c:tx>
            <c:strRef>
              <c:f>'Aug5'!$A$8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'Aug5'!$B$6:$E$6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'Aug5'!$B$8:$E$8</c:f>
              <c:numCache>
                <c:formatCode>0.00</c:formatCode>
                <c:ptCount val="4"/>
                <c:pt idx="0">
                  <c:v>1.2</c:v>
                </c:pt>
                <c:pt idx="1">
                  <c:v>1.2</c:v>
                </c:pt>
                <c:pt idx="2">
                  <c:v>2.2000000000000002</c:v>
                </c:pt>
                <c:pt idx="3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59-444B-AE61-F5D25DFC6B1D}"/>
            </c:ext>
          </c:extLst>
        </c:ser>
        <c:ser>
          <c:idx val="2"/>
          <c:order val="2"/>
          <c:tx>
            <c:strRef>
              <c:f>'Aug5'!$A$9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'Aug5'!$B$6:$E$6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'Aug5'!$B$9:$E$9</c:f>
              <c:numCache>
                <c:formatCode>0.00</c:formatCode>
                <c:ptCount val="4"/>
                <c:pt idx="3">
                  <c:v>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59-444B-AE61-F5D25DFC6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'Aug5'!$A$12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'Aug5'!$B$11:$E$11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'Aug5'!$B$12:$E$12</c:f>
              <c:numCache>
                <c:formatCode>0.00</c:formatCode>
                <c:ptCount val="4"/>
                <c:pt idx="0">
                  <c:v>0.53</c:v>
                </c:pt>
                <c:pt idx="1">
                  <c:v>-1.51</c:v>
                </c:pt>
                <c:pt idx="2">
                  <c:v>-0.55000000000000004</c:v>
                </c:pt>
                <c:pt idx="3">
                  <c:v>-0.74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1D-4079-B666-08BD0C781D21}"/>
            </c:ext>
          </c:extLst>
        </c:ser>
        <c:ser>
          <c:idx val="1"/>
          <c:order val="1"/>
          <c:tx>
            <c:strRef>
              <c:f>'Aug5'!$A$13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'Aug5'!$B$11:$E$11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'Aug5'!$B$13:$E$13</c:f>
              <c:numCache>
                <c:formatCode>0.00</c:formatCode>
                <c:ptCount val="4"/>
                <c:pt idx="0">
                  <c:v>0.9</c:v>
                </c:pt>
                <c:pt idx="1">
                  <c:v>0.9</c:v>
                </c:pt>
                <c:pt idx="2">
                  <c:v>1.1000000000000001</c:v>
                </c:pt>
                <c:pt idx="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1D-4079-B666-08BD0C781D21}"/>
            </c:ext>
          </c:extLst>
        </c:ser>
        <c:ser>
          <c:idx val="2"/>
          <c:order val="2"/>
          <c:tx>
            <c:strRef>
              <c:f>'Aug5'!$A$14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'Aug5'!$B$11:$E$11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'Aug5'!$B$14:$E$14</c:f>
              <c:numCache>
                <c:formatCode>0.00</c:formatCode>
                <c:ptCount val="4"/>
                <c:pt idx="3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1D-4079-B666-08BD0C781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'Aug5'!$A$17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'Aug5'!$B$16:$F$16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'Aug5'!$B$17:$F$17</c:f>
              <c:numCache>
                <c:formatCode>0.00</c:formatCode>
                <c:ptCount val="5"/>
                <c:pt idx="0">
                  <c:v>0.46</c:v>
                </c:pt>
                <c:pt idx="1">
                  <c:v>1.59</c:v>
                </c:pt>
                <c:pt idx="2">
                  <c:v>2.41</c:v>
                </c:pt>
                <c:pt idx="3">
                  <c:v>1.4</c:v>
                </c:pt>
                <c:pt idx="4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19-48FB-934F-FE7DADBB6404}"/>
            </c:ext>
          </c:extLst>
        </c:ser>
        <c:ser>
          <c:idx val="1"/>
          <c:order val="1"/>
          <c:tx>
            <c:strRef>
              <c:f>'Aug5'!$A$18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'Aug5'!$B$16:$F$16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'Aug5'!$B$18:$F$18</c:f>
              <c:numCache>
                <c:formatCode>0.00</c:formatCode>
                <c:ptCount val="5"/>
                <c:pt idx="0">
                  <c:v>1.6</c:v>
                </c:pt>
                <c:pt idx="1">
                  <c:v>2.2999999999999998</c:v>
                </c:pt>
                <c:pt idx="2">
                  <c:v>-0.4</c:v>
                </c:pt>
                <c:pt idx="3">
                  <c:v>-0.3</c:v>
                </c:pt>
                <c:pt idx="4">
                  <c:v>-0.1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19-48FB-934F-FE7DADBB6404}"/>
            </c:ext>
          </c:extLst>
        </c:ser>
        <c:ser>
          <c:idx val="2"/>
          <c:order val="2"/>
          <c:tx>
            <c:strRef>
              <c:f>'Aug5'!$A$19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'Aug5'!$B$16:$F$16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'Aug5'!$B$19:$F$19</c:f>
              <c:numCache>
                <c:formatCode>0.00</c:formatCode>
                <c:ptCount val="5"/>
                <c:pt idx="4">
                  <c:v>1.7665470000000001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19-48FB-934F-FE7DADBB6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'Aug5'!$A$22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'Aug5'!$B$21:$E$21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'Aug5'!$B$22:$E$22</c:f>
              <c:numCache>
                <c:formatCode>0.00</c:formatCode>
                <c:ptCount val="4"/>
                <c:pt idx="0">
                  <c:v>-1.2</c:v>
                </c:pt>
                <c:pt idx="1">
                  <c:v>-1.41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94-4FBB-B619-C6A8CF8293E1}"/>
            </c:ext>
          </c:extLst>
        </c:ser>
        <c:ser>
          <c:idx val="1"/>
          <c:order val="1"/>
          <c:tx>
            <c:strRef>
              <c:f>'Aug5'!$A$23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'Aug5'!$B$21:$E$21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'Aug5'!$B$23:$E$23</c:f>
              <c:numCache>
                <c:formatCode>0.00</c:formatCode>
                <c:ptCount val="4"/>
                <c:pt idx="0">
                  <c:v>2.2000000000000002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94-4FBB-B619-C6A8CF8293E1}"/>
            </c:ext>
          </c:extLst>
        </c:ser>
        <c:ser>
          <c:idx val="2"/>
          <c:order val="2"/>
          <c:tx>
            <c:strRef>
              <c:f>'Aug5'!$A$24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'Aug5'!$B$21:$E$21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'Aug5'!$B$24:$E$24</c:f>
              <c:numCache>
                <c:formatCode>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94-4FBB-B619-C6A8CF829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'Aug21'!$A$12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'Aug21'!$B$11:$G$11</c:f>
              <c:strCache>
                <c:ptCount val="6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</c:strCache>
            </c:strRef>
          </c:cat>
          <c:val>
            <c:numRef>
              <c:f>'Aug21'!$B$12:$G$12</c:f>
              <c:numCache>
                <c:formatCode>0.00</c:formatCode>
                <c:ptCount val="6"/>
                <c:pt idx="0">
                  <c:v>-0.43</c:v>
                </c:pt>
                <c:pt idx="1">
                  <c:v>-0.54</c:v>
                </c:pt>
                <c:pt idx="2">
                  <c:v>-0.22</c:v>
                </c:pt>
                <c:pt idx="3">
                  <c:v>0.12</c:v>
                </c:pt>
                <c:pt idx="4">
                  <c:v>-0.59</c:v>
                </c:pt>
                <c:pt idx="5">
                  <c:v>-0.57999999999999996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40-4DC4-9A4E-E69414CB63AF}"/>
            </c:ext>
          </c:extLst>
        </c:ser>
        <c:ser>
          <c:idx val="1"/>
          <c:order val="1"/>
          <c:tx>
            <c:strRef>
              <c:f>'Aug21'!$A$13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'Aug21'!$B$11:$G$11</c:f>
              <c:strCache>
                <c:ptCount val="6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</c:strCache>
            </c:strRef>
          </c:cat>
          <c:val>
            <c:numRef>
              <c:f>'Aug21'!$B$13:$G$13</c:f>
              <c:numCache>
                <c:formatCode>0.00</c:formatCode>
                <c:ptCount val="6"/>
                <c:pt idx="0">
                  <c:v>0.9</c:v>
                </c:pt>
                <c:pt idx="1">
                  <c:v>0.9</c:v>
                </c:pt>
                <c:pt idx="2">
                  <c:v>1.1000000000000001</c:v>
                </c:pt>
                <c:pt idx="3">
                  <c:v>0.7</c:v>
                </c:pt>
                <c:pt idx="4">
                  <c:v>-0.3</c:v>
                </c:pt>
                <c:pt idx="5">
                  <c:v>-0.3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40-4DC4-9A4E-E69414CB63AF}"/>
            </c:ext>
          </c:extLst>
        </c:ser>
        <c:ser>
          <c:idx val="2"/>
          <c:order val="2"/>
          <c:tx>
            <c:strRef>
              <c:f>'Aug21'!$A$14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'Aug21'!$B$11:$G$11</c:f>
              <c:strCache>
                <c:ptCount val="6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</c:strCache>
            </c:strRef>
          </c:cat>
          <c:val>
            <c:numRef>
              <c:f>'Aug21'!$B$14:$G$14</c:f>
              <c:numCache>
                <c:formatCode>0.00</c:formatCode>
                <c:ptCount val="6"/>
                <c:pt idx="0">
                  <c:v>2.2200000000000002</c:v>
                </c:pt>
                <c:pt idx="1">
                  <c:v>2.2200000000000002</c:v>
                </c:pt>
                <c:pt idx="2">
                  <c:v>2.2200000000000002</c:v>
                </c:pt>
                <c:pt idx="3">
                  <c:v>2.2200000000000002</c:v>
                </c:pt>
                <c:pt idx="4">
                  <c:v>2.2200000000000002</c:v>
                </c:pt>
                <c:pt idx="5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40-4DC4-9A4E-E69414CB6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'Aug21'!$A$22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'Aug21'!$B$21:$G$21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'Aug21'!$B$22:$G$22</c:f>
              <c:numCache>
                <c:formatCode>0.00</c:formatCode>
                <c:ptCount val="6"/>
                <c:pt idx="0">
                  <c:v>0.84</c:v>
                </c:pt>
                <c:pt idx="1">
                  <c:v>1.99</c:v>
                </c:pt>
                <c:pt idx="2">
                  <c:v>-0.62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48-4200-9D86-F64C7BCFCF02}"/>
            </c:ext>
          </c:extLst>
        </c:ser>
        <c:ser>
          <c:idx val="1"/>
          <c:order val="1"/>
          <c:tx>
            <c:strRef>
              <c:f>'Aug21'!$A$23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'Aug21'!$B$21:$G$21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'Aug21'!$B$23:$G$23</c:f>
              <c:numCache>
                <c:formatCode>0.00</c:formatCode>
                <c:ptCount val="6"/>
                <c:pt idx="0">
                  <c:v>2.2000000000000002</c:v>
                </c:pt>
                <c:pt idx="1">
                  <c:v>2</c:v>
                </c:pt>
                <c:pt idx="2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48-4200-9D86-F64C7BCFCF02}"/>
            </c:ext>
          </c:extLst>
        </c:ser>
        <c:ser>
          <c:idx val="2"/>
          <c:order val="2"/>
          <c:tx>
            <c:strRef>
              <c:f>'Aug21'!$A$24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'Aug21'!$B$21:$G$21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'Aug21'!$B$24:$G$24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8-4200-9D86-F64C7BCFC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'Aug21'!$A$2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'Aug21'!$B$1:$G$1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'Aug21'!$B$2:$G$2</c:f>
              <c:numCache>
                <c:formatCode>0.00</c:formatCode>
                <c:ptCount val="6"/>
                <c:pt idx="0">
                  <c:v>0.66</c:v>
                </c:pt>
                <c:pt idx="1">
                  <c:v>0.18</c:v>
                </c:pt>
                <c:pt idx="2">
                  <c:v>-0.92</c:v>
                </c:pt>
                <c:pt idx="3">
                  <c:v>-0.15</c:v>
                </c:pt>
                <c:pt idx="4">
                  <c:v>-0.59</c:v>
                </c:pt>
                <c:pt idx="5">
                  <c:v>-0.25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71-409A-9E98-A3EB303C4652}"/>
            </c:ext>
          </c:extLst>
        </c:ser>
        <c:ser>
          <c:idx val="1"/>
          <c:order val="1"/>
          <c:tx>
            <c:strRef>
              <c:f>'Aug21'!$A$3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'Aug21'!$B$1:$G$1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'Aug21'!$B$3:$G$3</c:f>
              <c:numCache>
                <c:formatCode>0.00</c:formatCode>
                <c:ptCount val="6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0.9</c:v>
                </c:pt>
                <c:pt idx="4">
                  <c:v>1.5</c:v>
                </c:pt>
                <c:pt idx="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71-409A-9E98-A3EB303C4652}"/>
            </c:ext>
          </c:extLst>
        </c:ser>
        <c:ser>
          <c:idx val="2"/>
          <c:order val="2"/>
          <c:tx>
            <c:strRef>
              <c:f>'Aug21'!$A$4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'Aug21'!$B$1:$G$1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'Aug21'!$B$4:$G$4</c:f>
              <c:numCache>
                <c:formatCode>0.00</c:formatCode>
                <c:ptCount val="6"/>
                <c:pt idx="0">
                  <c:v>-2.57</c:v>
                </c:pt>
                <c:pt idx="1">
                  <c:v>-2.57</c:v>
                </c:pt>
                <c:pt idx="2">
                  <c:v>-2.57</c:v>
                </c:pt>
                <c:pt idx="3">
                  <c:v>-2.57</c:v>
                </c:pt>
                <c:pt idx="4">
                  <c:v>-2.57</c:v>
                </c:pt>
                <c:pt idx="5">
                  <c:v>-2.57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71-409A-9E98-A3EB303C4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191101112360955E-3"/>
          <c:y val="0.82291557305336838"/>
          <c:w val="0.96762119020836679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'Aug21'!$A$7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'Aug21'!$B$6:$G$6</c:f>
              <c:strCache>
                <c:ptCount val="6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</c:strCache>
            </c:strRef>
          </c:cat>
          <c:val>
            <c:numRef>
              <c:f>'Aug21'!$B$7:$G$7</c:f>
              <c:numCache>
                <c:formatCode>0.00</c:formatCode>
                <c:ptCount val="6"/>
                <c:pt idx="0">
                  <c:v>0.95</c:v>
                </c:pt>
                <c:pt idx="1">
                  <c:v>-0.36</c:v>
                </c:pt>
                <c:pt idx="2">
                  <c:v>2.98</c:v>
                </c:pt>
                <c:pt idx="3">
                  <c:v>0.32</c:v>
                </c:pt>
                <c:pt idx="4">
                  <c:v>0.84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3-4E56-9CF4-C1F7F1190790}"/>
            </c:ext>
          </c:extLst>
        </c:ser>
        <c:ser>
          <c:idx val="1"/>
          <c:order val="1"/>
          <c:tx>
            <c:strRef>
              <c:f>'Aug21'!$A$8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'Aug21'!$B$6:$G$6</c:f>
              <c:strCache>
                <c:ptCount val="6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</c:strCache>
            </c:strRef>
          </c:cat>
          <c:val>
            <c:numRef>
              <c:f>'Aug21'!$B$8:$G$8</c:f>
              <c:numCache>
                <c:formatCode>0.00</c:formatCode>
                <c:ptCount val="6"/>
                <c:pt idx="0">
                  <c:v>1.2</c:v>
                </c:pt>
                <c:pt idx="1">
                  <c:v>1.2</c:v>
                </c:pt>
                <c:pt idx="2">
                  <c:v>2.2000000000000002</c:v>
                </c:pt>
                <c:pt idx="3">
                  <c:v>2.4</c:v>
                </c:pt>
                <c:pt idx="4">
                  <c:v>1.8</c:v>
                </c:pt>
                <c:pt idx="5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3-4E56-9CF4-C1F7F1190790}"/>
            </c:ext>
          </c:extLst>
        </c:ser>
        <c:ser>
          <c:idx val="2"/>
          <c:order val="2"/>
          <c:tx>
            <c:strRef>
              <c:f>'Aug21'!$A$9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'Aug21'!$B$6:$G$6</c:f>
              <c:strCache>
                <c:ptCount val="6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</c:strCache>
            </c:strRef>
          </c:cat>
          <c:val>
            <c:numRef>
              <c:f>'Aug21'!$B$9:$G$9</c:f>
              <c:numCache>
                <c:formatCode>0.00</c:formatCode>
                <c:ptCount val="6"/>
                <c:pt idx="0">
                  <c:v>1.83</c:v>
                </c:pt>
                <c:pt idx="1">
                  <c:v>1.83</c:v>
                </c:pt>
                <c:pt idx="2">
                  <c:v>1.83</c:v>
                </c:pt>
                <c:pt idx="3">
                  <c:v>1.83</c:v>
                </c:pt>
                <c:pt idx="4">
                  <c:v>1.83</c:v>
                </c:pt>
                <c:pt idx="5">
                  <c:v>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3-4E56-9CF4-C1F7F1190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'Aug21'!$A$17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'Aug21'!$B$16:$F$16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'Aug21'!$B$17:$F$17</c:f>
              <c:numCache>
                <c:formatCode>0.00</c:formatCode>
                <c:ptCount val="5"/>
                <c:pt idx="0">
                  <c:v>1.94</c:v>
                </c:pt>
                <c:pt idx="1">
                  <c:v>0.48</c:v>
                </c:pt>
                <c:pt idx="2">
                  <c:v>1.7</c:v>
                </c:pt>
                <c:pt idx="3">
                  <c:v>1.79</c:v>
                </c:pt>
                <c:pt idx="4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4-49E7-94E4-11B43B4A00F7}"/>
            </c:ext>
          </c:extLst>
        </c:ser>
        <c:ser>
          <c:idx val="1"/>
          <c:order val="1"/>
          <c:tx>
            <c:strRef>
              <c:f>'Aug21'!$A$18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'Aug21'!$B$16:$F$16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'Aug21'!$B$18:$F$18</c:f>
              <c:numCache>
                <c:formatCode>0.00</c:formatCode>
                <c:ptCount val="5"/>
                <c:pt idx="0">
                  <c:v>1.6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-0.3</c:v>
                </c:pt>
                <c:pt idx="4">
                  <c:v>-0.1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E4-49E7-94E4-11B43B4A00F7}"/>
            </c:ext>
          </c:extLst>
        </c:ser>
        <c:ser>
          <c:idx val="2"/>
          <c:order val="2"/>
          <c:tx>
            <c:strRef>
              <c:f>'Aug21'!$A$19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'Aug21'!$B$16:$F$16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'Aug21'!$B$19:$F$19</c:f>
              <c:numCache>
                <c:formatCode>0.00</c:formatCode>
                <c:ptCount val="5"/>
                <c:pt idx="0">
                  <c:v>1.7665470000000001</c:v>
                </c:pt>
                <c:pt idx="1">
                  <c:v>1.7665470000000001</c:v>
                </c:pt>
                <c:pt idx="2">
                  <c:v>1.7665470000000001</c:v>
                </c:pt>
                <c:pt idx="3">
                  <c:v>1.7665470000000001</c:v>
                </c:pt>
                <c:pt idx="4">
                  <c:v>1.7665470000000001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E4-49E7-94E4-11B43B4A0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Aug21_No_Consensus!$A$12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Aug21_No_Consensus!$B$11:$G$11</c:f>
              <c:strCache>
                <c:ptCount val="6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</c:strCache>
            </c:strRef>
          </c:cat>
          <c:val>
            <c:numRef>
              <c:f>Aug21_No_Consensus!$B$12:$G$12</c:f>
              <c:numCache>
                <c:formatCode>0.00</c:formatCode>
                <c:ptCount val="6"/>
                <c:pt idx="0">
                  <c:v>-0.57999999999999996</c:v>
                </c:pt>
                <c:pt idx="1">
                  <c:v>-0.54</c:v>
                </c:pt>
                <c:pt idx="2">
                  <c:v>-0.21</c:v>
                </c:pt>
                <c:pt idx="3">
                  <c:v>0.12</c:v>
                </c:pt>
                <c:pt idx="4">
                  <c:v>-0.59</c:v>
                </c:pt>
                <c:pt idx="5">
                  <c:v>-0.59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3-4279-A8EA-4763A65DA413}"/>
            </c:ext>
          </c:extLst>
        </c:ser>
        <c:ser>
          <c:idx val="1"/>
          <c:order val="1"/>
          <c:tx>
            <c:strRef>
              <c:f>Aug21_No_Consensus!$A$13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Aug21_No_Consensus!$B$11:$G$11</c:f>
              <c:strCache>
                <c:ptCount val="6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</c:strCache>
            </c:strRef>
          </c:cat>
          <c:val>
            <c:numRef>
              <c:f>Aug21_No_Consensus!$B$13:$G$13</c:f>
              <c:numCache>
                <c:formatCode>0.00</c:formatCode>
                <c:ptCount val="6"/>
                <c:pt idx="0">
                  <c:v>0.9</c:v>
                </c:pt>
                <c:pt idx="1">
                  <c:v>0.9</c:v>
                </c:pt>
                <c:pt idx="2">
                  <c:v>1.1000000000000001</c:v>
                </c:pt>
                <c:pt idx="3">
                  <c:v>0.7</c:v>
                </c:pt>
                <c:pt idx="4">
                  <c:v>-0.3</c:v>
                </c:pt>
                <c:pt idx="5">
                  <c:v>-0.3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43-4279-A8EA-4763A65DA413}"/>
            </c:ext>
          </c:extLst>
        </c:ser>
        <c:ser>
          <c:idx val="2"/>
          <c:order val="2"/>
          <c:tx>
            <c:strRef>
              <c:f>Aug21_No_Consensus!$A$14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Aug21_No_Consensus!$B$11:$G$11</c:f>
              <c:strCache>
                <c:ptCount val="6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</c:strCache>
            </c:strRef>
          </c:cat>
          <c:val>
            <c:numRef>
              <c:f>Aug21_No_Consensus!$B$14:$G$14</c:f>
              <c:numCache>
                <c:formatCode>0.00</c:formatCode>
                <c:ptCount val="6"/>
                <c:pt idx="0">
                  <c:v>2.2200000000000002</c:v>
                </c:pt>
                <c:pt idx="1">
                  <c:v>2.2200000000000002</c:v>
                </c:pt>
                <c:pt idx="2">
                  <c:v>2.2200000000000002</c:v>
                </c:pt>
                <c:pt idx="3">
                  <c:v>2.2200000000000002</c:v>
                </c:pt>
                <c:pt idx="4">
                  <c:v>2.2200000000000002</c:v>
                </c:pt>
                <c:pt idx="5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43-4279-A8EA-4763A65DA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Aug21_No_Consensus!$A$22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Aug21_No_Consensus!$B$21:$G$21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Aug21_No_Consensus!$B$22:$G$22</c:f>
              <c:numCache>
                <c:formatCode>0.00</c:formatCode>
                <c:ptCount val="6"/>
                <c:pt idx="0">
                  <c:v>0.98</c:v>
                </c:pt>
                <c:pt idx="1">
                  <c:v>2.02</c:v>
                </c:pt>
                <c:pt idx="2">
                  <c:v>-0.64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06-4EB0-97EE-19F4E7807905}"/>
            </c:ext>
          </c:extLst>
        </c:ser>
        <c:ser>
          <c:idx val="1"/>
          <c:order val="1"/>
          <c:tx>
            <c:strRef>
              <c:f>Aug21_No_Consensus!$A$23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Aug21_No_Consensus!$B$21:$G$21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Aug21_No_Consensus!$B$23:$G$23</c:f>
              <c:numCache>
                <c:formatCode>0.00</c:formatCode>
                <c:ptCount val="6"/>
                <c:pt idx="0">
                  <c:v>2.2000000000000002</c:v>
                </c:pt>
                <c:pt idx="1">
                  <c:v>2</c:v>
                </c:pt>
                <c:pt idx="2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06-4EB0-97EE-19F4E7807905}"/>
            </c:ext>
          </c:extLst>
        </c:ser>
        <c:ser>
          <c:idx val="2"/>
          <c:order val="2"/>
          <c:tx>
            <c:strRef>
              <c:f>Aug21_No_Consensus!$A$24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Aug21_No_Consensus!$B$21:$G$21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Aug21_No_Consensus!$B$24:$G$24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06-4EB0-97EE-19F4E7807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Aug21_No_Consensus!$A$2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Aug21_No_Consensus!$B$1:$G$1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Aug21_No_Consensus!$B$2:$G$2</c:f>
              <c:numCache>
                <c:formatCode>0.00</c:formatCode>
                <c:ptCount val="6"/>
                <c:pt idx="0">
                  <c:v>0.68</c:v>
                </c:pt>
                <c:pt idx="1">
                  <c:v>0.18</c:v>
                </c:pt>
                <c:pt idx="2">
                  <c:v>-0.9</c:v>
                </c:pt>
                <c:pt idx="3">
                  <c:v>-0.14000000000000001</c:v>
                </c:pt>
                <c:pt idx="4">
                  <c:v>-0.57999999999999996</c:v>
                </c:pt>
                <c:pt idx="5">
                  <c:v>-0.23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2-4C6C-B15E-F5DDB3F49C61}"/>
            </c:ext>
          </c:extLst>
        </c:ser>
        <c:ser>
          <c:idx val="1"/>
          <c:order val="1"/>
          <c:tx>
            <c:strRef>
              <c:f>Aug21_No_Consensus!$A$3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Aug21_No_Consensus!$B$1:$G$1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Aug21_No_Consensus!$B$3:$G$3</c:f>
              <c:numCache>
                <c:formatCode>0.00</c:formatCode>
                <c:ptCount val="6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0.9</c:v>
                </c:pt>
                <c:pt idx="4">
                  <c:v>1.5</c:v>
                </c:pt>
                <c:pt idx="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D2-4C6C-B15E-F5DDB3F49C61}"/>
            </c:ext>
          </c:extLst>
        </c:ser>
        <c:ser>
          <c:idx val="2"/>
          <c:order val="2"/>
          <c:tx>
            <c:strRef>
              <c:f>Aug21_No_Consensus!$A$4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Aug21_No_Consensus!$B$1:$G$1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Aug21_No_Consensus!$B$4:$G$4</c:f>
              <c:numCache>
                <c:formatCode>0.00</c:formatCode>
                <c:ptCount val="6"/>
                <c:pt idx="0">
                  <c:v>-2.57</c:v>
                </c:pt>
                <c:pt idx="1">
                  <c:v>-2.57</c:v>
                </c:pt>
                <c:pt idx="2">
                  <c:v>-2.57</c:v>
                </c:pt>
                <c:pt idx="3">
                  <c:v>-2.57</c:v>
                </c:pt>
                <c:pt idx="4">
                  <c:v>-2.57</c:v>
                </c:pt>
                <c:pt idx="5">
                  <c:v>-2.57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D2-4C6C-B15E-F5DDB3F49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191101112360955E-3"/>
          <c:y val="0.82291557305336838"/>
          <c:w val="0.96762119020836679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Aug21_No_Consensus!$A$7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Aug21_No_Consensus!$B$6:$G$6</c:f>
              <c:strCache>
                <c:ptCount val="6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</c:strCache>
            </c:strRef>
          </c:cat>
          <c:val>
            <c:numRef>
              <c:f>Aug21_No_Consensus!$B$7:$G$7</c:f>
              <c:numCache>
                <c:formatCode>0.00</c:formatCode>
                <c:ptCount val="6"/>
                <c:pt idx="0">
                  <c:v>0.93</c:v>
                </c:pt>
                <c:pt idx="1">
                  <c:v>-0.35</c:v>
                </c:pt>
                <c:pt idx="2">
                  <c:v>2.97</c:v>
                </c:pt>
                <c:pt idx="3">
                  <c:v>0.28999999999999998</c:v>
                </c:pt>
                <c:pt idx="4">
                  <c:v>0.85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6-4EBE-8B1A-3D76E8C80C31}"/>
            </c:ext>
          </c:extLst>
        </c:ser>
        <c:ser>
          <c:idx val="1"/>
          <c:order val="1"/>
          <c:tx>
            <c:strRef>
              <c:f>Aug21_No_Consensus!$A$8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Aug21_No_Consensus!$B$6:$G$6</c:f>
              <c:strCache>
                <c:ptCount val="6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</c:strCache>
            </c:strRef>
          </c:cat>
          <c:val>
            <c:numRef>
              <c:f>Aug21_No_Consensus!$B$8:$G$8</c:f>
              <c:numCache>
                <c:formatCode>0.00</c:formatCode>
                <c:ptCount val="6"/>
                <c:pt idx="0">
                  <c:v>1.2</c:v>
                </c:pt>
                <c:pt idx="1">
                  <c:v>1.2</c:v>
                </c:pt>
                <c:pt idx="2">
                  <c:v>2.2000000000000002</c:v>
                </c:pt>
                <c:pt idx="3">
                  <c:v>2.4</c:v>
                </c:pt>
                <c:pt idx="4">
                  <c:v>1.8</c:v>
                </c:pt>
                <c:pt idx="5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76-4EBE-8B1A-3D76E8C80C31}"/>
            </c:ext>
          </c:extLst>
        </c:ser>
        <c:ser>
          <c:idx val="2"/>
          <c:order val="2"/>
          <c:tx>
            <c:strRef>
              <c:f>Aug21_No_Consensus!$A$9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Aug21_No_Consensus!$B$6:$G$6</c:f>
              <c:strCache>
                <c:ptCount val="6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</c:strCache>
            </c:strRef>
          </c:cat>
          <c:val>
            <c:numRef>
              <c:f>Aug21_No_Consensus!$B$9:$G$9</c:f>
              <c:numCache>
                <c:formatCode>0.00</c:formatCode>
                <c:ptCount val="6"/>
                <c:pt idx="0">
                  <c:v>1.83</c:v>
                </c:pt>
                <c:pt idx="1">
                  <c:v>1.83</c:v>
                </c:pt>
                <c:pt idx="2">
                  <c:v>1.83</c:v>
                </c:pt>
                <c:pt idx="3">
                  <c:v>1.83</c:v>
                </c:pt>
                <c:pt idx="4">
                  <c:v>1.83</c:v>
                </c:pt>
                <c:pt idx="5">
                  <c:v>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76-4EBE-8B1A-3D76E8C80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Aug21_No_Consensus!$A$17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Aug21_No_Consensus!$B$16:$G$16</c:f>
              <c:strCache>
                <c:ptCount val="6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</c:strCache>
            </c:strRef>
          </c:cat>
          <c:val>
            <c:numRef>
              <c:f>Aug21_No_Consensus!$B$17:$G$17</c:f>
              <c:numCache>
                <c:formatCode>0.00</c:formatCode>
                <c:ptCount val="6"/>
                <c:pt idx="0">
                  <c:v>1.98</c:v>
                </c:pt>
                <c:pt idx="1">
                  <c:v>0.48</c:v>
                </c:pt>
                <c:pt idx="2">
                  <c:v>1.7</c:v>
                </c:pt>
                <c:pt idx="3">
                  <c:v>1.82</c:v>
                </c:pt>
                <c:pt idx="4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B-4DA0-85A0-6380D42504CA}"/>
            </c:ext>
          </c:extLst>
        </c:ser>
        <c:ser>
          <c:idx val="1"/>
          <c:order val="1"/>
          <c:tx>
            <c:strRef>
              <c:f>Aug21_No_Consensus!$A$18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Aug21_No_Consensus!$B$16:$G$16</c:f>
              <c:strCache>
                <c:ptCount val="6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</c:strCache>
            </c:strRef>
          </c:cat>
          <c:val>
            <c:numRef>
              <c:f>Aug21_No_Consensus!$B$18:$G$18</c:f>
              <c:numCache>
                <c:formatCode>0.00</c:formatCode>
                <c:ptCount val="6"/>
                <c:pt idx="0">
                  <c:v>1.6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-0.3</c:v>
                </c:pt>
                <c:pt idx="4">
                  <c:v>-0.1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B-4DA0-85A0-6380D42504CA}"/>
            </c:ext>
          </c:extLst>
        </c:ser>
        <c:ser>
          <c:idx val="2"/>
          <c:order val="2"/>
          <c:tx>
            <c:strRef>
              <c:f>Aug21_No_Consensus!$A$19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Aug21_No_Consensus!$B$16:$G$16</c:f>
              <c:strCache>
                <c:ptCount val="6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</c:strCache>
            </c:strRef>
          </c:cat>
          <c:val>
            <c:numRef>
              <c:f>Aug21_No_Consensus!$B$19:$G$19</c:f>
              <c:numCache>
                <c:formatCode>0.00</c:formatCode>
                <c:ptCount val="6"/>
                <c:pt idx="0">
                  <c:v>1.7665470000000001</c:v>
                </c:pt>
                <c:pt idx="1">
                  <c:v>1.7665470000000001</c:v>
                </c:pt>
                <c:pt idx="2">
                  <c:v>1.7665470000000001</c:v>
                </c:pt>
                <c:pt idx="3">
                  <c:v>1.7665470000000001</c:v>
                </c:pt>
                <c:pt idx="4">
                  <c:v>1.7665470000000001</c:v>
                </c:pt>
                <c:pt idx="5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3B-4DA0-85A0-6380D4250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'Sep09'!$A$12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'Sep09'!$B$11:$G$11</c:f>
              <c:strCache>
                <c:ptCount val="6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</c:strCache>
            </c:strRef>
          </c:cat>
          <c:val>
            <c:numRef>
              <c:f>'Sep09'!$B$12:$G$12</c:f>
              <c:numCache>
                <c:formatCode>0.00</c:formatCode>
                <c:ptCount val="6"/>
                <c:pt idx="0">
                  <c:v>-0.31</c:v>
                </c:pt>
                <c:pt idx="1">
                  <c:v>-0.95</c:v>
                </c:pt>
                <c:pt idx="2">
                  <c:v>0.06</c:v>
                </c:pt>
                <c:pt idx="3">
                  <c:v>0.24</c:v>
                </c:pt>
                <c:pt idx="4">
                  <c:v>-0.63</c:v>
                </c:pt>
                <c:pt idx="5">
                  <c:v>-0.54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C7-4163-9E2F-E2558B7D5231}"/>
            </c:ext>
          </c:extLst>
        </c:ser>
        <c:ser>
          <c:idx val="1"/>
          <c:order val="1"/>
          <c:tx>
            <c:strRef>
              <c:f>'Sep09'!$A$13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'Sep09'!$B$11:$G$11</c:f>
              <c:strCache>
                <c:ptCount val="6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</c:strCache>
            </c:strRef>
          </c:cat>
          <c:val>
            <c:numRef>
              <c:f>'Sep09'!$B$13:$G$13</c:f>
              <c:numCache>
                <c:formatCode>0.00</c:formatCode>
                <c:ptCount val="6"/>
                <c:pt idx="0">
                  <c:v>0.9</c:v>
                </c:pt>
                <c:pt idx="1">
                  <c:v>0.9</c:v>
                </c:pt>
                <c:pt idx="2">
                  <c:v>1.1000000000000001</c:v>
                </c:pt>
                <c:pt idx="3">
                  <c:v>0.7</c:v>
                </c:pt>
                <c:pt idx="4">
                  <c:v>-0.3</c:v>
                </c:pt>
                <c:pt idx="5">
                  <c:v>-0.3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C7-4163-9E2F-E2558B7D5231}"/>
            </c:ext>
          </c:extLst>
        </c:ser>
        <c:ser>
          <c:idx val="2"/>
          <c:order val="2"/>
          <c:tx>
            <c:strRef>
              <c:f>'Sep09'!$A$14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'Sep09'!$B$11:$G$11</c:f>
              <c:strCache>
                <c:ptCount val="6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</c:strCache>
            </c:strRef>
          </c:cat>
          <c:val>
            <c:numRef>
              <c:f>'Sep09'!$B$14:$G$14</c:f>
              <c:numCache>
                <c:formatCode>0.00</c:formatCode>
                <c:ptCount val="6"/>
                <c:pt idx="0">
                  <c:v>2.2200000000000002</c:v>
                </c:pt>
                <c:pt idx="1">
                  <c:v>2.2200000000000002</c:v>
                </c:pt>
                <c:pt idx="2">
                  <c:v>2.2200000000000002</c:v>
                </c:pt>
                <c:pt idx="3">
                  <c:v>2.2200000000000002</c:v>
                </c:pt>
                <c:pt idx="4">
                  <c:v>2.2200000000000002</c:v>
                </c:pt>
                <c:pt idx="5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C7-4163-9E2F-E2558B7D5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'Sep09'!$A$22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'Sep09'!$B$21:$G$21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'Sep09'!$B$22:$G$22</c:f>
              <c:numCache>
                <c:formatCode>0.00</c:formatCode>
                <c:ptCount val="6"/>
                <c:pt idx="0">
                  <c:v>1.19</c:v>
                </c:pt>
                <c:pt idx="1">
                  <c:v>2.2000000000000002</c:v>
                </c:pt>
                <c:pt idx="2">
                  <c:v>-1.1399999999999999</c:v>
                </c:pt>
                <c:pt idx="3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85-46B3-BF91-2FF08178C598}"/>
            </c:ext>
          </c:extLst>
        </c:ser>
        <c:ser>
          <c:idx val="1"/>
          <c:order val="1"/>
          <c:tx>
            <c:strRef>
              <c:f>'Sep09'!$A$23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'Sep09'!$B$21:$G$21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'Sep09'!$B$23:$G$23</c:f>
              <c:numCache>
                <c:formatCode>0.00</c:formatCode>
                <c:ptCount val="6"/>
                <c:pt idx="0">
                  <c:v>2.2000000000000002</c:v>
                </c:pt>
                <c:pt idx="1">
                  <c:v>2</c:v>
                </c:pt>
                <c:pt idx="2">
                  <c:v>0.3</c:v>
                </c:pt>
                <c:pt idx="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85-46B3-BF91-2FF08178C598}"/>
            </c:ext>
          </c:extLst>
        </c:ser>
        <c:ser>
          <c:idx val="2"/>
          <c:order val="2"/>
          <c:tx>
            <c:strRef>
              <c:f>'Sep09'!$A$24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'Sep09'!$B$21:$G$21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'Sep09'!$B$24:$G$24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85-46B3-BF91-2FF08178C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'Sep09'!$A$2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'Sep09'!$B$1:$G$1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'Sep09'!$B$2:$G$2</c:f>
              <c:numCache>
                <c:formatCode>0.00</c:formatCode>
                <c:ptCount val="6"/>
                <c:pt idx="0">
                  <c:v>0.54</c:v>
                </c:pt>
                <c:pt idx="1">
                  <c:v>0.32</c:v>
                </c:pt>
                <c:pt idx="2">
                  <c:v>-0.69</c:v>
                </c:pt>
                <c:pt idx="3">
                  <c:v>0.33</c:v>
                </c:pt>
                <c:pt idx="4">
                  <c:v>-0.22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F-4797-ADA7-71438EE7F2D7}"/>
            </c:ext>
          </c:extLst>
        </c:ser>
        <c:ser>
          <c:idx val="1"/>
          <c:order val="1"/>
          <c:tx>
            <c:strRef>
              <c:f>'Sep09'!$A$3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'Sep09'!$B$1:$G$1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'Sep09'!$B$3:$G$3</c:f>
              <c:numCache>
                <c:formatCode>0.00</c:formatCode>
                <c:ptCount val="6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0.9</c:v>
                </c:pt>
                <c:pt idx="4">
                  <c:v>1.5</c:v>
                </c:pt>
                <c:pt idx="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EF-4797-ADA7-71438EE7F2D7}"/>
            </c:ext>
          </c:extLst>
        </c:ser>
        <c:ser>
          <c:idx val="2"/>
          <c:order val="2"/>
          <c:tx>
            <c:strRef>
              <c:f>'Sep09'!$A$4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'Sep09'!$B$1:$G$1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'Sep09'!$B$4:$G$4</c:f>
              <c:numCache>
                <c:formatCode>0.00</c:formatCode>
                <c:ptCount val="6"/>
                <c:pt idx="0">
                  <c:v>-2.57</c:v>
                </c:pt>
                <c:pt idx="1">
                  <c:v>-2.57</c:v>
                </c:pt>
                <c:pt idx="2">
                  <c:v>-2.57</c:v>
                </c:pt>
                <c:pt idx="3">
                  <c:v>-2.57</c:v>
                </c:pt>
                <c:pt idx="4">
                  <c:v>-2.57</c:v>
                </c:pt>
                <c:pt idx="5">
                  <c:v>-2.57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EF-4797-ADA7-71438EE7F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191101112360955E-3"/>
          <c:y val="0.82291557305336838"/>
          <c:w val="0.96762119020836679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'Sep09'!$A$7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'Sep09'!$B$6:$G$6</c:f>
              <c:strCache>
                <c:ptCount val="6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</c:strCache>
            </c:strRef>
          </c:cat>
          <c:val>
            <c:numRef>
              <c:f>'Sep09'!$B$7:$G$7</c:f>
              <c:numCache>
                <c:formatCode>0.00</c:formatCode>
                <c:ptCount val="6"/>
                <c:pt idx="0">
                  <c:v>1</c:v>
                </c:pt>
                <c:pt idx="1">
                  <c:v>-0.36</c:v>
                </c:pt>
                <c:pt idx="2">
                  <c:v>2.5499999999999998</c:v>
                </c:pt>
                <c:pt idx="3">
                  <c:v>0.87</c:v>
                </c:pt>
                <c:pt idx="4">
                  <c:v>0.89</c:v>
                </c:pt>
                <c:pt idx="5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6F-4B2E-B8EB-A77F0D034565}"/>
            </c:ext>
          </c:extLst>
        </c:ser>
        <c:ser>
          <c:idx val="1"/>
          <c:order val="1"/>
          <c:tx>
            <c:strRef>
              <c:f>'Sep09'!$A$8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'Sep09'!$B$6:$G$6</c:f>
              <c:strCache>
                <c:ptCount val="6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</c:strCache>
            </c:strRef>
          </c:cat>
          <c:val>
            <c:numRef>
              <c:f>'Sep09'!$B$8:$G$8</c:f>
              <c:numCache>
                <c:formatCode>0.00</c:formatCode>
                <c:ptCount val="6"/>
                <c:pt idx="0">
                  <c:v>1.2</c:v>
                </c:pt>
                <c:pt idx="1">
                  <c:v>1.2</c:v>
                </c:pt>
                <c:pt idx="2">
                  <c:v>2.2000000000000002</c:v>
                </c:pt>
                <c:pt idx="3">
                  <c:v>2.4</c:v>
                </c:pt>
                <c:pt idx="4">
                  <c:v>1.8</c:v>
                </c:pt>
                <c:pt idx="5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6F-4B2E-B8EB-A77F0D034565}"/>
            </c:ext>
          </c:extLst>
        </c:ser>
        <c:ser>
          <c:idx val="2"/>
          <c:order val="2"/>
          <c:tx>
            <c:strRef>
              <c:f>'Sep09'!$A$9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'Sep09'!$B$6:$G$6</c:f>
              <c:strCache>
                <c:ptCount val="6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</c:strCache>
            </c:strRef>
          </c:cat>
          <c:val>
            <c:numRef>
              <c:f>'Sep09'!$B$9:$G$9</c:f>
              <c:numCache>
                <c:formatCode>0.00</c:formatCode>
                <c:ptCount val="6"/>
                <c:pt idx="0">
                  <c:v>1.83</c:v>
                </c:pt>
                <c:pt idx="1">
                  <c:v>1.83</c:v>
                </c:pt>
                <c:pt idx="2">
                  <c:v>1.83</c:v>
                </c:pt>
                <c:pt idx="3">
                  <c:v>1.83</c:v>
                </c:pt>
                <c:pt idx="4">
                  <c:v>1.83</c:v>
                </c:pt>
                <c:pt idx="5">
                  <c:v>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6F-4B2E-B8EB-A77F0D034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'Sep09'!$A$17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'Sep09'!$B$16:$G$16</c:f>
              <c:strCache>
                <c:ptCount val="6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</c:strCache>
            </c:strRef>
          </c:cat>
          <c:val>
            <c:numRef>
              <c:f>'Sep09'!$B$17:$G$17</c:f>
              <c:numCache>
                <c:formatCode>0.00</c:formatCode>
                <c:ptCount val="6"/>
                <c:pt idx="0">
                  <c:v>1.9</c:v>
                </c:pt>
                <c:pt idx="1">
                  <c:v>0.32</c:v>
                </c:pt>
                <c:pt idx="2">
                  <c:v>1.75</c:v>
                </c:pt>
                <c:pt idx="3">
                  <c:v>1.69</c:v>
                </c:pt>
                <c:pt idx="4">
                  <c:v>2.68</c:v>
                </c:pt>
                <c:pt idx="5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AD-498B-BA9B-2A7B5AAF84DD}"/>
            </c:ext>
          </c:extLst>
        </c:ser>
        <c:ser>
          <c:idx val="1"/>
          <c:order val="1"/>
          <c:tx>
            <c:strRef>
              <c:f>'Sep09'!$A$18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'Sep09'!$B$16:$G$16</c:f>
              <c:strCache>
                <c:ptCount val="6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</c:strCache>
            </c:strRef>
          </c:cat>
          <c:val>
            <c:numRef>
              <c:f>'Sep09'!$B$18:$G$18</c:f>
              <c:numCache>
                <c:formatCode>0.00</c:formatCode>
                <c:ptCount val="6"/>
                <c:pt idx="0">
                  <c:v>1.6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-0.3</c:v>
                </c:pt>
                <c:pt idx="4">
                  <c:v>-0.1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AD-498B-BA9B-2A7B5AAF84DD}"/>
            </c:ext>
          </c:extLst>
        </c:ser>
        <c:ser>
          <c:idx val="2"/>
          <c:order val="2"/>
          <c:tx>
            <c:strRef>
              <c:f>'Sep09'!$A$19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'Sep09'!$B$16:$G$16</c:f>
              <c:strCache>
                <c:ptCount val="6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</c:strCache>
            </c:strRef>
          </c:cat>
          <c:val>
            <c:numRef>
              <c:f>'Sep09'!$B$19:$G$19</c:f>
              <c:numCache>
                <c:formatCode>0.00</c:formatCode>
                <c:ptCount val="6"/>
                <c:pt idx="0">
                  <c:v>1.7665470000000001</c:v>
                </c:pt>
                <c:pt idx="1">
                  <c:v>1.7665470000000001</c:v>
                </c:pt>
                <c:pt idx="2">
                  <c:v>1.7665470000000001</c:v>
                </c:pt>
                <c:pt idx="3">
                  <c:v>1.7665470000000001</c:v>
                </c:pt>
                <c:pt idx="4">
                  <c:v>1.7665470000000001</c:v>
                </c:pt>
                <c:pt idx="5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AD-498B-BA9B-2A7B5AAF8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1</xdr:row>
      <xdr:rowOff>0</xdr:rowOff>
    </xdr:from>
    <xdr:to>
      <xdr:col>12</xdr:col>
      <xdr:colOff>9525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E096DF-6902-460E-9745-BE40BCAEF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314325</xdr:colOff>
      <xdr:row>1</xdr:row>
      <xdr:rowOff>0</xdr:rowOff>
    </xdr:from>
    <xdr:to>
      <xdr:col>17</xdr:col>
      <xdr:colOff>9525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F0B413-5EAD-45FD-A004-18D422488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314325</xdr:colOff>
      <xdr:row>16</xdr:row>
      <xdr:rowOff>0</xdr:rowOff>
    </xdr:from>
    <xdr:to>
      <xdr:col>12</xdr:col>
      <xdr:colOff>9525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7C052D-A672-444B-BC49-D66369468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314325</xdr:colOff>
      <xdr:row>16</xdr:row>
      <xdr:rowOff>0</xdr:rowOff>
    </xdr:from>
    <xdr:to>
      <xdr:col>17</xdr:col>
      <xdr:colOff>9525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C8A0D3-917B-4F96-9DFE-44010178E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314325</xdr:colOff>
      <xdr:row>31</xdr:row>
      <xdr:rowOff>0</xdr:rowOff>
    </xdr:from>
    <xdr:to>
      <xdr:col>12</xdr:col>
      <xdr:colOff>9525</xdr:colOff>
      <xdr:row>45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C42D2E-CE65-48A0-A180-97BF70C8F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16</xdr:row>
      <xdr:rowOff>47625</xdr:rowOff>
    </xdr:from>
    <xdr:to>
      <xdr:col>13</xdr:col>
      <xdr:colOff>295275</xdr:colOff>
      <xdr:row>30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AC7F87-61CD-45D9-87BD-D6DB6B63B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31</xdr:row>
      <xdr:rowOff>47625</xdr:rowOff>
    </xdr:from>
    <xdr:to>
      <xdr:col>13</xdr:col>
      <xdr:colOff>295275</xdr:colOff>
      <xdr:row>45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9FAAE4-AC07-4160-9AF3-FA668A309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1</xdr:row>
      <xdr:rowOff>19050</xdr:rowOff>
    </xdr:from>
    <xdr:to>
      <xdr:col>13</xdr:col>
      <xdr:colOff>295275</xdr:colOff>
      <xdr:row>15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97DA172-7893-4637-A80E-CB21156AF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600075</xdr:colOff>
      <xdr:row>1</xdr:row>
      <xdr:rowOff>19050</xdr:rowOff>
    </xdr:from>
    <xdr:to>
      <xdr:col>18</xdr:col>
      <xdr:colOff>295275</xdr:colOff>
      <xdr:row>15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14DA9E-29A4-4213-9DC0-A2620BB7A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600075</xdr:colOff>
      <xdr:row>16</xdr:row>
      <xdr:rowOff>19050</xdr:rowOff>
    </xdr:from>
    <xdr:to>
      <xdr:col>18</xdr:col>
      <xdr:colOff>295275</xdr:colOff>
      <xdr:row>30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E528451-EFBC-44E7-84FF-9B0A4EC5C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16</xdr:row>
      <xdr:rowOff>47625</xdr:rowOff>
    </xdr:from>
    <xdr:to>
      <xdr:col>13</xdr:col>
      <xdr:colOff>295275</xdr:colOff>
      <xdr:row>30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C12FCE-067C-49F6-9BDF-C1F0B244B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31</xdr:row>
      <xdr:rowOff>47625</xdr:rowOff>
    </xdr:from>
    <xdr:to>
      <xdr:col>13</xdr:col>
      <xdr:colOff>295275</xdr:colOff>
      <xdr:row>45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B86DD5-D8D4-4CF8-A2A5-6EC0BF519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1</xdr:row>
      <xdr:rowOff>19050</xdr:rowOff>
    </xdr:from>
    <xdr:to>
      <xdr:col>13</xdr:col>
      <xdr:colOff>295275</xdr:colOff>
      <xdr:row>15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C866D1-4E52-4A95-88F4-A3F6483BD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600075</xdr:colOff>
      <xdr:row>1</xdr:row>
      <xdr:rowOff>19050</xdr:rowOff>
    </xdr:from>
    <xdr:to>
      <xdr:col>18</xdr:col>
      <xdr:colOff>295275</xdr:colOff>
      <xdr:row>15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B45D23-27F1-4A32-AC15-9B35E90E3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600075</xdr:colOff>
      <xdr:row>16</xdr:row>
      <xdr:rowOff>19050</xdr:rowOff>
    </xdr:from>
    <xdr:to>
      <xdr:col>18</xdr:col>
      <xdr:colOff>295275</xdr:colOff>
      <xdr:row>30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1B6225-C23C-4665-A1A5-96A221046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16</xdr:row>
      <xdr:rowOff>47625</xdr:rowOff>
    </xdr:from>
    <xdr:to>
      <xdr:col>13</xdr:col>
      <xdr:colOff>295275</xdr:colOff>
      <xdr:row>30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6D415-BBB8-4375-B06E-F64B59241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31</xdr:row>
      <xdr:rowOff>47625</xdr:rowOff>
    </xdr:from>
    <xdr:to>
      <xdr:col>13</xdr:col>
      <xdr:colOff>295275</xdr:colOff>
      <xdr:row>45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20BCC8-C5AF-4E86-953A-A08ADCDE9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1</xdr:row>
      <xdr:rowOff>19050</xdr:rowOff>
    </xdr:from>
    <xdr:to>
      <xdr:col>13</xdr:col>
      <xdr:colOff>295275</xdr:colOff>
      <xdr:row>15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10E95F-9481-4BCF-9C29-B6E3459D3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600075</xdr:colOff>
      <xdr:row>1</xdr:row>
      <xdr:rowOff>19050</xdr:rowOff>
    </xdr:from>
    <xdr:to>
      <xdr:col>18</xdr:col>
      <xdr:colOff>295275</xdr:colOff>
      <xdr:row>15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0648E7-F176-4E23-BE7F-851A915AF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600075</xdr:colOff>
      <xdr:row>16</xdr:row>
      <xdr:rowOff>19050</xdr:rowOff>
    </xdr:from>
    <xdr:to>
      <xdr:col>18</xdr:col>
      <xdr:colOff>295275</xdr:colOff>
      <xdr:row>30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F74D2C-02AD-40AE-BF83-9D5FD3973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2391-0B94-42E1-8423-C5EAE1A1BE08}">
  <dimension ref="A1:G27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B31" sqref="B31"/>
    </sheetView>
  </sheetViews>
  <sheetFormatPr defaultRowHeight="14.4" x14ac:dyDescent="0.3"/>
  <cols>
    <col min="1" max="1" width="14.33203125" bestFit="1" customWidth="1"/>
    <col min="2" max="5" width="11.109375" customWidth="1"/>
  </cols>
  <sheetData>
    <row r="1" spans="1:7" x14ac:dyDescent="0.3">
      <c r="A1" s="1" t="s">
        <v>12</v>
      </c>
      <c r="B1" s="2" t="s">
        <v>13</v>
      </c>
      <c r="C1" s="2" t="s">
        <v>14</v>
      </c>
      <c r="D1" s="2" t="s">
        <v>15</v>
      </c>
      <c r="E1" s="3" t="s">
        <v>6</v>
      </c>
    </row>
    <row r="2" spans="1:7" x14ac:dyDescent="0.3">
      <c r="A2" s="4" t="s">
        <v>0</v>
      </c>
      <c r="B2" s="5">
        <v>0.2</v>
      </c>
      <c r="C2" s="5">
        <v>0.22</v>
      </c>
      <c r="D2" s="5">
        <v>0.28000000000000003</v>
      </c>
      <c r="E2" s="6">
        <v>0.18</v>
      </c>
    </row>
    <row r="3" spans="1:7" x14ac:dyDescent="0.3">
      <c r="A3" s="4" t="s">
        <v>3</v>
      </c>
      <c r="B3" s="5">
        <v>2</v>
      </c>
      <c r="C3" s="5">
        <v>2.1</v>
      </c>
      <c r="D3" s="5">
        <v>2.2000000000000002</v>
      </c>
      <c r="E3" s="6">
        <v>0.9</v>
      </c>
    </row>
    <row r="4" spans="1:7" x14ac:dyDescent="0.3">
      <c r="A4" s="7" t="s">
        <v>4</v>
      </c>
      <c r="B4" s="8"/>
      <c r="C4" s="8"/>
      <c r="D4" s="8"/>
      <c r="E4" s="9">
        <v>-2.57</v>
      </c>
    </row>
    <row r="5" spans="1:7" x14ac:dyDescent="0.3">
      <c r="A5" s="10"/>
      <c r="B5" s="10"/>
      <c r="C5" s="10"/>
      <c r="D5" s="10"/>
      <c r="E5" s="10"/>
    </row>
    <row r="6" spans="1:7" x14ac:dyDescent="0.3">
      <c r="A6" s="1" t="s">
        <v>1</v>
      </c>
      <c r="B6" s="2" t="s">
        <v>6</v>
      </c>
      <c r="C6" s="2" t="s">
        <v>7</v>
      </c>
      <c r="D6" s="2" t="s">
        <v>8</v>
      </c>
      <c r="E6" s="3" t="s">
        <v>9</v>
      </c>
    </row>
    <row r="7" spans="1:7" x14ac:dyDescent="0.3">
      <c r="A7" s="4" t="s">
        <v>0</v>
      </c>
      <c r="B7" s="5">
        <v>0.79</v>
      </c>
      <c r="C7" s="5">
        <v>3.33</v>
      </c>
      <c r="D7" s="5">
        <v>1.91</v>
      </c>
      <c r="E7" s="6">
        <v>2.1</v>
      </c>
    </row>
    <row r="8" spans="1:7" x14ac:dyDescent="0.3">
      <c r="A8" s="4" t="s">
        <v>3</v>
      </c>
      <c r="B8" s="5">
        <v>1.2</v>
      </c>
      <c r="C8" s="5">
        <v>1.2</v>
      </c>
      <c r="D8" s="5">
        <v>2.2000000000000002</v>
      </c>
      <c r="E8" s="6">
        <v>2.4</v>
      </c>
    </row>
    <row r="9" spans="1:7" x14ac:dyDescent="0.3">
      <c r="A9" s="7" t="s">
        <v>4</v>
      </c>
      <c r="B9" s="8"/>
      <c r="C9" s="8"/>
      <c r="D9" s="8"/>
      <c r="E9" s="9">
        <v>1.83</v>
      </c>
    </row>
    <row r="10" spans="1:7" x14ac:dyDescent="0.3">
      <c r="A10" s="10"/>
      <c r="B10" s="10"/>
      <c r="C10" s="10"/>
      <c r="D10" s="10"/>
      <c r="E10" s="10"/>
    </row>
    <row r="11" spans="1:7" x14ac:dyDescent="0.3">
      <c r="A11" s="1" t="s">
        <v>2</v>
      </c>
      <c r="B11" s="2" t="s">
        <v>9</v>
      </c>
      <c r="C11" s="2" t="s">
        <v>10</v>
      </c>
      <c r="D11" s="2" t="s">
        <v>11</v>
      </c>
      <c r="E11" s="3" t="s">
        <v>5</v>
      </c>
    </row>
    <row r="12" spans="1:7" x14ac:dyDescent="0.3">
      <c r="A12" s="4" t="s">
        <v>0</v>
      </c>
      <c r="B12" s="5">
        <v>0.53</v>
      </c>
      <c r="C12" s="5">
        <v>-1.51</v>
      </c>
      <c r="D12" s="5">
        <v>-0.55000000000000004</v>
      </c>
      <c r="E12" s="6">
        <v>-0.74</v>
      </c>
    </row>
    <row r="13" spans="1:7" x14ac:dyDescent="0.3">
      <c r="A13" s="4" t="s">
        <v>3</v>
      </c>
      <c r="B13" s="5">
        <v>0.9</v>
      </c>
      <c r="C13" s="5">
        <v>0.9</v>
      </c>
      <c r="D13" s="5">
        <v>1.1000000000000001</v>
      </c>
      <c r="E13" s="6">
        <v>0.7</v>
      </c>
    </row>
    <row r="14" spans="1:7" x14ac:dyDescent="0.3">
      <c r="A14" s="7" t="s">
        <v>4</v>
      </c>
      <c r="B14" s="8"/>
      <c r="C14" s="8"/>
      <c r="D14" s="8"/>
      <c r="E14" s="9">
        <v>2.2200000000000002</v>
      </c>
    </row>
    <row r="15" spans="1:7" x14ac:dyDescent="0.3">
      <c r="A15" s="10"/>
      <c r="B15" s="10"/>
      <c r="C15" s="10"/>
      <c r="D15" s="10"/>
      <c r="E15" s="10"/>
    </row>
    <row r="16" spans="1:7" x14ac:dyDescent="0.3">
      <c r="A16" s="1" t="s">
        <v>16</v>
      </c>
      <c r="B16" s="2" t="s">
        <v>5</v>
      </c>
      <c r="C16" s="2" t="s">
        <v>17</v>
      </c>
      <c r="D16" s="2" t="s">
        <v>18</v>
      </c>
      <c r="E16" s="2" t="s">
        <v>13</v>
      </c>
      <c r="F16" s="3" t="s">
        <v>14</v>
      </c>
      <c r="G16" s="3"/>
    </row>
    <row r="17" spans="1:7" x14ac:dyDescent="0.3">
      <c r="A17" s="4" t="s">
        <v>0</v>
      </c>
      <c r="B17" s="5">
        <v>0.46</v>
      </c>
      <c r="C17" s="5">
        <v>1.59</v>
      </c>
      <c r="D17" s="5">
        <v>2.41</v>
      </c>
      <c r="E17" s="5">
        <v>1.4</v>
      </c>
      <c r="F17" s="6">
        <v>1.4</v>
      </c>
      <c r="G17" s="6"/>
    </row>
    <row r="18" spans="1:7" x14ac:dyDescent="0.3">
      <c r="A18" s="4" t="s">
        <v>3</v>
      </c>
      <c r="B18" s="5">
        <v>1.6</v>
      </c>
      <c r="C18" s="5">
        <v>2.2999999999999998</v>
      </c>
      <c r="D18" s="5">
        <v>-0.4</v>
      </c>
      <c r="E18" s="5">
        <v>-0.3</v>
      </c>
      <c r="F18" s="6">
        <v>-0.1</v>
      </c>
      <c r="G18" s="6"/>
    </row>
    <row r="19" spans="1:7" x14ac:dyDescent="0.3">
      <c r="A19" s="7" t="s">
        <v>4</v>
      </c>
      <c r="B19" s="8"/>
      <c r="C19" s="8"/>
      <c r="D19" s="8"/>
      <c r="E19" s="8"/>
      <c r="F19" s="9">
        <v>1.7665470000000001</v>
      </c>
      <c r="G19" s="9"/>
    </row>
    <row r="20" spans="1:7" x14ac:dyDescent="0.3">
      <c r="A20" s="10"/>
      <c r="B20" s="10"/>
      <c r="C20" s="10"/>
      <c r="D20" s="10"/>
      <c r="E20" s="10"/>
    </row>
    <row r="21" spans="1:7" x14ac:dyDescent="0.3">
      <c r="A21" s="1" t="s">
        <v>21</v>
      </c>
      <c r="B21" s="2" t="s">
        <v>13</v>
      </c>
      <c r="C21" s="2" t="s">
        <v>14</v>
      </c>
      <c r="D21" s="2" t="s">
        <v>15</v>
      </c>
      <c r="E21" s="3" t="s">
        <v>6</v>
      </c>
    </row>
    <row r="22" spans="1:7" x14ac:dyDescent="0.3">
      <c r="A22" s="4" t="s">
        <v>0</v>
      </c>
      <c r="B22" s="5">
        <v>-1.2</v>
      </c>
      <c r="C22" s="5">
        <v>-1.41</v>
      </c>
      <c r="D22" s="5"/>
      <c r="E22" s="6"/>
    </row>
    <row r="23" spans="1:7" x14ac:dyDescent="0.3">
      <c r="A23" s="4" t="s">
        <v>3</v>
      </c>
      <c r="B23" s="5">
        <v>2.2000000000000002</v>
      </c>
      <c r="C23" s="5">
        <v>2</v>
      </c>
      <c r="D23" s="5"/>
      <c r="E23" s="6"/>
    </row>
    <row r="24" spans="1:7" x14ac:dyDescent="0.3">
      <c r="A24" s="7" t="s">
        <v>4</v>
      </c>
      <c r="B24" s="8"/>
      <c r="C24" s="8"/>
      <c r="D24" s="8"/>
      <c r="E24" s="9"/>
    </row>
    <row r="25" spans="1:7" x14ac:dyDescent="0.3">
      <c r="A25" s="11" t="s">
        <v>19</v>
      </c>
      <c r="B25" s="11"/>
      <c r="C25" s="11"/>
      <c r="D25" s="11"/>
      <c r="E25" s="11"/>
    </row>
    <row r="26" spans="1:7" x14ac:dyDescent="0.3">
      <c r="A26" s="11" t="s">
        <v>20</v>
      </c>
      <c r="B26" s="11"/>
      <c r="C26" s="11"/>
      <c r="D26" s="11"/>
      <c r="E26" s="11"/>
    </row>
    <row r="27" spans="1:7" x14ac:dyDescent="0.3">
      <c r="A27" s="11" t="s">
        <v>22</v>
      </c>
      <c r="B27" s="11"/>
      <c r="C27" s="11"/>
      <c r="D27" s="11"/>
      <c r="E27" s="11"/>
    </row>
  </sheetData>
  <mergeCells count="3">
    <mergeCell ref="A25:E25"/>
    <mergeCell ref="A26:E26"/>
    <mergeCell ref="A27:E2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470F-58BF-4863-963F-A65663814CA4}">
  <dimension ref="A1:H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1" sqref="F31"/>
    </sheetView>
  </sheetViews>
  <sheetFormatPr defaultRowHeight="14.4" x14ac:dyDescent="0.3"/>
  <cols>
    <col min="1" max="1" width="14.33203125" bestFit="1" customWidth="1"/>
    <col min="2" max="5" width="11.109375" customWidth="1"/>
    <col min="6" max="9" width="10" customWidth="1"/>
  </cols>
  <sheetData>
    <row r="1" spans="1:8" x14ac:dyDescent="0.3">
      <c r="A1" s="1" t="s">
        <v>12</v>
      </c>
      <c r="B1" s="2" t="s">
        <v>13</v>
      </c>
      <c r="C1" s="2" t="s">
        <v>14</v>
      </c>
      <c r="D1" s="2" t="s">
        <v>15</v>
      </c>
      <c r="E1" s="2" t="s">
        <v>6</v>
      </c>
      <c r="F1" s="2" t="s">
        <v>7</v>
      </c>
      <c r="G1" s="3" t="s">
        <v>8</v>
      </c>
      <c r="H1" s="3"/>
    </row>
    <row r="2" spans="1:8" x14ac:dyDescent="0.3">
      <c r="A2" s="4" t="s">
        <v>0</v>
      </c>
      <c r="B2" s="5">
        <v>0.66</v>
      </c>
      <c r="C2" s="5">
        <v>0.18</v>
      </c>
      <c r="D2" s="5">
        <v>-0.92</v>
      </c>
      <c r="E2" s="5">
        <v>-0.15</v>
      </c>
      <c r="F2" s="5">
        <v>-0.59</v>
      </c>
      <c r="G2" s="6">
        <v>-0.25</v>
      </c>
      <c r="H2" s="6"/>
    </row>
    <row r="3" spans="1:8" x14ac:dyDescent="0.3">
      <c r="A3" s="4" t="s">
        <v>3</v>
      </c>
      <c r="B3" s="5">
        <v>2</v>
      </c>
      <c r="C3" s="5">
        <v>2.1</v>
      </c>
      <c r="D3" s="5">
        <v>2.2000000000000002</v>
      </c>
      <c r="E3" s="5">
        <v>0.9</v>
      </c>
      <c r="F3" s="5">
        <v>1.5</v>
      </c>
      <c r="G3" s="6">
        <v>0.7</v>
      </c>
      <c r="H3" s="6"/>
    </row>
    <row r="4" spans="1:8" x14ac:dyDescent="0.3">
      <c r="A4" s="7" t="s">
        <v>4</v>
      </c>
      <c r="B4" s="8">
        <f>C4</f>
        <v>-2.57</v>
      </c>
      <c r="C4" s="8">
        <f t="shared" ref="C4:D4" si="0">D4</f>
        <v>-2.57</v>
      </c>
      <c r="D4" s="8">
        <f t="shared" si="0"/>
        <v>-2.57</v>
      </c>
      <c r="E4" s="8">
        <v>-2.57</v>
      </c>
      <c r="F4" s="8">
        <v>-2.57</v>
      </c>
      <c r="G4" s="9">
        <v>-2.57</v>
      </c>
      <c r="H4" s="9"/>
    </row>
    <row r="5" spans="1:8" x14ac:dyDescent="0.3">
      <c r="A5" s="10"/>
      <c r="B5" s="10"/>
      <c r="C5" s="10"/>
      <c r="D5" s="10"/>
      <c r="E5" s="10"/>
    </row>
    <row r="6" spans="1:8" x14ac:dyDescent="0.3">
      <c r="A6" s="1" t="s">
        <v>1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3" t="s">
        <v>11</v>
      </c>
      <c r="H6" s="3"/>
    </row>
    <row r="7" spans="1:8" x14ac:dyDescent="0.3">
      <c r="A7" s="4" t="s">
        <v>0</v>
      </c>
      <c r="B7" s="5">
        <v>0.95</v>
      </c>
      <c r="C7" s="5">
        <v>-0.36</v>
      </c>
      <c r="D7" s="5">
        <v>2.98</v>
      </c>
      <c r="E7" s="5">
        <v>0.32</v>
      </c>
      <c r="F7" s="5">
        <v>0.84</v>
      </c>
      <c r="G7" s="6">
        <v>1.1000000000000001</v>
      </c>
      <c r="H7" s="6"/>
    </row>
    <row r="8" spans="1:8" x14ac:dyDescent="0.3">
      <c r="A8" s="4" t="s">
        <v>3</v>
      </c>
      <c r="B8" s="5">
        <v>1.2</v>
      </c>
      <c r="C8" s="5">
        <v>1.2</v>
      </c>
      <c r="D8" s="5">
        <v>2.2000000000000002</v>
      </c>
      <c r="E8" s="5">
        <v>2.4</v>
      </c>
      <c r="F8" s="5">
        <v>1.8</v>
      </c>
      <c r="G8" s="6">
        <v>1.4</v>
      </c>
      <c r="H8" s="6"/>
    </row>
    <row r="9" spans="1:8" x14ac:dyDescent="0.3">
      <c r="A9" s="7" t="s">
        <v>4</v>
      </c>
      <c r="B9" s="8">
        <f>C9</f>
        <v>1.83</v>
      </c>
      <c r="C9" s="8">
        <f t="shared" ref="C9:D9" si="1">D9</f>
        <v>1.83</v>
      </c>
      <c r="D9" s="8">
        <f t="shared" si="1"/>
        <v>1.83</v>
      </c>
      <c r="E9" s="8">
        <v>1.83</v>
      </c>
      <c r="F9" s="8">
        <v>1.83</v>
      </c>
      <c r="G9" s="9">
        <v>1.83</v>
      </c>
      <c r="H9" s="9"/>
    </row>
    <row r="10" spans="1:8" x14ac:dyDescent="0.3">
      <c r="A10" s="10"/>
      <c r="B10" s="10"/>
      <c r="C10" s="10"/>
      <c r="D10" s="10"/>
      <c r="E10" s="10"/>
    </row>
    <row r="11" spans="1:8" x14ac:dyDescent="0.3">
      <c r="A11" s="1" t="s">
        <v>2</v>
      </c>
      <c r="B11" s="2" t="s">
        <v>9</v>
      </c>
      <c r="C11" s="2" t="s">
        <v>10</v>
      </c>
      <c r="D11" s="2" t="s">
        <v>11</v>
      </c>
      <c r="E11" s="2" t="s">
        <v>5</v>
      </c>
      <c r="F11" s="2" t="s">
        <v>17</v>
      </c>
      <c r="G11" s="3" t="s">
        <v>18</v>
      </c>
      <c r="H11" s="3"/>
    </row>
    <row r="12" spans="1:8" x14ac:dyDescent="0.3">
      <c r="A12" s="4" t="s">
        <v>0</v>
      </c>
      <c r="B12" s="5">
        <v>-0.43</v>
      </c>
      <c r="C12" s="5">
        <v>-0.54</v>
      </c>
      <c r="D12" s="5">
        <v>-0.22</v>
      </c>
      <c r="E12" s="5">
        <v>0.12</v>
      </c>
      <c r="F12" s="5">
        <v>-0.59</v>
      </c>
      <c r="G12" s="6">
        <v>-0.57999999999999996</v>
      </c>
      <c r="H12" s="6"/>
    </row>
    <row r="13" spans="1:8" x14ac:dyDescent="0.3">
      <c r="A13" s="4" t="s">
        <v>3</v>
      </c>
      <c r="B13" s="5">
        <v>0.9</v>
      </c>
      <c r="C13" s="5">
        <v>0.9</v>
      </c>
      <c r="D13" s="5">
        <v>1.1000000000000001</v>
      </c>
      <c r="E13" s="5">
        <v>0.7</v>
      </c>
      <c r="F13" s="5">
        <v>-0.3</v>
      </c>
      <c r="G13" s="6">
        <v>-0.3</v>
      </c>
      <c r="H13" s="6"/>
    </row>
    <row r="14" spans="1:8" x14ac:dyDescent="0.3">
      <c r="A14" s="7" t="s">
        <v>4</v>
      </c>
      <c r="B14" s="8">
        <f>C14</f>
        <v>2.2200000000000002</v>
      </c>
      <c r="C14" s="8">
        <f t="shared" ref="C14:D14" si="2">D14</f>
        <v>2.2200000000000002</v>
      </c>
      <c r="D14" s="8">
        <f t="shared" si="2"/>
        <v>2.2200000000000002</v>
      </c>
      <c r="E14" s="8">
        <v>2.2200000000000002</v>
      </c>
      <c r="F14" s="8">
        <v>2.2200000000000002</v>
      </c>
      <c r="G14" s="9">
        <v>2.2200000000000002</v>
      </c>
      <c r="H14" s="9"/>
    </row>
    <row r="15" spans="1:8" x14ac:dyDescent="0.3">
      <c r="A15" s="10"/>
      <c r="B15" s="10"/>
      <c r="C15" s="10"/>
      <c r="D15" s="10"/>
      <c r="E15" s="10"/>
    </row>
    <row r="16" spans="1:8" x14ac:dyDescent="0.3">
      <c r="A16" s="1" t="s">
        <v>16</v>
      </c>
      <c r="B16" s="2" t="s">
        <v>5</v>
      </c>
      <c r="C16" s="2" t="s">
        <v>17</v>
      </c>
      <c r="D16" s="2" t="s">
        <v>18</v>
      </c>
      <c r="E16" s="2" t="s">
        <v>13</v>
      </c>
      <c r="F16" s="2" t="s">
        <v>14</v>
      </c>
      <c r="G16" s="3" t="s">
        <v>15</v>
      </c>
      <c r="H16" s="3"/>
    </row>
    <row r="17" spans="1:8" x14ac:dyDescent="0.3">
      <c r="A17" s="4" t="s">
        <v>0</v>
      </c>
      <c r="B17" s="5">
        <v>1.94</v>
      </c>
      <c r="C17" s="5">
        <v>0.48</v>
      </c>
      <c r="D17" s="5">
        <v>1.7</v>
      </c>
      <c r="E17" s="5">
        <v>1.79</v>
      </c>
      <c r="F17" s="5">
        <v>2.56</v>
      </c>
      <c r="G17" s="6"/>
      <c r="H17" s="6"/>
    </row>
    <row r="18" spans="1:8" x14ac:dyDescent="0.3">
      <c r="A18" s="4" t="s">
        <v>3</v>
      </c>
      <c r="B18" s="5">
        <v>1.6</v>
      </c>
      <c r="C18" s="5">
        <v>2.2999999999999998</v>
      </c>
      <c r="D18" s="5">
        <v>2.2999999999999998</v>
      </c>
      <c r="E18" s="5">
        <v>-0.3</v>
      </c>
      <c r="F18" s="5">
        <v>-0.1</v>
      </c>
      <c r="G18" s="6"/>
      <c r="H18" s="6"/>
    </row>
    <row r="19" spans="1:8" x14ac:dyDescent="0.3">
      <c r="A19" s="7" t="s">
        <v>4</v>
      </c>
      <c r="B19" s="8">
        <f>C19</f>
        <v>1.7665470000000001</v>
      </c>
      <c r="C19" s="8">
        <f t="shared" ref="C19:D19" si="3">D19</f>
        <v>1.7665470000000001</v>
      </c>
      <c r="D19" s="8">
        <f t="shared" si="3"/>
        <v>1.7665470000000001</v>
      </c>
      <c r="E19" s="8">
        <f>F19</f>
        <v>1.7665470000000001</v>
      </c>
      <c r="F19" s="8">
        <v>1.7665470000000001</v>
      </c>
      <c r="G19" s="9"/>
      <c r="H19" s="9"/>
    </row>
    <row r="20" spans="1:8" x14ac:dyDescent="0.3">
      <c r="A20" s="10"/>
      <c r="B20" s="10"/>
      <c r="C20" s="10"/>
      <c r="D20" s="10"/>
      <c r="E20" s="10"/>
    </row>
    <row r="21" spans="1:8" x14ac:dyDescent="0.3">
      <c r="A21" s="1" t="s">
        <v>21</v>
      </c>
      <c r="B21" s="2" t="s">
        <v>13</v>
      </c>
      <c r="C21" s="2" t="s">
        <v>14</v>
      </c>
      <c r="D21" s="2" t="s">
        <v>15</v>
      </c>
      <c r="E21" s="2" t="s">
        <v>6</v>
      </c>
      <c r="F21" s="2" t="s">
        <v>7</v>
      </c>
      <c r="G21" s="3" t="s">
        <v>8</v>
      </c>
      <c r="H21" s="3"/>
    </row>
    <row r="22" spans="1:8" x14ac:dyDescent="0.3">
      <c r="A22" s="4" t="s">
        <v>0</v>
      </c>
      <c r="B22" s="5">
        <v>0.84</v>
      </c>
      <c r="C22" s="5">
        <v>1.99</v>
      </c>
      <c r="D22" s="5">
        <v>-0.62</v>
      </c>
      <c r="E22" s="5"/>
      <c r="F22" s="5"/>
      <c r="G22" s="6"/>
      <c r="H22" s="6"/>
    </row>
    <row r="23" spans="1:8" x14ac:dyDescent="0.3">
      <c r="A23" s="4" t="s">
        <v>3</v>
      </c>
      <c r="B23" s="5">
        <v>2.2000000000000002</v>
      </c>
      <c r="C23" s="5">
        <v>2</v>
      </c>
      <c r="D23" s="5">
        <v>0.3</v>
      </c>
      <c r="E23" s="5"/>
      <c r="F23" s="5"/>
      <c r="G23" s="6"/>
      <c r="H23" s="6"/>
    </row>
    <row r="24" spans="1:8" x14ac:dyDescent="0.3">
      <c r="A24" s="7" t="s">
        <v>4</v>
      </c>
      <c r="B24" s="8"/>
      <c r="C24" s="8"/>
      <c r="D24" s="8"/>
      <c r="E24" s="8"/>
      <c r="F24" s="8"/>
      <c r="G24" s="9"/>
      <c r="H24" s="9"/>
    </row>
    <row r="25" spans="1:8" x14ac:dyDescent="0.3">
      <c r="A25" s="12" t="s">
        <v>23</v>
      </c>
      <c r="B25" s="12"/>
      <c r="C25" s="12"/>
      <c r="D25" s="12"/>
      <c r="E25" s="12"/>
      <c r="F25" s="12"/>
      <c r="G25" s="12"/>
    </row>
    <row r="26" spans="1:8" x14ac:dyDescent="0.3">
      <c r="A26" s="11" t="s">
        <v>20</v>
      </c>
      <c r="B26" s="11"/>
      <c r="C26" s="11"/>
      <c r="D26" s="11"/>
      <c r="E26" s="11"/>
      <c r="F26" s="11"/>
      <c r="G26" s="11"/>
    </row>
    <row r="27" spans="1:8" x14ac:dyDescent="0.3">
      <c r="A27" s="11" t="s">
        <v>24</v>
      </c>
      <c r="B27" s="11"/>
      <c r="C27" s="11"/>
      <c r="D27" s="11"/>
      <c r="E27" s="11"/>
      <c r="F27" s="11"/>
      <c r="G27" s="11"/>
    </row>
  </sheetData>
  <mergeCells count="3">
    <mergeCell ref="A25:G25"/>
    <mergeCell ref="A26:G26"/>
    <mergeCell ref="A27:G2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6F5A-0D0C-4195-8302-6EF8A90A9DE1}">
  <dimension ref="A1:H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8" sqref="G18"/>
    </sheetView>
  </sheetViews>
  <sheetFormatPr defaultRowHeight="14.4" x14ac:dyDescent="0.3"/>
  <cols>
    <col min="1" max="1" width="14.33203125" bestFit="1" customWidth="1"/>
    <col min="2" max="5" width="11.109375" customWidth="1"/>
    <col min="6" max="9" width="10" customWidth="1"/>
  </cols>
  <sheetData>
    <row r="1" spans="1:8" x14ac:dyDescent="0.3">
      <c r="A1" s="1" t="s">
        <v>12</v>
      </c>
      <c r="B1" s="2" t="s">
        <v>13</v>
      </c>
      <c r="C1" s="2" t="s">
        <v>14</v>
      </c>
      <c r="D1" s="2" t="s">
        <v>15</v>
      </c>
      <c r="E1" s="2" t="s">
        <v>6</v>
      </c>
      <c r="F1" s="2" t="s">
        <v>7</v>
      </c>
      <c r="G1" s="3" t="s">
        <v>8</v>
      </c>
      <c r="H1" s="3"/>
    </row>
    <row r="2" spans="1:8" x14ac:dyDescent="0.3">
      <c r="A2" s="4" t="s">
        <v>0</v>
      </c>
      <c r="B2" s="5">
        <v>0.68</v>
      </c>
      <c r="C2" s="5">
        <v>0.18</v>
      </c>
      <c r="D2" s="5">
        <v>-0.9</v>
      </c>
      <c r="E2" s="5">
        <v>-0.14000000000000001</v>
      </c>
      <c r="F2" s="5">
        <v>-0.57999999999999996</v>
      </c>
      <c r="G2" s="6">
        <v>-0.23</v>
      </c>
      <c r="H2" s="6"/>
    </row>
    <row r="3" spans="1:8" x14ac:dyDescent="0.3">
      <c r="A3" s="4" t="s">
        <v>3</v>
      </c>
      <c r="B3" s="5">
        <v>2</v>
      </c>
      <c r="C3" s="5">
        <v>2.1</v>
      </c>
      <c r="D3" s="5">
        <v>2.2000000000000002</v>
      </c>
      <c r="E3" s="5">
        <v>0.9</v>
      </c>
      <c r="F3" s="5">
        <v>1.5</v>
      </c>
      <c r="G3" s="6">
        <v>0.7</v>
      </c>
      <c r="H3" s="6"/>
    </row>
    <row r="4" spans="1:8" x14ac:dyDescent="0.3">
      <c r="A4" s="7" t="s">
        <v>4</v>
      </c>
      <c r="B4" s="8">
        <f>C4</f>
        <v>-2.57</v>
      </c>
      <c r="C4" s="8">
        <f t="shared" ref="C4:D4" si="0">D4</f>
        <v>-2.57</v>
      </c>
      <c r="D4" s="8">
        <f t="shared" si="0"/>
        <v>-2.57</v>
      </c>
      <c r="E4" s="8">
        <v>-2.57</v>
      </c>
      <c r="F4" s="8">
        <v>-2.57</v>
      </c>
      <c r="G4" s="9">
        <v>-2.57</v>
      </c>
      <c r="H4" s="9"/>
    </row>
    <row r="5" spans="1:8" x14ac:dyDescent="0.3">
      <c r="A5" s="10"/>
      <c r="B5" s="10"/>
      <c r="C5" s="10"/>
      <c r="D5" s="10"/>
      <c r="E5" s="10"/>
    </row>
    <row r="6" spans="1:8" x14ac:dyDescent="0.3">
      <c r="A6" s="1" t="s">
        <v>1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3" t="s">
        <v>11</v>
      </c>
      <c r="H6" s="3"/>
    </row>
    <row r="7" spans="1:8" x14ac:dyDescent="0.3">
      <c r="A7" s="4" t="s">
        <v>0</v>
      </c>
      <c r="B7" s="5">
        <v>0.93</v>
      </c>
      <c r="C7" s="5">
        <v>-0.35</v>
      </c>
      <c r="D7" s="5">
        <v>2.97</v>
      </c>
      <c r="E7" s="5">
        <v>0.28999999999999998</v>
      </c>
      <c r="F7" s="5">
        <v>0.85</v>
      </c>
      <c r="G7" s="6">
        <v>1.1000000000000001</v>
      </c>
      <c r="H7" s="6"/>
    </row>
    <row r="8" spans="1:8" x14ac:dyDescent="0.3">
      <c r="A8" s="4" t="s">
        <v>3</v>
      </c>
      <c r="B8" s="5">
        <v>1.2</v>
      </c>
      <c r="C8" s="5">
        <v>1.2</v>
      </c>
      <c r="D8" s="5">
        <v>2.2000000000000002</v>
      </c>
      <c r="E8" s="5">
        <v>2.4</v>
      </c>
      <c r="F8" s="5">
        <v>1.8</v>
      </c>
      <c r="G8" s="6">
        <v>1.4</v>
      </c>
      <c r="H8" s="6"/>
    </row>
    <row r="9" spans="1:8" x14ac:dyDescent="0.3">
      <c r="A9" s="7" t="s">
        <v>4</v>
      </c>
      <c r="B9" s="8">
        <f>C9</f>
        <v>1.83</v>
      </c>
      <c r="C9" s="8">
        <f t="shared" ref="C9:D9" si="1">D9</f>
        <v>1.83</v>
      </c>
      <c r="D9" s="8">
        <f t="shared" si="1"/>
        <v>1.83</v>
      </c>
      <c r="E9" s="8">
        <v>1.83</v>
      </c>
      <c r="F9" s="8">
        <v>1.83</v>
      </c>
      <c r="G9" s="9">
        <v>1.83</v>
      </c>
      <c r="H9" s="9"/>
    </row>
    <row r="10" spans="1:8" x14ac:dyDescent="0.3">
      <c r="A10" s="10"/>
      <c r="B10" s="10"/>
      <c r="C10" s="10"/>
      <c r="D10" s="10"/>
      <c r="E10" s="10"/>
    </row>
    <row r="11" spans="1:8" x14ac:dyDescent="0.3">
      <c r="A11" s="1" t="s">
        <v>2</v>
      </c>
      <c r="B11" s="2" t="s">
        <v>9</v>
      </c>
      <c r="C11" s="2" t="s">
        <v>10</v>
      </c>
      <c r="D11" s="2" t="s">
        <v>11</v>
      </c>
      <c r="E11" s="2" t="s">
        <v>5</v>
      </c>
      <c r="F11" s="2" t="s">
        <v>17</v>
      </c>
      <c r="G11" s="3" t="s">
        <v>18</v>
      </c>
      <c r="H11" s="3"/>
    </row>
    <row r="12" spans="1:8" x14ac:dyDescent="0.3">
      <c r="A12" s="4" t="s">
        <v>0</v>
      </c>
      <c r="B12" s="5">
        <v>-0.57999999999999996</v>
      </c>
      <c r="C12" s="5">
        <v>-0.54</v>
      </c>
      <c r="D12" s="5">
        <v>-0.21</v>
      </c>
      <c r="E12" s="5">
        <v>0.12</v>
      </c>
      <c r="F12" s="5">
        <v>-0.59</v>
      </c>
      <c r="G12" s="6">
        <v>-0.59</v>
      </c>
      <c r="H12" s="6"/>
    </row>
    <row r="13" spans="1:8" x14ac:dyDescent="0.3">
      <c r="A13" s="4" t="s">
        <v>3</v>
      </c>
      <c r="B13" s="5">
        <v>0.9</v>
      </c>
      <c r="C13" s="5">
        <v>0.9</v>
      </c>
      <c r="D13" s="5">
        <v>1.1000000000000001</v>
      </c>
      <c r="E13" s="5">
        <v>0.7</v>
      </c>
      <c r="F13" s="5">
        <v>-0.3</v>
      </c>
      <c r="G13" s="6">
        <v>-0.3</v>
      </c>
      <c r="H13" s="6"/>
    </row>
    <row r="14" spans="1:8" x14ac:dyDescent="0.3">
      <c r="A14" s="7" t="s">
        <v>4</v>
      </c>
      <c r="B14" s="8">
        <f>C14</f>
        <v>2.2200000000000002</v>
      </c>
      <c r="C14" s="8">
        <f t="shared" ref="C14:D14" si="2">D14</f>
        <v>2.2200000000000002</v>
      </c>
      <c r="D14" s="8">
        <f t="shared" si="2"/>
        <v>2.2200000000000002</v>
      </c>
      <c r="E14" s="8">
        <v>2.2200000000000002</v>
      </c>
      <c r="F14" s="8">
        <v>2.2200000000000002</v>
      </c>
      <c r="G14" s="9">
        <v>2.2200000000000002</v>
      </c>
      <c r="H14" s="9"/>
    </row>
    <row r="15" spans="1:8" x14ac:dyDescent="0.3">
      <c r="A15" s="10"/>
      <c r="B15" s="10"/>
      <c r="C15" s="10"/>
      <c r="D15" s="10"/>
      <c r="E15" s="10"/>
    </row>
    <row r="16" spans="1:8" x14ac:dyDescent="0.3">
      <c r="A16" s="1" t="s">
        <v>16</v>
      </c>
      <c r="B16" s="2" t="s">
        <v>5</v>
      </c>
      <c r="C16" s="2" t="s">
        <v>17</v>
      </c>
      <c r="D16" s="2" t="s">
        <v>18</v>
      </c>
      <c r="E16" s="2" t="s">
        <v>13</v>
      </c>
      <c r="F16" s="2" t="s">
        <v>14</v>
      </c>
      <c r="G16" s="3" t="s">
        <v>15</v>
      </c>
      <c r="H16" s="3"/>
    </row>
    <row r="17" spans="1:8" x14ac:dyDescent="0.3">
      <c r="A17" s="4" t="s">
        <v>0</v>
      </c>
      <c r="B17" s="5">
        <v>1.98</v>
      </c>
      <c r="C17" s="5">
        <v>0.48</v>
      </c>
      <c r="D17" s="5">
        <v>1.7</v>
      </c>
      <c r="E17" s="5">
        <v>1.82</v>
      </c>
      <c r="F17" s="5">
        <v>2.56</v>
      </c>
      <c r="G17" s="6"/>
      <c r="H17" s="6"/>
    </row>
    <row r="18" spans="1:8" x14ac:dyDescent="0.3">
      <c r="A18" s="4" t="s">
        <v>3</v>
      </c>
      <c r="B18" s="5">
        <v>1.6</v>
      </c>
      <c r="C18" s="5">
        <v>2.2999999999999998</v>
      </c>
      <c r="D18" s="5">
        <v>2.2999999999999998</v>
      </c>
      <c r="E18" s="5">
        <v>-0.3</v>
      </c>
      <c r="F18" s="5">
        <v>-0.1</v>
      </c>
      <c r="G18" s="6"/>
      <c r="H18" s="6"/>
    </row>
    <row r="19" spans="1:8" x14ac:dyDescent="0.3">
      <c r="A19" s="7" t="s">
        <v>4</v>
      </c>
      <c r="B19" s="8">
        <f>C19</f>
        <v>1.7665470000000001</v>
      </c>
      <c r="C19" s="8">
        <f t="shared" ref="C19:D19" si="3">D19</f>
        <v>1.7665470000000001</v>
      </c>
      <c r="D19" s="8">
        <f t="shared" si="3"/>
        <v>1.7665470000000001</v>
      </c>
      <c r="E19" s="8">
        <f>F19</f>
        <v>1.7665470000000001</v>
      </c>
      <c r="F19" s="8">
        <v>1.7665470000000001</v>
      </c>
      <c r="G19" s="9">
        <v>1.3</v>
      </c>
      <c r="H19" s="9"/>
    </row>
    <row r="20" spans="1:8" x14ac:dyDescent="0.3">
      <c r="A20" s="10"/>
      <c r="B20" s="10"/>
      <c r="C20" s="10"/>
      <c r="D20" s="10"/>
      <c r="E20" s="10"/>
    </row>
    <row r="21" spans="1:8" x14ac:dyDescent="0.3">
      <c r="A21" s="1" t="s">
        <v>21</v>
      </c>
      <c r="B21" s="2" t="s">
        <v>13</v>
      </c>
      <c r="C21" s="2" t="s">
        <v>14</v>
      </c>
      <c r="D21" s="2" t="s">
        <v>15</v>
      </c>
      <c r="E21" s="2" t="s">
        <v>6</v>
      </c>
      <c r="F21" s="2" t="s">
        <v>7</v>
      </c>
      <c r="G21" s="3" t="s">
        <v>8</v>
      </c>
      <c r="H21" s="3"/>
    </row>
    <row r="22" spans="1:8" x14ac:dyDescent="0.3">
      <c r="A22" s="4" t="s">
        <v>0</v>
      </c>
      <c r="B22" s="5">
        <v>0.98</v>
      </c>
      <c r="C22" s="5">
        <v>2.02</v>
      </c>
      <c r="D22" s="5">
        <v>-0.64</v>
      </c>
      <c r="E22" s="5"/>
      <c r="F22" s="5"/>
      <c r="G22" s="6"/>
      <c r="H22" s="6"/>
    </row>
    <row r="23" spans="1:8" x14ac:dyDescent="0.3">
      <c r="A23" s="4" t="s">
        <v>3</v>
      </c>
      <c r="B23" s="5">
        <v>2.2000000000000002</v>
      </c>
      <c r="C23" s="5">
        <v>2</v>
      </c>
      <c r="D23" s="5">
        <v>0.3</v>
      </c>
      <c r="E23" s="5"/>
      <c r="F23" s="5"/>
      <c r="G23" s="6"/>
      <c r="H23" s="6"/>
    </row>
    <row r="24" spans="1:8" x14ac:dyDescent="0.3">
      <c r="A24" s="7" t="s">
        <v>4</v>
      </c>
      <c r="B24" s="8"/>
      <c r="C24" s="8"/>
      <c r="D24" s="8"/>
      <c r="E24" s="8"/>
      <c r="F24" s="8"/>
      <c r="G24" s="9"/>
      <c r="H24" s="9"/>
    </row>
    <row r="25" spans="1:8" x14ac:dyDescent="0.3">
      <c r="A25" s="12" t="s">
        <v>23</v>
      </c>
      <c r="B25" s="12"/>
      <c r="C25" s="12"/>
      <c r="D25" s="12"/>
      <c r="E25" s="12"/>
      <c r="F25" s="12"/>
      <c r="G25" s="12"/>
    </row>
    <row r="26" spans="1:8" x14ac:dyDescent="0.3">
      <c r="A26" s="11" t="s">
        <v>20</v>
      </c>
      <c r="B26" s="11"/>
      <c r="C26" s="11"/>
      <c r="D26" s="11"/>
      <c r="E26" s="11"/>
      <c r="F26" s="11"/>
      <c r="G26" s="11"/>
    </row>
    <row r="27" spans="1:8" x14ac:dyDescent="0.3">
      <c r="A27" s="11" t="s">
        <v>24</v>
      </c>
      <c r="B27" s="11"/>
      <c r="C27" s="11"/>
      <c r="D27" s="11"/>
      <c r="E27" s="11"/>
      <c r="F27" s="11"/>
      <c r="G27" s="11"/>
    </row>
  </sheetData>
  <mergeCells count="3">
    <mergeCell ref="A25:G25"/>
    <mergeCell ref="A26:G26"/>
    <mergeCell ref="A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0042-ADE6-40BF-AF32-EDD882FBC7D4}">
  <dimension ref="A1:H27"/>
  <sheetViews>
    <sheetView tabSelected="1"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D32" sqref="D32"/>
    </sheetView>
  </sheetViews>
  <sheetFormatPr defaultRowHeight="14.4" x14ac:dyDescent="0.3"/>
  <cols>
    <col min="1" max="1" width="14.33203125" bestFit="1" customWidth="1"/>
    <col min="2" max="5" width="11.109375" customWidth="1"/>
    <col min="6" max="9" width="10" customWidth="1"/>
  </cols>
  <sheetData>
    <row r="1" spans="1:8" x14ac:dyDescent="0.3">
      <c r="A1" s="1" t="s">
        <v>12</v>
      </c>
      <c r="B1" s="2" t="s">
        <v>13</v>
      </c>
      <c r="C1" s="2" t="s">
        <v>14</v>
      </c>
      <c r="D1" s="2" t="s">
        <v>15</v>
      </c>
      <c r="E1" s="2" t="s">
        <v>6</v>
      </c>
      <c r="F1" s="2" t="s">
        <v>7</v>
      </c>
      <c r="G1" s="3" t="s">
        <v>8</v>
      </c>
      <c r="H1" s="3"/>
    </row>
    <row r="2" spans="1:8" x14ac:dyDescent="0.3">
      <c r="A2" s="4" t="s">
        <v>0</v>
      </c>
      <c r="B2" s="5">
        <v>0.54</v>
      </c>
      <c r="C2" s="5">
        <v>0.32</v>
      </c>
      <c r="D2" s="5">
        <v>-0.69</v>
      </c>
      <c r="E2" s="5">
        <v>0.33</v>
      </c>
      <c r="F2" s="5">
        <v>-0.22</v>
      </c>
      <c r="G2" s="6">
        <v>0.1</v>
      </c>
      <c r="H2" s="6"/>
    </row>
    <row r="3" spans="1:8" x14ac:dyDescent="0.3">
      <c r="A3" s="4" t="s">
        <v>3</v>
      </c>
      <c r="B3" s="5">
        <v>2</v>
      </c>
      <c r="C3" s="5">
        <v>2.1</v>
      </c>
      <c r="D3" s="5">
        <v>2.2000000000000002</v>
      </c>
      <c r="E3" s="5">
        <v>0.9</v>
      </c>
      <c r="F3" s="5">
        <v>1.5</v>
      </c>
      <c r="G3" s="6">
        <v>0.7</v>
      </c>
      <c r="H3" s="6"/>
    </row>
    <row r="4" spans="1:8" x14ac:dyDescent="0.3">
      <c r="A4" s="7" t="s">
        <v>4</v>
      </c>
      <c r="B4" s="8">
        <f>C4</f>
        <v>-2.57</v>
      </c>
      <c r="C4" s="8">
        <f t="shared" ref="C4:D4" si="0">D4</f>
        <v>-2.57</v>
      </c>
      <c r="D4" s="8">
        <f t="shared" si="0"/>
        <v>-2.57</v>
      </c>
      <c r="E4" s="8">
        <v>-2.57</v>
      </c>
      <c r="F4" s="8">
        <v>-2.57</v>
      </c>
      <c r="G4" s="9">
        <v>-2.57</v>
      </c>
      <c r="H4" s="9"/>
    </row>
    <row r="5" spans="1:8" x14ac:dyDescent="0.3">
      <c r="A5" s="10"/>
      <c r="B5" s="10"/>
      <c r="C5" s="10"/>
      <c r="D5" s="10"/>
      <c r="E5" s="10"/>
    </row>
    <row r="6" spans="1:8" x14ac:dyDescent="0.3">
      <c r="A6" s="1" t="s">
        <v>1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3" t="s">
        <v>11</v>
      </c>
      <c r="H6" s="3"/>
    </row>
    <row r="7" spans="1:8" x14ac:dyDescent="0.3">
      <c r="A7" s="4" t="s">
        <v>0</v>
      </c>
      <c r="B7" s="5">
        <v>1</v>
      </c>
      <c r="C7" s="5">
        <v>-0.36</v>
      </c>
      <c r="D7" s="5">
        <v>2.5499999999999998</v>
      </c>
      <c r="E7" s="5">
        <v>0.87</v>
      </c>
      <c r="F7" s="5">
        <v>0.89</v>
      </c>
      <c r="G7" s="6">
        <v>1.33</v>
      </c>
      <c r="H7" s="6"/>
    </row>
    <row r="8" spans="1:8" x14ac:dyDescent="0.3">
      <c r="A8" s="4" t="s">
        <v>3</v>
      </c>
      <c r="B8" s="5">
        <v>1.2</v>
      </c>
      <c r="C8" s="5">
        <v>1.2</v>
      </c>
      <c r="D8" s="5">
        <v>2.2000000000000002</v>
      </c>
      <c r="E8" s="5">
        <v>2.4</v>
      </c>
      <c r="F8" s="5">
        <v>1.8</v>
      </c>
      <c r="G8" s="6">
        <v>1.4</v>
      </c>
      <c r="H8" s="6"/>
    </row>
    <row r="9" spans="1:8" x14ac:dyDescent="0.3">
      <c r="A9" s="7" t="s">
        <v>4</v>
      </c>
      <c r="B9" s="8">
        <f>C9</f>
        <v>1.83</v>
      </c>
      <c r="C9" s="8">
        <f t="shared" ref="C9:D9" si="1">D9</f>
        <v>1.83</v>
      </c>
      <c r="D9" s="8">
        <f t="shared" si="1"/>
        <v>1.83</v>
      </c>
      <c r="E9" s="8">
        <v>1.83</v>
      </c>
      <c r="F9" s="8">
        <v>1.83</v>
      </c>
      <c r="G9" s="9">
        <v>1.83</v>
      </c>
      <c r="H9" s="9"/>
    </row>
    <row r="10" spans="1:8" x14ac:dyDescent="0.3">
      <c r="A10" s="10"/>
      <c r="B10" s="10"/>
      <c r="C10" s="10"/>
      <c r="D10" s="10"/>
      <c r="E10" s="10"/>
    </row>
    <row r="11" spans="1:8" x14ac:dyDescent="0.3">
      <c r="A11" s="1" t="s">
        <v>2</v>
      </c>
      <c r="B11" s="2" t="s">
        <v>9</v>
      </c>
      <c r="C11" s="2" t="s">
        <v>10</v>
      </c>
      <c r="D11" s="2" t="s">
        <v>11</v>
      </c>
      <c r="E11" s="2" t="s">
        <v>5</v>
      </c>
      <c r="F11" s="2" t="s">
        <v>17</v>
      </c>
      <c r="G11" s="3" t="s">
        <v>18</v>
      </c>
      <c r="H11" s="3"/>
    </row>
    <row r="12" spans="1:8" x14ac:dyDescent="0.3">
      <c r="A12" s="4" t="s">
        <v>0</v>
      </c>
      <c r="B12" s="5">
        <v>-0.31</v>
      </c>
      <c r="C12" s="5">
        <v>-0.95</v>
      </c>
      <c r="D12" s="5">
        <v>0.06</v>
      </c>
      <c r="E12" s="5">
        <v>0.24</v>
      </c>
      <c r="F12" s="5">
        <v>-0.63</v>
      </c>
      <c r="G12" s="6">
        <v>-0.54</v>
      </c>
      <c r="H12" s="6"/>
    </row>
    <row r="13" spans="1:8" x14ac:dyDescent="0.3">
      <c r="A13" s="4" t="s">
        <v>3</v>
      </c>
      <c r="B13" s="5">
        <v>0.9</v>
      </c>
      <c r="C13" s="5">
        <v>0.9</v>
      </c>
      <c r="D13" s="5">
        <v>1.1000000000000001</v>
      </c>
      <c r="E13" s="5">
        <v>0.7</v>
      </c>
      <c r="F13" s="5">
        <v>-0.3</v>
      </c>
      <c r="G13" s="6">
        <v>-0.3</v>
      </c>
      <c r="H13" s="6"/>
    </row>
    <row r="14" spans="1:8" x14ac:dyDescent="0.3">
      <c r="A14" s="7" t="s">
        <v>4</v>
      </c>
      <c r="B14" s="8">
        <f>C14</f>
        <v>2.2200000000000002</v>
      </c>
      <c r="C14" s="8">
        <f t="shared" ref="C14:D14" si="2">D14</f>
        <v>2.2200000000000002</v>
      </c>
      <c r="D14" s="8">
        <f t="shared" si="2"/>
        <v>2.2200000000000002</v>
      </c>
      <c r="E14" s="8">
        <v>2.2200000000000002</v>
      </c>
      <c r="F14" s="8">
        <v>2.2200000000000002</v>
      </c>
      <c r="G14" s="9">
        <v>2.2200000000000002</v>
      </c>
      <c r="H14" s="9"/>
    </row>
    <row r="15" spans="1:8" x14ac:dyDescent="0.3">
      <c r="A15" s="10"/>
      <c r="B15" s="10"/>
      <c r="C15" s="10"/>
      <c r="D15" s="10"/>
      <c r="E15" s="10"/>
    </row>
    <row r="16" spans="1:8" x14ac:dyDescent="0.3">
      <c r="A16" s="1" t="s">
        <v>16</v>
      </c>
      <c r="B16" s="2" t="s">
        <v>5</v>
      </c>
      <c r="C16" s="2" t="s">
        <v>17</v>
      </c>
      <c r="D16" s="2" t="s">
        <v>18</v>
      </c>
      <c r="E16" s="2" t="s">
        <v>13</v>
      </c>
      <c r="F16" s="2" t="s">
        <v>14</v>
      </c>
      <c r="G16" s="3" t="s">
        <v>15</v>
      </c>
      <c r="H16" s="3"/>
    </row>
    <row r="17" spans="1:8" x14ac:dyDescent="0.3">
      <c r="A17" s="4" t="s">
        <v>0</v>
      </c>
      <c r="B17" s="5">
        <v>1.9</v>
      </c>
      <c r="C17" s="5">
        <v>0.32</v>
      </c>
      <c r="D17" s="5">
        <v>1.75</v>
      </c>
      <c r="E17" s="5">
        <v>1.69</v>
      </c>
      <c r="F17" s="5">
        <v>2.68</v>
      </c>
      <c r="G17" s="6">
        <v>1.36</v>
      </c>
      <c r="H17" s="6"/>
    </row>
    <row r="18" spans="1:8" x14ac:dyDescent="0.3">
      <c r="A18" s="4" t="s">
        <v>3</v>
      </c>
      <c r="B18" s="5">
        <v>1.6</v>
      </c>
      <c r="C18" s="5">
        <v>2.2999999999999998</v>
      </c>
      <c r="D18" s="5">
        <v>2.2999999999999998</v>
      </c>
      <c r="E18" s="5">
        <v>-0.3</v>
      </c>
      <c r="F18" s="5">
        <v>-0.1</v>
      </c>
      <c r="G18" s="6"/>
      <c r="H18" s="6"/>
    </row>
    <row r="19" spans="1:8" x14ac:dyDescent="0.3">
      <c r="A19" s="7" t="s">
        <v>4</v>
      </c>
      <c r="B19" s="8">
        <f>C19</f>
        <v>1.7665470000000001</v>
      </c>
      <c r="C19" s="8">
        <f t="shared" ref="C19:D19" si="3">D19</f>
        <v>1.7665470000000001</v>
      </c>
      <c r="D19" s="8">
        <f t="shared" si="3"/>
        <v>1.7665470000000001</v>
      </c>
      <c r="E19" s="8">
        <f>F19</f>
        <v>1.7665470000000001</v>
      </c>
      <c r="F19" s="8">
        <v>1.7665470000000001</v>
      </c>
      <c r="G19" s="9">
        <v>1.3</v>
      </c>
      <c r="H19" s="9"/>
    </row>
    <row r="20" spans="1:8" x14ac:dyDescent="0.3">
      <c r="A20" s="10"/>
      <c r="B20" s="10"/>
      <c r="C20" s="10"/>
      <c r="D20" s="10"/>
      <c r="E20" s="10"/>
    </row>
    <row r="21" spans="1:8" x14ac:dyDescent="0.3">
      <c r="A21" s="1" t="s">
        <v>21</v>
      </c>
      <c r="B21" s="2" t="s">
        <v>13</v>
      </c>
      <c r="C21" s="2" t="s">
        <v>14</v>
      </c>
      <c r="D21" s="2" t="s">
        <v>15</v>
      </c>
      <c r="E21" s="2" t="s">
        <v>6</v>
      </c>
      <c r="F21" s="2" t="s">
        <v>7</v>
      </c>
      <c r="G21" s="3" t="s">
        <v>8</v>
      </c>
      <c r="H21" s="3"/>
    </row>
    <row r="22" spans="1:8" x14ac:dyDescent="0.3">
      <c r="A22" s="4" t="s">
        <v>0</v>
      </c>
      <c r="B22" s="5">
        <v>1.19</v>
      </c>
      <c r="C22" s="5">
        <v>2.2000000000000002</v>
      </c>
      <c r="D22" s="5">
        <v>-1.1399999999999999</v>
      </c>
      <c r="E22" s="5">
        <v>1.22</v>
      </c>
      <c r="F22" s="5"/>
      <c r="G22" s="6"/>
      <c r="H22" s="6"/>
    </row>
    <row r="23" spans="1:8" x14ac:dyDescent="0.3">
      <c r="A23" s="4" t="s">
        <v>3</v>
      </c>
      <c r="B23" s="5">
        <v>2.2000000000000002</v>
      </c>
      <c r="C23" s="5">
        <v>2</v>
      </c>
      <c r="D23" s="5">
        <v>0.3</v>
      </c>
      <c r="E23" s="5">
        <v>0.5</v>
      </c>
      <c r="F23" s="5"/>
      <c r="G23" s="6"/>
      <c r="H23" s="6"/>
    </row>
    <row r="24" spans="1:8" x14ac:dyDescent="0.3">
      <c r="A24" s="7" t="s">
        <v>4</v>
      </c>
      <c r="B24" s="8"/>
      <c r="C24" s="8"/>
      <c r="D24" s="8"/>
      <c r="E24" s="8"/>
      <c r="F24" s="8"/>
      <c r="G24" s="9"/>
      <c r="H24" s="9"/>
    </row>
    <row r="25" spans="1:8" x14ac:dyDescent="0.3">
      <c r="A25" s="12" t="s">
        <v>23</v>
      </c>
      <c r="B25" s="12"/>
      <c r="C25" s="12"/>
      <c r="D25" s="12"/>
      <c r="E25" s="12"/>
      <c r="F25" s="12"/>
      <c r="G25" s="12"/>
    </row>
    <row r="26" spans="1:8" x14ac:dyDescent="0.3">
      <c r="A26" s="11" t="s">
        <v>20</v>
      </c>
      <c r="B26" s="11"/>
      <c r="C26" s="11"/>
      <c r="D26" s="11"/>
      <c r="E26" s="11"/>
      <c r="F26" s="11"/>
      <c r="G26" s="11"/>
    </row>
    <row r="27" spans="1:8" x14ac:dyDescent="0.3">
      <c r="A27" s="11" t="s">
        <v>25</v>
      </c>
      <c r="B27" s="11"/>
      <c r="C27" s="11"/>
      <c r="D27" s="11"/>
      <c r="E27" s="11"/>
      <c r="F27" s="11"/>
      <c r="G27" s="11"/>
    </row>
  </sheetData>
  <mergeCells count="3">
    <mergeCell ref="A25:G25"/>
    <mergeCell ref="A26:G26"/>
    <mergeCell ref="A27:G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Aug5</vt:lpstr>
      <vt:lpstr>Aug21</vt:lpstr>
      <vt:lpstr>Aug21_No_Consensus</vt:lpstr>
      <vt:lpstr>Sep09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2019-06-26T15:25:40Z</dcterms:created>
  <dcterms:modified xsi:type="dcterms:W3CDTF">2019-09-13T19:01:13Z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
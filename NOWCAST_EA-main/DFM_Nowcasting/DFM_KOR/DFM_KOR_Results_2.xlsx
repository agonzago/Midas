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8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9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0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"/>
    </mc:Choice>
  </mc:AlternateContent>
  <xr:revisionPtr revIDLastSave="0" documentId="13_ncr:1_{AB0DB337-30C7-4E72-A616-68055F8A9243}" xr6:coauthVersionLast="36" xr6:coauthVersionMax="36" xr10:uidLastSave="{00000000-0000-0000-0000-000000000000}"/>
  <bookViews>
    <workbookView xWindow="0" yWindow="0" windowWidth="23040" windowHeight="8955" firstSheet="2" activeTab="9" xr2:uid="{D18A0661-1219-49BB-A20D-CD0204729060}"/>
  </bookViews>
  <sheets>
    <sheet name="JunCheck" sheetId="1" r:id="rId1"/>
    <sheet name="Jul24Check" sheetId="2" r:id="rId2"/>
    <sheet name="Jul25Check" sheetId="3" r:id="rId3"/>
    <sheet name="Jul25Check-Q2" sheetId="4" r:id="rId4"/>
    <sheet name="Jul31Check-Consensus" sheetId="5" r:id="rId5"/>
    <sheet name="Aug2-Volatility" sheetId="7" r:id="rId6"/>
    <sheet name="Aug12" sheetId="11" r:id="rId7"/>
    <sheet name="Aug21" sheetId="10" r:id="rId8"/>
    <sheet name="Aug21_NoCosensus" sheetId="12" r:id="rId9"/>
    <sheet name="Oct03_NoCosensus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4" i="13" l="1"/>
  <c r="D14" i="13" s="1"/>
  <c r="C14" i="13" s="1"/>
  <c r="B14" i="13" s="1"/>
  <c r="E9" i="13"/>
  <c r="D9" i="13" s="1"/>
  <c r="C9" i="13" s="1"/>
  <c r="B9" i="13" s="1"/>
  <c r="E4" i="13"/>
  <c r="D4" i="13" s="1"/>
  <c r="C4" i="13" s="1"/>
  <c r="B4" i="13" s="1"/>
  <c r="E14" i="12" l="1"/>
  <c r="D14" i="12"/>
  <c r="C14" i="12"/>
  <c r="B14" i="12"/>
  <c r="E9" i="12"/>
  <c r="D9" i="12"/>
  <c r="C9" i="12"/>
  <c r="B9" i="12"/>
  <c r="E4" i="12"/>
  <c r="D4" i="12"/>
  <c r="C4" i="12"/>
  <c r="B4" i="12" s="1"/>
  <c r="D14" i="11"/>
  <c r="C14" i="11"/>
  <c r="B14" i="11"/>
  <c r="D9" i="11"/>
  <c r="C9" i="11"/>
  <c r="B9" i="11"/>
  <c r="D4" i="11"/>
  <c r="C4" i="11"/>
  <c r="B4" i="11"/>
  <c r="E14" i="10" l="1"/>
  <c r="D14" i="10" s="1"/>
  <c r="C14" i="10" s="1"/>
  <c r="B14" i="10" s="1"/>
  <c r="E4" i="10"/>
  <c r="D4" i="10" s="1"/>
  <c r="C4" i="10" s="1"/>
  <c r="B4" i="10" s="1"/>
  <c r="E9" i="10"/>
  <c r="D9" i="10"/>
  <c r="C9" i="10" s="1"/>
  <c r="B9" i="10" s="1"/>
  <c r="D14" i="7" l="1"/>
  <c r="C14" i="7" s="1"/>
  <c r="B14" i="7" s="1"/>
  <c r="D9" i="7"/>
  <c r="C9" i="7" s="1"/>
  <c r="B9" i="7" s="1"/>
  <c r="D4" i="7"/>
  <c r="C4" i="7" s="1"/>
  <c r="B4" i="7" s="1"/>
  <c r="D14" i="5" l="1"/>
  <c r="C14" i="5"/>
  <c r="B14" i="5" s="1"/>
  <c r="D9" i="5"/>
  <c r="C9" i="5"/>
  <c r="B9" i="5" s="1"/>
  <c r="D4" i="5"/>
  <c r="C4" i="5"/>
  <c r="B4" i="5" s="1"/>
  <c r="D14" i="4" l="1"/>
  <c r="C14" i="4" s="1"/>
  <c r="B14" i="4" s="1"/>
  <c r="D9" i="4"/>
  <c r="C9" i="4" s="1"/>
  <c r="B9" i="4" s="1"/>
  <c r="D4" i="4"/>
  <c r="C4" i="4" s="1"/>
  <c r="B4" i="4" s="1"/>
  <c r="D14" i="3" l="1"/>
  <c r="C14" i="3" s="1"/>
  <c r="B14" i="3" s="1"/>
  <c r="D9" i="3"/>
  <c r="C9" i="3" s="1"/>
  <c r="B9" i="3" s="1"/>
  <c r="D4" i="3"/>
  <c r="C4" i="3" s="1"/>
  <c r="B4" i="3" s="1"/>
  <c r="D14" i="2"/>
  <c r="C14" i="2" s="1"/>
  <c r="B14" i="2" s="1"/>
  <c r="D9" i="2"/>
  <c r="C9" i="2" s="1"/>
  <c r="B9" i="2" s="1"/>
  <c r="D4" i="2"/>
  <c r="C4" i="2" s="1"/>
  <c r="B4" i="2" s="1"/>
  <c r="D14" i="1" l="1"/>
  <c r="C14" i="1"/>
  <c r="B14" i="1"/>
  <c r="D9" i="1"/>
  <c r="C9" i="1" s="1"/>
  <c r="B9" i="1" s="1"/>
  <c r="B4" i="1"/>
  <c r="C4" i="1"/>
  <c r="D4" i="1"/>
</calcChain>
</file>

<file path=xl/sharedStrings.xml><?xml version="1.0" encoding="utf-8"?>
<sst xmlns="http://schemas.openxmlformats.org/spreadsheetml/2006/main" count="413" uniqueCount="25">
  <si>
    <t>DFM Nowcast</t>
  </si>
  <si>
    <t>2018Q4</t>
  </si>
  <si>
    <t>2019Q1</t>
  </si>
  <si>
    <t>GPM Nowcast*</t>
  </si>
  <si>
    <t>Actual</t>
  </si>
  <si>
    <t>March</t>
  </si>
  <si>
    <t>September</t>
  </si>
  <si>
    <t>October</t>
  </si>
  <si>
    <t>November</t>
  </si>
  <si>
    <t>December</t>
  </si>
  <si>
    <t>January</t>
  </si>
  <si>
    <t>February</t>
  </si>
  <si>
    <t>2018Q3</t>
  </si>
  <si>
    <t>June</t>
  </si>
  <si>
    <t>July</t>
  </si>
  <si>
    <t>August</t>
  </si>
  <si>
    <t>2019Q2</t>
  </si>
  <si>
    <t>April</t>
  </si>
  <si>
    <t>May</t>
  </si>
  <si>
    <t>* GPM Nowcast refers to first monitoring forecast each month</t>
  </si>
  <si>
    <t>Includes Leading index and composite index</t>
  </si>
  <si>
    <t>2019Q3</t>
  </si>
  <si>
    <t>*** Model estimation with Q2 numbers</t>
  </si>
  <si>
    <t>GPM Nowcast refers to monitoring closest to data retrieval date (21st of month)</t>
  </si>
  <si>
    <t>Model estimation: Aug 21,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</si>
</sst>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2" fontId="0" fillId="2" borderId="0" xfId="0" applyNumberFormat="1" applyFill="1" applyBorder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JunCheck!$A$2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JunCheck!$B$1:$E$1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JunCheck!$B$2:$E$2</c:f>
              <c:numCache>
                <c:formatCode>0.00</c:formatCode>
                <c:ptCount val="4"/>
                <c:pt idx="0">
                  <c:v>4.2699999999999996</c:v>
                </c:pt>
                <c:pt idx="1">
                  <c:v>4.5199999999999996</c:v>
                </c:pt>
                <c:pt idx="2">
                  <c:v>4.4800000000000004</c:v>
                </c:pt>
                <c:pt idx="3">
                  <c:v>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90-43FB-9948-F805503A3284}"/>
            </c:ext>
          </c:extLst>
        </c:ser>
        <c:ser>
          <c:idx val="1"/>
          <c:order val="1"/>
          <c:tx>
            <c:strRef>
              <c:f>JunCheck!$A$3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JunCheck!$B$1:$E$1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JunCheck!$B$3:$E$3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90-43FB-9948-F805503A3284}"/>
            </c:ext>
          </c:extLst>
        </c:ser>
        <c:ser>
          <c:idx val="2"/>
          <c:order val="2"/>
          <c:tx>
            <c:strRef>
              <c:f>JunCheck!$A$4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JunCheck!$B$1:$E$1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JunCheck!$B$4:$E$4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90-43FB-9948-F805503A3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JunCheck!$A$7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JunCheck!$B$6:$E$6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JunCheck!$B$7:$E$7</c:f>
              <c:numCache>
                <c:formatCode>0.00</c:formatCode>
                <c:ptCount val="4"/>
                <c:pt idx="0">
                  <c:v>2.68</c:v>
                </c:pt>
                <c:pt idx="1">
                  <c:v>3.51</c:v>
                </c:pt>
                <c:pt idx="2">
                  <c:v>2.0099999999999998</c:v>
                </c:pt>
                <c:pt idx="3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70-427E-BEE9-FE60E641B2F0}"/>
            </c:ext>
          </c:extLst>
        </c:ser>
        <c:ser>
          <c:idx val="1"/>
          <c:order val="1"/>
          <c:tx>
            <c:strRef>
              <c:f>JunCheck!$A$8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JunCheck!$B$6:$E$6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JunCheck!$B$8:$E$8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70-427E-BEE9-FE60E641B2F0}"/>
            </c:ext>
          </c:extLst>
        </c:ser>
        <c:ser>
          <c:idx val="2"/>
          <c:order val="2"/>
          <c:tx>
            <c:strRef>
              <c:f>JunCheck!$A$9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JunCheck!$B$6:$E$6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JunCheck!$B$9:$E$9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70-427E-BEE9-FE60E641B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JunCheck!$A$12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JunCheck!$B$11:$E$11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JunCheck!$B$12:$E$12</c:f>
              <c:numCache>
                <c:formatCode>0.00</c:formatCode>
                <c:ptCount val="4"/>
                <c:pt idx="0">
                  <c:v>2.35</c:v>
                </c:pt>
                <c:pt idx="1">
                  <c:v>3</c:v>
                </c:pt>
                <c:pt idx="2">
                  <c:v>0.11</c:v>
                </c:pt>
                <c:pt idx="3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8-426C-A684-D5184F78180B}"/>
            </c:ext>
          </c:extLst>
        </c:ser>
        <c:ser>
          <c:idx val="1"/>
          <c:order val="1"/>
          <c:tx>
            <c:strRef>
              <c:f>JunCheck!$A$13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JunCheck!$B$11:$E$11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JunCheck!$B$13:$E$13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48-426C-A684-D5184F78180B}"/>
            </c:ext>
          </c:extLst>
        </c:ser>
        <c:ser>
          <c:idx val="2"/>
          <c:order val="2"/>
          <c:tx>
            <c:strRef>
              <c:f>JunCheck!$A$14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JunCheck!$B$11:$E$11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JunCheck!$B$14:$E$14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48-426C-A684-D5184F781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JunCheck!$A$17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JunCheck!$B$16:$E$16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JunCheck!$B$17:$E$17</c:f>
              <c:numCache>
                <c:formatCode>0.00</c:formatCode>
                <c:ptCount val="4"/>
                <c:pt idx="0">
                  <c:v>4.1500000000000004</c:v>
                </c:pt>
                <c:pt idx="1">
                  <c:v>5.14</c:v>
                </c:pt>
                <c:pt idx="2">
                  <c:v>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D0-4535-99E5-413941F10055}"/>
            </c:ext>
          </c:extLst>
        </c:ser>
        <c:ser>
          <c:idx val="1"/>
          <c:order val="1"/>
          <c:tx>
            <c:strRef>
              <c:f>JunCheck!$A$18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JunCheck!$B$16:$E$16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JunCheck!$B$18:$E$18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D0-4535-99E5-413941F10055}"/>
            </c:ext>
          </c:extLst>
        </c:ser>
        <c:ser>
          <c:idx val="2"/>
          <c:order val="2"/>
          <c:tx>
            <c:strRef>
              <c:f>JunCheck!$A$19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JunCheck!$B$16:$E$16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JunCheck!$B$19:$E$19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D0-4535-99E5-413941F10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Jul24Check!$A$2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Jul24Check!$B$1:$E$1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Jul24Check!$B$2:$E$2</c:f>
              <c:numCache>
                <c:formatCode>0.00</c:formatCode>
                <c:ptCount val="4"/>
                <c:pt idx="0">
                  <c:v>4.26</c:v>
                </c:pt>
                <c:pt idx="1">
                  <c:v>3.61</c:v>
                </c:pt>
                <c:pt idx="2">
                  <c:v>4.22</c:v>
                </c:pt>
                <c:pt idx="3">
                  <c:v>3.74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07-409A-849F-FF0356969C76}"/>
            </c:ext>
          </c:extLst>
        </c:ser>
        <c:ser>
          <c:idx val="1"/>
          <c:order val="1"/>
          <c:tx>
            <c:strRef>
              <c:f>Jul24Check!$A$3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Jul24Check!$B$1:$E$1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Jul24Check!$B$3:$E$3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07-409A-849F-FF0356969C76}"/>
            </c:ext>
          </c:extLst>
        </c:ser>
        <c:ser>
          <c:idx val="2"/>
          <c:order val="2"/>
          <c:tx>
            <c:strRef>
              <c:f>Jul24Check!$A$4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Jul24Check!$B$1:$E$1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Jul24Check!$B$4:$E$4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07-409A-849F-FF0356969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Jul24Check!$A$7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Jul24Check!$B$6:$E$6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Jul24Check!$B$7:$E$7</c:f>
              <c:numCache>
                <c:formatCode>0.00</c:formatCode>
                <c:ptCount val="4"/>
                <c:pt idx="0">
                  <c:v>3.23</c:v>
                </c:pt>
                <c:pt idx="1">
                  <c:v>3.51</c:v>
                </c:pt>
                <c:pt idx="2">
                  <c:v>2.74</c:v>
                </c:pt>
                <c:pt idx="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BB-40C9-9343-6777A22CA739}"/>
            </c:ext>
          </c:extLst>
        </c:ser>
        <c:ser>
          <c:idx val="1"/>
          <c:order val="1"/>
          <c:tx>
            <c:strRef>
              <c:f>Jul24Check!$A$8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Jul24Check!$B$6:$E$6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Jul24Check!$B$8:$E$8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BB-40C9-9343-6777A22CA739}"/>
            </c:ext>
          </c:extLst>
        </c:ser>
        <c:ser>
          <c:idx val="2"/>
          <c:order val="2"/>
          <c:tx>
            <c:strRef>
              <c:f>Jul24Check!$A$9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Jul24Check!$B$6:$E$6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Jul24Check!$B$9:$E$9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BB-40C9-9343-6777A22CA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Jul24Check!$A$12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Jul24Check!$B$11:$E$11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Jul24Check!$B$12:$E$12</c:f>
              <c:numCache>
                <c:formatCode>0.00</c:formatCode>
                <c:ptCount val="4"/>
                <c:pt idx="0">
                  <c:v>2.06</c:v>
                </c:pt>
                <c:pt idx="1">
                  <c:v>3.01</c:v>
                </c:pt>
                <c:pt idx="2">
                  <c:v>1.05</c:v>
                </c:pt>
                <c:pt idx="3">
                  <c:v>1.46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F-41B4-918B-2C585EEBE675}"/>
            </c:ext>
          </c:extLst>
        </c:ser>
        <c:ser>
          <c:idx val="1"/>
          <c:order val="1"/>
          <c:tx>
            <c:strRef>
              <c:f>Jul24Check!$A$13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Jul24Check!$B$11:$E$11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Jul24Check!$B$13:$E$13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6F-41B4-918B-2C585EEBE675}"/>
            </c:ext>
          </c:extLst>
        </c:ser>
        <c:ser>
          <c:idx val="2"/>
          <c:order val="2"/>
          <c:tx>
            <c:strRef>
              <c:f>Jul24Check!$A$14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Jul24Check!$B$11:$E$11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Jul24Check!$B$14:$E$14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6F-41B4-918B-2C585EEBE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Jul24Check!$A$17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Jul24Check!$B$16:$E$16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Jul24Check!$B$17:$E$17</c:f>
              <c:numCache>
                <c:formatCode>0.00</c:formatCode>
                <c:ptCount val="4"/>
                <c:pt idx="0">
                  <c:v>4.2699999999999996</c:v>
                </c:pt>
                <c:pt idx="1">
                  <c:v>4.43</c:v>
                </c:pt>
                <c:pt idx="2">
                  <c:v>3.5</c:v>
                </c:pt>
                <c:pt idx="3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8-42CD-8FD5-491A233CFA43}"/>
            </c:ext>
          </c:extLst>
        </c:ser>
        <c:ser>
          <c:idx val="1"/>
          <c:order val="1"/>
          <c:tx>
            <c:strRef>
              <c:f>Jul24Check!$A$18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Jul24Check!$B$16:$E$16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Jul24Check!$B$18:$E$18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58-42CD-8FD5-491A233CFA43}"/>
            </c:ext>
          </c:extLst>
        </c:ser>
        <c:ser>
          <c:idx val="2"/>
          <c:order val="2"/>
          <c:tx>
            <c:strRef>
              <c:f>Jul24Check!$A$19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Jul24Check!$B$16:$E$16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Jul24Check!$B$19:$E$19</c:f>
              <c:numCache>
                <c:formatCode>0.00</c:formatCode>
                <c:ptCount val="4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58-42CD-8FD5-491A233CF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Jul25Check!$A$2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Jul25Check!$B$1:$E$1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Jul25Check!$B$2:$E$2</c:f>
              <c:numCache>
                <c:formatCode>0.00</c:formatCode>
                <c:ptCount val="4"/>
                <c:pt idx="0">
                  <c:v>4.04</c:v>
                </c:pt>
                <c:pt idx="1">
                  <c:v>3.68</c:v>
                </c:pt>
                <c:pt idx="2">
                  <c:v>4.1100000000000003</c:v>
                </c:pt>
                <c:pt idx="3">
                  <c:v>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7-4152-BD3D-88492838FD15}"/>
            </c:ext>
          </c:extLst>
        </c:ser>
        <c:ser>
          <c:idx val="1"/>
          <c:order val="1"/>
          <c:tx>
            <c:strRef>
              <c:f>Jul25Check!$A$3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Jul25Check!$B$1:$E$1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Jul25Check!$B$3:$E$3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77-4152-BD3D-88492838FD15}"/>
            </c:ext>
          </c:extLst>
        </c:ser>
        <c:ser>
          <c:idx val="2"/>
          <c:order val="2"/>
          <c:tx>
            <c:strRef>
              <c:f>Jul25Check!$A$4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Jul25Check!$B$1:$E$1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Jul25Check!$B$4:$E$4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77-4152-BD3D-88492838F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Jul25Check!$A$7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Jul25Check!$B$6:$E$6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Jul25Check!$B$7:$E$7</c:f>
              <c:numCache>
                <c:formatCode>0.00</c:formatCode>
                <c:ptCount val="4"/>
                <c:pt idx="0">
                  <c:v>3.13</c:v>
                </c:pt>
                <c:pt idx="1">
                  <c:v>4.1399999999999997</c:v>
                </c:pt>
                <c:pt idx="2">
                  <c:v>2.97</c:v>
                </c:pt>
                <c:pt idx="3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7-4EE7-B16B-8D79D013FDC8}"/>
            </c:ext>
          </c:extLst>
        </c:ser>
        <c:ser>
          <c:idx val="1"/>
          <c:order val="1"/>
          <c:tx>
            <c:strRef>
              <c:f>Jul25Check!$A$8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Jul25Check!$B$6:$E$6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Jul25Check!$B$8:$E$8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07-4EE7-B16B-8D79D013FDC8}"/>
            </c:ext>
          </c:extLst>
        </c:ser>
        <c:ser>
          <c:idx val="2"/>
          <c:order val="2"/>
          <c:tx>
            <c:strRef>
              <c:f>Jul25Check!$A$9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Jul25Check!$B$6:$E$6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Jul25Check!$B$9:$E$9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07-4EE7-B16B-8D79D013F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Jul25Check!$A$12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Jul25Check!$B$11:$E$11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Jul25Check!$B$12:$E$12</c:f>
              <c:numCache>
                <c:formatCode>0.00</c:formatCode>
                <c:ptCount val="4"/>
                <c:pt idx="0">
                  <c:v>2.2799999999999998</c:v>
                </c:pt>
                <c:pt idx="1">
                  <c:v>3.56</c:v>
                </c:pt>
                <c:pt idx="2">
                  <c:v>1.21</c:v>
                </c:pt>
                <c:pt idx="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20-4BB5-A734-DBB298DC70C6}"/>
            </c:ext>
          </c:extLst>
        </c:ser>
        <c:ser>
          <c:idx val="1"/>
          <c:order val="1"/>
          <c:tx>
            <c:strRef>
              <c:f>Jul25Check!$A$13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Jul25Check!$B$11:$E$11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Jul25Check!$B$13:$E$13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20-4BB5-A734-DBB298DC70C6}"/>
            </c:ext>
          </c:extLst>
        </c:ser>
        <c:ser>
          <c:idx val="2"/>
          <c:order val="2"/>
          <c:tx>
            <c:strRef>
              <c:f>Jul25Check!$A$14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Jul25Check!$B$11:$E$11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Jul25Check!$B$14:$E$14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20-4BB5-A734-DBB298DC7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Jul25Check!$A$18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Jul25Check!$B$17:$E$17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Jul25Check!$B$18:$E$18</c:f>
              <c:numCache>
                <c:formatCode>0.00</c:formatCode>
                <c:ptCount val="4"/>
                <c:pt idx="0">
                  <c:v>3.95</c:v>
                </c:pt>
                <c:pt idx="1">
                  <c:v>4.55</c:v>
                </c:pt>
                <c:pt idx="2">
                  <c:v>3.47</c:v>
                </c:pt>
                <c:pt idx="3">
                  <c:v>2.75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8-4DF8-A8CE-B5BCCC4E4FC7}"/>
            </c:ext>
          </c:extLst>
        </c:ser>
        <c:ser>
          <c:idx val="1"/>
          <c:order val="1"/>
          <c:tx>
            <c:strRef>
              <c:f>Jul25Check!$A$19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Jul25Check!$B$17:$E$17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Jul25Check!$B$19:$E$19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8-4DF8-A8CE-B5BCCC4E4FC7}"/>
            </c:ext>
          </c:extLst>
        </c:ser>
        <c:ser>
          <c:idx val="2"/>
          <c:order val="2"/>
          <c:tx>
            <c:strRef>
              <c:f>Jul25Check!$A$20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Jul25Check!$B$17:$E$17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Jul25Check!$B$20:$E$20</c:f>
              <c:numCache>
                <c:formatCode>0.00</c:formatCode>
                <c:ptCount val="4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08-4DF8-A8CE-B5BCCC4E4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'Jul25Check-Q2'!$A$2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'Jul25Check-Q2'!$B$1:$E$1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'Jul25Check-Q2'!$B$2:$E$2</c:f>
              <c:numCache>
                <c:formatCode>0.00</c:formatCode>
                <c:ptCount val="4"/>
                <c:pt idx="0">
                  <c:v>4.21</c:v>
                </c:pt>
                <c:pt idx="1">
                  <c:v>3.86</c:v>
                </c:pt>
                <c:pt idx="2">
                  <c:v>4.3899999999999997</c:v>
                </c:pt>
                <c:pt idx="3">
                  <c:v>3.89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8-4676-9E7C-AA9927C71AFD}"/>
            </c:ext>
          </c:extLst>
        </c:ser>
        <c:ser>
          <c:idx val="1"/>
          <c:order val="1"/>
          <c:tx>
            <c:strRef>
              <c:f>'Jul25Check-Q2'!$A$3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'Jul25Check-Q2'!$B$1:$E$1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'Jul25Check-Q2'!$B$3:$E$3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8-4676-9E7C-AA9927C71AFD}"/>
            </c:ext>
          </c:extLst>
        </c:ser>
        <c:ser>
          <c:idx val="2"/>
          <c:order val="2"/>
          <c:tx>
            <c:strRef>
              <c:f>'Jul25Check-Q2'!$A$4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'Jul25Check-Q2'!$B$1:$E$1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'Jul25Check-Q2'!$B$4:$E$4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8-4676-9E7C-AA9927C71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'Jul25Check-Q2'!$A$7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'Jul25Check-Q2'!$B$6:$E$6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'Jul25Check-Q2'!$B$7:$E$7</c:f>
              <c:numCache>
                <c:formatCode>0.00</c:formatCode>
                <c:ptCount val="4"/>
                <c:pt idx="0">
                  <c:v>3.05</c:v>
                </c:pt>
                <c:pt idx="1">
                  <c:v>3.69</c:v>
                </c:pt>
                <c:pt idx="2">
                  <c:v>1.9</c:v>
                </c:pt>
                <c:pt idx="3">
                  <c:v>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E-471B-B210-9E0FA0E0D7FA}"/>
            </c:ext>
          </c:extLst>
        </c:ser>
        <c:ser>
          <c:idx val="1"/>
          <c:order val="1"/>
          <c:tx>
            <c:strRef>
              <c:f>'Jul25Check-Q2'!$A$8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'Jul25Check-Q2'!$B$6:$E$6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'Jul25Check-Q2'!$B$8:$E$8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EE-471B-B210-9E0FA0E0D7FA}"/>
            </c:ext>
          </c:extLst>
        </c:ser>
        <c:ser>
          <c:idx val="2"/>
          <c:order val="2"/>
          <c:tx>
            <c:strRef>
              <c:f>'Jul25Check-Q2'!$A$9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'Jul25Check-Q2'!$B$6:$E$6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'Jul25Check-Q2'!$B$9:$E$9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EE-471B-B210-9E0FA0E0D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'Jul25Check-Q2'!$A$12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'Jul25Check-Q2'!$B$11:$E$11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'Jul25Check-Q2'!$B$12:$E$12</c:f>
              <c:numCache>
                <c:formatCode>0.00</c:formatCode>
                <c:ptCount val="4"/>
                <c:pt idx="0">
                  <c:v>1.75</c:v>
                </c:pt>
                <c:pt idx="1">
                  <c:v>2.16</c:v>
                </c:pt>
                <c:pt idx="2">
                  <c:v>0</c:v>
                </c:pt>
                <c:pt idx="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37-46E1-B355-F1A1EEEED20B}"/>
            </c:ext>
          </c:extLst>
        </c:ser>
        <c:ser>
          <c:idx val="1"/>
          <c:order val="1"/>
          <c:tx>
            <c:strRef>
              <c:f>'Jul25Check-Q2'!$A$13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'Jul25Check-Q2'!$B$11:$E$11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'Jul25Check-Q2'!$B$13:$E$13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37-46E1-B355-F1A1EEEED20B}"/>
            </c:ext>
          </c:extLst>
        </c:ser>
        <c:ser>
          <c:idx val="2"/>
          <c:order val="2"/>
          <c:tx>
            <c:strRef>
              <c:f>'Jul25Check-Q2'!$A$14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'Jul25Check-Q2'!$B$11:$E$11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'Jul25Check-Q2'!$B$14:$E$14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37-46E1-B355-F1A1EEEED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'Jul25Check-Q2'!$A$17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'Jul25Check-Q2'!$B$16:$E$16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'Jul25Check-Q2'!$B$17:$E$17</c:f>
              <c:numCache>
                <c:formatCode>0.00</c:formatCode>
                <c:ptCount val="4"/>
                <c:pt idx="0">
                  <c:v>4.84</c:v>
                </c:pt>
                <c:pt idx="1">
                  <c:v>4.43</c:v>
                </c:pt>
                <c:pt idx="2">
                  <c:v>3.57</c:v>
                </c:pt>
                <c:pt idx="3">
                  <c:v>2.79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5F-479A-BE26-3A505E30AE10}"/>
            </c:ext>
          </c:extLst>
        </c:ser>
        <c:ser>
          <c:idx val="1"/>
          <c:order val="1"/>
          <c:tx>
            <c:strRef>
              <c:f>'Jul25Check-Q2'!$A$18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'Jul25Check-Q2'!$B$16:$E$16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'Jul25Check-Q2'!$B$18:$E$18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5F-479A-BE26-3A505E30AE10}"/>
            </c:ext>
          </c:extLst>
        </c:ser>
        <c:ser>
          <c:idx val="2"/>
          <c:order val="2"/>
          <c:tx>
            <c:strRef>
              <c:f>'Jul25Check-Q2'!$A$19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'Jul25Check-Q2'!$B$16:$E$16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'Jul25Check-Q2'!$B$19:$E$19</c:f>
              <c:numCache>
                <c:formatCode>0.00</c:formatCode>
                <c:ptCount val="4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5F-479A-BE26-3A505E30A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'Jul25Check-Q2'!$A$22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'Jul25Check-Q2'!$B$21:$E$21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'Jul25Check-Q2'!$B$22:$E$22</c:f>
              <c:numCache>
                <c:formatCode>0.00</c:formatCode>
                <c:ptCount val="4"/>
                <c:pt idx="0">
                  <c:v>1.3</c:v>
                </c:pt>
                <c:pt idx="1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E0-47C8-AC54-BE8B017F5A4B}"/>
            </c:ext>
          </c:extLst>
        </c:ser>
        <c:ser>
          <c:idx val="1"/>
          <c:order val="1"/>
          <c:tx>
            <c:strRef>
              <c:f>'Jul25Check-Q2'!$A$23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'Jul25Check-Q2'!$B$21:$E$21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'Jul25Check-Q2'!$B$23:$E$23</c:f>
              <c:numCache>
                <c:formatCode>0.00</c:formatCode>
                <c:ptCount val="4"/>
                <c:pt idx="0">
                  <c:v>3.5</c:v>
                </c:pt>
                <c:pt idx="1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E0-47C8-AC54-BE8B017F5A4B}"/>
            </c:ext>
          </c:extLst>
        </c:ser>
        <c:ser>
          <c:idx val="2"/>
          <c:order val="2"/>
          <c:tx>
            <c:strRef>
              <c:f>'Jul25Check-Q2'!$A$24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'Jul25Check-Q2'!$B$21:$E$21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'Jul25Check-Q2'!$B$24:$E$24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E0-47C8-AC54-BE8B017F5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'Jul31Check-Consensus'!$A$2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'Jul31Check-Consensus'!$B$1:$E$1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'Jul31Check-Consensus'!$B$2:$E$2</c:f>
              <c:numCache>
                <c:formatCode>0.00</c:formatCode>
                <c:ptCount val="4"/>
                <c:pt idx="0">
                  <c:v>4.51</c:v>
                </c:pt>
                <c:pt idx="1">
                  <c:v>4.03</c:v>
                </c:pt>
                <c:pt idx="2">
                  <c:v>4.3899999999999997</c:v>
                </c:pt>
                <c:pt idx="3">
                  <c:v>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58-460F-96B5-1AC9FD01A91C}"/>
            </c:ext>
          </c:extLst>
        </c:ser>
        <c:ser>
          <c:idx val="1"/>
          <c:order val="1"/>
          <c:tx>
            <c:strRef>
              <c:f>'Jul31Check-Consensus'!$A$3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'Jul31Check-Consensus'!$B$1:$E$1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'Jul31Check-Consensus'!$B$3:$E$3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58-460F-96B5-1AC9FD01A91C}"/>
            </c:ext>
          </c:extLst>
        </c:ser>
        <c:ser>
          <c:idx val="2"/>
          <c:order val="2"/>
          <c:tx>
            <c:strRef>
              <c:f>'Jul31Check-Consensus'!$A$4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'Jul31Check-Consensus'!$B$1:$E$1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'Jul31Check-Consensus'!$B$4:$E$4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58-460F-96B5-1AC9FD01A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'Jul31Check-Consensus'!$A$7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'Jul31Check-Consensus'!$B$6:$E$6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'Jul31Check-Consensus'!$B$7:$E$7</c:f>
              <c:numCache>
                <c:formatCode>0.00</c:formatCode>
                <c:ptCount val="4"/>
                <c:pt idx="0">
                  <c:v>3</c:v>
                </c:pt>
                <c:pt idx="1">
                  <c:v>3.67</c:v>
                </c:pt>
                <c:pt idx="2">
                  <c:v>1.92</c:v>
                </c:pt>
                <c:pt idx="3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5F-4858-8D93-840E86CC5647}"/>
            </c:ext>
          </c:extLst>
        </c:ser>
        <c:ser>
          <c:idx val="1"/>
          <c:order val="1"/>
          <c:tx>
            <c:strRef>
              <c:f>'Jul31Check-Consensus'!$A$8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'Jul31Check-Consensus'!$B$6:$E$6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'Jul31Check-Consensus'!$B$8:$E$8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5F-4858-8D93-840E86CC5647}"/>
            </c:ext>
          </c:extLst>
        </c:ser>
        <c:ser>
          <c:idx val="2"/>
          <c:order val="2"/>
          <c:tx>
            <c:strRef>
              <c:f>'Jul31Check-Consensus'!$A$9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'Jul31Check-Consensus'!$B$6:$E$6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'Jul31Check-Consensus'!$B$9:$E$9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5F-4858-8D93-840E86CC5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'Jul31Check-Consensus'!$A$12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'Jul31Check-Consensus'!$B$11:$E$11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'Jul31Check-Consensus'!$B$12:$E$12</c:f>
              <c:numCache>
                <c:formatCode>0.00</c:formatCode>
                <c:ptCount val="4"/>
                <c:pt idx="0">
                  <c:v>1.69</c:v>
                </c:pt>
                <c:pt idx="1">
                  <c:v>2.2000000000000002</c:v>
                </c:pt>
                <c:pt idx="2">
                  <c:v>0</c:v>
                </c:pt>
                <c:pt idx="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E7-474A-A353-9E7AA9814EC1}"/>
            </c:ext>
          </c:extLst>
        </c:ser>
        <c:ser>
          <c:idx val="1"/>
          <c:order val="1"/>
          <c:tx>
            <c:strRef>
              <c:f>'Jul31Check-Consensus'!$A$13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'Jul31Check-Consensus'!$B$11:$E$11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'Jul31Check-Consensus'!$B$13:$E$13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E7-474A-A353-9E7AA9814EC1}"/>
            </c:ext>
          </c:extLst>
        </c:ser>
        <c:ser>
          <c:idx val="2"/>
          <c:order val="2"/>
          <c:tx>
            <c:strRef>
              <c:f>'Jul31Check-Consensus'!$A$14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'Jul31Check-Consensus'!$B$11:$E$11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'Jul31Check-Consensus'!$B$14:$E$14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E7-474A-A353-9E7AA9814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'Jul31Check-Consensus'!$A$17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'Jul31Check-Consensus'!$B$16:$E$16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'Jul31Check-Consensus'!$B$17:$E$17</c:f>
              <c:numCache>
                <c:formatCode>0.00</c:formatCode>
                <c:ptCount val="4"/>
                <c:pt idx="0">
                  <c:v>5.21</c:v>
                </c:pt>
                <c:pt idx="1">
                  <c:v>4.66</c:v>
                </c:pt>
                <c:pt idx="2">
                  <c:v>3.91</c:v>
                </c:pt>
                <c:pt idx="3">
                  <c:v>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7D-479B-9BF6-AE880CC82C2B}"/>
            </c:ext>
          </c:extLst>
        </c:ser>
        <c:ser>
          <c:idx val="1"/>
          <c:order val="1"/>
          <c:tx>
            <c:strRef>
              <c:f>'Jul31Check-Consensus'!$A$18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'Jul31Check-Consensus'!$B$16:$E$16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'Jul31Check-Consensus'!$B$18:$E$18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7D-479B-9BF6-AE880CC82C2B}"/>
            </c:ext>
          </c:extLst>
        </c:ser>
        <c:ser>
          <c:idx val="2"/>
          <c:order val="2"/>
          <c:tx>
            <c:strRef>
              <c:f>'Jul31Check-Consensus'!$A$19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'Jul31Check-Consensus'!$B$16:$E$16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'Jul31Check-Consensus'!$B$19:$E$19</c:f>
              <c:numCache>
                <c:formatCode>0.00</c:formatCode>
                <c:ptCount val="4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7D-479B-9BF6-AE880CC82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'Jul31Check-Consensus'!$A$22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'Jul31Check-Consensus'!$B$21:$E$21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'Jul31Check-Consensus'!$B$22:$E$22</c:f>
              <c:numCache>
                <c:formatCode>0.00</c:formatCode>
                <c:ptCount val="4"/>
                <c:pt idx="0">
                  <c:v>2.88</c:v>
                </c:pt>
                <c:pt idx="1">
                  <c:v>3.57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2-4341-9FD3-5D128A30DFFD}"/>
            </c:ext>
          </c:extLst>
        </c:ser>
        <c:ser>
          <c:idx val="1"/>
          <c:order val="1"/>
          <c:tx>
            <c:strRef>
              <c:f>'Jul31Check-Consensus'!$A$23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'Jul31Check-Consensus'!$B$21:$E$21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'Jul31Check-Consensus'!$B$23:$E$23</c:f>
              <c:numCache>
                <c:formatCode>0.00</c:formatCode>
                <c:ptCount val="4"/>
                <c:pt idx="0">
                  <c:v>3.5</c:v>
                </c:pt>
                <c:pt idx="1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92-4341-9FD3-5D128A30DFFD}"/>
            </c:ext>
          </c:extLst>
        </c:ser>
        <c:ser>
          <c:idx val="2"/>
          <c:order val="2"/>
          <c:tx>
            <c:strRef>
              <c:f>'Jul31Check-Consensus'!$A$24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'Jul31Check-Consensus'!$B$21:$E$21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'Jul31Check-Consensus'!$B$24:$E$24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92-4341-9FD3-5D128A30D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'Aug2-Volatility'!$A$2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'Aug2-Volatility'!$B$1:$E$1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'Aug2-Volatility'!$B$2:$E$2</c:f>
              <c:numCache>
                <c:formatCode>0.00</c:formatCode>
                <c:ptCount val="4"/>
                <c:pt idx="0">
                  <c:v>4.34</c:v>
                </c:pt>
                <c:pt idx="1">
                  <c:v>3.93</c:v>
                </c:pt>
                <c:pt idx="2">
                  <c:v>4.3600000000000003</c:v>
                </c:pt>
                <c:pt idx="3">
                  <c:v>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61-4DFC-970C-67A0845A7568}"/>
            </c:ext>
          </c:extLst>
        </c:ser>
        <c:ser>
          <c:idx val="1"/>
          <c:order val="1"/>
          <c:tx>
            <c:strRef>
              <c:f>'Aug2-Volatility'!$A$3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'Aug2-Volatility'!$B$1:$E$1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'Aug2-Volatility'!$B$3:$E$3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61-4DFC-970C-67A0845A7568}"/>
            </c:ext>
          </c:extLst>
        </c:ser>
        <c:ser>
          <c:idx val="2"/>
          <c:order val="2"/>
          <c:tx>
            <c:strRef>
              <c:f>'Aug2-Volatility'!$A$4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'Aug2-Volatility'!$B$1:$E$1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'Aug2-Volatility'!$B$4:$E$4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61-4DFC-970C-67A0845A7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'Aug2-Volatility'!$A$7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'Aug2-Volatility'!$B$6:$E$6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'Aug2-Volatility'!$B$7:$E$7</c:f>
              <c:numCache>
                <c:formatCode>0.00</c:formatCode>
                <c:ptCount val="4"/>
                <c:pt idx="0">
                  <c:v>3</c:v>
                </c:pt>
                <c:pt idx="1">
                  <c:v>3.88</c:v>
                </c:pt>
                <c:pt idx="2">
                  <c:v>2.19</c:v>
                </c:pt>
                <c:pt idx="3">
                  <c:v>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9-444B-AE61-F5D25DFC6B1D}"/>
            </c:ext>
          </c:extLst>
        </c:ser>
        <c:ser>
          <c:idx val="1"/>
          <c:order val="1"/>
          <c:tx>
            <c:strRef>
              <c:f>'Aug2-Volatility'!$A$8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'Aug2-Volatility'!$B$6:$E$6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'Aug2-Volatility'!$B$8:$E$8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59-444B-AE61-F5D25DFC6B1D}"/>
            </c:ext>
          </c:extLst>
        </c:ser>
        <c:ser>
          <c:idx val="2"/>
          <c:order val="2"/>
          <c:tx>
            <c:strRef>
              <c:f>'Aug2-Volatility'!$A$9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'Aug2-Volatility'!$B$6:$E$6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'Aug2-Volatility'!$B$9:$E$9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59-444B-AE61-F5D25DFC6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'Aug2-Volatility'!$A$12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'Aug2-Volatility'!$B$11:$E$11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'Aug2-Volatility'!$B$12:$E$12</c:f>
              <c:numCache>
                <c:formatCode>0.00</c:formatCode>
                <c:ptCount val="4"/>
                <c:pt idx="0">
                  <c:v>1.71</c:v>
                </c:pt>
                <c:pt idx="1">
                  <c:v>2.39</c:v>
                </c:pt>
                <c:pt idx="2">
                  <c:v>0.05</c:v>
                </c:pt>
                <c:pt idx="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1D-4079-B666-08BD0C781D21}"/>
            </c:ext>
          </c:extLst>
        </c:ser>
        <c:ser>
          <c:idx val="1"/>
          <c:order val="1"/>
          <c:tx>
            <c:strRef>
              <c:f>'Aug2-Volatility'!$A$13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'Aug2-Volatility'!$B$11:$E$11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'Aug2-Volatility'!$B$13:$E$13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1D-4079-B666-08BD0C781D21}"/>
            </c:ext>
          </c:extLst>
        </c:ser>
        <c:ser>
          <c:idx val="2"/>
          <c:order val="2"/>
          <c:tx>
            <c:strRef>
              <c:f>'Aug2-Volatility'!$A$14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'Aug2-Volatility'!$B$11:$E$11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'Aug2-Volatility'!$B$14:$E$14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1D-4079-B666-08BD0C781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'Aug2-Volatility'!$A$17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'Aug2-Volatility'!$B$16:$E$16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'Aug2-Volatility'!$B$17:$E$17</c:f>
              <c:numCache>
                <c:formatCode>0.00</c:formatCode>
                <c:ptCount val="4"/>
                <c:pt idx="0">
                  <c:v>4.99</c:v>
                </c:pt>
                <c:pt idx="1">
                  <c:v>4.67</c:v>
                </c:pt>
                <c:pt idx="2">
                  <c:v>3.92</c:v>
                </c:pt>
                <c:pt idx="3">
                  <c:v>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19-48FB-934F-FE7DADBB6404}"/>
            </c:ext>
          </c:extLst>
        </c:ser>
        <c:ser>
          <c:idx val="1"/>
          <c:order val="1"/>
          <c:tx>
            <c:strRef>
              <c:f>'Aug2-Volatility'!$A$18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'Aug2-Volatility'!$B$16:$E$16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'Aug2-Volatility'!$B$18:$E$18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19-48FB-934F-FE7DADBB6404}"/>
            </c:ext>
          </c:extLst>
        </c:ser>
        <c:ser>
          <c:idx val="2"/>
          <c:order val="2"/>
          <c:tx>
            <c:strRef>
              <c:f>'Aug2-Volatility'!$A$19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'Aug2-Volatility'!$B$16:$E$16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'Aug2-Volatility'!$B$19:$E$19</c:f>
              <c:numCache>
                <c:formatCode>0.00</c:formatCode>
                <c:ptCount val="4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19-48FB-934F-FE7DADBB6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'Aug2-Volatility'!$A$22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'Aug2-Volatility'!$B$21:$E$21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'Aug2-Volatility'!$B$22:$E$22</c:f>
              <c:numCache>
                <c:formatCode>0.00</c:formatCode>
                <c:ptCount val="4"/>
                <c:pt idx="0">
                  <c:v>2.82</c:v>
                </c:pt>
                <c:pt idx="1">
                  <c:v>2.73</c:v>
                </c:pt>
                <c:pt idx="2">
                  <c:v>3.62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94-4FBB-B619-C6A8CF8293E1}"/>
            </c:ext>
          </c:extLst>
        </c:ser>
        <c:ser>
          <c:idx val="1"/>
          <c:order val="1"/>
          <c:tx>
            <c:strRef>
              <c:f>'Aug2-Volatility'!$A$23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'Aug2-Volatility'!$B$21:$E$21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'Aug2-Volatility'!$B$23:$E$23</c:f>
              <c:numCache>
                <c:formatCode>0.00</c:formatCode>
                <c:ptCount val="4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94-4FBB-B619-C6A8CF8293E1}"/>
            </c:ext>
          </c:extLst>
        </c:ser>
        <c:ser>
          <c:idx val="2"/>
          <c:order val="2"/>
          <c:tx>
            <c:strRef>
              <c:f>'Aug2-Volatility'!$A$24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'Aug2-Volatility'!$B$21:$E$21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'Aug2-Volatility'!$B$24:$E$24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94-4FBB-B619-C6A8CF829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'Aug12'!$A$2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'Aug12'!$B$1:$E$1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'Aug12'!$B$2:$E$2</c:f>
              <c:numCache>
                <c:formatCode>0.00</c:formatCode>
                <c:ptCount val="4"/>
                <c:pt idx="0">
                  <c:v>5.13</c:v>
                </c:pt>
                <c:pt idx="1">
                  <c:v>4.5199999999999996</c:v>
                </c:pt>
                <c:pt idx="2">
                  <c:v>3.79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7-49DB-9F96-9EB77954C4A2}"/>
            </c:ext>
          </c:extLst>
        </c:ser>
        <c:ser>
          <c:idx val="1"/>
          <c:order val="1"/>
          <c:tx>
            <c:strRef>
              <c:f>'Aug12'!$A$3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'Aug12'!$B$1:$E$1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'Aug12'!$B$3:$E$3</c:f>
              <c:numCache>
                <c:formatCode>0.00</c:formatCode>
                <c:ptCount val="4"/>
                <c:pt idx="0">
                  <c:v>3.5</c:v>
                </c:pt>
                <c:pt idx="1">
                  <c:v>3.6</c:v>
                </c:pt>
                <c:pt idx="2">
                  <c:v>3.1</c:v>
                </c:pt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7-49DB-9F96-9EB77954C4A2}"/>
            </c:ext>
          </c:extLst>
        </c:ser>
        <c:ser>
          <c:idx val="2"/>
          <c:order val="2"/>
          <c:tx>
            <c:strRef>
              <c:f>'Aug12'!$A$4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'Aug12'!$B$1:$E$1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'Aug12'!$B$4:$E$4</c:f>
              <c:numCache>
                <c:formatCode>0.00</c:formatCode>
                <c:ptCount val="4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D7-49DB-9F96-9EB77954C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'Aug12'!$A$7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'Aug12'!$B$6:$E$6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'Aug12'!$B$7:$E$7</c:f>
              <c:numCache>
                <c:formatCode>0.00</c:formatCode>
                <c:ptCount val="4"/>
                <c:pt idx="0">
                  <c:v>2.86</c:v>
                </c:pt>
                <c:pt idx="1">
                  <c:v>3.13</c:v>
                </c:pt>
                <c:pt idx="2">
                  <c:v>3</c:v>
                </c:pt>
                <c:pt idx="3">
                  <c:v>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49-4542-B669-AC947BAB5B0E}"/>
            </c:ext>
          </c:extLst>
        </c:ser>
        <c:ser>
          <c:idx val="1"/>
          <c:order val="1"/>
          <c:tx>
            <c:strRef>
              <c:f>'Aug12'!$A$8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'Aug12'!$B$6:$E$6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'Aug12'!$B$8:$E$8</c:f>
              <c:numCache>
                <c:formatCode>0.00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49-4542-B669-AC947BAB5B0E}"/>
            </c:ext>
          </c:extLst>
        </c:ser>
        <c:ser>
          <c:idx val="2"/>
          <c:order val="2"/>
          <c:tx>
            <c:strRef>
              <c:f>'Aug12'!$A$9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'Aug12'!$B$6:$E$6</c:f>
              <c:strCache>
                <c:ptCount val="4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</c:strCache>
            </c:strRef>
          </c:cat>
          <c:val>
            <c:numRef>
              <c:f>'Aug12'!$B$9:$E$9</c:f>
              <c:numCache>
                <c:formatCode>0.00</c:formatCode>
                <c:ptCount val="4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49-4542-B669-AC947BAB5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'Aug12'!$A$12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'Aug12'!$B$11:$E$11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'Aug12'!$B$12:$E$12</c:f>
              <c:numCache>
                <c:formatCode>0.00</c:formatCode>
                <c:ptCount val="4"/>
                <c:pt idx="0">
                  <c:v>2.33</c:v>
                </c:pt>
                <c:pt idx="1">
                  <c:v>2.27</c:v>
                </c:pt>
                <c:pt idx="2">
                  <c:v>1.1299999999999999</c:v>
                </c:pt>
                <c:pt idx="3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B0-4BC4-BBDB-D2F2D1184DAE}"/>
            </c:ext>
          </c:extLst>
        </c:ser>
        <c:ser>
          <c:idx val="1"/>
          <c:order val="1"/>
          <c:tx>
            <c:strRef>
              <c:f>'Aug12'!$A$13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'Aug12'!$B$11:$E$11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'Aug12'!$B$13:$E$13</c:f>
              <c:numCache>
                <c:formatCode>0.00</c:formatCode>
                <c:ptCount val="4"/>
                <c:pt idx="0">
                  <c:v>1.5</c:v>
                </c:pt>
                <c:pt idx="1">
                  <c:v>2.9</c:v>
                </c:pt>
                <c:pt idx="2">
                  <c:v>1</c:v>
                </c:pt>
                <c:pt idx="3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B0-4BC4-BBDB-D2F2D1184DAE}"/>
            </c:ext>
          </c:extLst>
        </c:ser>
        <c:ser>
          <c:idx val="2"/>
          <c:order val="2"/>
          <c:tx>
            <c:strRef>
              <c:f>'Aug12'!$A$14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'Aug12'!$B$11:$E$11</c:f>
              <c:strCache>
                <c:ptCount val="4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</c:strCache>
            </c:strRef>
          </c:cat>
          <c:val>
            <c:numRef>
              <c:f>'Aug12'!$B$14:$E$14</c:f>
              <c:numCache>
                <c:formatCode>0.00</c:formatCode>
                <c:ptCount val="4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B0-4BC4-BBDB-D2F2D1184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'Aug12'!$A$17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'Aug12'!$B$16:$E$16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'Aug12'!$B$17:$E$17</c:f>
              <c:numCache>
                <c:formatCode>0.00</c:formatCode>
                <c:ptCount val="4"/>
                <c:pt idx="0">
                  <c:v>3.46</c:v>
                </c:pt>
                <c:pt idx="1">
                  <c:v>3.66</c:v>
                </c:pt>
                <c:pt idx="2">
                  <c:v>6.22</c:v>
                </c:pt>
                <c:pt idx="3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37-4B91-A0DB-681AB0228BA6}"/>
            </c:ext>
          </c:extLst>
        </c:ser>
        <c:ser>
          <c:idx val="1"/>
          <c:order val="1"/>
          <c:tx>
            <c:strRef>
              <c:f>'Aug12'!$A$18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'Aug12'!$B$16:$E$16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'Aug12'!$B$18:$E$18</c:f>
              <c:numCache>
                <c:formatCode>0.00</c:formatCode>
                <c:ptCount val="4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37-4B91-A0DB-681AB0228BA6}"/>
            </c:ext>
          </c:extLst>
        </c:ser>
        <c:ser>
          <c:idx val="2"/>
          <c:order val="2"/>
          <c:tx>
            <c:strRef>
              <c:f>'Aug12'!$A$19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'Aug12'!$B$16:$E$16</c:f>
              <c:strCache>
                <c:ptCount val="4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</c:strCache>
            </c:strRef>
          </c:cat>
          <c:val>
            <c:numRef>
              <c:f>'Aug12'!$B$19:$E$19</c:f>
              <c:numCache>
                <c:formatCode>0.00</c:formatCode>
                <c:ptCount val="4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37-4B91-A0DB-681AB0228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'Aug12'!$A$22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'Aug12'!$B$21:$E$21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'Aug12'!$B$22:$E$22</c:f>
              <c:numCache>
                <c:formatCode>0.00</c:formatCode>
                <c:ptCount val="4"/>
                <c:pt idx="0">
                  <c:v>2.68</c:v>
                </c:pt>
                <c:pt idx="1">
                  <c:v>1.52</c:v>
                </c:pt>
                <c:pt idx="2">
                  <c:v>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2-4CE2-98A5-527E69ED685E}"/>
            </c:ext>
          </c:extLst>
        </c:ser>
        <c:ser>
          <c:idx val="1"/>
          <c:order val="1"/>
          <c:tx>
            <c:strRef>
              <c:f>'Aug12'!$A$23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'Aug12'!$B$21:$E$21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'Aug12'!$B$23:$E$23</c:f>
              <c:numCache>
                <c:formatCode>0.00</c:formatCode>
                <c:ptCount val="4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A2-4CE2-98A5-527E69ED685E}"/>
            </c:ext>
          </c:extLst>
        </c:ser>
        <c:ser>
          <c:idx val="2"/>
          <c:order val="2"/>
          <c:tx>
            <c:strRef>
              <c:f>'Aug12'!$A$24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'Aug12'!$B$21:$E$21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'Aug12'!$B$24:$E$24</c:f>
              <c:numCache>
                <c:formatCode>0.00</c:formatCode>
                <c:ptCount val="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A2-4CE2-98A5-527E69ED6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'Aug21'!$A$2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'Aug21'!$B$1:$F$1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'Aug21'!$B$2:$F$2</c:f>
              <c:numCache>
                <c:formatCode>0.00</c:formatCode>
                <c:ptCount val="5"/>
                <c:pt idx="0">
                  <c:v>4.43</c:v>
                </c:pt>
                <c:pt idx="1">
                  <c:v>4.21</c:v>
                </c:pt>
                <c:pt idx="2">
                  <c:v>4.0599999999999996</c:v>
                </c:pt>
                <c:pt idx="3">
                  <c:v>3.89</c:v>
                </c:pt>
                <c:pt idx="4">
                  <c:v>4.24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85-44B9-AF04-84FC43B4791F}"/>
            </c:ext>
          </c:extLst>
        </c:ser>
        <c:ser>
          <c:idx val="1"/>
          <c:order val="1"/>
          <c:tx>
            <c:strRef>
              <c:f>'Aug21'!$A$3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'Aug21'!$B$1:$F$1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'Aug21'!$B$3:$F$3</c:f>
              <c:numCache>
                <c:formatCode>0.00</c:formatCode>
                <c:ptCount val="5"/>
                <c:pt idx="0">
                  <c:v>3.5</c:v>
                </c:pt>
                <c:pt idx="1">
                  <c:v>3.6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85-44B9-AF04-84FC43B4791F}"/>
            </c:ext>
          </c:extLst>
        </c:ser>
        <c:ser>
          <c:idx val="2"/>
          <c:order val="2"/>
          <c:tx>
            <c:strRef>
              <c:f>'Aug21'!$A$4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'Aug21'!$B$1:$F$1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'Aug21'!$B$4:$F$4</c:f>
              <c:numCache>
                <c:formatCode>0.00</c:formatCode>
                <c:ptCount val="5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  <c:pt idx="4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85-44B9-AF04-84FC43B47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'Aug21'!$A$7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'Aug21'!$B$6:$F$6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'Aug21'!$B$7:$F$7</c:f>
              <c:numCache>
                <c:formatCode>0.00</c:formatCode>
                <c:ptCount val="5"/>
                <c:pt idx="0">
                  <c:v>3.28</c:v>
                </c:pt>
                <c:pt idx="1">
                  <c:v>3.24</c:v>
                </c:pt>
                <c:pt idx="2">
                  <c:v>2.6</c:v>
                </c:pt>
                <c:pt idx="3">
                  <c:v>2.39</c:v>
                </c:pt>
                <c:pt idx="4">
                  <c:v>1.32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A-4E6A-B8D3-89522F242942}"/>
            </c:ext>
          </c:extLst>
        </c:ser>
        <c:ser>
          <c:idx val="1"/>
          <c:order val="1"/>
          <c:tx>
            <c:strRef>
              <c:f>'Aug21'!$A$8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'Aug21'!$B$6:$F$6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'Aug21'!$B$8:$F$8</c:f>
              <c:numCache>
                <c:formatCode>0.00</c:formatCode>
                <c:ptCount val="5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2.9</c:v>
                </c:pt>
                <c:pt idx="4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1A-4E6A-B8D3-89522F242942}"/>
            </c:ext>
          </c:extLst>
        </c:ser>
        <c:ser>
          <c:idx val="2"/>
          <c:order val="2"/>
          <c:tx>
            <c:strRef>
              <c:f>'Aug21'!$A$9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'Aug21'!$B$6:$F$6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'Aug21'!$B$9:$F$9</c:f>
              <c:numCache>
                <c:formatCode>0.00</c:formatCode>
                <c:ptCount val="5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  <c:pt idx="4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1A-4E6A-B8D3-89522F242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'Aug21'!$A$12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'Aug21'!$B$11:$F$11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'Aug21'!$B$12:$F$12</c:f>
              <c:numCache>
                <c:formatCode>0.00</c:formatCode>
                <c:ptCount val="5"/>
                <c:pt idx="0">
                  <c:v>3.28</c:v>
                </c:pt>
                <c:pt idx="1">
                  <c:v>2.3199999999999998</c:v>
                </c:pt>
                <c:pt idx="2">
                  <c:v>1.62</c:v>
                </c:pt>
                <c:pt idx="3">
                  <c:v>1.2</c:v>
                </c:pt>
                <c:pt idx="4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1A-4CD0-8089-C8B82B3FF465}"/>
            </c:ext>
          </c:extLst>
        </c:ser>
        <c:ser>
          <c:idx val="1"/>
          <c:order val="1"/>
          <c:tx>
            <c:strRef>
              <c:f>'Aug21'!$A$13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'Aug21'!$B$11:$F$11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'Aug21'!$B$13:$F$13</c:f>
              <c:numCache>
                <c:formatCode>0.00</c:formatCode>
                <c:ptCount val="5"/>
                <c:pt idx="0">
                  <c:v>2.9</c:v>
                </c:pt>
                <c:pt idx="1">
                  <c:v>2.7</c:v>
                </c:pt>
                <c:pt idx="2">
                  <c:v>1.1000000000000001</c:v>
                </c:pt>
                <c:pt idx="3">
                  <c:v>0.8</c:v>
                </c:pt>
                <c:pt idx="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1A-4CD0-8089-C8B82B3FF465}"/>
            </c:ext>
          </c:extLst>
        </c:ser>
        <c:ser>
          <c:idx val="2"/>
          <c:order val="2"/>
          <c:tx>
            <c:strRef>
              <c:f>'Aug21'!$A$14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'Aug21'!$B$11:$F$11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'Aug21'!$B$14:$F$14</c:f>
              <c:numCache>
                <c:formatCode>0.00</c:formatCode>
                <c:ptCount val="5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  <c:pt idx="4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1A-4CD0-8089-C8B82B3FF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'Aug21'!$A$17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'Aug21'!$B$16:$F$16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'Aug21'!$B$17:$F$17</c:f>
              <c:numCache>
                <c:formatCode>0.00</c:formatCode>
                <c:ptCount val="5"/>
                <c:pt idx="0">
                  <c:v>4.05</c:v>
                </c:pt>
                <c:pt idx="1">
                  <c:v>3.57</c:v>
                </c:pt>
                <c:pt idx="2">
                  <c:v>4.58</c:v>
                </c:pt>
                <c:pt idx="3">
                  <c:v>2.99</c:v>
                </c:pt>
                <c:pt idx="4">
                  <c:v>2.69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B4-4785-A8CC-302F32976A16}"/>
            </c:ext>
          </c:extLst>
        </c:ser>
        <c:ser>
          <c:idx val="1"/>
          <c:order val="1"/>
          <c:tx>
            <c:strRef>
              <c:f>'Aug21'!$A$18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'Aug21'!$B$16:$F$16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'Aug21'!$B$18:$F$18</c:f>
              <c:numCache>
                <c:formatCode>0.00</c:formatCode>
                <c:ptCount val="5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  <c:pt idx="4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B4-4785-A8CC-302F32976A16}"/>
            </c:ext>
          </c:extLst>
        </c:ser>
        <c:ser>
          <c:idx val="2"/>
          <c:order val="2"/>
          <c:tx>
            <c:strRef>
              <c:f>'Aug21'!$A$19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'Aug21'!$B$16:$F$16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'Aug21'!$B$19:$F$19</c:f>
              <c:numCache>
                <c:formatCode>0.00</c:formatCode>
                <c:ptCount val="5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  <c:pt idx="4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B4-4785-A8CC-302F32976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'Aug21'!$A$22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'Aug21'!$B$21:$F$21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'Aug21'!$B$22:$F$22</c:f>
              <c:numCache>
                <c:formatCode>0.00</c:formatCode>
                <c:ptCount val="5"/>
                <c:pt idx="0">
                  <c:v>2.4700000000000002</c:v>
                </c:pt>
                <c:pt idx="1">
                  <c:v>1.48</c:v>
                </c:pt>
                <c:pt idx="2">
                  <c:v>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3E-41D6-98DD-DD2898F21F4D}"/>
            </c:ext>
          </c:extLst>
        </c:ser>
        <c:ser>
          <c:idx val="1"/>
          <c:order val="1"/>
          <c:tx>
            <c:strRef>
              <c:f>'Aug21'!$A$23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'Aug21'!$B$21:$F$21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'Aug21'!$B$23:$F$23</c:f>
              <c:numCache>
                <c:formatCode>0.00</c:formatCode>
                <c:ptCount val="5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3E-41D6-98DD-DD2898F21F4D}"/>
            </c:ext>
          </c:extLst>
        </c:ser>
        <c:ser>
          <c:idx val="2"/>
          <c:order val="2"/>
          <c:tx>
            <c:strRef>
              <c:f>'Aug21'!$A$24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'Aug21'!$B$21:$F$21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'Aug21'!$B$24:$F$24</c:f>
              <c:numCache>
                <c:formatCode>0.00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3E-41D6-98DD-DD2898F21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Aug21_NoCosensus!$A$2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Aug21_NoCosensus!$B$1:$F$1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Aug21_NoCosensus!$B$2:$F$2</c:f>
              <c:numCache>
                <c:formatCode>0.00</c:formatCode>
                <c:ptCount val="5"/>
                <c:pt idx="0">
                  <c:v>4.47</c:v>
                </c:pt>
                <c:pt idx="1">
                  <c:v>4.25</c:v>
                </c:pt>
                <c:pt idx="2">
                  <c:v>4.1399999999999997</c:v>
                </c:pt>
                <c:pt idx="3">
                  <c:v>3.88</c:v>
                </c:pt>
                <c:pt idx="4">
                  <c:v>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2B-4C46-A40F-B177D498728A}"/>
            </c:ext>
          </c:extLst>
        </c:ser>
        <c:ser>
          <c:idx val="1"/>
          <c:order val="1"/>
          <c:tx>
            <c:strRef>
              <c:f>Aug21_NoCosensus!$A$3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Aug21_NoCosensus!$B$1:$F$1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Aug21_NoCosensus!$B$3:$F$3</c:f>
              <c:numCache>
                <c:formatCode>0.00</c:formatCode>
                <c:ptCount val="5"/>
                <c:pt idx="0">
                  <c:v>3.5</c:v>
                </c:pt>
                <c:pt idx="1">
                  <c:v>3.6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2B-4C46-A40F-B177D498728A}"/>
            </c:ext>
          </c:extLst>
        </c:ser>
        <c:ser>
          <c:idx val="2"/>
          <c:order val="2"/>
          <c:tx>
            <c:strRef>
              <c:f>Aug21_NoCosensus!$A$4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Aug21_NoCosensus!$B$1:$F$1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Aug21_NoCosensus!$B$4:$F$4</c:f>
              <c:numCache>
                <c:formatCode>0.00</c:formatCode>
                <c:ptCount val="5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  <c:pt idx="4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2B-4C46-A40F-B177D4987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Aug21_NoCosensus!$A$7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Aug21_NoCosensus!$B$6:$F$6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Aug21_NoCosensus!$B$7:$F$7</c:f>
              <c:numCache>
                <c:formatCode>0.00</c:formatCode>
                <c:ptCount val="5"/>
                <c:pt idx="0">
                  <c:v>3.26</c:v>
                </c:pt>
                <c:pt idx="1">
                  <c:v>3.21</c:v>
                </c:pt>
                <c:pt idx="2">
                  <c:v>2.5499999999999998</c:v>
                </c:pt>
                <c:pt idx="3">
                  <c:v>2.31</c:v>
                </c:pt>
                <c:pt idx="4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A5-4CE8-AE1C-53CF938FAE6F}"/>
            </c:ext>
          </c:extLst>
        </c:ser>
        <c:ser>
          <c:idx val="1"/>
          <c:order val="1"/>
          <c:tx>
            <c:strRef>
              <c:f>Aug21_NoCosensus!$A$8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Aug21_NoCosensus!$B$6:$F$6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Aug21_NoCosensus!$B$8:$F$8</c:f>
              <c:numCache>
                <c:formatCode>0.00</c:formatCode>
                <c:ptCount val="5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2.9</c:v>
                </c:pt>
                <c:pt idx="4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A5-4CE8-AE1C-53CF938FAE6F}"/>
            </c:ext>
          </c:extLst>
        </c:ser>
        <c:ser>
          <c:idx val="2"/>
          <c:order val="2"/>
          <c:tx>
            <c:strRef>
              <c:f>Aug21_NoCosensus!$A$9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Aug21_NoCosensus!$B$6:$F$6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Aug21_NoCosensus!$B$9:$F$9</c:f>
              <c:numCache>
                <c:formatCode>0.00</c:formatCode>
                <c:ptCount val="5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  <c:pt idx="4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A5-4CE8-AE1C-53CF938FA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Aug21_NoCosensus!$A$12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Aug21_NoCosensus!$B$11:$F$11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Aug21_NoCosensus!$B$12:$F$12</c:f>
              <c:numCache>
                <c:formatCode>0.00</c:formatCode>
                <c:ptCount val="5"/>
                <c:pt idx="0">
                  <c:v>3.26</c:v>
                </c:pt>
                <c:pt idx="1">
                  <c:v>2.3199999999999998</c:v>
                </c:pt>
                <c:pt idx="2">
                  <c:v>1.59</c:v>
                </c:pt>
                <c:pt idx="3">
                  <c:v>1.1599999999999999</c:v>
                </c:pt>
                <c:pt idx="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DD-4546-A243-28C03266FF48}"/>
            </c:ext>
          </c:extLst>
        </c:ser>
        <c:ser>
          <c:idx val="1"/>
          <c:order val="1"/>
          <c:tx>
            <c:strRef>
              <c:f>Aug21_NoCosensus!$A$13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Aug21_NoCosensus!$B$11:$F$11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Aug21_NoCosensus!$B$13:$F$13</c:f>
              <c:numCache>
                <c:formatCode>0.00</c:formatCode>
                <c:ptCount val="5"/>
                <c:pt idx="0">
                  <c:v>2.9</c:v>
                </c:pt>
                <c:pt idx="1">
                  <c:v>2.7</c:v>
                </c:pt>
                <c:pt idx="2">
                  <c:v>1.1000000000000001</c:v>
                </c:pt>
                <c:pt idx="3">
                  <c:v>0.8</c:v>
                </c:pt>
                <c:pt idx="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DD-4546-A243-28C03266FF48}"/>
            </c:ext>
          </c:extLst>
        </c:ser>
        <c:ser>
          <c:idx val="2"/>
          <c:order val="2"/>
          <c:tx>
            <c:strRef>
              <c:f>Aug21_NoCosensus!$A$14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Aug21_NoCosensus!$B$11:$F$11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Aug21_NoCosensus!$B$14:$F$14</c:f>
              <c:numCache>
                <c:formatCode>0.00</c:formatCode>
                <c:ptCount val="5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  <c:pt idx="4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DD-4546-A243-28C03266F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Aug21_NoCosensus!$A$17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Aug21_NoCosensus!$B$16:$F$16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Aug21_NoCosensus!$B$17:$F$17</c:f>
              <c:numCache>
                <c:formatCode>0.00</c:formatCode>
                <c:ptCount val="5"/>
                <c:pt idx="0">
                  <c:v>4.04</c:v>
                </c:pt>
                <c:pt idx="1">
                  <c:v>3.57</c:v>
                </c:pt>
                <c:pt idx="2">
                  <c:v>4.63</c:v>
                </c:pt>
                <c:pt idx="3">
                  <c:v>2.98</c:v>
                </c:pt>
                <c:pt idx="4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14-4920-A1BF-51DF0F136C75}"/>
            </c:ext>
          </c:extLst>
        </c:ser>
        <c:ser>
          <c:idx val="1"/>
          <c:order val="1"/>
          <c:tx>
            <c:strRef>
              <c:f>Aug21_NoCosensus!$A$18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Aug21_NoCosensus!$B$16:$F$16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Aug21_NoCosensus!$B$18:$F$18</c:f>
              <c:numCache>
                <c:formatCode>0.00</c:formatCode>
                <c:ptCount val="5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  <c:pt idx="4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14-4920-A1BF-51DF0F136C75}"/>
            </c:ext>
          </c:extLst>
        </c:ser>
        <c:ser>
          <c:idx val="2"/>
          <c:order val="2"/>
          <c:tx>
            <c:strRef>
              <c:f>Aug21_NoCosensus!$A$19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Aug21_NoCosensus!$B$16:$F$16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Aug21_NoCosensus!$B$19:$F$19</c:f>
              <c:numCache>
                <c:formatCode>0.00</c:formatCode>
                <c:ptCount val="5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  <c:pt idx="4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14-4920-A1BF-51DF0F136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Aug21_NoCosensus!$A$22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Aug21_NoCosensus!$B$21:$F$21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Aug21_NoCosensus!$B$22:$F$22</c:f>
              <c:numCache>
                <c:formatCode>0.00</c:formatCode>
                <c:ptCount val="5"/>
                <c:pt idx="0">
                  <c:v>2.44</c:v>
                </c:pt>
                <c:pt idx="1">
                  <c:v>1.46</c:v>
                </c:pt>
                <c:pt idx="2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F5-46CD-959D-CB081422EC22}"/>
            </c:ext>
          </c:extLst>
        </c:ser>
        <c:ser>
          <c:idx val="1"/>
          <c:order val="1"/>
          <c:tx>
            <c:strRef>
              <c:f>Aug21_NoCosensus!$A$23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Aug21_NoCosensus!$B$21:$F$21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Aug21_NoCosensus!$B$23:$F$23</c:f>
              <c:numCache>
                <c:formatCode>0.00</c:formatCode>
                <c:ptCount val="5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F5-46CD-959D-CB081422EC22}"/>
            </c:ext>
          </c:extLst>
        </c:ser>
        <c:ser>
          <c:idx val="2"/>
          <c:order val="2"/>
          <c:tx>
            <c:strRef>
              <c:f>Aug21_NoCosensus!$A$24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Aug21_NoCosensus!$B$21:$F$21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Aug21_NoCosensus!$B$24:$F$24</c:f>
              <c:numCache>
                <c:formatCode>0.00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F5-46CD-959D-CB081422EC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Oct03_NoCosensus!$A$2</c:f>
              <c:strCache>
                <c:ptCount val="1"/>
                <c:pt idx="0">
                  <c:v>DFM Nowcast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Oct03_NoCosensus!$B$1:$F$1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Oct03_NoCosensus!$B$2:$F$2</c:f>
              <c:numCache>
                <c:formatCode>0.00</c:formatCode>
                <c:ptCount val="5"/>
                <c:pt idx="0">
                  <c:v>4.47</c:v>
                </c:pt>
                <c:pt idx="1">
                  <c:v>4.25</c:v>
                </c:pt>
                <c:pt idx="2">
                  <c:v>4.1399999999999997</c:v>
                </c:pt>
                <c:pt idx="3">
                  <c:v>3.88</c:v>
                </c:pt>
                <c:pt idx="4">
                  <c:v>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8-43EC-BECC-6A6279868B2B}"/>
            </c:ext>
          </c:extLst>
        </c:ser>
        <c:ser>
          <c:idx val="1"/>
          <c:order val="1"/>
          <c:tx>
            <c:strRef>
              <c:f>Oct03_NoCosensus!$A$3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Oct03_NoCosensus!$B$1:$F$1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Oct03_NoCosensus!$B$3:$F$3</c:f>
              <c:numCache>
                <c:formatCode>0.00</c:formatCode>
                <c:ptCount val="5"/>
                <c:pt idx="0">
                  <c:v>3.5</c:v>
                </c:pt>
                <c:pt idx="1">
                  <c:v>3.6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8-43EC-BECC-6A6279868B2B}"/>
            </c:ext>
          </c:extLst>
        </c:ser>
        <c:ser>
          <c:idx val="2"/>
          <c:order val="2"/>
          <c:tx>
            <c:strRef>
              <c:f>Oct03_NoCosensus!$A$4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Oct03_NoCosensus!$B$1:$F$1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Oct03_NoCosensus!$B$4:$F$4</c:f>
              <c:numCache>
                <c:formatCode>0.00</c:formatCode>
                <c:ptCount val="5"/>
                <c:pt idx="0">
                  <c:v>2.3299274242445156</c:v>
                </c:pt>
                <c:pt idx="1">
                  <c:v>2.3299274242445156</c:v>
                </c:pt>
                <c:pt idx="2">
                  <c:v>2.3299274242445156</c:v>
                </c:pt>
                <c:pt idx="3">
                  <c:v>2.3299274242445156</c:v>
                </c:pt>
                <c:pt idx="4">
                  <c:v>2.3299274242445156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B8-43EC-BECC-6A6279868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2018 Q4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Oct03_NoCosensus!$A$7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Oct03_NoCosensus!$B$6:$F$6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Oct03_NoCosensus!$B$7:$F$7</c:f>
              <c:numCache>
                <c:formatCode>0.00</c:formatCode>
                <c:ptCount val="5"/>
                <c:pt idx="0">
                  <c:v>3.26</c:v>
                </c:pt>
                <c:pt idx="1">
                  <c:v>3.21</c:v>
                </c:pt>
                <c:pt idx="2">
                  <c:v>2.5499999999999998</c:v>
                </c:pt>
                <c:pt idx="3">
                  <c:v>2.31</c:v>
                </c:pt>
                <c:pt idx="4">
                  <c:v>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1C-4F01-B2BC-B0F4953BCB2B}"/>
            </c:ext>
          </c:extLst>
        </c:ser>
        <c:ser>
          <c:idx val="1"/>
          <c:order val="1"/>
          <c:tx>
            <c:strRef>
              <c:f>Oct03_NoCosensus!$A$8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Oct03_NoCosensus!$B$6:$F$6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Oct03_NoCosensus!$B$8:$F$8</c:f>
              <c:numCache>
                <c:formatCode>0.00</c:formatCode>
                <c:ptCount val="5"/>
                <c:pt idx="0">
                  <c:v>2.5</c:v>
                </c:pt>
                <c:pt idx="1">
                  <c:v>2.5</c:v>
                </c:pt>
                <c:pt idx="2">
                  <c:v>3.9</c:v>
                </c:pt>
                <c:pt idx="3">
                  <c:v>2.9</c:v>
                </c:pt>
                <c:pt idx="4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1C-4F01-B2BC-B0F4953BCB2B}"/>
            </c:ext>
          </c:extLst>
        </c:ser>
        <c:ser>
          <c:idx val="2"/>
          <c:order val="2"/>
          <c:tx>
            <c:strRef>
              <c:f>Oct03_NoCosensus!$A$9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Oct03_NoCosensus!$B$6:$F$6</c:f>
              <c:strCache>
                <c:ptCount val="5"/>
                <c:pt idx="0">
                  <c:v>September</c:v>
                </c:pt>
                <c:pt idx="1">
                  <c:v>October</c:v>
                </c:pt>
                <c:pt idx="2">
                  <c:v>November</c:v>
                </c:pt>
                <c:pt idx="3">
                  <c:v>December</c:v>
                </c:pt>
                <c:pt idx="4">
                  <c:v>January</c:v>
                </c:pt>
              </c:strCache>
            </c:strRef>
          </c:cat>
          <c:val>
            <c:numRef>
              <c:f>Oct03_NoCosensus!$B$9:$F$9</c:f>
              <c:numCache>
                <c:formatCode>0.00</c:formatCode>
                <c:ptCount val="5"/>
                <c:pt idx="0">
                  <c:v>3.7720181748625681</c:v>
                </c:pt>
                <c:pt idx="1">
                  <c:v>3.7720181748625681</c:v>
                </c:pt>
                <c:pt idx="2">
                  <c:v>3.7720181748625681</c:v>
                </c:pt>
                <c:pt idx="3">
                  <c:v>3.7720181748625681</c:v>
                </c:pt>
                <c:pt idx="4">
                  <c:v>3.7720181748625681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1C-4F01-B2BC-B0F4953BC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Q1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Oct03_NoCosensus!$A$12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Oct03_NoCosensus!$B$11:$F$11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Oct03_NoCosensus!$B$12:$F$12</c:f>
              <c:numCache>
                <c:formatCode>0.00</c:formatCode>
                <c:ptCount val="5"/>
                <c:pt idx="0">
                  <c:v>3.26</c:v>
                </c:pt>
                <c:pt idx="1">
                  <c:v>2.3199999999999998</c:v>
                </c:pt>
                <c:pt idx="2">
                  <c:v>1.59</c:v>
                </c:pt>
                <c:pt idx="3">
                  <c:v>1.1599999999999999</c:v>
                </c:pt>
                <c:pt idx="4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3F-4DC9-A526-17C377B4F08B}"/>
            </c:ext>
          </c:extLst>
        </c:ser>
        <c:ser>
          <c:idx val="1"/>
          <c:order val="1"/>
          <c:tx>
            <c:strRef>
              <c:f>Oct03_NoCosensus!$A$13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Oct03_NoCosensus!$B$11:$F$11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Oct03_NoCosensus!$B$13:$F$13</c:f>
              <c:numCache>
                <c:formatCode>0.00</c:formatCode>
                <c:ptCount val="5"/>
                <c:pt idx="0">
                  <c:v>2.9</c:v>
                </c:pt>
                <c:pt idx="1">
                  <c:v>2.7</c:v>
                </c:pt>
                <c:pt idx="2">
                  <c:v>1.1000000000000001</c:v>
                </c:pt>
                <c:pt idx="3">
                  <c:v>0.8</c:v>
                </c:pt>
                <c:pt idx="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3F-4DC9-A526-17C377B4F08B}"/>
            </c:ext>
          </c:extLst>
        </c:ser>
        <c:ser>
          <c:idx val="2"/>
          <c:order val="2"/>
          <c:tx>
            <c:strRef>
              <c:f>Oct03_NoCosensus!$A$14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Oct03_NoCosensus!$B$11:$F$11</c:f>
              <c:strCache>
                <c:ptCount val="5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</c:strCache>
            </c:strRef>
          </c:cat>
          <c:val>
            <c:numRef>
              <c:f>Oct03_NoCosensus!$B$14:$F$14</c:f>
              <c:numCache>
                <c:formatCode>0.00</c:formatCode>
                <c:ptCount val="5"/>
                <c:pt idx="0">
                  <c:v>-1.47</c:v>
                </c:pt>
                <c:pt idx="1">
                  <c:v>-1.47</c:v>
                </c:pt>
                <c:pt idx="2">
                  <c:v>-1.47</c:v>
                </c:pt>
                <c:pt idx="3">
                  <c:v>-1.47</c:v>
                </c:pt>
                <c:pt idx="4">
                  <c:v>-1.47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3F-4DC9-A526-17C377B4F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Q2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Oct03_NoCosensus!$A$17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Oct03_NoCosensus!$B$16:$F$16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Oct03_NoCosensus!$B$17:$F$17</c:f>
              <c:numCache>
                <c:formatCode>0.00</c:formatCode>
                <c:ptCount val="5"/>
                <c:pt idx="0">
                  <c:v>4.04</c:v>
                </c:pt>
                <c:pt idx="1">
                  <c:v>3.57</c:v>
                </c:pt>
                <c:pt idx="2">
                  <c:v>4.63</c:v>
                </c:pt>
                <c:pt idx="3">
                  <c:v>2.98</c:v>
                </c:pt>
                <c:pt idx="4">
                  <c:v>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49-47D8-B606-A36B86379E10}"/>
            </c:ext>
          </c:extLst>
        </c:ser>
        <c:ser>
          <c:idx val="1"/>
          <c:order val="1"/>
          <c:tx>
            <c:strRef>
              <c:f>Oct03_NoCosensus!$A$18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Oct03_NoCosensus!$B$16:$F$16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Oct03_NoCosensus!$B$18:$F$18</c:f>
              <c:numCache>
                <c:formatCode>0.00</c:formatCode>
                <c:ptCount val="5"/>
                <c:pt idx="0">
                  <c:v>2.9</c:v>
                </c:pt>
                <c:pt idx="1">
                  <c:v>2.9</c:v>
                </c:pt>
                <c:pt idx="2">
                  <c:v>4.0999999999999996</c:v>
                </c:pt>
                <c:pt idx="3">
                  <c:v>4.5</c:v>
                </c:pt>
                <c:pt idx="4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49-47D8-B606-A36B86379E10}"/>
            </c:ext>
          </c:extLst>
        </c:ser>
        <c:ser>
          <c:idx val="2"/>
          <c:order val="2"/>
          <c:tx>
            <c:strRef>
              <c:f>Oct03_NoCosensus!$A$19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Oct03_NoCosensus!$B$16:$F$16</c:f>
              <c:strCache>
                <c:ptCount val="5"/>
                <c:pt idx="0">
                  <c:v>March</c:v>
                </c:pt>
                <c:pt idx="1">
                  <c:v>April</c:v>
                </c:pt>
                <c:pt idx="2">
                  <c:v>May</c:v>
                </c:pt>
                <c:pt idx="3">
                  <c:v>June</c:v>
                </c:pt>
                <c:pt idx="4">
                  <c:v>July</c:v>
                </c:pt>
              </c:strCache>
            </c:strRef>
          </c:cat>
          <c:val>
            <c:numRef>
              <c:f>Oct03_NoCosensus!$B$19:$F$19</c:f>
              <c:numCache>
                <c:formatCode>0.00</c:formatCode>
                <c:ptCount val="5"/>
                <c:pt idx="0">
                  <c:v>4.3600000000000003</c:v>
                </c:pt>
                <c:pt idx="1">
                  <c:v>4.3600000000000003</c:v>
                </c:pt>
                <c:pt idx="2">
                  <c:v>4.3600000000000003</c:v>
                </c:pt>
                <c:pt idx="3">
                  <c:v>4.3600000000000003</c:v>
                </c:pt>
                <c:pt idx="4">
                  <c:v>4.3600000000000003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49-47D8-B606-A36B86379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2019 Q3 Forecast</a:t>
            </a:r>
            <a:r>
              <a:rPr lang="en-US" b="1" baseline="0">
                <a:solidFill>
                  <a:sysClr val="windowText" lastClr="000000"/>
                </a:solidFill>
              </a:rPr>
              <a:t> Based on DFM Model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Oct03_NoCosensus!$A$22</c:f>
              <c:strCache>
                <c:ptCount val="1"/>
                <c:pt idx="0">
                  <c:v>DFM Nowcast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Oct03_NoCosensus!$B$21:$F$21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Oct03_NoCosensus!$B$22:$F$22</c:f>
              <c:numCache>
                <c:formatCode>0.00</c:formatCode>
                <c:ptCount val="5"/>
                <c:pt idx="0">
                  <c:v>2.71</c:v>
                </c:pt>
                <c:pt idx="1">
                  <c:v>0.53</c:v>
                </c:pt>
                <c:pt idx="2">
                  <c:v>2.3199999999999998</c:v>
                </c:pt>
                <c:pt idx="3">
                  <c:v>2.76</c:v>
                </c:pt>
                <c:pt idx="4">
                  <c:v>2.93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7A-4D51-994A-1498EBAE1445}"/>
            </c:ext>
          </c:extLst>
        </c:ser>
        <c:ser>
          <c:idx val="1"/>
          <c:order val="1"/>
          <c:tx>
            <c:strRef>
              <c:f>Oct03_NoCosensus!$A$23</c:f>
              <c:strCache>
                <c:ptCount val="1"/>
                <c:pt idx="0">
                  <c:v>GPM Nowcast*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Oct03_NoCosensus!$B$21:$F$21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Oct03_NoCosensus!$B$23:$F$23</c:f>
              <c:numCache>
                <c:formatCode>0.00</c:formatCode>
                <c:ptCount val="5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1.6</c:v>
                </c:pt>
                <c:pt idx="4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7A-4D51-994A-1498EBAE1445}"/>
            </c:ext>
          </c:extLst>
        </c:ser>
        <c:ser>
          <c:idx val="2"/>
          <c:order val="2"/>
          <c:tx>
            <c:strRef>
              <c:f>Oct03_NoCosensus!$A$24</c:f>
              <c:strCache>
                <c:ptCount val="1"/>
                <c:pt idx="0">
                  <c:v>Actual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cat>
            <c:strRef>
              <c:f>Oct03_NoCosensus!$B$21:$F$21</c:f>
              <c:strCache>
                <c:ptCount val="5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</c:strCache>
            </c:strRef>
          </c:cat>
          <c:val>
            <c:numRef>
              <c:f>Oct03_NoCosensus!$B$24:$F$24</c:f>
              <c:numCache>
                <c:formatCode>0.00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7A-4D51-994A-1498EBAE1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4299632"/>
        <c:axId val="1293686304"/>
      </c:lineChart>
      <c:catAx>
        <c:axId val="1924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686304"/>
        <c:crosses val="autoZero"/>
        <c:auto val="1"/>
        <c:lblAlgn val="ctr"/>
        <c:lblOffset val="100"/>
        <c:noMultiLvlLbl val="0"/>
      </c:catAx>
      <c:valAx>
        <c:axId val="1293686304"/>
        <c:scaling>
          <c:orientation val="minMax"/>
        </c:scaling>
        <c:delete val="0"/>
        <c:axPos val="l"/>
        <c:numFmt formatCode="0.00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29963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Relationship Id="rId5" Type="http://schemas.openxmlformats.org/officeDocument/2006/relationships/chart" Target="../charts/chart42.xml"/><Relationship Id="rId4" Type="http://schemas.openxmlformats.org/officeDocument/2006/relationships/chart" Target="../charts/chart4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5" Type="http://schemas.openxmlformats.org/officeDocument/2006/relationships/chart" Target="../charts/chart47.xml"/><Relationship Id="rId4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030E56-E30A-4341-93BC-49AFD71A43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180975</xdr:rowOff>
    </xdr:from>
    <xdr:to>
      <xdr:col>11</xdr:col>
      <xdr:colOff>304800</xdr:colOff>
      <xdr:row>30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496909D-4E67-480C-8D58-290CA05180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41E07D5-DFBC-4FFA-B9C4-E8D806C28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DA0D4FE-2527-40DD-943E-69DF6BF07D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80B4A9-3214-4376-8F54-64F40078C2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1</xdr:row>
      <xdr:rowOff>9525</xdr:rowOff>
    </xdr:from>
    <xdr:to>
      <xdr:col>16</xdr:col>
      <xdr:colOff>295275</xdr:colOff>
      <xdr:row>15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99B2EF-E1DD-422D-ADFE-09D038101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EB7445-5751-43CA-8288-53B62DA4AC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F3B6AC-3AC1-4B60-843B-20EE9F375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A196F-D32F-48F4-B9BC-515613D038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AE9846-1500-4294-9AD9-A0FBE2670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9B50B57-8CC4-4B78-B809-697030C37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654A03-808C-4DB3-985B-51276A602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EC57BE-1085-4D87-AB16-79EA65D23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D15B55-5C53-4C7A-A702-8C4CDDB6E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2F4092-B8D2-4ADA-BC69-9141FD5E3B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5FCDE0-E5F7-4DAF-B2D6-8069FF117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84ED31-822A-49F9-98D5-FE5FCA8E89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B8C2C1-9E95-4C4A-9EF8-EF8A1D56F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020C41-BAE5-4F32-8040-373ED0962C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C5814F-A508-412C-80FE-BC2369A1A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D2B117-8BF9-4488-A01A-A3CC674175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BB897B-D1A7-457C-B0C5-0C79DE7A2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E096DF-6902-460E-9745-BE40BCAEF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F0B413-5EAD-45FD-A004-18D422488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7C052D-A672-444B-BC49-D66369468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C8A0D3-917B-4F96-9DFE-44010178E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C42D2E-CE65-48A0-A180-97BF70C8F3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B86F49-489B-4C76-8D89-39F9755F4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82C883-070C-4631-9324-C85CACF37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3EFF87-9FF2-4AD6-B9BD-BFA4CD06AB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480290-0DE3-431A-A30C-99CA9F0F4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ED53E1-884E-4FDE-BA0D-923D3612D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EB0892-E29B-464A-853E-DA6A528FE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A574E6-7E24-42B0-9B39-4D1D3CB66E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7C8088-90B9-49EF-8D8C-09E2A3EE8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3EE982-85A5-4BF9-B141-10BBB5243F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28087DF-5736-4C48-9A1F-3E1B94504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C48B3A-9FDC-4509-A029-C3F22CBD3B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E1B899-CC6E-498A-9FF7-1FDF5344E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06F195-65B5-472D-9F54-71E75119F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C35374-C4F4-45DF-AEE6-28658BA9B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9EBFA9-8653-43CF-B1A4-049CB6DA4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9C3B88-7AD5-4239-A430-8916D35407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8C15D0-85F0-49B4-9F15-BFBDFB86B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11</xdr:col>
      <xdr:colOff>304800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06FC88-ABBF-4557-9284-2C0C0A888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16</xdr:row>
      <xdr:rowOff>0</xdr:rowOff>
    </xdr:from>
    <xdr:to>
      <xdr:col>16</xdr:col>
      <xdr:colOff>304800</xdr:colOff>
      <xdr:row>30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A34DA8-9513-4244-BCA7-58DB377AC7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304800</xdr:colOff>
      <xdr:row>45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58BD5D-3DE9-4D98-BE63-8BF3AFB53E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BBE0-8E63-42CE-BE5B-4B2BA7786035}">
  <dimension ref="A1:E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2" sqref="E12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4.2699999999999996</v>
      </c>
      <c r="C2" s="5">
        <v>4.5199999999999996</v>
      </c>
      <c r="D2" s="5">
        <v>4.4800000000000004</v>
      </c>
      <c r="E2" s="6">
        <v>3.92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2.68</v>
      </c>
      <c r="C7" s="5">
        <v>3.51</v>
      </c>
      <c r="D7" s="5">
        <v>2.0099999999999998</v>
      </c>
      <c r="E7" s="6">
        <v>1.65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2.35</v>
      </c>
      <c r="C12" s="5">
        <v>3</v>
      </c>
      <c r="D12" s="5">
        <v>0.11</v>
      </c>
      <c r="E12" s="6">
        <v>0.74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3" t="s">
        <v>13</v>
      </c>
    </row>
    <row r="17" spans="1:5" x14ac:dyDescent="0.25">
      <c r="A17" s="4" t="s">
        <v>0</v>
      </c>
      <c r="B17" s="5">
        <v>4.1500000000000004</v>
      </c>
      <c r="C17" s="5">
        <v>5.14</v>
      </c>
      <c r="D17" s="5">
        <v>5.4</v>
      </c>
      <c r="E17" s="6"/>
    </row>
    <row r="18" spans="1:5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6">
        <v>4.5</v>
      </c>
    </row>
    <row r="19" spans="1:5" x14ac:dyDescent="0.25">
      <c r="A19" s="7" t="s">
        <v>4</v>
      </c>
      <c r="B19" s="8"/>
      <c r="C19" s="8"/>
      <c r="D19" s="8"/>
      <c r="E19" s="9"/>
    </row>
    <row r="20" spans="1:5" x14ac:dyDescent="0.25">
      <c r="A20" s="10"/>
      <c r="B20" s="10"/>
      <c r="C20" s="10"/>
      <c r="D20" s="10"/>
      <c r="E20" s="10"/>
    </row>
    <row r="21" spans="1:5" x14ac:dyDescent="0.25">
      <c r="A21" s="11" t="s">
        <v>19</v>
      </c>
      <c r="B21" s="11"/>
      <c r="C21" s="11"/>
      <c r="D21" s="11"/>
      <c r="E21" s="11"/>
    </row>
  </sheetData>
  <mergeCells count="1">
    <mergeCell ref="A21:E2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E5F3A-BB2C-46A5-BCF5-B25C949A2124}">
  <dimension ref="A1:E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6" sqref="E26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4.26</v>
      </c>
      <c r="C2" s="5">
        <v>3.61</v>
      </c>
      <c r="D2" s="5">
        <v>4.22</v>
      </c>
      <c r="E2" s="6">
        <v>3.74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3.23</v>
      </c>
      <c r="C7" s="5">
        <v>3.51</v>
      </c>
      <c r="D7" s="5">
        <v>2.74</v>
      </c>
      <c r="E7" s="6">
        <v>2.19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2.06</v>
      </c>
      <c r="C12" s="5">
        <v>3.01</v>
      </c>
      <c r="D12" s="5">
        <v>1.05</v>
      </c>
      <c r="E12" s="6">
        <v>1.46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3" t="s">
        <v>13</v>
      </c>
    </row>
    <row r="17" spans="1:5" x14ac:dyDescent="0.25">
      <c r="A17" s="4" t="s">
        <v>0</v>
      </c>
      <c r="B17" s="5">
        <v>4.2699999999999996</v>
      </c>
      <c r="C17" s="5">
        <v>4.43</v>
      </c>
      <c r="D17" s="5">
        <v>3.5</v>
      </c>
      <c r="E17" s="6">
        <v>2.78</v>
      </c>
    </row>
    <row r="18" spans="1:5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6">
        <v>4.5</v>
      </c>
    </row>
    <row r="19" spans="1:5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9">
        <v>4.3600000000000003</v>
      </c>
    </row>
    <row r="20" spans="1:5" x14ac:dyDescent="0.25">
      <c r="A20" s="10"/>
      <c r="B20" s="10"/>
      <c r="C20" s="10"/>
      <c r="D20" s="10"/>
      <c r="E20" s="10"/>
    </row>
    <row r="21" spans="1:5" x14ac:dyDescent="0.25">
      <c r="A21" s="11" t="s">
        <v>19</v>
      </c>
      <c r="B21" s="11"/>
      <c r="C21" s="11"/>
      <c r="D21" s="11"/>
      <c r="E21" s="11"/>
    </row>
  </sheetData>
  <mergeCells count="1">
    <mergeCell ref="A21:E2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D7C0B-5323-4B6D-B586-6118EB34ADE8}">
  <dimension ref="A1:E2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2" sqref="D32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4.04</v>
      </c>
      <c r="C2" s="5">
        <v>3.68</v>
      </c>
      <c r="D2" s="5">
        <v>4.1100000000000003</v>
      </c>
      <c r="E2" s="6">
        <v>3.61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3.13</v>
      </c>
      <c r="C7" s="5">
        <v>4.1399999999999997</v>
      </c>
      <c r="D7" s="5">
        <v>2.97</v>
      </c>
      <c r="E7" s="6">
        <v>2.4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2.2799999999999998</v>
      </c>
      <c r="C12" s="5">
        <v>3.56</v>
      </c>
      <c r="D12" s="5">
        <v>1.21</v>
      </c>
      <c r="E12" s="6">
        <v>1.6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0"/>
      <c r="B16" s="10"/>
      <c r="C16" s="10"/>
      <c r="D16" s="10"/>
      <c r="E16" s="10"/>
    </row>
    <row r="17" spans="1:5" x14ac:dyDescent="0.25">
      <c r="A17" s="1" t="s">
        <v>16</v>
      </c>
      <c r="B17" s="2" t="s">
        <v>5</v>
      </c>
      <c r="C17" s="2" t="s">
        <v>17</v>
      </c>
      <c r="D17" s="2" t="s">
        <v>18</v>
      </c>
      <c r="E17" s="3" t="s">
        <v>13</v>
      </c>
    </row>
    <row r="18" spans="1:5" x14ac:dyDescent="0.25">
      <c r="A18" s="4" t="s">
        <v>0</v>
      </c>
      <c r="B18" s="5">
        <v>3.95</v>
      </c>
      <c r="C18" s="5">
        <v>4.55</v>
      </c>
      <c r="D18" s="5">
        <v>3.47</v>
      </c>
      <c r="E18" s="6">
        <v>2.75</v>
      </c>
    </row>
    <row r="19" spans="1:5" x14ac:dyDescent="0.25">
      <c r="A19" s="4" t="s">
        <v>3</v>
      </c>
      <c r="B19" s="5">
        <v>2.9</v>
      </c>
      <c r="C19" s="5">
        <v>2.9</v>
      </c>
      <c r="D19" s="5">
        <v>4.0999999999999996</v>
      </c>
      <c r="E19" s="6">
        <v>4.5</v>
      </c>
    </row>
    <row r="20" spans="1:5" x14ac:dyDescent="0.25">
      <c r="A20" s="7" t="s">
        <v>4</v>
      </c>
      <c r="B20" s="8">
        <v>4.3600000000000003</v>
      </c>
      <c r="C20" s="8">
        <v>4.3600000000000003</v>
      </c>
      <c r="D20" s="8">
        <v>4.3600000000000003</v>
      </c>
      <c r="E20" s="9">
        <v>4.3600000000000003</v>
      </c>
    </row>
    <row r="21" spans="1:5" x14ac:dyDescent="0.25">
      <c r="A21" s="10"/>
      <c r="B21" s="10"/>
      <c r="C21" s="10"/>
      <c r="D21" s="10"/>
      <c r="E21" s="10"/>
    </row>
    <row r="22" spans="1:5" x14ac:dyDescent="0.25">
      <c r="A22" s="12" t="s">
        <v>19</v>
      </c>
      <c r="B22" s="12"/>
      <c r="C22" s="12"/>
      <c r="D22" s="12"/>
      <c r="E22" s="12"/>
    </row>
    <row r="23" spans="1:5" x14ac:dyDescent="0.25">
      <c r="A23" s="12" t="s">
        <v>20</v>
      </c>
      <c r="B23" s="12"/>
      <c r="C23" s="12"/>
      <c r="D23" s="12"/>
      <c r="E23" s="12"/>
    </row>
    <row r="24" spans="1:5" x14ac:dyDescent="0.25">
      <c r="A24" s="12"/>
      <c r="B24" s="12"/>
      <c r="C24" s="12"/>
      <c r="D24" s="12"/>
      <c r="E24" s="12"/>
    </row>
  </sheetData>
  <mergeCells count="3">
    <mergeCell ref="A22:E22"/>
    <mergeCell ref="A23:E23"/>
    <mergeCell ref="A24:E2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C8DE-46B5-43E3-8C59-DEB0B053D302}">
  <dimension ref="A1:E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7" sqref="C37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4.21</v>
      </c>
      <c r="C2" s="5">
        <v>3.86</v>
      </c>
      <c r="D2" s="5">
        <v>4.3899999999999997</v>
      </c>
      <c r="E2" s="6">
        <v>3.89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3.05</v>
      </c>
      <c r="C7" s="5">
        <v>3.69</v>
      </c>
      <c r="D7" s="5">
        <v>1.9</v>
      </c>
      <c r="E7" s="6">
        <v>1.48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1.75</v>
      </c>
      <c r="C12" s="5">
        <v>2.16</v>
      </c>
      <c r="D12" s="5">
        <v>0</v>
      </c>
      <c r="E12" s="6">
        <v>0.56000000000000005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3" t="s">
        <v>13</v>
      </c>
    </row>
    <row r="17" spans="1:5" x14ac:dyDescent="0.25">
      <c r="A17" s="4" t="s">
        <v>0</v>
      </c>
      <c r="B17" s="5">
        <v>4.84</v>
      </c>
      <c r="C17" s="5">
        <v>4.43</v>
      </c>
      <c r="D17" s="5">
        <v>3.57</v>
      </c>
      <c r="E17" s="6">
        <v>2.79</v>
      </c>
    </row>
    <row r="18" spans="1:5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6">
        <v>4.5</v>
      </c>
    </row>
    <row r="19" spans="1:5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9">
        <v>4.3600000000000003</v>
      </c>
    </row>
    <row r="20" spans="1:5" x14ac:dyDescent="0.25">
      <c r="A20" s="10"/>
      <c r="B20" s="10"/>
      <c r="C20" s="10"/>
      <c r="D20" s="10"/>
      <c r="E20" s="10"/>
    </row>
    <row r="21" spans="1:5" x14ac:dyDescent="0.25">
      <c r="A21" s="1" t="s">
        <v>21</v>
      </c>
      <c r="B21" s="2" t="s">
        <v>13</v>
      </c>
      <c r="C21" s="2" t="s">
        <v>14</v>
      </c>
      <c r="D21" s="2" t="s">
        <v>15</v>
      </c>
      <c r="E21" s="3" t="s">
        <v>6</v>
      </c>
    </row>
    <row r="22" spans="1:5" x14ac:dyDescent="0.25">
      <c r="A22" s="4" t="s">
        <v>0</v>
      </c>
      <c r="B22" s="5">
        <v>1.3</v>
      </c>
      <c r="C22" s="5">
        <v>1.28</v>
      </c>
      <c r="D22" s="5"/>
      <c r="E22" s="6"/>
    </row>
    <row r="23" spans="1:5" x14ac:dyDescent="0.25">
      <c r="A23" s="4" t="s">
        <v>3</v>
      </c>
      <c r="B23" s="5">
        <v>3.5</v>
      </c>
      <c r="C23" s="5">
        <v>3.5</v>
      </c>
      <c r="D23" s="5"/>
      <c r="E23" s="6"/>
    </row>
    <row r="24" spans="1:5" x14ac:dyDescent="0.25">
      <c r="A24" s="7" t="s">
        <v>4</v>
      </c>
      <c r="B24" s="8"/>
      <c r="C24" s="8"/>
      <c r="D24" s="8"/>
      <c r="E24" s="9"/>
    </row>
    <row r="25" spans="1:5" x14ac:dyDescent="0.25">
      <c r="A25" s="12" t="s">
        <v>19</v>
      </c>
      <c r="B25" s="12"/>
      <c r="C25" s="12"/>
      <c r="D25" s="12"/>
      <c r="E25" s="12"/>
    </row>
    <row r="26" spans="1:5" x14ac:dyDescent="0.25">
      <c r="A26" s="12" t="s">
        <v>20</v>
      </c>
      <c r="B26" s="12"/>
      <c r="C26" s="12"/>
      <c r="D26" s="12"/>
      <c r="E26" s="12"/>
    </row>
    <row r="27" spans="1:5" x14ac:dyDescent="0.25">
      <c r="A27" s="12" t="s">
        <v>22</v>
      </c>
      <c r="B27" s="12"/>
      <c r="C27" s="12"/>
      <c r="D27" s="12"/>
      <c r="E27" s="12"/>
    </row>
  </sheetData>
  <mergeCells count="3">
    <mergeCell ref="A25:E25"/>
    <mergeCell ref="A26:E26"/>
    <mergeCell ref="A27:E2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65270-FA63-4DAB-A79C-AD0E66CC99C4}">
  <dimension ref="A1:E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4.51</v>
      </c>
      <c r="C2" s="5">
        <v>4.03</v>
      </c>
      <c r="D2" s="5">
        <v>4.3899999999999997</v>
      </c>
      <c r="E2" s="6">
        <v>3.81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3</v>
      </c>
      <c r="C7" s="5">
        <v>3.67</v>
      </c>
      <c r="D7" s="5">
        <v>1.92</v>
      </c>
      <c r="E7" s="6">
        <v>1.51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1.69</v>
      </c>
      <c r="C12" s="5">
        <v>2.2000000000000002</v>
      </c>
      <c r="D12" s="5">
        <v>0</v>
      </c>
      <c r="E12" s="6">
        <v>0.51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3" t="s">
        <v>13</v>
      </c>
    </row>
    <row r="17" spans="1:5" x14ac:dyDescent="0.25">
      <c r="A17" s="4" t="s">
        <v>0</v>
      </c>
      <c r="B17" s="5">
        <v>5.21</v>
      </c>
      <c r="C17" s="5">
        <v>4.66</v>
      </c>
      <c r="D17" s="5">
        <v>3.91</v>
      </c>
      <c r="E17" s="6">
        <v>3.79</v>
      </c>
    </row>
    <row r="18" spans="1:5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6">
        <v>4.5</v>
      </c>
    </row>
    <row r="19" spans="1:5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9">
        <v>4.3600000000000003</v>
      </c>
    </row>
    <row r="20" spans="1:5" x14ac:dyDescent="0.25">
      <c r="A20" s="10"/>
      <c r="B20" s="10"/>
      <c r="C20" s="10"/>
      <c r="D20" s="10"/>
      <c r="E20" s="10"/>
    </row>
    <row r="21" spans="1:5" x14ac:dyDescent="0.25">
      <c r="A21" s="1" t="s">
        <v>21</v>
      </c>
      <c r="B21" s="2" t="s">
        <v>13</v>
      </c>
      <c r="C21" s="2" t="s">
        <v>14</v>
      </c>
      <c r="D21" s="2" t="s">
        <v>15</v>
      </c>
      <c r="E21" s="3" t="s">
        <v>6</v>
      </c>
    </row>
    <row r="22" spans="1:5" x14ac:dyDescent="0.25">
      <c r="A22" s="4" t="s">
        <v>0</v>
      </c>
      <c r="B22" s="5">
        <v>2.88</v>
      </c>
      <c r="C22" s="5">
        <v>3.57</v>
      </c>
      <c r="D22" s="5"/>
      <c r="E22" s="6"/>
    </row>
    <row r="23" spans="1:5" x14ac:dyDescent="0.25">
      <c r="A23" s="4" t="s">
        <v>3</v>
      </c>
      <c r="B23" s="5">
        <v>3.5</v>
      </c>
      <c r="C23" s="5">
        <v>3.5</v>
      </c>
      <c r="D23" s="5"/>
      <c r="E23" s="6"/>
    </row>
    <row r="24" spans="1:5" x14ac:dyDescent="0.25">
      <c r="A24" s="7" t="s">
        <v>4</v>
      </c>
      <c r="B24" s="8"/>
      <c r="C24" s="8"/>
      <c r="D24" s="8"/>
      <c r="E24" s="9"/>
    </row>
    <row r="25" spans="1:5" x14ac:dyDescent="0.25">
      <c r="A25" s="12" t="s">
        <v>19</v>
      </c>
      <c r="B25" s="12"/>
      <c r="C25" s="12"/>
      <c r="D25" s="12"/>
      <c r="E25" s="12"/>
    </row>
    <row r="26" spans="1:5" x14ac:dyDescent="0.25">
      <c r="A26" s="12" t="s">
        <v>20</v>
      </c>
      <c r="B26" s="12"/>
      <c r="C26" s="12"/>
      <c r="D26" s="12"/>
      <c r="E26" s="12"/>
    </row>
    <row r="27" spans="1:5" x14ac:dyDescent="0.25">
      <c r="A27" s="12" t="s">
        <v>22</v>
      </c>
      <c r="B27" s="12"/>
      <c r="C27" s="12"/>
      <c r="D27" s="12"/>
      <c r="E27" s="12"/>
    </row>
  </sheetData>
  <mergeCells count="3">
    <mergeCell ref="A25:E25"/>
    <mergeCell ref="A26:E26"/>
    <mergeCell ref="A27:E27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A2391-0B94-42E1-8423-C5EAE1A1BE08}">
  <dimension ref="A1:E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37" sqref="G37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4.34</v>
      </c>
      <c r="C2" s="5">
        <v>3.93</v>
      </c>
      <c r="D2" s="5">
        <v>4.3600000000000003</v>
      </c>
      <c r="E2" s="6">
        <v>3.73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3</v>
      </c>
      <c r="C7" s="5">
        <v>3.88</v>
      </c>
      <c r="D7" s="5">
        <v>2.19</v>
      </c>
      <c r="E7" s="6">
        <v>1.84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1.71</v>
      </c>
      <c r="C12" s="5">
        <v>2.39</v>
      </c>
      <c r="D12" s="5">
        <v>0.05</v>
      </c>
      <c r="E12" s="6">
        <v>0.53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3" t="s">
        <v>13</v>
      </c>
    </row>
    <row r="17" spans="1:5" x14ac:dyDescent="0.25">
      <c r="A17" s="4" t="s">
        <v>0</v>
      </c>
      <c r="B17" s="5">
        <v>4.99</v>
      </c>
      <c r="C17" s="5">
        <v>4.67</v>
      </c>
      <c r="D17" s="5">
        <v>3.92</v>
      </c>
      <c r="E17" s="6">
        <v>3.79</v>
      </c>
    </row>
    <row r="18" spans="1:5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6">
        <v>4.5</v>
      </c>
    </row>
    <row r="19" spans="1:5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9">
        <v>4.3600000000000003</v>
      </c>
    </row>
    <row r="20" spans="1:5" x14ac:dyDescent="0.25">
      <c r="A20" s="10"/>
      <c r="B20" s="10"/>
      <c r="C20" s="10"/>
      <c r="D20" s="10"/>
      <c r="E20" s="10"/>
    </row>
    <row r="21" spans="1:5" x14ac:dyDescent="0.25">
      <c r="A21" s="1" t="s">
        <v>21</v>
      </c>
      <c r="B21" s="2" t="s">
        <v>13</v>
      </c>
      <c r="C21" s="2" t="s">
        <v>14</v>
      </c>
      <c r="D21" s="2" t="s">
        <v>15</v>
      </c>
      <c r="E21" s="3" t="s">
        <v>6</v>
      </c>
    </row>
    <row r="22" spans="1:5" x14ac:dyDescent="0.25">
      <c r="A22" s="4" t="s">
        <v>0</v>
      </c>
      <c r="B22" s="5">
        <v>2.82</v>
      </c>
      <c r="C22" s="5">
        <v>2.73</v>
      </c>
      <c r="D22" s="5">
        <v>3.62</v>
      </c>
      <c r="E22" s="6"/>
    </row>
    <row r="23" spans="1:5" x14ac:dyDescent="0.25">
      <c r="A23" s="4" t="s">
        <v>3</v>
      </c>
      <c r="B23" s="5">
        <v>3.5</v>
      </c>
      <c r="C23" s="5">
        <v>3.5</v>
      </c>
      <c r="D23" s="5">
        <v>3.5</v>
      </c>
      <c r="E23" s="6"/>
    </row>
    <row r="24" spans="1:5" x14ac:dyDescent="0.25">
      <c r="A24" s="7" t="s">
        <v>4</v>
      </c>
      <c r="B24" s="8"/>
      <c r="C24" s="8"/>
      <c r="D24" s="8"/>
      <c r="E24" s="9"/>
    </row>
    <row r="25" spans="1:5" x14ac:dyDescent="0.25">
      <c r="A25" s="12" t="s">
        <v>19</v>
      </c>
      <c r="B25" s="12"/>
      <c r="C25" s="12"/>
      <c r="D25" s="12"/>
      <c r="E25" s="12"/>
    </row>
    <row r="26" spans="1:5" x14ac:dyDescent="0.25">
      <c r="A26" s="12" t="s">
        <v>20</v>
      </c>
      <c r="B26" s="12"/>
      <c r="C26" s="12"/>
      <c r="D26" s="12"/>
      <c r="E26" s="12"/>
    </row>
    <row r="27" spans="1:5" x14ac:dyDescent="0.25">
      <c r="A27" s="12" t="s">
        <v>22</v>
      </c>
      <c r="B27" s="12"/>
      <c r="C27" s="12"/>
      <c r="D27" s="12"/>
      <c r="E27" s="12"/>
    </row>
  </sheetData>
  <mergeCells count="3">
    <mergeCell ref="A25:E25"/>
    <mergeCell ref="A26:E26"/>
    <mergeCell ref="A27:E2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8B20F-2466-4129-B911-A7274A9D2908}">
  <dimension ref="A1:E27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0" sqref="E30"/>
    </sheetView>
  </sheetViews>
  <sheetFormatPr defaultRowHeight="15" x14ac:dyDescent="0.25"/>
  <cols>
    <col min="1" max="1" width="14.28515625" bestFit="1" customWidth="1"/>
    <col min="2" max="5" width="11.140625" customWidth="1"/>
  </cols>
  <sheetData>
    <row r="1" spans="1:5" x14ac:dyDescent="0.25">
      <c r="A1" s="1" t="s">
        <v>12</v>
      </c>
      <c r="B1" s="2" t="s">
        <v>13</v>
      </c>
      <c r="C1" s="2" t="s">
        <v>14</v>
      </c>
      <c r="D1" s="2" t="s">
        <v>15</v>
      </c>
      <c r="E1" s="3" t="s">
        <v>6</v>
      </c>
    </row>
    <row r="2" spans="1:5" x14ac:dyDescent="0.25">
      <c r="A2" s="4" t="s">
        <v>0</v>
      </c>
      <c r="B2" s="5">
        <v>5.13</v>
      </c>
      <c r="C2" s="5">
        <v>4.5199999999999996</v>
      </c>
      <c r="D2" s="5">
        <v>3.79</v>
      </c>
      <c r="E2" s="6">
        <v>4.3600000000000003</v>
      </c>
    </row>
    <row r="3" spans="1:5" x14ac:dyDescent="0.25">
      <c r="A3" s="4" t="s">
        <v>3</v>
      </c>
      <c r="B3" s="5">
        <v>3.5</v>
      </c>
      <c r="C3" s="5">
        <v>3.6</v>
      </c>
      <c r="D3" s="5">
        <v>3.1</v>
      </c>
      <c r="E3" s="6">
        <v>3</v>
      </c>
    </row>
    <row r="4" spans="1:5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9">
        <v>2.3299274242445156</v>
      </c>
    </row>
    <row r="5" spans="1:5" x14ac:dyDescent="0.25">
      <c r="A5" s="10"/>
      <c r="B5" s="10"/>
      <c r="C5" s="10"/>
      <c r="D5" s="10"/>
      <c r="E5" s="10"/>
    </row>
    <row r="6" spans="1:5" x14ac:dyDescent="0.25">
      <c r="A6" s="1" t="s">
        <v>1</v>
      </c>
      <c r="B6" s="2" t="s">
        <v>6</v>
      </c>
      <c r="C6" s="2" t="s">
        <v>7</v>
      </c>
      <c r="D6" s="2" t="s">
        <v>8</v>
      </c>
      <c r="E6" s="3" t="s">
        <v>9</v>
      </c>
    </row>
    <row r="7" spans="1:5" x14ac:dyDescent="0.25">
      <c r="A7" s="4" t="s">
        <v>0</v>
      </c>
      <c r="B7" s="5">
        <v>2.86</v>
      </c>
      <c r="C7" s="5">
        <v>3.13</v>
      </c>
      <c r="D7" s="5">
        <v>3</v>
      </c>
      <c r="E7" s="6">
        <v>2.44</v>
      </c>
    </row>
    <row r="8" spans="1:5" x14ac:dyDescent="0.25">
      <c r="A8" s="4" t="s">
        <v>3</v>
      </c>
      <c r="B8" s="5">
        <v>2.5</v>
      </c>
      <c r="C8" s="5">
        <v>2.5</v>
      </c>
      <c r="D8" s="5">
        <v>3.9</v>
      </c>
      <c r="E8" s="6">
        <v>3.9</v>
      </c>
    </row>
    <row r="9" spans="1:5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9">
        <v>3.7720181748625681</v>
      </c>
    </row>
    <row r="10" spans="1:5" x14ac:dyDescent="0.25">
      <c r="A10" s="10"/>
      <c r="B10" s="10"/>
      <c r="C10" s="10"/>
      <c r="D10" s="10"/>
      <c r="E10" s="10"/>
    </row>
    <row r="11" spans="1:5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3" t="s">
        <v>5</v>
      </c>
    </row>
    <row r="12" spans="1:5" x14ac:dyDescent="0.25">
      <c r="A12" s="4" t="s">
        <v>0</v>
      </c>
      <c r="B12" s="5">
        <v>2.33</v>
      </c>
      <c r="C12" s="5">
        <v>2.27</v>
      </c>
      <c r="D12" s="5">
        <v>1.1299999999999999</v>
      </c>
      <c r="E12" s="6">
        <v>0.93</v>
      </c>
    </row>
    <row r="13" spans="1:5" x14ac:dyDescent="0.25">
      <c r="A13" s="4" t="s">
        <v>3</v>
      </c>
      <c r="B13" s="5">
        <v>1.5</v>
      </c>
      <c r="C13" s="5">
        <v>2.9</v>
      </c>
      <c r="D13" s="5">
        <v>1</v>
      </c>
      <c r="E13" s="6">
        <v>1.1000000000000001</v>
      </c>
    </row>
    <row r="14" spans="1:5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9">
        <v>-1.47</v>
      </c>
    </row>
    <row r="15" spans="1:5" x14ac:dyDescent="0.25">
      <c r="A15" s="10"/>
      <c r="B15" s="10"/>
      <c r="C15" s="10"/>
      <c r="D15" s="10"/>
      <c r="E15" s="10"/>
    </row>
    <row r="16" spans="1:5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3" t="s">
        <v>13</v>
      </c>
    </row>
    <row r="17" spans="1:5" x14ac:dyDescent="0.25">
      <c r="A17" s="4" t="s">
        <v>0</v>
      </c>
      <c r="B17" s="5">
        <v>3.46</v>
      </c>
      <c r="C17" s="5">
        <v>3.66</v>
      </c>
      <c r="D17" s="5">
        <v>6.22</v>
      </c>
      <c r="E17" s="6">
        <v>3.2</v>
      </c>
    </row>
    <row r="18" spans="1:5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6">
        <v>4.5</v>
      </c>
    </row>
    <row r="19" spans="1:5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9">
        <v>4.3600000000000003</v>
      </c>
    </row>
    <row r="20" spans="1:5" x14ac:dyDescent="0.25">
      <c r="A20" s="10"/>
      <c r="B20" s="10"/>
      <c r="C20" s="10"/>
      <c r="D20" s="10"/>
      <c r="E20" s="10"/>
    </row>
    <row r="21" spans="1:5" x14ac:dyDescent="0.25">
      <c r="A21" s="1" t="s">
        <v>21</v>
      </c>
      <c r="B21" s="2" t="s">
        <v>13</v>
      </c>
      <c r="C21" s="2" t="s">
        <v>14</v>
      </c>
      <c r="D21" s="2" t="s">
        <v>15</v>
      </c>
      <c r="E21" s="3" t="s">
        <v>6</v>
      </c>
    </row>
    <row r="22" spans="1:5" x14ac:dyDescent="0.25">
      <c r="A22" s="4" t="s">
        <v>0</v>
      </c>
      <c r="B22" s="5">
        <v>2.68</v>
      </c>
      <c r="C22" s="5">
        <v>1.52</v>
      </c>
      <c r="D22" s="5">
        <v>3.16</v>
      </c>
      <c r="E22" s="6"/>
    </row>
    <row r="23" spans="1:5" x14ac:dyDescent="0.25">
      <c r="A23" s="4" t="s">
        <v>3</v>
      </c>
      <c r="B23" s="5">
        <v>3.5</v>
      </c>
      <c r="C23" s="5">
        <v>3.5</v>
      </c>
      <c r="D23" s="5">
        <v>3.5</v>
      </c>
      <c r="E23" s="6"/>
    </row>
    <row r="24" spans="1:5" x14ac:dyDescent="0.25">
      <c r="A24" s="7" t="s">
        <v>4</v>
      </c>
      <c r="B24" s="8"/>
      <c r="C24" s="8"/>
      <c r="D24" s="8"/>
      <c r="E24" s="9"/>
    </row>
    <row r="25" spans="1:5" x14ac:dyDescent="0.25">
      <c r="A25" s="12" t="s">
        <v>19</v>
      </c>
      <c r="B25" s="12"/>
      <c r="C25" s="12"/>
      <c r="D25" s="12"/>
      <c r="E25" s="12"/>
    </row>
    <row r="26" spans="1:5" x14ac:dyDescent="0.25">
      <c r="A26" s="12" t="s">
        <v>20</v>
      </c>
      <c r="B26" s="12"/>
      <c r="C26" s="12"/>
      <c r="D26" s="12"/>
      <c r="E26" s="12"/>
    </row>
    <row r="27" spans="1:5" x14ac:dyDescent="0.25">
      <c r="A27" s="12" t="s">
        <v>22</v>
      </c>
      <c r="B27" s="12"/>
      <c r="C27" s="12"/>
      <c r="D27" s="12"/>
      <c r="E27" s="12"/>
    </row>
  </sheetData>
  <mergeCells count="3">
    <mergeCell ref="A25:E25"/>
    <mergeCell ref="A26:E26"/>
    <mergeCell ref="A27:E2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A0AFE-F69B-4488-A8D3-58CEC968A87A}">
  <dimension ref="A1:F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7" sqref="D37"/>
    </sheetView>
  </sheetViews>
  <sheetFormatPr defaultRowHeight="15" x14ac:dyDescent="0.25"/>
  <cols>
    <col min="1" max="1" width="17.7109375" customWidth="1"/>
    <col min="2" max="5" width="11.140625" customWidth="1"/>
  </cols>
  <sheetData>
    <row r="1" spans="1:6" x14ac:dyDescent="0.25">
      <c r="A1" s="1" t="s">
        <v>12</v>
      </c>
      <c r="B1" s="2" t="s">
        <v>13</v>
      </c>
      <c r="C1" s="2" t="s">
        <v>14</v>
      </c>
      <c r="D1" s="2" t="s">
        <v>15</v>
      </c>
      <c r="E1" s="2" t="s">
        <v>6</v>
      </c>
      <c r="F1" s="3" t="s">
        <v>7</v>
      </c>
    </row>
    <row r="2" spans="1:6" x14ac:dyDescent="0.25">
      <c r="A2" s="4" t="s">
        <v>0</v>
      </c>
      <c r="B2" s="5">
        <v>4.43</v>
      </c>
      <c r="C2" s="5">
        <v>4.21</v>
      </c>
      <c r="D2" s="5">
        <v>4.0599999999999996</v>
      </c>
      <c r="E2" s="5">
        <v>3.89</v>
      </c>
      <c r="F2" s="6">
        <v>4.24</v>
      </c>
    </row>
    <row r="3" spans="1:6" x14ac:dyDescent="0.25">
      <c r="A3" s="4" t="s">
        <v>3</v>
      </c>
      <c r="B3" s="5">
        <v>3.5</v>
      </c>
      <c r="C3" s="5">
        <v>3.6</v>
      </c>
      <c r="D3" s="5">
        <v>3</v>
      </c>
      <c r="E3" s="5">
        <v>3</v>
      </c>
      <c r="F3" s="6">
        <v>3</v>
      </c>
    </row>
    <row r="4" spans="1:6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8">
        <f>F4</f>
        <v>2.3299274242445156</v>
      </c>
      <c r="F4" s="9">
        <v>2.3299274242445156</v>
      </c>
    </row>
    <row r="5" spans="1:6" x14ac:dyDescent="0.25">
      <c r="A5" s="10"/>
      <c r="B5" s="10"/>
      <c r="C5" s="10"/>
      <c r="D5" s="10"/>
      <c r="E5" s="10"/>
    </row>
    <row r="6" spans="1:6" x14ac:dyDescent="0.25">
      <c r="A6" s="1" t="s">
        <v>1</v>
      </c>
      <c r="B6" s="2" t="s">
        <v>6</v>
      </c>
      <c r="C6" s="2" t="s">
        <v>7</v>
      </c>
      <c r="D6" s="2" t="s">
        <v>8</v>
      </c>
      <c r="E6" s="2" t="s">
        <v>9</v>
      </c>
      <c r="F6" s="3" t="s">
        <v>10</v>
      </c>
    </row>
    <row r="7" spans="1:6" x14ac:dyDescent="0.25">
      <c r="A7" s="4" t="s">
        <v>0</v>
      </c>
      <c r="B7" s="5">
        <v>3.28</v>
      </c>
      <c r="C7" s="5">
        <v>3.24</v>
      </c>
      <c r="D7" s="5">
        <v>2.6</v>
      </c>
      <c r="E7" s="5">
        <v>2.39</v>
      </c>
      <c r="F7" s="6">
        <v>1.32</v>
      </c>
    </row>
    <row r="8" spans="1:6" x14ac:dyDescent="0.25">
      <c r="A8" s="4" t="s">
        <v>3</v>
      </c>
      <c r="B8" s="5">
        <v>2.5</v>
      </c>
      <c r="C8" s="5">
        <v>2.5</v>
      </c>
      <c r="D8" s="5">
        <v>3.9</v>
      </c>
      <c r="E8" s="5">
        <v>2.9</v>
      </c>
      <c r="F8" s="6">
        <v>1.8</v>
      </c>
    </row>
    <row r="9" spans="1:6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8">
        <f>F9</f>
        <v>3.7720181748625681</v>
      </c>
      <c r="F9" s="9">
        <v>3.7720181748625681</v>
      </c>
    </row>
    <row r="10" spans="1:6" x14ac:dyDescent="0.25">
      <c r="A10" s="10"/>
      <c r="B10" s="10"/>
      <c r="C10" s="10"/>
      <c r="D10" s="10"/>
      <c r="E10" s="10"/>
    </row>
    <row r="11" spans="1:6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2" t="s">
        <v>5</v>
      </c>
      <c r="F11" s="3" t="s">
        <v>17</v>
      </c>
    </row>
    <row r="12" spans="1:6" x14ac:dyDescent="0.25">
      <c r="A12" s="4" t="s">
        <v>0</v>
      </c>
      <c r="B12" s="5">
        <v>3.28</v>
      </c>
      <c r="C12" s="5">
        <v>2.3199999999999998</v>
      </c>
      <c r="D12" s="5">
        <v>1.62</v>
      </c>
      <c r="E12" s="5">
        <v>1.2</v>
      </c>
      <c r="F12" s="6">
        <v>0.19</v>
      </c>
    </row>
    <row r="13" spans="1:6" x14ac:dyDescent="0.25">
      <c r="A13" s="4" t="s">
        <v>3</v>
      </c>
      <c r="B13" s="5">
        <v>2.9</v>
      </c>
      <c r="C13" s="5">
        <v>2.7</v>
      </c>
      <c r="D13" s="5">
        <v>1.1000000000000001</v>
      </c>
      <c r="E13" s="5">
        <v>0.8</v>
      </c>
      <c r="F13" s="6">
        <v>0.8</v>
      </c>
    </row>
    <row r="14" spans="1:6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8">
        <f>F14</f>
        <v>-1.47</v>
      </c>
      <c r="F14" s="9">
        <v>-1.47</v>
      </c>
    </row>
    <row r="15" spans="1:6" x14ac:dyDescent="0.25">
      <c r="A15" s="10"/>
      <c r="B15" s="10"/>
      <c r="C15" s="10"/>
      <c r="D15" s="10"/>
      <c r="E15" s="10"/>
    </row>
    <row r="16" spans="1:6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2" t="s">
        <v>13</v>
      </c>
      <c r="F16" s="3" t="s">
        <v>14</v>
      </c>
    </row>
    <row r="17" spans="1:6" x14ac:dyDescent="0.25">
      <c r="A17" s="4" t="s">
        <v>0</v>
      </c>
      <c r="B17" s="5">
        <v>4.05</v>
      </c>
      <c r="C17" s="5">
        <v>3.57</v>
      </c>
      <c r="D17" s="5">
        <v>4.58</v>
      </c>
      <c r="E17" s="5">
        <v>2.99</v>
      </c>
      <c r="F17" s="6">
        <v>2.69</v>
      </c>
    </row>
    <row r="18" spans="1:6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5">
        <v>4.5</v>
      </c>
      <c r="F18" s="6">
        <v>4.5</v>
      </c>
    </row>
    <row r="19" spans="1:6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8">
        <v>4.3600000000000003</v>
      </c>
      <c r="F19" s="9">
        <v>4.3600000000000003</v>
      </c>
    </row>
    <row r="20" spans="1:6" x14ac:dyDescent="0.25">
      <c r="A20" s="10"/>
      <c r="B20" s="10"/>
      <c r="C20" s="10"/>
      <c r="D20" s="10"/>
      <c r="E20" s="10"/>
    </row>
    <row r="21" spans="1:6" x14ac:dyDescent="0.25">
      <c r="A21" s="1" t="s">
        <v>21</v>
      </c>
      <c r="B21" s="2" t="s">
        <v>13</v>
      </c>
      <c r="C21" s="2" t="s">
        <v>14</v>
      </c>
      <c r="D21" s="2" t="s">
        <v>15</v>
      </c>
      <c r="E21" s="2" t="s">
        <v>6</v>
      </c>
      <c r="F21" s="3" t="s">
        <v>7</v>
      </c>
    </row>
    <row r="22" spans="1:6" x14ac:dyDescent="0.25">
      <c r="A22" s="4" t="s">
        <v>0</v>
      </c>
      <c r="B22" s="5">
        <v>2.4700000000000002</v>
      </c>
      <c r="C22" s="5">
        <v>1.48</v>
      </c>
      <c r="D22" s="5">
        <v>3.03</v>
      </c>
      <c r="E22" s="5"/>
      <c r="F22" s="6"/>
    </row>
    <row r="23" spans="1:6" x14ac:dyDescent="0.25">
      <c r="A23" s="4" t="s">
        <v>3</v>
      </c>
      <c r="B23" s="5">
        <v>3.5</v>
      </c>
      <c r="C23" s="5">
        <v>3.5</v>
      </c>
      <c r="D23" s="5">
        <v>3.5</v>
      </c>
      <c r="E23" s="5"/>
      <c r="F23" s="6"/>
    </row>
    <row r="24" spans="1:6" x14ac:dyDescent="0.25">
      <c r="A24" s="7" t="s">
        <v>4</v>
      </c>
      <c r="B24" s="8"/>
      <c r="C24" s="8"/>
      <c r="D24" s="8"/>
      <c r="E24" s="8"/>
      <c r="F24" s="9"/>
    </row>
    <row r="25" spans="1:6" x14ac:dyDescent="0.25">
      <c r="A25" s="13" t="s">
        <v>23</v>
      </c>
      <c r="B25" s="13"/>
      <c r="C25" s="13"/>
      <c r="D25" s="13"/>
      <c r="E25" s="13"/>
      <c r="F25" s="13"/>
    </row>
    <row r="26" spans="1:6" x14ac:dyDescent="0.25">
      <c r="A26" s="12" t="s">
        <v>24</v>
      </c>
      <c r="B26" s="12"/>
      <c r="C26" s="12"/>
      <c r="D26" s="12"/>
      <c r="E26" s="12"/>
    </row>
  </sheetData>
  <mergeCells count="2">
    <mergeCell ref="A26:E26"/>
    <mergeCell ref="A25:F25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9FC8-3C81-479F-AFF8-87EAABEA4C69}">
  <dimension ref="A1:F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3" sqref="D23"/>
    </sheetView>
  </sheetViews>
  <sheetFormatPr defaultRowHeight="15" x14ac:dyDescent="0.25"/>
  <cols>
    <col min="1" max="1" width="17.7109375" customWidth="1"/>
    <col min="2" max="5" width="11.140625" customWidth="1"/>
  </cols>
  <sheetData>
    <row r="1" spans="1:6" x14ac:dyDescent="0.25">
      <c r="A1" s="1" t="s">
        <v>12</v>
      </c>
      <c r="B1" s="2" t="s">
        <v>13</v>
      </c>
      <c r="C1" s="2" t="s">
        <v>14</v>
      </c>
      <c r="D1" s="2" t="s">
        <v>15</v>
      </c>
      <c r="E1" s="2" t="s">
        <v>6</v>
      </c>
      <c r="F1" s="3" t="s">
        <v>7</v>
      </c>
    </row>
    <row r="2" spans="1:6" x14ac:dyDescent="0.25">
      <c r="A2" s="4" t="s">
        <v>0</v>
      </c>
      <c r="B2" s="5">
        <v>4.47</v>
      </c>
      <c r="C2" s="5">
        <v>4.25</v>
      </c>
      <c r="D2" s="5">
        <v>4.1399999999999997</v>
      </c>
      <c r="E2" s="5">
        <v>3.88</v>
      </c>
      <c r="F2" s="6">
        <v>4.17</v>
      </c>
    </row>
    <row r="3" spans="1:6" x14ac:dyDescent="0.25">
      <c r="A3" s="4" t="s">
        <v>3</v>
      </c>
      <c r="B3" s="5">
        <v>3.5</v>
      </c>
      <c r="C3" s="5">
        <v>3.6</v>
      </c>
      <c r="D3" s="5">
        <v>3</v>
      </c>
      <c r="E3" s="5">
        <v>3</v>
      </c>
      <c r="F3" s="6">
        <v>3</v>
      </c>
    </row>
    <row r="4" spans="1:6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8">
        <f>F4</f>
        <v>2.3299274242445156</v>
      </c>
      <c r="F4" s="9">
        <v>2.3299274242445156</v>
      </c>
    </row>
    <row r="5" spans="1:6" x14ac:dyDescent="0.25">
      <c r="A5" s="10"/>
      <c r="B5" s="10"/>
      <c r="C5" s="10"/>
      <c r="D5" s="10"/>
      <c r="E5" s="10"/>
    </row>
    <row r="6" spans="1:6" x14ac:dyDescent="0.25">
      <c r="A6" s="1" t="s">
        <v>1</v>
      </c>
      <c r="B6" s="2" t="s">
        <v>6</v>
      </c>
      <c r="C6" s="2" t="s">
        <v>7</v>
      </c>
      <c r="D6" s="2" t="s">
        <v>8</v>
      </c>
      <c r="E6" s="2" t="s">
        <v>9</v>
      </c>
      <c r="F6" s="3" t="s">
        <v>10</v>
      </c>
    </row>
    <row r="7" spans="1:6" x14ac:dyDescent="0.25">
      <c r="A7" s="4" t="s">
        <v>0</v>
      </c>
      <c r="B7" s="5">
        <v>3.26</v>
      </c>
      <c r="C7" s="5">
        <v>3.21</v>
      </c>
      <c r="D7" s="5">
        <v>2.5499999999999998</v>
      </c>
      <c r="E7" s="5">
        <v>2.31</v>
      </c>
      <c r="F7" s="6">
        <v>1.24</v>
      </c>
    </row>
    <row r="8" spans="1:6" x14ac:dyDescent="0.25">
      <c r="A8" s="4" t="s">
        <v>3</v>
      </c>
      <c r="B8" s="5">
        <v>2.5</v>
      </c>
      <c r="C8" s="5">
        <v>2.5</v>
      </c>
      <c r="D8" s="5">
        <v>3.9</v>
      </c>
      <c r="E8" s="5">
        <v>2.9</v>
      </c>
      <c r="F8" s="6">
        <v>1.8</v>
      </c>
    </row>
    <row r="9" spans="1:6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8">
        <f>F9</f>
        <v>3.7720181748625681</v>
      </c>
      <c r="F9" s="9">
        <v>3.7720181748625681</v>
      </c>
    </row>
    <row r="10" spans="1:6" x14ac:dyDescent="0.25">
      <c r="A10" s="10"/>
      <c r="B10" s="10"/>
      <c r="C10" s="10"/>
      <c r="D10" s="10"/>
      <c r="E10" s="10"/>
    </row>
    <row r="11" spans="1:6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2" t="s">
        <v>5</v>
      </c>
      <c r="F11" s="3" t="s">
        <v>17</v>
      </c>
    </row>
    <row r="12" spans="1:6" x14ac:dyDescent="0.25">
      <c r="A12" s="4" t="s">
        <v>0</v>
      </c>
      <c r="B12" s="5">
        <v>3.26</v>
      </c>
      <c r="C12" s="5">
        <v>2.3199999999999998</v>
      </c>
      <c r="D12" s="5">
        <v>1.59</v>
      </c>
      <c r="E12" s="5">
        <v>1.1599999999999999</v>
      </c>
      <c r="F12" s="6">
        <v>0.15</v>
      </c>
    </row>
    <row r="13" spans="1:6" x14ac:dyDescent="0.25">
      <c r="A13" s="4" t="s">
        <v>3</v>
      </c>
      <c r="B13" s="5">
        <v>2.9</v>
      </c>
      <c r="C13" s="5">
        <v>2.7</v>
      </c>
      <c r="D13" s="5">
        <v>1.1000000000000001</v>
      </c>
      <c r="E13" s="5">
        <v>0.8</v>
      </c>
      <c r="F13" s="6">
        <v>0.8</v>
      </c>
    </row>
    <row r="14" spans="1:6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8">
        <f>F14</f>
        <v>-1.47</v>
      </c>
      <c r="F14" s="9">
        <v>-1.47</v>
      </c>
    </row>
    <row r="15" spans="1:6" x14ac:dyDescent="0.25">
      <c r="A15" s="10"/>
      <c r="B15" s="10"/>
      <c r="C15" s="10"/>
      <c r="D15" s="10"/>
      <c r="E15" s="10"/>
    </row>
    <row r="16" spans="1:6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2" t="s">
        <v>13</v>
      </c>
      <c r="F16" s="3" t="s">
        <v>14</v>
      </c>
    </row>
    <row r="17" spans="1:6" x14ac:dyDescent="0.25">
      <c r="A17" s="4" t="s">
        <v>0</v>
      </c>
      <c r="B17" s="5">
        <v>4.04</v>
      </c>
      <c r="C17" s="5">
        <v>3.57</v>
      </c>
      <c r="D17" s="5">
        <v>4.63</v>
      </c>
      <c r="E17" s="5">
        <v>2.98</v>
      </c>
      <c r="F17" s="6">
        <v>2.61</v>
      </c>
    </row>
    <row r="18" spans="1:6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5">
        <v>4.5</v>
      </c>
      <c r="F18" s="6">
        <v>4.5</v>
      </c>
    </row>
    <row r="19" spans="1:6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8">
        <v>4.3600000000000003</v>
      </c>
      <c r="F19" s="9">
        <v>4.3600000000000003</v>
      </c>
    </row>
    <row r="20" spans="1:6" x14ac:dyDescent="0.25">
      <c r="A20" s="10"/>
      <c r="B20" s="10"/>
      <c r="C20" s="10"/>
      <c r="D20" s="10"/>
      <c r="E20" s="10"/>
    </row>
    <row r="21" spans="1:6" x14ac:dyDescent="0.25">
      <c r="A21" s="1" t="s">
        <v>21</v>
      </c>
      <c r="B21" s="2" t="s">
        <v>13</v>
      </c>
      <c r="C21" s="2" t="s">
        <v>14</v>
      </c>
      <c r="D21" s="2" t="s">
        <v>15</v>
      </c>
      <c r="E21" s="2" t="s">
        <v>6</v>
      </c>
      <c r="F21" s="3" t="s">
        <v>7</v>
      </c>
    </row>
    <row r="22" spans="1:6" x14ac:dyDescent="0.25">
      <c r="A22" s="4" t="s">
        <v>0</v>
      </c>
      <c r="B22" s="5">
        <v>2.44</v>
      </c>
      <c r="C22" s="5">
        <v>1.46</v>
      </c>
      <c r="D22" s="5">
        <v>2.88</v>
      </c>
      <c r="E22" s="5"/>
      <c r="F22" s="6"/>
    </row>
    <row r="23" spans="1:6" x14ac:dyDescent="0.25">
      <c r="A23" s="4" t="s">
        <v>3</v>
      </c>
      <c r="B23" s="5">
        <v>3.5</v>
      </c>
      <c r="C23" s="5">
        <v>3.5</v>
      </c>
      <c r="D23" s="5">
        <v>3.5</v>
      </c>
      <c r="E23" s="5"/>
      <c r="F23" s="6"/>
    </row>
    <row r="24" spans="1:6" x14ac:dyDescent="0.25">
      <c r="A24" s="7" t="s">
        <v>4</v>
      </c>
      <c r="B24" s="8"/>
      <c r="C24" s="8"/>
      <c r="D24" s="8"/>
      <c r="E24" s="8"/>
      <c r="F24" s="9"/>
    </row>
    <row r="25" spans="1:6" x14ac:dyDescent="0.25">
      <c r="A25" s="13" t="s">
        <v>23</v>
      </c>
      <c r="B25" s="13"/>
      <c r="C25" s="13"/>
      <c r="D25" s="13"/>
      <c r="E25" s="13"/>
      <c r="F25" s="13"/>
    </row>
    <row r="26" spans="1:6" x14ac:dyDescent="0.25">
      <c r="A26" s="12" t="s">
        <v>24</v>
      </c>
      <c r="B26" s="12"/>
      <c r="C26" s="12"/>
      <c r="D26" s="12"/>
      <c r="E26" s="12"/>
    </row>
  </sheetData>
  <mergeCells count="2">
    <mergeCell ref="A25:F25"/>
    <mergeCell ref="A26:E26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A816-F2C7-4B8B-93FF-94001262A2D8}">
  <dimension ref="A1:F26"/>
  <sheetViews>
    <sheetView tabSelected="1" workbookViewId="0">
      <pane xSplit="1" ySplit="1" topLeftCell="B8" activePane="bottomRight" state="frozen"/>
      <selection pane="topRight" activeCell="B1" sqref="B1"/>
      <selection pane="bottomLeft" activeCell="A2" sqref="A2"/>
      <selection pane="bottomRight" activeCell="F23" sqref="F23"/>
    </sheetView>
  </sheetViews>
  <sheetFormatPr defaultRowHeight="15" x14ac:dyDescent="0.25"/>
  <cols>
    <col min="1" max="1" width="17.7109375" customWidth="1"/>
    <col min="2" max="5" width="11.140625" customWidth="1"/>
  </cols>
  <sheetData>
    <row r="1" spans="1:6" x14ac:dyDescent="0.25">
      <c r="A1" s="1" t="s">
        <v>12</v>
      </c>
      <c r="B1" s="2" t="s">
        <v>13</v>
      </c>
      <c r="C1" s="2" t="s">
        <v>14</v>
      </c>
      <c r="D1" s="2" t="s">
        <v>15</v>
      </c>
      <c r="E1" s="2" t="s">
        <v>6</v>
      </c>
      <c r="F1" s="3" t="s">
        <v>7</v>
      </c>
    </row>
    <row r="2" spans="1:6" x14ac:dyDescent="0.25">
      <c r="A2" s="4" t="s">
        <v>0</v>
      </c>
      <c r="B2" s="5">
        <v>4.47</v>
      </c>
      <c r="C2" s="5">
        <v>4.25</v>
      </c>
      <c r="D2" s="5">
        <v>4.1399999999999997</v>
      </c>
      <c r="E2" s="5">
        <v>3.88</v>
      </c>
      <c r="F2" s="6">
        <v>4.17</v>
      </c>
    </row>
    <row r="3" spans="1:6" x14ac:dyDescent="0.25">
      <c r="A3" s="4" t="s">
        <v>3</v>
      </c>
      <c r="B3" s="5">
        <v>3.5</v>
      </c>
      <c r="C3" s="5">
        <v>3.6</v>
      </c>
      <c r="D3" s="5">
        <v>3</v>
      </c>
      <c r="E3" s="5">
        <v>3</v>
      </c>
      <c r="F3" s="6">
        <v>3</v>
      </c>
    </row>
    <row r="4" spans="1:6" x14ac:dyDescent="0.25">
      <c r="A4" s="7" t="s">
        <v>4</v>
      </c>
      <c r="B4" s="8">
        <f>C4</f>
        <v>2.3299274242445156</v>
      </c>
      <c r="C4" s="8">
        <f>D4</f>
        <v>2.3299274242445156</v>
      </c>
      <c r="D4" s="8">
        <f>E4</f>
        <v>2.3299274242445156</v>
      </c>
      <c r="E4" s="8">
        <f>F4</f>
        <v>2.3299274242445156</v>
      </c>
      <c r="F4" s="9">
        <v>2.3299274242445156</v>
      </c>
    </row>
    <row r="5" spans="1:6" x14ac:dyDescent="0.25">
      <c r="A5" s="10"/>
      <c r="B5" s="10"/>
      <c r="C5" s="10"/>
      <c r="D5" s="10"/>
      <c r="E5" s="10"/>
    </row>
    <row r="6" spans="1:6" x14ac:dyDescent="0.25">
      <c r="A6" s="1" t="s">
        <v>1</v>
      </c>
      <c r="B6" s="2" t="s">
        <v>6</v>
      </c>
      <c r="C6" s="2" t="s">
        <v>7</v>
      </c>
      <c r="D6" s="2" t="s">
        <v>8</v>
      </c>
      <c r="E6" s="2" t="s">
        <v>9</v>
      </c>
      <c r="F6" s="3" t="s">
        <v>10</v>
      </c>
    </row>
    <row r="7" spans="1:6" x14ac:dyDescent="0.25">
      <c r="A7" s="4" t="s">
        <v>0</v>
      </c>
      <c r="B7" s="5">
        <v>3.26</v>
      </c>
      <c r="C7" s="5">
        <v>3.21</v>
      </c>
      <c r="D7" s="5">
        <v>2.5499999999999998</v>
      </c>
      <c r="E7" s="5">
        <v>2.31</v>
      </c>
      <c r="F7" s="6">
        <v>1.24</v>
      </c>
    </row>
    <row r="8" spans="1:6" x14ac:dyDescent="0.25">
      <c r="A8" s="4" t="s">
        <v>3</v>
      </c>
      <c r="B8" s="5">
        <v>2.5</v>
      </c>
      <c r="C8" s="5">
        <v>2.5</v>
      </c>
      <c r="D8" s="5">
        <v>3.9</v>
      </c>
      <c r="E8" s="5">
        <v>2.9</v>
      </c>
      <c r="F8" s="6">
        <v>1.8</v>
      </c>
    </row>
    <row r="9" spans="1:6" x14ac:dyDescent="0.25">
      <c r="A9" s="7" t="s">
        <v>4</v>
      </c>
      <c r="B9" s="8">
        <f>C9</f>
        <v>3.7720181748625681</v>
      </c>
      <c r="C9" s="8">
        <f>D9</f>
        <v>3.7720181748625681</v>
      </c>
      <c r="D9" s="8">
        <f>E9</f>
        <v>3.7720181748625681</v>
      </c>
      <c r="E9" s="8">
        <f>F9</f>
        <v>3.7720181748625681</v>
      </c>
      <c r="F9" s="9">
        <v>3.7720181748625681</v>
      </c>
    </row>
    <row r="10" spans="1:6" x14ac:dyDescent="0.25">
      <c r="A10" s="10"/>
      <c r="B10" s="10"/>
      <c r="C10" s="10"/>
      <c r="D10" s="10"/>
      <c r="E10" s="10"/>
    </row>
    <row r="11" spans="1:6" x14ac:dyDescent="0.25">
      <c r="A11" s="1" t="s">
        <v>2</v>
      </c>
      <c r="B11" s="2" t="s">
        <v>9</v>
      </c>
      <c r="C11" s="2" t="s">
        <v>10</v>
      </c>
      <c r="D11" s="2" t="s">
        <v>11</v>
      </c>
      <c r="E11" s="2" t="s">
        <v>5</v>
      </c>
      <c r="F11" s="3" t="s">
        <v>17</v>
      </c>
    </row>
    <row r="12" spans="1:6" x14ac:dyDescent="0.25">
      <c r="A12" s="4" t="s">
        <v>0</v>
      </c>
      <c r="B12" s="5">
        <v>3.26</v>
      </c>
      <c r="C12" s="5">
        <v>2.3199999999999998</v>
      </c>
      <c r="D12" s="5">
        <v>1.59</v>
      </c>
      <c r="E12" s="5">
        <v>1.1599999999999999</v>
      </c>
      <c r="F12" s="6">
        <v>0.15</v>
      </c>
    </row>
    <row r="13" spans="1:6" x14ac:dyDescent="0.25">
      <c r="A13" s="4" t="s">
        <v>3</v>
      </c>
      <c r="B13" s="5">
        <v>2.9</v>
      </c>
      <c r="C13" s="5">
        <v>2.7</v>
      </c>
      <c r="D13" s="5">
        <v>1.1000000000000001</v>
      </c>
      <c r="E13" s="5">
        <v>0.8</v>
      </c>
      <c r="F13" s="6">
        <v>0.8</v>
      </c>
    </row>
    <row r="14" spans="1:6" x14ac:dyDescent="0.25">
      <c r="A14" s="7" t="s">
        <v>4</v>
      </c>
      <c r="B14" s="8">
        <f>C14</f>
        <v>-1.47</v>
      </c>
      <c r="C14" s="8">
        <f>D14</f>
        <v>-1.47</v>
      </c>
      <c r="D14" s="8">
        <f>E14</f>
        <v>-1.47</v>
      </c>
      <c r="E14" s="8">
        <f>F14</f>
        <v>-1.47</v>
      </c>
      <c r="F14" s="9">
        <v>-1.47</v>
      </c>
    </row>
    <row r="15" spans="1:6" x14ac:dyDescent="0.25">
      <c r="A15" s="10"/>
      <c r="B15" s="10"/>
      <c r="C15" s="10"/>
      <c r="D15" s="10"/>
      <c r="E15" s="10"/>
    </row>
    <row r="16" spans="1:6" x14ac:dyDescent="0.25">
      <c r="A16" s="1" t="s">
        <v>16</v>
      </c>
      <c r="B16" s="2" t="s">
        <v>5</v>
      </c>
      <c r="C16" s="2" t="s">
        <v>17</v>
      </c>
      <c r="D16" s="2" t="s">
        <v>18</v>
      </c>
      <c r="E16" s="2" t="s">
        <v>13</v>
      </c>
      <c r="F16" s="3" t="s">
        <v>14</v>
      </c>
    </row>
    <row r="17" spans="1:6" x14ac:dyDescent="0.25">
      <c r="A17" s="4" t="s">
        <v>0</v>
      </c>
      <c r="B17" s="5">
        <v>4.04</v>
      </c>
      <c r="C17" s="5">
        <v>3.57</v>
      </c>
      <c r="D17" s="5">
        <v>4.63</v>
      </c>
      <c r="E17" s="5">
        <v>2.98</v>
      </c>
      <c r="F17" s="6">
        <v>2.61</v>
      </c>
    </row>
    <row r="18" spans="1:6" x14ac:dyDescent="0.25">
      <c r="A18" s="4" t="s">
        <v>3</v>
      </c>
      <c r="B18" s="5">
        <v>2.9</v>
      </c>
      <c r="C18" s="5">
        <v>2.9</v>
      </c>
      <c r="D18" s="5">
        <v>4.0999999999999996</v>
      </c>
      <c r="E18" s="5">
        <v>4.5</v>
      </c>
      <c r="F18" s="6">
        <v>4.5</v>
      </c>
    </row>
    <row r="19" spans="1:6" x14ac:dyDescent="0.25">
      <c r="A19" s="7" t="s">
        <v>4</v>
      </c>
      <c r="B19" s="8">
        <v>4.3600000000000003</v>
      </c>
      <c r="C19" s="8">
        <v>4.3600000000000003</v>
      </c>
      <c r="D19" s="8">
        <v>4.3600000000000003</v>
      </c>
      <c r="E19" s="8">
        <v>4.3600000000000003</v>
      </c>
      <c r="F19" s="9">
        <v>4.3600000000000003</v>
      </c>
    </row>
    <row r="20" spans="1:6" x14ac:dyDescent="0.25">
      <c r="A20" s="10"/>
      <c r="B20" s="10"/>
      <c r="C20" s="10"/>
      <c r="D20" s="10"/>
      <c r="E20" s="10"/>
    </row>
    <row r="21" spans="1:6" x14ac:dyDescent="0.25">
      <c r="A21" s="1" t="s">
        <v>21</v>
      </c>
      <c r="B21" s="2" t="s">
        <v>13</v>
      </c>
      <c r="C21" s="2" t="s">
        <v>14</v>
      </c>
      <c r="D21" s="2" t="s">
        <v>15</v>
      </c>
      <c r="E21" s="2" t="s">
        <v>6</v>
      </c>
      <c r="F21" s="3" t="s">
        <v>7</v>
      </c>
    </row>
    <row r="22" spans="1:6" x14ac:dyDescent="0.25">
      <c r="A22" s="4" t="s">
        <v>0</v>
      </c>
      <c r="B22" s="5">
        <v>2.71</v>
      </c>
      <c r="C22" s="5">
        <v>0.53</v>
      </c>
      <c r="D22" s="5">
        <v>2.3199999999999998</v>
      </c>
      <c r="E22" s="5">
        <v>2.76</v>
      </c>
      <c r="F22" s="6">
        <v>2.93</v>
      </c>
    </row>
    <row r="23" spans="1:6" x14ac:dyDescent="0.25">
      <c r="A23" s="4" t="s">
        <v>3</v>
      </c>
      <c r="B23" s="5">
        <v>3.5</v>
      </c>
      <c r="C23" s="5">
        <v>3.5</v>
      </c>
      <c r="D23" s="5">
        <v>3.5</v>
      </c>
      <c r="E23" s="5">
        <v>1.6</v>
      </c>
      <c r="F23" s="6">
        <v>1.6</v>
      </c>
    </row>
    <row r="24" spans="1:6" x14ac:dyDescent="0.25">
      <c r="A24" s="7" t="s">
        <v>4</v>
      </c>
      <c r="B24" s="8"/>
      <c r="C24" s="8"/>
      <c r="D24" s="8"/>
      <c r="E24" s="8"/>
      <c r="F24" s="9"/>
    </row>
    <row r="25" spans="1:6" x14ac:dyDescent="0.25">
      <c r="A25" s="13" t="s">
        <v>23</v>
      </c>
      <c r="B25" s="13"/>
      <c r="C25" s="13"/>
      <c r="D25" s="13"/>
      <c r="E25" s="13"/>
      <c r="F25" s="13"/>
    </row>
    <row r="26" spans="1:6" x14ac:dyDescent="0.25">
      <c r="A26" s="12" t="s">
        <v>24</v>
      </c>
      <c r="B26" s="12"/>
      <c r="C26" s="12"/>
      <c r="D26" s="12"/>
      <c r="E26" s="12"/>
    </row>
  </sheetData>
  <mergeCells count="2">
    <mergeCell ref="A25:F25"/>
    <mergeCell ref="A26:E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JunCheck</vt:lpstr>
      <vt:lpstr>Jul24Check</vt:lpstr>
      <vt:lpstr>Jul25Check</vt:lpstr>
      <vt:lpstr>Jul25Check-Q2</vt:lpstr>
      <vt:lpstr>Jul31Check-Consensus</vt:lpstr>
      <vt:lpstr>Aug2-Volatility</vt:lpstr>
      <vt:lpstr>Aug12</vt:lpstr>
      <vt:lpstr>Aug21</vt:lpstr>
      <vt:lpstr>Aug21_NoCosensus</vt:lpstr>
      <vt:lpstr>Oct03_NoCosensus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2019-06-26T15:25:40Z</dcterms:created>
  <dcterms:modified xsi:type="dcterms:W3CDTF">2019-10-03T20:08:38Z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>20191003160836593</vt:lpwstr>
  </property>
</Properties>
</file>
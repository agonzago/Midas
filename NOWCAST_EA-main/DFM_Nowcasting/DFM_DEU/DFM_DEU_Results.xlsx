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"/>
    </mc:Choice>
  </mc:AlternateContent>
  <xr:revisionPtr revIDLastSave="0" documentId="14_{13B43843-2430-4412-998A-08718F7BD348}" xr6:coauthVersionLast="36" xr6:coauthVersionMax="36" xr10:uidLastSave="{00000000-0000-0000-0000-000000000000}"/>
  <bookViews>
    <workbookView xWindow="0" yWindow="0" windowWidth="23040" windowHeight="8370" xr2:uid="{D18A0661-1219-49BB-A20D-CD0204729060}"/>
  </bookViews>
  <sheets>
    <sheet name="Aug22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19" i="10" l="1"/>
  <c r="E19" i="10" s="1"/>
  <c r="F19" i="10" s="1"/>
  <c r="C19" i="10"/>
  <c r="C14" i="10"/>
  <c r="D14" i="10" s="1"/>
  <c r="E14" i="10" s="1"/>
  <c r="F14" i="10" s="1"/>
  <c r="C9" i="10"/>
  <c r="D9" i="10" s="1"/>
  <c r="E9" i="10" s="1"/>
  <c r="F9" i="10" s="1"/>
  <c r="C4" i="10" l="1"/>
  <c r="D4" i="10" s="1"/>
  <c r="E4" i="10" s="1"/>
  <c r="F4" i="10" s="1"/>
</calcChain>
</file>

<file path=xl/sharedStrings.xml><?xml version="1.0" encoding="utf-8"?>
<sst xmlns="http://schemas.openxmlformats.org/spreadsheetml/2006/main" count="53" uniqueCount="23">
  <si>
    <t>DFM Nowcast</t>
  </si>
  <si>
    <t>2018Q4</t>
  </si>
  <si>
    <t>2019Q1</t>
  </si>
  <si>
    <t>GPM Nowcast*</t>
  </si>
  <si>
    <t>Actual</t>
  </si>
  <si>
    <t>March</t>
  </si>
  <si>
    <t>September</t>
  </si>
  <si>
    <t>October</t>
  </si>
  <si>
    <t>November</t>
  </si>
  <si>
    <t>December</t>
  </si>
  <si>
    <t>January</t>
  </si>
  <si>
    <t>February</t>
  </si>
  <si>
    <t>2018Q3</t>
  </si>
  <si>
    <t>June</t>
  </si>
  <si>
    <t>July</t>
  </si>
  <si>
    <t>August</t>
  </si>
  <si>
    <t>2019Q2</t>
  </si>
  <si>
    <t>April</t>
  </si>
  <si>
    <t>May</t>
  </si>
  <si>
    <t>Includes Leading index and composite index</t>
  </si>
  <si>
    <t>2019Q3</t>
  </si>
  <si>
    <t>* GPM Nowcast refers to Monitoring closer to data updates (21st of every month)</t>
  </si>
  <si>
    <t>Model estimation with all data available through August 21st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</si>
</sst>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2" fontId="0" fillId="2" borderId="0" xfId="0" applyNumberFormat="1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Q1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'Aug22'!$A$12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'Aug22'!$B$11:$F$11</c:f>
              <c:strCache>
                <c:ptCount val="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</c:strCache>
            </c:strRef>
          </c:cat>
          <c:val>
            <c:numRef>
              <c:f>'Aug22'!$B$12:$F$12</c:f>
              <c:numCache>
                <c:formatCode>0.00</c:formatCode>
                <c:ptCount val="5"/>
                <c:pt idx="0">
                  <c:v>1.03</c:v>
                </c:pt>
                <c:pt idx="1">
                  <c:v>-0.28999999999999998</c:v>
                </c:pt>
                <c:pt idx="2">
                  <c:v>0.99</c:v>
                </c:pt>
                <c:pt idx="3">
                  <c:v>0.16</c:v>
                </c:pt>
                <c:pt idx="4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3-4279-A8EA-4763A65DA413}"/>
            </c:ext>
          </c:extLst>
        </c:ser>
        <c:ser>
          <c:idx val="1"/>
          <c:order val="1"/>
          <c:tx>
            <c:strRef>
              <c:f>'Aug22'!$A$13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'Aug22'!$B$11:$F$11</c:f>
              <c:strCache>
                <c:ptCount val="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</c:strCache>
            </c:strRef>
          </c:cat>
          <c:val>
            <c:numRef>
              <c:f>'Aug22'!$B$13:$F$13</c:f>
              <c:numCache>
                <c:formatCode>0.00</c:formatCode>
                <c:ptCount val="5"/>
                <c:pt idx="0">
                  <c:v>1.7</c:v>
                </c:pt>
                <c:pt idx="1">
                  <c:v>1.1000000000000001</c:v>
                </c:pt>
                <c:pt idx="2">
                  <c:v>0.8</c:v>
                </c:pt>
                <c:pt idx="3">
                  <c:v>0.3</c:v>
                </c:pt>
                <c:pt idx="4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43-4279-A8EA-4763A65DA413}"/>
            </c:ext>
          </c:extLst>
        </c:ser>
        <c:ser>
          <c:idx val="2"/>
          <c:order val="2"/>
          <c:tx>
            <c:strRef>
              <c:f>'Aug22'!$A$14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'Aug22'!$B$11:$F$11</c:f>
              <c:strCache>
                <c:ptCount val="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</c:strCache>
            </c:strRef>
          </c:cat>
          <c:val>
            <c:numRef>
              <c:f>'Aug22'!$B$14:$F$14</c:f>
              <c:numCache>
                <c:formatCode>0.00</c:formatCode>
                <c:ptCount val="5"/>
                <c:pt idx="0">
                  <c:v>1.544565</c:v>
                </c:pt>
                <c:pt idx="1">
                  <c:v>1.544565</c:v>
                </c:pt>
                <c:pt idx="2">
                  <c:v>1.544565</c:v>
                </c:pt>
                <c:pt idx="3">
                  <c:v>1.544565</c:v>
                </c:pt>
                <c:pt idx="4">
                  <c:v>1.544565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87-42CE-9228-3E632EDE8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'Aug22'!$A$22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'Aug22'!$B$21:$G$21</c:f>
              <c:strCache>
                <c:ptCount val="6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</c:strCache>
            </c:strRef>
          </c:cat>
          <c:val>
            <c:numRef>
              <c:f>'Aug22'!$B$22:$G$22</c:f>
              <c:numCache>
                <c:formatCode>0.00</c:formatCode>
                <c:ptCount val="6"/>
                <c:pt idx="0">
                  <c:v>0.83</c:v>
                </c:pt>
                <c:pt idx="1">
                  <c:v>0.22</c:v>
                </c:pt>
                <c:pt idx="2">
                  <c:v>-1.37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06-4EB0-97EE-19F4E7807905}"/>
            </c:ext>
          </c:extLst>
        </c:ser>
        <c:ser>
          <c:idx val="1"/>
          <c:order val="1"/>
          <c:tx>
            <c:strRef>
              <c:f>'Aug22'!$A$23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'Aug22'!$B$21:$G$21</c:f>
              <c:strCache>
                <c:ptCount val="6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</c:strCache>
            </c:strRef>
          </c:cat>
          <c:val>
            <c:numRef>
              <c:f>'Aug22'!$B$23:$G$23</c:f>
              <c:numCache>
                <c:formatCode>0.00</c:formatCode>
                <c:ptCount val="6"/>
                <c:pt idx="0">
                  <c:v>1.3</c:v>
                </c:pt>
                <c:pt idx="1">
                  <c:v>1.2</c:v>
                </c:pt>
                <c:pt idx="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06-4EB0-97EE-19F4E7807905}"/>
            </c:ext>
          </c:extLst>
        </c:ser>
        <c:ser>
          <c:idx val="2"/>
          <c:order val="2"/>
          <c:tx>
            <c:strRef>
              <c:f>'Aug22'!$A$24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'Aug22'!$B$21:$G$21</c:f>
              <c:strCache>
                <c:ptCount val="6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</c:strCache>
            </c:strRef>
          </c:cat>
          <c:val>
            <c:numRef>
              <c:f>'Aug22'!$B$24:$G$24</c:f>
              <c:numCache>
                <c:formatCode>0.00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06-4EB0-97EE-19F4E7807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'Aug22'!$A$2</c:f>
              <c:strCache>
                <c:ptCount val="1"/>
                <c:pt idx="0">
                  <c:v>DFM Nowcast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'Aug22'!$B$1:$F$1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'Aug22'!$B$2:$F$2</c:f>
              <c:numCache>
                <c:formatCode>0.00</c:formatCode>
                <c:ptCount val="5"/>
                <c:pt idx="0">
                  <c:v>0.94</c:v>
                </c:pt>
                <c:pt idx="1">
                  <c:v>1.58</c:v>
                </c:pt>
                <c:pt idx="2">
                  <c:v>1.2</c:v>
                </c:pt>
                <c:pt idx="3">
                  <c:v>0.39</c:v>
                </c:pt>
                <c:pt idx="4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D2-4C6C-B15E-F5DDB3F49C61}"/>
            </c:ext>
          </c:extLst>
        </c:ser>
        <c:ser>
          <c:idx val="1"/>
          <c:order val="1"/>
          <c:tx>
            <c:strRef>
              <c:f>'Aug22'!$A$3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'Aug22'!$B$1:$F$1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'Aug22'!$B$3:$F$3</c:f>
              <c:numCache>
                <c:formatCode>0.00</c:formatCode>
                <c:ptCount val="5"/>
                <c:pt idx="0">
                  <c:v>2.1</c:v>
                </c:pt>
                <c:pt idx="1">
                  <c:v>2.1</c:v>
                </c:pt>
                <c:pt idx="2">
                  <c:v>1.9</c:v>
                </c:pt>
                <c:pt idx="3">
                  <c:v>1.9</c:v>
                </c:pt>
                <c:pt idx="4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D2-4C6C-B15E-F5DDB3F49C61}"/>
            </c:ext>
          </c:extLst>
        </c:ser>
        <c:ser>
          <c:idx val="2"/>
          <c:order val="2"/>
          <c:tx>
            <c:strRef>
              <c:f>'Aug22'!$A$4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'Aug22'!$B$1:$F$1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'Aug22'!$B$4:$F$4</c:f>
              <c:numCache>
                <c:formatCode>0.00</c:formatCode>
                <c:ptCount val="5"/>
                <c:pt idx="0">
                  <c:v>-0.41590278877255971</c:v>
                </c:pt>
                <c:pt idx="1">
                  <c:v>-0.41590278877255971</c:v>
                </c:pt>
                <c:pt idx="2">
                  <c:v>-0.41590278877255971</c:v>
                </c:pt>
                <c:pt idx="3">
                  <c:v>-0.41590278877255971</c:v>
                </c:pt>
                <c:pt idx="4">
                  <c:v>-0.41590278877255971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D2-4C6C-B15E-F5DDB3F49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1191101112360955E-3"/>
          <c:y val="0.82291557305336838"/>
          <c:w val="0.96762119020836679"/>
          <c:h val="0.14930664916885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Q4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'Aug22'!$A$7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'Aug22'!$B$6:$F$6</c:f>
              <c:strCache>
                <c:ptCount val="5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</c:strCache>
            </c:strRef>
          </c:cat>
          <c:val>
            <c:numRef>
              <c:f>'Aug22'!$B$7:$F$7</c:f>
              <c:numCache>
                <c:formatCode>0.00</c:formatCode>
                <c:ptCount val="5"/>
                <c:pt idx="0">
                  <c:v>1.88</c:v>
                </c:pt>
                <c:pt idx="1">
                  <c:v>2.0699999999999998</c:v>
                </c:pt>
                <c:pt idx="2">
                  <c:v>1.1499999999999999</c:v>
                </c:pt>
                <c:pt idx="3">
                  <c:v>0.7</c:v>
                </c:pt>
                <c:pt idx="4">
                  <c:v>-0.13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76-4EBE-8B1A-3D76E8C80C31}"/>
            </c:ext>
          </c:extLst>
        </c:ser>
        <c:ser>
          <c:idx val="1"/>
          <c:order val="1"/>
          <c:tx>
            <c:strRef>
              <c:f>'Aug22'!$A$8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'Aug22'!$B$6:$F$6</c:f>
              <c:strCache>
                <c:ptCount val="5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</c:strCache>
            </c:strRef>
          </c:cat>
          <c:val>
            <c:numRef>
              <c:f>'Aug22'!$B$8:$F$8</c:f>
              <c:numCache>
                <c:formatCode>0.00</c:formatCode>
                <c:ptCount val="5"/>
                <c:pt idx="0">
                  <c:v>2.2000000000000002</c:v>
                </c:pt>
                <c:pt idx="1">
                  <c:v>2.2000000000000002</c:v>
                </c:pt>
                <c:pt idx="2">
                  <c:v>1.5</c:v>
                </c:pt>
                <c:pt idx="3">
                  <c:v>0.6</c:v>
                </c:pt>
                <c:pt idx="4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76-4EBE-8B1A-3D76E8C80C31}"/>
            </c:ext>
          </c:extLst>
        </c:ser>
        <c:ser>
          <c:idx val="2"/>
          <c:order val="2"/>
          <c:tx>
            <c:strRef>
              <c:f>'Aug22'!$A$9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'Aug22'!$B$6:$F$6</c:f>
              <c:strCache>
                <c:ptCount val="5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</c:strCache>
            </c:strRef>
          </c:cat>
          <c:val>
            <c:numRef>
              <c:f>'Aug22'!$B$9:$F$9</c:f>
              <c:numCache>
                <c:formatCode>0.00</c:formatCode>
                <c:ptCount val="5"/>
                <c:pt idx="0">
                  <c:v>0.83159118101903129</c:v>
                </c:pt>
                <c:pt idx="1">
                  <c:v>0.83159118101903129</c:v>
                </c:pt>
                <c:pt idx="2">
                  <c:v>0.83159118101903129</c:v>
                </c:pt>
                <c:pt idx="3">
                  <c:v>0.83159118101903129</c:v>
                </c:pt>
                <c:pt idx="4">
                  <c:v>0.83159118101903129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76-4EBE-8B1A-3D76E8C80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Q2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'Aug22'!$A$17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'Aug22'!$B$16:$F$16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'Aug22'!$B$17:$F$17</c:f>
              <c:numCache>
                <c:formatCode>0.00</c:formatCode>
                <c:ptCount val="5"/>
                <c:pt idx="0">
                  <c:v>1.45</c:v>
                </c:pt>
                <c:pt idx="1">
                  <c:v>0.81</c:v>
                </c:pt>
                <c:pt idx="2">
                  <c:v>0.75</c:v>
                </c:pt>
                <c:pt idx="3">
                  <c:v>-0.63</c:v>
                </c:pt>
                <c:pt idx="4">
                  <c:v>-0.28999999999999998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3B-4DA0-85A0-6380D42504CA}"/>
            </c:ext>
          </c:extLst>
        </c:ser>
        <c:ser>
          <c:idx val="1"/>
          <c:order val="1"/>
          <c:tx>
            <c:strRef>
              <c:f>'Aug22'!$A$18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'Aug22'!$B$16:$F$16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'Aug22'!$B$18:$F$18</c:f>
              <c:numCache>
                <c:formatCode>0.00</c:formatCode>
                <c:ptCount val="5"/>
                <c:pt idx="0">
                  <c:v>1.8</c:v>
                </c:pt>
                <c:pt idx="1">
                  <c:v>1</c:v>
                </c:pt>
                <c:pt idx="2">
                  <c:v>0.8</c:v>
                </c:pt>
                <c:pt idx="3">
                  <c:v>0.3</c:v>
                </c:pt>
                <c:pt idx="4">
                  <c:v>-0.8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3B-4DA0-85A0-6380D42504CA}"/>
            </c:ext>
          </c:extLst>
        </c:ser>
        <c:ser>
          <c:idx val="2"/>
          <c:order val="2"/>
          <c:tx>
            <c:strRef>
              <c:f>'Aug22'!$A$19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'Aug22'!$B$16:$F$16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'Aug22'!$B$19:$F$19</c:f>
              <c:numCache>
                <c:formatCode>0.00</c:formatCode>
                <c:ptCount val="5"/>
                <c:pt idx="0">
                  <c:v>-0.295767</c:v>
                </c:pt>
                <c:pt idx="1">
                  <c:v>-0.295767</c:v>
                </c:pt>
                <c:pt idx="2">
                  <c:v>-0.295767</c:v>
                </c:pt>
                <c:pt idx="3">
                  <c:v>-0.295767</c:v>
                </c:pt>
                <c:pt idx="4">
                  <c:v>-0.295767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3B-4DA0-85A0-6380D4250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16</xdr:row>
      <xdr:rowOff>47625</xdr:rowOff>
    </xdr:from>
    <xdr:to>
      <xdr:col>13</xdr:col>
      <xdr:colOff>295275</xdr:colOff>
      <xdr:row>30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C12FCE-067C-49F6-9BDF-C1F0B244B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600075</xdr:colOff>
      <xdr:row>31</xdr:row>
      <xdr:rowOff>47625</xdr:rowOff>
    </xdr:from>
    <xdr:to>
      <xdr:col>13</xdr:col>
      <xdr:colOff>295275</xdr:colOff>
      <xdr:row>45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B86DD5-D8D4-4CF8-A2A5-6EC0BF5190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600075</xdr:colOff>
      <xdr:row>1</xdr:row>
      <xdr:rowOff>19050</xdr:rowOff>
    </xdr:from>
    <xdr:to>
      <xdr:col>13</xdr:col>
      <xdr:colOff>295275</xdr:colOff>
      <xdr:row>15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C866D1-4E52-4A95-88F4-A3F6483BD1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600075</xdr:colOff>
      <xdr:row>1</xdr:row>
      <xdr:rowOff>19050</xdr:rowOff>
    </xdr:from>
    <xdr:to>
      <xdr:col>18</xdr:col>
      <xdr:colOff>295275</xdr:colOff>
      <xdr:row>15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B45D23-27F1-4A32-AC15-9B35E90E3A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600075</xdr:colOff>
      <xdr:row>16</xdr:row>
      <xdr:rowOff>19050</xdr:rowOff>
    </xdr:from>
    <xdr:to>
      <xdr:col>18</xdr:col>
      <xdr:colOff>295275</xdr:colOff>
      <xdr:row>30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E1B6225-C23C-4665-A1A5-96A2210468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6F5A-0D0C-4195-8302-6EF8A90A9DE1}">
  <dimension ref="A1:H2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3" sqref="D23"/>
    </sheetView>
  </sheetViews>
  <sheetFormatPr defaultRowHeight="15" x14ac:dyDescent="0.25"/>
  <cols>
    <col min="1" max="1" width="14.28515625" bestFit="1" customWidth="1"/>
    <col min="2" max="5" width="11.140625" customWidth="1"/>
    <col min="6" max="9" width="10" customWidth="1"/>
  </cols>
  <sheetData>
    <row r="1" spans="1:8" x14ac:dyDescent="0.25">
      <c r="A1" s="1" t="s">
        <v>12</v>
      </c>
      <c r="B1" s="2" t="s">
        <v>13</v>
      </c>
      <c r="C1" s="2" t="s">
        <v>14</v>
      </c>
      <c r="D1" s="2" t="s">
        <v>15</v>
      </c>
      <c r="E1" s="2" t="s">
        <v>6</v>
      </c>
      <c r="F1" s="2" t="s">
        <v>7</v>
      </c>
      <c r="G1" s="3" t="s">
        <v>8</v>
      </c>
      <c r="H1" s="3"/>
    </row>
    <row r="2" spans="1:8" x14ac:dyDescent="0.25">
      <c r="A2" s="4" t="s">
        <v>0</v>
      </c>
      <c r="B2" s="5">
        <v>0.94</v>
      </c>
      <c r="C2" s="5">
        <v>1.58</v>
      </c>
      <c r="D2" s="5">
        <v>1.2</v>
      </c>
      <c r="E2" s="5">
        <v>0.39</v>
      </c>
      <c r="F2" s="5">
        <v>0.67</v>
      </c>
      <c r="G2" s="6"/>
      <c r="H2" s="6"/>
    </row>
    <row r="3" spans="1:8" x14ac:dyDescent="0.25">
      <c r="A3" s="4" t="s">
        <v>3</v>
      </c>
      <c r="B3" s="5">
        <v>2.1</v>
      </c>
      <c r="C3" s="5">
        <v>2.1</v>
      </c>
      <c r="D3" s="5">
        <v>1.9</v>
      </c>
      <c r="E3" s="5">
        <v>1.9</v>
      </c>
      <c r="F3" s="5">
        <v>1.8</v>
      </c>
      <c r="G3" s="6"/>
      <c r="H3" s="6"/>
    </row>
    <row r="4" spans="1:8" x14ac:dyDescent="0.25">
      <c r="A4" s="7" t="s">
        <v>4</v>
      </c>
      <c r="B4" s="8">
        <v>-0.41590278877255971</v>
      </c>
      <c r="C4" s="8">
        <f>B4</f>
        <v>-0.41590278877255971</v>
      </c>
      <c r="D4" s="8">
        <f t="shared" ref="D4:G4" si="0">C4</f>
        <v>-0.41590278877255971</v>
      </c>
      <c r="E4" s="8">
        <f t="shared" si="0"/>
        <v>-0.41590278877255971</v>
      </c>
      <c r="F4" s="8">
        <f t="shared" si="0"/>
        <v>-0.41590278877255971</v>
      </c>
      <c r="G4" s="9"/>
      <c r="H4" s="9"/>
    </row>
    <row r="5" spans="1:8" x14ac:dyDescent="0.25">
      <c r="A5" s="10"/>
      <c r="B5" s="10"/>
      <c r="C5" s="10"/>
      <c r="D5" s="10"/>
      <c r="E5" s="10"/>
    </row>
    <row r="6" spans="1:8" x14ac:dyDescent="0.25">
      <c r="A6" s="1" t="s">
        <v>1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3" t="s">
        <v>11</v>
      </c>
      <c r="H6" s="3"/>
    </row>
    <row r="7" spans="1:8" x14ac:dyDescent="0.25">
      <c r="A7" s="4" t="s">
        <v>0</v>
      </c>
      <c r="B7" s="5">
        <v>1.88</v>
      </c>
      <c r="C7" s="5">
        <v>2.0699999999999998</v>
      </c>
      <c r="D7" s="5">
        <v>1.1499999999999999</v>
      </c>
      <c r="E7" s="5">
        <v>0.7</v>
      </c>
      <c r="F7" s="5">
        <v>-0.13</v>
      </c>
      <c r="G7" s="6"/>
      <c r="H7" s="6"/>
    </row>
    <row r="8" spans="1:8" x14ac:dyDescent="0.25">
      <c r="A8" s="4" t="s">
        <v>3</v>
      </c>
      <c r="B8" s="5">
        <v>2.2000000000000002</v>
      </c>
      <c r="C8" s="5">
        <v>2.2000000000000002</v>
      </c>
      <c r="D8" s="5">
        <v>1.5</v>
      </c>
      <c r="E8" s="5">
        <v>0.6</v>
      </c>
      <c r="F8" s="5">
        <v>0.3</v>
      </c>
      <c r="G8" s="6"/>
      <c r="H8" s="6"/>
    </row>
    <row r="9" spans="1:8" x14ac:dyDescent="0.25">
      <c r="A9" s="7" t="s">
        <v>4</v>
      </c>
      <c r="B9" s="8">
        <v>0.83159118101903129</v>
      </c>
      <c r="C9" s="8">
        <f>B9</f>
        <v>0.83159118101903129</v>
      </c>
      <c r="D9" s="8">
        <f t="shared" ref="D9:G9" si="1">C9</f>
        <v>0.83159118101903129</v>
      </c>
      <c r="E9" s="8">
        <f t="shared" si="1"/>
        <v>0.83159118101903129</v>
      </c>
      <c r="F9" s="8">
        <f t="shared" si="1"/>
        <v>0.83159118101903129</v>
      </c>
      <c r="G9" s="9"/>
      <c r="H9" s="9"/>
    </row>
    <row r="10" spans="1:8" x14ac:dyDescent="0.25">
      <c r="A10" s="10"/>
      <c r="B10" s="10"/>
      <c r="C10" s="10"/>
      <c r="D10" s="10"/>
      <c r="E10" s="10"/>
    </row>
    <row r="11" spans="1:8" x14ac:dyDescent="0.25">
      <c r="A11" s="1" t="s">
        <v>2</v>
      </c>
      <c r="B11" s="2" t="s">
        <v>9</v>
      </c>
      <c r="C11" s="2" t="s">
        <v>10</v>
      </c>
      <c r="D11" s="2" t="s">
        <v>11</v>
      </c>
      <c r="E11" s="2" t="s">
        <v>5</v>
      </c>
      <c r="F11" s="2" t="s">
        <v>17</v>
      </c>
      <c r="G11" s="3" t="s">
        <v>18</v>
      </c>
      <c r="H11" s="3"/>
    </row>
    <row r="12" spans="1:8" x14ac:dyDescent="0.25">
      <c r="A12" s="4" t="s">
        <v>0</v>
      </c>
      <c r="B12" s="5">
        <v>1.03</v>
      </c>
      <c r="C12" s="5">
        <v>-0.28999999999999998</v>
      </c>
      <c r="D12" s="5">
        <v>0.99</v>
      </c>
      <c r="E12" s="5">
        <v>0.16</v>
      </c>
      <c r="F12" s="5">
        <v>0.2</v>
      </c>
      <c r="G12" s="6"/>
      <c r="H12" s="6"/>
    </row>
    <row r="13" spans="1:8" x14ac:dyDescent="0.25">
      <c r="A13" s="4" t="s">
        <v>3</v>
      </c>
      <c r="B13" s="5">
        <v>1.7</v>
      </c>
      <c r="C13" s="5">
        <v>1.1000000000000001</v>
      </c>
      <c r="D13" s="5">
        <v>0.8</v>
      </c>
      <c r="E13" s="5">
        <v>0.3</v>
      </c>
      <c r="F13" s="5">
        <v>1.4</v>
      </c>
      <c r="G13" s="6"/>
      <c r="H13" s="6"/>
    </row>
    <row r="14" spans="1:8" x14ac:dyDescent="0.25">
      <c r="A14" s="7" t="s">
        <v>4</v>
      </c>
      <c r="B14" s="8">
        <v>1.544565</v>
      </c>
      <c r="C14" s="8">
        <f>B14</f>
        <v>1.544565</v>
      </c>
      <c r="D14" s="8">
        <f t="shared" ref="D14:G14" si="2">C14</f>
        <v>1.544565</v>
      </c>
      <c r="E14" s="8">
        <f t="shared" si="2"/>
        <v>1.544565</v>
      </c>
      <c r="F14" s="8">
        <f t="shared" si="2"/>
        <v>1.544565</v>
      </c>
      <c r="G14" s="9"/>
      <c r="H14" s="9"/>
    </row>
    <row r="15" spans="1:8" x14ac:dyDescent="0.25">
      <c r="A15" s="10"/>
      <c r="B15" s="10"/>
      <c r="C15" s="10"/>
      <c r="D15" s="10"/>
      <c r="E15" s="10"/>
    </row>
    <row r="16" spans="1:8" x14ac:dyDescent="0.25">
      <c r="A16" s="1" t="s">
        <v>16</v>
      </c>
      <c r="B16" s="2" t="s">
        <v>5</v>
      </c>
      <c r="C16" s="2" t="s">
        <v>17</v>
      </c>
      <c r="D16" s="2" t="s">
        <v>18</v>
      </c>
      <c r="E16" s="2" t="s">
        <v>13</v>
      </c>
      <c r="F16" s="2" t="s">
        <v>14</v>
      </c>
      <c r="G16" s="3" t="s">
        <v>15</v>
      </c>
      <c r="H16" s="3"/>
    </row>
    <row r="17" spans="1:8" x14ac:dyDescent="0.25">
      <c r="A17" s="4" t="s">
        <v>0</v>
      </c>
      <c r="B17" s="5">
        <v>1.45</v>
      </c>
      <c r="C17" s="5">
        <v>0.81</v>
      </c>
      <c r="D17" s="5">
        <v>0.75</v>
      </c>
      <c r="E17" s="5">
        <v>-0.63</v>
      </c>
      <c r="F17" s="5">
        <v>-0.28999999999999998</v>
      </c>
      <c r="G17" s="6"/>
      <c r="H17" s="6"/>
    </row>
    <row r="18" spans="1:8" x14ac:dyDescent="0.25">
      <c r="A18" s="4" t="s">
        <v>3</v>
      </c>
      <c r="B18" s="5">
        <v>1.8</v>
      </c>
      <c r="C18" s="5">
        <v>1</v>
      </c>
      <c r="D18" s="5">
        <v>0.8</v>
      </c>
      <c r="E18" s="5">
        <v>0.3</v>
      </c>
      <c r="F18" s="5">
        <v>-0.8</v>
      </c>
      <c r="G18" s="6"/>
      <c r="H18" s="6"/>
    </row>
    <row r="19" spans="1:8" x14ac:dyDescent="0.25">
      <c r="A19" s="7" t="s">
        <v>4</v>
      </c>
      <c r="B19" s="8">
        <v>-0.295767</v>
      </c>
      <c r="C19" s="8">
        <f>B19</f>
        <v>-0.295767</v>
      </c>
      <c r="D19" s="8">
        <f t="shared" ref="D19:G19" si="3">C19</f>
        <v>-0.295767</v>
      </c>
      <c r="E19" s="8">
        <f t="shared" si="3"/>
        <v>-0.295767</v>
      </c>
      <c r="F19" s="8">
        <f t="shared" si="3"/>
        <v>-0.295767</v>
      </c>
      <c r="G19" s="9"/>
      <c r="H19" s="9"/>
    </row>
    <row r="20" spans="1:8" x14ac:dyDescent="0.25">
      <c r="A20" s="10"/>
      <c r="B20" s="10"/>
      <c r="C20" s="10"/>
      <c r="D20" s="10"/>
      <c r="E20" s="10"/>
    </row>
    <row r="21" spans="1:8" x14ac:dyDescent="0.25">
      <c r="A21" s="1" t="s">
        <v>20</v>
      </c>
      <c r="B21" s="2" t="s">
        <v>13</v>
      </c>
      <c r="C21" s="2" t="s">
        <v>14</v>
      </c>
      <c r="D21" s="2" t="s">
        <v>15</v>
      </c>
      <c r="E21" s="2" t="s">
        <v>6</v>
      </c>
      <c r="F21" s="2" t="s">
        <v>7</v>
      </c>
      <c r="G21" s="3" t="s">
        <v>8</v>
      </c>
      <c r="H21" s="3"/>
    </row>
    <row r="22" spans="1:8" x14ac:dyDescent="0.25">
      <c r="A22" s="4" t="s">
        <v>0</v>
      </c>
      <c r="B22" s="5">
        <v>0.83</v>
      </c>
      <c r="C22" s="5">
        <v>0.22</v>
      </c>
      <c r="D22" s="5">
        <v>-1.37</v>
      </c>
      <c r="E22" s="5"/>
      <c r="F22" s="5"/>
      <c r="G22" s="6"/>
      <c r="H22" s="6"/>
    </row>
    <row r="23" spans="1:8" x14ac:dyDescent="0.25">
      <c r="A23" s="4" t="s">
        <v>3</v>
      </c>
      <c r="B23" s="5">
        <v>1.3</v>
      </c>
      <c r="C23" s="5">
        <v>1.2</v>
      </c>
      <c r="D23" s="5">
        <v>0.1</v>
      </c>
      <c r="E23" s="5"/>
      <c r="F23" s="5"/>
      <c r="G23" s="6"/>
      <c r="H23" s="6"/>
    </row>
    <row r="24" spans="1:8" x14ac:dyDescent="0.25">
      <c r="A24" s="7" t="s">
        <v>4</v>
      </c>
      <c r="B24" s="8"/>
      <c r="C24" s="8"/>
      <c r="D24" s="8"/>
      <c r="E24" s="8"/>
      <c r="F24" s="8"/>
      <c r="G24" s="9"/>
      <c r="H24" s="9"/>
    </row>
    <row r="25" spans="1:8" x14ac:dyDescent="0.25">
      <c r="A25" s="12" t="s">
        <v>21</v>
      </c>
      <c r="B25" s="12"/>
      <c r="C25" s="12"/>
      <c r="D25" s="12"/>
      <c r="E25" s="12"/>
      <c r="F25" s="12"/>
      <c r="G25" s="12"/>
    </row>
    <row r="26" spans="1:8" x14ac:dyDescent="0.25">
      <c r="A26" s="11" t="s">
        <v>19</v>
      </c>
      <c r="B26" s="11"/>
      <c r="C26" s="11"/>
      <c r="D26" s="11"/>
      <c r="E26" s="11"/>
      <c r="F26" s="11"/>
      <c r="G26" s="11"/>
    </row>
    <row r="27" spans="1:8" x14ac:dyDescent="0.25">
      <c r="A27" s="11" t="s">
        <v>22</v>
      </c>
      <c r="B27" s="11"/>
      <c r="C27" s="11"/>
      <c r="D27" s="11"/>
      <c r="E27" s="11"/>
      <c r="F27" s="11"/>
      <c r="G27" s="11"/>
    </row>
  </sheetData>
  <mergeCells count="3">
    <mergeCell ref="A25:G25"/>
    <mergeCell ref="A26:G26"/>
    <mergeCell ref="A27:G2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2019-06-26T15:25:40Z</dcterms:created>
  <dcterms:modified xsi:type="dcterms:W3CDTF">2019-08-22T20:13:25Z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
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5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6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7.xml" ContentType="application/vnd.openxmlformats-officedocument.drawing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drawings/drawing8.xml" ContentType="application/vnd.openxmlformats-officedocument.drawing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"/>
    </mc:Choice>
  </mc:AlternateContent>
  <xr:revisionPtr revIDLastSave="0" documentId="14_{630178DE-AA16-44E4-B542-2C87D35957C8}" xr6:coauthVersionLast="36" xr6:coauthVersionMax="36" xr10:uidLastSave="{00000000-0000-0000-0000-000000000000}"/>
  <bookViews>
    <workbookView xWindow="0" yWindow="0" windowWidth="23040" windowHeight="8955" firstSheet="2" activeTab="7" xr2:uid="{D18A0661-1219-49BB-A20D-CD0204729060}"/>
  </bookViews>
  <sheets>
    <sheet name="JunCheck" sheetId="1" r:id="rId1"/>
    <sheet name="Jul24Check" sheetId="2" r:id="rId2"/>
    <sheet name="Jul25Check" sheetId="3" r:id="rId3"/>
    <sheet name="Jul25Check-Q2" sheetId="4" r:id="rId4"/>
    <sheet name="Jul31Check-Consensus" sheetId="5" r:id="rId5"/>
    <sheet name="Aug2-Volatility" sheetId="7" r:id="rId6"/>
    <sheet name="Aug12" sheetId="8" r:id="rId7"/>
    <sheet name="Aug12_NoConsensus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D14" i="9" l="1"/>
  <c r="C14" i="9" s="1"/>
  <c r="B14" i="9" s="1"/>
  <c r="D9" i="9"/>
  <c r="C9" i="9" s="1"/>
  <c r="B9" i="9" s="1"/>
  <c r="D4" i="9"/>
  <c r="C4" i="9" s="1"/>
  <c r="B4" i="9" s="1"/>
  <c r="D14" i="8" l="1"/>
  <c r="C14" i="8" s="1"/>
  <c r="B14" i="8" s="1"/>
  <c r="D9" i="8"/>
  <c r="C9" i="8" s="1"/>
  <c r="B9" i="8" s="1"/>
  <c r="D4" i="8"/>
  <c r="C4" i="8"/>
  <c r="B4" i="8"/>
  <c r="D14" i="7" l="1"/>
  <c r="C14" i="7" s="1"/>
  <c r="B14" i="7" s="1"/>
  <c r="D9" i="7"/>
  <c r="C9" i="7" s="1"/>
  <c r="B9" i="7" s="1"/>
  <c r="D4" i="7"/>
  <c r="C4" i="7" s="1"/>
  <c r="B4" i="7" s="1"/>
  <c r="D14" i="5" l="1"/>
  <c r="C14" i="5"/>
  <c r="B14" i="5" s="1"/>
  <c r="D9" i="5"/>
  <c r="C9" i="5"/>
  <c r="B9" i="5" s="1"/>
  <c r="D4" i="5"/>
  <c r="C4" i="5"/>
  <c r="B4" i="5" s="1"/>
  <c r="D14" i="4" l="1"/>
  <c r="C14" i="4" s="1"/>
  <c r="B14" i="4" s="1"/>
  <c r="D9" i="4"/>
  <c r="C9" i="4" s="1"/>
  <c r="B9" i="4" s="1"/>
  <c r="D4" i="4"/>
  <c r="C4" i="4" s="1"/>
  <c r="B4" i="4" s="1"/>
  <c r="D14" i="3" l="1"/>
  <c r="C14" i="3" s="1"/>
  <c r="B14" i="3" s="1"/>
  <c r="D9" i="3"/>
  <c r="C9" i="3" s="1"/>
  <c r="B9" i="3" s="1"/>
  <c r="D4" i="3"/>
  <c r="C4" i="3" s="1"/>
  <c r="B4" i="3" s="1"/>
  <c r="D14" i="2"/>
  <c r="C14" i="2" s="1"/>
  <c r="B14" i="2" s="1"/>
  <c r="D9" i="2"/>
  <c r="C9" i="2" s="1"/>
  <c r="B9" i="2" s="1"/>
  <c r="D4" i="2"/>
  <c r="C4" i="2" s="1"/>
  <c r="B4" i="2" s="1"/>
  <c r="D14" i="1" l="1"/>
  <c r="C14" i="1"/>
  <c r="B14" i="1"/>
  <c r="D9" i="1"/>
  <c r="C9" i="1" s="1"/>
  <c r="B9" i="1" s="1"/>
  <c r="B4" i="1"/>
  <c r="C4" i="1"/>
  <c r="D4" i="1"/>
</calcChain>
</file>

<file path=xl/sharedStrings.xml><?xml version="1.0" encoding="utf-8"?>
<sst xmlns="http://schemas.openxmlformats.org/spreadsheetml/2006/main" count="320" uniqueCount="23">
  <si>
    <t>DFM Nowcast</t>
  </si>
  <si>
    <t>2018Q4</t>
  </si>
  <si>
    <t>2019Q1</t>
  </si>
  <si>
    <t>GPM Nowcast*</t>
  </si>
  <si>
    <t>Actual</t>
  </si>
  <si>
    <t>March</t>
  </si>
  <si>
    <t>September</t>
  </si>
  <si>
    <t>October</t>
  </si>
  <si>
    <t>November</t>
  </si>
  <si>
    <t>December</t>
  </si>
  <si>
    <t>January</t>
  </si>
  <si>
    <t>February</t>
  </si>
  <si>
    <t>2018Q3</t>
  </si>
  <si>
    <t>June</t>
  </si>
  <si>
    <t>July</t>
  </si>
  <si>
    <t>August</t>
  </si>
  <si>
    <t>2019Q2</t>
  </si>
  <si>
    <t>April</t>
  </si>
  <si>
    <t>May</t>
  </si>
  <si>
    <t>* GPM Nowcast refers to first monitoring forecast each month</t>
  </si>
  <si>
    <t>Includes Leading index and composite index</t>
  </si>
  <si>
    <t>2019Q3</t>
  </si>
  <si>
    <t>*** Model estimation with Q2 numbers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</si>
</sst>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2" fontId="0" fillId="2" borderId="0" xfId="0" applyNumberFormat="1" applyFill="1" applyBorder="1" applyAlignment="1">
      <alignment horizontal="center" vertic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2" fontId="0" fillId="2" borderId="3" xfId="0" applyNumberFormat="1" applyFill="1" applyBorder="1" applyAlignment="1">
      <alignment horizontal="center" vertical="center"/>
    </xf>
    <xf numFmtId="2" fontId="0" fillId="2" borderId="4" xfId="0" applyNumberForma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2018 Q3 Forecast</a:t>
            </a:r>
            <a:r>
              <a:rPr lang="en-US" b="1" baseline="0">
                <a:solidFill>
                  <a:sysClr val="windowText" lastClr="000000"/>
                </a:solidFill>
              </a:rPr>
              <a:t> Based on DFM Model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JunCheck!$A$2</c:f>
              <c:strCache>
                <c:ptCount val="1"/>
                <c:pt idx="0">
                  <c:v>DFM Nowcast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JunCheck!$B$1:$E$1</c:f>
              <c:strCache>
                <c:ptCount val="4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</c:strCache>
            </c:strRef>
          </c:cat>
          <c:val>
            <c:numRef>
              <c:f>JunCheck!$B$2:$E$2</c:f>
              <c:numCache>
                <c:formatCode>0.00</c:formatCode>
                <c:ptCount val="4"/>
                <c:pt idx="0">
                  <c:v>4.2699999999999996</c:v>
                </c:pt>
                <c:pt idx="1">
                  <c:v>4.5199999999999996</c:v>
                </c:pt>
                <c:pt idx="2">
                  <c:v>4.4800000000000004</c:v>
                </c:pt>
                <c:pt idx="3">
                  <c:v>3.92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90-43FB-9948-F805503A3284}"/>
            </c:ext>
          </c:extLst>
        </c:ser>
        <c:ser>
          <c:idx val="1"/>
          <c:order val="1"/>
          <c:tx>
            <c:strRef>
              <c:f>JunCheck!$A$3</c:f>
              <c:strCache>
                <c:ptCount val="1"/>
                <c:pt idx="0">
                  <c:v>GPM Nowcast*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JunCheck!$B$1:$E$1</c:f>
              <c:strCache>
                <c:ptCount val="4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</c:strCache>
            </c:strRef>
          </c:cat>
          <c:val>
            <c:numRef>
              <c:f>JunCheck!$B$3:$E$3</c:f>
              <c:numCache>
                <c:formatCode>0.00</c:formatCode>
                <c:ptCount val="4"/>
                <c:pt idx="0">
                  <c:v>3.5</c:v>
                </c:pt>
                <c:pt idx="1">
                  <c:v>3.6</c:v>
                </c:pt>
                <c:pt idx="2">
                  <c:v>3.1</c:v>
                </c:pt>
                <c:pt idx="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90-43FB-9948-F805503A3284}"/>
            </c:ext>
          </c:extLst>
        </c:ser>
        <c:ser>
          <c:idx val="2"/>
          <c:order val="2"/>
          <c:tx>
            <c:strRef>
              <c:f>JunCheck!$A$4</c:f>
              <c:strCache>
                <c:ptCount val="1"/>
                <c:pt idx="0">
                  <c:v>Actual</c:v>
                </c:pt>
              </c:strCache>
            </c:strRef>
          </c:tx>
          <c:spPr>
            <a:ln w="28575" cap="rnd">
              <a:noFill/>
              <a:prstDash val="sysDash"/>
              <a:round/>
            </a:ln>
            <a:effectLst/>
          </c:spPr>
          <c:marker>
            <c:symbol val="square"/>
            <c:size val="5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cat>
            <c:strRef>
              <c:f>JunCheck!$B$1:$E$1</c:f>
              <c:strCache>
                <c:ptCount val="4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</c:strCache>
            </c:strRef>
          </c:cat>
          <c:val>
            <c:numRef>
              <c:f>JunCheck!$B$4:$E$4</c:f>
              <c:numCache>
                <c:formatCode>0.00</c:formatCode>
                <c:ptCount val="4"/>
                <c:pt idx="0">
                  <c:v>2.3299274242445156</c:v>
                </c:pt>
                <c:pt idx="1">
                  <c:v>2.3299274242445156</c:v>
                </c:pt>
                <c:pt idx="2">
                  <c:v>2.3299274242445156</c:v>
                </c:pt>
                <c:pt idx="3">
                  <c:v>2.3299274242445156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090-43FB-9948-F805503A32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4299632"/>
        <c:axId val="1293686304"/>
      </c:lineChart>
      <c:catAx>
        <c:axId val="192429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686304"/>
        <c:crosses val="autoZero"/>
        <c:auto val="1"/>
        <c:lblAlgn val="ctr"/>
        <c:lblOffset val="100"/>
        <c:noMultiLvlLbl val="0"/>
      </c:catAx>
      <c:valAx>
        <c:axId val="1293686304"/>
        <c:scaling>
          <c:orientation val="minMax"/>
        </c:scaling>
        <c:delete val="0"/>
        <c:axPos val="l"/>
        <c:numFmt formatCode="0.00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29963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2018 Q4 Forecast</a:t>
            </a:r>
            <a:r>
              <a:rPr lang="en-US" b="1" baseline="0">
                <a:solidFill>
                  <a:sysClr val="windowText" lastClr="000000"/>
                </a:solidFill>
              </a:rPr>
              <a:t> Based on DFM Model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JunCheck!$A$7</c:f>
              <c:strCache>
                <c:ptCount val="1"/>
                <c:pt idx="0">
                  <c:v>DFM Nowcast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JunCheck!$B$6:$E$6</c:f>
              <c:strCache>
                <c:ptCount val="4"/>
                <c:pt idx="0">
                  <c:v>September</c:v>
                </c:pt>
                <c:pt idx="1">
                  <c:v>October</c:v>
                </c:pt>
                <c:pt idx="2">
                  <c:v>November</c:v>
                </c:pt>
                <c:pt idx="3">
                  <c:v>December</c:v>
                </c:pt>
              </c:strCache>
            </c:strRef>
          </c:cat>
          <c:val>
            <c:numRef>
              <c:f>JunCheck!$B$7:$E$7</c:f>
              <c:numCache>
                <c:formatCode>0.00</c:formatCode>
                <c:ptCount val="4"/>
                <c:pt idx="0">
                  <c:v>2.68</c:v>
                </c:pt>
                <c:pt idx="1">
                  <c:v>3.51</c:v>
                </c:pt>
                <c:pt idx="2">
                  <c:v>2.0099999999999998</c:v>
                </c:pt>
                <c:pt idx="3">
                  <c:v>1.65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70-427E-BEE9-FE60E641B2F0}"/>
            </c:ext>
          </c:extLst>
        </c:ser>
        <c:ser>
          <c:idx val="1"/>
          <c:order val="1"/>
          <c:tx>
            <c:strRef>
              <c:f>JunCheck!$A$8</c:f>
              <c:strCache>
                <c:ptCount val="1"/>
                <c:pt idx="0">
                  <c:v>GPM Nowcast*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JunCheck!$B$6:$E$6</c:f>
              <c:strCache>
                <c:ptCount val="4"/>
                <c:pt idx="0">
                  <c:v>September</c:v>
                </c:pt>
                <c:pt idx="1">
                  <c:v>October</c:v>
                </c:pt>
                <c:pt idx="2">
                  <c:v>November</c:v>
                </c:pt>
                <c:pt idx="3">
                  <c:v>December</c:v>
                </c:pt>
              </c:strCache>
            </c:strRef>
          </c:cat>
          <c:val>
            <c:numRef>
              <c:f>JunCheck!$B$8:$E$8</c:f>
              <c:numCache>
                <c:formatCode>0.00</c:formatCode>
                <c:ptCount val="4"/>
                <c:pt idx="0">
                  <c:v>2.5</c:v>
                </c:pt>
                <c:pt idx="1">
                  <c:v>2.5</c:v>
                </c:pt>
                <c:pt idx="2">
                  <c:v>3.9</c:v>
                </c:pt>
                <c:pt idx="3">
                  <c:v>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70-427E-BEE9-FE60E641B2F0}"/>
            </c:ext>
          </c:extLst>
        </c:ser>
        <c:ser>
          <c:idx val="2"/>
          <c:order val="2"/>
          <c:tx>
            <c:strRef>
              <c:f>JunCheck!$A$9</c:f>
              <c:strCache>
                <c:ptCount val="1"/>
                <c:pt idx="0">
                  <c:v>Actual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cat>
            <c:strRef>
              <c:f>JunCheck!$B$6:$E$6</c:f>
              <c:strCache>
                <c:ptCount val="4"/>
                <c:pt idx="0">
                  <c:v>September</c:v>
                </c:pt>
                <c:pt idx="1">
                  <c:v>October</c:v>
                </c:pt>
                <c:pt idx="2">
                  <c:v>November</c:v>
                </c:pt>
                <c:pt idx="3">
                  <c:v>December</c:v>
                </c:pt>
              </c:strCache>
            </c:strRef>
          </c:cat>
          <c:val>
            <c:numRef>
              <c:f>JunCheck!$B$9:$E$9</c:f>
              <c:numCache>
                <c:formatCode>0.00</c:formatCode>
                <c:ptCount val="4"/>
                <c:pt idx="0">
                  <c:v>3.7720181748625681</c:v>
                </c:pt>
                <c:pt idx="1">
                  <c:v>3.7720181748625681</c:v>
                </c:pt>
                <c:pt idx="2">
                  <c:v>3.7720181748625681</c:v>
                </c:pt>
                <c:pt idx="3">
                  <c:v>3.7720181748625681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70-427E-BEE9-FE60E641B2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4299632"/>
        <c:axId val="1293686304"/>
      </c:lineChart>
      <c:catAx>
        <c:axId val="192429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686304"/>
        <c:crosses val="autoZero"/>
        <c:auto val="1"/>
        <c:lblAlgn val="ctr"/>
        <c:lblOffset val="100"/>
        <c:noMultiLvlLbl val="0"/>
      </c:catAx>
      <c:valAx>
        <c:axId val="1293686304"/>
        <c:scaling>
          <c:orientation val="minMax"/>
        </c:scaling>
        <c:delete val="0"/>
        <c:axPos val="l"/>
        <c:numFmt formatCode="0.00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29963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2019 Q1 Forecast</a:t>
            </a:r>
            <a:r>
              <a:rPr lang="en-US" b="1" baseline="0">
                <a:solidFill>
                  <a:sysClr val="windowText" lastClr="000000"/>
                </a:solidFill>
              </a:rPr>
              <a:t> Based on DFM Model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JunCheck!$A$12</c:f>
              <c:strCache>
                <c:ptCount val="1"/>
                <c:pt idx="0">
                  <c:v>DFM Nowcast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JunCheck!$B$11:$E$11</c:f>
              <c:strCache>
                <c:ptCount val="4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</c:strCache>
            </c:strRef>
          </c:cat>
          <c:val>
            <c:numRef>
              <c:f>JunCheck!$B$12:$E$12</c:f>
              <c:numCache>
                <c:formatCode>0.00</c:formatCode>
                <c:ptCount val="4"/>
                <c:pt idx="0">
                  <c:v>2.35</c:v>
                </c:pt>
                <c:pt idx="1">
                  <c:v>3</c:v>
                </c:pt>
                <c:pt idx="2">
                  <c:v>0.11</c:v>
                </c:pt>
                <c:pt idx="3">
                  <c:v>0.74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48-426C-A684-D5184F78180B}"/>
            </c:ext>
          </c:extLst>
        </c:ser>
        <c:ser>
          <c:idx val="1"/>
          <c:order val="1"/>
          <c:tx>
            <c:strRef>
              <c:f>JunCheck!$A$13</c:f>
              <c:strCache>
                <c:ptCount val="1"/>
                <c:pt idx="0">
                  <c:v>GPM Nowcast*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JunCheck!$B$11:$E$11</c:f>
              <c:strCache>
                <c:ptCount val="4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</c:strCache>
            </c:strRef>
          </c:cat>
          <c:val>
            <c:numRef>
              <c:f>JunCheck!$B$13:$E$13</c:f>
              <c:numCache>
                <c:formatCode>0.00</c:formatCode>
                <c:ptCount val="4"/>
                <c:pt idx="0">
                  <c:v>1.5</c:v>
                </c:pt>
                <c:pt idx="1">
                  <c:v>2.9</c:v>
                </c:pt>
                <c:pt idx="2">
                  <c:v>1</c:v>
                </c:pt>
                <c:pt idx="3">
                  <c:v>1.1000000000000001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448-426C-A684-D5184F78180B}"/>
            </c:ext>
          </c:extLst>
        </c:ser>
        <c:ser>
          <c:idx val="2"/>
          <c:order val="2"/>
          <c:tx>
            <c:strRef>
              <c:f>JunCheck!$A$14</c:f>
              <c:strCache>
                <c:ptCount val="1"/>
                <c:pt idx="0">
                  <c:v>Actual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cat>
            <c:strRef>
              <c:f>JunCheck!$B$11:$E$11</c:f>
              <c:strCache>
                <c:ptCount val="4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</c:strCache>
            </c:strRef>
          </c:cat>
          <c:val>
            <c:numRef>
              <c:f>JunCheck!$B$14:$E$14</c:f>
              <c:numCache>
                <c:formatCode>0.00</c:formatCode>
                <c:ptCount val="4"/>
                <c:pt idx="0">
                  <c:v>-1.47</c:v>
                </c:pt>
                <c:pt idx="1">
                  <c:v>-1.47</c:v>
                </c:pt>
                <c:pt idx="2">
                  <c:v>-1.47</c:v>
                </c:pt>
                <c:pt idx="3">
                  <c:v>-1.47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448-426C-A684-D5184F7818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4299632"/>
        <c:axId val="1293686304"/>
      </c:lineChart>
      <c:catAx>
        <c:axId val="192429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686304"/>
        <c:crosses val="autoZero"/>
        <c:auto val="1"/>
        <c:lblAlgn val="ctr"/>
        <c:lblOffset val="100"/>
        <c:noMultiLvlLbl val="0"/>
      </c:catAx>
      <c:valAx>
        <c:axId val="1293686304"/>
        <c:scaling>
          <c:orientation val="minMax"/>
        </c:scaling>
        <c:delete val="0"/>
        <c:axPos val="l"/>
        <c:numFmt formatCode="0.00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29963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2019 Q2 Forecast</a:t>
            </a:r>
            <a:r>
              <a:rPr lang="en-US" b="1" baseline="0">
                <a:solidFill>
                  <a:sysClr val="windowText" lastClr="000000"/>
                </a:solidFill>
              </a:rPr>
              <a:t> Based on DFM Model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JunCheck!$A$17</c:f>
              <c:strCache>
                <c:ptCount val="1"/>
                <c:pt idx="0">
                  <c:v>DFM Nowcast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JunCheck!$B$16:$E$16</c:f>
              <c:strCache>
                <c:ptCount val="4"/>
                <c:pt idx="0">
                  <c:v>March</c:v>
                </c:pt>
                <c:pt idx="1">
                  <c:v>April</c:v>
                </c:pt>
                <c:pt idx="2">
                  <c:v>May</c:v>
                </c:pt>
                <c:pt idx="3">
                  <c:v>June</c:v>
                </c:pt>
              </c:strCache>
            </c:strRef>
          </c:cat>
          <c:val>
            <c:numRef>
              <c:f>JunCheck!$B$17:$E$17</c:f>
              <c:numCache>
                <c:formatCode>0.00</c:formatCode>
                <c:ptCount val="4"/>
                <c:pt idx="0">
                  <c:v>4.1500000000000004</c:v>
                </c:pt>
                <c:pt idx="1">
                  <c:v>5.14</c:v>
                </c:pt>
                <c:pt idx="2">
                  <c:v>5.4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D0-4535-99E5-413941F10055}"/>
            </c:ext>
          </c:extLst>
        </c:ser>
        <c:ser>
          <c:idx val="1"/>
          <c:order val="1"/>
          <c:tx>
            <c:strRef>
              <c:f>JunCheck!$A$18</c:f>
              <c:strCache>
                <c:ptCount val="1"/>
                <c:pt idx="0">
                  <c:v>GPM Nowcast*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JunCheck!$B$16:$E$16</c:f>
              <c:strCache>
                <c:ptCount val="4"/>
                <c:pt idx="0">
                  <c:v>March</c:v>
                </c:pt>
                <c:pt idx="1">
                  <c:v>April</c:v>
                </c:pt>
                <c:pt idx="2">
                  <c:v>May</c:v>
                </c:pt>
                <c:pt idx="3">
                  <c:v>June</c:v>
                </c:pt>
              </c:strCache>
            </c:strRef>
          </c:cat>
          <c:val>
            <c:numRef>
              <c:f>JunCheck!$B$18:$E$18</c:f>
              <c:numCache>
                <c:formatCode>0.00</c:formatCode>
                <c:ptCount val="4"/>
                <c:pt idx="0">
                  <c:v>2.9</c:v>
                </c:pt>
                <c:pt idx="1">
                  <c:v>2.9</c:v>
                </c:pt>
                <c:pt idx="2">
                  <c:v>4.0999999999999996</c:v>
                </c:pt>
                <c:pt idx="3">
                  <c:v>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D0-4535-99E5-413941F10055}"/>
            </c:ext>
          </c:extLst>
        </c:ser>
        <c:ser>
          <c:idx val="2"/>
          <c:order val="2"/>
          <c:tx>
            <c:strRef>
              <c:f>JunCheck!$A$19</c:f>
              <c:strCache>
                <c:ptCount val="1"/>
                <c:pt idx="0">
                  <c:v>Actual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cat>
            <c:strRef>
              <c:f>JunCheck!$B$16:$E$16</c:f>
              <c:strCache>
                <c:ptCount val="4"/>
                <c:pt idx="0">
                  <c:v>March</c:v>
                </c:pt>
                <c:pt idx="1">
                  <c:v>April</c:v>
                </c:pt>
                <c:pt idx="2">
                  <c:v>May</c:v>
                </c:pt>
                <c:pt idx="3">
                  <c:v>June</c:v>
                </c:pt>
              </c:strCache>
            </c:strRef>
          </c:cat>
          <c:val>
            <c:numRef>
              <c:f>JunCheck!$B$19:$E$19</c:f>
              <c:numCache>
                <c:formatCode>0.00</c:formatCode>
                <c:ptCount val="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1D0-4535-99E5-413941F100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4299632"/>
        <c:axId val="1293686304"/>
      </c:lineChart>
      <c:catAx>
        <c:axId val="192429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686304"/>
        <c:crosses val="autoZero"/>
        <c:auto val="1"/>
        <c:lblAlgn val="ctr"/>
        <c:lblOffset val="100"/>
        <c:noMultiLvlLbl val="0"/>
      </c:catAx>
      <c:valAx>
        <c:axId val="1293686304"/>
        <c:scaling>
          <c:orientation val="minMax"/>
        </c:scaling>
        <c:delete val="0"/>
        <c:axPos val="l"/>
        <c:numFmt formatCode="0.00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29963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2018 Q3 Forecast</a:t>
            </a:r>
            <a:r>
              <a:rPr lang="en-US" b="1" baseline="0">
                <a:solidFill>
                  <a:sysClr val="windowText" lastClr="000000"/>
                </a:solidFill>
              </a:rPr>
              <a:t> Based on DFM Model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Jul24Check!$A$2</c:f>
              <c:strCache>
                <c:ptCount val="1"/>
                <c:pt idx="0">
                  <c:v>DFM Nowcast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Jul24Check!$B$1:$E$1</c:f>
              <c:strCache>
                <c:ptCount val="4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</c:strCache>
            </c:strRef>
          </c:cat>
          <c:val>
            <c:numRef>
              <c:f>Jul24Check!$B$2:$E$2</c:f>
              <c:numCache>
                <c:formatCode>0.00</c:formatCode>
                <c:ptCount val="4"/>
                <c:pt idx="0">
                  <c:v>4.26</c:v>
                </c:pt>
                <c:pt idx="1">
                  <c:v>3.61</c:v>
                </c:pt>
                <c:pt idx="2">
                  <c:v>4.22</c:v>
                </c:pt>
                <c:pt idx="3">
                  <c:v>3.74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07-409A-849F-FF0356969C76}"/>
            </c:ext>
          </c:extLst>
        </c:ser>
        <c:ser>
          <c:idx val="1"/>
          <c:order val="1"/>
          <c:tx>
            <c:strRef>
              <c:f>Jul24Check!$A$3</c:f>
              <c:strCache>
                <c:ptCount val="1"/>
                <c:pt idx="0">
                  <c:v>GPM Nowcast*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Jul24Check!$B$1:$E$1</c:f>
              <c:strCache>
                <c:ptCount val="4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</c:strCache>
            </c:strRef>
          </c:cat>
          <c:val>
            <c:numRef>
              <c:f>Jul24Check!$B$3:$E$3</c:f>
              <c:numCache>
                <c:formatCode>0.00</c:formatCode>
                <c:ptCount val="4"/>
                <c:pt idx="0">
                  <c:v>3.5</c:v>
                </c:pt>
                <c:pt idx="1">
                  <c:v>3.6</c:v>
                </c:pt>
                <c:pt idx="2">
                  <c:v>3.1</c:v>
                </c:pt>
                <c:pt idx="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07-409A-849F-FF0356969C76}"/>
            </c:ext>
          </c:extLst>
        </c:ser>
        <c:ser>
          <c:idx val="2"/>
          <c:order val="2"/>
          <c:tx>
            <c:strRef>
              <c:f>Jul24Check!$A$4</c:f>
              <c:strCache>
                <c:ptCount val="1"/>
                <c:pt idx="0">
                  <c:v>Actual</c:v>
                </c:pt>
              </c:strCache>
            </c:strRef>
          </c:tx>
          <c:spPr>
            <a:ln w="28575" cap="rnd">
              <a:noFill/>
              <a:prstDash val="sysDash"/>
              <a:round/>
            </a:ln>
            <a:effectLst/>
          </c:spPr>
          <c:marker>
            <c:symbol val="square"/>
            <c:size val="5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cat>
            <c:strRef>
              <c:f>Jul24Check!$B$1:$E$1</c:f>
              <c:strCache>
                <c:ptCount val="4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</c:strCache>
            </c:strRef>
          </c:cat>
          <c:val>
            <c:numRef>
              <c:f>Jul24Check!$B$4:$E$4</c:f>
              <c:numCache>
                <c:formatCode>0.00</c:formatCode>
                <c:ptCount val="4"/>
                <c:pt idx="0">
                  <c:v>2.3299274242445156</c:v>
                </c:pt>
                <c:pt idx="1">
                  <c:v>2.3299274242445156</c:v>
                </c:pt>
                <c:pt idx="2">
                  <c:v>2.3299274242445156</c:v>
                </c:pt>
                <c:pt idx="3">
                  <c:v>2.3299274242445156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F07-409A-849F-FF0356969C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4299632"/>
        <c:axId val="1293686304"/>
      </c:lineChart>
      <c:catAx>
        <c:axId val="192429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686304"/>
        <c:crosses val="autoZero"/>
        <c:auto val="1"/>
        <c:lblAlgn val="ctr"/>
        <c:lblOffset val="100"/>
        <c:noMultiLvlLbl val="0"/>
      </c:catAx>
      <c:valAx>
        <c:axId val="1293686304"/>
        <c:scaling>
          <c:orientation val="minMax"/>
        </c:scaling>
        <c:delete val="0"/>
        <c:axPos val="l"/>
        <c:numFmt formatCode="0.00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29963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2018 Q4 Forecast</a:t>
            </a:r>
            <a:r>
              <a:rPr lang="en-US" b="1" baseline="0">
                <a:solidFill>
                  <a:sysClr val="windowText" lastClr="000000"/>
                </a:solidFill>
              </a:rPr>
              <a:t> Based on DFM Model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Jul24Check!$A$7</c:f>
              <c:strCache>
                <c:ptCount val="1"/>
                <c:pt idx="0">
                  <c:v>DFM Nowcast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Jul24Check!$B$6:$E$6</c:f>
              <c:strCache>
                <c:ptCount val="4"/>
                <c:pt idx="0">
                  <c:v>September</c:v>
                </c:pt>
                <c:pt idx="1">
                  <c:v>October</c:v>
                </c:pt>
                <c:pt idx="2">
                  <c:v>November</c:v>
                </c:pt>
                <c:pt idx="3">
                  <c:v>December</c:v>
                </c:pt>
              </c:strCache>
            </c:strRef>
          </c:cat>
          <c:val>
            <c:numRef>
              <c:f>Jul24Check!$B$7:$E$7</c:f>
              <c:numCache>
                <c:formatCode>0.00</c:formatCode>
                <c:ptCount val="4"/>
                <c:pt idx="0">
                  <c:v>3.23</c:v>
                </c:pt>
                <c:pt idx="1">
                  <c:v>3.51</c:v>
                </c:pt>
                <c:pt idx="2">
                  <c:v>2.74</c:v>
                </c:pt>
                <c:pt idx="3">
                  <c:v>2.19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BB-40C9-9343-6777A22CA739}"/>
            </c:ext>
          </c:extLst>
        </c:ser>
        <c:ser>
          <c:idx val="1"/>
          <c:order val="1"/>
          <c:tx>
            <c:strRef>
              <c:f>Jul24Check!$A$8</c:f>
              <c:strCache>
                <c:ptCount val="1"/>
                <c:pt idx="0">
                  <c:v>GPM Nowcast*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Jul24Check!$B$6:$E$6</c:f>
              <c:strCache>
                <c:ptCount val="4"/>
                <c:pt idx="0">
                  <c:v>September</c:v>
                </c:pt>
                <c:pt idx="1">
                  <c:v>October</c:v>
                </c:pt>
                <c:pt idx="2">
                  <c:v>November</c:v>
                </c:pt>
                <c:pt idx="3">
                  <c:v>December</c:v>
                </c:pt>
              </c:strCache>
            </c:strRef>
          </c:cat>
          <c:val>
            <c:numRef>
              <c:f>Jul24Check!$B$8:$E$8</c:f>
              <c:numCache>
                <c:formatCode>0.00</c:formatCode>
                <c:ptCount val="4"/>
                <c:pt idx="0">
                  <c:v>2.5</c:v>
                </c:pt>
                <c:pt idx="1">
                  <c:v>2.5</c:v>
                </c:pt>
                <c:pt idx="2">
                  <c:v>3.9</c:v>
                </c:pt>
                <c:pt idx="3">
                  <c:v>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6BB-40C9-9343-6777A22CA739}"/>
            </c:ext>
          </c:extLst>
        </c:ser>
        <c:ser>
          <c:idx val="2"/>
          <c:order val="2"/>
          <c:tx>
            <c:strRef>
              <c:f>Jul24Check!$A$9</c:f>
              <c:strCache>
                <c:ptCount val="1"/>
                <c:pt idx="0">
                  <c:v>Actual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cat>
            <c:strRef>
              <c:f>Jul24Check!$B$6:$E$6</c:f>
              <c:strCache>
                <c:ptCount val="4"/>
                <c:pt idx="0">
                  <c:v>September</c:v>
                </c:pt>
                <c:pt idx="1">
                  <c:v>October</c:v>
                </c:pt>
                <c:pt idx="2">
                  <c:v>November</c:v>
                </c:pt>
                <c:pt idx="3">
                  <c:v>December</c:v>
                </c:pt>
              </c:strCache>
            </c:strRef>
          </c:cat>
          <c:val>
            <c:numRef>
              <c:f>Jul24Check!$B$9:$E$9</c:f>
              <c:numCache>
                <c:formatCode>0.00</c:formatCode>
                <c:ptCount val="4"/>
                <c:pt idx="0">
                  <c:v>3.7720181748625681</c:v>
                </c:pt>
                <c:pt idx="1">
                  <c:v>3.7720181748625681</c:v>
                </c:pt>
                <c:pt idx="2">
                  <c:v>3.7720181748625681</c:v>
                </c:pt>
                <c:pt idx="3">
                  <c:v>3.7720181748625681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6BB-40C9-9343-6777A22CA7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4299632"/>
        <c:axId val="1293686304"/>
      </c:lineChart>
      <c:catAx>
        <c:axId val="192429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686304"/>
        <c:crosses val="autoZero"/>
        <c:auto val="1"/>
        <c:lblAlgn val="ctr"/>
        <c:lblOffset val="100"/>
        <c:noMultiLvlLbl val="0"/>
      </c:catAx>
      <c:valAx>
        <c:axId val="1293686304"/>
        <c:scaling>
          <c:orientation val="minMax"/>
        </c:scaling>
        <c:delete val="0"/>
        <c:axPos val="l"/>
        <c:numFmt formatCode="0.00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29963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2019 Q1 Forecast</a:t>
            </a:r>
            <a:r>
              <a:rPr lang="en-US" b="1" baseline="0">
                <a:solidFill>
                  <a:sysClr val="windowText" lastClr="000000"/>
                </a:solidFill>
              </a:rPr>
              <a:t> Based on DFM Model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Jul24Check!$A$12</c:f>
              <c:strCache>
                <c:ptCount val="1"/>
                <c:pt idx="0">
                  <c:v>DFM Nowcast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Jul24Check!$B$11:$E$11</c:f>
              <c:strCache>
                <c:ptCount val="4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</c:strCache>
            </c:strRef>
          </c:cat>
          <c:val>
            <c:numRef>
              <c:f>Jul24Check!$B$12:$E$12</c:f>
              <c:numCache>
                <c:formatCode>0.00</c:formatCode>
                <c:ptCount val="4"/>
                <c:pt idx="0">
                  <c:v>2.06</c:v>
                </c:pt>
                <c:pt idx="1">
                  <c:v>3.01</c:v>
                </c:pt>
                <c:pt idx="2">
                  <c:v>1.05</c:v>
                </c:pt>
                <c:pt idx="3">
                  <c:v>1.46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6F-41B4-918B-2C585EEBE675}"/>
            </c:ext>
          </c:extLst>
        </c:ser>
        <c:ser>
          <c:idx val="1"/>
          <c:order val="1"/>
          <c:tx>
            <c:strRef>
              <c:f>Jul24Check!$A$13</c:f>
              <c:strCache>
                <c:ptCount val="1"/>
                <c:pt idx="0">
                  <c:v>GPM Nowcast*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Jul24Check!$B$11:$E$11</c:f>
              <c:strCache>
                <c:ptCount val="4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</c:strCache>
            </c:strRef>
          </c:cat>
          <c:val>
            <c:numRef>
              <c:f>Jul24Check!$B$13:$E$13</c:f>
              <c:numCache>
                <c:formatCode>0.00</c:formatCode>
                <c:ptCount val="4"/>
                <c:pt idx="0">
                  <c:v>1.5</c:v>
                </c:pt>
                <c:pt idx="1">
                  <c:v>2.9</c:v>
                </c:pt>
                <c:pt idx="2">
                  <c:v>1</c:v>
                </c:pt>
                <c:pt idx="3">
                  <c:v>1.1000000000000001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96F-41B4-918B-2C585EEBE675}"/>
            </c:ext>
          </c:extLst>
        </c:ser>
        <c:ser>
          <c:idx val="2"/>
          <c:order val="2"/>
          <c:tx>
            <c:strRef>
              <c:f>Jul24Check!$A$14</c:f>
              <c:strCache>
                <c:ptCount val="1"/>
                <c:pt idx="0">
                  <c:v>Actual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cat>
            <c:strRef>
              <c:f>Jul24Check!$B$11:$E$11</c:f>
              <c:strCache>
                <c:ptCount val="4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</c:strCache>
            </c:strRef>
          </c:cat>
          <c:val>
            <c:numRef>
              <c:f>Jul24Check!$B$14:$E$14</c:f>
              <c:numCache>
                <c:formatCode>0.00</c:formatCode>
                <c:ptCount val="4"/>
                <c:pt idx="0">
                  <c:v>-1.47</c:v>
                </c:pt>
                <c:pt idx="1">
                  <c:v>-1.47</c:v>
                </c:pt>
                <c:pt idx="2">
                  <c:v>-1.47</c:v>
                </c:pt>
                <c:pt idx="3">
                  <c:v>-1.47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96F-41B4-918B-2C585EEBE6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4299632"/>
        <c:axId val="1293686304"/>
      </c:lineChart>
      <c:catAx>
        <c:axId val="192429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686304"/>
        <c:crosses val="autoZero"/>
        <c:auto val="1"/>
        <c:lblAlgn val="ctr"/>
        <c:lblOffset val="100"/>
        <c:noMultiLvlLbl val="0"/>
      </c:catAx>
      <c:valAx>
        <c:axId val="1293686304"/>
        <c:scaling>
          <c:orientation val="minMax"/>
        </c:scaling>
        <c:delete val="0"/>
        <c:axPos val="l"/>
        <c:numFmt formatCode="0.00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29963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2019 Q2 Forecast</a:t>
            </a:r>
            <a:r>
              <a:rPr lang="en-US" b="1" baseline="0">
                <a:solidFill>
                  <a:sysClr val="windowText" lastClr="000000"/>
                </a:solidFill>
              </a:rPr>
              <a:t> Based on DFM Model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Jul24Check!$A$17</c:f>
              <c:strCache>
                <c:ptCount val="1"/>
                <c:pt idx="0">
                  <c:v>DFM Nowcast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Jul24Check!$B$16:$E$16</c:f>
              <c:strCache>
                <c:ptCount val="4"/>
                <c:pt idx="0">
                  <c:v>March</c:v>
                </c:pt>
                <c:pt idx="1">
                  <c:v>April</c:v>
                </c:pt>
                <c:pt idx="2">
                  <c:v>May</c:v>
                </c:pt>
                <c:pt idx="3">
                  <c:v>June</c:v>
                </c:pt>
              </c:strCache>
            </c:strRef>
          </c:cat>
          <c:val>
            <c:numRef>
              <c:f>Jul24Check!$B$17:$E$17</c:f>
              <c:numCache>
                <c:formatCode>0.00</c:formatCode>
                <c:ptCount val="4"/>
                <c:pt idx="0">
                  <c:v>4.2699999999999996</c:v>
                </c:pt>
                <c:pt idx="1">
                  <c:v>4.43</c:v>
                </c:pt>
                <c:pt idx="2">
                  <c:v>3.5</c:v>
                </c:pt>
                <c:pt idx="3">
                  <c:v>2.78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58-42CD-8FD5-491A233CFA43}"/>
            </c:ext>
          </c:extLst>
        </c:ser>
        <c:ser>
          <c:idx val="1"/>
          <c:order val="1"/>
          <c:tx>
            <c:strRef>
              <c:f>Jul24Check!$A$18</c:f>
              <c:strCache>
                <c:ptCount val="1"/>
                <c:pt idx="0">
                  <c:v>GPM Nowcast*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Jul24Check!$B$16:$E$16</c:f>
              <c:strCache>
                <c:ptCount val="4"/>
                <c:pt idx="0">
                  <c:v>March</c:v>
                </c:pt>
                <c:pt idx="1">
                  <c:v>April</c:v>
                </c:pt>
                <c:pt idx="2">
                  <c:v>May</c:v>
                </c:pt>
                <c:pt idx="3">
                  <c:v>June</c:v>
                </c:pt>
              </c:strCache>
            </c:strRef>
          </c:cat>
          <c:val>
            <c:numRef>
              <c:f>Jul24Check!$B$18:$E$18</c:f>
              <c:numCache>
                <c:formatCode>0.00</c:formatCode>
                <c:ptCount val="4"/>
                <c:pt idx="0">
                  <c:v>2.9</c:v>
                </c:pt>
                <c:pt idx="1">
                  <c:v>2.9</c:v>
                </c:pt>
                <c:pt idx="2">
                  <c:v>4.0999999999999996</c:v>
                </c:pt>
                <c:pt idx="3">
                  <c:v>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658-42CD-8FD5-491A233CFA43}"/>
            </c:ext>
          </c:extLst>
        </c:ser>
        <c:ser>
          <c:idx val="2"/>
          <c:order val="2"/>
          <c:tx>
            <c:strRef>
              <c:f>Jul24Check!$A$19</c:f>
              <c:strCache>
                <c:ptCount val="1"/>
                <c:pt idx="0">
                  <c:v>Actual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cat>
            <c:strRef>
              <c:f>Jul24Check!$B$16:$E$16</c:f>
              <c:strCache>
                <c:ptCount val="4"/>
                <c:pt idx="0">
                  <c:v>March</c:v>
                </c:pt>
                <c:pt idx="1">
                  <c:v>April</c:v>
                </c:pt>
                <c:pt idx="2">
                  <c:v>May</c:v>
                </c:pt>
                <c:pt idx="3">
                  <c:v>June</c:v>
                </c:pt>
              </c:strCache>
            </c:strRef>
          </c:cat>
          <c:val>
            <c:numRef>
              <c:f>Jul24Check!$B$19:$E$19</c:f>
              <c:numCache>
                <c:formatCode>0.00</c:formatCode>
                <c:ptCount val="4"/>
                <c:pt idx="0">
                  <c:v>4.3600000000000003</c:v>
                </c:pt>
                <c:pt idx="1">
                  <c:v>4.3600000000000003</c:v>
                </c:pt>
                <c:pt idx="2">
                  <c:v>4.3600000000000003</c:v>
                </c:pt>
                <c:pt idx="3">
                  <c:v>4.3600000000000003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658-42CD-8FD5-491A233CFA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4299632"/>
        <c:axId val="1293686304"/>
      </c:lineChart>
      <c:catAx>
        <c:axId val="192429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686304"/>
        <c:crosses val="autoZero"/>
        <c:auto val="1"/>
        <c:lblAlgn val="ctr"/>
        <c:lblOffset val="100"/>
        <c:noMultiLvlLbl val="0"/>
      </c:catAx>
      <c:valAx>
        <c:axId val="1293686304"/>
        <c:scaling>
          <c:orientation val="minMax"/>
        </c:scaling>
        <c:delete val="0"/>
        <c:axPos val="l"/>
        <c:numFmt formatCode="0.00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29963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2018 Q3 Forecast</a:t>
            </a:r>
            <a:r>
              <a:rPr lang="en-US" b="1" baseline="0">
                <a:solidFill>
                  <a:sysClr val="windowText" lastClr="000000"/>
                </a:solidFill>
              </a:rPr>
              <a:t> Based on DFM Model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Jul25Check!$A$2</c:f>
              <c:strCache>
                <c:ptCount val="1"/>
                <c:pt idx="0">
                  <c:v>DFM Nowcast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Jul25Check!$B$1:$E$1</c:f>
              <c:strCache>
                <c:ptCount val="4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</c:strCache>
            </c:strRef>
          </c:cat>
          <c:val>
            <c:numRef>
              <c:f>Jul25Check!$B$2:$E$2</c:f>
              <c:numCache>
                <c:formatCode>0.00</c:formatCode>
                <c:ptCount val="4"/>
                <c:pt idx="0">
                  <c:v>4.04</c:v>
                </c:pt>
                <c:pt idx="1">
                  <c:v>3.68</c:v>
                </c:pt>
                <c:pt idx="2">
                  <c:v>4.1100000000000003</c:v>
                </c:pt>
                <c:pt idx="3">
                  <c:v>3.61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77-4152-BD3D-88492838FD15}"/>
            </c:ext>
          </c:extLst>
        </c:ser>
        <c:ser>
          <c:idx val="1"/>
          <c:order val="1"/>
          <c:tx>
            <c:strRef>
              <c:f>Jul25Check!$A$3</c:f>
              <c:strCache>
                <c:ptCount val="1"/>
                <c:pt idx="0">
                  <c:v>GPM Nowcast*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Jul25Check!$B$1:$E$1</c:f>
              <c:strCache>
                <c:ptCount val="4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</c:strCache>
            </c:strRef>
          </c:cat>
          <c:val>
            <c:numRef>
              <c:f>Jul25Check!$B$3:$E$3</c:f>
              <c:numCache>
                <c:formatCode>0.00</c:formatCode>
                <c:ptCount val="4"/>
                <c:pt idx="0">
                  <c:v>3.5</c:v>
                </c:pt>
                <c:pt idx="1">
                  <c:v>3.6</c:v>
                </c:pt>
                <c:pt idx="2">
                  <c:v>3.1</c:v>
                </c:pt>
                <c:pt idx="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777-4152-BD3D-88492838FD15}"/>
            </c:ext>
          </c:extLst>
        </c:ser>
        <c:ser>
          <c:idx val="2"/>
          <c:order val="2"/>
          <c:tx>
            <c:strRef>
              <c:f>Jul25Check!$A$4</c:f>
              <c:strCache>
                <c:ptCount val="1"/>
                <c:pt idx="0">
                  <c:v>Actual</c:v>
                </c:pt>
              </c:strCache>
            </c:strRef>
          </c:tx>
          <c:spPr>
            <a:ln w="28575" cap="rnd">
              <a:noFill/>
              <a:prstDash val="sysDash"/>
              <a:round/>
            </a:ln>
            <a:effectLst/>
          </c:spPr>
          <c:marker>
            <c:symbol val="square"/>
            <c:size val="5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cat>
            <c:strRef>
              <c:f>Jul25Check!$B$1:$E$1</c:f>
              <c:strCache>
                <c:ptCount val="4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</c:strCache>
            </c:strRef>
          </c:cat>
          <c:val>
            <c:numRef>
              <c:f>Jul25Check!$B$4:$E$4</c:f>
              <c:numCache>
                <c:formatCode>0.00</c:formatCode>
                <c:ptCount val="4"/>
                <c:pt idx="0">
                  <c:v>2.3299274242445156</c:v>
                </c:pt>
                <c:pt idx="1">
                  <c:v>2.3299274242445156</c:v>
                </c:pt>
                <c:pt idx="2">
                  <c:v>2.3299274242445156</c:v>
                </c:pt>
                <c:pt idx="3">
                  <c:v>2.3299274242445156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777-4152-BD3D-88492838FD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4299632"/>
        <c:axId val="1293686304"/>
      </c:lineChart>
      <c:catAx>
        <c:axId val="192429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686304"/>
        <c:crosses val="autoZero"/>
        <c:auto val="1"/>
        <c:lblAlgn val="ctr"/>
        <c:lblOffset val="100"/>
        <c:noMultiLvlLbl val="0"/>
      </c:catAx>
      <c:valAx>
        <c:axId val="1293686304"/>
        <c:scaling>
          <c:orientation val="minMax"/>
        </c:scaling>
        <c:delete val="0"/>
        <c:axPos val="l"/>
        <c:numFmt formatCode="0.00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29963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2018 Q4 Forecast</a:t>
            </a:r>
            <a:r>
              <a:rPr lang="en-US" b="1" baseline="0">
                <a:solidFill>
                  <a:sysClr val="windowText" lastClr="000000"/>
                </a:solidFill>
              </a:rPr>
              <a:t> Based on DFM Model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Jul25Check!$A$7</c:f>
              <c:strCache>
                <c:ptCount val="1"/>
                <c:pt idx="0">
                  <c:v>DFM Nowcast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Jul25Check!$B$6:$E$6</c:f>
              <c:strCache>
                <c:ptCount val="4"/>
                <c:pt idx="0">
                  <c:v>September</c:v>
                </c:pt>
                <c:pt idx="1">
                  <c:v>October</c:v>
                </c:pt>
                <c:pt idx="2">
                  <c:v>November</c:v>
                </c:pt>
                <c:pt idx="3">
                  <c:v>December</c:v>
                </c:pt>
              </c:strCache>
            </c:strRef>
          </c:cat>
          <c:val>
            <c:numRef>
              <c:f>Jul25Check!$B$7:$E$7</c:f>
              <c:numCache>
                <c:formatCode>0.00</c:formatCode>
                <c:ptCount val="4"/>
                <c:pt idx="0">
                  <c:v>3.13</c:v>
                </c:pt>
                <c:pt idx="1">
                  <c:v>4.1399999999999997</c:v>
                </c:pt>
                <c:pt idx="2">
                  <c:v>2.97</c:v>
                </c:pt>
                <c:pt idx="3">
                  <c:v>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07-4EE7-B16B-8D79D013FDC8}"/>
            </c:ext>
          </c:extLst>
        </c:ser>
        <c:ser>
          <c:idx val="1"/>
          <c:order val="1"/>
          <c:tx>
            <c:strRef>
              <c:f>Jul25Check!$A$8</c:f>
              <c:strCache>
                <c:ptCount val="1"/>
                <c:pt idx="0">
                  <c:v>GPM Nowcast*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Jul25Check!$B$6:$E$6</c:f>
              <c:strCache>
                <c:ptCount val="4"/>
                <c:pt idx="0">
                  <c:v>September</c:v>
                </c:pt>
                <c:pt idx="1">
                  <c:v>October</c:v>
                </c:pt>
                <c:pt idx="2">
                  <c:v>November</c:v>
                </c:pt>
                <c:pt idx="3">
                  <c:v>December</c:v>
                </c:pt>
              </c:strCache>
            </c:strRef>
          </c:cat>
          <c:val>
            <c:numRef>
              <c:f>Jul25Check!$B$8:$E$8</c:f>
              <c:numCache>
                <c:formatCode>0.00</c:formatCode>
                <c:ptCount val="4"/>
                <c:pt idx="0">
                  <c:v>2.5</c:v>
                </c:pt>
                <c:pt idx="1">
                  <c:v>2.5</c:v>
                </c:pt>
                <c:pt idx="2">
                  <c:v>3.9</c:v>
                </c:pt>
                <c:pt idx="3">
                  <c:v>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307-4EE7-B16B-8D79D013FDC8}"/>
            </c:ext>
          </c:extLst>
        </c:ser>
        <c:ser>
          <c:idx val="2"/>
          <c:order val="2"/>
          <c:tx>
            <c:strRef>
              <c:f>Jul25Check!$A$9</c:f>
              <c:strCache>
                <c:ptCount val="1"/>
                <c:pt idx="0">
                  <c:v>Actual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cat>
            <c:strRef>
              <c:f>Jul25Check!$B$6:$E$6</c:f>
              <c:strCache>
                <c:ptCount val="4"/>
                <c:pt idx="0">
                  <c:v>September</c:v>
                </c:pt>
                <c:pt idx="1">
                  <c:v>October</c:v>
                </c:pt>
                <c:pt idx="2">
                  <c:v>November</c:v>
                </c:pt>
                <c:pt idx="3">
                  <c:v>December</c:v>
                </c:pt>
              </c:strCache>
            </c:strRef>
          </c:cat>
          <c:val>
            <c:numRef>
              <c:f>Jul25Check!$B$9:$E$9</c:f>
              <c:numCache>
                <c:formatCode>0.00</c:formatCode>
                <c:ptCount val="4"/>
                <c:pt idx="0">
                  <c:v>3.7720181748625681</c:v>
                </c:pt>
                <c:pt idx="1">
                  <c:v>3.7720181748625681</c:v>
                </c:pt>
                <c:pt idx="2">
                  <c:v>3.7720181748625681</c:v>
                </c:pt>
                <c:pt idx="3">
                  <c:v>3.7720181748625681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307-4EE7-B16B-8D79D013FD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4299632"/>
        <c:axId val="1293686304"/>
      </c:lineChart>
      <c:catAx>
        <c:axId val="192429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686304"/>
        <c:crosses val="autoZero"/>
        <c:auto val="1"/>
        <c:lblAlgn val="ctr"/>
        <c:lblOffset val="100"/>
        <c:noMultiLvlLbl val="0"/>
      </c:catAx>
      <c:valAx>
        <c:axId val="1293686304"/>
        <c:scaling>
          <c:orientation val="minMax"/>
        </c:scaling>
        <c:delete val="0"/>
        <c:axPos val="l"/>
        <c:numFmt formatCode="0.00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29963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2019 Q1 Forecast</a:t>
            </a:r>
            <a:r>
              <a:rPr lang="en-US" b="1" baseline="0">
                <a:solidFill>
                  <a:sysClr val="windowText" lastClr="000000"/>
                </a:solidFill>
              </a:rPr>
              <a:t> Based on DFM Model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Jul25Check!$A$12</c:f>
              <c:strCache>
                <c:ptCount val="1"/>
                <c:pt idx="0">
                  <c:v>DFM Nowcast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Jul25Check!$B$11:$E$11</c:f>
              <c:strCache>
                <c:ptCount val="4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</c:strCache>
            </c:strRef>
          </c:cat>
          <c:val>
            <c:numRef>
              <c:f>Jul25Check!$B$12:$E$12</c:f>
              <c:numCache>
                <c:formatCode>0.00</c:formatCode>
                <c:ptCount val="4"/>
                <c:pt idx="0">
                  <c:v>2.2799999999999998</c:v>
                </c:pt>
                <c:pt idx="1">
                  <c:v>3.56</c:v>
                </c:pt>
                <c:pt idx="2">
                  <c:v>1.21</c:v>
                </c:pt>
                <c:pt idx="3">
                  <c:v>1.6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20-4BB5-A734-DBB298DC70C6}"/>
            </c:ext>
          </c:extLst>
        </c:ser>
        <c:ser>
          <c:idx val="1"/>
          <c:order val="1"/>
          <c:tx>
            <c:strRef>
              <c:f>Jul25Check!$A$13</c:f>
              <c:strCache>
                <c:ptCount val="1"/>
                <c:pt idx="0">
                  <c:v>GPM Nowcast*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Jul25Check!$B$11:$E$11</c:f>
              <c:strCache>
                <c:ptCount val="4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</c:strCache>
            </c:strRef>
          </c:cat>
          <c:val>
            <c:numRef>
              <c:f>Jul25Check!$B$13:$E$13</c:f>
              <c:numCache>
                <c:formatCode>0.00</c:formatCode>
                <c:ptCount val="4"/>
                <c:pt idx="0">
                  <c:v>1.5</c:v>
                </c:pt>
                <c:pt idx="1">
                  <c:v>2.9</c:v>
                </c:pt>
                <c:pt idx="2">
                  <c:v>1</c:v>
                </c:pt>
                <c:pt idx="3">
                  <c:v>1.1000000000000001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20-4BB5-A734-DBB298DC70C6}"/>
            </c:ext>
          </c:extLst>
        </c:ser>
        <c:ser>
          <c:idx val="2"/>
          <c:order val="2"/>
          <c:tx>
            <c:strRef>
              <c:f>Jul25Check!$A$14</c:f>
              <c:strCache>
                <c:ptCount val="1"/>
                <c:pt idx="0">
                  <c:v>Actual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cat>
            <c:strRef>
              <c:f>Jul25Check!$B$11:$E$11</c:f>
              <c:strCache>
                <c:ptCount val="4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</c:strCache>
            </c:strRef>
          </c:cat>
          <c:val>
            <c:numRef>
              <c:f>Jul25Check!$B$14:$E$14</c:f>
              <c:numCache>
                <c:formatCode>0.00</c:formatCode>
                <c:ptCount val="4"/>
                <c:pt idx="0">
                  <c:v>-1.47</c:v>
                </c:pt>
                <c:pt idx="1">
                  <c:v>-1.47</c:v>
                </c:pt>
                <c:pt idx="2">
                  <c:v>-1.47</c:v>
                </c:pt>
                <c:pt idx="3">
                  <c:v>-1.47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F20-4BB5-A734-DBB298DC7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4299632"/>
        <c:axId val="1293686304"/>
      </c:lineChart>
      <c:catAx>
        <c:axId val="192429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686304"/>
        <c:crosses val="autoZero"/>
        <c:auto val="1"/>
        <c:lblAlgn val="ctr"/>
        <c:lblOffset val="100"/>
        <c:noMultiLvlLbl val="0"/>
      </c:catAx>
      <c:valAx>
        <c:axId val="1293686304"/>
        <c:scaling>
          <c:orientation val="minMax"/>
        </c:scaling>
        <c:delete val="0"/>
        <c:axPos val="l"/>
        <c:numFmt formatCode="0.00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29963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2019 Q2 Forecast</a:t>
            </a:r>
            <a:r>
              <a:rPr lang="en-US" b="1" baseline="0">
                <a:solidFill>
                  <a:sysClr val="windowText" lastClr="000000"/>
                </a:solidFill>
              </a:rPr>
              <a:t> Based on DFM Model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Jul25Check!$A$18</c:f>
              <c:strCache>
                <c:ptCount val="1"/>
                <c:pt idx="0">
                  <c:v>DFM Nowcast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Jul25Check!$B$17:$E$17</c:f>
              <c:strCache>
                <c:ptCount val="4"/>
                <c:pt idx="0">
                  <c:v>March</c:v>
                </c:pt>
                <c:pt idx="1">
                  <c:v>April</c:v>
                </c:pt>
                <c:pt idx="2">
                  <c:v>May</c:v>
                </c:pt>
                <c:pt idx="3">
                  <c:v>June</c:v>
                </c:pt>
              </c:strCache>
            </c:strRef>
          </c:cat>
          <c:val>
            <c:numRef>
              <c:f>Jul25Check!$B$18:$E$18</c:f>
              <c:numCache>
                <c:formatCode>0.00</c:formatCode>
                <c:ptCount val="4"/>
                <c:pt idx="0">
                  <c:v>3.95</c:v>
                </c:pt>
                <c:pt idx="1">
                  <c:v>4.55</c:v>
                </c:pt>
                <c:pt idx="2">
                  <c:v>3.47</c:v>
                </c:pt>
                <c:pt idx="3">
                  <c:v>2.75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08-4DF8-A8CE-B5BCCC4E4FC7}"/>
            </c:ext>
          </c:extLst>
        </c:ser>
        <c:ser>
          <c:idx val="1"/>
          <c:order val="1"/>
          <c:tx>
            <c:strRef>
              <c:f>Jul25Check!$A$19</c:f>
              <c:strCache>
                <c:ptCount val="1"/>
                <c:pt idx="0">
                  <c:v>GPM Nowcast*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Jul25Check!$B$17:$E$17</c:f>
              <c:strCache>
                <c:ptCount val="4"/>
                <c:pt idx="0">
                  <c:v>March</c:v>
                </c:pt>
                <c:pt idx="1">
                  <c:v>April</c:v>
                </c:pt>
                <c:pt idx="2">
                  <c:v>May</c:v>
                </c:pt>
                <c:pt idx="3">
                  <c:v>June</c:v>
                </c:pt>
              </c:strCache>
            </c:strRef>
          </c:cat>
          <c:val>
            <c:numRef>
              <c:f>Jul25Check!$B$19:$E$19</c:f>
              <c:numCache>
                <c:formatCode>0.00</c:formatCode>
                <c:ptCount val="4"/>
                <c:pt idx="0">
                  <c:v>2.9</c:v>
                </c:pt>
                <c:pt idx="1">
                  <c:v>2.9</c:v>
                </c:pt>
                <c:pt idx="2">
                  <c:v>4.0999999999999996</c:v>
                </c:pt>
                <c:pt idx="3">
                  <c:v>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408-4DF8-A8CE-B5BCCC4E4FC7}"/>
            </c:ext>
          </c:extLst>
        </c:ser>
        <c:ser>
          <c:idx val="2"/>
          <c:order val="2"/>
          <c:tx>
            <c:strRef>
              <c:f>Jul25Check!$A$20</c:f>
              <c:strCache>
                <c:ptCount val="1"/>
                <c:pt idx="0">
                  <c:v>Actual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cat>
            <c:strRef>
              <c:f>Jul25Check!$B$17:$E$17</c:f>
              <c:strCache>
                <c:ptCount val="4"/>
                <c:pt idx="0">
                  <c:v>March</c:v>
                </c:pt>
                <c:pt idx="1">
                  <c:v>April</c:v>
                </c:pt>
                <c:pt idx="2">
                  <c:v>May</c:v>
                </c:pt>
                <c:pt idx="3">
                  <c:v>June</c:v>
                </c:pt>
              </c:strCache>
            </c:strRef>
          </c:cat>
          <c:val>
            <c:numRef>
              <c:f>Jul25Check!$B$20:$E$20</c:f>
              <c:numCache>
                <c:formatCode>0.00</c:formatCode>
                <c:ptCount val="4"/>
                <c:pt idx="0">
                  <c:v>4.3600000000000003</c:v>
                </c:pt>
                <c:pt idx="1">
                  <c:v>4.3600000000000003</c:v>
                </c:pt>
                <c:pt idx="2">
                  <c:v>4.3600000000000003</c:v>
                </c:pt>
                <c:pt idx="3">
                  <c:v>4.3600000000000003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408-4DF8-A8CE-B5BCCC4E4F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4299632"/>
        <c:axId val="1293686304"/>
      </c:lineChart>
      <c:catAx>
        <c:axId val="192429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686304"/>
        <c:crosses val="autoZero"/>
        <c:auto val="1"/>
        <c:lblAlgn val="ctr"/>
        <c:lblOffset val="100"/>
        <c:noMultiLvlLbl val="0"/>
      </c:catAx>
      <c:valAx>
        <c:axId val="1293686304"/>
        <c:scaling>
          <c:orientation val="minMax"/>
        </c:scaling>
        <c:delete val="0"/>
        <c:axPos val="l"/>
        <c:numFmt formatCode="0.00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29963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2018 Q3 Forecast</a:t>
            </a:r>
            <a:r>
              <a:rPr lang="en-US" b="1" baseline="0">
                <a:solidFill>
                  <a:sysClr val="windowText" lastClr="000000"/>
                </a:solidFill>
              </a:rPr>
              <a:t> Based on DFM Model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'Jul25Check-Q2'!$A$2</c:f>
              <c:strCache>
                <c:ptCount val="1"/>
                <c:pt idx="0">
                  <c:v>DFM Nowcast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'Jul25Check-Q2'!$B$1:$E$1</c:f>
              <c:strCache>
                <c:ptCount val="4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</c:strCache>
            </c:strRef>
          </c:cat>
          <c:val>
            <c:numRef>
              <c:f>'Jul25Check-Q2'!$B$2:$E$2</c:f>
              <c:numCache>
                <c:formatCode>0.00</c:formatCode>
                <c:ptCount val="4"/>
                <c:pt idx="0">
                  <c:v>4.21</c:v>
                </c:pt>
                <c:pt idx="1">
                  <c:v>3.86</c:v>
                </c:pt>
                <c:pt idx="2">
                  <c:v>4.3899999999999997</c:v>
                </c:pt>
                <c:pt idx="3">
                  <c:v>3.89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68-4676-9E7C-AA9927C71AFD}"/>
            </c:ext>
          </c:extLst>
        </c:ser>
        <c:ser>
          <c:idx val="1"/>
          <c:order val="1"/>
          <c:tx>
            <c:strRef>
              <c:f>'Jul25Check-Q2'!$A$3</c:f>
              <c:strCache>
                <c:ptCount val="1"/>
                <c:pt idx="0">
                  <c:v>GPM Nowcast*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'Jul25Check-Q2'!$B$1:$E$1</c:f>
              <c:strCache>
                <c:ptCount val="4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</c:strCache>
            </c:strRef>
          </c:cat>
          <c:val>
            <c:numRef>
              <c:f>'Jul25Check-Q2'!$B$3:$E$3</c:f>
              <c:numCache>
                <c:formatCode>0.00</c:formatCode>
                <c:ptCount val="4"/>
                <c:pt idx="0">
                  <c:v>3.5</c:v>
                </c:pt>
                <c:pt idx="1">
                  <c:v>3.6</c:v>
                </c:pt>
                <c:pt idx="2">
                  <c:v>3.1</c:v>
                </c:pt>
                <c:pt idx="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068-4676-9E7C-AA9927C71AFD}"/>
            </c:ext>
          </c:extLst>
        </c:ser>
        <c:ser>
          <c:idx val="2"/>
          <c:order val="2"/>
          <c:tx>
            <c:strRef>
              <c:f>'Jul25Check-Q2'!$A$4</c:f>
              <c:strCache>
                <c:ptCount val="1"/>
                <c:pt idx="0">
                  <c:v>Actual</c:v>
                </c:pt>
              </c:strCache>
            </c:strRef>
          </c:tx>
          <c:spPr>
            <a:ln w="28575" cap="rnd">
              <a:noFill/>
              <a:prstDash val="sysDash"/>
              <a:round/>
            </a:ln>
            <a:effectLst/>
          </c:spPr>
          <c:marker>
            <c:symbol val="square"/>
            <c:size val="5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cat>
            <c:strRef>
              <c:f>'Jul25Check-Q2'!$B$1:$E$1</c:f>
              <c:strCache>
                <c:ptCount val="4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</c:strCache>
            </c:strRef>
          </c:cat>
          <c:val>
            <c:numRef>
              <c:f>'Jul25Check-Q2'!$B$4:$E$4</c:f>
              <c:numCache>
                <c:formatCode>0.00</c:formatCode>
                <c:ptCount val="4"/>
                <c:pt idx="0">
                  <c:v>2.3299274242445156</c:v>
                </c:pt>
                <c:pt idx="1">
                  <c:v>2.3299274242445156</c:v>
                </c:pt>
                <c:pt idx="2">
                  <c:v>2.3299274242445156</c:v>
                </c:pt>
                <c:pt idx="3">
                  <c:v>2.3299274242445156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068-4676-9E7C-AA9927C71A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4299632"/>
        <c:axId val="1293686304"/>
      </c:lineChart>
      <c:catAx>
        <c:axId val="192429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686304"/>
        <c:crosses val="autoZero"/>
        <c:auto val="1"/>
        <c:lblAlgn val="ctr"/>
        <c:lblOffset val="100"/>
        <c:noMultiLvlLbl val="0"/>
      </c:catAx>
      <c:valAx>
        <c:axId val="1293686304"/>
        <c:scaling>
          <c:orientation val="minMax"/>
        </c:scaling>
        <c:delete val="0"/>
        <c:axPos val="l"/>
        <c:numFmt formatCode="0.00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29963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2018 Q4 Forecast</a:t>
            </a:r>
            <a:r>
              <a:rPr lang="en-US" b="1" baseline="0">
                <a:solidFill>
                  <a:sysClr val="windowText" lastClr="000000"/>
                </a:solidFill>
              </a:rPr>
              <a:t> Based on DFM Model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'Jul25Check-Q2'!$A$7</c:f>
              <c:strCache>
                <c:ptCount val="1"/>
                <c:pt idx="0">
                  <c:v>DFM Nowcast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'Jul25Check-Q2'!$B$6:$E$6</c:f>
              <c:strCache>
                <c:ptCount val="4"/>
                <c:pt idx="0">
                  <c:v>September</c:v>
                </c:pt>
                <c:pt idx="1">
                  <c:v>October</c:v>
                </c:pt>
                <c:pt idx="2">
                  <c:v>November</c:v>
                </c:pt>
                <c:pt idx="3">
                  <c:v>December</c:v>
                </c:pt>
              </c:strCache>
            </c:strRef>
          </c:cat>
          <c:val>
            <c:numRef>
              <c:f>'Jul25Check-Q2'!$B$7:$E$7</c:f>
              <c:numCache>
                <c:formatCode>0.00</c:formatCode>
                <c:ptCount val="4"/>
                <c:pt idx="0">
                  <c:v>3.05</c:v>
                </c:pt>
                <c:pt idx="1">
                  <c:v>3.69</c:v>
                </c:pt>
                <c:pt idx="2">
                  <c:v>1.9</c:v>
                </c:pt>
                <c:pt idx="3">
                  <c:v>1.48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EE-471B-B210-9E0FA0E0D7FA}"/>
            </c:ext>
          </c:extLst>
        </c:ser>
        <c:ser>
          <c:idx val="1"/>
          <c:order val="1"/>
          <c:tx>
            <c:strRef>
              <c:f>'Jul25Check-Q2'!$A$8</c:f>
              <c:strCache>
                <c:ptCount val="1"/>
                <c:pt idx="0">
                  <c:v>GPM Nowcast*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'Jul25Check-Q2'!$B$6:$E$6</c:f>
              <c:strCache>
                <c:ptCount val="4"/>
                <c:pt idx="0">
                  <c:v>September</c:v>
                </c:pt>
                <c:pt idx="1">
                  <c:v>October</c:v>
                </c:pt>
                <c:pt idx="2">
                  <c:v>November</c:v>
                </c:pt>
                <c:pt idx="3">
                  <c:v>December</c:v>
                </c:pt>
              </c:strCache>
            </c:strRef>
          </c:cat>
          <c:val>
            <c:numRef>
              <c:f>'Jul25Check-Q2'!$B$8:$E$8</c:f>
              <c:numCache>
                <c:formatCode>0.00</c:formatCode>
                <c:ptCount val="4"/>
                <c:pt idx="0">
                  <c:v>2.5</c:v>
                </c:pt>
                <c:pt idx="1">
                  <c:v>2.5</c:v>
                </c:pt>
                <c:pt idx="2">
                  <c:v>3.9</c:v>
                </c:pt>
                <c:pt idx="3">
                  <c:v>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AEE-471B-B210-9E0FA0E0D7FA}"/>
            </c:ext>
          </c:extLst>
        </c:ser>
        <c:ser>
          <c:idx val="2"/>
          <c:order val="2"/>
          <c:tx>
            <c:strRef>
              <c:f>'Jul25Check-Q2'!$A$9</c:f>
              <c:strCache>
                <c:ptCount val="1"/>
                <c:pt idx="0">
                  <c:v>Actual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cat>
            <c:strRef>
              <c:f>'Jul25Check-Q2'!$B$6:$E$6</c:f>
              <c:strCache>
                <c:ptCount val="4"/>
                <c:pt idx="0">
                  <c:v>September</c:v>
                </c:pt>
                <c:pt idx="1">
                  <c:v>October</c:v>
                </c:pt>
                <c:pt idx="2">
                  <c:v>November</c:v>
                </c:pt>
                <c:pt idx="3">
                  <c:v>December</c:v>
                </c:pt>
              </c:strCache>
            </c:strRef>
          </c:cat>
          <c:val>
            <c:numRef>
              <c:f>'Jul25Check-Q2'!$B$9:$E$9</c:f>
              <c:numCache>
                <c:formatCode>0.00</c:formatCode>
                <c:ptCount val="4"/>
                <c:pt idx="0">
                  <c:v>3.7720181748625681</c:v>
                </c:pt>
                <c:pt idx="1">
                  <c:v>3.7720181748625681</c:v>
                </c:pt>
                <c:pt idx="2">
                  <c:v>3.7720181748625681</c:v>
                </c:pt>
                <c:pt idx="3">
                  <c:v>3.7720181748625681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AEE-471B-B210-9E0FA0E0D7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4299632"/>
        <c:axId val="1293686304"/>
      </c:lineChart>
      <c:catAx>
        <c:axId val="192429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686304"/>
        <c:crosses val="autoZero"/>
        <c:auto val="1"/>
        <c:lblAlgn val="ctr"/>
        <c:lblOffset val="100"/>
        <c:noMultiLvlLbl val="0"/>
      </c:catAx>
      <c:valAx>
        <c:axId val="1293686304"/>
        <c:scaling>
          <c:orientation val="minMax"/>
        </c:scaling>
        <c:delete val="0"/>
        <c:axPos val="l"/>
        <c:numFmt formatCode="0.00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29963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2019 Q1 Forecast</a:t>
            </a:r>
            <a:r>
              <a:rPr lang="en-US" b="1" baseline="0">
                <a:solidFill>
                  <a:sysClr val="windowText" lastClr="000000"/>
                </a:solidFill>
              </a:rPr>
              <a:t> Based on DFM Model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'Jul25Check-Q2'!$A$12</c:f>
              <c:strCache>
                <c:ptCount val="1"/>
                <c:pt idx="0">
                  <c:v>DFM Nowcast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'Jul25Check-Q2'!$B$11:$E$11</c:f>
              <c:strCache>
                <c:ptCount val="4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</c:strCache>
            </c:strRef>
          </c:cat>
          <c:val>
            <c:numRef>
              <c:f>'Jul25Check-Q2'!$B$12:$E$12</c:f>
              <c:numCache>
                <c:formatCode>0.00</c:formatCode>
                <c:ptCount val="4"/>
                <c:pt idx="0">
                  <c:v>1.75</c:v>
                </c:pt>
                <c:pt idx="1">
                  <c:v>2.16</c:v>
                </c:pt>
                <c:pt idx="2">
                  <c:v>0</c:v>
                </c:pt>
                <c:pt idx="3">
                  <c:v>0.56000000000000005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37-46E1-B355-F1A1EEEED20B}"/>
            </c:ext>
          </c:extLst>
        </c:ser>
        <c:ser>
          <c:idx val="1"/>
          <c:order val="1"/>
          <c:tx>
            <c:strRef>
              <c:f>'Jul25Check-Q2'!$A$13</c:f>
              <c:strCache>
                <c:ptCount val="1"/>
                <c:pt idx="0">
                  <c:v>GPM Nowcast*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'Jul25Check-Q2'!$B$11:$E$11</c:f>
              <c:strCache>
                <c:ptCount val="4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</c:strCache>
            </c:strRef>
          </c:cat>
          <c:val>
            <c:numRef>
              <c:f>'Jul25Check-Q2'!$B$13:$E$13</c:f>
              <c:numCache>
                <c:formatCode>0.00</c:formatCode>
                <c:ptCount val="4"/>
                <c:pt idx="0">
                  <c:v>1.5</c:v>
                </c:pt>
                <c:pt idx="1">
                  <c:v>2.9</c:v>
                </c:pt>
                <c:pt idx="2">
                  <c:v>1</c:v>
                </c:pt>
                <c:pt idx="3">
                  <c:v>1.1000000000000001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37-46E1-B355-F1A1EEEED20B}"/>
            </c:ext>
          </c:extLst>
        </c:ser>
        <c:ser>
          <c:idx val="2"/>
          <c:order val="2"/>
          <c:tx>
            <c:strRef>
              <c:f>'Jul25Check-Q2'!$A$14</c:f>
              <c:strCache>
                <c:ptCount val="1"/>
                <c:pt idx="0">
                  <c:v>Actual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cat>
            <c:strRef>
              <c:f>'Jul25Check-Q2'!$B$11:$E$11</c:f>
              <c:strCache>
                <c:ptCount val="4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</c:strCache>
            </c:strRef>
          </c:cat>
          <c:val>
            <c:numRef>
              <c:f>'Jul25Check-Q2'!$B$14:$E$14</c:f>
              <c:numCache>
                <c:formatCode>0.00</c:formatCode>
                <c:ptCount val="4"/>
                <c:pt idx="0">
                  <c:v>-1.47</c:v>
                </c:pt>
                <c:pt idx="1">
                  <c:v>-1.47</c:v>
                </c:pt>
                <c:pt idx="2">
                  <c:v>-1.47</c:v>
                </c:pt>
                <c:pt idx="3">
                  <c:v>-1.47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F37-46E1-B355-F1A1EEEED2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4299632"/>
        <c:axId val="1293686304"/>
      </c:lineChart>
      <c:catAx>
        <c:axId val="192429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686304"/>
        <c:crosses val="autoZero"/>
        <c:auto val="1"/>
        <c:lblAlgn val="ctr"/>
        <c:lblOffset val="100"/>
        <c:noMultiLvlLbl val="0"/>
      </c:catAx>
      <c:valAx>
        <c:axId val="1293686304"/>
        <c:scaling>
          <c:orientation val="minMax"/>
        </c:scaling>
        <c:delete val="0"/>
        <c:axPos val="l"/>
        <c:numFmt formatCode="0.00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29963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2019 Q2 Forecast</a:t>
            </a:r>
            <a:r>
              <a:rPr lang="en-US" b="1" baseline="0">
                <a:solidFill>
                  <a:sysClr val="windowText" lastClr="000000"/>
                </a:solidFill>
              </a:rPr>
              <a:t> Based on DFM Model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'Jul25Check-Q2'!$A$17</c:f>
              <c:strCache>
                <c:ptCount val="1"/>
                <c:pt idx="0">
                  <c:v>DFM Nowcast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'Jul25Check-Q2'!$B$16:$E$16</c:f>
              <c:strCache>
                <c:ptCount val="4"/>
                <c:pt idx="0">
                  <c:v>March</c:v>
                </c:pt>
                <c:pt idx="1">
                  <c:v>April</c:v>
                </c:pt>
                <c:pt idx="2">
                  <c:v>May</c:v>
                </c:pt>
                <c:pt idx="3">
                  <c:v>June</c:v>
                </c:pt>
              </c:strCache>
            </c:strRef>
          </c:cat>
          <c:val>
            <c:numRef>
              <c:f>'Jul25Check-Q2'!$B$17:$E$17</c:f>
              <c:numCache>
                <c:formatCode>0.00</c:formatCode>
                <c:ptCount val="4"/>
                <c:pt idx="0">
                  <c:v>4.84</c:v>
                </c:pt>
                <c:pt idx="1">
                  <c:v>4.43</c:v>
                </c:pt>
                <c:pt idx="2">
                  <c:v>3.57</c:v>
                </c:pt>
                <c:pt idx="3">
                  <c:v>2.79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5F-479A-BE26-3A505E30AE10}"/>
            </c:ext>
          </c:extLst>
        </c:ser>
        <c:ser>
          <c:idx val="1"/>
          <c:order val="1"/>
          <c:tx>
            <c:strRef>
              <c:f>'Jul25Check-Q2'!$A$18</c:f>
              <c:strCache>
                <c:ptCount val="1"/>
                <c:pt idx="0">
                  <c:v>GPM Nowcast*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'Jul25Check-Q2'!$B$16:$E$16</c:f>
              <c:strCache>
                <c:ptCount val="4"/>
                <c:pt idx="0">
                  <c:v>March</c:v>
                </c:pt>
                <c:pt idx="1">
                  <c:v>April</c:v>
                </c:pt>
                <c:pt idx="2">
                  <c:v>May</c:v>
                </c:pt>
                <c:pt idx="3">
                  <c:v>June</c:v>
                </c:pt>
              </c:strCache>
            </c:strRef>
          </c:cat>
          <c:val>
            <c:numRef>
              <c:f>'Jul25Check-Q2'!$B$18:$E$18</c:f>
              <c:numCache>
                <c:formatCode>0.00</c:formatCode>
                <c:ptCount val="4"/>
                <c:pt idx="0">
                  <c:v>2.9</c:v>
                </c:pt>
                <c:pt idx="1">
                  <c:v>2.9</c:v>
                </c:pt>
                <c:pt idx="2">
                  <c:v>4.0999999999999996</c:v>
                </c:pt>
                <c:pt idx="3">
                  <c:v>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05F-479A-BE26-3A505E30AE10}"/>
            </c:ext>
          </c:extLst>
        </c:ser>
        <c:ser>
          <c:idx val="2"/>
          <c:order val="2"/>
          <c:tx>
            <c:strRef>
              <c:f>'Jul25Check-Q2'!$A$19</c:f>
              <c:strCache>
                <c:ptCount val="1"/>
                <c:pt idx="0">
                  <c:v>Actual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cat>
            <c:strRef>
              <c:f>'Jul25Check-Q2'!$B$16:$E$16</c:f>
              <c:strCache>
                <c:ptCount val="4"/>
                <c:pt idx="0">
                  <c:v>March</c:v>
                </c:pt>
                <c:pt idx="1">
                  <c:v>April</c:v>
                </c:pt>
                <c:pt idx="2">
                  <c:v>May</c:v>
                </c:pt>
                <c:pt idx="3">
                  <c:v>June</c:v>
                </c:pt>
              </c:strCache>
            </c:strRef>
          </c:cat>
          <c:val>
            <c:numRef>
              <c:f>'Jul25Check-Q2'!$B$19:$E$19</c:f>
              <c:numCache>
                <c:formatCode>0.00</c:formatCode>
                <c:ptCount val="4"/>
                <c:pt idx="0">
                  <c:v>4.3600000000000003</c:v>
                </c:pt>
                <c:pt idx="1">
                  <c:v>4.3600000000000003</c:v>
                </c:pt>
                <c:pt idx="2">
                  <c:v>4.3600000000000003</c:v>
                </c:pt>
                <c:pt idx="3">
                  <c:v>4.3600000000000003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05F-479A-BE26-3A505E30AE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4299632"/>
        <c:axId val="1293686304"/>
      </c:lineChart>
      <c:catAx>
        <c:axId val="192429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686304"/>
        <c:crosses val="autoZero"/>
        <c:auto val="1"/>
        <c:lblAlgn val="ctr"/>
        <c:lblOffset val="100"/>
        <c:noMultiLvlLbl val="0"/>
      </c:catAx>
      <c:valAx>
        <c:axId val="1293686304"/>
        <c:scaling>
          <c:orientation val="minMax"/>
        </c:scaling>
        <c:delete val="0"/>
        <c:axPos val="l"/>
        <c:numFmt formatCode="0.00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29963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2019 Q3 Forecast</a:t>
            </a:r>
            <a:r>
              <a:rPr lang="en-US" b="1" baseline="0">
                <a:solidFill>
                  <a:sysClr val="windowText" lastClr="000000"/>
                </a:solidFill>
              </a:rPr>
              <a:t> Based on DFM Model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'Jul25Check-Q2'!$A$22</c:f>
              <c:strCache>
                <c:ptCount val="1"/>
                <c:pt idx="0">
                  <c:v>DFM Nowcast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'Jul25Check-Q2'!$B$21:$E$21</c:f>
              <c:strCache>
                <c:ptCount val="4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</c:strCache>
            </c:strRef>
          </c:cat>
          <c:val>
            <c:numRef>
              <c:f>'Jul25Check-Q2'!$B$22:$E$22</c:f>
              <c:numCache>
                <c:formatCode>0.00</c:formatCode>
                <c:ptCount val="4"/>
                <c:pt idx="0">
                  <c:v>1.3</c:v>
                </c:pt>
                <c:pt idx="1">
                  <c:v>1.28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E0-47C8-AC54-BE8B017F5A4B}"/>
            </c:ext>
          </c:extLst>
        </c:ser>
        <c:ser>
          <c:idx val="1"/>
          <c:order val="1"/>
          <c:tx>
            <c:strRef>
              <c:f>'Jul25Check-Q2'!$A$23</c:f>
              <c:strCache>
                <c:ptCount val="1"/>
                <c:pt idx="0">
                  <c:v>GPM Nowcast*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'Jul25Check-Q2'!$B$21:$E$21</c:f>
              <c:strCache>
                <c:ptCount val="4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</c:strCache>
            </c:strRef>
          </c:cat>
          <c:val>
            <c:numRef>
              <c:f>'Jul25Check-Q2'!$B$23:$E$23</c:f>
              <c:numCache>
                <c:formatCode>0.00</c:formatCode>
                <c:ptCount val="4"/>
                <c:pt idx="0">
                  <c:v>3.5</c:v>
                </c:pt>
                <c:pt idx="1">
                  <c:v>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AE0-47C8-AC54-BE8B017F5A4B}"/>
            </c:ext>
          </c:extLst>
        </c:ser>
        <c:ser>
          <c:idx val="2"/>
          <c:order val="2"/>
          <c:tx>
            <c:strRef>
              <c:f>'Jul25Check-Q2'!$A$24</c:f>
              <c:strCache>
                <c:ptCount val="1"/>
                <c:pt idx="0">
                  <c:v>Actual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cat>
            <c:strRef>
              <c:f>'Jul25Check-Q2'!$B$21:$E$21</c:f>
              <c:strCache>
                <c:ptCount val="4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</c:strCache>
            </c:strRef>
          </c:cat>
          <c:val>
            <c:numRef>
              <c:f>'Jul25Check-Q2'!$B$24:$E$24</c:f>
              <c:numCache>
                <c:formatCode>0.00</c:formatCode>
                <c:ptCount val="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AE0-47C8-AC54-BE8B017F5A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4299632"/>
        <c:axId val="1293686304"/>
      </c:lineChart>
      <c:catAx>
        <c:axId val="192429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686304"/>
        <c:crosses val="autoZero"/>
        <c:auto val="1"/>
        <c:lblAlgn val="ctr"/>
        <c:lblOffset val="100"/>
        <c:noMultiLvlLbl val="0"/>
      </c:catAx>
      <c:valAx>
        <c:axId val="1293686304"/>
        <c:scaling>
          <c:orientation val="minMax"/>
        </c:scaling>
        <c:delete val="0"/>
        <c:axPos val="l"/>
        <c:numFmt formatCode="0.00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29963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2018 Q3 Forecast</a:t>
            </a:r>
            <a:r>
              <a:rPr lang="en-US" b="1" baseline="0">
                <a:solidFill>
                  <a:sysClr val="windowText" lastClr="000000"/>
                </a:solidFill>
              </a:rPr>
              <a:t> Based on DFM Model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'Jul31Check-Consensus'!$A$2</c:f>
              <c:strCache>
                <c:ptCount val="1"/>
                <c:pt idx="0">
                  <c:v>DFM Nowcast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'Jul31Check-Consensus'!$B$1:$E$1</c:f>
              <c:strCache>
                <c:ptCount val="4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</c:strCache>
            </c:strRef>
          </c:cat>
          <c:val>
            <c:numRef>
              <c:f>'Jul31Check-Consensus'!$B$2:$E$2</c:f>
              <c:numCache>
                <c:formatCode>0.00</c:formatCode>
                <c:ptCount val="4"/>
                <c:pt idx="0">
                  <c:v>4.51</c:v>
                </c:pt>
                <c:pt idx="1">
                  <c:v>4.03</c:v>
                </c:pt>
                <c:pt idx="2">
                  <c:v>4.3899999999999997</c:v>
                </c:pt>
                <c:pt idx="3">
                  <c:v>3.81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58-460F-96B5-1AC9FD01A91C}"/>
            </c:ext>
          </c:extLst>
        </c:ser>
        <c:ser>
          <c:idx val="1"/>
          <c:order val="1"/>
          <c:tx>
            <c:strRef>
              <c:f>'Jul31Check-Consensus'!$A$3</c:f>
              <c:strCache>
                <c:ptCount val="1"/>
                <c:pt idx="0">
                  <c:v>GPM Nowcast*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'Jul31Check-Consensus'!$B$1:$E$1</c:f>
              <c:strCache>
                <c:ptCount val="4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</c:strCache>
            </c:strRef>
          </c:cat>
          <c:val>
            <c:numRef>
              <c:f>'Jul31Check-Consensus'!$B$3:$E$3</c:f>
              <c:numCache>
                <c:formatCode>0.00</c:formatCode>
                <c:ptCount val="4"/>
                <c:pt idx="0">
                  <c:v>3.5</c:v>
                </c:pt>
                <c:pt idx="1">
                  <c:v>3.6</c:v>
                </c:pt>
                <c:pt idx="2">
                  <c:v>3.1</c:v>
                </c:pt>
                <c:pt idx="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458-460F-96B5-1AC9FD01A91C}"/>
            </c:ext>
          </c:extLst>
        </c:ser>
        <c:ser>
          <c:idx val="2"/>
          <c:order val="2"/>
          <c:tx>
            <c:strRef>
              <c:f>'Jul31Check-Consensus'!$A$4</c:f>
              <c:strCache>
                <c:ptCount val="1"/>
                <c:pt idx="0">
                  <c:v>Actual</c:v>
                </c:pt>
              </c:strCache>
            </c:strRef>
          </c:tx>
          <c:spPr>
            <a:ln w="28575" cap="rnd">
              <a:noFill/>
              <a:prstDash val="sysDash"/>
              <a:round/>
            </a:ln>
            <a:effectLst/>
          </c:spPr>
          <c:marker>
            <c:symbol val="square"/>
            <c:size val="5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cat>
            <c:strRef>
              <c:f>'Jul31Check-Consensus'!$B$1:$E$1</c:f>
              <c:strCache>
                <c:ptCount val="4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</c:strCache>
            </c:strRef>
          </c:cat>
          <c:val>
            <c:numRef>
              <c:f>'Jul31Check-Consensus'!$B$4:$E$4</c:f>
              <c:numCache>
                <c:formatCode>0.00</c:formatCode>
                <c:ptCount val="4"/>
                <c:pt idx="0">
                  <c:v>2.3299274242445156</c:v>
                </c:pt>
                <c:pt idx="1">
                  <c:v>2.3299274242445156</c:v>
                </c:pt>
                <c:pt idx="2">
                  <c:v>2.3299274242445156</c:v>
                </c:pt>
                <c:pt idx="3">
                  <c:v>2.3299274242445156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458-460F-96B5-1AC9FD01A9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4299632"/>
        <c:axId val="1293686304"/>
      </c:lineChart>
      <c:catAx>
        <c:axId val="192429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686304"/>
        <c:crosses val="autoZero"/>
        <c:auto val="1"/>
        <c:lblAlgn val="ctr"/>
        <c:lblOffset val="100"/>
        <c:noMultiLvlLbl val="0"/>
      </c:catAx>
      <c:valAx>
        <c:axId val="1293686304"/>
        <c:scaling>
          <c:orientation val="minMax"/>
        </c:scaling>
        <c:delete val="0"/>
        <c:axPos val="l"/>
        <c:numFmt formatCode="0.00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29963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2018 Q4 Forecast</a:t>
            </a:r>
            <a:r>
              <a:rPr lang="en-US" b="1" baseline="0">
                <a:solidFill>
                  <a:sysClr val="windowText" lastClr="000000"/>
                </a:solidFill>
              </a:rPr>
              <a:t> Based on DFM Model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'Jul31Check-Consensus'!$A$7</c:f>
              <c:strCache>
                <c:ptCount val="1"/>
                <c:pt idx="0">
                  <c:v>DFM Nowcast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'Jul31Check-Consensus'!$B$6:$E$6</c:f>
              <c:strCache>
                <c:ptCount val="4"/>
                <c:pt idx="0">
                  <c:v>September</c:v>
                </c:pt>
                <c:pt idx="1">
                  <c:v>October</c:v>
                </c:pt>
                <c:pt idx="2">
                  <c:v>November</c:v>
                </c:pt>
                <c:pt idx="3">
                  <c:v>December</c:v>
                </c:pt>
              </c:strCache>
            </c:strRef>
          </c:cat>
          <c:val>
            <c:numRef>
              <c:f>'Jul31Check-Consensus'!$B$7:$E$7</c:f>
              <c:numCache>
                <c:formatCode>0.00</c:formatCode>
                <c:ptCount val="4"/>
                <c:pt idx="0">
                  <c:v>3</c:v>
                </c:pt>
                <c:pt idx="1">
                  <c:v>3.67</c:v>
                </c:pt>
                <c:pt idx="2">
                  <c:v>1.92</c:v>
                </c:pt>
                <c:pt idx="3">
                  <c:v>1.51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5F-4858-8D93-840E86CC5647}"/>
            </c:ext>
          </c:extLst>
        </c:ser>
        <c:ser>
          <c:idx val="1"/>
          <c:order val="1"/>
          <c:tx>
            <c:strRef>
              <c:f>'Jul31Check-Consensus'!$A$8</c:f>
              <c:strCache>
                <c:ptCount val="1"/>
                <c:pt idx="0">
                  <c:v>GPM Nowcast*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'Jul31Check-Consensus'!$B$6:$E$6</c:f>
              <c:strCache>
                <c:ptCount val="4"/>
                <c:pt idx="0">
                  <c:v>September</c:v>
                </c:pt>
                <c:pt idx="1">
                  <c:v>October</c:v>
                </c:pt>
                <c:pt idx="2">
                  <c:v>November</c:v>
                </c:pt>
                <c:pt idx="3">
                  <c:v>December</c:v>
                </c:pt>
              </c:strCache>
            </c:strRef>
          </c:cat>
          <c:val>
            <c:numRef>
              <c:f>'Jul31Check-Consensus'!$B$8:$E$8</c:f>
              <c:numCache>
                <c:formatCode>0.00</c:formatCode>
                <c:ptCount val="4"/>
                <c:pt idx="0">
                  <c:v>2.5</c:v>
                </c:pt>
                <c:pt idx="1">
                  <c:v>2.5</c:v>
                </c:pt>
                <c:pt idx="2">
                  <c:v>3.9</c:v>
                </c:pt>
                <c:pt idx="3">
                  <c:v>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05F-4858-8D93-840E86CC5647}"/>
            </c:ext>
          </c:extLst>
        </c:ser>
        <c:ser>
          <c:idx val="2"/>
          <c:order val="2"/>
          <c:tx>
            <c:strRef>
              <c:f>'Jul31Check-Consensus'!$A$9</c:f>
              <c:strCache>
                <c:ptCount val="1"/>
                <c:pt idx="0">
                  <c:v>Actual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cat>
            <c:strRef>
              <c:f>'Jul31Check-Consensus'!$B$6:$E$6</c:f>
              <c:strCache>
                <c:ptCount val="4"/>
                <c:pt idx="0">
                  <c:v>September</c:v>
                </c:pt>
                <c:pt idx="1">
                  <c:v>October</c:v>
                </c:pt>
                <c:pt idx="2">
                  <c:v>November</c:v>
                </c:pt>
                <c:pt idx="3">
                  <c:v>December</c:v>
                </c:pt>
              </c:strCache>
            </c:strRef>
          </c:cat>
          <c:val>
            <c:numRef>
              <c:f>'Jul31Check-Consensus'!$B$9:$E$9</c:f>
              <c:numCache>
                <c:formatCode>0.00</c:formatCode>
                <c:ptCount val="4"/>
                <c:pt idx="0">
                  <c:v>3.7720181748625681</c:v>
                </c:pt>
                <c:pt idx="1">
                  <c:v>3.7720181748625681</c:v>
                </c:pt>
                <c:pt idx="2">
                  <c:v>3.7720181748625681</c:v>
                </c:pt>
                <c:pt idx="3">
                  <c:v>3.7720181748625681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05F-4858-8D93-840E86CC56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4299632"/>
        <c:axId val="1293686304"/>
      </c:lineChart>
      <c:catAx>
        <c:axId val="192429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686304"/>
        <c:crosses val="autoZero"/>
        <c:auto val="1"/>
        <c:lblAlgn val="ctr"/>
        <c:lblOffset val="100"/>
        <c:noMultiLvlLbl val="0"/>
      </c:catAx>
      <c:valAx>
        <c:axId val="1293686304"/>
        <c:scaling>
          <c:orientation val="minMax"/>
        </c:scaling>
        <c:delete val="0"/>
        <c:axPos val="l"/>
        <c:numFmt formatCode="0.00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29963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2019 Q1 Forecast</a:t>
            </a:r>
            <a:r>
              <a:rPr lang="en-US" b="1" baseline="0">
                <a:solidFill>
                  <a:sysClr val="windowText" lastClr="000000"/>
                </a:solidFill>
              </a:rPr>
              <a:t> Based on DFM Model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'Jul31Check-Consensus'!$A$12</c:f>
              <c:strCache>
                <c:ptCount val="1"/>
                <c:pt idx="0">
                  <c:v>DFM Nowcast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'Jul31Check-Consensus'!$B$11:$E$11</c:f>
              <c:strCache>
                <c:ptCount val="4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</c:strCache>
            </c:strRef>
          </c:cat>
          <c:val>
            <c:numRef>
              <c:f>'Jul31Check-Consensus'!$B$12:$E$12</c:f>
              <c:numCache>
                <c:formatCode>0.00</c:formatCode>
                <c:ptCount val="4"/>
                <c:pt idx="0">
                  <c:v>1.69</c:v>
                </c:pt>
                <c:pt idx="1">
                  <c:v>2.2000000000000002</c:v>
                </c:pt>
                <c:pt idx="2">
                  <c:v>0</c:v>
                </c:pt>
                <c:pt idx="3">
                  <c:v>0.51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E7-474A-A353-9E7AA9814EC1}"/>
            </c:ext>
          </c:extLst>
        </c:ser>
        <c:ser>
          <c:idx val="1"/>
          <c:order val="1"/>
          <c:tx>
            <c:strRef>
              <c:f>'Jul31Check-Consensus'!$A$13</c:f>
              <c:strCache>
                <c:ptCount val="1"/>
                <c:pt idx="0">
                  <c:v>GPM Nowcast*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'Jul31Check-Consensus'!$B$11:$E$11</c:f>
              <c:strCache>
                <c:ptCount val="4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</c:strCache>
            </c:strRef>
          </c:cat>
          <c:val>
            <c:numRef>
              <c:f>'Jul31Check-Consensus'!$B$13:$E$13</c:f>
              <c:numCache>
                <c:formatCode>0.00</c:formatCode>
                <c:ptCount val="4"/>
                <c:pt idx="0">
                  <c:v>1.5</c:v>
                </c:pt>
                <c:pt idx="1">
                  <c:v>2.9</c:v>
                </c:pt>
                <c:pt idx="2">
                  <c:v>1</c:v>
                </c:pt>
                <c:pt idx="3">
                  <c:v>1.1000000000000001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E7-474A-A353-9E7AA9814EC1}"/>
            </c:ext>
          </c:extLst>
        </c:ser>
        <c:ser>
          <c:idx val="2"/>
          <c:order val="2"/>
          <c:tx>
            <c:strRef>
              <c:f>'Jul31Check-Consensus'!$A$14</c:f>
              <c:strCache>
                <c:ptCount val="1"/>
                <c:pt idx="0">
                  <c:v>Actual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cat>
            <c:strRef>
              <c:f>'Jul31Check-Consensus'!$B$11:$E$11</c:f>
              <c:strCache>
                <c:ptCount val="4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</c:strCache>
            </c:strRef>
          </c:cat>
          <c:val>
            <c:numRef>
              <c:f>'Jul31Check-Consensus'!$B$14:$E$14</c:f>
              <c:numCache>
                <c:formatCode>0.00</c:formatCode>
                <c:ptCount val="4"/>
                <c:pt idx="0">
                  <c:v>-1.47</c:v>
                </c:pt>
                <c:pt idx="1">
                  <c:v>-1.47</c:v>
                </c:pt>
                <c:pt idx="2">
                  <c:v>-1.47</c:v>
                </c:pt>
                <c:pt idx="3">
                  <c:v>-1.47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0E7-474A-A353-9E7AA9814E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4299632"/>
        <c:axId val="1293686304"/>
      </c:lineChart>
      <c:catAx>
        <c:axId val="192429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686304"/>
        <c:crosses val="autoZero"/>
        <c:auto val="1"/>
        <c:lblAlgn val="ctr"/>
        <c:lblOffset val="100"/>
        <c:noMultiLvlLbl val="0"/>
      </c:catAx>
      <c:valAx>
        <c:axId val="1293686304"/>
        <c:scaling>
          <c:orientation val="minMax"/>
        </c:scaling>
        <c:delete val="0"/>
        <c:axPos val="l"/>
        <c:numFmt formatCode="0.00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29963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2019 Q2 Forecast</a:t>
            </a:r>
            <a:r>
              <a:rPr lang="en-US" b="1" baseline="0">
                <a:solidFill>
                  <a:sysClr val="windowText" lastClr="000000"/>
                </a:solidFill>
              </a:rPr>
              <a:t> Based on DFM Model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'Jul31Check-Consensus'!$A$17</c:f>
              <c:strCache>
                <c:ptCount val="1"/>
                <c:pt idx="0">
                  <c:v>DFM Nowcast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'Jul31Check-Consensus'!$B$16:$E$16</c:f>
              <c:strCache>
                <c:ptCount val="4"/>
                <c:pt idx="0">
                  <c:v>March</c:v>
                </c:pt>
                <c:pt idx="1">
                  <c:v>April</c:v>
                </c:pt>
                <c:pt idx="2">
                  <c:v>May</c:v>
                </c:pt>
                <c:pt idx="3">
                  <c:v>June</c:v>
                </c:pt>
              </c:strCache>
            </c:strRef>
          </c:cat>
          <c:val>
            <c:numRef>
              <c:f>'Jul31Check-Consensus'!$B$17:$E$17</c:f>
              <c:numCache>
                <c:formatCode>0.00</c:formatCode>
                <c:ptCount val="4"/>
                <c:pt idx="0">
                  <c:v>5.21</c:v>
                </c:pt>
                <c:pt idx="1">
                  <c:v>4.66</c:v>
                </c:pt>
                <c:pt idx="2">
                  <c:v>3.91</c:v>
                </c:pt>
                <c:pt idx="3">
                  <c:v>3.79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7D-479B-9BF6-AE880CC82C2B}"/>
            </c:ext>
          </c:extLst>
        </c:ser>
        <c:ser>
          <c:idx val="1"/>
          <c:order val="1"/>
          <c:tx>
            <c:strRef>
              <c:f>'Jul31Check-Consensus'!$A$18</c:f>
              <c:strCache>
                <c:ptCount val="1"/>
                <c:pt idx="0">
                  <c:v>GPM Nowcast*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'Jul31Check-Consensus'!$B$16:$E$16</c:f>
              <c:strCache>
                <c:ptCount val="4"/>
                <c:pt idx="0">
                  <c:v>March</c:v>
                </c:pt>
                <c:pt idx="1">
                  <c:v>April</c:v>
                </c:pt>
                <c:pt idx="2">
                  <c:v>May</c:v>
                </c:pt>
                <c:pt idx="3">
                  <c:v>June</c:v>
                </c:pt>
              </c:strCache>
            </c:strRef>
          </c:cat>
          <c:val>
            <c:numRef>
              <c:f>'Jul31Check-Consensus'!$B$18:$E$18</c:f>
              <c:numCache>
                <c:formatCode>0.00</c:formatCode>
                <c:ptCount val="4"/>
                <c:pt idx="0">
                  <c:v>2.9</c:v>
                </c:pt>
                <c:pt idx="1">
                  <c:v>2.9</c:v>
                </c:pt>
                <c:pt idx="2">
                  <c:v>4.0999999999999996</c:v>
                </c:pt>
                <c:pt idx="3">
                  <c:v>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7D-479B-9BF6-AE880CC82C2B}"/>
            </c:ext>
          </c:extLst>
        </c:ser>
        <c:ser>
          <c:idx val="2"/>
          <c:order val="2"/>
          <c:tx>
            <c:strRef>
              <c:f>'Jul31Check-Consensus'!$A$19</c:f>
              <c:strCache>
                <c:ptCount val="1"/>
                <c:pt idx="0">
                  <c:v>Actual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cat>
            <c:strRef>
              <c:f>'Jul31Check-Consensus'!$B$16:$E$16</c:f>
              <c:strCache>
                <c:ptCount val="4"/>
                <c:pt idx="0">
                  <c:v>March</c:v>
                </c:pt>
                <c:pt idx="1">
                  <c:v>April</c:v>
                </c:pt>
                <c:pt idx="2">
                  <c:v>May</c:v>
                </c:pt>
                <c:pt idx="3">
                  <c:v>June</c:v>
                </c:pt>
              </c:strCache>
            </c:strRef>
          </c:cat>
          <c:val>
            <c:numRef>
              <c:f>'Jul31Check-Consensus'!$B$19:$E$19</c:f>
              <c:numCache>
                <c:formatCode>0.00</c:formatCode>
                <c:ptCount val="4"/>
                <c:pt idx="0">
                  <c:v>4.3600000000000003</c:v>
                </c:pt>
                <c:pt idx="1">
                  <c:v>4.3600000000000003</c:v>
                </c:pt>
                <c:pt idx="2">
                  <c:v>4.3600000000000003</c:v>
                </c:pt>
                <c:pt idx="3">
                  <c:v>4.3600000000000003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7D-479B-9BF6-AE880CC82C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4299632"/>
        <c:axId val="1293686304"/>
      </c:lineChart>
      <c:catAx>
        <c:axId val="192429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686304"/>
        <c:crosses val="autoZero"/>
        <c:auto val="1"/>
        <c:lblAlgn val="ctr"/>
        <c:lblOffset val="100"/>
        <c:noMultiLvlLbl val="0"/>
      </c:catAx>
      <c:valAx>
        <c:axId val="1293686304"/>
        <c:scaling>
          <c:orientation val="minMax"/>
        </c:scaling>
        <c:delete val="0"/>
        <c:axPos val="l"/>
        <c:numFmt formatCode="0.00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29963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2019 Q3 Forecast</a:t>
            </a:r>
            <a:r>
              <a:rPr lang="en-US" b="1" baseline="0">
                <a:solidFill>
                  <a:sysClr val="windowText" lastClr="000000"/>
                </a:solidFill>
              </a:rPr>
              <a:t> Based on DFM Model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'Jul31Check-Consensus'!$A$22</c:f>
              <c:strCache>
                <c:ptCount val="1"/>
                <c:pt idx="0">
                  <c:v>DFM Nowcast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'Jul31Check-Consensus'!$B$21:$E$21</c:f>
              <c:strCache>
                <c:ptCount val="4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</c:strCache>
            </c:strRef>
          </c:cat>
          <c:val>
            <c:numRef>
              <c:f>'Jul31Check-Consensus'!$B$22:$E$22</c:f>
              <c:numCache>
                <c:formatCode>0.00</c:formatCode>
                <c:ptCount val="4"/>
                <c:pt idx="0">
                  <c:v>2.88</c:v>
                </c:pt>
                <c:pt idx="1">
                  <c:v>3.57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92-4341-9FD3-5D128A30DFFD}"/>
            </c:ext>
          </c:extLst>
        </c:ser>
        <c:ser>
          <c:idx val="1"/>
          <c:order val="1"/>
          <c:tx>
            <c:strRef>
              <c:f>'Jul31Check-Consensus'!$A$23</c:f>
              <c:strCache>
                <c:ptCount val="1"/>
                <c:pt idx="0">
                  <c:v>GPM Nowcast*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'Jul31Check-Consensus'!$B$21:$E$21</c:f>
              <c:strCache>
                <c:ptCount val="4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</c:strCache>
            </c:strRef>
          </c:cat>
          <c:val>
            <c:numRef>
              <c:f>'Jul31Check-Consensus'!$B$23:$E$23</c:f>
              <c:numCache>
                <c:formatCode>0.00</c:formatCode>
                <c:ptCount val="4"/>
                <c:pt idx="0">
                  <c:v>3.5</c:v>
                </c:pt>
                <c:pt idx="1">
                  <c:v>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D92-4341-9FD3-5D128A30DFFD}"/>
            </c:ext>
          </c:extLst>
        </c:ser>
        <c:ser>
          <c:idx val="2"/>
          <c:order val="2"/>
          <c:tx>
            <c:strRef>
              <c:f>'Jul31Check-Consensus'!$A$24</c:f>
              <c:strCache>
                <c:ptCount val="1"/>
                <c:pt idx="0">
                  <c:v>Actual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cat>
            <c:strRef>
              <c:f>'Jul31Check-Consensus'!$B$21:$E$21</c:f>
              <c:strCache>
                <c:ptCount val="4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</c:strCache>
            </c:strRef>
          </c:cat>
          <c:val>
            <c:numRef>
              <c:f>'Jul31Check-Consensus'!$B$24:$E$24</c:f>
              <c:numCache>
                <c:formatCode>0.00</c:formatCode>
                <c:ptCount val="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D92-4341-9FD3-5D128A30DF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4299632"/>
        <c:axId val="1293686304"/>
      </c:lineChart>
      <c:catAx>
        <c:axId val="192429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686304"/>
        <c:crosses val="autoZero"/>
        <c:auto val="1"/>
        <c:lblAlgn val="ctr"/>
        <c:lblOffset val="100"/>
        <c:noMultiLvlLbl val="0"/>
      </c:catAx>
      <c:valAx>
        <c:axId val="1293686304"/>
        <c:scaling>
          <c:orientation val="minMax"/>
        </c:scaling>
        <c:delete val="0"/>
        <c:axPos val="l"/>
        <c:numFmt formatCode="0.00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29963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2018 Q3 Forecast</a:t>
            </a:r>
            <a:r>
              <a:rPr lang="en-US" b="1" baseline="0">
                <a:solidFill>
                  <a:sysClr val="windowText" lastClr="000000"/>
                </a:solidFill>
              </a:rPr>
              <a:t> Based on DFM Model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'Aug2-Volatility'!$A$2</c:f>
              <c:strCache>
                <c:ptCount val="1"/>
                <c:pt idx="0">
                  <c:v>DFM Nowcast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'Aug2-Volatility'!$B$1:$E$1</c:f>
              <c:strCache>
                <c:ptCount val="4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</c:strCache>
            </c:strRef>
          </c:cat>
          <c:val>
            <c:numRef>
              <c:f>'Aug2-Volatility'!$B$2:$E$2</c:f>
              <c:numCache>
                <c:formatCode>0.00</c:formatCode>
                <c:ptCount val="4"/>
                <c:pt idx="0">
                  <c:v>4.34</c:v>
                </c:pt>
                <c:pt idx="1">
                  <c:v>3.93</c:v>
                </c:pt>
                <c:pt idx="2">
                  <c:v>4.3600000000000003</c:v>
                </c:pt>
                <c:pt idx="3">
                  <c:v>3.73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61-4DFC-970C-67A0845A7568}"/>
            </c:ext>
          </c:extLst>
        </c:ser>
        <c:ser>
          <c:idx val="1"/>
          <c:order val="1"/>
          <c:tx>
            <c:strRef>
              <c:f>'Aug2-Volatility'!$A$3</c:f>
              <c:strCache>
                <c:ptCount val="1"/>
                <c:pt idx="0">
                  <c:v>GPM Nowcast*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'Aug2-Volatility'!$B$1:$E$1</c:f>
              <c:strCache>
                <c:ptCount val="4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</c:strCache>
            </c:strRef>
          </c:cat>
          <c:val>
            <c:numRef>
              <c:f>'Aug2-Volatility'!$B$3:$E$3</c:f>
              <c:numCache>
                <c:formatCode>0.00</c:formatCode>
                <c:ptCount val="4"/>
                <c:pt idx="0">
                  <c:v>3.5</c:v>
                </c:pt>
                <c:pt idx="1">
                  <c:v>3.6</c:v>
                </c:pt>
                <c:pt idx="2">
                  <c:v>3.1</c:v>
                </c:pt>
                <c:pt idx="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61-4DFC-970C-67A0845A7568}"/>
            </c:ext>
          </c:extLst>
        </c:ser>
        <c:ser>
          <c:idx val="2"/>
          <c:order val="2"/>
          <c:tx>
            <c:strRef>
              <c:f>'Aug2-Volatility'!$A$4</c:f>
              <c:strCache>
                <c:ptCount val="1"/>
                <c:pt idx="0">
                  <c:v>Actual</c:v>
                </c:pt>
              </c:strCache>
            </c:strRef>
          </c:tx>
          <c:spPr>
            <a:ln w="28575" cap="rnd">
              <a:noFill/>
              <a:prstDash val="sysDash"/>
              <a:round/>
            </a:ln>
            <a:effectLst/>
          </c:spPr>
          <c:marker>
            <c:symbol val="square"/>
            <c:size val="5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cat>
            <c:strRef>
              <c:f>'Aug2-Volatility'!$B$1:$E$1</c:f>
              <c:strCache>
                <c:ptCount val="4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</c:strCache>
            </c:strRef>
          </c:cat>
          <c:val>
            <c:numRef>
              <c:f>'Aug2-Volatility'!$B$4:$E$4</c:f>
              <c:numCache>
                <c:formatCode>0.00</c:formatCode>
                <c:ptCount val="4"/>
                <c:pt idx="0">
                  <c:v>2.3299274242445156</c:v>
                </c:pt>
                <c:pt idx="1">
                  <c:v>2.3299274242445156</c:v>
                </c:pt>
                <c:pt idx="2">
                  <c:v>2.3299274242445156</c:v>
                </c:pt>
                <c:pt idx="3">
                  <c:v>2.3299274242445156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461-4DFC-970C-67A0845A75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4299632"/>
        <c:axId val="1293686304"/>
      </c:lineChart>
      <c:catAx>
        <c:axId val="192429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686304"/>
        <c:crosses val="autoZero"/>
        <c:auto val="1"/>
        <c:lblAlgn val="ctr"/>
        <c:lblOffset val="100"/>
        <c:noMultiLvlLbl val="0"/>
      </c:catAx>
      <c:valAx>
        <c:axId val="1293686304"/>
        <c:scaling>
          <c:orientation val="minMax"/>
        </c:scaling>
        <c:delete val="0"/>
        <c:axPos val="l"/>
        <c:numFmt formatCode="0.00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29963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2018 Q4 Forecast</a:t>
            </a:r>
            <a:r>
              <a:rPr lang="en-US" b="1" baseline="0">
                <a:solidFill>
                  <a:sysClr val="windowText" lastClr="000000"/>
                </a:solidFill>
              </a:rPr>
              <a:t> Based on DFM Model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'Aug2-Volatility'!$A$7</c:f>
              <c:strCache>
                <c:ptCount val="1"/>
                <c:pt idx="0">
                  <c:v>DFM Nowcast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'Aug2-Volatility'!$B$6:$E$6</c:f>
              <c:strCache>
                <c:ptCount val="4"/>
                <c:pt idx="0">
                  <c:v>September</c:v>
                </c:pt>
                <c:pt idx="1">
                  <c:v>October</c:v>
                </c:pt>
                <c:pt idx="2">
                  <c:v>November</c:v>
                </c:pt>
                <c:pt idx="3">
                  <c:v>December</c:v>
                </c:pt>
              </c:strCache>
            </c:strRef>
          </c:cat>
          <c:val>
            <c:numRef>
              <c:f>'Aug2-Volatility'!$B$7:$E$7</c:f>
              <c:numCache>
                <c:formatCode>0.00</c:formatCode>
                <c:ptCount val="4"/>
                <c:pt idx="0">
                  <c:v>3</c:v>
                </c:pt>
                <c:pt idx="1">
                  <c:v>3.88</c:v>
                </c:pt>
                <c:pt idx="2">
                  <c:v>2.19</c:v>
                </c:pt>
                <c:pt idx="3">
                  <c:v>1.84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59-444B-AE61-F5D25DFC6B1D}"/>
            </c:ext>
          </c:extLst>
        </c:ser>
        <c:ser>
          <c:idx val="1"/>
          <c:order val="1"/>
          <c:tx>
            <c:strRef>
              <c:f>'Aug2-Volatility'!$A$8</c:f>
              <c:strCache>
                <c:ptCount val="1"/>
                <c:pt idx="0">
                  <c:v>GPM Nowcast*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'Aug2-Volatility'!$B$6:$E$6</c:f>
              <c:strCache>
                <c:ptCount val="4"/>
                <c:pt idx="0">
                  <c:v>September</c:v>
                </c:pt>
                <c:pt idx="1">
                  <c:v>October</c:v>
                </c:pt>
                <c:pt idx="2">
                  <c:v>November</c:v>
                </c:pt>
                <c:pt idx="3">
                  <c:v>December</c:v>
                </c:pt>
              </c:strCache>
            </c:strRef>
          </c:cat>
          <c:val>
            <c:numRef>
              <c:f>'Aug2-Volatility'!$B$8:$E$8</c:f>
              <c:numCache>
                <c:formatCode>0.00</c:formatCode>
                <c:ptCount val="4"/>
                <c:pt idx="0">
                  <c:v>2.5</c:v>
                </c:pt>
                <c:pt idx="1">
                  <c:v>2.5</c:v>
                </c:pt>
                <c:pt idx="2">
                  <c:v>3.9</c:v>
                </c:pt>
                <c:pt idx="3">
                  <c:v>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59-444B-AE61-F5D25DFC6B1D}"/>
            </c:ext>
          </c:extLst>
        </c:ser>
        <c:ser>
          <c:idx val="2"/>
          <c:order val="2"/>
          <c:tx>
            <c:strRef>
              <c:f>'Aug2-Volatility'!$A$9</c:f>
              <c:strCache>
                <c:ptCount val="1"/>
                <c:pt idx="0">
                  <c:v>Actual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cat>
            <c:strRef>
              <c:f>'Aug2-Volatility'!$B$6:$E$6</c:f>
              <c:strCache>
                <c:ptCount val="4"/>
                <c:pt idx="0">
                  <c:v>September</c:v>
                </c:pt>
                <c:pt idx="1">
                  <c:v>October</c:v>
                </c:pt>
                <c:pt idx="2">
                  <c:v>November</c:v>
                </c:pt>
                <c:pt idx="3">
                  <c:v>December</c:v>
                </c:pt>
              </c:strCache>
            </c:strRef>
          </c:cat>
          <c:val>
            <c:numRef>
              <c:f>'Aug2-Volatility'!$B$9:$E$9</c:f>
              <c:numCache>
                <c:formatCode>0.00</c:formatCode>
                <c:ptCount val="4"/>
                <c:pt idx="0">
                  <c:v>3.7720181748625681</c:v>
                </c:pt>
                <c:pt idx="1">
                  <c:v>3.7720181748625681</c:v>
                </c:pt>
                <c:pt idx="2">
                  <c:v>3.7720181748625681</c:v>
                </c:pt>
                <c:pt idx="3">
                  <c:v>3.7720181748625681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759-444B-AE61-F5D25DFC6B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4299632"/>
        <c:axId val="1293686304"/>
      </c:lineChart>
      <c:catAx>
        <c:axId val="192429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686304"/>
        <c:crosses val="autoZero"/>
        <c:auto val="1"/>
        <c:lblAlgn val="ctr"/>
        <c:lblOffset val="100"/>
        <c:noMultiLvlLbl val="0"/>
      </c:catAx>
      <c:valAx>
        <c:axId val="1293686304"/>
        <c:scaling>
          <c:orientation val="minMax"/>
        </c:scaling>
        <c:delete val="0"/>
        <c:axPos val="l"/>
        <c:numFmt formatCode="0.00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29963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2019 Q1 Forecast</a:t>
            </a:r>
            <a:r>
              <a:rPr lang="en-US" b="1" baseline="0">
                <a:solidFill>
                  <a:sysClr val="windowText" lastClr="000000"/>
                </a:solidFill>
              </a:rPr>
              <a:t> Based on DFM Model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'Aug2-Volatility'!$A$12</c:f>
              <c:strCache>
                <c:ptCount val="1"/>
                <c:pt idx="0">
                  <c:v>DFM Nowcast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'Aug2-Volatility'!$B$11:$E$11</c:f>
              <c:strCache>
                <c:ptCount val="4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</c:strCache>
            </c:strRef>
          </c:cat>
          <c:val>
            <c:numRef>
              <c:f>'Aug2-Volatility'!$B$12:$E$12</c:f>
              <c:numCache>
                <c:formatCode>0.00</c:formatCode>
                <c:ptCount val="4"/>
                <c:pt idx="0">
                  <c:v>1.71</c:v>
                </c:pt>
                <c:pt idx="1">
                  <c:v>2.39</c:v>
                </c:pt>
                <c:pt idx="2">
                  <c:v>0.05</c:v>
                </c:pt>
                <c:pt idx="3">
                  <c:v>0.53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1D-4079-B666-08BD0C781D21}"/>
            </c:ext>
          </c:extLst>
        </c:ser>
        <c:ser>
          <c:idx val="1"/>
          <c:order val="1"/>
          <c:tx>
            <c:strRef>
              <c:f>'Aug2-Volatility'!$A$13</c:f>
              <c:strCache>
                <c:ptCount val="1"/>
                <c:pt idx="0">
                  <c:v>GPM Nowcast*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'Aug2-Volatility'!$B$11:$E$11</c:f>
              <c:strCache>
                <c:ptCount val="4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</c:strCache>
            </c:strRef>
          </c:cat>
          <c:val>
            <c:numRef>
              <c:f>'Aug2-Volatility'!$B$13:$E$13</c:f>
              <c:numCache>
                <c:formatCode>0.00</c:formatCode>
                <c:ptCount val="4"/>
                <c:pt idx="0">
                  <c:v>1.5</c:v>
                </c:pt>
                <c:pt idx="1">
                  <c:v>2.9</c:v>
                </c:pt>
                <c:pt idx="2">
                  <c:v>1</c:v>
                </c:pt>
                <c:pt idx="3">
                  <c:v>1.1000000000000001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1D-4079-B666-08BD0C781D21}"/>
            </c:ext>
          </c:extLst>
        </c:ser>
        <c:ser>
          <c:idx val="2"/>
          <c:order val="2"/>
          <c:tx>
            <c:strRef>
              <c:f>'Aug2-Volatility'!$A$14</c:f>
              <c:strCache>
                <c:ptCount val="1"/>
                <c:pt idx="0">
                  <c:v>Actual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cat>
            <c:strRef>
              <c:f>'Aug2-Volatility'!$B$11:$E$11</c:f>
              <c:strCache>
                <c:ptCount val="4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</c:strCache>
            </c:strRef>
          </c:cat>
          <c:val>
            <c:numRef>
              <c:f>'Aug2-Volatility'!$B$14:$E$14</c:f>
              <c:numCache>
                <c:formatCode>0.00</c:formatCode>
                <c:ptCount val="4"/>
                <c:pt idx="0">
                  <c:v>-1.47</c:v>
                </c:pt>
                <c:pt idx="1">
                  <c:v>-1.47</c:v>
                </c:pt>
                <c:pt idx="2">
                  <c:v>-1.47</c:v>
                </c:pt>
                <c:pt idx="3">
                  <c:v>-1.47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11D-4079-B666-08BD0C781D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4299632"/>
        <c:axId val="1293686304"/>
      </c:lineChart>
      <c:catAx>
        <c:axId val="192429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686304"/>
        <c:crosses val="autoZero"/>
        <c:auto val="1"/>
        <c:lblAlgn val="ctr"/>
        <c:lblOffset val="100"/>
        <c:noMultiLvlLbl val="0"/>
      </c:catAx>
      <c:valAx>
        <c:axId val="1293686304"/>
        <c:scaling>
          <c:orientation val="minMax"/>
        </c:scaling>
        <c:delete val="0"/>
        <c:axPos val="l"/>
        <c:numFmt formatCode="0.00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29963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2019 Q2 Forecast</a:t>
            </a:r>
            <a:r>
              <a:rPr lang="en-US" b="1" baseline="0">
                <a:solidFill>
                  <a:sysClr val="windowText" lastClr="000000"/>
                </a:solidFill>
              </a:rPr>
              <a:t> Based on DFM Model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'Aug2-Volatility'!$A$17</c:f>
              <c:strCache>
                <c:ptCount val="1"/>
                <c:pt idx="0">
                  <c:v>DFM Nowcast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'Aug2-Volatility'!$B$16:$E$16</c:f>
              <c:strCache>
                <c:ptCount val="4"/>
                <c:pt idx="0">
                  <c:v>March</c:v>
                </c:pt>
                <c:pt idx="1">
                  <c:v>April</c:v>
                </c:pt>
                <c:pt idx="2">
                  <c:v>May</c:v>
                </c:pt>
                <c:pt idx="3">
                  <c:v>June</c:v>
                </c:pt>
              </c:strCache>
            </c:strRef>
          </c:cat>
          <c:val>
            <c:numRef>
              <c:f>'Aug2-Volatility'!$B$17:$E$17</c:f>
              <c:numCache>
                <c:formatCode>0.00</c:formatCode>
                <c:ptCount val="4"/>
                <c:pt idx="0">
                  <c:v>4.99</c:v>
                </c:pt>
                <c:pt idx="1">
                  <c:v>4.67</c:v>
                </c:pt>
                <c:pt idx="2">
                  <c:v>3.92</c:v>
                </c:pt>
                <c:pt idx="3">
                  <c:v>3.79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19-48FB-934F-FE7DADBB6404}"/>
            </c:ext>
          </c:extLst>
        </c:ser>
        <c:ser>
          <c:idx val="1"/>
          <c:order val="1"/>
          <c:tx>
            <c:strRef>
              <c:f>'Aug2-Volatility'!$A$18</c:f>
              <c:strCache>
                <c:ptCount val="1"/>
                <c:pt idx="0">
                  <c:v>GPM Nowcast*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'Aug2-Volatility'!$B$16:$E$16</c:f>
              <c:strCache>
                <c:ptCount val="4"/>
                <c:pt idx="0">
                  <c:v>March</c:v>
                </c:pt>
                <c:pt idx="1">
                  <c:v>April</c:v>
                </c:pt>
                <c:pt idx="2">
                  <c:v>May</c:v>
                </c:pt>
                <c:pt idx="3">
                  <c:v>June</c:v>
                </c:pt>
              </c:strCache>
            </c:strRef>
          </c:cat>
          <c:val>
            <c:numRef>
              <c:f>'Aug2-Volatility'!$B$18:$E$18</c:f>
              <c:numCache>
                <c:formatCode>0.00</c:formatCode>
                <c:ptCount val="4"/>
                <c:pt idx="0">
                  <c:v>2.9</c:v>
                </c:pt>
                <c:pt idx="1">
                  <c:v>2.9</c:v>
                </c:pt>
                <c:pt idx="2">
                  <c:v>4.0999999999999996</c:v>
                </c:pt>
                <c:pt idx="3">
                  <c:v>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E19-48FB-934F-FE7DADBB6404}"/>
            </c:ext>
          </c:extLst>
        </c:ser>
        <c:ser>
          <c:idx val="2"/>
          <c:order val="2"/>
          <c:tx>
            <c:strRef>
              <c:f>'Aug2-Volatility'!$A$19</c:f>
              <c:strCache>
                <c:ptCount val="1"/>
                <c:pt idx="0">
                  <c:v>Actual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cat>
            <c:strRef>
              <c:f>'Aug2-Volatility'!$B$16:$E$16</c:f>
              <c:strCache>
                <c:ptCount val="4"/>
                <c:pt idx="0">
                  <c:v>March</c:v>
                </c:pt>
                <c:pt idx="1">
                  <c:v>April</c:v>
                </c:pt>
                <c:pt idx="2">
                  <c:v>May</c:v>
                </c:pt>
                <c:pt idx="3">
                  <c:v>June</c:v>
                </c:pt>
              </c:strCache>
            </c:strRef>
          </c:cat>
          <c:val>
            <c:numRef>
              <c:f>'Aug2-Volatility'!$B$19:$E$19</c:f>
              <c:numCache>
                <c:formatCode>0.00</c:formatCode>
                <c:ptCount val="4"/>
                <c:pt idx="0">
                  <c:v>4.3600000000000003</c:v>
                </c:pt>
                <c:pt idx="1">
                  <c:v>4.3600000000000003</c:v>
                </c:pt>
                <c:pt idx="2">
                  <c:v>4.3600000000000003</c:v>
                </c:pt>
                <c:pt idx="3">
                  <c:v>4.3600000000000003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E19-48FB-934F-FE7DADBB64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4299632"/>
        <c:axId val="1293686304"/>
      </c:lineChart>
      <c:catAx>
        <c:axId val="192429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686304"/>
        <c:crosses val="autoZero"/>
        <c:auto val="1"/>
        <c:lblAlgn val="ctr"/>
        <c:lblOffset val="100"/>
        <c:noMultiLvlLbl val="0"/>
      </c:catAx>
      <c:valAx>
        <c:axId val="1293686304"/>
        <c:scaling>
          <c:orientation val="minMax"/>
        </c:scaling>
        <c:delete val="0"/>
        <c:axPos val="l"/>
        <c:numFmt formatCode="0.00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29963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2019 Q3 Forecast</a:t>
            </a:r>
            <a:r>
              <a:rPr lang="en-US" b="1" baseline="0">
                <a:solidFill>
                  <a:sysClr val="windowText" lastClr="000000"/>
                </a:solidFill>
              </a:rPr>
              <a:t> Based on DFM Model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'Aug2-Volatility'!$A$22</c:f>
              <c:strCache>
                <c:ptCount val="1"/>
                <c:pt idx="0">
                  <c:v>DFM Nowcast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'Aug2-Volatility'!$B$21:$E$21</c:f>
              <c:strCache>
                <c:ptCount val="4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</c:strCache>
            </c:strRef>
          </c:cat>
          <c:val>
            <c:numRef>
              <c:f>'Aug2-Volatility'!$B$22:$E$22</c:f>
              <c:numCache>
                <c:formatCode>0.00</c:formatCode>
                <c:ptCount val="4"/>
                <c:pt idx="0">
                  <c:v>2.82</c:v>
                </c:pt>
                <c:pt idx="1">
                  <c:v>2.73</c:v>
                </c:pt>
                <c:pt idx="2">
                  <c:v>3.62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94-4FBB-B619-C6A8CF8293E1}"/>
            </c:ext>
          </c:extLst>
        </c:ser>
        <c:ser>
          <c:idx val="1"/>
          <c:order val="1"/>
          <c:tx>
            <c:strRef>
              <c:f>'Aug2-Volatility'!$A$23</c:f>
              <c:strCache>
                <c:ptCount val="1"/>
                <c:pt idx="0">
                  <c:v>GPM Nowcast*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'Aug2-Volatility'!$B$21:$E$21</c:f>
              <c:strCache>
                <c:ptCount val="4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</c:strCache>
            </c:strRef>
          </c:cat>
          <c:val>
            <c:numRef>
              <c:f>'Aug2-Volatility'!$B$23:$E$23</c:f>
              <c:numCache>
                <c:formatCode>0.00</c:formatCode>
                <c:ptCount val="4"/>
                <c:pt idx="0">
                  <c:v>3.5</c:v>
                </c:pt>
                <c:pt idx="1">
                  <c:v>3.5</c:v>
                </c:pt>
                <c:pt idx="2">
                  <c:v>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194-4FBB-B619-C6A8CF8293E1}"/>
            </c:ext>
          </c:extLst>
        </c:ser>
        <c:ser>
          <c:idx val="2"/>
          <c:order val="2"/>
          <c:tx>
            <c:strRef>
              <c:f>'Aug2-Volatility'!$A$24</c:f>
              <c:strCache>
                <c:ptCount val="1"/>
                <c:pt idx="0">
                  <c:v>Actual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cat>
            <c:strRef>
              <c:f>'Aug2-Volatility'!$B$21:$E$21</c:f>
              <c:strCache>
                <c:ptCount val="4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</c:strCache>
            </c:strRef>
          </c:cat>
          <c:val>
            <c:numRef>
              <c:f>'Aug2-Volatility'!$B$24:$E$24</c:f>
              <c:numCache>
                <c:formatCode>0.00</c:formatCode>
                <c:ptCount val="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194-4FBB-B619-C6A8CF8293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4299632"/>
        <c:axId val="1293686304"/>
      </c:lineChart>
      <c:catAx>
        <c:axId val="192429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686304"/>
        <c:crosses val="autoZero"/>
        <c:auto val="1"/>
        <c:lblAlgn val="ctr"/>
        <c:lblOffset val="100"/>
        <c:noMultiLvlLbl val="0"/>
      </c:catAx>
      <c:valAx>
        <c:axId val="1293686304"/>
        <c:scaling>
          <c:orientation val="minMax"/>
        </c:scaling>
        <c:delete val="0"/>
        <c:axPos val="l"/>
        <c:numFmt formatCode="0.00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29963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2018 Q3 Forecast</a:t>
            </a:r>
            <a:r>
              <a:rPr lang="en-US" b="1" baseline="0">
                <a:solidFill>
                  <a:sysClr val="windowText" lastClr="000000"/>
                </a:solidFill>
              </a:rPr>
              <a:t> Based on DFM Model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'Aug12'!$A$2</c:f>
              <c:strCache>
                <c:ptCount val="1"/>
                <c:pt idx="0">
                  <c:v>DFM Nowcast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'Aug12'!$B$1:$E$1</c:f>
              <c:strCache>
                <c:ptCount val="4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</c:strCache>
            </c:strRef>
          </c:cat>
          <c:val>
            <c:numRef>
              <c:f>'Aug12'!$B$2:$E$2</c:f>
              <c:numCache>
                <c:formatCode>0.00</c:formatCode>
                <c:ptCount val="4"/>
                <c:pt idx="0">
                  <c:v>5.13</c:v>
                </c:pt>
                <c:pt idx="1">
                  <c:v>4.5199999999999996</c:v>
                </c:pt>
                <c:pt idx="2">
                  <c:v>3.79</c:v>
                </c:pt>
                <c:pt idx="3">
                  <c:v>4.3600000000000003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BF-45E5-84FC-4FA4CD34705B}"/>
            </c:ext>
          </c:extLst>
        </c:ser>
        <c:ser>
          <c:idx val="1"/>
          <c:order val="1"/>
          <c:tx>
            <c:strRef>
              <c:f>'Aug12'!$A$3</c:f>
              <c:strCache>
                <c:ptCount val="1"/>
                <c:pt idx="0">
                  <c:v>GPM Nowcast*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'Aug12'!$B$1:$E$1</c:f>
              <c:strCache>
                <c:ptCount val="4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</c:strCache>
            </c:strRef>
          </c:cat>
          <c:val>
            <c:numRef>
              <c:f>'Aug12'!$B$3:$E$3</c:f>
              <c:numCache>
                <c:formatCode>0.00</c:formatCode>
                <c:ptCount val="4"/>
                <c:pt idx="0">
                  <c:v>3.5</c:v>
                </c:pt>
                <c:pt idx="1">
                  <c:v>3.6</c:v>
                </c:pt>
                <c:pt idx="2">
                  <c:v>3.1</c:v>
                </c:pt>
                <c:pt idx="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BF-45E5-84FC-4FA4CD34705B}"/>
            </c:ext>
          </c:extLst>
        </c:ser>
        <c:ser>
          <c:idx val="2"/>
          <c:order val="2"/>
          <c:tx>
            <c:strRef>
              <c:f>'Aug12'!$A$4</c:f>
              <c:strCache>
                <c:ptCount val="1"/>
                <c:pt idx="0">
                  <c:v>Actual</c:v>
                </c:pt>
              </c:strCache>
            </c:strRef>
          </c:tx>
          <c:spPr>
            <a:ln w="28575" cap="rnd">
              <a:noFill/>
              <a:prstDash val="sysDash"/>
              <a:round/>
            </a:ln>
            <a:effectLst/>
          </c:spPr>
          <c:marker>
            <c:symbol val="square"/>
            <c:size val="5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cat>
            <c:strRef>
              <c:f>'Aug12'!$B$1:$E$1</c:f>
              <c:strCache>
                <c:ptCount val="4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</c:strCache>
            </c:strRef>
          </c:cat>
          <c:val>
            <c:numRef>
              <c:f>'Aug12'!$B$4:$E$4</c:f>
              <c:numCache>
                <c:formatCode>0.00</c:formatCode>
                <c:ptCount val="4"/>
                <c:pt idx="0">
                  <c:v>2.3299274242445156</c:v>
                </c:pt>
                <c:pt idx="1">
                  <c:v>2.3299274242445156</c:v>
                </c:pt>
                <c:pt idx="2">
                  <c:v>2.3299274242445156</c:v>
                </c:pt>
                <c:pt idx="3">
                  <c:v>2.3299274242445156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CBF-45E5-84FC-4FA4CD3470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4299632"/>
        <c:axId val="1293686304"/>
      </c:lineChart>
      <c:catAx>
        <c:axId val="192429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686304"/>
        <c:crosses val="autoZero"/>
        <c:auto val="1"/>
        <c:lblAlgn val="ctr"/>
        <c:lblOffset val="100"/>
        <c:noMultiLvlLbl val="0"/>
      </c:catAx>
      <c:valAx>
        <c:axId val="1293686304"/>
        <c:scaling>
          <c:orientation val="minMax"/>
        </c:scaling>
        <c:delete val="0"/>
        <c:axPos val="l"/>
        <c:numFmt formatCode="0.00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29963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2018 Q4 Forecast</a:t>
            </a:r>
            <a:r>
              <a:rPr lang="en-US" b="1" baseline="0">
                <a:solidFill>
                  <a:sysClr val="windowText" lastClr="000000"/>
                </a:solidFill>
              </a:rPr>
              <a:t> Based on DFM Model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'Aug12'!$A$7</c:f>
              <c:strCache>
                <c:ptCount val="1"/>
                <c:pt idx="0">
                  <c:v>DFM Nowcast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'Aug12'!$B$6:$E$6</c:f>
              <c:strCache>
                <c:ptCount val="4"/>
                <c:pt idx="0">
                  <c:v>September</c:v>
                </c:pt>
                <c:pt idx="1">
                  <c:v>October</c:v>
                </c:pt>
                <c:pt idx="2">
                  <c:v>November</c:v>
                </c:pt>
                <c:pt idx="3">
                  <c:v>December</c:v>
                </c:pt>
              </c:strCache>
            </c:strRef>
          </c:cat>
          <c:val>
            <c:numRef>
              <c:f>'Aug12'!$B$7:$E$7</c:f>
              <c:numCache>
                <c:formatCode>0.00</c:formatCode>
                <c:ptCount val="4"/>
                <c:pt idx="0">
                  <c:v>2.86</c:v>
                </c:pt>
                <c:pt idx="1">
                  <c:v>3.13</c:v>
                </c:pt>
                <c:pt idx="2">
                  <c:v>3</c:v>
                </c:pt>
                <c:pt idx="3">
                  <c:v>2.44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A5-44DC-A7C7-A96D9C55349C}"/>
            </c:ext>
          </c:extLst>
        </c:ser>
        <c:ser>
          <c:idx val="1"/>
          <c:order val="1"/>
          <c:tx>
            <c:strRef>
              <c:f>'Aug12'!$A$8</c:f>
              <c:strCache>
                <c:ptCount val="1"/>
                <c:pt idx="0">
                  <c:v>GPM Nowcast*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'Aug12'!$B$6:$E$6</c:f>
              <c:strCache>
                <c:ptCount val="4"/>
                <c:pt idx="0">
                  <c:v>September</c:v>
                </c:pt>
                <c:pt idx="1">
                  <c:v>October</c:v>
                </c:pt>
                <c:pt idx="2">
                  <c:v>November</c:v>
                </c:pt>
                <c:pt idx="3">
                  <c:v>December</c:v>
                </c:pt>
              </c:strCache>
            </c:strRef>
          </c:cat>
          <c:val>
            <c:numRef>
              <c:f>'Aug12'!$B$8:$E$8</c:f>
              <c:numCache>
                <c:formatCode>0.00</c:formatCode>
                <c:ptCount val="4"/>
                <c:pt idx="0">
                  <c:v>2.5</c:v>
                </c:pt>
                <c:pt idx="1">
                  <c:v>2.5</c:v>
                </c:pt>
                <c:pt idx="2">
                  <c:v>3.9</c:v>
                </c:pt>
                <c:pt idx="3">
                  <c:v>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A5-44DC-A7C7-A96D9C55349C}"/>
            </c:ext>
          </c:extLst>
        </c:ser>
        <c:ser>
          <c:idx val="2"/>
          <c:order val="2"/>
          <c:tx>
            <c:strRef>
              <c:f>'Aug12'!$A$9</c:f>
              <c:strCache>
                <c:ptCount val="1"/>
                <c:pt idx="0">
                  <c:v>Actual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cat>
            <c:strRef>
              <c:f>'Aug12'!$B$6:$E$6</c:f>
              <c:strCache>
                <c:ptCount val="4"/>
                <c:pt idx="0">
                  <c:v>September</c:v>
                </c:pt>
                <c:pt idx="1">
                  <c:v>October</c:v>
                </c:pt>
                <c:pt idx="2">
                  <c:v>November</c:v>
                </c:pt>
                <c:pt idx="3">
                  <c:v>December</c:v>
                </c:pt>
              </c:strCache>
            </c:strRef>
          </c:cat>
          <c:val>
            <c:numRef>
              <c:f>'Aug12'!$B$9:$E$9</c:f>
              <c:numCache>
                <c:formatCode>0.00</c:formatCode>
                <c:ptCount val="4"/>
                <c:pt idx="0">
                  <c:v>3.7720181748625681</c:v>
                </c:pt>
                <c:pt idx="1">
                  <c:v>3.7720181748625681</c:v>
                </c:pt>
                <c:pt idx="2">
                  <c:v>3.7720181748625681</c:v>
                </c:pt>
                <c:pt idx="3">
                  <c:v>3.7720181748625681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FA5-44DC-A7C7-A96D9C5534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4299632"/>
        <c:axId val="1293686304"/>
      </c:lineChart>
      <c:catAx>
        <c:axId val="192429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686304"/>
        <c:crosses val="autoZero"/>
        <c:auto val="1"/>
        <c:lblAlgn val="ctr"/>
        <c:lblOffset val="100"/>
        <c:noMultiLvlLbl val="0"/>
      </c:catAx>
      <c:valAx>
        <c:axId val="1293686304"/>
        <c:scaling>
          <c:orientation val="minMax"/>
        </c:scaling>
        <c:delete val="0"/>
        <c:axPos val="l"/>
        <c:numFmt formatCode="0.00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29963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2019 Q1 Forecast</a:t>
            </a:r>
            <a:r>
              <a:rPr lang="en-US" b="1" baseline="0">
                <a:solidFill>
                  <a:sysClr val="windowText" lastClr="000000"/>
                </a:solidFill>
              </a:rPr>
              <a:t> Based on DFM Model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'Aug12'!$A$12</c:f>
              <c:strCache>
                <c:ptCount val="1"/>
                <c:pt idx="0">
                  <c:v>DFM Nowcast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'Aug12'!$B$11:$E$11</c:f>
              <c:strCache>
                <c:ptCount val="4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</c:strCache>
            </c:strRef>
          </c:cat>
          <c:val>
            <c:numRef>
              <c:f>'Aug12'!$B$12:$E$12</c:f>
              <c:numCache>
                <c:formatCode>0.00</c:formatCode>
                <c:ptCount val="4"/>
                <c:pt idx="0">
                  <c:v>2.33</c:v>
                </c:pt>
                <c:pt idx="1">
                  <c:v>2.27</c:v>
                </c:pt>
                <c:pt idx="2">
                  <c:v>1.1299999999999999</c:v>
                </c:pt>
                <c:pt idx="3">
                  <c:v>0.93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A1-4606-B5FE-7A6C470F9E7E}"/>
            </c:ext>
          </c:extLst>
        </c:ser>
        <c:ser>
          <c:idx val="1"/>
          <c:order val="1"/>
          <c:tx>
            <c:strRef>
              <c:f>'Aug12'!$A$13</c:f>
              <c:strCache>
                <c:ptCount val="1"/>
                <c:pt idx="0">
                  <c:v>GPM Nowcast*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'Aug12'!$B$11:$E$11</c:f>
              <c:strCache>
                <c:ptCount val="4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</c:strCache>
            </c:strRef>
          </c:cat>
          <c:val>
            <c:numRef>
              <c:f>'Aug12'!$B$13:$E$13</c:f>
              <c:numCache>
                <c:formatCode>0.00</c:formatCode>
                <c:ptCount val="4"/>
                <c:pt idx="0">
                  <c:v>1.5</c:v>
                </c:pt>
                <c:pt idx="1">
                  <c:v>2.9</c:v>
                </c:pt>
                <c:pt idx="2">
                  <c:v>1</c:v>
                </c:pt>
                <c:pt idx="3">
                  <c:v>1.1000000000000001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A1-4606-B5FE-7A6C470F9E7E}"/>
            </c:ext>
          </c:extLst>
        </c:ser>
        <c:ser>
          <c:idx val="2"/>
          <c:order val="2"/>
          <c:tx>
            <c:strRef>
              <c:f>'Aug12'!$A$14</c:f>
              <c:strCache>
                <c:ptCount val="1"/>
                <c:pt idx="0">
                  <c:v>Actual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cat>
            <c:strRef>
              <c:f>'Aug12'!$B$11:$E$11</c:f>
              <c:strCache>
                <c:ptCount val="4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</c:strCache>
            </c:strRef>
          </c:cat>
          <c:val>
            <c:numRef>
              <c:f>'Aug12'!$B$14:$E$14</c:f>
              <c:numCache>
                <c:formatCode>0.00</c:formatCode>
                <c:ptCount val="4"/>
                <c:pt idx="0">
                  <c:v>-1.47</c:v>
                </c:pt>
                <c:pt idx="1">
                  <c:v>-1.47</c:v>
                </c:pt>
                <c:pt idx="2">
                  <c:v>-1.47</c:v>
                </c:pt>
                <c:pt idx="3">
                  <c:v>-1.47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4A1-4606-B5FE-7A6C470F9E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4299632"/>
        <c:axId val="1293686304"/>
      </c:lineChart>
      <c:catAx>
        <c:axId val="192429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686304"/>
        <c:crosses val="autoZero"/>
        <c:auto val="1"/>
        <c:lblAlgn val="ctr"/>
        <c:lblOffset val="100"/>
        <c:noMultiLvlLbl val="0"/>
      </c:catAx>
      <c:valAx>
        <c:axId val="1293686304"/>
        <c:scaling>
          <c:orientation val="minMax"/>
        </c:scaling>
        <c:delete val="0"/>
        <c:axPos val="l"/>
        <c:numFmt formatCode="0.00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29963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2019 Q2 Forecast</a:t>
            </a:r>
            <a:r>
              <a:rPr lang="en-US" b="1" baseline="0">
                <a:solidFill>
                  <a:sysClr val="windowText" lastClr="000000"/>
                </a:solidFill>
              </a:rPr>
              <a:t> Based on DFM Model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'Aug12'!$A$17</c:f>
              <c:strCache>
                <c:ptCount val="1"/>
                <c:pt idx="0">
                  <c:v>DFM Nowcast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'Aug12'!$B$16:$E$16</c:f>
              <c:strCache>
                <c:ptCount val="4"/>
                <c:pt idx="0">
                  <c:v>March</c:v>
                </c:pt>
                <c:pt idx="1">
                  <c:v>April</c:v>
                </c:pt>
                <c:pt idx="2">
                  <c:v>May</c:v>
                </c:pt>
                <c:pt idx="3">
                  <c:v>June</c:v>
                </c:pt>
              </c:strCache>
            </c:strRef>
          </c:cat>
          <c:val>
            <c:numRef>
              <c:f>'Aug12'!$B$17:$E$17</c:f>
              <c:numCache>
                <c:formatCode>0.00</c:formatCode>
                <c:ptCount val="4"/>
                <c:pt idx="0">
                  <c:v>3.46</c:v>
                </c:pt>
                <c:pt idx="1">
                  <c:v>3.66</c:v>
                </c:pt>
                <c:pt idx="2">
                  <c:v>6.22</c:v>
                </c:pt>
                <c:pt idx="3">
                  <c:v>3.2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BF-4357-B298-98D322EFFB1D}"/>
            </c:ext>
          </c:extLst>
        </c:ser>
        <c:ser>
          <c:idx val="1"/>
          <c:order val="1"/>
          <c:tx>
            <c:strRef>
              <c:f>'Aug12'!$A$18</c:f>
              <c:strCache>
                <c:ptCount val="1"/>
                <c:pt idx="0">
                  <c:v>GPM Nowcast*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'Aug12'!$B$16:$E$16</c:f>
              <c:strCache>
                <c:ptCount val="4"/>
                <c:pt idx="0">
                  <c:v>March</c:v>
                </c:pt>
                <c:pt idx="1">
                  <c:v>April</c:v>
                </c:pt>
                <c:pt idx="2">
                  <c:v>May</c:v>
                </c:pt>
                <c:pt idx="3">
                  <c:v>June</c:v>
                </c:pt>
              </c:strCache>
            </c:strRef>
          </c:cat>
          <c:val>
            <c:numRef>
              <c:f>'Aug12'!$B$18:$E$18</c:f>
              <c:numCache>
                <c:formatCode>0.00</c:formatCode>
                <c:ptCount val="4"/>
                <c:pt idx="0">
                  <c:v>2.9</c:v>
                </c:pt>
                <c:pt idx="1">
                  <c:v>2.9</c:v>
                </c:pt>
                <c:pt idx="2">
                  <c:v>4.0999999999999996</c:v>
                </c:pt>
                <c:pt idx="3">
                  <c:v>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BF-4357-B298-98D322EFFB1D}"/>
            </c:ext>
          </c:extLst>
        </c:ser>
        <c:ser>
          <c:idx val="2"/>
          <c:order val="2"/>
          <c:tx>
            <c:strRef>
              <c:f>'Aug12'!$A$19</c:f>
              <c:strCache>
                <c:ptCount val="1"/>
                <c:pt idx="0">
                  <c:v>Actual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cat>
            <c:strRef>
              <c:f>'Aug12'!$B$16:$E$16</c:f>
              <c:strCache>
                <c:ptCount val="4"/>
                <c:pt idx="0">
                  <c:v>March</c:v>
                </c:pt>
                <c:pt idx="1">
                  <c:v>April</c:v>
                </c:pt>
                <c:pt idx="2">
                  <c:v>May</c:v>
                </c:pt>
                <c:pt idx="3">
                  <c:v>June</c:v>
                </c:pt>
              </c:strCache>
            </c:strRef>
          </c:cat>
          <c:val>
            <c:numRef>
              <c:f>'Aug12'!$B$19:$E$19</c:f>
              <c:numCache>
                <c:formatCode>0.00</c:formatCode>
                <c:ptCount val="4"/>
                <c:pt idx="0">
                  <c:v>4.3600000000000003</c:v>
                </c:pt>
                <c:pt idx="1">
                  <c:v>4.3600000000000003</c:v>
                </c:pt>
                <c:pt idx="2">
                  <c:v>4.3600000000000003</c:v>
                </c:pt>
                <c:pt idx="3">
                  <c:v>4.3600000000000003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0BF-4357-B298-98D322EFFB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4299632"/>
        <c:axId val="1293686304"/>
      </c:lineChart>
      <c:catAx>
        <c:axId val="192429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686304"/>
        <c:crosses val="autoZero"/>
        <c:auto val="1"/>
        <c:lblAlgn val="ctr"/>
        <c:lblOffset val="100"/>
        <c:noMultiLvlLbl val="0"/>
      </c:catAx>
      <c:valAx>
        <c:axId val="1293686304"/>
        <c:scaling>
          <c:orientation val="minMax"/>
        </c:scaling>
        <c:delete val="0"/>
        <c:axPos val="l"/>
        <c:numFmt formatCode="0.00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29963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2019 Q3 Forecast</a:t>
            </a:r>
            <a:r>
              <a:rPr lang="en-US" b="1" baseline="0">
                <a:solidFill>
                  <a:sysClr val="windowText" lastClr="000000"/>
                </a:solidFill>
              </a:rPr>
              <a:t> Based on DFM Model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'Aug12'!$A$22</c:f>
              <c:strCache>
                <c:ptCount val="1"/>
                <c:pt idx="0">
                  <c:v>DFM Nowcast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'Aug12'!$B$21:$E$21</c:f>
              <c:strCache>
                <c:ptCount val="4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</c:strCache>
            </c:strRef>
          </c:cat>
          <c:val>
            <c:numRef>
              <c:f>'Aug12'!$B$22:$E$22</c:f>
              <c:numCache>
                <c:formatCode>0.00</c:formatCode>
                <c:ptCount val="4"/>
                <c:pt idx="0">
                  <c:v>2.68</c:v>
                </c:pt>
                <c:pt idx="1">
                  <c:v>1.52</c:v>
                </c:pt>
                <c:pt idx="2">
                  <c:v>3.16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75-49BC-95C8-B7AB83963BF6}"/>
            </c:ext>
          </c:extLst>
        </c:ser>
        <c:ser>
          <c:idx val="1"/>
          <c:order val="1"/>
          <c:tx>
            <c:strRef>
              <c:f>'Aug12'!$A$23</c:f>
              <c:strCache>
                <c:ptCount val="1"/>
                <c:pt idx="0">
                  <c:v>GPM Nowcast*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'Aug12'!$B$21:$E$21</c:f>
              <c:strCache>
                <c:ptCount val="4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</c:strCache>
            </c:strRef>
          </c:cat>
          <c:val>
            <c:numRef>
              <c:f>'Aug12'!$B$23:$E$23</c:f>
              <c:numCache>
                <c:formatCode>0.00</c:formatCode>
                <c:ptCount val="4"/>
                <c:pt idx="0">
                  <c:v>3.5</c:v>
                </c:pt>
                <c:pt idx="1">
                  <c:v>3.5</c:v>
                </c:pt>
                <c:pt idx="2">
                  <c:v>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75-49BC-95C8-B7AB83963BF6}"/>
            </c:ext>
          </c:extLst>
        </c:ser>
        <c:ser>
          <c:idx val="2"/>
          <c:order val="2"/>
          <c:tx>
            <c:strRef>
              <c:f>'Aug12'!$A$24</c:f>
              <c:strCache>
                <c:ptCount val="1"/>
                <c:pt idx="0">
                  <c:v>Actual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cat>
            <c:strRef>
              <c:f>'Aug12'!$B$21:$E$21</c:f>
              <c:strCache>
                <c:ptCount val="4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</c:strCache>
            </c:strRef>
          </c:cat>
          <c:val>
            <c:numRef>
              <c:f>'Aug12'!$B$24:$E$24</c:f>
              <c:numCache>
                <c:formatCode>0.00</c:formatCode>
                <c:ptCount val="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D75-49BC-95C8-B7AB83963B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4299632"/>
        <c:axId val="1293686304"/>
      </c:lineChart>
      <c:catAx>
        <c:axId val="192429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686304"/>
        <c:crosses val="autoZero"/>
        <c:auto val="1"/>
        <c:lblAlgn val="ctr"/>
        <c:lblOffset val="100"/>
        <c:noMultiLvlLbl val="0"/>
      </c:catAx>
      <c:valAx>
        <c:axId val="1293686304"/>
        <c:scaling>
          <c:orientation val="minMax"/>
        </c:scaling>
        <c:delete val="0"/>
        <c:axPos val="l"/>
        <c:numFmt formatCode="0.00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29963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2018 Q3 Forecast</a:t>
            </a:r>
            <a:r>
              <a:rPr lang="en-US" b="1" baseline="0">
                <a:solidFill>
                  <a:sysClr val="windowText" lastClr="000000"/>
                </a:solidFill>
              </a:rPr>
              <a:t> Based on DFM Model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Aug12_NoConsensus!$A$2</c:f>
              <c:strCache>
                <c:ptCount val="1"/>
                <c:pt idx="0">
                  <c:v>DFM Nowcast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Aug12_NoConsensus!$B$1:$F$1</c:f>
              <c:strCache>
                <c:ptCount val="5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  <c:pt idx="4">
                  <c:v>October</c:v>
                </c:pt>
              </c:strCache>
            </c:strRef>
          </c:cat>
          <c:val>
            <c:numRef>
              <c:f>Aug12_NoConsensus!$B$2:$F$2</c:f>
              <c:numCache>
                <c:formatCode>0.00</c:formatCode>
                <c:ptCount val="5"/>
                <c:pt idx="0">
                  <c:v>5.13</c:v>
                </c:pt>
                <c:pt idx="1">
                  <c:v>4.5199999999999996</c:v>
                </c:pt>
                <c:pt idx="2">
                  <c:v>3.79</c:v>
                </c:pt>
                <c:pt idx="3">
                  <c:v>4.3600000000000003</c:v>
                </c:pt>
                <c:pt idx="4">
                  <c:v>4.3600000000000003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C7-452C-9F5A-2E834878DBCF}"/>
            </c:ext>
          </c:extLst>
        </c:ser>
        <c:ser>
          <c:idx val="1"/>
          <c:order val="1"/>
          <c:tx>
            <c:strRef>
              <c:f>Aug12_NoConsensus!$A$3</c:f>
              <c:strCache>
                <c:ptCount val="1"/>
                <c:pt idx="0">
                  <c:v>GPM Nowcast*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Aug12_NoConsensus!$B$1:$F$1</c:f>
              <c:strCache>
                <c:ptCount val="5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  <c:pt idx="4">
                  <c:v>October</c:v>
                </c:pt>
              </c:strCache>
            </c:strRef>
          </c:cat>
          <c:val>
            <c:numRef>
              <c:f>Aug12_NoConsensus!$B$3:$F$3</c:f>
              <c:numCache>
                <c:formatCode>0.00</c:formatCode>
                <c:ptCount val="5"/>
                <c:pt idx="0">
                  <c:v>3.5</c:v>
                </c:pt>
                <c:pt idx="1">
                  <c:v>3.6</c:v>
                </c:pt>
                <c:pt idx="2">
                  <c:v>3.1</c:v>
                </c:pt>
                <c:pt idx="3">
                  <c:v>3</c:v>
                </c:pt>
                <c:pt idx="4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C7-452C-9F5A-2E834878DBCF}"/>
            </c:ext>
          </c:extLst>
        </c:ser>
        <c:ser>
          <c:idx val="2"/>
          <c:order val="2"/>
          <c:tx>
            <c:strRef>
              <c:f>Aug12_NoConsensus!$A$4</c:f>
              <c:strCache>
                <c:ptCount val="1"/>
                <c:pt idx="0">
                  <c:v>Actual</c:v>
                </c:pt>
              </c:strCache>
            </c:strRef>
          </c:tx>
          <c:spPr>
            <a:ln w="28575" cap="rnd">
              <a:noFill/>
              <a:prstDash val="sysDash"/>
              <a:round/>
            </a:ln>
            <a:effectLst/>
          </c:spPr>
          <c:marker>
            <c:symbol val="square"/>
            <c:size val="5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cat>
            <c:strRef>
              <c:f>Aug12_NoConsensus!$B$1:$F$1</c:f>
              <c:strCache>
                <c:ptCount val="5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  <c:pt idx="4">
                  <c:v>October</c:v>
                </c:pt>
              </c:strCache>
            </c:strRef>
          </c:cat>
          <c:val>
            <c:numRef>
              <c:f>Aug12_NoConsensus!$B$4:$F$4</c:f>
              <c:numCache>
                <c:formatCode>0.00</c:formatCode>
                <c:ptCount val="5"/>
                <c:pt idx="0">
                  <c:v>2.3299274242445156</c:v>
                </c:pt>
                <c:pt idx="1">
                  <c:v>2.3299274242445156</c:v>
                </c:pt>
                <c:pt idx="2">
                  <c:v>2.3299274242445156</c:v>
                </c:pt>
                <c:pt idx="3">
                  <c:v>2.3299274242445156</c:v>
                </c:pt>
                <c:pt idx="4">
                  <c:v>2.3299274242445156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EC7-452C-9F5A-2E834878DB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4299632"/>
        <c:axId val="1293686304"/>
      </c:lineChart>
      <c:catAx>
        <c:axId val="192429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686304"/>
        <c:crosses val="autoZero"/>
        <c:auto val="1"/>
        <c:lblAlgn val="ctr"/>
        <c:lblOffset val="100"/>
        <c:noMultiLvlLbl val="0"/>
      </c:catAx>
      <c:valAx>
        <c:axId val="1293686304"/>
        <c:scaling>
          <c:orientation val="minMax"/>
        </c:scaling>
        <c:delete val="0"/>
        <c:axPos val="l"/>
        <c:numFmt formatCode="0.00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29963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2018 Q4 Forecast</a:t>
            </a:r>
            <a:r>
              <a:rPr lang="en-US" b="1" baseline="0">
                <a:solidFill>
                  <a:sysClr val="windowText" lastClr="000000"/>
                </a:solidFill>
              </a:rPr>
              <a:t> Based on DFM Model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Aug12_NoConsensus!$A$7</c:f>
              <c:strCache>
                <c:ptCount val="1"/>
                <c:pt idx="0">
                  <c:v>DFM Nowcast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Aug12_NoConsensus!$B$6:$F$6</c:f>
              <c:strCache>
                <c:ptCount val="5"/>
                <c:pt idx="0">
                  <c:v>September</c:v>
                </c:pt>
                <c:pt idx="1">
                  <c:v>October</c:v>
                </c:pt>
                <c:pt idx="2">
                  <c:v>November</c:v>
                </c:pt>
                <c:pt idx="3">
                  <c:v>December</c:v>
                </c:pt>
                <c:pt idx="4">
                  <c:v>January</c:v>
                </c:pt>
              </c:strCache>
            </c:strRef>
          </c:cat>
          <c:val>
            <c:numRef>
              <c:f>Aug12_NoConsensus!$B$7:$F$7</c:f>
              <c:numCache>
                <c:formatCode>0.00</c:formatCode>
                <c:ptCount val="5"/>
                <c:pt idx="0">
                  <c:v>2.86</c:v>
                </c:pt>
                <c:pt idx="1">
                  <c:v>3.13</c:v>
                </c:pt>
                <c:pt idx="2">
                  <c:v>3</c:v>
                </c:pt>
                <c:pt idx="3">
                  <c:v>2.44</c:v>
                </c:pt>
                <c:pt idx="4">
                  <c:v>2.44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EF-4075-8E5B-FA89E95D0E7B}"/>
            </c:ext>
          </c:extLst>
        </c:ser>
        <c:ser>
          <c:idx val="1"/>
          <c:order val="1"/>
          <c:tx>
            <c:strRef>
              <c:f>Aug12_NoConsensus!$A$8</c:f>
              <c:strCache>
                <c:ptCount val="1"/>
                <c:pt idx="0">
                  <c:v>GPM Nowcast*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Aug12_NoConsensus!$B$6:$F$6</c:f>
              <c:strCache>
                <c:ptCount val="5"/>
                <c:pt idx="0">
                  <c:v>September</c:v>
                </c:pt>
                <c:pt idx="1">
                  <c:v>October</c:v>
                </c:pt>
                <c:pt idx="2">
                  <c:v>November</c:v>
                </c:pt>
                <c:pt idx="3">
                  <c:v>December</c:v>
                </c:pt>
                <c:pt idx="4">
                  <c:v>January</c:v>
                </c:pt>
              </c:strCache>
            </c:strRef>
          </c:cat>
          <c:val>
            <c:numRef>
              <c:f>Aug12_NoConsensus!$B$8:$F$8</c:f>
              <c:numCache>
                <c:formatCode>0.00</c:formatCode>
                <c:ptCount val="5"/>
                <c:pt idx="0">
                  <c:v>2.5</c:v>
                </c:pt>
                <c:pt idx="1">
                  <c:v>2.5</c:v>
                </c:pt>
                <c:pt idx="2">
                  <c:v>3.9</c:v>
                </c:pt>
                <c:pt idx="3">
                  <c:v>3.9</c:v>
                </c:pt>
                <c:pt idx="4">
                  <c:v>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2EF-4075-8E5B-FA89E95D0E7B}"/>
            </c:ext>
          </c:extLst>
        </c:ser>
        <c:ser>
          <c:idx val="2"/>
          <c:order val="2"/>
          <c:tx>
            <c:strRef>
              <c:f>Aug12_NoConsensus!$A$9</c:f>
              <c:strCache>
                <c:ptCount val="1"/>
                <c:pt idx="0">
                  <c:v>Actual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cat>
            <c:strRef>
              <c:f>Aug12_NoConsensus!$B$6:$F$6</c:f>
              <c:strCache>
                <c:ptCount val="5"/>
                <c:pt idx="0">
                  <c:v>September</c:v>
                </c:pt>
                <c:pt idx="1">
                  <c:v>October</c:v>
                </c:pt>
                <c:pt idx="2">
                  <c:v>November</c:v>
                </c:pt>
                <c:pt idx="3">
                  <c:v>December</c:v>
                </c:pt>
                <c:pt idx="4">
                  <c:v>January</c:v>
                </c:pt>
              </c:strCache>
            </c:strRef>
          </c:cat>
          <c:val>
            <c:numRef>
              <c:f>Aug12_NoConsensus!$B$9:$F$9</c:f>
              <c:numCache>
                <c:formatCode>0.00</c:formatCode>
                <c:ptCount val="5"/>
                <c:pt idx="0">
                  <c:v>3.7720181748625681</c:v>
                </c:pt>
                <c:pt idx="1">
                  <c:v>3.7720181748625681</c:v>
                </c:pt>
                <c:pt idx="2">
                  <c:v>3.7720181748625681</c:v>
                </c:pt>
                <c:pt idx="3">
                  <c:v>3.7720181748625681</c:v>
                </c:pt>
                <c:pt idx="4">
                  <c:v>3.7720181748625681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2EF-4075-8E5B-FA89E95D0E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4299632"/>
        <c:axId val="1293686304"/>
      </c:lineChart>
      <c:catAx>
        <c:axId val="192429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686304"/>
        <c:crosses val="autoZero"/>
        <c:auto val="1"/>
        <c:lblAlgn val="ctr"/>
        <c:lblOffset val="100"/>
        <c:noMultiLvlLbl val="0"/>
      </c:catAx>
      <c:valAx>
        <c:axId val="1293686304"/>
        <c:scaling>
          <c:orientation val="minMax"/>
        </c:scaling>
        <c:delete val="0"/>
        <c:axPos val="l"/>
        <c:numFmt formatCode="0.00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29963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2019 Q1 Forecast</a:t>
            </a:r>
            <a:r>
              <a:rPr lang="en-US" b="1" baseline="0">
                <a:solidFill>
                  <a:sysClr val="windowText" lastClr="000000"/>
                </a:solidFill>
              </a:rPr>
              <a:t> Based on DFM Model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Aug12_NoConsensus!$A$12</c:f>
              <c:strCache>
                <c:ptCount val="1"/>
                <c:pt idx="0">
                  <c:v>DFM Nowcast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Aug12_NoConsensus!$B$11:$F$11</c:f>
              <c:strCache>
                <c:ptCount val="5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</c:strCache>
            </c:strRef>
          </c:cat>
          <c:val>
            <c:numRef>
              <c:f>Aug12_NoConsensus!$B$12:$F$12</c:f>
              <c:numCache>
                <c:formatCode>0.00</c:formatCode>
                <c:ptCount val="5"/>
                <c:pt idx="0">
                  <c:v>2.33</c:v>
                </c:pt>
                <c:pt idx="1">
                  <c:v>2.27</c:v>
                </c:pt>
                <c:pt idx="2">
                  <c:v>1.1299999999999999</c:v>
                </c:pt>
                <c:pt idx="3">
                  <c:v>0.93</c:v>
                </c:pt>
                <c:pt idx="4">
                  <c:v>0.93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35-42E4-8412-8C1FE8F7E41F}"/>
            </c:ext>
          </c:extLst>
        </c:ser>
        <c:ser>
          <c:idx val="1"/>
          <c:order val="1"/>
          <c:tx>
            <c:strRef>
              <c:f>Aug12_NoConsensus!$A$13</c:f>
              <c:strCache>
                <c:ptCount val="1"/>
                <c:pt idx="0">
                  <c:v>GPM Nowcast*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Aug12_NoConsensus!$B$11:$F$11</c:f>
              <c:strCache>
                <c:ptCount val="5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</c:strCache>
            </c:strRef>
          </c:cat>
          <c:val>
            <c:numRef>
              <c:f>Aug12_NoConsensus!$B$13:$F$13</c:f>
              <c:numCache>
                <c:formatCode>0.00</c:formatCode>
                <c:ptCount val="5"/>
                <c:pt idx="0">
                  <c:v>1.5</c:v>
                </c:pt>
                <c:pt idx="1">
                  <c:v>2.9</c:v>
                </c:pt>
                <c:pt idx="2">
                  <c:v>1</c:v>
                </c:pt>
                <c:pt idx="3">
                  <c:v>1.1000000000000001</c:v>
                </c:pt>
                <c:pt idx="4">
                  <c:v>1.1000000000000001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135-42E4-8412-8C1FE8F7E41F}"/>
            </c:ext>
          </c:extLst>
        </c:ser>
        <c:ser>
          <c:idx val="2"/>
          <c:order val="2"/>
          <c:tx>
            <c:strRef>
              <c:f>Aug12_NoConsensus!$A$14</c:f>
              <c:strCache>
                <c:ptCount val="1"/>
                <c:pt idx="0">
                  <c:v>Actual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cat>
            <c:strRef>
              <c:f>Aug12_NoConsensus!$B$11:$F$11</c:f>
              <c:strCache>
                <c:ptCount val="5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</c:strCache>
            </c:strRef>
          </c:cat>
          <c:val>
            <c:numRef>
              <c:f>Aug12_NoConsensus!$B$14:$F$14</c:f>
              <c:numCache>
                <c:formatCode>0.00</c:formatCode>
                <c:ptCount val="5"/>
                <c:pt idx="0">
                  <c:v>-1.47</c:v>
                </c:pt>
                <c:pt idx="1">
                  <c:v>-1.47</c:v>
                </c:pt>
                <c:pt idx="2">
                  <c:v>-1.47</c:v>
                </c:pt>
                <c:pt idx="3">
                  <c:v>-1.47</c:v>
                </c:pt>
                <c:pt idx="4">
                  <c:v>-1.47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135-42E4-8412-8C1FE8F7E4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4299632"/>
        <c:axId val="1293686304"/>
      </c:lineChart>
      <c:catAx>
        <c:axId val="192429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686304"/>
        <c:crosses val="autoZero"/>
        <c:auto val="1"/>
        <c:lblAlgn val="ctr"/>
        <c:lblOffset val="100"/>
        <c:noMultiLvlLbl val="0"/>
      </c:catAx>
      <c:valAx>
        <c:axId val="1293686304"/>
        <c:scaling>
          <c:orientation val="minMax"/>
        </c:scaling>
        <c:delete val="0"/>
        <c:axPos val="l"/>
        <c:numFmt formatCode="0.00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29963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2019 Q2 Forecast</a:t>
            </a:r>
            <a:r>
              <a:rPr lang="en-US" b="1" baseline="0">
                <a:solidFill>
                  <a:sysClr val="windowText" lastClr="000000"/>
                </a:solidFill>
              </a:rPr>
              <a:t> Based on DFM Model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Aug12_NoConsensus!$A$17</c:f>
              <c:strCache>
                <c:ptCount val="1"/>
                <c:pt idx="0">
                  <c:v>DFM Nowcast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Aug12_NoConsensus!$B$16:$F$16</c:f>
              <c:strCache>
                <c:ptCount val="5"/>
                <c:pt idx="0">
                  <c:v>March</c:v>
                </c:pt>
                <c:pt idx="1">
                  <c:v>April</c:v>
                </c:pt>
                <c:pt idx="2">
                  <c:v>May</c:v>
                </c:pt>
                <c:pt idx="3">
                  <c:v>June</c:v>
                </c:pt>
                <c:pt idx="4">
                  <c:v>July</c:v>
                </c:pt>
              </c:strCache>
            </c:strRef>
          </c:cat>
          <c:val>
            <c:numRef>
              <c:f>Aug12_NoConsensus!$B$17:$F$17</c:f>
              <c:numCache>
                <c:formatCode>0.00</c:formatCode>
                <c:ptCount val="5"/>
                <c:pt idx="0">
                  <c:v>3.46</c:v>
                </c:pt>
                <c:pt idx="1">
                  <c:v>3.66</c:v>
                </c:pt>
                <c:pt idx="2">
                  <c:v>6.22</c:v>
                </c:pt>
                <c:pt idx="3">
                  <c:v>3.2</c:v>
                </c:pt>
                <c:pt idx="4">
                  <c:v>3.2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C3-42AB-9CBD-D99711E89251}"/>
            </c:ext>
          </c:extLst>
        </c:ser>
        <c:ser>
          <c:idx val="1"/>
          <c:order val="1"/>
          <c:tx>
            <c:strRef>
              <c:f>Aug12_NoConsensus!$A$18</c:f>
              <c:strCache>
                <c:ptCount val="1"/>
                <c:pt idx="0">
                  <c:v>GPM Nowcast*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Aug12_NoConsensus!$B$16:$F$16</c:f>
              <c:strCache>
                <c:ptCount val="5"/>
                <c:pt idx="0">
                  <c:v>March</c:v>
                </c:pt>
                <c:pt idx="1">
                  <c:v>April</c:v>
                </c:pt>
                <c:pt idx="2">
                  <c:v>May</c:v>
                </c:pt>
                <c:pt idx="3">
                  <c:v>June</c:v>
                </c:pt>
                <c:pt idx="4">
                  <c:v>July</c:v>
                </c:pt>
              </c:strCache>
            </c:strRef>
          </c:cat>
          <c:val>
            <c:numRef>
              <c:f>Aug12_NoConsensus!$B$18:$F$18</c:f>
              <c:numCache>
                <c:formatCode>0.00</c:formatCode>
                <c:ptCount val="5"/>
                <c:pt idx="0">
                  <c:v>2.9</c:v>
                </c:pt>
                <c:pt idx="1">
                  <c:v>2.9</c:v>
                </c:pt>
                <c:pt idx="2">
                  <c:v>4.0999999999999996</c:v>
                </c:pt>
                <c:pt idx="3">
                  <c:v>4.5</c:v>
                </c:pt>
                <c:pt idx="4">
                  <c:v>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1C3-42AB-9CBD-D99711E89251}"/>
            </c:ext>
          </c:extLst>
        </c:ser>
        <c:ser>
          <c:idx val="2"/>
          <c:order val="2"/>
          <c:tx>
            <c:strRef>
              <c:f>Aug12_NoConsensus!$A$19</c:f>
              <c:strCache>
                <c:ptCount val="1"/>
                <c:pt idx="0">
                  <c:v>Actual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cat>
            <c:strRef>
              <c:f>Aug12_NoConsensus!$B$16:$F$16</c:f>
              <c:strCache>
                <c:ptCount val="5"/>
                <c:pt idx="0">
                  <c:v>March</c:v>
                </c:pt>
                <c:pt idx="1">
                  <c:v>April</c:v>
                </c:pt>
                <c:pt idx="2">
                  <c:v>May</c:v>
                </c:pt>
                <c:pt idx="3">
                  <c:v>June</c:v>
                </c:pt>
                <c:pt idx="4">
                  <c:v>July</c:v>
                </c:pt>
              </c:strCache>
            </c:strRef>
          </c:cat>
          <c:val>
            <c:numRef>
              <c:f>Aug12_NoConsensus!$B$19:$F$19</c:f>
              <c:numCache>
                <c:formatCode>0.00</c:formatCode>
                <c:ptCount val="5"/>
                <c:pt idx="0">
                  <c:v>4.3600000000000003</c:v>
                </c:pt>
                <c:pt idx="1">
                  <c:v>4.3600000000000003</c:v>
                </c:pt>
                <c:pt idx="2">
                  <c:v>4.3600000000000003</c:v>
                </c:pt>
                <c:pt idx="3">
                  <c:v>4.3600000000000003</c:v>
                </c:pt>
                <c:pt idx="4">
                  <c:v>4.3600000000000003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1C3-42AB-9CBD-D99711E892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4299632"/>
        <c:axId val="1293686304"/>
      </c:lineChart>
      <c:catAx>
        <c:axId val="192429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686304"/>
        <c:crosses val="autoZero"/>
        <c:auto val="1"/>
        <c:lblAlgn val="ctr"/>
        <c:lblOffset val="100"/>
        <c:noMultiLvlLbl val="0"/>
      </c:catAx>
      <c:valAx>
        <c:axId val="1293686304"/>
        <c:scaling>
          <c:orientation val="minMax"/>
        </c:scaling>
        <c:delete val="0"/>
        <c:axPos val="l"/>
        <c:numFmt formatCode="0.00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29963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2019 Q3 Forecast</a:t>
            </a:r>
            <a:r>
              <a:rPr lang="en-US" b="1" baseline="0">
                <a:solidFill>
                  <a:sysClr val="windowText" lastClr="000000"/>
                </a:solidFill>
              </a:rPr>
              <a:t> Based on DFM Model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Aug12_NoConsensus!$A$22</c:f>
              <c:strCache>
                <c:ptCount val="1"/>
                <c:pt idx="0">
                  <c:v>DFM Nowcast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Aug12_NoConsensus!$B$21:$F$21</c:f>
              <c:strCache>
                <c:ptCount val="5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  <c:pt idx="4">
                  <c:v>October</c:v>
                </c:pt>
              </c:strCache>
            </c:strRef>
          </c:cat>
          <c:val>
            <c:numRef>
              <c:f>Aug12_NoConsensus!$B$22:$F$22</c:f>
              <c:numCache>
                <c:formatCode>0.00</c:formatCode>
                <c:ptCount val="5"/>
                <c:pt idx="0">
                  <c:v>2.68</c:v>
                </c:pt>
                <c:pt idx="1">
                  <c:v>1.52</c:v>
                </c:pt>
                <c:pt idx="2">
                  <c:v>3.16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3A-47AA-A5A7-6A20226B2ECE}"/>
            </c:ext>
          </c:extLst>
        </c:ser>
        <c:ser>
          <c:idx val="1"/>
          <c:order val="1"/>
          <c:tx>
            <c:strRef>
              <c:f>Aug12_NoConsensus!$A$23</c:f>
              <c:strCache>
                <c:ptCount val="1"/>
                <c:pt idx="0">
                  <c:v>GPM Nowcast*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Aug12_NoConsensus!$B$21:$F$21</c:f>
              <c:strCache>
                <c:ptCount val="5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  <c:pt idx="4">
                  <c:v>October</c:v>
                </c:pt>
              </c:strCache>
            </c:strRef>
          </c:cat>
          <c:val>
            <c:numRef>
              <c:f>Aug12_NoConsensus!$B$23:$F$23</c:f>
              <c:numCache>
                <c:formatCode>0.00</c:formatCode>
                <c:ptCount val="5"/>
                <c:pt idx="0">
                  <c:v>3.5</c:v>
                </c:pt>
                <c:pt idx="1">
                  <c:v>3.5</c:v>
                </c:pt>
                <c:pt idx="2">
                  <c:v>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3A-47AA-A5A7-6A20226B2ECE}"/>
            </c:ext>
          </c:extLst>
        </c:ser>
        <c:ser>
          <c:idx val="2"/>
          <c:order val="2"/>
          <c:tx>
            <c:strRef>
              <c:f>Aug12_NoConsensus!$A$24</c:f>
              <c:strCache>
                <c:ptCount val="1"/>
                <c:pt idx="0">
                  <c:v>Actual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cat>
            <c:strRef>
              <c:f>Aug12_NoConsensus!$B$21:$F$21</c:f>
              <c:strCache>
                <c:ptCount val="5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  <c:pt idx="4">
                  <c:v>October</c:v>
                </c:pt>
              </c:strCache>
            </c:strRef>
          </c:cat>
          <c:val>
            <c:numRef>
              <c:f>Aug12_NoConsensus!$B$24:$F$24</c:f>
              <c:numCache>
                <c:formatCode>0.00</c:formatCode>
                <c:ptCount val="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53A-47AA-A5A7-6A20226B2E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4299632"/>
        <c:axId val="1293686304"/>
      </c:lineChart>
      <c:catAx>
        <c:axId val="192429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686304"/>
        <c:crosses val="autoZero"/>
        <c:auto val="1"/>
        <c:lblAlgn val="ctr"/>
        <c:lblOffset val="100"/>
        <c:noMultiLvlLbl val="0"/>
      </c:catAx>
      <c:valAx>
        <c:axId val="1293686304"/>
        <c:scaling>
          <c:orientation val="minMax"/>
        </c:scaling>
        <c:delete val="0"/>
        <c:axPos val="l"/>
        <c:numFmt formatCode="0.00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29963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Relationship Id="rId5" Type="http://schemas.openxmlformats.org/officeDocument/2006/relationships/chart" Target="../charts/chart22.xml"/><Relationship Id="rId4" Type="http://schemas.openxmlformats.org/officeDocument/2006/relationships/chart" Target="../charts/chart21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5.xml"/><Relationship Id="rId2" Type="http://schemas.openxmlformats.org/officeDocument/2006/relationships/chart" Target="../charts/chart24.xml"/><Relationship Id="rId1" Type="http://schemas.openxmlformats.org/officeDocument/2006/relationships/chart" Target="../charts/chart23.xml"/><Relationship Id="rId5" Type="http://schemas.openxmlformats.org/officeDocument/2006/relationships/chart" Target="../charts/chart27.xml"/><Relationship Id="rId4" Type="http://schemas.openxmlformats.org/officeDocument/2006/relationships/chart" Target="../charts/chart26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0.xml"/><Relationship Id="rId2" Type="http://schemas.openxmlformats.org/officeDocument/2006/relationships/chart" Target="../charts/chart29.xml"/><Relationship Id="rId1" Type="http://schemas.openxmlformats.org/officeDocument/2006/relationships/chart" Target="../charts/chart28.xml"/><Relationship Id="rId5" Type="http://schemas.openxmlformats.org/officeDocument/2006/relationships/chart" Target="../charts/chart32.xml"/><Relationship Id="rId4" Type="http://schemas.openxmlformats.org/officeDocument/2006/relationships/chart" Target="../charts/chart31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5.xml"/><Relationship Id="rId2" Type="http://schemas.openxmlformats.org/officeDocument/2006/relationships/chart" Target="../charts/chart34.xml"/><Relationship Id="rId1" Type="http://schemas.openxmlformats.org/officeDocument/2006/relationships/chart" Target="../charts/chart33.xml"/><Relationship Id="rId5" Type="http://schemas.openxmlformats.org/officeDocument/2006/relationships/chart" Target="../charts/chart37.xml"/><Relationship Id="rId4" Type="http://schemas.openxmlformats.org/officeDocument/2006/relationships/chart" Target="../charts/chart3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F030E56-E30A-4341-93BC-49AFD71A43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15</xdr:row>
      <xdr:rowOff>180975</xdr:rowOff>
    </xdr:from>
    <xdr:to>
      <xdr:col>11</xdr:col>
      <xdr:colOff>304800</xdr:colOff>
      <xdr:row>30</xdr:row>
      <xdr:rowOff>66675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496909D-4E67-480C-8D58-290CA05180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F41E07D5-DFBC-4FFA-B9C4-E8D806C284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0</xdr:colOff>
      <xdr:row>16</xdr:row>
      <xdr:rowOff>0</xdr:rowOff>
    </xdr:from>
    <xdr:to>
      <xdr:col>16</xdr:col>
      <xdr:colOff>304800</xdr:colOff>
      <xdr:row>30</xdr:row>
      <xdr:rowOff>76200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FDA0D4FE-2527-40DD-943E-69DF6BF07D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80B4A9-3214-4376-8F54-64F40078C2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600075</xdr:colOff>
      <xdr:row>1</xdr:row>
      <xdr:rowOff>9525</xdr:rowOff>
    </xdr:from>
    <xdr:to>
      <xdr:col>16</xdr:col>
      <xdr:colOff>295275</xdr:colOff>
      <xdr:row>15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E99B2EF-E1DD-422D-ADFE-09D0381017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16</xdr:row>
      <xdr:rowOff>0</xdr:rowOff>
    </xdr:from>
    <xdr:to>
      <xdr:col>11</xdr:col>
      <xdr:colOff>304800</xdr:colOff>
      <xdr:row>30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5EB7445-5751-43CA-8288-53B62DA4AC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0</xdr:colOff>
      <xdr:row>16</xdr:row>
      <xdr:rowOff>0</xdr:rowOff>
    </xdr:from>
    <xdr:to>
      <xdr:col>16</xdr:col>
      <xdr:colOff>304800</xdr:colOff>
      <xdr:row>30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6F3B6AC-3AC1-4B60-843B-20EE9F375A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DA196F-D32F-48F4-B9BC-515613D038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CAE9846-1500-4294-9AD9-A0FBE2670C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16</xdr:row>
      <xdr:rowOff>0</xdr:rowOff>
    </xdr:from>
    <xdr:to>
      <xdr:col>11</xdr:col>
      <xdr:colOff>304800</xdr:colOff>
      <xdr:row>30</xdr:row>
      <xdr:rowOff>76200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9B50B57-8CC4-4B78-B809-697030C378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0</xdr:colOff>
      <xdr:row>16</xdr:row>
      <xdr:rowOff>0</xdr:rowOff>
    </xdr:from>
    <xdr:to>
      <xdr:col>16</xdr:col>
      <xdr:colOff>304800</xdr:colOff>
      <xdr:row>30</xdr:row>
      <xdr:rowOff>76200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654A03-808C-4DB3-985B-51276A6026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EC57BE-1085-4D87-AB16-79EA65D232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3D15B55-5C53-4C7A-A702-8C4CDDB6EE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16</xdr:row>
      <xdr:rowOff>0</xdr:rowOff>
    </xdr:from>
    <xdr:to>
      <xdr:col>11</xdr:col>
      <xdr:colOff>304800</xdr:colOff>
      <xdr:row>30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82F4092-B8D2-4ADA-BC69-9141FD5E3B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0</xdr:colOff>
      <xdr:row>16</xdr:row>
      <xdr:rowOff>0</xdr:rowOff>
    </xdr:from>
    <xdr:to>
      <xdr:col>16</xdr:col>
      <xdr:colOff>304800</xdr:colOff>
      <xdr:row>30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85FCDE0-E5F7-4DAF-B2D6-8069FF1179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0</xdr:colOff>
      <xdr:row>31</xdr:row>
      <xdr:rowOff>0</xdr:rowOff>
    </xdr:from>
    <xdr:to>
      <xdr:col>11</xdr:col>
      <xdr:colOff>304800</xdr:colOff>
      <xdr:row>45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184ED31-822A-49F9-98D5-FE5FCA8E89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B8C2C1-9E95-4C4A-9EF8-EF8A1D56FB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3020C41-BAE5-4F32-8040-373ED0962C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16</xdr:row>
      <xdr:rowOff>0</xdr:rowOff>
    </xdr:from>
    <xdr:to>
      <xdr:col>11</xdr:col>
      <xdr:colOff>304800</xdr:colOff>
      <xdr:row>30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5C5814F-A508-412C-80FE-BC2369A1AC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0</xdr:colOff>
      <xdr:row>16</xdr:row>
      <xdr:rowOff>0</xdr:rowOff>
    </xdr:from>
    <xdr:to>
      <xdr:col>16</xdr:col>
      <xdr:colOff>304800</xdr:colOff>
      <xdr:row>30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BD2B117-8BF9-4488-A01A-A3CC674175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0</xdr:colOff>
      <xdr:row>31</xdr:row>
      <xdr:rowOff>0</xdr:rowOff>
    </xdr:from>
    <xdr:to>
      <xdr:col>11</xdr:col>
      <xdr:colOff>304800</xdr:colOff>
      <xdr:row>45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4BB897B-D1A7-457C-B0C5-0C79DE7A27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E096DF-6902-460E-9745-BE40BCAEFA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BF0B413-5EAD-45FD-A004-18D422488D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16</xdr:row>
      <xdr:rowOff>0</xdr:rowOff>
    </xdr:from>
    <xdr:to>
      <xdr:col>11</xdr:col>
      <xdr:colOff>304800</xdr:colOff>
      <xdr:row>30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F7C052D-A672-444B-BC49-D663694686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0</xdr:colOff>
      <xdr:row>16</xdr:row>
      <xdr:rowOff>0</xdr:rowOff>
    </xdr:from>
    <xdr:to>
      <xdr:col>16</xdr:col>
      <xdr:colOff>304800</xdr:colOff>
      <xdr:row>30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EC8A0D3-917B-4F96-9DFE-44010178E0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0</xdr:colOff>
      <xdr:row>31</xdr:row>
      <xdr:rowOff>0</xdr:rowOff>
    </xdr:from>
    <xdr:to>
      <xdr:col>11</xdr:col>
      <xdr:colOff>304800</xdr:colOff>
      <xdr:row>45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DC42D2E-CE65-48A0-A180-97BF70C8F3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33A192-F1F7-4079-A05D-DADD0BFF8C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307D58D-3418-4706-AC07-2FF525404A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16</xdr:row>
      <xdr:rowOff>0</xdr:rowOff>
    </xdr:from>
    <xdr:to>
      <xdr:col>11</xdr:col>
      <xdr:colOff>304800</xdr:colOff>
      <xdr:row>30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C8DC41E-B693-4328-8E08-744DA3E491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0</xdr:colOff>
      <xdr:row>16</xdr:row>
      <xdr:rowOff>0</xdr:rowOff>
    </xdr:from>
    <xdr:to>
      <xdr:col>16</xdr:col>
      <xdr:colOff>304800</xdr:colOff>
      <xdr:row>30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AD35F77-CB33-4D4D-9302-BBD048E231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0</xdr:colOff>
      <xdr:row>31</xdr:row>
      <xdr:rowOff>0</xdr:rowOff>
    </xdr:from>
    <xdr:to>
      <xdr:col>11</xdr:col>
      <xdr:colOff>304800</xdr:colOff>
      <xdr:row>45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66EB7F4-607C-44B4-84AB-2A49D2258D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00FD62-89BB-4C08-88B2-6D2203E06B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D9ABE01-F846-415B-85EF-264B74198E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16</xdr:row>
      <xdr:rowOff>0</xdr:rowOff>
    </xdr:from>
    <xdr:to>
      <xdr:col>11</xdr:col>
      <xdr:colOff>304800</xdr:colOff>
      <xdr:row>30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7BA26C4-5A8F-437C-B54C-F49116C308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0</xdr:colOff>
      <xdr:row>16</xdr:row>
      <xdr:rowOff>0</xdr:rowOff>
    </xdr:from>
    <xdr:to>
      <xdr:col>16</xdr:col>
      <xdr:colOff>304800</xdr:colOff>
      <xdr:row>30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D311954-D5D3-4343-AFD2-51636CE43E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0</xdr:colOff>
      <xdr:row>31</xdr:row>
      <xdr:rowOff>0</xdr:rowOff>
    </xdr:from>
    <xdr:to>
      <xdr:col>11</xdr:col>
      <xdr:colOff>304800</xdr:colOff>
      <xdr:row>45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19C8E94-6BAD-422C-93E2-5F3148AFE2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0BBE0-8E63-42CE-BE5B-4B2BA7786035}">
  <dimension ref="A1:E2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12" sqref="E12"/>
    </sheetView>
  </sheetViews>
  <sheetFormatPr defaultRowHeight="15" x14ac:dyDescent="0.25"/>
  <cols>
    <col min="1" max="1" width="14.28515625" bestFit="1" customWidth="1"/>
    <col min="2" max="5" width="11.140625" customWidth="1"/>
  </cols>
  <sheetData>
    <row r="1" spans="1:5" x14ac:dyDescent="0.25">
      <c r="A1" s="1" t="s">
        <v>12</v>
      </c>
      <c r="B1" s="2" t="s">
        <v>13</v>
      </c>
      <c r="C1" s="2" t="s">
        <v>14</v>
      </c>
      <c r="D1" s="2" t="s">
        <v>15</v>
      </c>
      <c r="E1" s="3" t="s">
        <v>6</v>
      </c>
    </row>
    <row r="2" spans="1:5" x14ac:dyDescent="0.25">
      <c r="A2" s="4" t="s">
        <v>0</v>
      </c>
      <c r="B2" s="5">
        <v>4.2699999999999996</v>
      </c>
      <c r="C2" s="5">
        <v>4.5199999999999996</v>
      </c>
      <c r="D2" s="5">
        <v>4.4800000000000004</v>
      </c>
      <c r="E2" s="6">
        <v>3.92</v>
      </c>
    </row>
    <row r="3" spans="1:5" x14ac:dyDescent="0.25">
      <c r="A3" s="4" t="s">
        <v>3</v>
      </c>
      <c r="B3" s="5">
        <v>3.5</v>
      </c>
      <c r="C3" s="5">
        <v>3.6</v>
      </c>
      <c r="D3" s="5">
        <v>3.1</v>
      </c>
      <c r="E3" s="6">
        <v>3</v>
      </c>
    </row>
    <row r="4" spans="1:5" x14ac:dyDescent="0.25">
      <c r="A4" s="7" t="s">
        <v>4</v>
      </c>
      <c r="B4" s="8">
        <f>C4</f>
        <v>2.3299274242445156</v>
      </c>
      <c r="C4" s="8">
        <f>D4</f>
        <v>2.3299274242445156</v>
      </c>
      <c r="D4" s="8">
        <f>E4</f>
        <v>2.3299274242445156</v>
      </c>
      <c r="E4" s="9">
        <v>2.3299274242445156</v>
      </c>
    </row>
    <row r="5" spans="1:5" x14ac:dyDescent="0.25">
      <c r="A5" s="10"/>
      <c r="B5" s="10"/>
      <c r="C5" s="10"/>
      <c r="D5" s="10"/>
      <c r="E5" s="10"/>
    </row>
    <row r="6" spans="1:5" x14ac:dyDescent="0.25">
      <c r="A6" s="1" t="s">
        <v>1</v>
      </c>
      <c r="B6" s="2" t="s">
        <v>6</v>
      </c>
      <c r="C6" s="2" t="s">
        <v>7</v>
      </c>
      <c r="D6" s="2" t="s">
        <v>8</v>
      </c>
      <c r="E6" s="3" t="s">
        <v>9</v>
      </c>
    </row>
    <row r="7" spans="1:5" x14ac:dyDescent="0.25">
      <c r="A7" s="4" t="s">
        <v>0</v>
      </c>
      <c r="B7" s="5">
        <v>2.68</v>
      </c>
      <c r="C7" s="5">
        <v>3.51</v>
      </c>
      <c r="D7" s="5">
        <v>2.0099999999999998</v>
      </c>
      <c r="E7" s="6">
        <v>1.65</v>
      </c>
    </row>
    <row r="8" spans="1:5" x14ac:dyDescent="0.25">
      <c r="A8" s="4" t="s">
        <v>3</v>
      </c>
      <c r="B8" s="5">
        <v>2.5</v>
      </c>
      <c r="C8" s="5">
        <v>2.5</v>
      </c>
      <c r="D8" s="5">
        <v>3.9</v>
      </c>
      <c r="E8" s="6">
        <v>3.9</v>
      </c>
    </row>
    <row r="9" spans="1:5" x14ac:dyDescent="0.25">
      <c r="A9" s="7" t="s">
        <v>4</v>
      </c>
      <c r="B9" s="8">
        <f>C9</f>
        <v>3.7720181748625681</v>
      </c>
      <c r="C9" s="8">
        <f>D9</f>
        <v>3.7720181748625681</v>
      </c>
      <c r="D9" s="8">
        <f>E9</f>
        <v>3.7720181748625681</v>
      </c>
      <c r="E9" s="9">
        <v>3.7720181748625681</v>
      </c>
    </row>
    <row r="10" spans="1:5" x14ac:dyDescent="0.25">
      <c r="A10" s="10"/>
      <c r="B10" s="10"/>
      <c r="C10" s="10"/>
      <c r="D10" s="10"/>
      <c r="E10" s="10"/>
    </row>
    <row r="11" spans="1:5" x14ac:dyDescent="0.25">
      <c r="A11" s="1" t="s">
        <v>2</v>
      </c>
      <c r="B11" s="2" t="s">
        <v>9</v>
      </c>
      <c r="C11" s="2" t="s">
        <v>10</v>
      </c>
      <c r="D11" s="2" t="s">
        <v>11</v>
      </c>
      <c r="E11" s="3" t="s">
        <v>5</v>
      </c>
    </row>
    <row r="12" spans="1:5" x14ac:dyDescent="0.25">
      <c r="A12" s="4" t="s">
        <v>0</v>
      </c>
      <c r="B12" s="5">
        <v>2.35</v>
      </c>
      <c r="C12" s="5">
        <v>3</v>
      </c>
      <c r="D12" s="5">
        <v>0.11</v>
      </c>
      <c r="E12" s="6">
        <v>0.74</v>
      </c>
    </row>
    <row r="13" spans="1:5" x14ac:dyDescent="0.25">
      <c r="A13" s="4" t="s">
        <v>3</v>
      </c>
      <c r="B13" s="5">
        <v>1.5</v>
      </c>
      <c r="C13" s="5">
        <v>2.9</v>
      </c>
      <c r="D13" s="5">
        <v>1</v>
      </c>
      <c r="E13" s="6">
        <v>1.1000000000000001</v>
      </c>
    </row>
    <row r="14" spans="1:5" x14ac:dyDescent="0.25">
      <c r="A14" s="7" t="s">
        <v>4</v>
      </c>
      <c r="B14" s="8">
        <f>C14</f>
        <v>-1.47</v>
      </c>
      <c r="C14" s="8">
        <f>D14</f>
        <v>-1.47</v>
      </c>
      <c r="D14" s="8">
        <f>E14</f>
        <v>-1.47</v>
      </c>
      <c r="E14" s="9">
        <v>-1.47</v>
      </c>
    </row>
    <row r="15" spans="1:5" x14ac:dyDescent="0.25">
      <c r="A15" s="10"/>
      <c r="B15" s="10"/>
      <c r="C15" s="10"/>
      <c r="D15" s="10"/>
      <c r="E15" s="10"/>
    </row>
    <row r="16" spans="1:5" x14ac:dyDescent="0.25">
      <c r="A16" s="1" t="s">
        <v>16</v>
      </c>
      <c r="B16" s="2" t="s">
        <v>5</v>
      </c>
      <c r="C16" s="2" t="s">
        <v>17</v>
      </c>
      <c r="D16" s="2" t="s">
        <v>18</v>
      </c>
      <c r="E16" s="3" t="s">
        <v>13</v>
      </c>
    </row>
    <row r="17" spans="1:5" x14ac:dyDescent="0.25">
      <c r="A17" s="4" t="s">
        <v>0</v>
      </c>
      <c r="B17" s="5">
        <v>4.1500000000000004</v>
      </c>
      <c r="C17" s="5">
        <v>5.14</v>
      </c>
      <c r="D17" s="5">
        <v>5.4</v>
      </c>
      <c r="E17" s="6"/>
    </row>
    <row r="18" spans="1:5" x14ac:dyDescent="0.25">
      <c r="A18" s="4" t="s">
        <v>3</v>
      </c>
      <c r="B18" s="5">
        <v>2.9</v>
      </c>
      <c r="C18" s="5">
        <v>2.9</v>
      </c>
      <c r="D18" s="5">
        <v>4.0999999999999996</v>
      </c>
      <c r="E18" s="6">
        <v>4.5</v>
      </c>
    </row>
    <row r="19" spans="1:5" x14ac:dyDescent="0.25">
      <c r="A19" s="7" t="s">
        <v>4</v>
      </c>
      <c r="B19" s="8"/>
      <c r="C19" s="8"/>
      <c r="D19" s="8"/>
      <c r="E19" s="9"/>
    </row>
    <row r="20" spans="1:5" x14ac:dyDescent="0.25">
      <c r="A20" s="10"/>
      <c r="B20" s="10"/>
      <c r="C20" s="10"/>
      <c r="D20" s="10"/>
      <c r="E20" s="10"/>
    </row>
    <row r="21" spans="1:5" x14ac:dyDescent="0.25">
      <c r="A21" s="11" t="s">
        <v>19</v>
      </c>
      <c r="B21" s="11"/>
      <c r="C21" s="11"/>
      <c r="D21" s="11"/>
      <c r="E21" s="11"/>
    </row>
  </sheetData>
  <mergeCells count="1">
    <mergeCell ref="A21:E2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E5F3A-BB2C-46A5-BCF5-B25C949A2124}">
  <dimension ref="A1:E2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26" sqref="E26"/>
    </sheetView>
  </sheetViews>
  <sheetFormatPr defaultRowHeight="15" x14ac:dyDescent="0.25"/>
  <cols>
    <col min="1" max="1" width="14.28515625" bestFit="1" customWidth="1"/>
    <col min="2" max="5" width="11.140625" customWidth="1"/>
  </cols>
  <sheetData>
    <row r="1" spans="1:5" x14ac:dyDescent="0.25">
      <c r="A1" s="1" t="s">
        <v>12</v>
      </c>
      <c r="B1" s="2" t="s">
        <v>13</v>
      </c>
      <c r="C1" s="2" t="s">
        <v>14</v>
      </c>
      <c r="D1" s="2" t="s">
        <v>15</v>
      </c>
      <c r="E1" s="3" t="s">
        <v>6</v>
      </c>
    </row>
    <row r="2" spans="1:5" x14ac:dyDescent="0.25">
      <c r="A2" s="4" t="s">
        <v>0</v>
      </c>
      <c r="B2" s="5">
        <v>4.26</v>
      </c>
      <c r="C2" s="5">
        <v>3.61</v>
      </c>
      <c r="D2" s="5">
        <v>4.22</v>
      </c>
      <c r="E2" s="6">
        <v>3.74</v>
      </c>
    </row>
    <row r="3" spans="1:5" x14ac:dyDescent="0.25">
      <c r="A3" s="4" t="s">
        <v>3</v>
      </c>
      <c r="B3" s="5">
        <v>3.5</v>
      </c>
      <c r="C3" s="5">
        <v>3.6</v>
      </c>
      <c r="D3" s="5">
        <v>3.1</v>
      </c>
      <c r="E3" s="6">
        <v>3</v>
      </c>
    </row>
    <row r="4" spans="1:5" x14ac:dyDescent="0.25">
      <c r="A4" s="7" t="s">
        <v>4</v>
      </c>
      <c r="B4" s="8">
        <f>C4</f>
        <v>2.3299274242445156</v>
      </c>
      <c r="C4" s="8">
        <f>D4</f>
        <v>2.3299274242445156</v>
      </c>
      <c r="D4" s="8">
        <f>E4</f>
        <v>2.3299274242445156</v>
      </c>
      <c r="E4" s="9">
        <v>2.3299274242445156</v>
      </c>
    </row>
    <row r="5" spans="1:5" x14ac:dyDescent="0.25">
      <c r="A5" s="10"/>
      <c r="B5" s="10"/>
      <c r="C5" s="10"/>
      <c r="D5" s="10"/>
      <c r="E5" s="10"/>
    </row>
    <row r="6" spans="1:5" x14ac:dyDescent="0.25">
      <c r="A6" s="1" t="s">
        <v>1</v>
      </c>
      <c r="B6" s="2" t="s">
        <v>6</v>
      </c>
      <c r="C6" s="2" t="s">
        <v>7</v>
      </c>
      <c r="D6" s="2" t="s">
        <v>8</v>
      </c>
      <c r="E6" s="3" t="s">
        <v>9</v>
      </c>
    </row>
    <row r="7" spans="1:5" x14ac:dyDescent="0.25">
      <c r="A7" s="4" t="s">
        <v>0</v>
      </c>
      <c r="B7" s="5">
        <v>3.23</v>
      </c>
      <c r="C7" s="5">
        <v>3.51</v>
      </c>
      <c r="D7" s="5">
        <v>2.74</v>
      </c>
      <c r="E7" s="6">
        <v>2.19</v>
      </c>
    </row>
    <row r="8" spans="1:5" x14ac:dyDescent="0.25">
      <c r="A8" s="4" t="s">
        <v>3</v>
      </c>
      <c r="B8" s="5">
        <v>2.5</v>
      </c>
      <c r="C8" s="5">
        <v>2.5</v>
      </c>
      <c r="D8" s="5">
        <v>3.9</v>
      </c>
      <c r="E8" s="6">
        <v>3.9</v>
      </c>
    </row>
    <row r="9" spans="1:5" x14ac:dyDescent="0.25">
      <c r="A9" s="7" t="s">
        <v>4</v>
      </c>
      <c r="B9" s="8">
        <f>C9</f>
        <v>3.7720181748625681</v>
      </c>
      <c r="C9" s="8">
        <f>D9</f>
        <v>3.7720181748625681</v>
      </c>
      <c r="D9" s="8">
        <f>E9</f>
        <v>3.7720181748625681</v>
      </c>
      <c r="E9" s="9">
        <v>3.7720181748625681</v>
      </c>
    </row>
    <row r="10" spans="1:5" x14ac:dyDescent="0.25">
      <c r="A10" s="10"/>
      <c r="B10" s="10"/>
      <c r="C10" s="10"/>
      <c r="D10" s="10"/>
      <c r="E10" s="10"/>
    </row>
    <row r="11" spans="1:5" x14ac:dyDescent="0.25">
      <c r="A11" s="1" t="s">
        <v>2</v>
      </c>
      <c r="B11" s="2" t="s">
        <v>9</v>
      </c>
      <c r="C11" s="2" t="s">
        <v>10</v>
      </c>
      <c r="D11" s="2" t="s">
        <v>11</v>
      </c>
      <c r="E11" s="3" t="s">
        <v>5</v>
      </c>
    </row>
    <row r="12" spans="1:5" x14ac:dyDescent="0.25">
      <c r="A12" s="4" t="s">
        <v>0</v>
      </c>
      <c r="B12" s="5">
        <v>2.06</v>
      </c>
      <c r="C12" s="5">
        <v>3.01</v>
      </c>
      <c r="D12" s="5">
        <v>1.05</v>
      </c>
      <c r="E12" s="6">
        <v>1.46</v>
      </c>
    </row>
    <row r="13" spans="1:5" x14ac:dyDescent="0.25">
      <c r="A13" s="4" t="s">
        <v>3</v>
      </c>
      <c r="B13" s="5">
        <v>1.5</v>
      </c>
      <c r="C13" s="5">
        <v>2.9</v>
      </c>
      <c r="D13" s="5">
        <v>1</v>
      </c>
      <c r="E13" s="6">
        <v>1.1000000000000001</v>
      </c>
    </row>
    <row r="14" spans="1:5" x14ac:dyDescent="0.25">
      <c r="A14" s="7" t="s">
        <v>4</v>
      </c>
      <c r="B14" s="8">
        <f>C14</f>
        <v>-1.47</v>
      </c>
      <c r="C14" s="8">
        <f>D14</f>
        <v>-1.47</v>
      </c>
      <c r="D14" s="8">
        <f>E14</f>
        <v>-1.47</v>
      </c>
      <c r="E14" s="9">
        <v>-1.47</v>
      </c>
    </row>
    <row r="15" spans="1:5" x14ac:dyDescent="0.25">
      <c r="A15" s="10"/>
      <c r="B15" s="10"/>
      <c r="C15" s="10"/>
      <c r="D15" s="10"/>
      <c r="E15" s="10"/>
    </row>
    <row r="16" spans="1:5" x14ac:dyDescent="0.25">
      <c r="A16" s="1" t="s">
        <v>16</v>
      </c>
      <c r="B16" s="2" t="s">
        <v>5</v>
      </c>
      <c r="C16" s="2" t="s">
        <v>17</v>
      </c>
      <c r="D16" s="2" t="s">
        <v>18</v>
      </c>
      <c r="E16" s="3" t="s">
        <v>13</v>
      </c>
    </row>
    <row r="17" spans="1:5" x14ac:dyDescent="0.25">
      <c r="A17" s="4" t="s">
        <v>0</v>
      </c>
      <c r="B17" s="5">
        <v>4.2699999999999996</v>
      </c>
      <c r="C17" s="5">
        <v>4.43</v>
      </c>
      <c r="D17" s="5">
        <v>3.5</v>
      </c>
      <c r="E17" s="6">
        <v>2.78</v>
      </c>
    </row>
    <row r="18" spans="1:5" x14ac:dyDescent="0.25">
      <c r="A18" s="4" t="s">
        <v>3</v>
      </c>
      <c r="B18" s="5">
        <v>2.9</v>
      </c>
      <c r="C18" s="5">
        <v>2.9</v>
      </c>
      <c r="D18" s="5">
        <v>4.0999999999999996</v>
      </c>
      <c r="E18" s="6">
        <v>4.5</v>
      </c>
    </row>
    <row r="19" spans="1:5" x14ac:dyDescent="0.25">
      <c r="A19" s="7" t="s">
        <v>4</v>
      </c>
      <c r="B19" s="8">
        <v>4.3600000000000003</v>
      </c>
      <c r="C19" s="8">
        <v>4.3600000000000003</v>
      </c>
      <c r="D19" s="8">
        <v>4.3600000000000003</v>
      </c>
      <c r="E19" s="9">
        <v>4.3600000000000003</v>
      </c>
    </row>
    <row r="20" spans="1:5" x14ac:dyDescent="0.25">
      <c r="A20" s="10"/>
      <c r="B20" s="10"/>
      <c r="C20" s="10"/>
      <c r="D20" s="10"/>
      <c r="E20" s="10"/>
    </row>
    <row r="21" spans="1:5" x14ac:dyDescent="0.25">
      <c r="A21" s="11" t="s">
        <v>19</v>
      </c>
      <c r="B21" s="11"/>
      <c r="C21" s="11"/>
      <c r="D21" s="11"/>
      <c r="E21" s="11"/>
    </row>
  </sheetData>
  <mergeCells count="1">
    <mergeCell ref="A21:E2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D7C0B-5323-4B6D-B586-6118EB34ADE8}">
  <dimension ref="A1:E2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32" sqref="D32"/>
    </sheetView>
  </sheetViews>
  <sheetFormatPr defaultRowHeight="15" x14ac:dyDescent="0.25"/>
  <cols>
    <col min="1" max="1" width="14.28515625" bestFit="1" customWidth="1"/>
    <col min="2" max="5" width="11.140625" customWidth="1"/>
  </cols>
  <sheetData>
    <row r="1" spans="1:5" x14ac:dyDescent="0.25">
      <c r="A1" s="1" t="s">
        <v>12</v>
      </c>
      <c r="B1" s="2" t="s">
        <v>13</v>
      </c>
      <c r="C1" s="2" t="s">
        <v>14</v>
      </c>
      <c r="D1" s="2" t="s">
        <v>15</v>
      </c>
      <c r="E1" s="3" t="s">
        <v>6</v>
      </c>
    </row>
    <row r="2" spans="1:5" x14ac:dyDescent="0.25">
      <c r="A2" s="4" t="s">
        <v>0</v>
      </c>
      <c r="B2" s="5">
        <v>4.04</v>
      </c>
      <c r="C2" s="5">
        <v>3.68</v>
      </c>
      <c r="D2" s="5">
        <v>4.1100000000000003</v>
      </c>
      <c r="E2" s="6">
        <v>3.61</v>
      </c>
    </row>
    <row r="3" spans="1:5" x14ac:dyDescent="0.25">
      <c r="A3" s="4" t="s">
        <v>3</v>
      </c>
      <c r="B3" s="5">
        <v>3.5</v>
      </c>
      <c r="C3" s="5">
        <v>3.6</v>
      </c>
      <c r="D3" s="5">
        <v>3.1</v>
      </c>
      <c r="E3" s="6">
        <v>3</v>
      </c>
    </row>
    <row r="4" spans="1:5" x14ac:dyDescent="0.25">
      <c r="A4" s="7" t="s">
        <v>4</v>
      </c>
      <c r="B4" s="8">
        <f>C4</f>
        <v>2.3299274242445156</v>
      </c>
      <c r="C4" s="8">
        <f>D4</f>
        <v>2.3299274242445156</v>
      </c>
      <c r="D4" s="8">
        <f>E4</f>
        <v>2.3299274242445156</v>
      </c>
      <c r="E4" s="9">
        <v>2.3299274242445156</v>
      </c>
    </row>
    <row r="5" spans="1:5" x14ac:dyDescent="0.25">
      <c r="A5" s="10"/>
      <c r="B5" s="10"/>
      <c r="C5" s="10"/>
      <c r="D5" s="10"/>
      <c r="E5" s="10"/>
    </row>
    <row r="6" spans="1:5" x14ac:dyDescent="0.25">
      <c r="A6" s="1" t="s">
        <v>1</v>
      </c>
      <c r="B6" s="2" t="s">
        <v>6</v>
      </c>
      <c r="C6" s="2" t="s">
        <v>7</v>
      </c>
      <c r="D6" s="2" t="s">
        <v>8</v>
      </c>
      <c r="E6" s="3" t="s">
        <v>9</v>
      </c>
    </row>
    <row r="7" spans="1:5" x14ac:dyDescent="0.25">
      <c r="A7" s="4" t="s">
        <v>0</v>
      </c>
      <c r="B7" s="5">
        <v>3.13</v>
      </c>
      <c r="C7" s="5">
        <v>4.1399999999999997</v>
      </c>
      <c r="D7" s="5">
        <v>2.97</v>
      </c>
      <c r="E7" s="6">
        <v>2.4</v>
      </c>
    </row>
    <row r="8" spans="1:5" x14ac:dyDescent="0.25">
      <c r="A8" s="4" t="s">
        <v>3</v>
      </c>
      <c r="B8" s="5">
        <v>2.5</v>
      </c>
      <c r="C8" s="5">
        <v>2.5</v>
      </c>
      <c r="D8" s="5">
        <v>3.9</v>
      </c>
      <c r="E8" s="6">
        <v>3.9</v>
      </c>
    </row>
    <row r="9" spans="1:5" x14ac:dyDescent="0.25">
      <c r="A9" s="7" t="s">
        <v>4</v>
      </c>
      <c r="B9" s="8">
        <f>C9</f>
        <v>3.7720181748625681</v>
      </c>
      <c r="C9" s="8">
        <f>D9</f>
        <v>3.7720181748625681</v>
      </c>
      <c r="D9" s="8">
        <f>E9</f>
        <v>3.7720181748625681</v>
      </c>
      <c r="E9" s="9">
        <v>3.7720181748625681</v>
      </c>
    </row>
    <row r="10" spans="1:5" x14ac:dyDescent="0.25">
      <c r="A10" s="10"/>
      <c r="B10" s="10"/>
      <c r="C10" s="10"/>
      <c r="D10" s="10"/>
      <c r="E10" s="10"/>
    </row>
    <row r="11" spans="1:5" x14ac:dyDescent="0.25">
      <c r="A11" s="1" t="s">
        <v>2</v>
      </c>
      <c r="B11" s="2" t="s">
        <v>9</v>
      </c>
      <c r="C11" s="2" t="s">
        <v>10</v>
      </c>
      <c r="D11" s="2" t="s">
        <v>11</v>
      </c>
      <c r="E11" s="3" t="s">
        <v>5</v>
      </c>
    </row>
    <row r="12" spans="1:5" x14ac:dyDescent="0.25">
      <c r="A12" s="4" t="s">
        <v>0</v>
      </c>
      <c r="B12" s="5">
        <v>2.2799999999999998</v>
      </c>
      <c r="C12" s="5">
        <v>3.56</v>
      </c>
      <c r="D12" s="5">
        <v>1.21</v>
      </c>
      <c r="E12" s="6">
        <v>1.6</v>
      </c>
    </row>
    <row r="13" spans="1:5" x14ac:dyDescent="0.25">
      <c r="A13" s="4" t="s">
        <v>3</v>
      </c>
      <c r="B13" s="5">
        <v>1.5</v>
      </c>
      <c r="C13" s="5">
        <v>2.9</v>
      </c>
      <c r="D13" s="5">
        <v>1</v>
      </c>
      <c r="E13" s="6">
        <v>1.1000000000000001</v>
      </c>
    </row>
    <row r="14" spans="1:5" x14ac:dyDescent="0.25">
      <c r="A14" s="7" t="s">
        <v>4</v>
      </c>
      <c r="B14" s="8">
        <f>C14</f>
        <v>-1.47</v>
      </c>
      <c r="C14" s="8">
        <f>D14</f>
        <v>-1.47</v>
      </c>
      <c r="D14" s="8">
        <f>E14</f>
        <v>-1.47</v>
      </c>
      <c r="E14" s="9">
        <v>-1.47</v>
      </c>
    </row>
    <row r="15" spans="1:5" x14ac:dyDescent="0.25">
      <c r="A15" s="10"/>
      <c r="B15" s="10"/>
      <c r="C15" s="10"/>
      <c r="D15" s="10"/>
      <c r="E15" s="10"/>
    </row>
    <row r="16" spans="1:5" x14ac:dyDescent="0.25">
      <c r="A16" s="10"/>
      <c r="B16" s="10"/>
      <c r="C16" s="10"/>
      <c r="D16" s="10"/>
      <c r="E16" s="10"/>
    </row>
    <row r="17" spans="1:5" x14ac:dyDescent="0.25">
      <c r="A17" s="1" t="s">
        <v>16</v>
      </c>
      <c r="B17" s="2" t="s">
        <v>5</v>
      </c>
      <c r="C17" s="2" t="s">
        <v>17</v>
      </c>
      <c r="D17" s="2" t="s">
        <v>18</v>
      </c>
      <c r="E17" s="3" t="s">
        <v>13</v>
      </c>
    </row>
    <row r="18" spans="1:5" x14ac:dyDescent="0.25">
      <c r="A18" s="4" t="s">
        <v>0</v>
      </c>
      <c r="B18" s="5">
        <v>3.95</v>
      </c>
      <c r="C18" s="5">
        <v>4.55</v>
      </c>
      <c r="D18" s="5">
        <v>3.47</v>
      </c>
      <c r="E18" s="6">
        <v>2.75</v>
      </c>
    </row>
    <row r="19" spans="1:5" x14ac:dyDescent="0.25">
      <c r="A19" s="4" t="s">
        <v>3</v>
      </c>
      <c r="B19" s="5">
        <v>2.9</v>
      </c>
      <c r="C19" s="5">
        <v>2.9</v>
      </c>
      <c r="D19" s="5">
        <v>4.0999999999999996</v>
      </c>
      <c r="E19" s="6">
        <v>4.5</v>
      </c>
    </row>
    <row r="20" spans="1:5" x14ac:dyDescent="0.25">
      <c r="A20" s="7" t="s">
        <v>4</v>
      </c>
      <c r="B20" s="8">
        <v>4.3600000000000003</v>
      </c>
      <c r="C20" s="8">
        <v>4.3600000000000003</v>
      </c>
      <c r="D20" s="8">
        <v>4.3600000000000003</v>
      </c>
      <c r="E20" s="9">
        <v>4.3600000000000003</v>
      </c>
    </row>
    <row r="21" spans="1:5" x14ac:dyDescent="0.25">
      <c r="A21" s="10"/>
      <c r="B21" s="10"/>
      <c r="C21" s="10"/>
      <c r="D21" s="10"/>
      <c r="E21" s="10"/>
    </row>
    <row r="22" spans="1:5" x14ac:dyDescent="0.25">
      <c r="A22" s="12" t="s">
        <v>19</v>
      </c>
      <c r="B22" s="12"/>
      <c r="C22" s="12"/>
      <c r="D22" s="12"/>
      <c r="E22" s="12"/>
    </row>
    <row r="23" spans="1:5" x14ac:dyDescent="0.25">
      <c r="A23" s="12" t="s">
        <v>20</v>
      </c>
      <c r="B23" s="12"/>
      <c r="C23" s="12"/>
      <c r="D23" s="12"/>
      <c r="E23" s="12"/>
    </row>
    <row r="24" spans="1:5" x14ac:dyDescent="0.25">
      <c r="A24" s="12"/>
      <c r="B24" s="12"/>
      <c r="C24" s="12"/>
      <c r="D24" s="12"/>
      <c r="E24" s="12"/>
    </row>
  </sheetData>
  <mergeCells count="3">
    <mergeCell ref="A22:E22"/>
    <mergeCell ref="A23:E23"/>
    <mergeCell ref="A24:E24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3C8DE-46B5-43E3-8C59-DEB0B053D302}">
  <dimension ref="A1:E2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37" sqref="C37"/>
    </sheetView>
  </sheetViews>
  <sheetFormatPr defaultRowHeight="15" x14ac:dyDescent="0.25"/>
  <cols>
    <col min="1" max="1" width="14.28515625" bestFit="1" customWidth="1"/>
    <col min="2" max="5" width="11.140625" customWidth="1"/>
  </cols>
  <sheetData>
    <row r="1" spans="1:5" x14ac:dyDescent="0.25">
      <c r="A1" s="1" t="s">
        <v>12</v>
      </c>
      <c r="B1" s="2" t="s">
        <v>13</v>
      </c>
      <c r="C1" s="2" t="s">
        <v>14</v>
      </c>
      <c r="D1" s="2" t="s">
        <v>15</v>
      </c>
      <c r="E1" s="3" t="s">
        <v>6</v>
      </c>
    </row>
    <row r="2" spans="1:5" x14ac:dyDescent="0.25">
      <c r="A2" s="4" t="s">
        <v>0</v>
      </c>
      <c r="B2" s="5">
        <v>4.21</v>
      </c>
      <c r="C2" s="5">
        <v>3.86</v>
      </c>
      <c r="D2" s="5">
        <v>4.3899999999999997</v>
      </c>
      <c r="E2" s="6">
        <v>3.89</v>
      </c>
    </row>
    <row r="3" spans="1:5" x14ac:dyDescent="0.25">
      <c r="A3" s="4" t="s">
        <v>3</v>
      </c>
      <c r="B3" s="5">
        <v>3.5</v>
      </c>
      <c r="C3" s="5">
        <v>3.6</v>
      </c>
      <c r="D3" s="5">
        <v>3.1</v>
      </c>
      <c r="E3" s="6">
        <v>3</v>
      </c>
    </row>
    <row r="4" spans="1:5" x14ac:dyDescent="0.25">
      <c r="A4" s="7" t="s">
        <v>4</v>
      </c>
      <c r="B4" s="8">
        <f>C4</f>
        <v>2.3299274242445156</v>
      </c>
      <c r="C4" s="8">
        <f>D4</f>
        <v>2.3299274242445156</v>
      </c>
      <c r="D4" s="8">
        <f>E4</f>
        <v>2.3299274242445156</v>
      </c>
      <c r="E4" s="9">
        <v>2.3299274242445156</v>
      </c>
    </row>
    <row r="5" spans="1:5" x14ac:dyDescent="0.25">
      <c r="A5" s="10"/>
      <c r="B5" s="10"/>
      <c r="C5" s="10"/>
      <c r="D5" s="10"/>
      <c r="E5" s="10"/>
    </row>
    <row r="6" spans="1:5" x14ac:dyDescent="0.25">
      <c r="A6" s="1" t="s">
        <v>1</v>
      </c>
      <c r="B6" s="2" t="s">
        <v>6</v>
      </c>
      <c r="C6" s="2" t="s">
        <v>7</v>
      </c>
      <c r="D6" s="2" t="s">
        <v>8</v>
      </c>
      <c r="E6" s="3" t="s">
        <v>9</v>
      </c>
    </row>
    <row r="7" spans="1:5" x14ac:dyDescent="0.25">
      <c r="A7" s="4" t="s">
        <v>0</v>
      </c>
      <c r="B7" s="5">
        <v>3.05</v>
      </c>
      <c r="C7" s="5">
        <v>3.69</v>
      </c>
      <c r="D7" s="5">
        <v>1.9</v>
      </c>
      <c r="E7" s="6">
        <v>1.48</v>
      </c>
    </row>
    <row r="8" spans="1:5" x14ac:dyDescent="0.25">
      <c r="A8" s="4" t="s">
        <v>3</v>
      </c>
      <c r="B8" s="5">
        <v>2.5</v>
      </c>
      <c r="C8" s="5">
        <v>2.5</v>
      </c>
      <c r="D8" s="5">
        <v>3.9</v>
      </c>
      <c r="E8" s="6">
        <v>3.9</v>
      </c>
    </row>
    <row r="9" spans="1:5" x14ac:dyDescent="0.25">
      <c r="A9" s="7" t="s">
        <v>4</v>
      </c>
      <c r="B9" s="8">
        <f>C9</f>
        <v>3.7720181748625681</v>
      </c>
      <c r="C9" s="8">
        <f>D9</f>
        <v>3.7720181748625681</v>
      </c>
      <c r="D9" s="8">
        <f>E9</f>
        <v>3.7720181748625681</v>
      </c>
      <c r="E9" s="9">
        <v>3.7720181748625681</v>
      </c>
    </row>
    <row r="10" spans="1:5" x14ac:dyDescent="0.25">
      <c r="A10" s="10"/>
      <c r="B10" s="10"/>
      <c r="C10" s="10"/>
      <c r="D10" s="10"/>
      <c r="E10" s="10"/>
    </row>
    <row r="11" spans="1:5" x14ac:dyDescent="0.25">
      <c r="A11" s="1" t="s">
        <v>2</v>
      </c>
      <c r="B11" s="2" t="s">
        <v>9</v>
      </c>
      <c r="C11" s="2" t="s">
        <v>10</v>
      </c>
      <c r="D11" s="2" t="s">
        <v>11</v>
      </c>
      <c r="E11" s="3" t="s">
        <v>5</v>
      </c>
    </row>
    <row r="12" spans="1:5" x14ac:dyDescent="0.25">
      <c r="A12" s="4" t="s">
        <v>0</v>
      </c>
      <c r="B12" s="5">
        <v>1.75</v>
      </c>
      <c r="C12" s="5">
        <v>2.16</v>
      </c>
      <c r="D12" s="5">
        <v>0</v>
      </c>
      <c r="E12" s="6">
        <v>0.56000000000000005</v>
      </c>
    </row>
    <row r="13" spans="1:5" x14ac:dyDescent="0.25">
      <c r="A13" s="4" t="s">
        <v>3</v>
      </c>
      <c r="B13" s="5">
        <v>1.5</v>
      </c>
      <c r="C13" s="5">
        <v>2.9</v>
      </c>
      <c r="D13" s="5">
        <v>1</v>
      </c>
      <c r="E13" s="6">
        <v>1.1000000000000001</v>
      </c>
    </row>
    <row r="14" spans="1:5" x14ac:dyDescent="0.25">
      <c r="A14" s="7" t="s">
        <v>4</v>
      </c>
      <c r="B14" s="8">
        <f>C14</f>
        <v>-1.47</v>
      </c>
      <c r="C14" s="8">
        <f>D14</f>
        <v>-1.47</v>
      </c>
      <c r="D14" s="8">
        <f>E14</f>
        <v>-1.47</v>
      </c>
      <c r="E14" s="9">
        <v>-1.47</v>
      </c>
    </row>
    <row r="15" spans="1:5" x14ac:dyDescent="0.25">
      <c r="A15" s="10"/>
      <c r="B15" s="10"/>
      <c r="C15" s="10"/>
      <c r="D15" s="10"/>
      <c r="E15" s="10"/>
    </row>
    <row r="16" spans="1:5" x14ac:dyDescent="0.25">
      <c r="A16" s="1" t="s">
        <v>16</v>
      </c>
      <c r="B16" s="2" t="s">
        <v>5</v>
      </c>
      <c r="C16" s="2" t="s">
        <v>17</v>
      </c>
      <c r="D16" s="2" t="s">
        <v>18</v>
      </c>
      <c r="E16" s="3" t="s">
        <v>13</v>
      </c>
    </row>
    <row r="17" spans="1:5" x14ac:dyDescent="0.25">
      <c r="A17" s="4" t="s">
        <v>0</v>
      </c>
      <c r="B17" s="5">
        <v>4.84</v>
      </c>
      <c r="C17" s="5">
        <v>4.43</v>
      </c>
      <c r="D17" s="5">
        <v>3.57</v>
      </c>
      <c r="E17" s="6">
        <v>2.79</v>
      </c>
    </row>
    <row r="18" spans="1:5" x14ac:dyDescent="0.25">
      <c r="A18" s="4" t="s">
        <v>3</v>
      </c>
      <c r="B18" s="5">
        <v>2.9</v>
      </c>
      <c r="C18" s="5">
        <v>2.9</v>
      </c>
      <c r="D18" s="5">
        <v>4.0999999999999996</v>
      </c>
      <c r="E18" s="6">
        <v>4.5</v>
      </c>
    </row>
    <row r="19" spans="1:5" x14ac:dyDescent="0.25">
      <c r="A19" s="7" t="s">
        <v>4</v>
      </c>
      <c r="B19" s="8">
        <v>4.3600000000000003</v>
      </c>
      <c r="C19" s="8">
        <v>4.3600000000000003</v>
      </c>
      <c r="D19" s="8">
        <v>4.3600000000000003</v>
      </c>
      <c r="E19" s="9">
        <v>4.3600000000000003</v>
      </c>
    </row>
    <row r="20" spans="1:5" x14ac:dyDescent="0.25">
      <c r="A20" s="10"/>
      <c r="B20" s="10"/>
      <c r="C20" s="10"/>
      <c r="D20" s="10"/>
      <c r="E20" s="10"/>
    </row>
    <row r="21" spans="1:5" x14ac:dyDescent="0.25">
      <c r="A21" s="1" t="s">
        <v>21</v>
      </c>
      <c r="B21" s="2" t="s">
        <v>13</v>
      </c>
      <c r="C21" s="2" t="s">
        <v>14</v>
      </c>
      <c r="D21" s="2" t="s">
        <v>15</v>
      </c>
      <c r="E21" s="3" t="s">
        <v>6</v>
      </c>
    </row>
    <row r="22" spans="1:5" x14ac:dyDescent="0.25">
      <c r="A22" s="4" t="s">
        <v>0</v>
      </c>
      <c r="B22" s="5">
        <v>1.3</v>
      </c>
      <c r="C22" s="5">
        <v>1.28</v>
      </c>
      <c r="D22" s="5"/>
      <c r="E22" s="6"/>
    </row>
    <row r="23" spans="1:5" x14ac:dyDescent="0.25">
      <c r="A23" s="4" t="s">
        <v>3</v>
      </c>
      <c r="B23" s="5">
        <v>3.5</v>
      </c>
      <c r="C23" s="5">
        <v>3.5</v>
      </c>
      <c r="D23" s="5"/>
      <c r="E23" s="6"/>
    </row>
    <row r="24" spans="1:5" x14ac:dyDescent="0.25">
      <c r="A24" s="7" t="s">
        <v>4</v>
      </c>
      <c r="B24" s="8"/>
      <c r="C24" s="8"/>
      <c r="D24" s="8"/>
      <c r="E24" s="9"/>
    </row>
    <row r="25" spans="1:5" x14ac:dyDescent="0.25">
      <c r="A25" s="12" t="s">
        <v>19</v>
      </c>
      <c r="B25" s="12"/>
      <c r="C25" s="12"/>
      <c r="D25" s="12"/>
      <c r="E25" s="12"/>
    </row>
    <row r="26" spans="1:5" x14ac:dyDescent="0.25">
      <c r="A26" s="12" t="s">
        <v>20</v>
      </c>
      <c r="B26" s="12"/>
      <c r="C26" s="12"/>
      <c r="D26" s="12"/>
      <c r="E26" s="12"/>
    </row>
    <row r="27" spans="1:5" x14ac:dyDescent="0.25">
      <c r="A27" s="12" t="s">
        <v>22</v>
      </c>
      <c r="B27" s="12"/>
      <c r="C27" s="12"/>
      <c r="D27" s="12"/>
      <c r="E27" s="12"/>
    </row>
  </sheetData>
  <mergeCells count="3">
    <mergeCell ref="A25:E25"/>
    <mergeCell ref="A26:E26"/>
    <mergeCell ref="A27:E27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65270-FA63-4DAB-A79C-AD0E66CC99C4}">
  <dimension ref="A1:E2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5" x14ac:dyDescent="0.25"/>
  <cols>
    <col min="1" max="1" width="14.28515625" bestFit="1" customWidth="1"/>
    <col min="2" max="5" width="11.140625" customWidth="1"/>
  </cols>
  <sheetData>
    <row r="1" spans="1:5" x14ac:dyDescent="0.25">
      <c r="A1" s="1" t="s">
        <v>12</v>
      </c>
      <c r="B1" s="2" t="s">
        <v>13</v>
      </c>
      <c r="C1" s="2" t="s">
        <v>14</v>
      </c>
      <c r="D1" s="2" t="s">
        <v>15</v>
      </c>
      <c r="E1" s="3" t="s">
        <v>6</v>
      </c>
    </row>
    <row r="2" spans="1:5" x14ac:dyDescent="0.25">
      <c r="A2" s="4" t="s">
        <v>0</v>
      </c>
      <c r="B2" s="5">
        <v>4.51</v>
      </c>
      <c r="C2" s="5">
        <v>4.03</v>
      </c>
      <c r="D2" s="5">
        <v>4.3899999999999997</v>
      </c>
      <c r="E2" s="6">
        <v>3.81</v>
      </c>
    </row>
    <row r="3" spans="1:5" x14ac:dyDescent="0.25">
      <c r="A3" s="4" t="s">
        <v>3</v>
      </c>
      <c r="B3" s="5">
        <v>3.5</v>
      </c>
      <c r="C3" s="5">
        <v>3.6</v>
      </c>
      <c r="D3" s="5">
        <v>3.1</v>
      </c>
      <c r="E3" s="6">
        <v>3</v>
      </c>
    </row>
    <row r="4" spans="1:5" x14ac:dyDescent="0.25">
      <c r="A4" s="7" t="s">
        <v>4</v>
      </c>
      <c r="B4" s="8">
        <f>C4</f>
        <v>2.3299274242445156</v>
      </c>
      <c r="C4" s="8">
        <f>D4</f>
        <v>2.3299274242445156</v>
      </c>
      <c r="D4" s="8">
        <f>E4</f>
        <v>2.3299274242445156</v>
      </c>
      <c r="E4" s="9">
        <v>2.3299274242445156</v>
      </c>
    </row>
    <row r="5" spans="1:5" x14ac:dyDescent="0.25">
      <c r="A5" s="10"/>
      <c r="B5" s="10"/>
      <c r="C5" s="10"/>
      <c r="D5" s="10"/>
      <c r="E5" s="10"/>
    </row>
    <row r="6" spans="1:5" x14ac:dyDescent="0.25">
      <c r="A6" s="1" t="s">
        <v>1</v>
      </c>
      <c r="B6" s="2" t="s">
        <v>6</v>
      </c>
      <c r="C6" s="2" t="s">
        <v>7</v>
      </c>
      <c r="D6" s="2" t="s">
        <v>8</v>
      </c>
      <c r="E6" s="3" t="s">
        <v>9</v>
      </c>
    </row>
    <row r="7" spans="1:5" x14ac:dyDescent="0.25">
      <c r="A7" s="4" t="s">
        <v>0</v>
      </c>
      <c r="B7" s="5">
        <v>3</v>
      </c>
      <c r="C7" s="5">
        <v>3.67</v>
      </c>
      <c r="D7" s="5">
        <v>1.92</v>
      </c>
      <c r="E7" s="6">
        <v>1.51</v>
      </c>
    </row>
    <row r="8" spans="1:5" x14ac:dyDescent="0.25">
      <c r="A8" s="4" t="s">
        <v>3</v>
      </c>
      <c r="B8" s="5">
        <v>2.5</v>
      </c>
      <c r="C8" s="5">
        <v>2.5</v>
      </c>
      <c r="D8" s="5">
        <v>3.9</v>
      </c>
      <c r="E8" s="6">
        <v>3.9</v>
      </c>
    </row>
    <row r="9" spans="1:5" x14ac:dyDescent="0.25">
      <c r="A9" s="7" t="s">
        <v>4</v>
      </c>
      <c r="B9" s="8">
        <f>C9</f>
        <v>3.7720181748625681</v>
      </c>
      <c r="C9" s="8">
        <f>D9</f>
        <v>3.7720181748625681</v>
      </c>
      <c r="D9" s="8">
        <f>E9</f>
        <v>3.7720181748625681</v>
      </c>
      <c r="E9" s="9">
        <v>3.7720181748625681</v>
      </c>
    </row>
    <row r="10" spans="1:5" x14ac:dyDescent="0.25">
      <c r="A10" s="10"/>
      <c r="B10" s="10"/>
      <c r="C10" s="10"/>
      <c r="D10" s="10"/>
      <c r="E10" s="10"/>
    </row>
    <row r="11" spans="1:5" x14ac:dyDescent="0.25">
      <c r="A11" s="1" t="s">
        <v>2</v>
      </c>
      <c r="B11" s="2" t="s">
        <v>9</v>
      </c>
      <c r="C11" s="2" t="s">
        <v>10</v>
      </c>
      <c r="D11" s="2" t="s">
        <v>11</v>
      </c>
      <c r="E11" s="3" t="s">
        <v>5</v>
      </c>
    </row>
    <row r="12" spans="1:5" x14ac:dyDescent="0.25">
      <c r="A12" s="4" t="s">
        <v>0</v>
      </c>
      <c r="B12" s="5">
        <v>1.69</v>
      </c>
      <c r="C12" s="5">
        <v>2.2000000000000002</v>
      </c>
      <c r="D12" s="5">
        <v>0</v>
      </c>
      <c r="E12" s="6">
        <v>0.51</v>
      </c>
    </row>
    <row r="13" spans="1:5" x14ac:dyDescent="0.25">
      <c r="A13" s="4" t="s">
        <v>3</v>
      </c>
      <c r="B13" s="5">
        <v>1.5</v>
      </c>
      <c r="C13" s="5">
        <v>2.9</v>
      </c>
      <c r="D13" s="5">
        <v>1</v>
      </c>
      <c r="E13" s="6">
        <v>1.1000000000000001</v>
      </c>
    </row>
    <row r="14" spans="1:5" x14ac:dyDescent="0.25">
      <c r="A14" s="7" t="s">
        <v>4</v>
      </c>
      <c r="B14" s="8">
        <f>C14</f>
        <v>-1.47</v>
      </c>
      <c r="C14" s="8">
        <f>D14</f>
        <v>-1.47</v>
      </c>
      <c r="D14" s="8">
        <f>E14</f>
        <v>-1.47</v>
      </c>
      <c r="E14" s="9">
        <v>-1.47</v>
      </c>
    </row>
    <row r="15" spans="1:5" x14ac:dyDescent="0.25">
      <c r="A15" s="10"/>
      <c r="B15" s="10"/>
      <c r="C15" s="10"/>
      <c r="D15" s="10"/>
      <c r="E15" s="10"/>
    </row>
    <row r="16" spans="1:5" x14ac:dyDescent="0.25">
      <c r="A16" s="1" t="s">
        <v>16</v>
      </c>
      <c r="B16" s="2" t="s">
        <v>5</v>
      </c>
      <c r="C16" s="2" t="s">
        <v>17</v>
      </c>
      <c r="D16" s="2" t="s">
        <v>18</v>
      </c>
      <c r="E16" s="3" t="s">
        <v>13</v>
      </c>
    </row>
    <row r="17" spans="1:5" x14ac:dyDescent="0.25">
      <c r="A17" s="4" t="s">
        <v>0</v>
      </c>
      <c r="B17" s="5">
        <v>5.21</v>
      </c>
      <c r="C17" s="5">
        <v>4.66</v>
      </c>
      <c r="D17" s="5">
        <v>3.91</v>
      </c>
      <c r="E17" s="6">
        <v>3.79</v>
      </c>
    </row>
    <row r="18" spans="1:5" x14ac:dyDescent="0.25">
      <c r="A18" s="4" t="s">
        <v>3</v>
      </c>
      <c r="B18" s="5">
        <v>2.9</v>
      </c>
      <c r="C18" s="5">
        <v>2.9</v>
      </c>
      <c r="D18" s="5">
        <v>4.0999999999999996</v>
      </c>
      <c r="E18" s="6">
        <v>4.5</v>
      </c>
    </row>
    <row r="19" spans="1:5" x14ac:dyDescent="0.25">
      <c r="A19" s="7" t="s">
        <v>4</v>
      </c>
      <c r="B19" s="8">
        <v>4.3600000000000003</v>
      </c>
      <c r="C19" s="8">
        <v>4.3600000000000003</v>
      </c>
      <c r="D19" s="8">
        <v>4.3600000000000003</v>
      </c>
      <c r="E19" s="9">
        <v>4.3600000000000003</v>
      </c>
    </row>
    <row r="20" spans="1:5" x14ac:dyDescent="0.25">
      <c r="A20" s="10"/>
      <c r="B20" s="10"/>
      <c r="C20" s="10"/>
      <c r="D20" s="10"/>
      <c r="E20" s="10"/>
    </row>
    <row r="21" spans="1:5" x14ac:dyDescent="0.25">
      <c r="A21" s="1" t="s">
        <v>21</v>
      </c>
      <c r="B21" s="2" t="s">
        <v>13</v>
      </c>
      <c r="C21" s="2" t="s">
        <v>14</v>
      </c>
      <c r="D21" s="2" t="s">
        <v>15</v>
      </c>
      <c r="E21" s="3" t="s">
        <v>6</v>
      </c>
    </row>
    <row r="22" spans="1:5" x14ac:dyDescent="0.25">
      <c r="A22" s="4" t="s">
        <v>0</v>
      </c>
      <c r="B22" s="5">
        <v>2.88</v>
      </c>
      <c r="C22" s="5">
        <v>3.57</v>
      </c>
      <c r="D22" s="5"/>
      <c r="E22" s="6"/>
    </row>
    <row r="23" spans="1:5" x14ac:dyDescent="0.25">
      <c r="A23" s="4" t="s">
        <v>3</v>
      </c>
      <c r="B23" s="5">
        <v>3.5</v>
      </c>
      <c r="C23" s="5">
        <v>3.5</v>
      </c>
      <c r="D23" s="5"/>
      <c r="E23" s="6"/>
    </row>
    <row r="24" spans="1:5" x14ac:dyDescent="0.25">
      <c r="A24" s="7" t="s">
        <v>4</v>
      </c>
      <c r="B24" s="8"/>
      <c r="C24" s="8"/>
      <c r="D24" s="8"/>
      <c r="E24" s="9"/>
    </row>
    <row r="25" spans="1:5" x14ac:dyDescent="0.25">
      <c r="A25" s="12" t="s">
        <v>19</v>
      </c>
      <c r="B25" s="12"/>
      <c r="C25" s="12"/>
      <c r="D25" s="12"/>
      <c r="E25" s="12"/>
    </row>
    <row r="26" spans="1:5" x14ac:dyDescent="0.25">
      <c r="A26" s="12" t="s">
        <v>20</v>
      </c>
      <c r="B26" s="12"/>
      <c r="C26" s="12"/>
      <c r="D26" s="12"/>
      <c r="E26" s="12"/>
    </row>
    <row r="27" spans="1:5" x14ac:dyDescent="0.25">
      <c r="A27" s="12" t="s">
        <v>22</v>
      </c>
      <c r="B27" s="12"/>
      <c r="C27" s="12"/>
      <c r="D27" s="12"/>
      <c r="E27" s="12"/>
    </row>
  </sheetData>
  <mergeCells count="3">
    <mergeCell ref="A25:E25"/>
    <mergeCell ref="A26:E26"/>
    <mergeCell ref="A27:E27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A2391-0B94-42E1-8423-C5EAE1A1BE08}">
  <dimension ref="A1:E2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G37" sqref="G37"/>
    </sheetView>
  </sheetViews>
  <sheetFormatPr defaultRowHeight="15" x14ac:dyDescent="0.25"/>
  <cols>
    <col min="1" max="1" width="14.28515625" bestFit="1" customWidth="1"/>
    <col min="2" max="5" width="11.140625" customWidth="1"/>
  </cols>
  <sheetData>
    <row r="1" spans="1:5" x14ac:dyDescent="0.25">
      <c r="A1" s="1" t="s">
        <v>12</v>
      </c>
      <c r="B1" s="2" t="s">
        <v>13</v>
      </c>
      <c r="C1" s="2" t="s">
        <v>14</v>
      </c>
      <c r="D1" s="2" t="s">
        <v>15</v>
      </c>
      <c r="E1" s="3" t="s">
        <v>6</v>
      </c>
    </row>
    <row r="2" spans="1:5" x14ac:dyDescent="0.25">
      <c r="A2" s="4" t="s">
        <v>0</v>
      </c>
      <c r="B2" s="5">
        <v>4.34</v>
      </c>
      <c r="C2" s="5">
        <v>3.93</v>
      </c>
      <c r="D2" s="5">
        <v>4.3600000000000003</v>
      </c>
      <c r="E2" s="6">
        <v>3.73</v>
      </c>
    </row>
    <row r="3" spans="1:5" x14ac:dyDescent="0.25">
      <c r="A3" s="4" t="s">
        <v>3</v>
      </c>
      <c r="B3" s="5">
        <v>3.5</v>
      </c>
      <c r="C3" s="5">
        <v>3.6</v>
      </c>
      <c r="D3" s="5">
        <v>3.1</v>
      </c>
      <c r="E3" s="6">
        <v>3</v>
      </c>
    </row>
    <row r="4" spans="1:5" x14ac:dyDescent="0.25">
      <c r="A4" s="7" t="s">
        <v>4</v>
      </c>
      <c r="B4" s="8">
        <f>C4</f>
        <v>2.3299274242445156</v>
      </c>
      <c r="C4" s="8">
        <f>D4</f>
        <v>2.3299274242445156</v>
      </c>
      <c r="D4" s="8">
        <f>E4</f>
        <v>2.3299274242445156</v>
      </c>
      <c r="E4" s="9">
        <v>2.3299274242445156</v>
      </c>
    </row>
    <row r="5" spans="1:5" x14ac:dyDescent="0.25">
      <c r="A5" s="10"/>
      <c r="B5" s="10"/>
      <c r="C5" s="10"/>
      <c r="D5" s="10"/>
      <c r="E5" s="10"/>
    </row>
    <row r="6" spans="1:5" x14ac:dyDescent="0.25">
      <c r="A6" s="1" t="s">
        <v>1</v>
      </c>
      <c r="B6" s="2" t="s">
        <v>6</v>
      </c>
      <c r="C6" s="2" t="s">
        <v>7</v>
      </c>
      <c r="D6" s="2" t="s">
        <v>8</v>
      </c>
      <c r="E6" s="3" t="s">
        <v>9</v>
      </c>
    </row>
    <row r="7" spans="1:5" x14ac:dyDescent="0.25">
      <c r="A7" s="4" t="s">
        <v>0</v>
      </c>
      <c r="B7" s="5">
        <v>3</v>
      </c>
      <c r="C7" s="5">
        <v>3.88</v>
      </c>
      <c r="D7" s="5">
        <v>2.19</v>
      </c>
      <c r="E7" s="6">
        <v>1.84</v>
      </c>
    </row>
    <row r="8" spans="1:5" x14ac:dyDescent="0.25">
      <c r="A8" s="4" t="s">
        <v>3</v>
      </c>
      <c r="B8" s="5">
        <v>2.5</v>
      </c>
      <c r="C8" s="5">
        <v>2.5</v>
      </c>
      <c r="D8" s="5">
        <v>3.9</v>
      </c>
      <c r="E8" s="6">
        <v>3.9</v>
      </c>
    </row>
    <row r="9" spans="1:5" x14ac:dyDescent="0.25">
      <c r="A9" s="7" t="s">
        <v>4</v>
      </c>
      <c r="B9" s="8">
        <f>C9</f>
        <v>3.7720181748625681</v>
      </c>
      <c r="C9" s="8">
        <f>D9</f>
        <v>3.7720181748625681</v>
      </c>
      <c r="D9" s="8">
        <f>E9</f>
        <v>3.7720181748625681</v>
      </c>
      <c r="E9" s="9">
        <v>3.7720181748625681</v>
      </c>
    </row>
    <row r="10" spans="1:5" x14ac:dyDescent="0.25">
      <c r="A10" s="10"/>
      <c r="B10" s="10"/>
      <c r="C10" s="10"/>
      <c r="D10" s="10"/>
      <c r="E10" s="10"/>
    </row>
    <row r="11" spans="1:5" x14ac:dyDescent="0.25">
      <c r="A11" s="1" t="s">
        <v>2</v>
      </c>
      <c r="B11" s="2" t="s">
        <v>9</v>
      </c>
      <c r="C11" s="2" t="s">
        <v>10</v>
      </c>
      <c r="D11" s="2" t="s">
        <v>11</v>
      </c>
      <c r="E11" s="3" t="s">
        <v>5</v>
      </c>
    </row>
    <row r="12" spans="1:5" x14ac:dyDescent="0.25">
      <c r="A12" s="4" t="s">
        <v>0</v>
      </c>
      <c r="B12" s="5">
        <v>1.71</v>
      </c>
      <c r="C12" s="5">
        <v>2.39</v>
      </c>
      <c r="D12" s="5">
        <v>0.05</v>
      </c>
      <c r="E12" s="6">
        <v>0.53</v>
      </c>
    </row>
    <row r="13" spans="1:5" x14ac:dyDescent="0.25">
      <c r="A13" s="4" t="s">
        <v>3</v>
      </c>
      <c r="B13" s="5">
        <v>1.5</v>
      </c>
      <c r="C13" s="5">
        <v>2.9</v>
      </c>
      <c r="D13" s="5">
        <v>1</v>
      </c>
      <c r="E13" s="6">
        <v>1.1000000000000001</v>
      </c>
    </row>
    <row r="14" spans="1:5" x14ac:dyDescent="0.25">
      <c r="A14" s="7" t="s">
        <v>4</v>
      </c>
      <c r="B14" s="8">
        <f>C14</f>
        <v>-1.47</v>
      </c>
      <c r="C14" s="8">
        <f>D14</f>
        <v>-1.47</v>
      </c>
      <c r="D14" s="8">
        <f>E14</f>
        <v>-1.47</v>
      </c>
      <c r="E14" s="9">
        <v>-1.47</v>
      </c>
    </row>
    <row r="15" spans="1:5" x14ac:dyDescent="0.25">
      <c r="A15" s="10"/>
      <c r="B15" s="10"/>
      <c r="C15" s="10"/>
      <c r="D15" s="10"/>
      <c r="E15" s="10"/>
    </row>
    <row r="16" spans="1:5" x14ac:dyDescent="0.25">
      <c r="A16" s="1" t="s">
        <v>16</v>
      </c>
      <c r="B16" s="2" t="s">
        <v>5</v>
      </c>
      <c r="C16" s="2" t="s">
        <v>17</v>
      </c>
      <c r="D16" s="2" t="s">
        <v>18</v>
      </c>
      <c r="E16" s="3" t="s">
        <v>13</v>
      </c>
    </row>
    <row r="17" spans="1:5" x14ac:dyDescent="0.25">
      <c r="A17" s="4" t="s">
        <v>0</v>
      </c>
      <c r="B17" s="5">
        <v>4.99</v>
      </c>
      <c r="C17" s="5">
        <v>4.67</v>
      </c>
      <c r="D17" s="5">
        <v>3.92</v>
      </c>
      <c r="E17" s="6">
        <v>3.79</v>
      </c>
    </row>
    <row r="18" spans="1:5" x14ac:dyDescent="0.25">
      <c r="A18" s="4" t="s">
        <v>3</v>
      </c>
      <c r="B18" s="5">
        <v>2.9</v>
      </c>
      <c r="C18" s="5">
        <v>2.9</v>
      </c>
      <c r="D18" s="5">
        <v>4.0999999999999996</v>
      </c>
      <c r="E18" s="6">
        <v>4.5</v>
      </c>
    </row>
    <row r="19" spans="1:5" x14ac:dyDescent="0.25">
      <c r="A19" s="7" t="s">
        <v>4</v>
      </c>
      <c r="B19" s="8">
        <v>4.3600000000000003</v>
      </c>
      <c r="C19" s="8">
        <v>4.3600000000000003</v>
      </c>
      <c r="D19" s="8">
        <v>4.3600000000000003</v>
      </c>
      <c r="E19" s="9">
        <v>4.3600000000000003</v>
      </c>
    </row>
    <row r="20" spans="1:5" x14ac:dyDescent="0.25">
      <c r="A20" s="10"/>
      <c r="B20" s="10"/>
      <c r="C20" s="10"/>
      <c r="D20" s="10"/>
      <c r="E20" s="10"/>
    </row>
    <row r="21" spans="1:5" x14ac:dyDescent="0.25">
      <c r="A21" s="1" t="s">
        <v>21</v>
      </c>
      <c r="B21" s="2" t="s">
        <v>13</v>
      </c>
      <c r="C21" s="2" t="s">
        <v>14</v>
      </c>
      <c r="D21" s="2" t="s">
        <v>15</v>
      </c>
      <c r="E21" s="3" t="s">
        <v>6</v>
      </c>
    </row>
    <row r="22" spans="1:5" x14ac:dyDescent="0.25">
      <c r="A22" s="4" t="s">
        <v>0</v>
      </c>
      <c r="B22" s="5">
        <v>2.82</v>
      </c>
      <c r="C22" s="5">
        <v>2.73</v>
      </c>
      <c r="D22" s="5">
        <v>3.62</v>
      </c>
      <c r="E22" s="6"/>
    </row>
    <row r="23" spans="1:5" x14ac:dyDescent="0.25">
      <c r="A23" s="4" t="s">
        <v>3</v>
      </c>
      <c r="B23" s="5">
        <v>3.5</v>
      </c>
      <c r="C23" s="5">
        <v>3.5</v>
      </c>
      <c r="D23" s="5">
        <v>3.5</v>
      </c>
      <c r="E23" s="6"/>
    </row>
    <row r="24" spans="1:5" x14ac:dyDescent="0.25">
      <c r="A24" s="7" t="s">
        <v>4</v>
      </c>
      <c r="B24" s="8"/>
      <c r="C24" s="8"/>
      <c r="D24" s="8"/>
      <c r="E24" s="9"/>
    </row>
    <row r="25" spans="1:5" x14ac:dyDescent="0.25">
      <c r="A25" s="12" t="s">
        <v>19</v>
      </c>
      <c r="B25" s="12"/>
      <c r="C25" s="12"/>
      <c r="D25" s="12"/>
      <c r="E25" s="12"/>
    </row>
    <row r="26" spans="1:5" x14ac:dyDescent="0.25">
      <c r="A26" s="12" t="s">
        <v>20</v>
      </c>
      <c r="B26" s="12"/>
      <c r="C26" s="12"/>
      <c r="D26" s="12"/>
      <c r="E26" s="12"/>
    </row>
    <row r="27" spans="1:5" x14ac:dyDescent="0.25">
      <c r="A27" s="12" t="s">
        <v>22</v>
      </c>
      <c r="B27" s="12"/>
      <c r="C27" s="12"/>
      <c r="D27" s="12"/>
      <c r="E27" s="12"/>
    </row>
  </sheetData>
  <mergeCells count="3">
    <mergeCell ref="A25:E25"/>
    <mergeCell ref="A26:E26"/>
    <mergeCell ref="A27:E27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BF4F3-082D-4CF3-91CC-45158E667CEE}">
  <dimension ref="A1:E2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5" sqref="F5"/>
    </sheetView>
  </sheetViews>
  <sheetFormatPr defaultRowHeight="15" x14ac:dyDescent="0.25"/>
  <cols>
    <col min="1" max="1" width="14.28515625" bestFit="1" customWidth="1"/>
    <col min="2" max="5" width="11.140625" customWidth="1"/>
  </cols>
  <sheetData>
    <row r="1" spans="1:5" x14ac:dyDescent="0.25">
      <c r="A1" s="1" t="s">
        <v>12</v>
      </c>
      <c r="B1" s="2" t="s">
        <v>13</v>
      </c>
      <c r="C1" s="2" t="s">
        <v>14</v>
      </c>
      <c r="D1" s="2" t="s">
        <v>15</v>
      </c>
      <c r="E1" s="3" t="s">
        <v>6</v>
      </c>
    </row>
    <row r="2" spans="1:5" x14ac:dyDescent="0.25">
      <c r="A2" s="4" t="s">
        <v>0</v>
      </c>
      <c r="B2" s="5">
        <v>5.13</v>
      </c>
      <c r="C2" s="5">
        <v>4.5199999999999996</v>
      </c>
      <c r="D2" s="5">
        <v>3.79</v>
      </c>
      <c r="E2" s="6">
        <v>4.3600000000000003</v>
      </c>
    </row>
    <row r="3" spans="1:5" x14ac:dyDescent="0.25">
      <c r="A3" s="4" t="s">
        <v>3</v>
      </c>
      <c r="B3" s="5">
        <v>3.5</v>
      </c>
      <c r="C3" s="5">
        <v>3.6</v>
      </c>
      <c r="D3" s="5">
        <v>3.1</v>
      </c>
      <c r="E3" s="6">
        <v>3</v>
      </c>
    </row>
    <row r="4" spans="1:5" x14ac:dyDescent="0.25">
      <c r="A4" s="7" t="s">
        <v>4</v>
      </c>
      <c r="B4" s="8">
        <f>C4</f>
        <v>2.3299274242445156</v>
      </c>
      <c r="C4" s="8">
        <f>D4</f>
        <v>2.3299274242445156</v>
      </c>
      <c r="D4" s="8">
        <f>E4</f>
        <v>2.3299274242445156</v>
      </c>
      <c r="E4" s="9">
        <v>2.3299274242445156</v>
      </c>
    </row>
    <row r="5" spans="1:5" x14ac:dyDescent="0.25">
      <c r="A5" s="10"/>
      <c r="B5" s="10"/>
      <c r="C5" s="10"/>
      <c r="D5" s="10"/>
      <c r="E5" s="10"/>
    </row>
    <row r="6" spans="1:5" x14ac:dyDescent="0.25">
      <c r="A6" s="1" t="s">
        <v>1</v>
      </c>
      <c r="B6" s="2" t="s">
        <v>6</v>
      </c>
      <c r="C6" s="2" t="s">
        <v>7</v>
      </c>
      <c r="D6" s="2" t="s">
        <v>8</v>
      </c>
      <c r="E6" s="3" t="s">
        <v>9</v>
      </c>
    </row>
    <row r="7" spans="1:5" x14ac:dyDescent="0.25">
      <c r="A7" s="4" t="s">
        <v>0</v>
      </c>
      <c r="B7" s="5">
        <v>2.86</v>
      </c>
      <c r="C7" s="5">
        <v>3.13</v>
      </c>
      <c r="D7" s="5">
        <v>3</v>
      </c>
      <c r="E7" s="6">
        <v>2.44</v>
      </c>
    </row>
    <row r="8" spans="1:5" x14ac:dyDescent="0.25">
      <c r="A8" s="4" t="s">
        <v>3</v>
      </c>
      <c r="B8" s="5">
        <v>2.5</v>
      </c>
      <c r="C8" s="5">
        <v>2.5</v>
      </c>
      <c r="D8" s="5">
        <v>3.9</v>
      </c>
      <c r="E8" s="6">
        <v>3.9</v>
      </c>
    </row>
    <row r="9" spans="1:5" x14ac:dyDescent="0.25">
      <c r="A9" s="7" t="s">
        <v>4</v>
      </c>
      <c r="B9" s="8">
        <f>C9</f>
        <v>3.7720181748625681</v>
      </c>
      <c r="C9" s="8">
        <f>D9</f>
        <v>3.7720181748625681</v>
      </c>
      <c r="D9" s="8">
        <f>E9</f>
        <v>3.7720181748625681</v>
      </c>
      <c r="E9" s="9">
        <v>3.7720181748625681</v>
      </c>
    </row>
    <row r="10" spans="1:5" x14ac:dyDescent="0.25">
      <c r="A10" s="10"/>
      <c r="B10" s="10"/>
      <c r="C10" s="10"/>
      <c r="D10" s="10"/>
      <c r="E10" s="10"/>
    </row>
    <row r="11" spans="1:5" x14ac:dyDescent="0.25">
      <c r="A11" s="1" t="s">
        <v>2</v>
      </c>
      <c r="B11" s="2" t="s">
        <v>9</v>
      </c>
      <c r="C11" s="2" t="s">
        <v>10</v>
      </c>
      <c r="D11" s="2" t="s">
        <v>11</v>
      </c>
      <c r="E11" s="3" t="s">
        <v>5</v>
      </c>
    </row>
    <row r="12" spans="1:5" x14ac:dyDescent="0.25">
      <c r="A12" s="4" t="s">
        <v>0</v>
      </c>
      <c r="B12" s="5">
        <v>2.33</v>
      </c>
      <c r="C12" s="5">
        <v>2.27</v>
      </c>
      <c r="D12" s="5">
        <v>1.1299999999999999</v>
      </c>
      <c r="E12" s="6">
        <v>0.93</v>
      </c>
    </row>
    <row r="13" spans="1:5" x14ac:dyDescent="0.25">
      <c r="A13" s="4" t="s">
        <v>3</v>
      </c>
      <c r="B13" s="5">
        <v>1.5</v>
      </c>
      <c r="C13" s="5">
        <v>2.9</v>
      </c>
      <c r="D13" s="5">
        <v>1</v>
      </c>
      <c r="E13" s="6">
        <v>1.1000000000000001</v>
      </c>
    </row>
    <row r="14" spans="1:5" x14ac:dyDescent="0.25">
      <c r="A14" s="7" t="s">
        <v>4</v>
      </c>
      <c r="B14" s="8">
        <f>C14</f>
        <v>-1.47</v>
      </c>
      <c r="C14" s="8">
        <f>D14</f>
        <v>-1.47</v>
      </c>
      <c r="D14" s="8">
        <f>E14</f>
        <v>-1.47</v>
      </c>
      <c r="E14" s="9">
        <v>-1.47</v>
      </c>
    </row>
    <row r="15" spans="1:5" x14ac:dyDescent="0.25">
      <c r="A15" s="10"/>
      <c r="B15" s="10"/>
      <c r="C15" s="10"/>
      <c r="D15" s="10"/>
      <c r="E15" s="10"/>
    </row>
    <row r="16" spans="1:5" x14ac:dyDescent="0.25">
      <c r="A16" s="1" t="s">
        <v>16</v>
      </c>
      <c r="B16" s="2" t="s">
        <v>5</v>
      </c>
      <c r="C16" s="2" t="s">
        <v>17</v>
      </c>
      <c r="D16" s="2" t="s">
        <v>18</v>
      </c>
      <c r="E16" s="3" t="s">
        <v>13</v>
      </c>
    </row>
    <row r="17" spans="1:5" x14ac:dyDescent="0.25">
      <c r="A17" s="4" t="s">
        <v>0</v>
      </c>
      <c r="B17" s="5">
        <v>3.46</v>
      </c>
      <c r="C17" s="5">
        <v>3.66</v>
      </c>
      <c r="D17" s="5">
        <v>6.22</v>
      </c>
      <c r="E17" s="6">
        <v>3.2</v>
      </c>
    </row>
    <row r="18" spans="1:5" x14ac:dyDescent="0.25">
      <c r="A18" s="4" t="s">
        <v>3</v>
      </c>
      <c r="B18" s="5">
        <v>2.9</v>
      </c>
      <c r="C18" s="5">
        <v>2.9</v>
      </c>
      <c r="D18" s="5">
        <v>4.0999999999999996</v>
      </c>
      <c r="E18" s="6">
        <v>4.5</v>
      </c>
    </row>
    <row r="19" spans="1:5" x14ac:dyDescent="0.25">
      <c r="A19" s="7" t="s">
        <v>4</v>
      </c>
      <c r="B19" s="8">
        <v>4.3600000000000003</v>
      </c>
      <c r="C19" s="8">
        <v>4.3600000000000003</v>
      </c>
      <c r="D19" s="8">
        <v>4.3600000000000003</v>
      </c>
      <c r="E19" s="9">
        <v>4.3600000000000003</v>
      </c>
    </row>
    <row r="20" spans="1:5" x14ac:dyDescent="0.25">
      <c r="A20" s="10"/>
      <c r="B20" s="10"/>
      <c r="C20" s="10"/>
      <c r="D20" s="10"/>
      <c r="E20" s="10"/>
    </row>
    <row r="21" spans="1:5" x14ac:dyDescent="0.25">
      <c r="A21" s="1" t="s">
        <v>21</v>
      </c>
      <c r="B21" s="2" t="s">
        <v>13</v>
      </c>
      <c r="C21" s="2" t="s">
        <v>14</v>
      </c>
      <c r="D21" s="2" t="s">
        <v>15</v>
      </c>
      <c r="E21" s="3" t="s">
        <v>6</v>
      </c>
    </row>
    <row r="22" spans="1:5" x14ac:dyDescent="0.25">
      <c r="A22" s="4" t="s">
        <v>0</v>
      </c>
      <c r="B22" s="5">
        <v>2.68</v>
      </c>
      <c r="C22" s="5">
        <v>1.52</v>
      </c>
      <c r="D22" s="5">
        <v>3.16</v>
      </c>
      <c r="E22" s="6"/>
    </row>
    <row r="23" spans="1:5" x14ac:dyDescent="0.25">
      <c r="A23" s="4" t="s">
        <v>3</v>
      </c>
      <c r="B23" s="5">
        <v>3.5</v>
      </c>
      <c r="C23" s="5">
        <v>3.5</v>
      </c>
      <c r="D23" s="5">
        <v>3.5</v>
      </c>
      <c r="E23" s="6"/>
    </row>
    <row r="24" spans="1:5" x14ac:dyDescent="0.25">
      <c r="A24" s="7" t="s">
        <v>4</v>
      </c>
      <c r="B24" s="8"/>
      <c r="C24" s="8"/>
      <c r="D24" s="8"/>
      <c r="E24" s="9"/>
    </row>
    <row r="25" spans="1:5" x14ac:dyDescent="0.25">
      <c r="A25" s="12" t="s">
        <v>19</v>
      </c>
      <c r="B25" s="12"/>
      <c r="C25" s="12"/>
      <c r="D25" s="12"/>
      <c r="E25" s="12"/>
    </row>
    <row r="26" spans="1:5" x14ac:dyDescent="0.25">
      <c r="A26" s="12" t="s">
        <v>20</v>
      </c>
      <c r="B26" s="12"/>
      <c r="C26" s="12"/>
      <c r="D26" s="12"/>
      <c r="E26" s="12"/>
    </row>
    <row r="27" spans="1:5" x14ac:dyDescent="0.25">
      <c r="A27" s="12" t="s">
        <v>22</v>
      </c>
      <c r="B27" s="12"/>
      <c r="C27" s="12"/>
      <c r="D27" s="12"/>
      <c r="E27" s="12"/>
    </row>
  </sheetData>
  <mergeCells count="3">
    <mergeCell ref="A25:E25"/>
    <mergeCell ref="A26:E26"/>
    <mergeCell ref="A27:E27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F40F6-BEA0-4D9E-AE0B-3319F5C763F5}">
  <dimension ref="A1:F27"/>
  <sheetViews>
    <sheetView tabSelected="1" workbookViewId="0">
      <pane xSplit="1" ySplit="1" topLeftCell="B11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defaultRowHeight="15" x14ac:dyDescent="0.25"/>
  <cols>
    <col min="1" max="1" width="14.28515625" bestFit="1" customWidth="1"/>
    <col min="2" max="5" width="11.140625" customWidth="1"/>
  </cols>
  <sheetData>
    <row r="1" spans="1:6" x14ac:dyDescent="0.25">
      <c r="A1" s="1" t="s">
        <v>12</v>
      </c>
      <c r="B1" s="2" t="s">
        <v>13</v>
      </c>
      <c r="C1" s="2" t="s">
        <v>14</v>
      </c>
      <c r="D1" s="2" t="s">
        <v>15</v>
      </c>
      <c r="E1" s="2" t="s">
        <v>6</v>
      </c>
      <c r="F1" s="3" t="s">
        <v>7</v>
      </c>
    </row>
    <row r="2" spans="1:6" x14ac:dyDescent="0.25">
      <c r="A2" s="4" t="s">
        <v>0</v>
      </c>
      <c r="B2" s="5">
        <v>5.13</v>
      </c>
      <c r="C2" s="5">
        <v>4.5199999999999996</v>
      </c>
      <c r="D2" s="5">
        <v>3.79</v>
      </c>
      <c r="E2" s="5">
        <v>4.3600000000000003</v>
      </c>
      <c r="F2" s="6">
        <v>4.3600000000000003</v>
      </c>
    </row>
    <row r="3" spans="1:6" x14ac:dyDescent="0.25">
      <c r="A3" s="4" t="s">
        <v>3</v>
      </c>
      <c r="B3" s="5">
        <v>3.5</v>
      </c>
      <c r="C3" s="5">
        <v>3.6</v>
      </c>
      <c r="D3" s="5">
        <v>3.1</v>
      </c>
      <c r="E3" s="5">
        <v>3</v>
      </c>
      <c r="F3" s="6">
        <v>3</v>
      </c>
    </row>
    <row r="4" spans="1:6" x14ac:dyDescent="0.25">
      <c r="A4" s="7" t="s">
        <v>4</v>
      </c>
      <c r="B4" s="8">
        <f>C4</f>
        <v>2.3299274242445156</v>
      </c>
      <c r="C4" s="8">
        <f>D4</f>
        <v>2.3299274242445156</v>
      </c>
      <c r="D4" s="8">
        <f>E4</f>
        <v>2.3299274242445156</v>
      </c>
      <c r="E4" s="8">
        <v>2.3299274242445156</v>
      </c>
      <c r="F4" s="9">
        <v>2.3299274242445156</v>
      </c>
    </row>
    <row r="5" spans="1:6" x14ac:dyDescent="0.25">
      <c r="A5" s="10"/>
      <c r="B5" s="10"/>
      <c r="C5" s="10"/>
      <c r="D5" s="10"/>
      <c r="E5" s="10"/>
    </row>
    <row r="6" spans="1:6" x14ac:dyDescent="0.25">
      <c r="A6" s="1" t="s">
        <v>1</v>
      </c>
      <c r="B6" s="2" t="s">
        <v>6</v>
      </c>
      <c r="C6" s="2" t="s">
        <v>7</v>
      </c>
      <c r="D6" s="2" t="s">
        <v>8</v>
      </c>
      <c r="E6" s="2" t="s">
        <v>9</v>
      </c>
      <c r="F6" s="3" t="s">
        <v>10</v>
      </c>
    </row>
    <row r="7" spans="1:6" x14ac:dyDescent="0.25">
      <c r="A7" s="4" t="s">
        <v>0</v>
      </c>
      <c r="B7" s="5">
        <v>2.86</v>
      </c>
      <c r="C7" s="5">
        <v>3.13</v>
      </c>
      <c r="D7" s="5">
        <v>3</v>
      </c>
      <c r="E7" s="5">
        <v>2.44</v>
      </c>
      <c r="F7" s="6">
        <v>2.44</v>
      </c>
    </row>
    <row r="8" spans="1:6" x14ac:dyDescent="0.25">
      <c r="A8" s="4" t="s">
        <v>3</v>
      </c>
      <c r="B8" s="5">
        <v>2.5</v>
      </c>
      <c r="C8" s="5">
        <v>2.5</v>
      </c>
      <c r="D8" s="5">
        <v>3.9</v>
      </c>
      <c r="E8" s="5">
        <v>3.9</v>
      </c>
      <c r="F8" s="6">
        <v>3.9</v>
      </c>
    </row>
    <row r="9" spans="1:6" x14ac:dyDescent="0.25">
      <c r="A9" s="7" t="s">
        <v>4</v>
      </c>
      <c r="B9" s="8">
        <f>C9</f>
        <v>3.7720181748625681</v>
      </c>
      <c r="C9" s="8">
        <f>D9</f>
        <v>3.7720181748625681</v>
      </c>
      <c r="D9" s="8">
        <f>E9</f>
        <v>3.7720181748625681</v>
      </c>
      <c r="E9" s="8">
        <v>3.7720181748625681</v>
      </c>
      <c r="F9" s="9">
        <v>3.7720181748625681</v>
      </c>
    </row>
    <row r="10" spans="1:6" x14ac:dyDescent="0.25">
      <c r="A10" s="10"/>
      <c r="B10" s="10"/>
      <c r="C10" s="10"/>
      <c r="D10" s="10"/>
      <c r="E10" s="10"/>
    </row>
    <row r="11" spans="1:6" x14ac:dyDescent="0.25">
      <c r="A11" s="1" t="s">
        <v>2</v>
      </c>
      <c r="B11" s="2" t="s">
        <v>9</v>
      </c>
      <c r="C11" s="2" t="s">
        <v>10</v>
      </c>
      <c r="D11" s="2" t="s">
        <v>11</v>
      </c>
      <c r="E11" s="2" t="s">
        <v>5</v>
      </c>
      <c r="F11" s="3" t="s">
        <v>17</v>
      </c>
    </row>
    <row r="12" spans="1:6" x14ac:dyDescent="0.25">
      <c r="A12" s="4" t="s">
        <v>0</v>
      </c>
      <c r="B12" s="5">
        <v>2.33</v>
      </c>
      <c r="C12" s="5">
        <v>2.27</v>
      </c>
      <c r="D12" s="5">
        <v>1.1299999999999999</v>
      </c>
      <c r="E12" s="5">
        <v>0.93</v>
      </c>
      <c r="F12" s="6">
        <v>0.93</v>
      </c>
    </row>
    <row r="13" spans="1:6" x14ac:dyDescent="0.25">
      <c r="A13" s="4" t="s">
        <v>3</v>
      </c>
      <c r="B13" s="5">
        <v>1.5</v>
      </c>
      <c r="C13" s="5">
        <v>2.9</v>
      </c>
      <c r="D13" s="5">
        <v>1</v>
      </c>
      <c r="E13" s="5">
        <v>1.1000000000000001</v>
      </c>
      <c r="F13" s="6">
        <v>1.1000000000000001</v>
      </c>
    </row>
    <row r="14" spans="1:6" x14ac:dyDescent="0.25">
      <c r="A14" s="7" t="s">
        <v>4</v>
      </c>
      <c r="B14" s="8">
        <f>C14</f>
        <v>-1.47</v>
      </c>
      <c r="C14" s="8">
        <f>D14</f>
        <v>-1.47</v>
      </c>
      <c r="D14" s="8">
        <f>E14</f>
        <v>-1.47</v>
      </c>
      <c r="E14" s="8">
        <v>-1.47</v>
      </c>
      <c r="F14" s="9">
        <v>-1.47</v>
      </c>
    </row>
    <row r="15" spans="1:6" x14ac:dyDescent="0.25">
      <c r="A15" s="10"/>
      <c r="B15" s="10"/>
      <c r="C15" s="10"/>
      <c r="D15" s="10"/>
      <c r="E15" s="10"/>
    </row>
    <row r="16" spans="1:6" x14ac:dyDescent="0.25">
      <c r="A16" s="1" t="s">
        <v>16</v>
      </c>
      <c r="B16" s="2" t="s">
        <v>5</v>
      </c>
      <c r="C16" s="2" t="s">
        <v>17</v>
      </c>
      <c r="D16" s="2" t="s">
        <v>18</v>
      </c>
      <c r="E16" s="2" t="s">
        <v>13</v>
      </c>
      <c r="F16" s="3" t="s">
        <v>14</v>
      </c>
    </row>
    <row r="17" spans="1:6" x14ac:dyDescent="0.25">
      <c r="A17" s="4" t="s">
        <v>0</v>
      </c>
      <c r="B17" s="5">
        <v>3.46</v>
      </c>
      <c r="C17" s="5">
        <v>3.66</v>
      </c>
      <c r="D17" s="5">
        <v>6.22</v>
      </c>
      <c r="E17" s="5">
        <v>3.2</v>
      </c>
      <c r="F17" s="6">
        <v>3.2</v>
      </c>
    </row>
    <row r="18" spans="1:6" x14ac:dyDescent="0.25">
      <c r="A18" s="4" t="s">
        <v>3</v>
      </c>
      <c r="B18" s="5">
        <v>2.9</v>
      </c>
      <c r="C18" s="5">
        <v>2.9</v>
      </c>
      <c r="D18" s="5">
        <v>4.0999999999999996</v>
      </c>
      <c r="E18" s="5">
        <v>4.5</v>
      </c>
      <c r="F18" s="6">
        <v>4.5</v>
      </c>
    </row>
    <row r="19" spans="1:6" x14ac:dyDescent="0.25">
      <c r="A19" s="7" t="s">
        <v>4</v>
      </c>
      <c r="B19" s="8">
        <v>4.3600000000000003</v>
      </c>
      <c r="C19" s="8">
        <v>4.3600000000000003</v>
      </c>
      <c r="D19" s="8">
        <v>4.3600000000000003</v>
      </c>
      <c r="E19" s="8">
        <v>4.3600000000000003</v>
      </c>
      <c r="F19" s="9">
        <v>4.3600000000000003</v>
      </c>
    </row>
    <row r="20" spans="1:6" x14ac:dyDescent="0.25">
      <c r="A20" s="10"/>
      <c r="B20" s="10"/>
      <c r="C20" s="10"/>
      <c r="D20" s="10"/>
      <c r="E20" s="10"/>
    </row>
    <row r="21" spans="1:6" x14ac:dyDescent="0.25">
      <c r="A21" s="1" t="s">
        <v>21</v>
      </c>
      <c r="B21" s="2" t="s">
        <v>13</v>
      </c>
      <c r="C21" s="2" t="s">
        <v>14</v>
      </c>
      <c r="D21" s="2" t="s">
        <v>15</v>
      </c>
      <c r="E21" s="2" t="s">
        <v>6</v>
      </c>
      <c r="F21" s="3" t="s">
        <v>7</v>
      </c>
    </row>
    <row r="22" spans="1:6" x14ac:dyDescent="0.25">
      <c r="A22" s="4" t="s">
        <v>0</v>
      </c>
      <c r="B22" s="5">
        <v>2.68</v>
      </c>
      <c r="C22" s="5">
        <v>1.52</v>
      </c>
      <c r="D22" s="5">
        <v>3.16</v>
      </c>
      <c r="E22" s="5"/>
      <c r="F22" s="6"/>
    </row>
    <row r="23" spans="1:6" x14ac:dyDescent="0.25">
      <c r="A23" s="4" t="s">
        <v>3</v>
      </c>
      <c r="B23" s="5">
        <v>3.5</v>
      </c>
      <c r="C23" s="5">
        <v>3.5</v>
      </c>
      <c r="D23" s="5">
        <v>3.5</v>
      </c>
      <c r="E23" s="5"/>
      <c r="F23" s="6"/>
    </row>
    <row r="24" spans="1:6" x14ac:dyDescent="0.25">
      <c r="A24" s="7" t="s">
        <v>4</v>
      </c>
      <c r="B24" s="8"/>
      <c r="C24" s="8"/>
      <c r="D24" s="8"/>
      <c r="E24" s="8"/>
      <c r="F24" s="9"/>
    </row>
    <row r="25" spans="1:6" x14ac:dyDescent="0.25">
      <c r="A25" s="12" t="s">
        <v>19</v>
      </c>
      <c r="B25" s="12"/>
      <c r="C25" s="12"/>
      <c r="D25" s="12"/>
      <c r="E25" s="12"/>
    </row>
    <row r="26" spans="1:6" x14ac:dyDescent="0.25">
      <c r="A26" s="12" t="s">
        <v>20</v>
      </c>
      <c r="B26" s="12"/>
      <c r="C26" s="12"/>
      <c r="D26" s="12"/>
      <c r="E26" s="12"/>
    </row>
    <row r="27" spans="1:6" x14ac:dyDescent="0.25">
      <c r="A27" s="12" t="s">
        <v>22</v>
      </c>
      <c r="B27" s="12"/>
      <c r="C27" s="12"/>
      <c r="D27" s="12"/>
      <c r="E27" s="12"/>
    </row>
  </sheetData>
  <mergeCells count="3">
    <mergeCell ref="A25:E25"/>
    <mergeCell ref="A26:E26"/>
    <mergeCell ref="A27:E27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JunCheck</vt:lpstr>
      <vt:lpstr>Jul24Check</vt:lpstr>
      <vt:lpstr>Jul25Check</vt:lpstr>
      <vt:lpstr>Jul25Check-Q2</vt:lpstr>
      <vt:lpstr>Jul31Check-Consensus</vt:lpstr>
      <vt:lpstr>Aug2-Volatility</vt:lpstr>
      <vt:lpstr>Aug12</vt:lpstr>
      <vt:lpstr>Aug12_NoConsensus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2019-06-26T15:25:40Z</dcterms:created>
  <dcterms:modified xsi:type="dcterms:W3CDTF">2019-08-21T19:02:53Z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